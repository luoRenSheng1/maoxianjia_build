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1" l="1"/>
  <c r="F73" i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72" i="1"/>
  <c r="F51" i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50" i="1"/>
  <c r="F21" i="1"/>
  <c r="F22" i="1"/>
  <c r="F23" i="1"/>
  <c r="F24" i="1"/>
  <c r="F25" i="1"/>
  <c r="F26" i="1" s="1"/>
  <c r="F27" i="1" s="1"/>
  <c r="F28" i="1" s="1"/>
  <c r="F29" i="1" s="1"/>
  <c r="F30" i="1" s="1"/>
  <c r="F31" i="1" s="1"/>
  <c r="F32" i="1" s="1"/>
  <c r="F33" i="1" s="1"/>
  <c r="F20" i="1"/>
  <c r="D125" i="1" l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2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4" i="1"/>
  <c r="B88" i="1" l="1"/>
  <c r="B78" i="1"/>
  <c r="B77" i="1"/>
  <c r="B76" i="1"/>
  <c r="B66" i="1"/>
  <c r="B65" i="1"/>
  <c r="B64" i="1"/>
  <c r="B35" i="1"/>
  <c r="B95" i="1" s="1"/>
  <c r="C35" i="1"/>
  <c r="C95" i="1" s="1"/>
  <c r="B36" i="1"/>
  <c r="B96" i="1" s="1"/>
  <c r="C36" i="1"/>
  <c r="C96" i="1" s="1"/>
  <c r="B37" i="1"/>
  <c r="B97" i="1" s="1"/>
  <c r="C37" i="1"/>
  <c r="C97" i="1" s="1"/>
  <c r="B38" i="1"/>
  <c r="B98" i="1" s="1"/>
  <c r="C38" i="1"/>
  <c r="C98" i="1" s="1"/>
  <c r="B39" i="1"/>
  <c r="B99" i="1" s="1"/>
  <c r="C39" i="1"/>
  <c r="C99" i="1" s="1"/>
  <c r="B40" i="1"/>
  <c r="B100" i="1" s="1"/>
  <c r="C40" i="1"/>
  <c r="C100" i="1" s="1"/>
  <c r="B41" i="1"/>
  <c r="B101" i="1" s="1"/>
  <c r="C41" i="1"/>
  <c r="C101" i="1" s="1"/>
  <c r="B42" i="1"/>
  <c r="B102" i="1" s="1"/>
  <c r="C42" i="1"/>
  <c r="C102" i="1" s="1"/>
  <c r="B43" i="1"/>
  <c r="B103" i="1" s="1"/>
  <c r="C43" i="1"/>
  <c r="C103" i="1" s="1"/>
  <c r="B44" i="1"/>
  <c r="B104" i="1" s="1"/>
  <c r="C44" i="1"/>
  <c r="C104" i="1" s="1"/>
  <c r="B45" i="1"/>
  <c r="B105" i="1" s="1"/>
  <c r="C45" i="1"/>
  <c r="C105" i="1" s="1"/>
  <c r="B46" i="1"/>
  <c r="B106" i="1" s="1"/>
  <c r="C46" i="1"/>
  <c r="C106" i="1" s="1"/>
  <c r="B47" i="1"/>
  <c r="B107" i="1" s="1"/>
  <c r="C47" i="1"/>
  <c r="C107" i="1" s="1"/>
  <c r="B48" i="1"/>
  <c r="B108" i="1" s="1"/>
  <c r="C48" i="1"/>
  <c r="C108" i="1" s="1"/>
  <c r="B49" i="1"/>
  <c r="B109" i="1" s="1"/>
  <c r="C49" i="1"/>
  <c r="C109" i="1" s="1"/>
  <c r="B50" i="1"/>
  <c r="B110" i="1" s="1"/>
  <c r="C50" i="1"/>
  <c r="C110" i="1" s="1"/>
  <c r="B51" i="1"/>
  <c r="B111" i="1" s="1"/>
  <c r="C51" i="1"/>
  <c r="C111" i="1" s="1"/>
  <c r="B52" i="1"/>
  <c r="B112" i="1" s="1"/>
  <c r="C52" i="1"/>
  <c r="C112" i="1" s="1"/>
  <c r="B53" i="1"/>
  <c r="B113" i="1" s="1"/>
  <c r="C53" i="1"/>
  <c r="C113" i="1" s="1"/>
  <c r="B54" i="1"/>
  <c r="B114" i="1" s="1"/>
  <c r="C54" i="1"/>
  <c r="C114" i="1" s="1"/>
  <c r="B55" i="1"/>
  <c r="B115" i="1" s="1"/>
  <c r="C55" i="1"/>
  <c r="C115" i="1" s="1"/>
  <c r="B56" i="1"/>
  <c r="B116" i="1" s="1"/>
  <c r="C56" i="1"/>
  <c r="C116" i="1" s="1"/>
  <c r="B57" i="1"/>
  <c r="B117" i="1" s="1"/>
  <c r="C57" i="1"/>
  <c r="C117" i="1" s="1"/>
  <c r="B58" i="1"/>
  <c r="B118" i="1" s="1"/>
  <c r="C58" i="1"/>
  <c r="C118" i="1" s="1"/>
  <c r="B59" i="1"/>
  <c r="B119" i="1" s="1"/>
  <c r="C59" i="1"/>
  <c r="C119" i="1" s="1"/>
  <c r="B60" i="1"/>
  <c r="B120" i="1" s="1"/>
  <c r="C60" i="1"/>
  <c r="C120" i="1" s="1"/>
  <c r="B61" i="1"/>
  <c r="B121" i="1" s="1"/>
  <c r="C61" i="1"/>
  <c r="C121" i="1" s="1"/>
  <c r="B62" i="1"/>
  <c r="B122" i="1" s="1"/>
  <c r="C62" i="1"/>
  <c r="C122" i="1" s="1"/>
  <c r="B63" i="1"/>
  <c r="B123" i="1" s="1"/>
  <c r="C63" i="1"/>
  <c r="C123" i="1" s="1"/>
  <c r="C34" i="1"/>
  <c r="C94" i="1" s="1"/>
  <c r="B34" i="1"/>
  <c r="B94" i="1" s="1"/>
  <c r="D35" i="1"/>
  <c r="D65" i="1" s="1"/>
  <c r="D36" i="1"/>
  <c r="D66" i="1" s="1"/>
  <c r="D37" i="1"/>
  <c r="D67" i="1" s="1"/>
  <c r="D38" i="1"/>
  <c r="D68" i="1" s="1"/>
  <c r="D39" i="1"/>
  <c r="D69" i="1" s="1"/>
  <c r="D40" i="1"/>
  <c r="D70" i="1" s="1"/>
  <c r="D41" i="1"/>
  <c r="D71" i="1" s="1"/>
  <c r="D42" i="1"/>
  <c r="D72" i="1" s="1"/>
  <c r="D43" i="1"/>
  <c r="D73" i="1" s="1"/>
  <c r="D44" i="1"/>
  <c r="D74" i="1" s="1"/>
  <c r="D45" i="1"/>
  <c r="D75" i="1" s="1"/>
  <c r="D46" i="1"/>
  <c r="D76" i="1" s="1"/>
  <c r="D47" i="1"/>
  <c r="D77" i="1" s="1"/>
  <c r="D48" i="1"/>
  <c r="D78" i="1" s="1"/>
  <c r="D49" i="1"/>
  <c r="D79" i="1" s="1"/>
  <c r="D50" i="1"/>
  <c r="D80" i="1" s="1"/>
  <c r="D51" i="1"/>
  <c r="D81" i="1" s="1"/>
  <c r="D52" i="1"/>
  <c r="D82" i="1" s="1"/>
  <c r="D53" i="1"/>
  <c r="D83" i="1" s="1"/>
  <c r="D54" i="1"/>
  <c r="D84" i="1" s="1"/>
  <c r="D55" i="1"/>
  <c r="D85" i="1" s="1"/>
  <c r="D56" i="1"/>
  <c r="D86" i="1" s="1"/>
  <c r="D57" i="1"/>
  <c r="D87" i="1" s="1"/>
  <c r="D58" i="1"/>
  <c r="D88" i="1" s="1"/>
  <c r="D59" i="1"/>
  <c r="D89" i="1" s="1"/>
  <c r="D60" i="1"/>
  <c r="D90" i="1" s="1"/>
  <c r="D61" i="1"/>
  <c r="D91" i="1" s="1"/>
  <c r="D62" i="1"/>
  <c r="D92" i="1" s="1"/>
  <c r="D63" i="1"/>
  <c r="D93" i="1" s="1"/>
  <c r="D34" i="1"/>
  <c r="D64" i="1" s="1"/>
  <c r="B89" i="1" l="1"/>
  <c r="B90" i="1"/>
  <c r="B67" i="1"/>
  <c r="B79" i="1"/>
  <c r="B91" i="1"/>
  <c r="B68" i="1"/>
  <c r="B80" i="1"/>
  <c r="B92" i="1"/>
  <c r="B69" i="1"/>
  <c r="B81" i="1"/>
  <c r="B93" i="1"/>
  <c r="B70" i="1"/>
  <c r="B82" i="1"/>
  <c r="B71" i="1"/>
  <c r="B83" i="1"/>
  <c r="B72" i="1"/>
  <c r="B84" i="1"/>
  <c r="B73" i="1"/>
  <c r="B85" i="1"/>
  <c r="B74" i="1"/>
  <c r="B86" i="1"/>
  <c r="B75" i="1"/>
  <c r="B87" i="1"/>
</calcChain>
</file>

<file path=xl/comments1.xml><?xml version="1.0" encoding="utf-8"?>
<comments xmlns="http://schemas.openxmlformats.org/spreadsheetml/2006/main">
  <authors>
    <author>Administrator</author>
  </authors>
  <commentList>
    <comment ref="C3" authorId="0" shapeId="0">
      <text>
        <r>
          <rPr>
            <sz val="9"/>
            <rFont val="宋体"/>
            <family val="3"/>
            <charset val="134"/>
          </rPr>
          <t xml:space="preserve">Administrator:
1=深埋宝藏
2=遗迹建筑
3=狩猎任务
4=搜寻宠物
5=传承BOSS
6=钻石矿
7=天女散花
8=开箱子砍树
9=垂钓玩法
10=奇遇商人
</t>
        </r>
      </text>
    </comment>
    <comment ref="F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关联表Drop.DropGroup</t>
        </r>
      </text>
    </comment>
    <comment ref="H3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格式万分比,万分比，type=6、7使用</t>
        </r>
      </text>
    </comment>
  </commentList>
</comments>
</file>

<file path=xl/sharedStrings.xml><?xml version="1.0" encoding="utf-8"?>
<sst xmlns="http://schemas.openxmlformats.org/spreadsheetml/2006/main" count="474" uniqueCount="30">
  <si>
    <t>Id</t>
  </si>
  <si>
    <t>Chapter</t>
  </si>
  <si>
    <t>Type</t>
  </si>
  <si>
    <t>Gold</t>
  </si>
  <si>
    <t>Diamond</t>
  </si>
  <si>
    <t>Reward</t>
  </si>
  <si>
    <t>Name_notes</t>
  </si>
  <si>
    <t>Range</t>
  </si>
  <si>
    <t>int</t>
  </si>
  <si>
    <t>String</t>
  </si>
  <si>
    <t>序ID</t>
  </si>
  <si>
    <t>章节ID</t>
  </si>
  <si>
    <t>事件类型</t>
  </si>
  <si>
    <t>金币奖励</t>
  </si>
  <si>
    <t>钻石奖励</t>
  </si>
  <si>
    <t>奖励道具</t>
  </si>
  <si>
    <t>事件名称</t>
  </si>
  <si>
    <t>随机区间</t>
  </si>
  <si>
    <t>深埋宝藏</t>
  </si>
  <si>
    <t>0</t>
  </si>
  <si>
    <t>天女散花事件</t>
  </si>
  <si>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00,10000</t>
    </r>
  </si>
  <si>
    <t>垂钓事件</t>
  </si>
  <si>
    <t>搜寻宠物</t>
    <phoneticPr fontId="5" type="noConversion"/>
  </si>
  <si>
    <t>深埋宝藏</t>
    <phoneticPr fontId="5" type="noConversion"/>
  </si>
  <si>
    <t>钻石矿</t>
    <phoneticPr fontId="5" type="noConversion"/>
  </si>
  <si>
    <t>35</t>
    <phoneticPr fontId="5" type="noConversion"/>
  </si>
  <si>
    <t>55</t>
    <phoneticPr fontId="5" type="noConversion"/>
  </si>
  <si>
    <t>48</t>
    <phoneticPr fontId="5" type="noConversion"/>
  </si>
  <si>
    <t>22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</si>
</sst>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25991;&#26723;\&#20135;&#38144;&#25968;&#25454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产销规划"/>
      <sheetName val="钻石产出"/>
      <sheetName val="寻宝铲产出"/>
      <sheetName val="金币产出"/>
      <sheetName val="奶酪产出"/>
      <sheetName val="技能强化石"/>
      <sheetName val="天赋点产出"/>
      <sheetName val="神器碎片"/>
      <sheetName val="圣物碎片"/>
      <sheetName val="狩猎任务"/>
      <sheetName val="奇遇商人"/>
      <sheetName val="宠物天赋"/>
      <sheetName val="掉落配置"/>
      <sheetName val="道具价值计算"/>
      <sheetName val="召唤商店"/>
    </sheetNames>
    <sheetDataSet>
      <sheetData sheetId="0"/>
      <sheetData sheetId="1"/>
      <sheetData sheetId="2"/>
      <sheetData sheetId="3">
        <row r="38">
          <cell r="K38">
            <v>1</v>
          </cell>
          <cell r="L38">
            <v>521</v>
          </cell>
        </row>
        <row r="39">
          <cell r="K39">
            <v>2</v>
          </cell>
          <cell r="L39">
            <v>521</v>
          </cell>
        </row>
        <row r="40">
          <cell r="K40">
            <v>3</v>
          </cell>
          <cell r="L40">
            <v>781</v>
          </cell>
        </row>
        <row r="41">
          <cell r="K41">
            <v>4</v>
          </cell>
          <cell r="L41">
            <v>781</v>
          </cell>
        </row>
        <row r="42">
          <cell r="K42">
            <v>5</v>
          </cell>
          <cell r="L42">
            <v>1042</v>
          </cell>
        </row>
        <row r="43">
          <cell r="K43">
            <v>6</v>
          </cell>
          <cell r="L43">
            <v>1042</v>
          </cell>
        </row>
        <row r="44">
          <cell r="K44">
            <v>7</v>
          </cell>
          <cell r="L44">
            <v>1302</v>
          </cell>
        </row>
        <row r="45">
          <cell r="K45">
            <v>8</v>
          </cell>
          <cell r="L45">
            <v>1302</v>
          </cell>
        </row>
        <row r="46">
          <cell r="K46">
            <v>9</v>
          </cell>
          <cell r="L46">
            <v>1563</v>
          </cell>
        </row>
        <row r="47">
          <cell r="K47">
            <v>10</v>
          </cell>
          <cell r="L47">
            <v>1563</v>
          </cell>
        </row>
        <row r="48">
          <cell r="K48">
            <v>11</v>
          </cell>
          <cell r="L48">
            <v>1828</v>
          </cell>
        </row>
        <row r="49">
          <cell r="K49">
            <v>12</v>
          </cell>
          <cell r="L49">
            <v>1828</v>
          </cell>
        </row>
        <row r="50">
          <cell r="K50">
            <v>13</v>
          </cell>
          <cell r="L50">
            <v>1828</v>
          </cell>
        </row>
        <row r="51">
          <cell r="K51">
            <v>14</v>
          </cell>
          <cell r="L51">
            <v>2091</v>
          </cell>
        </row>
        <row r="52">
          <cell r="K52">
            <v>15</v>
          </cell>
          <cell r="L52">
            <v>2091</v>
          </cell>
        </row>
        <row r="53">
          <cell r="K53">
            <v>16</v>
          </cell>
          <cell r="L53">
            <v>2091</v>
          </cell>
        </row>
        <row r="54">
          <cell r="K54">
            <v>17</v>
          </cell>
          <cell r="L54">
            <v>2353</v>
          </cell>
        </row>
        <row r="55">
          <cell r="K55">
            <v>18</v>
          </cell>
          <cell r="L55">
            <v>2353</v>
          </cell>
        </row>
        <row r="56">
          <cell r="K56">
            <v>19</v>
          </cell>
          <cell r="L56">
            <v>2353</v>
          </cell>
        </row>
        <row r="57">
          <cell r="K57">
            <v>20</v>
          </cell>
          <cell r="L57">
            <v>2619</v>
          </cell>
        </row>
        <row r="58">
          <cell r="K58">
            <v>21</v>
          </cell>
          <cell r="L58">
            <v>2619</v>
          </cell>
        </row>
        <row r="59">
          <cell r="K59">
            <v>22</v>
          </cell>
          <cell r="L59">
            <v>2619</v>
          </cell>
        </row>
        <row r="60">
          <cell r="K60">
            <v>23</v>
          </cell>
          <cell r="L60">
            <v>2889</v>
          </cell>
        </row>
        <row r="61">
          <cell r="K61">
            <v>24</v>
          </cell>
          <cell r="L61">
            <v>2889</v>
          </cell>
        </row>
        <row r="62">
          <cell r="K62">
            <v>25</v>
          </cell>
          <cell r="L62">
            <v>2889</v>
          </cell>
        </row>
        <row r="63">
          <cell r="K63">
            <v>26</v>
          </cell>
          <cell r="L63">
            <v>3152</v>
          </cell>
        </row>
        <row r="64">
          <cell r="K64">
            <v>27</v>
          </cell>
          <cell r="L64">
            <v>3152</v>
          </cell>
        </row>
        <row r="65">
          <cell r="K65">
            <v>28</v>
          </cell>
          <cell r="L65">
            <v>3152</v>
          </cell>
        </row>
        <row r="66">
          <cell r="K66">
            <v>29</v>
          </cell>
          <cell r="L66">
            <v>3415</v>
          </cell>
        </row>
        <row r="67">
          <cell r="K67">
            <v>30</v>
          </cell>
          <cell r="L67">
            <v>3415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53"/>
  <sheetViews>
    <sheetView tabSelected="1" topLeftCell="A139" workbookViewId="0">
      <selection activeCell="J165" sqref="J165"/>
    </sheetView>
  </sheetViews>
  <sheetFormatPr defaultColWidth="9" defaultRowHeight="13.5" x14ac:dyDescent="0.15"/>
  <cols>
    <col min="1" max="3" width="9" style="1"/>
    <col min="4" max="4" width="12.625" style="2"/>
    <col min="5" max="5" width="8.875" style="2" customWidth="1"/>
    <col min="6" max="6" width="9" style="1"/>
    <col min="7" max="7" width="13" style="1" customWidth="1"/>
    <col min="8" max="8" width="11.5" style="2" customWidth="1"/>
    <col min="9" max="16384" width="9" style="1"/>
  </cols>
  <sheetData>
    <row r="1" spans="1:8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 spans="1:8" x14ac:dyDescent="0.15">
      <c r="A2" s="1" t="s">
        <v>8</v>
      </c>
      <c r="B2" s="1" t="s">
        <v>8</v>
      </c>
      <c r="C2" s="1" t="s">
        <v>8</v>
      </c>
      <c r="D2" s="3" t="s">
        <v>9</v>
      </c>
      <c r="E2" s="3" t="s">
        <v>9</v>
      </c>
      <c r="F2" s="1" t="s">
        <v>8</v>
      </c>
      <c r="G2" s="4" t="s">
        <v>9</v>
      </c>
      <c r="H2" s="2" t="s">
        <v>9</v>
      </c>
    </row>
    <row r="3" spans="1:8" ht="17.25" x14ac:dyDescent="0.15">
      <c r="A3" s="1" t="s">
        <v>10</v>
      </c>
      <c r="B3" s="1" t="s">
        <v>11</v>
      </c>
      <c r="C3" s="1" t="s">
        <v>12</v>
      </c>
      <c r="D3" s="2" t="s">
        <v>13</v>
      </c>
      <c r="E3" s="2" t="s">
        <v>14</v>
      </c>
      <c r="F3" s="1" t="s">
        <v>15</v>
      </c>
      <c r="G3" s="1" t="s">
        <v>16</v>
      </c>
      <c r="H3" s="6" t="s">
        <v>17</v>
      </c>
    </row>
    <row r="4" spans="1:8" x14ac:dyDescent="0.15">
      <c r="A4" s="1">
        <v>10001</v>
      </c>
      <c r="B4" s="1">
        <v>1</v>
      </c>
      <c r="C4" s="1">
        <v>1</v>
      </c>
      <c r="D4" s="7">
        <f>VLOOKUP(B4:B33,[1]金币产出!$K$38:$L$67,2,FALSE)*3</f>
        <v>1563</v>
      </c>
      <c r="E4" s="8" t="s">
        <v>26</v>
      </c>
      <c r="F4" s="1">
        <v>3001</v>
      </c>
      <c r="G4" s="1" t="s">
        <v>18</v>
      </c>
      <c r="H4" s="8" t="s">
        <v>21</v>
      </c>
    </row>
    <row r="5" spans="1:8" x14ac:dyDescent="0.15">
      <c r="A5" s="1">
        <v>10002</v>
      </c>
      <c r="B5" s="1">
        <v>2</v>
      </c>
      <c r="C5" s="1">
        <v>1</v>
      </c>
      <c r="D5" s="7">
        <f>VLOOKUP(B5:B34,[1]金币产出!$K$38:$L$67,2,FALSE)*3</f>
        <v>1563</v>
      </c>
      <c r="E5" s="8" t="s">
        <v>26</v>
      </c>
      <c r="F5" s="1">
        <v>3002</v>
      </c>
      <c r="G5" s="1" t="s">
        <v>18</v>
      </c>
      <c r="H5" s="8" t="s">
        <v>21</v>
      </c>
    </row>
    <row r="6" spans="1:8" x14ac:dyDescent="0.15">
      <c r="A6" s="1">
        <v>10003</v>
      </c>
      <c r="B6" s="1">
        <v>3</v>
      </c>
      <c r="C6" s="1">
        <v>1</v>
      </c>
      <c r="D6" s="7">
        <f>VLOOKUP(B6:B35,[1]金币产出!$K$38:$L$67,2,FALSE)*3</f>
        <v>2343</v>
      </c>
      <c r="E6" s="8" t="s">
        <v>26</v>
      </c>
      <c r="F6" s="1">
        <v>3003</v>
      </c>
      <c r="G6" s="1" t="s">
        <v>18</v>
      </c>
      <c r="H6" s="8" t="s">
        <v>21</v>
      </c>
    </row>
    <row r="7" spans="1:8" x14ac:dyDescent="0.15">
      <c r="A7" s="1">
        <v>10004</v>
      </c>
      <c r="B7" s="1">
        <v>4</v>
      </c>
      <c r="C7" s="1">
        <v>1</v>
      </c>
      <c r="D7" s="7">
        <f>VLOOKUP(B7:B36,[1]金币产出!$K$38:$L$67,2,FALSE)*3</f>
        <v>2343</v>
      </c>
      <c r="E7" s="8" t="s">
        <v>26</v>
      </c>
      <c r="F7" s="1">
        <v>3004</v>
      </c>
      <c r="G7" s="1" t="s">
        <v>18</v>
      </c>
      <c r="H7" s="8" t="s">
        <v>21</v>
      </c>
    </row>
    <row r="8" spans="1:8" x14ac:dyDescent="0.15">
      <c r="A8" s="1">
        <v>10005</v>
      </c>
      <c r="B8" s="1">
        <v>5</v>
      </c>
      <c r="C8" s="1">
        <v>1</v>
      </c>
      <c r="D8" s="7">
        <f>VLOOKUP(B8:B37,[1]金币产出!$K$38:$L$67,2,FALSE)*3</f>
        <v>3126</v>
      </c>
      <c r="E8" s="8" t="s">
        <v>26</v>
      </c>
      <c r="F8" s="1">
        <v>3005</v>
      </c>
      <c r="G8" s="1" t="s">
        <v>18</v>
      </c>
      <c r="H8" s="8" t="s">
        <v>21</v>
      </c>
    </row>
    <row r="9" spans="1:8" x14ac:dyDescent="0.15">
      <c r="A9" s="1">
        <v>10006</v>
      </c>
      <c r="B9" s="1">
        <v>6</v>
      </c>
      <c r="C9" s="1">
        <v>1</v>
      </c>
      <c r="D9" s="7">
        <f>VLOOKUP(B9:B38,[1]金币产出!$K$38:$L$67,2,FALSE)*3</f>
        <v>3126</v>
      </c>
      <c r="E9" s="8" t="s">
        <v>26</v>
      </c>
      <c r="F9" s="1">
        <v>3006</v>
      </c>
      <c r="G9" s="1" t="s">
        <v>18</v>
      </c>
      <c r="H9" s="8" t="s">
        <v>21</v>
      </c>
    </row>
    <row r="10" spans="1:8" x14ac:dyDescent="0.15">
      <c r="A10" s="1">
        <v>10007</v>
      </c>
      <c r="B10" s="1">
        <v>7</v>
      </c>
      <c r="C10" s="1">
        <v>1</v>
      </c>
      <c r="D10" s="7">
        <f>VLOOKUP(B10:B39,[1]金币产出!$K$38:$L$67,2,FALSE)*3</f>
        <v>3906</v>
      </c>
      <c r="E10" s="8" t="s">
        <v>26</v>
      </c>
      <c r="F10" s="1">
        <v>3007</v>
      </c>
      <c r="G10" s="1" t="s">
        <v>18</v>
      </c>
      <c r="H10" s="8" t="s">
        <v>21</v>
      </c>
    </row>
    <row r="11" spans="1:8" x14ac:dyDescent="0.15">
      <c r="A11" s="1">
        <v>10008</v>
      </c>
      <c r="B11" s="1">
        <v>8</v>
      </c>
      <c r="C11" s="1">
        <v>1</v>
      </c>
      <c r="D11" s="7">
        <f>VLOOKUP(B11:B40,[1]金币产出!$K$38:$L$67,2,FALSE)*3</f>
        <v>3906</v>
      </c>
      <c r="E11" s="8" t="s">
        <v>26</v>
      </c>
      <c r="F11" s="1">
        <v>3008</v>
      </c>
      <c r="G11" s="1" t="s">
        <v>18</v>
      </c>
      <c r="H11" s="8" t="s">
        <v>21</v>
      </c>
    </row>
    <row r="12" spans="1:8" x14ac:dyDescent="0.15">
      <c r="A12" s="1">
        <v>10009</v>
      </c>
      <c r="B12" s="1">
        <v>9</v>
      </c>
      <c r="C12" s="1">
        <v>1</v>
      </c>
      <c r="D12" s="7">
        <f>VLOOKUP(B12:B41,[1]金币产出!$K$38:$L$67,2,FALSE)*3</f>
        <v>4689</v>
      </c>
      <c r="E12" s="8" t="s">
        <v>26</v>
      </c>
      <c r="F12" s="1">
        <v>3009</v>
      </c>
      <c r="G12" s="1" t="s">
        <v>18</v>
      </c>
      <c r="H12" s="8" t="s">
        <v>21</v>
      </c>
    </row>
    <row r="13" spans="1:8" x14ac:dyDescent="0.15">
      <c r="A13" s="1">
        <v>10010</v>
      </c>
      <c r="B13" s="1">
        <v>10</v>
      </c>
      <c r="C13" s="1">
        <v>1</v>
      </c>
      <c r="D13" s="7">
        <f>VLOOKUP(B13:B42,[1]金币产出!$K$38:$L$67,2,FALSE)*3</f>
        <v>4689</v>
      </c>
      <c r="E13" s="8" t="s">
        <v>26</v>
      </c>
      <c r="F13" s="1">
        <v>3010</v>
      </c>
      <c r="G13" s="1" t="s">
        <v>18</v>
      </c>
      <c r="H13" s="8" t="s">
        <v>21</v>
      </c>
    </row>
    <row r="14" spans="1:8" x14ac:dyDescent="0.15">
      <c r="A14" s="1">
        <v>10011</v>
      </c>
      <c r="B14" s="1">
        <v>11</v>
      </c>
      <c r="C14" s="1">
        <v>1</v>
      </c>
      <c r="D14" s="7">
        <f>VLOOKUP(B14:B43,[1]金币产出!$K$38:$L$67,2,FALSE)*3</f>
        <v>5484</v>
      </c>
      <c r="E14" s="8" t="s">
        <v>26</v>
      </c>
      <c r="F14" s="1">
        <v>3011</v>
      </c>
      <c r="G14" s="9" t="s">
        <v>24</v>
      </c>
      <c r="H14" s="8" t="s">
        <v>21</v>
      </c>
    </row>
    <row r="15" spans="1:8" x14ac:dyDescent="0.15">
      <c r="A15" s="1">
        <v>10012</v>
      </c>
      <c r="B15" s="1">
        <v>12</v>
      </c>
      <c r="C15" s="1">
        <v>1</v>
      </c>
      <c r="D15" s="7">
        <f>VLOOKUP(B15:B44,[1]金币产出!$K$38:$L$67,2,FALSE)*3</f>
        <v>5484</v>
      </c>
      <c r="E15" s="8" t="s">
        <v>26</v>
      </c>
      <c r="F15" s="1">
        <v>3012</v>
      </c>
      <c r="G15" s="1" t="s">
        <v>18</v>
      </c>
      <c r="H15" s="8" t="s">
        <v>21</v>
      </c>
    </row>
    <row r="16" spans="1:8" x14ac:dyDescent="0.15">
      <c r="A16" s="1">
        <v>10013</v>
      </c>
      <c r="B16" s="1">
        <v>13</v>
      </c>
      <c r="C16" s="1">
        <v>1</v>
      </c>
      <c r="D16" s="7">
        <f>VLOOKUP(B16:B45,[1]金币产出!$K$38:$L$67,2,FALSE)*3</f>
        <v>5484</v>
      </c>
      <c r="E16" s="8" t="s">
        <v>26</v>
      </c>
      <c r="F16" s="1">
        <v>3013</v>
      </c>
      <c r="G16" s="1" t="s">
        <v>18</v>
      </c>
      <c r="H16" s="8" t="s">
        <v>21</v>
      </c>
    </row>
    <row r="17" spans="1:8" x14ac:dyDescent="0.15">
      <c r="A17" s="1">
        <v>10014</v>
      </c>
      <c r="B17" s="1">
        <v>14</v>
      </c>
      <c r="C17" s="1">
        <v>1</v>
      </c>
      <c r="D17" s="7">
        <f>VLOOKUP(B17:B46,[1]金币产出!$K$38:$L$67,2,FALSE)*3</f>
        <v>6273</v>
      </c>
      <c r="E17" s="8" t="s">
        <v>26</v>
      </c>
      <c r="F17" s="1">
        <v>3014</v>
      </c>
      <c r="G17" s="1" t="s">
        <v>18</v>
      </c>
      <c r="H17" s="8" t="s">
        <v>21</v>
      </c>
    </row>
    <row r="18" spans="1:8" x14ac:dyDescent="0.15">
      <c r="A18" s="1">
        <v>10015</v>
      </c>
      <c r="B18" s="1">
        <v>15</v>
      </c>
      <c r="C18" s="1">
        <v>1</v>
      </c>
      <c r="D18" s="7">
        <f>VLOOKUP(B18:B47,[1]金币产出!$K$38:$L$67,2,FALSE)*3</f>
        <v>6273</v>
      </c>
      <c r="E18" s="8" t="s">
        <v>26</v>
      </c>
      <c r="F18" s="1">
        <v>3015</v>
      </c>
      <c r="G18" s="1" t="s">
        <v>18</v>
      </c>
      <c r="H18" s="8" t="s">
        <v>21</v>
      </c>
    </row>
    <row r="19" spans="1:8" x14ac:dyDescent="0.15">
      <c r="A19" s="1">
        <v>10016</v>
      </c>
      <c r="B19" s="1">
        <v>16</v>
      </c>
      <c r="C19" s="1">
        <v>1</v>
      </c>
      <c r="D19" s="7">
        <f>VLOOKUP(B19:B48,[1]金币产出!$K$38:$L$67,2,FALSE)*3</f>
        <v>6273</v>
      </c>
      <c r="E19" s="8" t="s">
        <v>26</v>
      </c>
      <c r="F19" s="1">
        <v>3016</v>
      </c>
      <c r="G19" s="1" t="s">
        <v>18</v>
      </c>
      <c r="H19" s="8" t="s">
        <v>21</v>
      </c>
    </row>
    <row r="20" spans="1:8" x14ac:dyDescent="0.15">
      <c r="A20" s="1">
        <v>10017</v>
      </c>
      <c r="B20" s="1">
        <v>17</v>
      </c>
      <c r="C20" s="1">
        <v>1</v>
      </c>
      <c r="D20" s="7">
        <f>VLOOKUP(B20:B49,[1]金币产出!$K$38:$L$67,2,FALSE)*3</f>
        <v>7059</v>
      </c>
      <c r="E20" s="8" t="s">
        <v>26</v>
      </c>
      <c r="F20" s="1">
        <f>F19</f>
        <v>3016</v>
      </c>
      <c r="G20" s="1" t="s">
        <v>18</v>
      </c>
      <c r="H20" s="8" t="s">
        <v>21</v>
      </c>
    </row>
    <row r="21" spans="1:8" x14ac:dyDescent="0.15">
      <c r="A21" s="1">
        <v>10018</v>
      </c>
      <c r="B21" s="1">
        <v>18</v>
      </c>
      <c r="C21" s="1">
        <v>1</v>
      </c>
      <c r="D21" s="7">
        <f>VLOOKUP(B21:B50,[1]金币产出!$K$38:$L$67,2,FALSE)*3</f>
        <v>7059</v>
      </c>
      <c r="E21" s="8" t="s">
        <v>26</v>
      </c>
      <c r="F21" s="1">
        <f t="shared" ref="F21:F33" si="0">F20</f>
        <v>3016</v>
      </c>
      <c r="G21" s="1" t="s">
        <v>18</v>
      </c>
      <c r="H21" s="8" t="s">
        <v>21</v>
      </c>
    </row>
    <row r="22" spans="1:8" x14ac:dyDescent="0.15">
      <c r="A22" s="1">
        <v>10019</v>
      </c>
      <c r="B22" s="1">
        <v>19</v>
      </c>
      <c r="C22" s="1">
        <v>1</v>
      </c>
      <c r="D22" s="7">
        <f>VLOOKUP(B22:B51,[1]金币产出!$K$38:$L$67,2,FALSE)*3</f>
        <v>7059</v>
      </c>
      <c r="E22" s="8" t="s">
        <v>26</v>
      </c>
      <c r="F22" s="1">
        <f t="shared" si="0"/>
        <v>3016</v>
      </c>
      <c r="G22" s="1" t="s">
        <v>18</v>
      </c>
      <c r="H22" s="8" t="s">
        <v>21</v>
      </c>
    </row>
    <row r="23" spans="1:8" x14ac:dyDescent="0.15">
      <c r="A23" s="1">
        <v>10020</v>
      </c>
      <c r="B23" s="1">
        <v>20</v>
      </c>
      <c r="C23" s="1">
        <v>1</v>
      </c>
      <c r="D23" s="7">
        <f>VLOOKUP(B23:B52,[1]金币产出!$K$38:$L$67,2,FALSE)*3</f>
        <v>7857</v>
      </c>
      <c r="E23" s="8" t="s">
        <v>26</v>
      </c>
      <c r="F23" s="1">
        <f t="shared" si="0"/>
        <v>3016</v>
      </c>
      <c r="G23" s="1" t="s">
        <v>18</v>
      </c>
      <c r="H23" s="8" t="s">
        <v>21</v>
      </c>
    </row>
    <row r="24" spans="1:8" x14ac:dyDescent="0.15">
      <c r="A24" s="1">
        <v>10021</v>
      </c>
      <c r="B24" s="1">
        <v>21</v>
      </c>
      <c r="C24" s="1">
        <v>1</v>
      </c>
      <c r="D24" s="7">
        <f>VLOOKUP(B24:B53,[1]金币产出!$K$38:$L$67,2,FALSE)*3</f>
        <v>7857</v>
      </c>
      <c r="E24" s="8" t="s">
        <v>26</v>
      </c>
      <c r="F24" s="1">
        <f t="shared" si="0"/>
        <v>3016</v>
      </c>
      <c r="G24" s="1" t="s">
        <v>18</v>
      </c>
      <c r="H24" s="8" t="s">
        <v>21</v>
      </c>
    </row>
    <row r="25" spans="1:8" x14ac:dyDescent="0.15">
      <c r="A25" s="1">
        <v>10022</v>
      </c>
      <c r="B25" s="1">
        <v>22</v>
      </c>
      <c r="C25" s="1">
        <v>1</v>
      </c>
      <c r="D25" s="7">
        <f>VLOOKUP(B25:B54,[1]金币产出!$K$38:$L$67,2,FALSE)*3</f>
        <v>7857</v>
      </c>
      <c r="E25" s="8" t="s">
        <v>26</v>
      </c>
      <c r="F25" s="1">
        <f t="shared" si="0"/>
        <v>3016</v>
      </c>
      <c r="G25" s="1" t="s">
        <v>18</v>
      </c>
      <c r="H25" s="8" t="s">
        <v>21</v>
      </c>
    </row>
    <row r="26" spans="1:8" x14ac:dyDescent="0.15">
      <c r="A26" s="1">
        <v>10023</v>
      </c>
      <c r="B26" s="1">
        <v>23</v>
      </c>
      <c r="C26" s="1">
        <v>1</v>
      </c>
      <c r="D26" s="7">
        <f>VLOOKUP(B26:B55,[1]金币产出!$K$38:$L$67,2,FALSE)*3</f>
        <v>8667</v>
      </c>
      <c r="E26" s="8" t="s">
        <v>26</v>
      </c>
      <c r="F26" s="1">
        <f t="shared" si="0"/>
        <v>3016</v>
      </c>
      <c r="G26" s="1" t="s">
        <v>18</v>
      </c>
      <c r="H26" s="8" t="s">
        <v>21</v>
      </c>
    </row>
    <row r="27" spans="1:8" x14ac:dyDescent="0.15">
      <c r="A27" s="1">
        <v>10024</v>
      </c>
      <c r="B27" s="1">
        <v>24</v>
      </c>
      <c r="C27" s="1">
        <v>1</v>
      </c>
      <c r="D27" s="7">
        <f>VLOOKUP(B27:B56,[1]金币产出!$K$38:$L$67,2,FALSE)*3</f>
        <v>8667</v>
      </c>
      <c r="E27" s="8" t="s">
        <v>26</v>
      </c>
      <c r="F27" s="1">
        <f t="shared" si="0"/>
        <v>3016</v>
      </c>
      <c r="G27" s="1" t="s">
        <v>18</v>
      </c>
      <c r="H27" s="8" t="s">
        <v>21</v>
      </c>
    </row>
    <row r="28" spans="1:8" x14ac:dyDescent="0.15">
      <c r="A28" s="1">
        <v>10025</v>
      </c>
      <c r="B28" s="1">
        <v>25</v>
      </c>
      <c r="C28" s="1">
        <v>1</v>
      </c>
      <c r="D28" s="7">
        <f>VLOOKUP(B28:B57,[1]金币产出!$K$38:$L$67,2,FALSE)*3</f>
        <v>8667</v>
      </c>
      <c r="E28" s="8" t="s">
        <v>26</v>
      </c>
      <c r="F28" s="1">
        <f t="shared" si="0"/>
        <v>3016</v>
      </c>
      <c r="G28" s="1" t="s">
        <v>18</v>
      </c>
      <c r="H28" s="8" t="s">
        <v>21</v>
      </c>
    </row>
    <row r="29" spans="1:8" x14ac:dyDescent="0.15">
      <c r="A29" s="1">
        <v>10026</v>
      </c>
      <c r="B29" s="1">
        <v>26</v>
      </c>
      <c r="C29" s="1">
        <v>1</v>
      </c>
      <c r="D29" s="7">
        <f>VLOOKUP(B29:B58,[1]金币产出!$K$38:$L$67,2,FALSE)*3</f>
        <v>9456</v>
      </c>
      <c r="E29" s="8" t="s">
        <v>26</v>
      </c>
      <c r="F29" s="1">
        <f t="shared" si="0"/>
        <v>3016</v>
      </c>
      <c r="G29" s="1" t="s">
        <v>18</v>
      </c>
      <c r="H29" s="8" t="s">
        <v>21</v>
      </c>
    </row>
    <row r="30" spans="1:8" x14ac:dyDescent="0.15">
      <c r="A30" s="1">
        <v>10027</v>
      </c>
      <c r="B30" s="1">
        <v>27</v>
      </c>
      <c r="C30" s="1">
        <v>1</v>
      </c>
      <c r="D30" s="7">
        <f>VLOOKUP(B30:B59,[1]金币产出!$K$38:$L$67,2,FALSE)*3</f>
        <v>9456</v>
      </c>
      <c r="E30" s="8" t="s">
        <v>26</v>
      </c>
      <c r="F30" s="1">
        <f t="shared" si="0"/>
        <v>3016</v>
      </c>
      <c r="G30" s="1" t="s">
        <v>18</v>
      </c>
      <c r="H30" s="8" t="s">
        <v>21</v>
      </c>
    </row>
    <row r="31" spans="1:8" x14ac:dyDescent="0.15">
      <c r="A31" s="1">
        <v>10028</v>
      </c>
      <c r="B31" s="1">
        <v>28</v>
      </c>
      <c r="C31" s="1">
        <v>1</v>
      </c>
      <c r="D31" s="7">
        <f>VLOOKUP(B31:B60,[1]金币产出!$K$38:$L$67,2,FALSE)*3</f>
        <v>9456</v>
      </c>
      <c r="E31" s="8" t="s">
        <v>26</v>
      </c>
      <c r="F31" s="1">
        <f t="shared" si="0"/>
        <v>3016</v>
      </c>
      <c r="G31" s="1" t="s">
        <v>18</v>
      </c>
      <c r="H31" s="8" t="s">
        <v>21</v>
      </c>
    </row>
    <row r="32" spans="1:8" x14ac:dyDescent="0.15">
      <c r="A32" s="1">
        <v>10029</v>
      </c>
      <c r="B32" s="1">
        <v>29</v>
      </c>
      <c r="C32" s="1">
        <v>1</v>
      </c>
      <c r="D32" s="7">
        <f>VLOOKUP(B32:B61,[1]金币产出!$K$38:$L$67,2,FALSE)*3</f>
        <v>10245</v>
      </c>
      <c r="E32" s="8" t="s">
        <v>26</v>
      </c>
      <c r="F32" s="1">
        <f t="shared" si="0"/>
        <v>3016</v>
      </c>
      <c r="G32" s="1" t="s">
        <v>18</v>
      </c>
      <c r="H32" s="8" t="s">
        <v>21</v>
      </c>
    </row>
    <row r="33" spans="1:8" x14ac:dyDescent="0.15">
      <c r="A33" s="1">
        <v>10030</v>
      </c>
      <c r="B33" s="1">
        <v>30</v>
      </c>
      <c r="C33" s="1">
        <v>1</v>
      </c>
      <c r="D33" s="7">
        <f>VLOOKUP(B33:B62,[1]金币产出!$K$38:$L$67,2,FALSE)*3</f>
        <v>10245</v>
      </c>
      <c r="E33" s="8" t="s">
        <v>26</v>
      </c>
      <c r="F33" s="1">
        <f t="shared" si="0"/>
        <v>3016</v>
      </c>
      <c r="G33" s="1" t="s">
        <v>18</v>
      </c>
      <c r="H33" s="8" t="s">
        <v>21</v>
      </c>
    </row>
    <row r="34" spans="1:8" x14ac:dyDescent="0.15">
      <c r="A34" s="1">
        <v>40001</v>
      </c>
      <c r="B34" s="1">
        <f>B4</f>
        <v>1</v>
      </c>
      <c r="C34" s="1">
        <f>C4+3</f>
        <v>4</v>
      </c>
      <c r="D34" s="7">
        <f>D4</f>
        <v>1563</v>
      </c>
      <c r="E34" s="8" t="s">
        <v>27</v>
      </c>
      <c r="F34" s="1">
        <v>4001</v>
      </c>
      <c r="G34" s="9" t="s">
        <v>23</v>
      </c>
      <c r="H34" s="8" t="s">
        <v>21</v>
      </c>
    </row>
    <row r="35" spans="1:8" x14ac:dyDescent="0.15">
      <c r="A35" s="1">
        <v>40002</v>
      </c>
      <c r="B35" s="1">
        <f t="shared" ref="B35:B63" si="1">B5</f>
        <v>2</v>
      </c>
      <c r="C35" s="1">
        <f t="shared" ref="C35:C63" si="2">C5+3</f>
        <v>4</v>
      </c>
      <c r="D35" s="7">
        <f t="shared" ref="D35:D63" si="3">D5</f>
        <v>1563</v>
      </c>
      <c r="E35" s="8" t="s">
        <v>27</v>
      </c>
      <c r="F35" s="1">
        <v>4002</v>
      </c>
      <c r="G35" s="9" t="s">
        <v>23</v>
      </c>
      <c r="H35" s="8" t="s">
        <v>21</v>
      </c>
    </row>
    <row r="36" spans="1:8" x14ac:dyDescent="0.15">
      <c r="A36" s="1">
        <v>40003</v>
      </c>
      <c r="B36" s="1">
        <f t="shared" si="1"/>
        <v>3</v>
      </c>
      <c r="C36" s="1">
        <f t="shared" si="2"/>
        <v>4</v>
      </c>
      <c r="D36" s="7">
        <f t="shared" si="3"/>
        <v>2343</v>
      </c>
      <c r="E36" s="8" t="s">
        <v>27</v>
      </c>
      <c r="F36" s="1">
        <v>4003</v>
      </c>
      <c r="G36" s="9" t="s">
        <v>23</v>
      </c>
      <c r="H36" s="8" t="s">
        <v>21</v>
      </c>
    </row>
    <row r="37" spans="1:8" x14ac:dyDescent="0.15">
      <c r="A37" s="1">
        <v>40004</v>
      </c>
      <c r="B37" s="1">
        <f t="shared" si="1"/>
        <v>4</v>
      </c>
      <c r="C37" s="1">
        <f t="shared" si="2"/>
        <v>4</v>
      </c>
      <c r="D37" s="7">
        <f t="shared" si="3"/>
        <v>2343</v>
      </c>
      <c r="E37" s="8" t="s">
        <v>27</v>
      </c>
      <c r="F37" s="1">
        <v>4004</v>
      </c>
      <c r="G37" s="9" t="s">
        <v>23</v>
      </c>
      <c r="H37" s="8" t="s">
        <v>21</v>
      </c>
    </row>
    <row r="38" spans="1:8" x14ac:dyDescent="0.15">
      <c r="A38" s="1">
        <v>40005</v>
      </c>
      <c r="B38" s="1">
        <f t="shared" si="1"/>
        <v>5</v>
      </c>
      <c r="C38" s="1">
        <f t="shared" si="2"/>
        <v>4</v>
      </c>
      <c r="D38" s="7">
        <f t="shared" si="3"/>
        <v>3126</v>
      </c>
      <c r="E38" s="8" t="s">
        <v>27</v>
      </c>
      <c r="F38" s="1">
        <v>4005</v>
      </c>
      <c r="G38" s="9" t="s">
        <v>23</v>
      </c>
      <c r="H38" s="8" t="s">
        <v>21</v>
      </c>
    </row>
    <row r="39" spans="1:8" x14ac:dyDescent="0.15">
      <c r="A39" s="1">
        <v>40006</v>
      </c>
      <c r="B39" s="1">
        <f t="shared" si="1"/>
        <v>6</v>
      </c>
      <c r="C39" s="1">
        <f t="shared" si="2"/>
        <v>4</v>
      </c>
      <c r="D39" s="7">
        <f t="shared" si="3"/>
        <v>3126</v>
      </c>
      <c r="E39" s="8" t="s">
        <v>27</v>
      </c>
      <c r="F39" s="1">
        <v>4006</v>
      </c>
      <c r="G39" s="9" t="s">
        <v>23</v>
      </c>
      <c r="H39" s="8" t="s">
        <v>21</v>
      </c>
    </row>
    <row r="40" spans="1:8" x14ac:dyDescent="0.15">
      <c r="A40" s="1">
        <v>40007</v>
      </c>
      <c r="B40" s="1">
        <f t="shared" si="1"/>
        <v>7</v>
      </c>
      <c r="C40" s="1">
        <f t="shared" si="2"/>
        <v>4</v>
      </c>
      <c r="D40" s="7">
        <f t="shared" si="3"/>
        <v>3906</v>
      </c>
      <c r="E40" s="8" t="s">
        <v>27</v>
      </c>
      <c r="F40" s="1">
        <v>4007</v>
      </c>
      <c r="G40" s="9" t="s">
        <v>23</v>
      </c>
      <c r="H40" s="8" t="s">
        <v>21</v>
      </c>
    </row>
    <row r="41" spans="1:8" x14ac:dyDescent="0.15">
      <c r="A41" s="1">
        <v>40008</v>
      </c>
      <c r="B41" s="1">
        <f t="shared" si="1"/>
        <v>8</v>
      </c>
      <c r="C41" s="1">
        <f t="shared" si="2"/>
        <v>4</v>
      </c>
      <c r="D41" s="7">
        <f t="shared" si="3"/>
        <v>3906</v>
      </c>
      <c r="E41" s="8" t="s">
        <v>27</v>
      </c>
      <c r="F41" s="1">
        <v>4008</v>
      </c>
      <c r="G41" s="9" t="s">
        <v>23</v>
      </c>
      <c r="H41" s="8" t="s">
        <v>21</v>
      </c>
    </row>
    <row r="42" spans="1:8" x14ac:dyDescent="0.15">
      <c r="A42" s="1">
        <v>40009</v>
      </c>
      <c r="B42" s="1">
        <f t="shared" si="1"/>
        <v>9</v>
      </c>
      <c r="C42" s="1">
        <f t="shared" si="2"/>
        <v>4</v>
      </c>
      <c r="D42" s="7">
        <f t="shared" si="3"/>
        <v>4689</v>
      </c>
      <c r="E42" s="8" t="s">
        <v>27</v>
      </c>
      <c r="F42" s="1">
        <v>4009</v>
      </c>
      <c r="G42" s="9" t="s">
        <v>23</v>
      </c>
      <c r="H42" s="8" t="s">
        <v>21</v>
      </c>
    </row>
    <row r="43" spans="1:8" x14ac:dyDescent="0.15">
      <c r="A43" s="1">
        <v>40010</v>
      </c>
      <c r="B43" s="1">
        <f t="shared" si="1"/>
        <v>10</v>
      </c>
      <c r="C43" s="1">
        <f t="shared" si="2"/>
        <v>4</v>
      </c>
      <c r="D43" s="7">
        <f t="shared" si="3"/>
        <v>4689</v>
      </c>
      <c r="E43" s="8" t="s">
        <v>27</v>
      </c>
      <c r="F43" s="1">
        <v>4010</v>
      </c>
      <c r="G43" s="9" t="s">
        <v>23</v>
      </c>
      <c r="H43" s="8" t="s">
        <v>21</v>
      </c>
    </row>
    <row r="44" spans="1:8" x14ac:dyDescent="0.15">
      <c r="A44" s="1">
        <v>40011</v>
      </c>
      <c r="B44" s="1">
        <f t="shared" si="1"/>
        <v>11</v>
      </c>
      <c r="C44" s="1">
        <f t="shared" si="2"/>
        <v>4</v>
      </c>
      <c r="D44" s="7">
        <f t="shared" si="3"/>
        <v>5484</v>
      </c>
      <c r="E44" s="8" t="s">
        <v>27</v>
      </c>
      <c r="F44" s="1">
        <v>4011</v>
      </c>
      <c r="G44" s="9" t="s">
        <v>23</v>
      </c>
      <c r="H44" s="8" t="s">
        <v>21</v>
      </c>
    </row>
    <row r="45" spans="1:8" x14ac:dyDescent="0.15">
      <c r="A45" s="1">
        <v>40012</v>
      </c>
      <c r="B45" s="1">
        <f t="shared" si="1"/>
        <v>12</v>
      </c>
      <c r="C45" s="1">
        <f t="shared" si="2"/>
        <v>4</v>
      </c>
      <c r="D45" s="7">
        <f t="shared" si="3"/>
        <v>5484</v>
      </c>
      <c r="E45" s="8" t="s">
        <v>27</v>
      </c>
      <c r="F45" s="1">
        <v>4012</v>
      </c>
      <c r="G45" s="9" t="s">
        <v>23</v>
      </c>
      <c r="H45" s="8" t="s">
        <v>21</v>
      </c>
    </row>
    <row r="46" spans="1:8" x14ac:dyDescent="0.15">
      <c r="A46" s="1">
        <v>40013</v>
      </c>
      <c r="B46" s="1">
        <f t="shared" si="1"/>
        <v>13</v>
      </c>
      <c r="C46" s="1">
        <f t="shared" si="2"/>
        <v>4</v>
      </c>
      <c r="D46" s="7">
        <f t="shared" si="3"/>
        <v>5484</v>
      </c>
      <c r="E46" s="8" t="s">
        <v>27</v>
      </c>
      <c r="F46" s="1">
        <v>4013</v>
      </c>
      <c r="G46" s="9" t="s">
        <v>23</v>
      </c>
      <c r="H46" s="8" t="s">
        <v>21</v>
      </c>
    </row>
    <row r="47" spans="1:8" x14ac:dyDescent="0.15">
      <c r="A47" s="1">
        <v>40014</v>
      </c>
      <c r="B47" s="1">
        <f t="shared" si="1"/>
        <v>14</v>
      </c>
      <c r="C47" s="1">
        <f t="shared" si="2"/>
        <v>4</v>
      </c>
      <c r="D47" s="7">
        <f t="shared" si="3"/>
        <v>6273</v>
      </c>
      <c r="E47" s="8" t="s">
        <v>27</v>
      </c>
      <c r="F47" s="1">
        <v>4014</v>
      </c>
      <c r="G47" s="9" t="s">
        <v>23</v>
      </c>
      <c r="H47" s="8" t="s">
        <v>21</v>
      </c>
    </row>
    <row r="48" spans="1:8" x14ac:dyDescent="0.15">
      <c r="A48" s="1">
        <v>40015</v>
      </c>
      <c r="B48" s="1">
        <f t="shared" si="1"/>
        <v>15</v>
      </c>
      <c r="C48" s="1">
        <f t="shared" si="2"/>
        <v>4</v>
      </c>
      <c r="D48" s="7">
        <f t="shared" si="3"/>
        <v>6273</v>
      </c>
      <c r="E48" s="8" t="s">
        <v>27</v>
      </c>
      <c r="F48" s="1">
        <v>4015</v>
      </c>
      <c r="G48" s="9" t="s">
        <v>23</v>
      </c>
      <c r="H48" s="8" t="s">
        <v>21</v>
      </c>
    </row>
    <row r="49" spans="1:8" x14ac:dyDescent="0.15">
      <c r="A49" s="1">
        <v>40016</v>
      </c>
      <c r="B49" s="1">
        <f t="shared" si="1"/>
        <v>16</v>
      </c>
      <c r="C49" s="1">
        <f t="shared" si="2"/>
        <v>4</v>
      </c>
      <c r="D49" s="7">
        <f t="shared" si="3"/>
        <v>6273</v>
      </c>
      <c r="E49" s="8" t="s">
        <v>27</v>
      </c>
      <c r="F49" s="1">
        <v>4016</v>
      </c>
      <c r="G49" s="9" t="s">
        <v>23</v>
      </c>
      <c r="H49" s="8" t="s">
        <v>21</v>
      </c>
    </row>
    <row r="50" spans="1:8" x14ac:dyDescent="0.15">
      <c r="A50" s="1">
        <v>40017</v>
      </c>
      <c r="B50" s="1">
        <f t="shared" si="1"/>
        <v>17</v>
      </c>
      <c r="C50" s="1">
        <f t="shared" si="2"/>
        <v>4</v>
      </c>
      <c r="D50" s="7">
        <f t="shared" si="3"/>
        <v>7059</v>
      </c>
      <c r="E50" s="8" t="s">
        <v>27</v>
      </c>
      <c r="F50" s="1">
        <f>F49</f>
        <v>4016</v>
      </c>
      <c r="G50" s="9" t="s">
        <v>23</v>
      </c>
      <c r="H50" s="8" t="s">
        <v>21</v>
      </c>
    </row>
    <row r="51" spans="1:8" x14ac:dyDescent="0.15">
      <c r="A51" s="1">
        <v>40018</v>
      </c>
      <c r="B51" s="1">
        <f t="shared" si="1"/>
        <v>18</v>
      </c>
      <c r="C51" s="1">
        <f t="shared" si="2"/>
        <v>4</v>
      </c>
      <c r="D51" s="7">
        <f t="shared" si="3"/>
        <v>7059</v>
      </c>
      <c r="E51" s="8" t="s">
        <v>27</v>
      </c>
      <c r="F51" s="1">
        <f t="shared" ref="F51:F63" si="4">F50</f>
        <v>4016</v>
      </c>
      <c r="G51" s="9" t="s">
        <v>23</v>
      </c>
      <c r="H51" s="8" t="s">
        <v>21</v>
      </c>
    </row>
    <row r="52" spans="1:8" x14ac:dyDescent="0.15">
      <c r="A52" s="1">
        <v>40019</v>
      </c>
      <c r="B52" s="1">
        <f t="shared" si="1"/>
        <v>19</v>
      </c>
      <c r="C52" s="1">
        <f t="shared" si="2"/>
        <v>4</v>
      </c>
      <c r="D52" s="7">
        <f t="shared" si="3"/>
        <v>7059</v>
      </c>
      <c r="E52" s="8" t="s">
        <v>27</v>
      </c>
      <c r="F52" s="1">
        <f t="shared" si="4"/>
        <v>4016</v>
      </c>
      <c r="G52" s="9" t="s">
        <v>23</v>
      </c>
      <c r="H52" s="8" t="s">
        <v>21</v>
      </c>
    </row>
    <row r="53" spans="1:8" x14ac:dyDescent="0.15">
      <c r="A53" s="1">
        <v>40020</v>
      </c>
      <c r="B53" s="1">
        <f t="shared" si="1"/>
        <v>20</v>
      </c>
      <c r="C53" s="1">
        <f t="shared" si="2"/>
        <v>4</v>
      </c>
      <c r="D53" s="7">
        <f t="shared" si="3"/>
        <v>7857</v>
      </c>
      <c r="E53" s="8" t="s">
        <v>27</v>
      </c>
      <c r="F53" s="1">
        <f t="shared" si="4"/>
        <v>4016</v>
      </c>
      <c r="G53" s="9" t="s">
        <v>23</v>
      </c>
      <c r="H53" s="8" t="s">
        <v>21</v>
      </c>
    </row>
    <row r="54" spans="1:8" x14ac:dyDescent="0.15">
      <c r="A54" s="1">
        <v>40021</v>
      </c>
      <c r="B54" s="1">
        <f t="shared" si="1"/>
        <v>21</v>
      </c>
      <c r="C54" s="1">
        <f t="shared" si="2"/>
        <v>4</v>
      </c>
      <c r="D54" s="7">
        <f t="shared" si="3"/>
        <v>7857</v>
      </c>
      <c r="E54" s="8" t="s">
        <v>27</v>
      </c>
      <c r="F54" s="1">
        <f t="shared" si="4"/>
        <v>4016</v>
      </c>
      <c r="G54" s="9" t="s">
        <v>23</v>
      </c>
      <c r="H54" s="8" t="s">
        <v>21</v>
      </c>
    </row>
    <row r="55" spans="1:8" x14ac:dyDescent="0.15">
      <c r="A55" s="1">
        <v>40022</v>
      </c>
      <c r="B55" s="1">
        <f t="shared" si="1"/>
        <v>22</v>
      </c>
      <c r="C55" s="1">
        <f t="shared" si="2"/>
        <v>4</v>
      </c>
      <c r="D55" s="7">
        <f t="shared" si="3"/>
        <v>7857</v>
      </c>
      <c r="E55" s="8" t="s">
        <v>27</v>
      </c>
      <c r="F55" s="1">
        <f t="shared" si="4"/>
        <v>4016</v>
      </c>
      <c r="G55" s="9" t="s">
        <v>23</v>
      </c>
      <c r="H55" s="8" t="s">
        <v>21</v>
      </c>
    </row>
    <row r="56" spans="1:8" x14ac:dyDescent="0.15">
      <c r="A56" s="1">
        <v>40023</v>
      </c>
      <c r="B56" s="1">
        <f t="shared" si="1"/>
        <v>23</v>
      </c>
      <c r="C56" s="1">
        <f t="shared" si="2"/>
        <v>4</v>
      </c>
      <c r="D56" s="7">
        <f t="shared" si="3"/>
        <v>8667</v>
      </c>
      <c r="E56" s="8" t="s">
        <v>27</v>
      </c>
      <c r="F56" s="1">
        <f t="shared" si="4"/>
        <v>4016</v>
      </c>
      <c r="G56" s="9" t="s">
        <v>23</v>
      </c>
      <c r="H56" s="8" t="s">
        <v>21</v>
      </c>
    </row>
    <row r="57" spans="1:8" x14ac:dyDescent="0.15">
      <c r="A57" s="1">
        <v>40024</v>
      </c>
      <c r="B57" s="1">
        <f t="shared" si="1"/>
        <v>24</v>
      </c>
      <c r="C57" s="1">
        <f t="shared" si="2"/>
        <v>4</v>
      </c>
      <c r="D57" s="7">
        <f t="shared" si="3"/>
        <v>8667</v>
      </c>
      <c r="E57" s="8" t="s">
        <v>27</v>
      </c>
      <c r="F57" s="1">
        <f t="shared" si="4"/>
        <v>4016</v>
      </c>
      <c r="G57" s="9" t="s">
        <v>23</v>
      </c>
      <c r="H57" s="8" t="s">
        <v>21</v>
      </c>
    </row>
    <row r="58" spans="1:8" x14ac:dyDescent="0.15">
      <c r="A58" s="1">
        <v>40025</v>
      </c>
      <c r="B58" s="1">
        <f t="shared" si="1"/>
        <v>25</v>
      </c>
      <c r="C58" s="1">
        <f t="shared" si="2"/>
        <v>4</v>
      </c>
      <c r="D58" s="7">
        <f t="shared" si="3"/>
        <v>8667</v>
      </c>
      <c r="E58" s="8" t="s">
        <v>27</v>
      </c>
      <c r="F58" s="1">
        <f t="shared" si="4"/>
        <v>4016</v>
      </c>
      <c r="G58" s="9" t="s">
        <v>23</v>
      </c>
      <c r="H58" s="8" t="s">
        <v>21</v>
      </c>
    </row>
    <row r="59" spans="1:8" x14ac:dyDescent="0.15">
      <c r="A59" s="1">
        <v>40026</v>
      </c>
      <c r="B59" s="1">
        <f t="shared" si="1"/>
        <v>26</v>
      </c>
      <c r="C59" s="1">
        <f t="shared" si="2"/>
        <v>4</v>
      </c>
      <c r="D59" s="7">
        <f t="shared" si="3"/>
        <v>9456</v>
      </c>
      <c r="E59" s="8" t="s">
        <v>27</v>
      </c>
      <c r="F59" s="1">
        <f t="shared" si="4"/>
        <v>4016</v>
      </c>
      <c r="G59" s="9" t="s">
        <v>23</v>
      </c>
      <c r="H59" s="8" t="s">
        <v>21</v>
      </c>
    </row>
    <row r="60" spans="1:8" x14ac:dyDescent="0.15">
      <c r="A60" s="1">
        <v>40027</v>
      </c>
      <c r="B60" s="1">
        <f t="shared" si="1"/>
        <v>27</v>
      </c>
      <c r="C60" s="1">
        <f t="shared" si="2"/>
        <v>4</v>
      </c>
      <c r="D60" s="7">
        <f t="shared" si="3"/>
        <v>9456</v>
      </c>
      <c r="E60" s="8" t="s">
        <v>27</v>
      </c>
      <c r="F60" s="1">
        <f t="shared" si="4"/>
        <v>4016</v>
      </c>
      <c r="G60" s="9" t="s">
        <v>23</v>
      </c>
      <c r="H60" s="8" t="s">
        <v>21</v>
      </c>
    </row>
    <row r="61" spans="1:8" x14ac:dyDescent="0.15">
      <c r="A61" s="1">
        <v>40028</v>
      </c>
      <c r="B61" s="1">
        <f t="shared" si="1"/>
        <v>28</v>
      </c>
      <c r="C61" s="1">
        <f t="shared" si="2"/>
        <v>4</v>
      </c>
      <c r="D61" s="7">
        <f t="shared" si="3"/>
        <v>9456</v>
      </c>
      <c r="E61" s="8" t="s">
        <v>27</v>
      </c>
      <c r="F61" s="1">
        <f t="shared" si="4"/>
        <v>4016</v>
      </c>
      <c r="G61" s="9" t="s">
        <v>23</v>
      </c>
      <c r="H61" s="8" t="s">
        <v>21</v>
      </c>
    </row>
    <row r="62" spans="1:8" x14ac:dyDescent="0.15">
      <c r="A62" s="1">
        <v>40029</v>
      </c>
      <c r="B62" s="1">
        <f t="shared" si="1"/>
        <v>29</v>
      </c>
      <c r="C62" s="1">
        <f t="shared" si="2"/>
        <v>4</v>
      </c>
      <c r="D62" s="7">
        <f t="shared" si="3"/>
        <v>10245</v>
      </c>
      <c r="E62" s="8" t="s">
        <v>27</v>
      </c>
      <c r="F62" s="1">
        <f t="shared" si="4"/>
        <v>4016</v>
      </c>
      <c r="G62" s="9" t="s">
        <v>23</v>
      </c>
      <c r="H62" s="8" t="s">
        <v>21</v>
      </c>
    </row>
    <row r="63" spans="1:8" x14ac:dyDescent="0.15">
      <c r="A63" s="1">
        <v>40030</v>
      </c>
      <c r="B63" s="1">
        <f t="shared" si="1"/>
        <v>30</v>
      </c>
      <c r="C63" s="1">
        <f t="shared" si="2"/>
        <v>4</v>
      </c>
      <c r="D63" s="7">
        <f t="shared" si="3"/>
        <v>10245</v>
      </c>
      <c r="E63" s="8" t="s">
        <v>27</v>
      </c>
      <c r="F63" s="1">
        <f t="shared" si="4"/>
        <v>4016</v>
      </c>
      <c r="G63" s="9" t="s">
        <v>23</v>
      </c>
      <c r="H63" s="8" t="s">
        <v>21</v>
      </c>
    </row>
    <row r="64" spans="1:8" x14ac:dyDescent="0.15">
      <c r="A64" s="1">
        <v>50001</v>
      </c>
      <c r="B64" s="1">
        <f>B34</f>
        <v>1</v>
      </c>
      <c r="C64" s="1">
        <v>9</v>
      </c>
      <c r="D64" s="5">
        <f>D34/3</f>
        <v>521</v>
      </c>
      <c r="E64" s="8" t="s">
        <v>28</v>
      </c>
      <c r="F64" s="1">
        <v>5001</v>
      </c>
      <c r="G64" s="1" t="s">
        <v>22</v>
      </c>
      <c r="H64" s="8" t="s">
        <v>21</v>
      </c>
    </row>
    <row r="65" spans="1:8" x14ac:dyDescent="0.15">
      <c r="A65" s="1">
        <v>50002</v>
      </c>
      <c r="B65" s="1">
        <f t="shared" ref="B65:B93" si="5">B35</f>
        <v>2</v>
      </c>
      <c r="C65" s="1">
        <v>9</v>
      </c>
      <c r="D65" s="5">
        <f t="shared" ref="D65:D93" si="6">D35/3</f>
        <v>521</v>
      </c>
      <c r="E65" s="8" t="s">
        <v>28</v>
      </c>
      <c r="F65" s="1">
        <v>5002</v>
      </c>
      <c r="G65" s="1" t="s">
        <v>22</v>
      </c>
      <c r="H65" s="8" t="s">
        <v>21</v>
      </c>
    </row>
    <row r="66" spans="1:8" x14ac:dyDescent="0.15">
      <c r="A66" s="1">
        <v>50003</v>
      </c>
      <c r="B66" s="1">
        <f t="shared" si="5"/>
        <v>3</v>
      </c>
      <c r="C66" s="1">
        <v>9</v>
      </c>
      <c r="D66" s="5">
        <f t="shared" si="6"/>
        <v>781</v>
      </c>
      <c r="E66" s="8" t="s">
        <v>28</v>
      </c>
      <c r="F66" s="1">
        <v>5003</v>
      </c>
      <c r="G66" s="1" t="s">
        <v>22</v>
      </c>
      <c r="H66" s="8" t="s">
        <v>21</v>
      </c>
    </row>
    <row r="67" spans="1:8" x14ac:dyDescent="0.15">
      <c r="A67" s="1">
        <v>50004</v>
      </c>
      <c r="B67" s="1">
        <f t="shared" si="5"/>
        <v>4</v>
      </c>
      <c r="C67" s="1">
        <v>9</v>
      </c>
      <c r="D67" s="5">
        <f t="shared" si="6"/>
        <v>781</v>
      </c>
      <c r="E67" s="8" t="s">
        <v>28</v>
      </c>
      <c r="F67" s="1">
        <v>5004</v>
      </c>
      <c r="G67" s="1" t="s">
        <v>22</v>
      </c>
      <c r="H67" s="8" t="s">
        <v>21</v>
      </c>
    </row>
    <row r="68" spans="1:8" x14ac:dyDescent="0.15">
      <c r="A68" s="1">
        <v>50005</v>
      </c>
      <c r="B68" s="1">
        <f t="shared" si="5"/>
        <v>5</v>
      </c>
      <c r="C68" s="1">
        <v>9</v>
      </c>
      <c r="D68" s="5">
        <f t="shared" si="6"/>
        <v>1042</v>
      </c>
      <c r="E68" s="8" t="s">
        <v>28</v>
      </c>
      <c r="F68" s="1">
        <v>5005</v>
      </c>
      <c r="G68" s="1" t="s">
        <v>22</v>
      </c>
      <c r="H68" s="8" t="s">
        <v>21</v>
      </c>
    </row>
    <row r="69" spans="1:8" x14ac:dyDescent="0.15">
      <c r="A69" s="1">
        <v>50006</v>
      </c>
      <c r="B69" s="1">
        <f t="shared" si="5"/>
        <v>6</v>
      </c>
      <c r="C69" s="1">
        <v>9</v>
      </c>
      <c r="D69" s="5">
        <f t="shared" si="6"/>
        <v>1042</v>
      </c>
      <c r="E69" s="8" t="s">
        <v>28</v>
      </c>
      <c r="F69" s="1">
        <v>5006</v>
      </c>
      <c r="G69" s="1" t="s">
        <v>22</v>
      </c>
      <c r="H69" s="8" t="s">
        <v>21</v>
      </c>
    </row>
    <row r="70" spans="1:8" x14ac:dyDescent="0.15">
      <c r="A70" s="1">
        <v>50007</v>
      </c>
      <c r="B70" s="1">
        <f t="shared" si="5"/>
        <v>7</v>
      </c>
      <c r="C70" s="1">
        <v>9</v>
      </c>
      <c r="D70" s="5">
        <f t="shared" si="6"/>
        <v>1302</v>
      </c>
      <c r="E70" s="8" t="s">
        <v>28</v>
      </c>
      <c r="F70" s="1">
        <v>5007</v>
      </c>
      <c r="G70" s="1" t="s">
        <v>22</v>
      </c>
      <c r="H70" s="8" t="s">
        <v>21</v>
      </c>
    </row>
    <row r="71" spans="1:8" x14ac:dyDescent="0.15">
      <c r="A71" s="1">
        <v>50008</v>
      </c>
      <c r="B71" s="1">
        <f t="shared" si="5"/>
        <v>8</v>
      </c>
      <c r="C71" s="1">
        <v>9</v>
      </c>
      <c r="D71" s="5">
        <f t="shared" si="6"/>
        <v>1302</v>
      </c>
      <c r="E71" s="8" t="s">
        <v>28</v>
      </c>
      <c r="F71" s="1">
        <v>5008</v>
      </c>
      <c r="G71" s="1" t="s">
        <v>22</v>
      </c>
      <c r="H71" s="8" t="s">
        <v>21</v>
      </c>
    </row>
    <row r="72" spans="1:8" x14ac:dyDescent="0.15">
      <c r="A72" s="1">
        <v>50009</v>
      </c>
      <c r="B72" s="1">
        <f t="shared" si="5"/>
        <v>9</v>
      </c>
      <c r="C72" s="1">
        <v>9</v>
      </c>
      <c r="D72" s="5">
        <f t="shared" si="6"/>
        <v>1563</v>
      </c>
      <c r="E72" s="8" t="s">
        <v>28</v>
      </c>
      <c r="F72" s="1">
        <f>F71</f>
        <v>5008</v>
      </c>
      <c r="G72" s="1" t="s">
        <v>22</v>
      </c>
      <c r="H72" s="8" t="s">
        <v>21</v>
      </c>
    </row>
    <row r="73" spans="1:8" x14ac:dyDescent="0.15">
      <c r="A73" s="1">
        <v>50010</v>
      </c>
      <c r="B73" s="1">
        <f t="shared" si="5"/>
        <v>10</v>
      </c>
      <c r="C73" s="1">
        <v>9</v>
      </c>
      <c r="D73" s="5">
        <f t="shared" si="6"/>
        <v>1563</v>
      </c>
      <c r="E73" s="8" t="s">
        <v>28</v>
      </c>
      <c r="F73" s="1">
        <f t="shared" ref="F73:F93" si="7">F72</f>
        <v>5008</v>
      </c>
      <c r="G73" s="1" t="s">
        <v>22</v>
      </c>
      <c r="H73" s="8" t="s">
        <v>21</v>
      </c>
    </row>
    <row r="74" spans="1:8" x14ac:dyDescent="0.15">
      <c r="A74" s="1">
        <v>50011</v>
      </c>
      <c r="B74" s="1">
        <f t="shared" si="5"/>
        <v>11</v>
      </c>
      <c r="C74" s="1">
        <v>9</v>
      </c>
      <c r="D74" s="5">
        <f t="shared" si="6"/>
        <v>1828</v>
      </c>
      <c r="E74" s="8" t="s">
        <v>28</v>
      </c>
      <c r="F74" s="1">
        <f t="shared" si="7"/>
        <v>5008</v>
      </c>
      <c r="G74" s="1" t="s">
        <v>22</v>
      </c>
      <c r="H74" s="8" t="s">
        <v>21</v>
      </c>
    </row>
    <row r="75" spans="1:8" x14ac:dyDescent="0.15">
      <c r="A75" s="1">
        <v>50012</v>
      </c>
      <c r="B75" s="1">
        <f t="shared" si="5"/>
        <v>12</v>
      </c>
      <c r="C75" s="1">
        <v>9</v>
      </c>
      <c r="D75" s="5">
        <f t="shared" si="6"/>
        <v>1828</v>
      </c>
      <c r="E75" s="8" t="s">
        <v>28</v>
      </c>
      <c r="F75" s="1">
        <f t="shared" si="7"/>
        <v>5008</v>
      </c>
      <c r="G75" s="1" t="s">
        <v>22</v>
      </c>
      <c r="H75" s="8" t="s">
        <v>21</v>
      </c>
    </row>
    <row r="76" spans="1:8" x14ac:dyDescent="0.15">
      <c r="A76" s="1">
        <v>50013</v>
      </c>
      <c r="B76" s="1">
        <f t="shared" si="5"/>
        <v>13</v>
      </c>
      <c r="C76" s="1">
        <v>9</v>
      </c>
      <c r="D76" s="5">
        <f t="shared" si="6"/>
        <v>1828</v>
      </c>
      <c r="E76" s="8" t="s">
        <v>28</v>
      </c>
      <c r="F76" s="1">
        <f t="shared" si="7"/>
        <v>5008</v>
      </c>
      <c r="G76" s="1" t="s">
        <v>22</v>
      </c>
      <c r="H76" s="8" t="s">
        <v>21</v>
      </c>
    </row>
    <row r="77" spans="1:8" x14ac:dyDescent="0.15">
      <c r="A77" s="1">
        <v>50014</v>
      </c>
      <c r="B77" s="1">
        <f t="shared" si="5"/>
        <v>14</v>
      </c>
      <c r="C77" s="1">
        <v>9</v>
      </c>
      <c r="D77" s="5">
        <f t="shared" si="6"/>
        <v>2091</v>
      </c>
      <c r="E77" s="8" t="s">
        <v>28</v>
      </c>
      <c r="F77" s="1">
        <f t="shared" si="7"/>
        <v>5008</v>
      </c>
      <c r="G77" s="1" t="s">
        <v>22</v>
      </c>
      <c r="H77" s="8" t="s">
        <v>21</v>
      </c>
    </row>
    <row r="78" spans="1:8" x14ac:dyDescent="0.15">
      <c r="A78" s="1">
        <v>50015</v>
      </c>
      <c r="B78" s="1">
        <f t="shared" si="5"/>
        <v>15</v>
      </c>
      <c r="C78" s="1">
        <v>9</v>
      </c>
      <c r="D78" s="5">
        <f t="shared" si="6"/>
        <v>2091</v>
      </c>
      <c r="E78" s="8" t="s">
        <v>28</v>
      </c>
      <c r="F78" s="1">
        <f t="shared" si="7"/>
        <v>5008</v>
      </c>
      <c r="G78" s="1" t="s">
        <v>22</v>
      </c>
      <c r="H78" s="8" t="s">
        <v>21</v>
      </c>
    </row>
    <row r="79" spans="1:8" x14ac:dyDescent="0.15">
      <c r="A79" s="1">
        <v>50016</v>
      </c>
      <c r="B79" s="1">
        <f t="shared" si="5"/>
        <v>16</v>
      </c>
      <c r="C79" s="1">
        <v>9</v>
      </c>
      <c r="D79" s="5">
        <f t="shared" si="6"/>
        <v>2091</v>
      </c>
      <c r="E79" s="8" t="s">
        <v>28</v>
      </c>
      <c r="F79" s="1">
        <f t="shared" si="7"/>
        <v>5008</v>
      </c>
      <c r="G79" s="1" t="s">
        <v>22</v>
      </c>
      <c r="H79" s="8" t="s">
        <v>21</v>
      </c>
    </row>
    <row r="80" spans="1:8" x14ac:dyDescent="0.15">
      <c r="A80" s="1">
        <v>50017</v>
      </c>
      <c r="B80" s="1">
        <f t="shared" si="5"/>
        <v>17</v>
      </c>
      <c r="C80" s="1">
        <v>9</v>
      </c>
      <c r="D80" s="5">
        <f t="shared" si="6"/>
        <v>2353</v>
      </c>
      <c r="E80" s="8" t="s">
        <v>28</v>
      </c>
      <c r="F80" s="1">
        <f t="shared" si="7"/>
        <v>5008</v>
      </c>
      <c r="G80" s="1" t="s">
        <v>22</v>
      </c>
      <c r="H80" s="8" t="s">
        <v>21</v>
      </c>
    </row>
    <row r="81" spans="1:8" x14ac:dyDescent="0.15">
      <c r="A81" s="1">
        <v>50018</v>
      </c>
      <c r="B81" s="1">
        <f t="shared" si="5"/>
        <v>18</v>
      </c>
      <c r="C81" s="1">
        <v>9</v>
      </c>
      <c r="D81" s="5">
        <f t="shared" si="6"/>
        <v>2353</v>
      </c>
      <c r="E81" s="8" t="s">
        <v>28</v>
      </c>
      <c r="F81" s="1">
        <f t="shared" si="7"/>
        <v>5008</v>
      </c>
      <c r="G81" s="1" t="s">
        <v>22</v>
      </c>
      <c r="H81" s="8" t="s">
        <v>21</v>
      </c>
    </row>
    <row r="82" spans="1:8" x14ac:dyDescent="0.15">
      <c r="A82" s="1">
        <v>50019</v>
      </c>
      <c r="B82" s="1">
        <f t="shared" si="5"/>
        <v>19</v>
      </c>
      <c r="C82" s="1">
        <v>9</v>
      </c>
      <c r="D82" s="5">
        <f t="shared" si="6"/>
        <v>2353</v>
      </c>
      <c r="E82" s="8" t="s">
        <v>28</v>
      </c>
      <c r="F82" s="1">
        <f t="shared" si="7"/>
        <v>5008</v>
      </c>
      <c r="G82" s="1" t="s">
        <v>22</v>
      </c>
      <c r="H82" s="8" t="s">
        <v>21</v>
      </c>
    </row>
    <row r="83" spans="1:8" x14ac:dyDescent="0.15">
      <c r="A83" s="1">
        <v>50020</v>
      </c>
      <c r="B83" s="1">
        <f t="shared" si="5"/>
        <v>20</v>
      </c>
      <c r="C83" s="1">
        <v>9</v>
      </c>
      <c r="D83" s="5">
        <f t="shared" si="6"/>
        <v>2619</v>
      </c>
      <c r="E83" s="8" t="s">
        <v>28</v>
      </c>
      <c r="F83" s="1">
        <f t="shared" si="7"/>
        <v>5008</v>
      </c>
      <c r="G83" s="1" t="s">
        <v>22</v>
      </c>
      <c r="H83" s="8" t="s">
        <v>21</v>
      </c>
    </row>
    <row r="84" spans="1:8" x14ac:dyDescent="0.15">
      <c r="A84" s="1">
        <v>50021</v>
      </c>
      <c r="B84" s="1">
        <f t="shared" si="5"/>
        <v>21</v>
      </c>
      <c r="C84" s="1">
        <v>9</v>
      </c>
      <c r="D84" s="5">
        <f t="shared" si="6"/>
        <v>2619</v>
      </c>
      <c r="E84" s="8" t="s">
        <v>28</v>
      </c>
      <c r="F84" s="1">
        <f t="shared" si="7"/>
        <v>5008</v>
      </c>
      <c r="G84" s="1" t="s">
        <v>22</v>
      </c>
      <c r="H84" s="8" t="s">
        <v>21</v>
      </c>
    </row>
    <row r="85" spans="1:8" x14ac:dyDescent="0.15">
      <c r="A85" s="1">
        <v>50022</v>
      </c>
      <c r="B85" s="1">
        <f t="shared" si="5"/>
        <v>22</v>
      </c>
      <c r="C85" s="1">
        <v>9</v>
      </c>
      <c r="D85" s="5">
        <f t="shared" si="6"/>
        <v>2619</v>
      </c>
      <c r="E85" s="8" t="s">
        <v>28</v>
      </c>
      <c r="F85" s="1">
        <f t="shared" si="7"/>
        <v>5008</v>
      </c>
      <c r="G85" s="1" t="s">
        <v>22</v>
      </c>
      <c r="H85" s="8" t="s">
        <v>21</v>
      </c>
    </row>
    <row r="86" spans="1:8" x14ac:dyDescent="0.15">
      <c r="A86" s="1">
        <v>50023</v>
      </c>
      <c r="B86" s="1">
        <f t="shared" si="5"/>
        <v>23</v>
      </c>
      <c r="C86" s="1">
        <v>9</v>
      </c>
      <c r="D86" s="5">
        <f t="shared" si="6"/>
        <v>2889</v>
      </c>
      <c r="E86" s="8" t="s">
        <v>28</v>
      </c>
      <c r="F86" s="1">
        <f t="shared" si="7"/>
        <v>5008</v>
      </c>
      <c r="G86" s="1" t="s">
        <v>22</v>
      </c>
      <c r="H86" s="8" t="s">
        <v>21</v>
      </c>
    </row>
    <row r="87" spans="1:8" x14ac:dyDescent="0.15">
      <c r="A87" s="1">
        <v>50024</v>
      </c>
      <c r="B87" s="1">
        <f t="shared" si="5"/>
        <v>24</v>
      </c>
      <c r="C87" s="1">
        <v>9</v>
      </c>
      <c r="D87" s="5">
        <f t="shared" si="6"/>
        <v>2889</v>
      </c>
      <c r="E87" s="8" t="s">
        <v>28</v>
      </c>
      <c r="F87" s="1">
        <f t="shared" si="7"/>
        <v>5008</v>
      </c>
      <c r="G87" s="1" t="s">
        <v>22</v>
      </c>
      <c r="H87" s="8" t="s">
        <v>21</v>
      </c>
    </row>
    <row r="88" spans="1:8" x14ac:dyDescent="0.15">
      <c r="A88" s="1">
        <v>50025</v>
      </c>
      <c r="B88" s="1">
        <f t="shared" si="5"/>
        <v>25</v>
      </c>
      <c r="C88" s="1">
        <v>9</v>
      </c>
      <c r="D88" s="5">
        <f t="shared" si="6"/>
        <v>2889</v>
      </c>
      <c r="E88" s="8" t="s">
        <v>28</v>
      </c>
      <c r="F88" s="1">
        <f t="shared" si="7"/>
        <v>5008</v>
      </c>
      <c r="G88" s="1" t="s">
        <v>22</v>
      </c>
      <c r="H88" s="8" t="s">
        <v>21</v>
      </c>
    </row>
    <row r="89" spans="1:8" x14ac:dyDescent="0.15">
      <c r="A89" s="1">
        <v>50026</v>
      </c>
      <c r="B89" s="1">
        <f t="shared" si="5"/>
        <v>26</v>
      </c>
      <c r="C89" s="1">
        <v>9</v>
      </c>
      <c r="D89" s="5">
        <f t="shared" si="6"/>
        <v>3152</v>
      </c>
      <c r="E89" s="8" t="s">
        <v>28</v>
      </c>
      <c r="F89" s="1">
        <f t="shared" si="7"/>
        <v>5008</v>
      </c>
      <c r="G89" s="1" t="s">
        <v>22</v>
      </c>
      <c r="H89" s="8" t="s">
        <v>21</v>
      </c>
    </row>
    <row r="90" spans="1:8" x14ac:dyDescent="0.15">
      <c r="A90" s="1">
        <v>50027</v>
      </c>
      <c r="B90" s="1">
        <f t="shared" si="5"/>
        <v>27</v>
      </c>
      <c r="C90" s="1">
        <v>9</v>
      </c>
      <c r="D90" s="5">
        <f t="shared" si="6"/>
        <v>3152</v>
      </c>
      <c r="E90" s="8" t="s">
        <v>28</v>
      </c>
      <c r="F90" s="1">
        <f t="shared" si="7"/>
        <v>5008</v>
      </c>
      <c r="G90" s="1" t="s">
        <v>22</v>
      </c>
      <c r="H90" s="8" t="s">
        <v>21</v>
      </c>
    </row>
    <row r="91" spans="1:8" x14ac:dyDescent="0.15">
      <c r="A91" s="1">
        <v>50028</v>
      </c>
      <c r="B91" s="1">
        <f t="shared" si="5"/>
        <v>28</v>
      </c>
      <c r="C91" s="1">
        <v>9</v>
      </c>
      <c r="D91" s="5">
        <f t="shared" si="6"/>
        <v>3152</v>
      </c>
      <c r="E91" s="8" t="s">
        <v>28</v>
      </c>
      <c r="F91" s="1">
        <f t="shared" si="7"/>
        <v>5008</v>
      </c>
      <c r="G91" s="1" t="s">
        <v>22</v>
      </c>
      <c r="H91" s="8" t="s">
        <v>21</v>
      </c>
    </row>
    <row r="92" spans="1:8" x14ac:dyDescent="0.15">
      <c r="A92" s="1">
        <v>50029</v>
      </c>
      <c r="B92" s="1">
        <f t="shared" si="5"/>
        <v>29</v>
      </c>
      <c r="C92" s="1">
        <v>9</v>
      </c>
      <c r="D92" s="5">
        <f t="shared" si="6"/>
        <v>3415</v>
      </c>
      <c r="E92" s="8" t="s">
        <v>28</v>
      </c>
      <c r="F92" s="1">
        <f t="shared" si="7"/>
        <v>5008</v>
      </c>
      <c r="G92" s="1" t="s">
        <v>22</v>
      </c>
      <c r="H92" s="8" t="s">
        <v>21</v>
      </c>
    </row>
    <row r="93" spans="1:8" x14ac:dyDescent="0.15">
      <c r="A93" s="1">
        <v>50030</v>
      </c>
      <c r="B93" s="1">
        <f t="shared" si="5"/>
        <v>30</v>
      </c>
      <c r="C93" s="1">
        <v>9</v>
      </c>
      <c r="D93" s="5">
        <f t="shared" si="6"/>
        <v>3415</v>
      </c>
      <c r="E93" s="8" t="s">
        <v>28</v>
      </c>
      <c r="F93" s="1">
        <f t="shared" si="7"/>
        <v>5008</v>
      </c>
      <c r="G93" s="1" t="s">
        <v>22</v>
      </c>
      <c r="H93" s="8" t="s">
        <v>21</v>
      </c>
    </row>
    <row r="94" spans="1:8" x14ac:dyDescent="0.15">
      <c r="A94" s="1">
        <v>60001</v>
      </c>
      <c r="B94" s="1">
        <f>B34</f>
        <v>1</v>
      </c>
      <c r="C94" s="1">
        <f t="shared" ref="C94:C123" si="8">C34+2</f>
        <v>6</v>
      </c>
      <c r="D94" s="7">
        <v>0</v>
      </c>
      <c r="E94" s="8" t="s">
        <v>29</v>
      </c>
      <c r="F94" s="1">
        <v>0</v>
      </c>
      <c r="G94" s="9" t="s">
        <v>25</v>
      </c>
      <c r="H94" s="8" t="s">
        <v>21</v>
      </c>
    </row>
    <row r="95" spans="1:8" x14ac:dyDescent="0.15">
      <c r="A95" s="1">
        <v>60002</v>
      </c>
      <c r="B95" s="1">
        <f t="shared" ref="B95:B123" si="9">B35</f>
        <v>2</v>
      </c>
      <c r="C95" s="1">
        <f t="shared" si="8"/>
        <v>6</v>
      </c>
      <c r="D95" s="7">
        <v>1</v>
      </c>
      <c r="E95" s="8" t="s">
        <v>29</v>
      </c>
      <c r="F95" s="1">
        <v>0</v>
      </c>
      <c r="G95" s="9" t="s">
        <v>25</v>
      </c>
      <c r="H95" s="8" t="s">
        <v>21</v>
      </c>
    </row>
    <row r="96" spans="1:8" x14ac:dyDescent="0.15">
      <c r="A96" s="1">
        <v>60003</v>
      </c>
      <c r="B96" s="1">
        <f t="shared" si="9"/>
        <v>3</v>
      </c>
      <c r="C96" s="1">
        <f t="shared" si="8"/>
        <v>6</v>
      </c>
      <c r="D96" s="7">
        <v>2</v>
      </c>
      <c r="E96" s="8" t="s">
        <v>29</v>
      </c>
      <c r="F96" s="1">
        <v>0</v>
      </c>
      <c r="G96" s="9" t="s">
        <v>25</v>
      </c>
      <c r="H96" s="8" t="s">
        <v>21</v>
      </c>
    </row>
    <row r="97" spans="1:8" x14ac:dyDescent="0.15">
      <c r="A97" s="1">
        <v>60004</v>
      </c>
      <c r="B97" s="1">
        <f t="shared" si="9"/>
        <v>4</v>
      </c>
      <c r="C97" s="1">
        <f t="shared" si="8"/>
        <v>6</v>
      </c>
      <c r="D97" s="7">
        <v>3</v>
      </c>
      <c r="E97" s="8" t="s">
        <v>29</v>
      </c>
      <c r="F97" s="1">
        <v>0</v>
      </c>
      <c r="G97" s="9" t="s">
        <v>25</v>
      </c>
      <c r="H97" s="8" t="s">
        <v>21</v>
      </c>
    </row>
    <row r="98" spans="1:8" x14ac:dyDescent="0.15">
      <c r="A98" s="1">
        <v>60005</v>
      </c>
      <c r="B98" s="1">
        <f t="shared" si="9"/>
        <v>5</v>
      </c>
      <c r="C98" s="1">
        <f t="shared" si="8"/>
        <v>6</v>
      </c>
      <c r="D98" s="7">
        <v>4</v>
      </c>
      <c r="E98" s="8" t="s">
        <v>29</v>
      </c>
      <c r="F98" s="1">
        <v>0</v>
      </c>
      <c r="G98" s="9" t="s">
        <v>25</v>
      </c>
      <c r="H98" s="8" t="s">
        <v>21</v>
      </c>
    </row>
    <row r="99" spans="1:8" x14ac:dyDescent="0.15">
      <c r="A99" s="1">
        <v>60006</v>
      </c>
      <c r="B99" s="1">
        <f t="shared" si="9"/>
        <v>6</v>
      </c>
      <c r="C99" s="1">
        <f t="shared" si="8"/>
        <v>6</v>
      </c>
      <c r="D99" s="7">
        <v>5</v>
      </c>
      <c r="E99" s="8" t="s">
        <v>29</v>
      </c>
      <c r="F99" s="1">
        <v>0</v>
      </c>
      <c r="G99" s="9" t="s">
        <v>25</v>
      </c>
      <c r="H99" s="8" t="s">
        <v>21</v>
      </c>
    </row>
    <row r="100" spans="1:8" x14ac:dyDescent="0.15">
      <c r="A100" s="1">
        <v>60007</v>
      </c>
      <c r="B100" s="1">
        <f t="shared" si="9"/>
        <v>7</v>
      </c>
      <c r="C100" s="1">
        <f t="shared" si="8"/>
        <v>6</v>
      </c>
      <c r="D100" s="7">
        <v>6</v>
      </c>
      <c r="E100" s="8" t="s">
        <v>29</v>
      </c>
      <c r="F100" s="1">
        <v>0</v>
      </c>
      <c r="G100" s="9" t="s">
        <v>25</v>
      </c>
      <c r="H100" s="8" t="s">
        <v>21</v>
      </c>
    </row>
    <row r="101" spans="1:8" x14ac:dyDescent="0.15">
      <c r="A101" s="1">
        <v>60008</v>
      </c>
      <c r="B101" s="1">
        <f t="shared" si="9"/>
        <v>8</v>
      </c>
      <c r="C101" s="1">
        <f t="shared" si="8"/>
        <v>6</v>
      </c>
      <c r="D101" s="7">
        <v>7</v>
      </c>
      <c r="E101" s="8" t="s">
        <v>29</v>
      </c>
      <c r="F101" s="1">
        <v>0</v>
      </c>
      <c r="G101" s="9" t="s">
        <v>25</v>
      </c>
      <c r="H101" s="8" t="s">
        <v>21</v>
      </c>
    </row>
    <row r="102" spans="1:8" x14ac:dyDescent="0.15">
      <c r="A102" s="1">
        <v>60009</v>
      </c>
      <c r="B102" s="1">
        <f t="shared" si="9"/>
        <v>9</v>
      </c>
      <c r="C102" s="1">
        <f t="shared" si="8"/>
        <v>6</v>
      </c>
      <c r="D102" s="7">
        <v>8</v>
      </c>
      <c r="E102" s="8" t="s">
        <v>29</v>
      </c>
      <c r="F102" s="1">
        <v>0</v>
      </c>
      <c r="G102" s="9" t="s">
        <v>25</v>
      </c>
      <c r="H102" s="8" t="s">
        <v>21</v>
      </c>
    </row>
    <row r="103" spans="1:8" x14ac:dyDescent="0.15">
      <c r="A103" s="1">
        <v>60010</v>
      </c>
      <c r="B103" s="1">
        <f t="shared" si="9"/>
        <v>10</v>
      </c>
      <c r="C103" s="1">
        <f t="shared" si="8"/>
        <v>6</v>
      </c>
      <c r="D103" s="7">
        <v>9</v>
      </c>
      <c r="E103" s="8" t="s">
        <v>29</v>
      </c>
      <c r="F103" s="1">
        <v>0</v>
      </c>
      <c r="G103" s="9" t="s">
        <v>25</v>
      </c>
      <c r="H103" s="8" t="s">
        <v>21</v>
      </c>
    </row>
    <row r="104" spans="1:8" x14ac:dyDescent="0.15">
      <c r="A104" s="1">
        <v>60011</v>
      </c>
      <c r="B104" s="1">
        <f t="shared" si="9"/>
        <v>11</v>
      </c>
      <c r="C104" s="1">
        <f t="shared" si="8"/>
        <v>6</v>
      </c>
      <c r="D104" s="7">
        <v>10</v>
      </c>
      <c r="E104" s="8" t="s">
        <v>29</v>
      </c>
      <c r="F104" s="1">
        <v>0</v>
      </c>
      <c r="G104" s="9" t="s">
        <v>25</v>
      </c>
      <c r="H104" s="8" t="s">
        <v>21</v>
      </c>
    </row>
    <row r="105" spans="1:8" x14ac:dyDescent="0.15">
      <c r="A105" s="1">
        <v>60012</v>
      </c>
      <c r="B105" s="1">
        <f t="shared" si="9"/>
        <v>12</v>
      </c>
      <c r="C105" s="1">
        <f t="shared" si="8"/>
        <v>6</v>
      </c>
      <c r="D105" s="7">
        <v>11</v>
      </c>
      <c r="E105" s="8" t="s">
        <v>29</v>
      </c>
      <c r="F105" s="1">
        <v>0</v>
      </c>
      <c r="G105" s="9" t="s">
        <v>25</v>
      </c>
      <c r="H105" s="8" t="s">
        <v>21</v>
      </c>
    </row>
    <row r="106" spans="1:8" x14ac:dyDescent="0.15">
      <c r="A106" s="1">
        <v>60013</v>
      </c>
      <c r="B106" s="1">
        <f t="shared" si="9"/>
        <v>13</v>
      </c>
      <c r="C106" s="1">
        <f t="shared" si="8"/>
        <v>6</v>
      </c>
      <c r="D106" s="7">
        <v>12</v>
      </c>
      <c r="E106" s="8" t="s">
        <v>29</v>
      </c>
      <c r="F106" s="1">
        <v>0</v>
      </c>
      <c r="G106" s="9" t="s">
        <v>25</v>
      </c>
      <c r="H106" s="8" t="s">
        <v>21</v>
      </c>
    </row>
    <row r="107" spans="1:8" x14ac:dyDescent="0.15">
      <c r="A107" s="1">
        <v>60014</v>
      </c>
      <c r="B107" s="1">
        <f t="shared" si="9"/>
        <v>14</v>
      </c>
      <c r="C107" s="1">
        <f t="shared" si="8"/>
        <v>6</v>
      </c>
      <c r="D107" s="7">
        <v>13</v>
      </c>
      <c r="E107" s="8" t="s">
        <v>29</v>
      </c>
      <c r="F107" s="1">
        <v>0</v>
      </c>
      <c r="G107" s="9" t="s">
        <v>25</v>
      </c>
      <c r="H107" s="8" t="s">
        <v>21</v>
      </c>
    </row>
    <row r="108" spans="1:8" x14ac:dyDescent="0.15">
      <c r="A108" s="1">
        <v>60015</v>
      </c>
      <c r="B108" s="1">
        <f t="shared" si="9"/>
        <v>15</v>
      </c>
      <c r="C108" s="1">
        <f t="shared" si="8"/>
        <v>6</v>
      </c>
      <c r="D108" s="7">
        <v>14</v>
      </c>
      <c r="E108" s="8" t="s">
        <v>29</v>
      </c>
      <c r="F108" s="1">
        <v>0</v>
      </c>
      <c r="G108" s="9" t="s">
        <v>25</v>
      </c>
      <c r="H108" s="8" t="s">
        <v>21</v>
      </c>
    </row>
    <row r="109" spans="1:8" x14ac:dyDescent="0.15">
      <c r="A109" s="1">
        <v>60016</v>
      </c>
      <c r="B109" s="1">
        <f t="shared" si="9"/>
        <v>16</v>
      </c>
      <c r="C109" s="1">
        <f t="shared" si="8"/>
        <v>6</v>
      </c>
      <c r="D109" s="7">
        <v>15</v>
      </c>
      <c r="E109" s="8" t="s">
        <v>29</v>
      </c>
      <c r="F109" s="1">
        <v>0</v>
      </c>
      <c r="G109" s="9" t="s">
        <v>25</v>
      </c>
      <c r="H109" s="8" t="s">
        <v>21</v>
      </c>
    </row>
    <row r="110" spans="1:8" x14ac:dyDescent="0.15">
      <c r="A110" s="1">
        <v>60017</v>
      </c>
      <c r="B110" s="1">
        <f t="shared" si="9"/>
        <v>17</v>
      </c>
      <c r="C110" s="1">
        <f t="shared" si="8"/>
        <v>6</v>
      </c>
      <c r="D110" s="7">
        <v>16</v>
      </c>
      <c r="E110" s="8" t="s">
        <v>29</v>
      </c>
      <c r="F110" s="1">
        <v>0</v>
      </c>
      <c r="G110" s="9" t="s">
        <v>25</v>
      </c>
      <c r="H110" s="8" t="s">
        <v>21</v>
      </c>
    </row>
    <row r="111" spans="1:8" x14ac:dyDescent="0.15">
      <c r="A111" s="1">
        <v>60018</v>
      </c>
      <c r="B111" s="1">
        <f t="shared" si="9"/>
        <v>18</v>
      </c>
      <c r="C111" s="1">
        <f t="shared" si="8"/>
        <v>6</v>
      </c>
      <c r="D111" s="7">
        <v>17</v>
      </c>
      <c r="E111" s="8" t="s">
        <v>29</v>
      </c>
      <c r="F111" s="1">
        <v>0</v>
      </c>
      <c r="G111" s="9" t="s">
        <v>25</v>
      </c>
      <c r="H111" s="8" t="s">
        <v>21</v>
      </c>
    </row>
    <row r="112" spans="1:8" x14ac:dyDescent="0.15">
      <c r="A112" s="1">
        <v>60019</v>
      </c>
      <c r="B112" s="1">
        <f t="shared" si="9"/>
        <v>19</v>
      </c>
      <c r="C112" s="1">
        <f t="shared" si="8"/>
        <v>6</v>
      </c>
      <c r="D112" s="7">
        <v>18</v>
      </c>
      <c r="E112" s="8" t="s">
        <v>29</v>
      </c>
      <c r="F112" s="1">
        <v>0</v>
      </c>
      <c r="G112" s="9" t="s">
        <v>25</v>
      </c>
      <c r="H112" s="8" t="s">
        <v>21</v>
      </c>
    </row>
    <row r="113" spans="1:8" x14ac:dyDescent="0.15">
      <c r="A113" s="1">
        <v>60020</v>
      </c>
      <c r="B113" s="1">
        <f t="shared" si="9"/>
        <v>20</v>
      </c>
      <c r="C113" s="1">
        <f t="shared" si="8"/>
        <v>6</v>
      </c>
      <c r="D113" s="7">
        <v>19</v>
      </c>
      <c r="E113" s="8" t="s">
        <v>29</v>
      </c>
      <c r="F113" s="1">
        <v>0</v>
      </c>
      <c r="G113" s="9" t="s">
        <v>25</v>
      </c>
      <c r="H113" s="8" t="s">
        <v>21</v>
      </c>
    </row>
    <row r="114" spans="1:8" x14ac:dyDescent="0.15">
      <c r="A114" s="1">
        <v>60021</v>
      </c>
      <c r="B114" s="1">
        <f t="shared" si="9"/>
        <v>21</v>
      </c>
      <c r="C114" s="1">
        <f t="shared" si="8"/>
        <v>6</v>
      </c>
      <c r="D114" s="7">
        <v>20</v>
      </c>
      <c r="E114" s="8" t="s">
        <v>29</v>
      </c>
      <c r="F114" s="1">
        <v>0</v>
      </c>
      <c r="G114" s="9" t="s">
        <v>25</v>
      </c>
      <c r="H114" s="8" t="s">
        <v>21</v>
      </c>
    </row>
    <row r="115" spans="1:8" x14ac:dyDescent="0.15">
      <c r="A115" s="1">
        <v>60022</v>
      </c>
      <c r="B115" s="1">
        <f t="shared" si="9"/>
        <v>22</v>
      </c>
      <c r="C115" s="1">
        <f t="shared" si="8"/>
        <v>6</v>
      </c>
      <c r="D115" s="7">
        <v>21</v>
      </c>
      <c r="E115" s="8" t="s">
        <v>29</v>
      </c>
      <c r="F115" s="1">
        <v>0</v>
      </c>
      <c r="G115" s="9" t="s">
        <v>25</v>
      </c>
      <c r="H115" s="8" t="s">
        <v>21</v>
      </c>
    </row>
    <row r="116" spans="1:8" x14ac:dyDescent="0.15">
      <c r="A116" s="1">
        <v>60023</v>
      </c>
      <c r="B116" s="1">
        <f t="shared" si="9"/>
        <v>23</v>
      </c>
      <c r="C116" s="1">
        <f t="shared" si="8"/>
        <v>6</v>
      </c>
      <c r="D116" s="7">
        <v>22</v>
      </c>
      <c r="E116" s="8" t="s">
        <v>29</v>
      </c>
      <c r="F116" s="1">
        <v>0</v>
      </c>
      <c r="G116" s="9" t="s">
        <v>25</v>
      </c>
      <c r="H116" s="8" t="s">
        <v>21</v>
      </c>
    </row>
    <row r="117" spans="1:8" x14ac:dyDescent="0.15">
      <c r="A117" s="1">
        <v>60024</v>
      </c>
      <c r="B117" s="1">
        <f t="shared" si="9"/>
        <v>24</v>
      </c>
      <c r="C117" s="1">
        <f t="shared" si="8"/>
        <v>6</v>
      </c>
      <c r="D117" s="7">
        <v>23</v>
      </c>
      <c r="E117" s="8" t="s">
        <v>29</v>
      </c>
      <c r="F117" s="1">
        <v>0</v>
      </c>
      <c r="G117" s="9" t="s">
        <v>25</v>
      </c>
      <c r="H117" s="8" t="s">
        <v>21</v>
      </c>
    </row>
    <row r="118" spans="1:8" x14ac:dyDescent="0.15">
      <c r="A118" s="1">
        <v>60025</v>
      </c>
      <c r="B118" s="1">
        <f t="shared" si="9"/>
        <v>25</v>
      </c>
      <c r="C118" s="1">
        <f t="shared" si="8"/>
        <v>6</v>
      </c>
      <c r="D118" s="7">
        <v>24</v>
      </c>
      <c r="E118" s="8" t="s">
        <v>29</v>
      </c>
      <c r="F118" s="1">
        <v>0</v>
      </c>
      <c r="G118" s="9" t="s">
        <v>25</v>
      </c>
      <c r="H118" s="8" t="s">
        <v>21</v>
      </c>
    </row>
    <row r="119" spans="1:8" x14ac:dyDescent="0.15">
      <c r="A119" s="1">
        <v>60026</v>
      </c>
      <c r="B119" s="1">
        <f t="shared" si="9"/>
        <v>26</v>
      </c>
      <c r="C119" s="1">
        <f t="shared" si="8"/>
        <v>6</v>
      </c>
      <c r="D119" s="7">
        <v>25</v>
      </c>
      <c r="E119" s="8" t="s">
        <v>29</v>
      </c>
      <c r="F119" s="1">
        <v>0</v>
      </c>
      <c r="G119" s="9" t="s">
        <v>25</v>
      </c>
      <c r="H119" s="8" t="s">
        <v>21</v>
      </c>
    </row>
    <row r="120" spans="1:8" x14ac:dyDescent="0.15">
      <c r="A120" s="1">
        <v>60027</v>
      </c>
      <c r="B120" s="1">
        <f t="shared" si="9"/>
        <v>27</v>
      </c>
      <c r="C120" s="1">
        <f t="shared" si="8"/>
        <v>6</v>
      </c>
      <c r="D120" s="7">
        <v>26</v>
      </c>
      <c r="E120" s="8" t="s">
        <v>29</v>
      </c>
      <c r="F120" s="1">
        <v>0</v>
      </c>
      <c r="G120" s="9" t="s">
        <v>25</v>
      </c>
      <c r="H120" s="8" t="s">
        <v>21</v>
      </c>
    </row>
    <row r="121" spans="1:8" x14ac:dyDescent="0.15">
      <c r="A121" s="1">
        <v>60028</v>
      </c>
      <c r="B121" s="1">
        <f t="shared" si="9"/>
        <v>28</v>
      </c>
      <c r="C121" s="1">
        <f t="shared" si="8"/>
        <v>6</v>
      </c>
      <c r="D121" s="7">
        <v>27</v>
      </c>
      <c r="E121" s="8" t="s">
        <v>29</v>
      </c>
      <c r="F121" s="1">
        <v>0</v>
      </c>
      <c r="G121" s="9" t="s">
        <v>25</v>
      </c>
      <c r="H121" s="8" t="s">
        <v>21</v>
      </c>
    </row>
    <row r="122" spans="1:8" x14ac:dyDescent="0.15">
      <c r="A122" s="1">
        <v>60029</v>
      </c>
      <c r="B122" s="1">
        <f t="shared" si="9"/>
        <v>29</v>
      </c>
      <c r="C122" s="1">
        <f t="shared" si="8"/>
        <v>6</v>
      </c>
      <c r="D122" s="7">
        <v>28</v>
      </c>
      <c r="E122" s="8" t="s">
        <v>29</v>
      </c>
      <c r="F122" s="1">
        <v>0</v>
      </c>
      <c r="G122" s="9" t="s">
        <v>25</v>
      </c>
      <c r="H122" s="8" t="s">
        <v>21</v>
      </c>
    </row>
    <row r="123" spans="1:8" x14ac:dyDescent="0.15">
      <c r="A123" s="1">
        <v>60030</v>
      </c>
      <c r="B123" s="1">
        <f t="shared" si="9"/>
        <v>30</v>
      </c>
      <c r="C123" s="1">
        <f t="shared" si="8"/>
        <v>6</v>
      </c>
      <c r="D123" s="7">
        <v>29</v>
      </c>
      <c r="E123" s="8" t="s">
        <v>29</v>
      </c>
      <c r="F123" s="1">
        <v>0</v>
      </c>
      <c r="G123" s="9" t="s">
        <v>25</v>
      </c>
      <c r="H123" s="8" t="s">
        <v>21</v>
      </c>
    </row>
    <row r="124" spans="1:8" x14ac:dyDescent="0.15">
      <c r="A124" s="1">
        <v>70001</v>
      </c>
      <c r="B124" s="1">
        <v>1</v>
      </c>
      <c r="C124" s="1">
        <v>7</v>
      </c>
      <c r="D124" s="5">
        <f>VLOOKUP($B$124:$B$153,[1]金币产出!$K$38:$L$67,2,FALSE)</f>
        <v>521</v>
      </c>
      <c r="E124" s="8" t="s">
        <v>19</v>
      </c>
      <c r="F124" s="1">
        <v>0</v>
      </c>
      <c r="G124" s="1" t="s">
        <v>20</v>
      </c>
      <c r="H124" s="8" t="s">
        <v>21</v>
      </c>
    </row>
    <row r="125" spans="1:8" x14ac:dyDescent="0.15">
      <c r="A125" s="1">
        <v>70002</v>
      </c>
      <c r="B125" s="1">
        <v>2</v>
      </c>
      <c r="C125" s="1">
        <v>7</v>
      </c>
      <c r="D125" s="5">
        <f>VLOOKUP($B$124:$B$153,[1]金币产出!$K$38:$L$67,2,FALSE)</f>
        <v>521</v>
      </c>
      <c r="E125" s="8" t="s">
        <v>19</v>
      </c>
      <c r="F125" s="1">
        <v>0</v>
      </c>
      <c r="G125" s="1" t="s">
        <v>20</v>
      </c>
      <c r="H125" s="8" t="s">
        <v>21</v>
      </c>
    </row>
    <row r="126" spans="1:8" x14ac:dyDescent="0.15">
      <c r="A126" s="1">
        <v>70003</v>
      </c>
      <c r="B126" s="1">
        <v>3</v>
      </c>
      <c r="C126" s="1">
        <v>7</v>
      </c>
      <c r="D126" s="5">
        <f>VLOOKUP($B$124:$B$153,[1]金币产出!$K$38:$L$67,2,FALSE)</f>
        <v>781</v>
      </c>
      <c r="E126" s="8" t="s">
        <v>19</v>
      </c>
      <c r="F126" s="1">
        <v>0</v>
      </c>
      <c r="G126" s="1" t="s">
        <v>20</v>
      </c>
      <c r="H126" s="8" t="s">
        <v>21</v>
      </c>
    </row>
    <row r="127" spans="1:8" x14ac:dyDescent="0.15">
      <c r="A127" s="1">
        <v>70004</v>
      </c>
      <c r="B127" s="1">
        <v>4</v>
      </c>
      <c r="C127" s="1">
        <v>7</v>
      </c>
      <c r="D127" s="5">
        <f>VLOOKUP($B$124:$B$153,[1]金币产出!$K$38:$L$67,2,FALSE)</f>
        <v>781</v>
      </c>
      <c r="E127" s="8" t="s">
        <v>19</v>
      </c>
      <c r="F127" s="1">
        <v>0</v>
      </c>
      <c r="G127" s="1" t="s">
        <v>20</v>
      </c>
      <c r="H127" s="8" t="s">
        <v>21</v>
      </c>
    </row>
    <row r="128" spans="1:8" x14ac:dyDescent="0.15">
      <c r="A128" s="1">
        <v>70005</v>
      </c>
      <c r="B128" s="1">
        <v>5</v>
      </c>
      <c r="C128" s="1">
        <v>7</v>
      </c>
      <c r="D128" s="5">
        <f>VLOOKUP($B$124:$B$153,[1]金币产出!$K$38:$L$67,2,FALSE)</f>
        <v>1042</v>
      </c>
      <c r="E128" s="8" t="s">
        <v>19</v>
      </c>
      <c r="F128" s="1">
        <v>0</v>
      </c>
      <c r="G128" s="1" t="s">
        <v>20</v>
      </c>
      <c r="H128" s="8" t="s">
        <v>21</v>
      </c>
    </row>
    <row r="129" spans="1:8" x14ac:dyDescent="0.15">
      <c r="A129" s="1">
        <v>70006</v>
      </c>
      <c r="B129" s="1">
        <v>6</v>
      </c>
      <c r="C129" s="1">
        <v>7</v>
      </c>
      <c r="D129" s="5">
        <f>VLOOKUP($B$124:$B$153,[1]金币产出!$K$38:$L$67,2,FALSE)</f>
        <v>1042</v>
      </c>
      <c r="E129" s="8" t="s">
        <v>19</v>
      </c>
      <c r="F129" s="1">
        <v>0</v>
      </c>
      <c r="G129" s="1" t="s">
        <v>20</v>
      </c>
      <c r="H129" s="8" t="s">
        <v>21</v>
      </c>
    </row>
    <row r="130" spans="1:8" x14ac:dyDescent="0.15">
      <c r="A130" s="1">
        <v>70007</v>
      </c>
      <c r="B130" s="1">
        <v>7</v>
      </c>
      <c r="C130" s="1">
        <v>7</v>
      </c>
      <c r="D130" s="5">
        <f>VLOOKUP($B$124:$B$153,[1]金币产出!$K$38:$L$67,2,FALSE)</f>
        <v>1302</v>
      </c>
      <c r="E130" s="8" t="s">
        <v>19</v>
      </c>
      <c r="F130" s="1">
        <v>0</v>
      </c>
      <c r="G130" s="1" t="s">
        <v>20</v>
      </c>
      <c r="H130" s="8" t="s">
        <v>21</v>
      </c>
    </row>
    <row r="131" spans="1:8" x14ac:dyDescent="0.15">
      <c r="A131" s="1">
        <v>70008</v>
      </c>
      <c r="B131" s="1">
        <v>8</v>
      </c>
      <c r="C131" s="1">
        <v>7</v>
      </c>
      <c r="D131" s="5">
        <f>VLOOKUP($B$124:$B$153,[1]金币产出!$K$38:$L$67,2,FALSE)</f>
        <v>1302</v>
      </c>
      <c r="E131" s="8" t="s">
        <v>19</v>
      </c>
      <c r="F131" s="1">
        <v>0</v>
      </c>
      <c r="G131" s="1" t="s">
        <v>20</v>
      </c>
      <c r="H131" s="8" t="s">
        <v>21</v>
      </c>
    </row>
    <row r="132" spans="1:8" x14ac:dyDescent="0.15">
      <c r="A132" s="1">
        <v>70009</v>
      </c>
      <c r="B132" s="1">
        <v>9</v>
      </c>
      <c r="C132" s="1">
        <v>7</v>
      </c>
      <c r="D132" s="5">
        <f>VLOOKUP($B$124:$B$153,[1]金币产出!$K$38:$L$67,2,FALSE)</f>
        <v>1563</v>
      </c>
      <c r="E132" s="8" t="s">
        <v>19</v>
      </c>
      <c r="F132" s="1">
        <v>0</v>
      </c>
      <c r="G132" s="1" t="s">
        <v>20</v>
      </c>
      <c r="H132" s="8" t="s">
        <v>21</v>
      </c>
    </row>
    <row r="133" spans="1:8" x14ac:dyDescent="0.15">
      <c r="A133" s="1">
        <v>70010</v>
      </c>
      <c r="B133" s="1">
        <v>10</v>
      </c>
      <c r="C133" s="1">
        <v>7</v>
      </c>
      <c r="D133" s="5">
        <f>VLOOKUP($B$124:$B$153,[1]金币产出!$K$38:$L$67,2,FALSE)</f>
        <v>1563</v>
      </c>
      <c r="E133" s="8" t="s">
        <v>19</v>
      </c>
      <c r="F133" s="1">
        <v>0</v>
      </c>
      <c r="G133" s="1" t="s">
        <v>20</v>
      </c>
      <c r="H133" s="8" t="s">
        <v>21</v>
      </c>
    </row>
    <row r="134" spans="1:8" x14ac:dyDescent="0.15">
      <c r="A134" s="1">
        <v>70011</v>
      </c>
      <c r="B134" s="1">
        <v>11</v>
      </c>
      <c r="C134" s="1">
        <v>7</v>
      </c>
      <c r="D134" s="5">
        <f>VLOOKUP($B$124:$B$153,[1]金币产出!$K$38:$L$67,2,FALSE)</f>
        <v>1828</v>
      </c>
      <c r="E134" s="8" t="s">
        <v>19</v>
      </c>
      <c r="F134" s="1">
        <v>0</v>
      </c>
      <c r="G134" s="1" t="s">
        <v>20</v>
      </c>
      <c r="H134" s="8" t="s">
        <v>21</v>
      </c>
    </row>
    <row r="135" spans="1:8" x14ac:dyDescent="0.15">
      <c r="A135" s="1">
        <v>70012</v>
      </c>
      <c r="B135" s="1">
        <v>12</v>
      </c>
      <c r="C135" s="1">
        <v>7</v>
      </c>
      <c r="D135" s="5">
        <f>VLOOKUP($B$124:$B$153,[1]金币产出!$K$38:$L$67,2,FALSE)</f>
        <v>1828</v>
      </c>
      <c r="E135" s="8" t="s">
        <v>19</v>
      </c>
      <c r="F135" s="1">
        <v>0</v>
      </c>
      <c r="G135" s="1" t="s">
        <v>20</v>
      </c>
      <c r="H135" s="8" t="s">
        <v>21</v>
      </c>
    </row>
    <row r="136" spans="1:8" x14ac:dyDescent="0.15">
      <c r="A136" s="1">
        <v>70013</v>
      </c>
      <c r="B136" s="1">
        <v>13</v>
      </c>
      <c r="C136" s="1">
        <v>7</v>
      </c>
      <c r="D136" s="5">
        <f>VLOOKUP($B$124:$B$153,[1]金币产出!$K$38:$L$67,2,FALSE)</f>
        <v>1828</v>
      </c>
      <c r="E136" s="8" t="s">
        <v>19</v>
      </c>
      <c r="F136" s="1">
        <v>0</v>
      </c>
      <c r="G136" s="1" t="s">
        <v>20</v>
      </c>
      <c r="H136" s="8" t="s">
        <v>21</v>
      </c>
    </row>
    <row r="137" spans="1:8" x14ac:dyDescent="0.15">
      <c r="A137" s="1">
        <v>70014</v>
      </c>
      <c r="B137" s="1">
        <v>14</v>
      </c>
      <c r="C137" s="1">
        <v>7</v>
      </c>
      <c r="D137" s="5">
        <f>VLOOKUP($B$124:$B$153,[1]金币产出!$K$38:$L$67,2,FALSE)</f>
        <v>2091</v>
      </c>
      <c r="E137" s="8" t="s">
        <v>19</v>
      </c>
      <c r="F137" s="1">
        <v>0</v>
      </c>
      <c r="G137" s="1" t="s">
        <v>20</v>
      </c>
      <c r="H137" s="8" t="s">
        <v>21</v>
      </c>
    </row>
    <row r="138" spans="1:8" x14ac:dyDescent="0.15">
      <c r="A138" s="1">
        <v>70015</v>
      </c>
      <c r="B138" s="1">
        <v>15</v>
      </c>
      <c r="C138" s="1">
        <v>7</v>
      </c>
      <c r="D138" s="5">
        <f>VLOOKUP($B$124:$B$153,[1]金币产出!$K$38:$L$67,2,FALSE)</f>
        <v>2091</v>
      </c>
      <c r="E138" s="8" t="s">
        <v>19</v>
      </c>
      <c r="F138" s="1">
        <v>0</v>
      </c>
      <c r="G138" s="1" t="s">
        <v>20</v>
      </c>
      <c r="H138" s="8" t="s">
        <v>21</v>
      </c>
    </row>
    <row r="139" spans="1:8" x14ac:dyDescent="0.15">
      <c r="A139" s="1">
        <v>70016</v>
      </c>
      <c r="B139" s="1">
        <v>16</v>
      </c>
      <c r="C139" s="1">
        <v>7</v>
      </c>
      <c r="D139" s="5">
        <f>VLOOKUP($B$124:$B$153,[1]金币产出!$K$38:$L$67,2,FALSE)</f>
        <v>2091</v>
      </c>
      <c r="E139" s="8" t="s">
        <v>19</v>
      </c>
      <c r="F139" s="1">
        <v>0</v>
      </c>
      <c r="G139" s="1" t="s">
        <v>20</v>
      </c>
      <c r="H139" s="8" t="s">
        <v>21</v>
      </c>
    </row>
    <row r="140" spans="1:8" x14ac:dyDescent="0.15">
      <c r="A140" s="1">
        <v>70017</v>
      </c>
      <c r="B140" s="1">
        <v>17</v>
      </c>
      <c r="C140" s="1">
        <v>7</v>
      </c>
      <c r="D140" s="5">
        <f>VLOOKUP($B$124:$B$153,[1]金币产出!$K$38:$L$67,2,FALSE)</f>
        <v>2353</v>
      </c>
      <c r="E140" s="8" t="s">
        <v>19</v>
      </c>
      <c r="F140" s="1">
        <v>0</v>
      </c>
      <c r="G140" s="1" t="s">
        <v>20</v>
      </c>
      <c r="H140" s="8" t="s">
        <v>21</v>
      </c>
    </row>
    <row r="141" spans="1:8" x14ac:dyDescent="0.15">
      <c r="A141" s="1">
        <v>70018</v>
      </c>
      <c r="B141" s="1">
        <v>18</v>
      </c>
      <c r="C141" s="1">
        <v>7</v>
      </c>
      <c r="D141" s="5">
        <f>VLOOKUP($B$124:$B$153,[1]金币产出!$K$38:$L$67,2,FALSE)</f>
        <v>2353</v>
      </c>
      <c r="E141" s="8" t="s">
        <v>19</v>
      </c>
      <c r="F141" s="1">
        <v>0</v>
      </c>
      <c r="G141" s="1" t="s">
        <v>20</v>
      </c>
      <c r="H141" s="8" t="s">
        <v>21</v>
      </c>
    </row>
    <row r="142" spans="1:8" x14ac:dyDescent="0.15">
      <c r="A142" s="1">
        <v>70019</v>
      </c>
      <c r="B142" s="1">
        <v>19</v>
      </c>
      <c r="C142" s="1">
        <v>7</v>
      </c>
      <c r="D142" s="5">
        <f>VLOOKUP($B$124:$B$153,[1]金币产出!$K$38:$L$67,2,FALSE)</f>
        <v>2353</v>
      </c>
      <c r="E142" s="8" t="s">
        <v>19</v>
      </c>
      <c r="F142" s="1">
        <v>0</v>
      </c>
      <c r="G142" s="1" t="s">
        <v>20</v>
      </c>
      <c r="H142" s="8" t="s">
        <v>21</v>
      </c>
    </row>
    <row r="143" spans="1:8" x14ac:dyDescent="0.15">
      <c r="A143" s="1">
        <v>70020</v>
      </c>
      <c r="B143" s="1">
        <v>20</v>
      </c>
      <c r="C143" s="1">
        <v>7</v>
      </c>
      <c r="D143" s="5">
        <f>VLOOKUP($B$124:$B$153,[1]金币产出!$K$38:$L$67,2,FALSE)</f>
        <v>2619</v>
      </c>
      <c r="E143" s="8" t="s">
        <v>19</v>
      </c>
      <c r="F143" s="1">
        <v>0</v>
      </c>
      <c r="G143" s="1" t="s">
        <v>20</v>
      </c>
      <c r="H143" s="8" t="s">
        <v>21</v>
      </c>
    </row>
    <row r="144" spans="1:8" x14ac:dyDescent="0.15">
      <c r="A144" s="1">
        <v>70021</v>
      </c>
      <c r="B144" s="1">
        <v>21</v>
      </c>
      <c r="C144" s="1">
        <v>7</v>
      </c>
      <c r="D144" s="5">
        <f>VLOOKUP($B$124:$B$153,[1]金币产出!$K$38:$L$67,2,FALSE)</f>
        <v>2619</v>
      </c>
      <c r="E144" s="8" t="s">
        <v>19</v>
      </c>
      <c r="F144" s="1">
        <v>0</v>
      </c>
      <c r="G144" s="1" t="s">
        <v>20</v>
      </c>
      <c r="H144" s="8" t="s">
        <v>21</v>
      </c>
    </row>
    <row r="145" spans="1:8" x14ac:dyDescent="0.15">
      <c r="A145" s="1">
        <v>70022</v>
      </c>
      <c r="B145" s="1">
        <v>22</v>
      </c>
      <c r="C145" s="1">
        <v>7</v>
      </c>
      <c r="D145" s="5">
        <f>VLOOKUP($B$124:$B$153,[1]金币产出!$K$38:$L$67,2,FALSE)</f>
        <v>2619</v>
      </c>
      <c r="E145" s="8" t="s">
        <v>19</v>
      </c>
      <c r="F145" s="1">
        <v>0</v>
      </c>
      <c r="G145" s="1" t="s">
        <v>20</v>
      </c>
      <c r="H145" s="8" t="s">
        <v>21</v>
      </c>
    </row>
    <row r="146" spans="1:8" x14ac:dyDescent="0.15">
      <c r="A146" s="1">
        <v>70023</v>
      </c>
      <c r="B146" s="1">
        <v>23</v>
      </c>
      <c r="C146" s="1">
        <v>7</v>
      </c>
      <c r="D146" s="5">
        <f>VLOOKUP($B$124:$B$153,[1]金币产出!$K$38:$L$67,2,FALSE)</f>
        <v>2889</v>
      </c>
      <c r="E146" s="8" t="s">
        <v>19</v>
      </c>
      <c r="F146" s="1">
        <v>0</v>
      </c>
      <c r="G146" s="1" t="s">
        <v>20</v>
      </c>
      <c r="H146" s="8" t="s">
        <v>21</v>
      </c>
    </row>
    <row r="147" spans="1:8" x14ac:dyDescent="0.15">
      <c r="A147" s="1">
        <v>70024</v>
      </c>
      <c r="B147" s="1">
        <v>24</v>
      </c>
      <c r="C147" s="1">
        <v>7</v>
      </c>
      <c r="D147" s="5">
        <f>VLOOKUP($B$124:$B$153,[1]金币产出!$K$38:$L$67,2,FALSE)</f>
        <v>2889</v>
      </c>
      <c r="E147" s="8" t="s">
        <v>19</v>
      </c>
      <c r="F147" s="1">
        <v>0</v>
      </c>
      <c r="G147" s="1" t="s">
        <v>20</v>
      </c>
      <c r="H147" s="8" t="s">
        <v>21</v>
      </c>
    </row>
    <row r="148" spans="1:8" x14ac:dyDescent="0.15">
      <c r="A148" s="1">
        <v>70025</v>
      </c>
      <c r="B148" s="1">
        <v>25</v>
      </c>
      <c r="C148" s="1">
        <v>7</v>
      </c>
      <c r="D148" s="5">
        <f>VLOOKUP($B$124:$B$153,[1]金币产出!$K$38:$L$67,2,FALSE)</f>
        <v>2889</v>
      </c>
      <c r="E148" s="8" t="s">
        <v>19</v>
      </c>
      <c r="F148" s="1">
        <v>0</v>
      </c>
      <c r="G148" s="1" t="s">
        <v>20</v>
      </c>
      <c r="H148" s="8" t="s">
        <v>21</v>
      </c>
    </row>
    <row r="149" spans="1:8" x14ac:dyDescent="0.15">
      <c r="A149" s="1">
        <v>70026</v>
      </c>
      <c r="B149" s="1">
        <v>26</v>
      </c>
      <c r="C149" s="1">
        <v>7</v>
      </c>
      <c r="D149" s="5">
        <f>VLOOKUP($B$124:$B$153,[1]金币产出!$K$38:$L$67,2,FALSE)</f>
        <v>3152</v>
      </c>
      <c r="E149" s="8" t="s">
        <v>19</v>
      </c>
      <c r="F149" s="1">
        <v>0</v>
      </c>
      <c r="G149" s="1" t="s">
        <v>20</v>
      </c>
      <c r="H149" s="8" t="s">
        <v>21</v>
      </c>
    </row>
    <row r="150" spans="1:8" x14ac:dyDescent="0.15">
      <c r="A150" s="1">
        <v>70027</v>
      </c>
      <c r="B150" s="1">
        <v>27</v>
      </c>
      <c r="C150" s="1">
        <v>7</v>
      </c>
      <c r="D150" s="5">
        <f>VLOOKUP($B$124:$B$153,[1]金币产出!$K$38:$L$67,2,FALSE)</f>
        <v>3152</v>
      </c>
      <c r="E150" s="8" t="s">
        <v>19</v>
      </c>
      <c r="F150" s="1">
        <v>0</v>
      </c>
      <c r="G150" s="1" t="s">
        <v>20</v>
      </c>
      <c r="H150" s="8" t="s">
        <v>21</v>
      </c>
    </row>
    <row r="151" spans="1:8" x14ac:dyDescent="0.15">
      <c r="A151" s="1">
        <v>70028</v>
      </c>
      <c r="B151" s="1">
        <v>28</v>
      </c>
      <c r="C151" s="1">
        <v>7</v>
      </c>
      <c r="D151" s="5">
        <f>VLOOKUP($B$124:$B$153,[1]金币产出!$K$38:$L$67,2,FALSE)</f>
        <v>3152</v>
      </c>
      <c r="E151" s="8" t="s">
        <v>19</v>
      </c>
      <c r="F151" s="1">
        <v>0</v>
      </c>
      <c r="G151" s="1" t="s">
        <v>20</v>
      </c>
      <c r="H151" s="8" t="s">
        <v>21</v>
      </c>
    </row>
    <row r="152" spans="1:8" x14ac:dyDescent="0.15">
      <c r="A152" s="1">
        <v>70029</v>
      </c>
      <c r="B152" s="1">
        <v>29</v>
      </c>
      <c r="C152" s="1">
        <v>7</v>
      </c>
      <c r="D152" s="5">
        <f>VLOOKUP($B$124:$B$153,[1]金币产出!$K$38:$L$67,2,FALSE)</f>
        <v>3415</v>
      </c>
      <c r="E152" s="8" t="s">
        <v>19</v>
      </c>
      <c r="F152" s="1">
        <v>0</v>
      </c>
      <c r="G152" s="1" t="s">
        <v>20</v>
      </c>
      <c r="H152" s="8" t="s">
        <v>21</v>
      </c>
    </row>
    <row r="153" spans="1:8" x14ac:dyDescent="0.15">
      <c r="A153" s="1">
        <v>70030</v>
      </c>
      <c r="B153" s="1">
        <v>30</v>
      </c>
      <c r="C153" s="1">
        <v>7</v>
      </c>
      <c r="D153" s="5">
        <f>VLOOKUP($B$124:$B$153,[1]金币产出!$K$38:$L$67,2,FALSE)</f>
        <v>3415</v>
      </c>
      <c r="E153" s="8" t="s">
        <v>19</v>
      </c>
      <c r="F153" s="1">
        <v>0</v>
      </c>
      <c r="G153" s="1" t="s">
        <v>20</v>
      </c>
      <c r="H153" s="8" t="s">
        <v>21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</cp:lastModifiedBy>
  <dcterms:created xsi:type="dcterms:W3CDTF">2023-05-12T11:15:00Z</dcterms:created>
  <dcterms:modified xsi:type="dcterms:W3CDTF">2025-08-05T11:05:45Z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1F087EC7FBF94A06AC64D5E71179451B_12</vt:lpwstr>
  </property>
</Properties>
</file>