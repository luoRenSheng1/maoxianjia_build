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</sheets>
  <definedNames>
    <definedName name="_xlnm._FilterDatabase" localSheetId="0" hidden="1">Sheet1!$D$1:$D$613</definedName>
    <definedName name="_xlnm._FilterDatabase" localSheetId="2" hidden="1">Sheet3!$A$1:$Z$691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 用户</author>
    <author>User</author>
    <author>Administrator</author>
    <author>作者</author>
  </authors>
  <commentList>
    <comment ref="A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2=角色天赋技能
5=抽卡技能</t>
        </r>
      </text>
    </comment>
    <comment ref="D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User:
1=普通攻击
2=常规技能
3=被动技能
5=组合技能
</t>
        </r>
      </text>
    </comment>
    <comment ref="E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作者:
1=普通-灰
2=良好-绿
3=稀有-蓝
4=史诗-紫
5=传说-橙
6=神话-粉
7=不朽-红</t>
        </r>
      </text>
    </comment>
    <comment ref="F3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（关联skillTarget表）</t>
        </r>
      </text>
    </comment>
    <comment ref="G3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（填入距离长度*100）</t>
        </r>
      </text>
    </comment>
    <comment ref="H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目前仅NPC伤害取这个字段后期也要改</t>
        </r>
      </text>
    </comment>
    <comment ref="I3" authorId="1">
      <text>
        <r>
          <rPr>
            <b/>
            <sz val="9"/>
            <rFont val="宋体"/>
            <charset val="134"/>
          </rPr>
          <t>关联SkillBuff表
数组</t>
        </r>
      </text>
    </comment>
    <comment ref="X3" authorId="3">
      <text>
        <r>
          <rPr>
            <b/>
            <sz val="9"/>
            <rFont val="宋体"/>
            <charset val="134"/>
          </rPr>
          <t>毫秒，可以配置多段发射，用逗号间隔</t>
        </r>
      </text>
    </comment>
    <comment ref="AA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0=加属性
1=血量触发
2=时间触发</t>
        </r>
      </text>
    </comment>
    <comment ref="AB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0=无时间属性
具体是=单位：秒
</t>
        </r>
      </text>
    </comment>
  </commentList>
</comments>
</file>

<file path=xl/comments2.xml><?xml version="1.0" encoding="utf-8"?>
<comments xmlns="http://schemas.openxmlformats.org/spreadsheetml/2006/main">
  <authors>
    <author>Windows 用户</author>
    <author>User</author>
    <author>作者</author>
  </authors>
  <commentList>
    <comment ref="A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2=角色天赋技能
5=抽卡技能</t>
        </r>
      </text>
    </comment>
    <comment ref="C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User:
1=普通攻击;2=技能;3=被动技能
5=V2抽卡技能
</t>
        </r>
      </text>
    </comment>
    <comment ref="E3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（关联skillTarget表）</t>
        </r>
      </text>
    </comment>
    <comment ref="F3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（填入距离长度*100）</t>
        </r>
      </text>
    </comment>
    <comment ref="H3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（关联BaseskillBuff表）</t>
        </r>
      </text>
    </comment>
    <comment ref="T3" authorId="2">
      <text>
        <r>
          <rPr>
            <b/>
            <sz val="9"/>
            <rFont val="宋体"/>
            <charset val="134"/>
          </rPr>
          <t>毫秒，可以配置多段发射，用逗号间隔</t>
        </r>
      </text>
    </comment>
    <comment ref="Y3" authorId="2">
      <text>
        <r>
          <rPr>
            <b/>
            <sz val="9"/>
            <rFont val="宋体"/>
            <charset val="134"/>
          </rPr>
          <t>毫秒，可以配置多段发射，用逗号间隔</t>
        </r>
      </text>
    </comment>
  </commentList>
</comments>
</file>

<file path=xl/comments3.xml><?xml version="1.0" encoding="utf-8"?>
<comments xmlns="http://schemas.openxmlformats.org/spreadsheetml/2006/main">
  <authors>
    <author>Windows 用户</author>
    <author>User</author>
  </authors>
  <commentList>
    <comment ref="A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2=角色天赋技能
5=抽卡技能</t>
        </r>
      </text>
    </comment>
    <comment ref="D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User:
1=普通攻击;2=技能;3=被动技能
5=V2抽卡技能
</t>
        </r>
      </text>
    </comment>
    <comment ref="E3" author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作者:
1=普通-灰
2=良好-绿
3=稀有-蓝
4=史诗-紫
5=传说-橙
6=神话-粉
7=不朽-红</t>
        </r>
      </text>
    </comment>
    <comment ref="F3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（关联skillTarget表）</t>
        </r>
      </text>
    </comment>
    <comment ref="G3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（填入距离长度*100）</t>
        </r>
      </text>
    </comment>
    <comment ref="I3" authorId="1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（关联BaseskillBuff表）</t>
        </r>
      </text>
    </comment>
  </commentList>
</comments>
</file>

<file path=xl/comments4.xml><?xml version="1.0" encoding="utf-8"?>
<comments xmlns="http://schemas.openxmlformats.org/spreadsheetml/2006/main">
  <authors>
    <author>User</author>
    <author>Administrator</author>
    <author>作者</author>
  </authors>
  <commentList>
    <comment ref="C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1=普通攻击;2=技能;3=被动技能</t>
        </r>
      </text>
    </comment>
    <comment ref="D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（关联skillTarget表）</t>
        </r>
      </text>
    </comment>
    <comment ref="E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（填入距离长度*100）</t>
        </r>
      </text>
    </comment>
    <comment ref="H3" author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（关联BaseskillBuff表）</t>
        </r>
      </text>
    </comment>
    <comment ref="P3" authorId="1">
      <text>
        <r>
          <rPr>
            <b/>
            <sz val="9"/>
            <rFont val="宋体"/>
            <charset val="134"/>
          </rPr>
          <t>Administrator:
1=生命低于总生命百分比（万分比的值
）</t>
        </r>
        <r>
          <rPr>
            <sz val="9"/>
            <rFont val="宋体"/>
            <charset val="134"/>
          </rPr>
          <t xml:space="preserve">
配置
1，3000表示生命低于总生命的30%</t>
        </r>
      </text>
    </comment>
    <comment ref="Y3" authorId="2">
      <text>
        <r>
          <rPr>
            <b/>
            <sz val="9"/>
            <rFont val="宋体"/>
            <charset val="134"/>
          </rPr>
          <t>毫秒，可以配置多段发射，用逗号间隔</t>
        </r>
      </text>
    </comment>
  </commentList>
</comments>
</file>

<file path=xl/sharedStrings.xml><?xml version="1.0" encoding="utf-8"?>
<sst xmlns="http://schemas.openxmlformats.org/spreadsheetml/2006/main" count="8567" uniqueCount="1446">
  <si>
    <t>Id</t>
  </si>
  <si>
    <t>Name_Note</t>
  </si>
  <si>
    <t>Name</t>
  </si>
  <si>
    <t>SkillType</t>
  </si>
  <si>
    <t>SkillQuality</t>
  </si>
  <si>
    <t>SkillTarget</t>
  </si>
  <si>
    <t>Radius</t>
  </si>
  <si>
    <t>SkillDamage</t>
  </si>
  <si>
    <t>BuffId</t>
  </si>
  <si>
    <t>Cd</t>
  </si>
  <si>
    <t>SkillIcon</t>
  </si>
  <si>
    <t>SkillDes_Note</t>
  </si>
  <si>
    <t>SkillDes</t>
  </si>
  <si>
    <t>Remark_Note</t>
  </si>
  <si>
    <t>Remark</t>
  </si>
  <si>
    <t>Remark_Param</t>
  </si>
  <si>
    <t>skill_action</t>
  </si>
  <si>
    <t>caster_effect</t>
  </si>
  <si>
    <t>attack_effect</t>
  </si>
  <si>
    <t>attack_time</t>
  </si>
  <si>
    <t>hit_effect</t>
  </si>
  <si>
    <t>hit_time</t>
  </si>
  <si>
    <t>bullet_effect</t>
  </si>
  <si>
    <t>bullet_time</t>
  </si>
  <si>
    <t>bullet_fly_time</t>
  </si>
  <si>
    <t>StartSound</t>
  </si>
  <si>
    <t>Int</t>
  </si>
  <si>
    <t>String</t>
  </si>
  <si>
    <t>string</t>
  </si>
  <si>
    <t>arrayint</t>
  </si>
  <si>
    <t>int</t>
  </si>
  <si>
    <t>技能ID</t>
  </si>
  <si>
    <t>&lt;c&gt;技能名称</t>
  </si>
  <si>
    <t>技能名称</t>
  </si>
  <si>
    <t>技能类型</t>
  </si>
  <si>
    <t>技能品质</t>
  </si>
  <si>
    <t>技能释放目标</t>
  </si>
  <si>
    <t>施法范围</t>
  </si>
  <si>
    <t>技能伤害</t>
  </si>
  <si>
    <t>附带BUFF效果</t>
  </si>
  <si>
    <t>释放冷却</t>
  </si>
  <si>
    <t>技能图标</t>
  </si>
  <si>
    <t>技能描述</t>
  </si>
  <si>
    <t>&lt;c&gt;备注</t>
  </si>
  <si>
    <t>备注</t>
  </si>
  <si>
    <t>备注参数</t>
  </si>
  <si>
    <t>技能动作名</t>
  </si>
  <si>
    <t>施法者特效id</t>
  </si>
  <si>
    <r>
      <rPr>
        <b/>
        <sz val="11"/>
        <rFont val="微软雅黑"/>
        <charset val="134"/>
      </rPr>
      <t>攻击特效</t>
    </r>
    <r>
      <rPr>
        <sz val="11"/>
        <color theme="1"/>
        <rFont val="微软雅黑"/>
        <charset val="134"/>
      </rPr>
      <t>id</t>
    </r>
  </si>
  <si>
    <t>攻击特效延时前摇</t>
  </si>
  <si>
    <r>
      <rPr>
        <b/>
        <sz val="11"/>
        <rFont val="微软雅黑"/>
        <charset val="134"/>
      </rPr>
      <t>受击特效</t>
    </r>
    <r>
      <rPr>
        <sz val="11"/>
        <color theme="1"/>
        <rFont val="微软雅黑"/>
        <charset val="134"/>
      </rPr>
      <t>id</t>
    </r>
  </si>
  <si>
    <t>受击时间</t>
  </si>
  <si>
    <r>
      <rPr>
        <b/>
        <sz val="11"/>
        <rFont val="微软雅黑"/>
        <charset val="134"/>
      </rPr>
      <t>子弹特效</t>
    </r>
    <r>
      <rPr>
        <sz val="11"/>
        <color theme="1"/>
        <rFont val="微软雅黑"/>
        <charset val="134"/>
      </rPr>
      <t>id</t>
    </r>
  </si>
  <si>
    <t>远程子弹发射时间（前摇）</t>
  </si>
  <si>
    <t>子弹飞行时间</t>
  </si>
  <si>
    <t>技能播放音效</t>
  </si>
  <si>
    <t>毒菇风暴</t>
  </si>
  <si>
    <t>制造大范围的毒气,对敌人造成2次主属性{0}%的伤害后,自身攻速提升100%,持续5秒</t>
  </si>
  <si>
    <t>普通1</t>
  </si>
  <si>
    <t>Skill_Remark_001</t>
  </si>
  <si>
    <t>skill</t>
  </si>
  <si>
    <t>1300|1430</t>
  </si>
  <si>
    <t>25001002</t>
  </si>
  <si>
    <t>灵壶光芒</t>
  </si>
  <si>
    <t>召唤灵壶进行攻击,对敌人造成6次主属性{0}%的伤害后,自身格挡率提升100%,持续5秒</t>
  </si>
  <si>
    <t>普通2</t>
  </si>
  <si>
    <t>300|500|600|800|1000|1200</t>
  </si>
  <si>
    <t>25001003</t>
  </si>
  <si>
    <t>雷暴之力</t>
  </si>
  <si>
    <t>召唤雷暴对对敌人造成5次主属性{0}%的伤害,击杀目标后回复3%生命值</t>
  </si>
  <si>
    <t>普通3</t>
  </si>
  <si>
    <t>250|400|600|800|1000</t>
  </si>
  <si>
    <t>25001004</t>
  </si>
  <si>
    <t>蜂群围攻</t>
  </si>
  <si>
    <t>召唤出蜜汁蜂箱,围攻敌人,造成主属性{0}%的伤害,增加100%防御属性,持续5秒</t>
  </si>
  <si>
    <t>普通4</t>
  </si>
  <si>
    <t>25001005</t>
  </si>
  <si>
    <t>竹笋攻击</t>
  </si>
  <si>
    <t>召唤竹笋攻击,对敌人造成3次主属性{0}%的伤害,100%造成眩晕,持续3秒</t>
  </si>
  <si>
    <t>普通5</t>
  </si>
  <si>
    <t>650|1050|1750</t>
  </si>
  <si>
    <t>25002001</t>
  </si>
  <si>
    <t>寄生种子</t>
  </si>
  <si>
    <t>向前方播下寄生种子,对周围敌人造成主属性{0}%的伤害,提高10%命中率,持续5秒</t>
  </si>
  <si>
    <t>良好1</t>
  </si>
  <si>
    <t>Skill_Remark_002</t>
  </si>
  <si>
    <t>25002002</t>
  </si>
  <si>
    <t>光晕禁锢</t>
  </si>
  <si>
    <t>召唤灯泡发出刺眼光芒,对敌人造成4次主属性{0}%的伤害,所有防御加成提升25%,持续5秒</t>
  </si>
  <si>
    <t>良好2</t>
  </si>
  <si>
    <t>400|600|900|1200</t>
  </si>
  <si>
    <t>25002003</t>
  </si>
  <si>
    <t>光波灼烧</t>
  </si>
  <si>
    <t>释放光波,对敌人造成3次主属性{0}%的伤害,攻击回复增加10000,持续5秒</t>
  </si>
  <si>
    <t>良好3</t>
  </si>
  <si>
    <t>400|800|1100</t>
  </si>
  <si>
    <t>25002004</t>
  </si>
  <si>
    <t>强力激光</t>
  </si>
  <si>
    <t>发出强力的激光射线,对敌人造成6次主属性{0}%的伤害,伤害加成增加25%,持续5秒</t>
  </si>
  <si>
    <t>良好4</t>
  </si>
  <si>
    <t>300|500|700|900|1100|1300</t>
  </si>
  <si>
    <t>25002005</t>
  </si>
  <si>
    <t>紫色魔法</t>
  </si>
  <si>
    <t>释放紫色魔法,对周围敌人造成主属性{0}%的伤害,减少目标攻速25%,持续5秒</t>
  </si>
  <si>
    <t>良好5</t>
  </si>
  <si>
    <t>25003001</t>
  </si>
  <si>
    <t>魔盒爆裂</t>
  </si>
  <si>
    <t>祭出魔盒,对周围敌人造成主属性{0}%的伤害。击杀目标提升5%暴击率,持续5秒</t>
  </si>
  <si>
    <t>稀有1</t>
  </si>
  <si>
    <t>Skill_Remark_003</t>
  </si>
  <si>
    <t>25003002</t>
  </si>
  <si>
    <t>狂风组合拳</t>
  </si>
  <si>
    <t>向前冲刺打出一套组合拳,对敌人造成6次主属性{0}%的伤害,提高25%闪避率,持续5秒</t>
  </si>
  <si>
    <t>稀有2</t>
  </si>
  <si>
    <t>300|700|800|1000|1200|1450</t>
  </si>
  <si>
    <t>25003003</t>
  </si>
  <si>
    <t>巨树灵降临</t>
  </si>
  <si>
    <t>召唤更强大的树灵,对敌人造成4次主属性{0}%的伤害,受到伤害时,回复1%生命,持续5秒</t>
  </si>
  <si>
    <t>稀有3</t>
  </si>
  <si>
    <t>1000|1200|2000|2200</t>
  </si>
  <si>
    <t>25003004</t>
  </si>
  <si>
    <t>火药狂潮</t>
  </si>
  <si>
    <t>朝周围的敌人扔出一个火药桶,对周围敌人造成主属性{0}%的伤害,加25%无视防御属性,持续5秒</t>
  </si>
  <si>
    <t>稀有4</t>
  </si>
  <si>
    <t>25003005</t>
  </si>
  <si>
    <t>灵犬爆炸</t>
  </si>
  <si>
    <t>召唤爆炸灵犬,对敌人造成3次主属性{0}%的伤害,减少目标攻击25%,持续5秒</t>
  </si>
  <si>
    <t>稀有5</t>
  </si>
  <si>
    <t>400|650|1500</t>
  </si>
  <si>
    <t>25004001</t>
  </si>
  <si>
    <t>蔓影啃噬</t>
  </si>
  <si>
    <t>释放多个蔓草分身,对周围敌人造成主属性{0}%的伤害,提升25%爆伤,持续5秒</t>
  </si>
  <si>
    <t>史诗1</t>
  </si>
  <si>
    <t>Skill_Remark_004</t>
  </si>
  <si>
    <t>25004002</t>
  </si>
  <si>
    <t>尖啸震波</t>
  </si>
  <si>
    <t>发出一声尖啸,对敌人造成5次主属性{0}%的伤害,提升10%减伤,持续5秒</t>
  </si>
  <si>
    <t>史诗2</t>
  </si>
  <si>
    <t>550|800|1000|1200|1400</t>
  </si>
  <si>
    <t>25004003</t>
  </si>
  <si>
    <t>稻草绅士</t>
  </si>
  <si>
    <t>向前方突进,对敌人造成2次主属性{0}%的伤害,回复5%生命</t>
  </si>
  <si>
    <t>史诗3</t>
  </si>
  <si>
    <t>300|700|1000|1450|1750</t>
  </si>
  <si>
    <t>珍宝投掷</t>
  </si>
  <si>
    <t>丢出自身珍藏宝物,对敌人造成5次主属性{0}%的伤害,增加25%元素伤害加成,持续5秒</t>
  </si>
  <si>
    <t>史诗4</t>
  </si>
  <si>
    <t>500|700|900|1100|1300</t>
  </si>
  <si>
    <t>25004005</t>
  </si>
  <si>
    <t>火树流焰</t>
  </si>
  <si>
    <t>洒出炽烈的火焰,对敌人造成3次主属性{0}%的伤害,100%造成眩晕,持续3秒</t>
  </si>
  <si>
    <t>史诗5</t>
  </si>
  <si>
    <t>700|1350|2050</t>
  </si>
  <si>
    <t>25005001</t>
  </si>
  <si>
    <t>冰角突刺</t>
  </si>
  <si>
    <t>召唤冰锥攻击前方区域,对敌人造成6次主属性{0}%的伤害,释放技能时提升25%暴击率,持续5秒</t>
  </si>
  <si>
    <t>传说1</t>
  </si>
  <si>
    <t>Skill_Remark_005</t>
  </si>
  <si>
    <t>420|600|800|1000|1200|1400</t>
  </si>
  <si>
    <t>25005002</t>
  </si>
  <si>
    <t>火山爆发</t>
  </si>
  <si>
    <t>召唤火山爆发,对敌人造成5次主属性{0}%的伤害,反弹25%伤害,持续5秒</t>
  </si>
  <si>
    <t>传说2</t>
  </si>
  <si>
    <t>200|600|1000|1400|1700</t>
  </si>
  <si>
    <t>25005003</t>
  </si>
  <si>
    <t>斗牛冲击</t>
  </si>
  <si>
    <t>召唤巨角斗牛全身向前冲撞,对周围敌人造成主属性{0}%的伤害,持续回复生命1%,持续5秒</t>
  </si>
  <si>
    <t>传说3</t>
  </si>
  <si>
    <t>25005004</t>
  </si>
  <si>
    <t>连珠火力</t>
  </si>
  <si>
    <t>召唤烛火幻化出的火枪,对周围敌人造成主属性{0}%的伤害,增加25%小怪伤害加成,持续5秒</t>
  </si>
  <si>
    <t>传说4</t>
  </si>
  <si>
    <t>25005005</t>
  </si>
  <si>
    <t>大戟重创</t>
  </si>
  <si>
    <t>刺出手中大戟,对周围敌人造成主属性{0}%的伤害,减少目标10%攻速,持续3秒</t>
  </si>
  <si>
    <t>传说5</t>
  </si>
  <si>
    <t>450|750|1000</t>
  </si>
  <si>
    <t>25006001</t>
  </si>
  <si>
    <t>幻影侵袭</t>
  </si>
  <si>
    <t>释放触手进行吞噬攻击,对敌人造成6次主属性{0}%的伤害,持续造成主属性100%伤害,持续5秒</t>
  </si>
  <si>
    <t>神话1</t>
  </si>
  <si>
    <t>Skill_Remark_006</t>
  </si>
  <si>
    <t>350|750|1150|1550|1950|2250</t>
  </si>
  <si>
    <t>25006002</t>
  </si>
  <si>
    <t>暗夜酒宴</t>
  </si>
  <si>
    <t>将能量注入酒杯,缓缓倒在敌人阵中,对敌人造成8次主属性{0}%的伤害,额外对目标造成自身防御值500%的伤害</t>
  </si>
  <si>
    <t>神话2</t>
  </si>
  <si>
    <t>1700|1800|1900|2000|2100|2200|2300|2400</t>
  </si>
  <si>
    <t>25006003</t>
  </si>
  <si>
    <t>核弹毁灭</t>
  </si>
  <si>
    <t>召唤数枚威力巨大的核弹,对敌人造成4次主属性{0}%的伤害,额外对目标造成英雄生命值100%的伤害</t>
  </si>
  <si>
    <t>神话3</t>
  </si>
  <si>
    <t>2000|2250|2400|2500</t>
  </si>
  <si>
    <t>25006004</t>
  </si>
  <si>
    <t>史莱姆爆炸</t>
  </si>
  <si>
    <t>召唤爆炸史莱姆,对敌人造成2次主属性{0}%的伤害,增加50%主属性伤害加成,持续5秒</t>
  </si>
  <si>
    <t>神话4</t>
  </si>
  <si>
    <t>1200|1400</t>
  </si>
  <si>
    <t>25006005</t>
  </si>
  <si>
    <t>火药爆炸</t>
  </si>
  <si>
    <t>召唤火药爆炸,对周围敌人造成主属性{0}%的伤害,减少目标50%攻击,持续5秒</t>
  </si>
  <si>
    <t>神话5</t>
  </si>
  <si>
    <t>25007001</t>
  </si>
  <si>
    <t>虚空湮灭</t>
  </si>
  <si>
    <t>召唤虚空之眼,对周围敌人造成主属性{0}%伤害,击杀目标后爆炸,对2个目标追加主属性500%伤害。</t>
  </si>
  <si>
    <t>无限1</t>
  </si>
  <si>
    <t>Skill_Remark_007</t>
  </si>
  <si>
    <t>25007002</t>
  </si>
  <si>
    <t>菇影连环斩</t>
  </si>
  <si>
    <t>使用奥义,向前突击,对敌人造成7次主属性{0}%的伤害,并100%使自身无敌持续3秒</t>
  </si>
  <si>
    <t>无限2</t>
  </si>
  <si>
    <t>200|500|700|900|1000|1100|1200</t>
  </si>
  <si>
    <t>25007003</t>
  </si>
  <si>
    <t>炽热炮弹</t>
  </si>
  <si>
    <t>发射炮弹,对敌人造成6次主属性{0}%伤害,并生成生命值50%的护盾,持续5秒。</t>
  </si>
  <si>
    <t>无限3</t>
  </si>
  <si>
    <t>450|700|900|1100|1300|1500</t>
  </si>
  <si>
    <t>25007004</t>
  </si>
  <si>
    <t>音乐冲击</t>
  </si>
  <si>
    <t>释放音乐冲击,对敌人造成4次主属性{0}%的伤害,增加25%BOSS伤害加成,持续5秒</t>
  </si>
  <si>
    <t>无限4</t>
  </si>
  <si>
    <t>800|1200|1600|2000</t>
  </si>
  <si>
    <t>25007005</t>
  </si>
  <si>
    <t>骑士战阵</t>
  </si>
  <si>
    <t>召唤5名强大骑士分身,对周围敌人造成主属性{0}%的伤害,并100%造成眩晕,持续5秒</t>
  </si>
  <si>
    <t>无限5</t>
  </si>
  <si>
    <t>海翼龟普攻</t>
  </si>
  <si>
    <t>attack</t>
  </si>
  <si>
    <t>海翼龟主动技能</t>
  </si>
  <si>
    <t>钢铠王普攻</t>
  </si>
  <si>
    <t>钢铠王主动技能</t>
  </si>
  <si>
    <t>800|900|1000|1100|1200|1300|1400</t>
  </si>
  <si>
    <t>沙漠龙王普攻</t>
  </si>
  <si>
    <t>沙漠龙王主动技能</t>
  </si>
  <si>
    <t>1400|1700|2000|2300|2600|2900|3200</t>
  </si>
  <si>
    <t>幻影猫普攻</t>
  </si>
  <si>
    <t>虚空波动</t>
  </si>
  <si>
    <t>Skill_Name_5007007</t>
  </si>
  <si>
    <t>幻影猫召唤虚空之眼，对周围敌人造成伤害</t>
  </si>
  <si>
    <t>SkillDes_1006002</t>
  </si>
  <si>
    <t>梦影猫普攻</t>
  </si>
  <si>
    <t>虚空爆发</t>
  </si>
  <si>
    <t>Skill_Name_5007008</t>
  </si>
  <si>
    <t>梦影猫召唤强力虚空之眼，对周围敌人造成大量伤害</t>
  </si>
  <si>
    <t>SkillDes_1006102</t>
  </si>
  <si>
    <t>虚梦猫普攻</t>
  </si>
  <si>
    <t>Skill_Name_5007009</t>
  </si>
  <si>
    <t>虚梦猫召唤最强的虚空之眼，对周围敌人造成巨量伤害</t>
  </si>
  <si>
    <t>SkillDes_1006202</t>
  </si>
  <si>
    <t>1000|1150|1300|1450</t>
  </si>
  <si>
    <t>行路草普攻</t>
  </si>
  <si>
    <t>Skill_Name_5007010</t>
  </si>
  <si>
    <t>行路草召唤草原上，向前方播下寄生种子，对周围敌人造成伤害</t>
  </si>
  <si>
    <t>SkillDes_1007002</t>
  </si>
  <si>
    <t>行路兽普攻</t>
  </si>
  <si>
    <t>猛长寄生</t>
  </si>
  <si>
    <t>Skill_Name_5007011</t>
  </si>
  <si>
    <t>行路兽召唤草元素，向前方播下强力寄生种子，对周围敌人造成大量伤害</t>
  </si>
  <si>
    <t>SkillDes_1007102</t>
  </si>
  <si>
    <t>露珠鹿普攻</t>
  </si>
  <si>
    <t>Skill_Name_5007012</t>
  </si>
  <si>
    <t>冰角鹿利用自己的冰角召唤冰锥攻击前方区域，对前方多个目标造成冰冻伤害并持续效果。</t>
  </si>
  <si>
    <t>SkillDes_1009002</t>
  </si>
  <si>
    <t>920|1120|1320|1520|1720|1920|2120</t>
  </si>
  <si>
    <t>霜降鹿普攻</t>
  </si>
  <si>
    <t>极寒冰锥</t>
  </si>
  <si>
    <t>Skill_Name_5007013</t>
  </si>
  <si>
    <t>霜角鹿利用冰冷的冰角召唤冰锥，向前方区域发射冰锥攻击</t>
  </si>
  <si>
    <t>SkillDes_1009102</t>
  </si>
  <si>
    <t>1120|1320|1520|1720|1920|2120|2320</t>
  </si>
  <si>
    <t>蘑菇帽普攻</t>
  </si>
  <si>
    <t>毒菇瘴气</t>
  </si>
  <si>
    <t>Skill_Name_5007014</t>
  </si>
  <si>
    <t>下忍菇释放多个毒蘑菇制造一定范围的毒气，对周围的敌人造成毒气伤害</t>
  </si>
  <si>
    <t>SkillDes_1010002</t>
  </si>
  <si>
    <t>幻影菇普攻</t>
  </si>
  <si>
    <t>Skill_Name_5007015</t>
  </si>
  <si>
    <t>上忍菇释放多个毒蘑菇制造大范围的毒气，对周围的敌人造成较大的毒气伤害。</t>
  </si>
  <si>
    <t>SkillDes_1010102</t>
  </si>
  <si>
    <t>1800|1930</t>
  </si>
  <si>
    <t>菇影普攻</t>
  </si>
  <si>
    <t>Skill_Name_5007016</t>
  </si>
  <si>
    <t>影忍菇使用奥义，向前突击，对周围的敌人造成大范围的斩击。</t>
  </si>
  <si>
    <t>SkillDes_1010202</t>
  </si>
  <si>
    <t>1300|1500|1700|1900|2100|2300|2500</t>
  </si>
  <si>
    <t>小树卫普攻</t>
  </si>
  <si>
    <t>树灵召唤</t>
  </si>
  <si>
    <t>Skill_Name_5007017</t>
  </si>
  <si>
    <t>小树卫使用元素之力召唤树灵，对前方敌人造成伤害</t>
  </si>
  <si>
    <t>SkillDes_1011002</t>
  </si>
  <si>
    <t>1300|1500|2300|2500</t>
  </si>
  <si>
    <t>树桩战士普攻</t>
  </si>
  <si>
    <t>Skill_Name_5007018</t>
  </si>
  <si>
    <t>树桩战士使用元素之力召唤更强大的树灵，对前方敌人造成大量伤害</t>
  </si>
  <si>
    <t>SkillDes_1011102</t>
  </si>
  <si>
    <t>一盆草普攻</t>
  </si>
  <si>
    <t>噬影分身</t>
  </si>
  <si>
    <t>Skill_Name_5007019</t>
  </si>
  <si>
    <t>藤蔓球释放多个分身，向目标发动连续吞噬攻击，每个分身都会造成伤害，使目标承受多重伤害。</t>
  </si>
  <si>
    <t>SkillDes_1012002</t>
  </si>
  <si>
    <t>1400|1450|1550|1650|1750</t>
  </si>
  <si>
    <t>食人盆普攻</t>
  </si>
  <si>
    <t>Skill_Name_5007020</t>
  </si>
  <si>
    <t>尖牙蔓释放多个蔓草分身，对敌人进行持续的啃噬攻击，每个分身都会造成大量伤害，使目标受到多重伤害的打击。</t>
  </si>
  <si>
    <t>SkillDes_1012102</t>
  </si>
  <si>
    <t>花之岛普攻</t>
  </si>
  <si>
    <t>Skill_Name_5007021</t>
  </si>
  <si>
    <t>三头巨蔓释放毒气，制造出让敌人感受到花草地幻觉的效果，同时从幻觉中释放触手进行吞噬攻击，造成多次伤害。</t>
  </si>
  <si>
    <t>SkillDes_1012202</t>
  </si>
  <si>
    <t>小灯蜂普攻</t>
  </si>
  <si>
    <t>耀眼闪光</t>
  </si>
  <si>
    <t>Skill_Name_5007022</t>
  </si>
  <si>
    <t>宝宝蜂用腹部的灯泡发出刺眼光芒，令范围内的敌人受到伤害。</t>
  </si>
  <si>
    <t>SkillDes_1013002</t>
  </si>
  <si>
    <t>900|1050|1200|1350|1600|1750|1900|2050</t>
  </si>
  <si>
    <t>灵灯蜂普攻</t>
  </si>
  <si>
    <t>Skill_Name_5007023</t>
  </si>
  <si>
    <t>灯泡蜂利用腹部的灯泡发出刺眼光芒，对大范围的敌人造成伤害。</t>
  </si>
  <si>
    <t>SkillDes_1013102</t>
  </si>
  <si>
    <t>1000|1150|1300|1450|1700|1850|2000|2150</t>
  </si>
  <si>
    <t>炽焰幼虎普攻</t>
  </si>
  <si>
    <t>炽焰利爪</t>
  </si>
  <si>
    <t>Skill_Name_5007024</t>
  </si>
  <si>
    <t>炽焰幼虎向前跃出使用爪击，对周围敌人造成伤害</t>
  </si>
  <si>
    <t>SkillDes_1014002</t>
  </si>
  <si>
    <t>炽焰虎普攻</t>
  </si>
  <si>
    <t>雷霆爪击</t>
  </si>
  <si>
    <t>Skill_Name_5007025</t>
  </si>
  <si>
    <t>炽焰虎向前猛扑使用强力爪击，对周围敌人造成较大伤害</t>
  </si>
  <si>
    <t>SkillDes_1014102</t>
  </si>
  <si>
    <t>惊吓魔盒普攻</t>
  </si>
  <si>
    <t>Skill_Name_5007026</t>
  </si>
  <si>
    <t>惊吓魔盒祭出魔盒，炸裂效果对周围敌人造成伤害</t>
  </si>
  <si>
    <t>SkillDes_1015002</t>
  </si>
  <si>
    <t>杀手魔盒普攻</t>
  </si>
  <si>
    <t>魔盒震荡</t>
  </si>
  <si>
    <t>Skill_Name_5007027</t>
  </si>
  <si>
    <t>小丑魔盒祭出威力更为强大的魔盒，炸裂效果对周围敌人造成大量伤害</t>
  </si>
  <si>
    <t>SkillDes_1015102</t>
  </si>
  <si>
    <t>小斗鸡普攻</t>
  </si>
  <si>
    <t>尖锐音波</t>
  </si>
  <si>
    <t>Skill_Name_5007028</t>
  </si>
  <si>
    <t>惨叫鸡发出凄厉的音波攻击，对周围的敌人造成伤害</t>
  </si>
  <si>
    <t>SkillDes_1016002</t>
  </si>
  <si>
    <t>战斗鸡普攻</t>
  </si>
  <si>
    <t>闪电冲刺</t>
  </si>
  <si>
    <t>Skill_Name_5007029</t>
  </si>
  <si>
    <t>勇士鸡手中长枪向前发起冲刺，对周围的敌人造成大量伤害</t>
  </si>
  <si>
    <t>SkillDes_1016102</t>
  </si>
  <si>
    <t>鼹鼠幼崽普攻</t>
  </si>
  <si>
    <t>地底突袭</t>
  </si>
  <si>
    <t>Skill_Name_5007030</t>
  </si>
  <si>
    <t>鼹鼠幼崽原地消失，从地底穿出利用冲力对周围敌人造成伤害</t>
  </si>
  <si>
    <t>SkillDes_1017002</t>
  </si>
  <si>
    <t>鼹鼠矿工普攻</t>
  </si>
  <si>
    <t>大地守护</t>
  </si>
  <si>
    <t>Skill_Name_5007031</t>
  </si>
  <si>
    <t>鼹鼠矿工原地消失，从地底穿出利用强大冲力对周围敌人造成大量伤害</t>
  </si>
  <si>
    <t>SkillDes_1017102</t>
  </si>
  <si>
    <t>受伤软泥普攻</t>
  </si>
  <si>
    <t>毒液冲击</t>
  </si>
  <si>
    <t>Skill_Name_5007032</t>
  </si>
  <si>
    <t>受伤小软冲到敌人中心，左摇右摆利用毒液对敌人造成伤害</t>
  </si>
  <si>
    <t>SkillDes_1018002</t>
  </si>
  <si>
    <t>1100|1300|1500|1700|1900|2100</t>
  </si>
  <si>
    <t>战士软泥普攻</t>
  </si>
  <si>
    <t>剑光雷霆</t>
  </si>
  <si>
    <t>Skill_Name_5007033</t>
  </si>
  <si>
    <t>战斗小软向前发起冲刺，手中的剑劈向敌人对其造成大量伤害</t>
  </si>
  <si>
    <t>SkillDes_1018102</t>
  </si>
  <si>
    <t>1300|1500|1700|1900|2100|2300|2400</t>
  </si>
  <si>
    <t>拳击兔普攻</t>
  </si>
  <si>
    <t>萌动拳击</t>
  </si>
  <si>
    <t>Skill_Name_5007034</t>
  </si>
  <si>
    <t>奶拳兔挥起自己的小奶拳，向敌人冲去对其造成伤害</t>
  </si>
  <si>
    <t>SkillDes_1019002</t>
  </si>
  <si>
    <t>1000|1150|1350|1600</t>
  </si>
  <si>
    <t>斗兽兔普攻</t>
  </si>
  <si>
    <t>Skill_Name_5007035</t>
  </si>
  <si>
    <t>拳击兔向前冲刺打出一套组合拳，对敌人造成大量伤害</t>
  </si>
  <si>
    <t>SkillDes_1019102</t>
  </si>
  <si>
    <t>800|1200|1300|1450|1600|1850|2000|2150</t>
  </si>
  <si>
    <t>雷霆战兔普攻</t>
  </si>
  <si>
    <t>雷霆一击</t>
  </si>
  <si>
    <t>Skill_Name_5007036</t>
  </si>
  <si>
    <t>拳王兔蓄力向前挥出至强一拳，对前方敌人造成成吨伤害</t>
  </si>
  <si>
    <t>SkillDes_1019202</t>
  </si>
  <si>
    <t>角斗娃普攻</t>
  </si>
  <si>
    <t>斗娃冲撞</t>
  </si>
  <si>
    <t>Skill_Name_5007037</t>
  </si>
  <si>
    <t>角斗娃全身向前冲撞，冲力对周围敌人造成伤害</t>
  </si>
  <si>
    <t>SkillDes_1021002</t>
  </si>
  <si>
    <t>1450|1550|1650|1750</t>
  </si>
  <si>
    <t>巨角斗牛普攻</t>
  </si>
  <si>
    <t>Skill_Name_5007038</t>
  </si>
  <si>
    <t>巨角斗牛全身向前冲撞，巨大冲力对周围敌人造成大量伤害</t>
  </si>
  <si>
    <t>SkillDes_1021102</t>
  </si>
  <si>
    <t>750|850|950|1050</t>
  </si>
  <si>
    <t>碎岩手普攻</t>
  </si>
  <si>
    <t>地突重击</t>
  </si>
  <si>
    <t>Skill_Name_5007039</t>
  </si>
  <si>
    <t>重锤兽利用元素之力，召唤地突刺对周围敌人造成伤害</t>
  </si>
  <si>
    <t>SkillDes_1022002</t>
  </si>
  <si>
    <t>巨石拳王普攻</t>
  </si>
  <si>
    <t>天灾地突</t>
  </si>
  <si>
    <t>Skill_Name_5007040</t>
  </si>
  <si>
    <t>重锤巨兽利用元素之力，召唤地大量突刺对周围敌人造成大量伤害</t>
  </si>
  <si>
    <t>SkillDes_1022102</t>
  </si>
  <si>
    <t>800|820|840|860|880|900</t>
  </si>
  <si>
    <t>小烛灵普攻</t>
  </si>
  <si>
    <t>火枪射击</t>
  </si>
  <si>
    <t>Skill_Name_5007041</t>
  </si>
  <si>
    <t>小烛灵将烛火幻化出的火枪，向前方进行射击对敌人造成伤害</t>
  </si>
  <si>
    <t>SkillDes_1023002</t>
  </si>
  <si>
    <t>1100|1300|1500|1700|1900|2100|2150</t>
  </si>
  <si>
    <t>枪手烛普攻</t>
  </si>
  <si>
    <t>Skill_Name_5007042</t>
  </si>
  <si>
    <t>烛灵枪手将烛火幻化出的火枪，向前方进行扫射对敌人造成大量伤害</t>
  </si>
  <si>
    <t>SkillDes_1023102</t>
  </si>
  <si>
    <t>300|500|700|900|1100|1300|1450</t>
  </si>
  <si>
    <t>火尾猴普攻</t>
  </si>
  <si>
    <t>焰尾甩击</t>
  </si>
  <si>
    <t>Skill_Name_5007043</t>
  </si>
  <si>
    <t>火尾猴甩出自己的尾巴上的火焰，对周围的敌人造成伤害</t>
  </si>
  <si>
    <t>SkillDes_1025002</t>
  </si>
  <si>
    <t>火焰猴普攻</t>
  </si>
  <si>
    <t>Skill_Name_5007044</t>
  </si>
  <si>
    <t>火焰猴在树枝上摇荡，下下发敌人洒出炽烈的火焰造成大量伤害</t>
  </si>
  <si>
    <t>SkillDes_1025102</t>
  </si>
  <si>
    <t>700|1350|2050|2650</t>
  </si>
  <si>
    <t>炽热幼龙普攻</t>
  </si>
  <si>
    <t>水晶爆裂</t>
  </si>
  <si>
    <t>Skill_Name_5007045</t>
  </si>
  <si>
    <t>晶角龙崽利用玄晶元素，召唤元素水晶爆炸后对周围敌人造成伤害</t>
  </si>
  <si>
    <t>SkillDes_1026002</t>
  </si>
  <si>
    <t>火焰精灵普攻</t>
  </si>
  <si>
    <t>炽热火焰</t>
  </si>
  <si>
    <t>Skill_Name_5007046</t>
  </si>
  <si>
    <t>火焰精灵召唤火元素，蓄力后发射火焰灼烧周围的敌人造成伤害</t>
  </si>
  <si>
    <t>SkillDes_1027002</t>
  </si>
  <si>
    <t>熔岩精灵普攻</t>
  </si>
  <si>
    <t>岩浆喷发</t>
  </si>
  <si>
    <t>Skill_Name_5007047</t>
  </si>
  <si>
    <t>熔岩精灵召唤熔岩元素，蓄力后发射熔岩灼烧周围的敌人造成伤害</t>
  </si>
  <si>
    <t>SkillDes_1027102</t>
  </si>
  <si>
    <t>熔岩蟹普攻</t>
  </si>
  <si>
    <t>爆炸冲击</t>
  </si>
  <si>
    <t>Skill_Name_5007048</t>
  </si>
  <si>
    <t>朝周围的敌人扔出一个爆弹，对爆炸格内的所有敌人造成伤害</t>
  </si>
  <si>
    <t>SkillDes_1030002</t>
  </si>
  <si>
    <t>岩浆巨蟹普攻</t>
  </si>
  <si>
    <t>Skill_Name_5007049</t>
  </si>
  <si>
    <t>朝周围的敌人扔出一个火药桶，对爆炸格内的所有敌人造成大量伤害</t>
  </si>
  <si>
    <t>SkillDes_1030102</t>
  </si>
  <si>
    <t>三恶魔普攻</t>
  </si>
  <si>
    <t>小鬼出击</t>
  </si>
  <si>
    <t>Skill_Name_5007050</t>
  </si>
  <si>
    <t>三恶魔指挥手下小鬼，冲入敌阵，进行无差别攻击造成伤害</t>
  </si>
  <si>
    <t>SkillDes_1032002</t>
  </si>
  <si>
    <t>1250|1400</t>
  </si>
  <si>
    <t>恶魔小分队普攻</t>
  </si>
  <si>
    <t>鬼抓狼嚎</t>
  </si>
  <si>
    <t>Skill_Name_5007051</t>
  </si>
  <si>
    <t>恶魔小分队指挥手下精英小鬼，冲入敌阵，进行无差别攻击造成大量伤害</t>
  </si>
  <si>
    <t>SkillDes_1032102</t>
  </si>
  <si>
    <t>焰角羊普攻</t>
  </si>
  <si>
    <t>羊角震荡</t>
  </si>
  <si>
    <t>Skill_Name_5007052</t>
  </si>
  <si>
    <t>蓬蓬羊的羊角发出冲击波，冲击周围敌人造成伤害。</t>
  </si>
  <si>
    <t>SkillDes_1033002</t>
  </si>
  <si>
    <t>1450|1550|1650|1750|1800</t>
  </si>
  <si>
    <t>烈焰角羊普攻</t>
  </si>
  <si>
    <t>强力冲击波</t>
  </si>
  <si>
    <t>Skill_Name_5007053</t>
  </si>
  <si>
    <t>巨角羊的羊角发出强力冲击波，冲击周围敌人造成大量伤害。</t>
  </si>
  <si>
    <t>SkillDes_1033102</t>
  </si>
  <si>
    <t>650|750|850|950|1000</t>
  </si>
  <si>
    <t>熔岩角羊普攻</t>
  </si>
  <si>
    <t>火焰猛冲</t>
  </si>
  <si>
    <t>Skill_Name_5007054</t>
  </si>
  <si>
    <t>炽焰羊全身包裹火焰之力向前猛冲，对周围敌人造成巨量伤害。</t>
  </si>
  <si>
    <t>SkillDes_1033202</t>
  </si>
  <si>
    <t>1900|2000|2100|2200|2300|2400</t>
  </si>
  <si>
    <t>迷眩蝙蝠普攻</t>
  </si>
  <si>
    <t>Skill_Name_5007055</t>
  </si>
  <si>
    <t>迷眩蝙蝠发出一声尖啸，对周围敌人造成音波伤害</t>
  </si>
  <si>
    <t>SkillDes_1035002</t>
  </si>
  <si>
    <t>1150|1250|1350|1450|1550|1650|1700|1850|1950|2050</t>
  </si>
  <si>
    <t>夜影伯爵普攻</t>
  </si>
  <si>
    <t>音波刀锋</t>
  </si>
  <si>
    <t>Skill_Name_5007056</t>
  </si>
  <si>
    <t>夜影伯爵发出一声尖啸，对周围敌人造成音波伤害</t>
  </si>
  <si>
    <t>SkillDes_1035102</t>
  </si>
  <si>
    <t>1250|1350|1450|1550|1650|1700|1850|1950|2050|2150</t>
  </si>
  <si>
    <t>夜影公爵普攻</t>
  </si>
  <si>
    <t>Skill_Name_5007057</t>
  </si>
  <si>
    <t>夜影公爵将能量注入酒杯，缓缓倒在敌人阵中造成巨量伤害</t>
  </si>
  <si>
    <t>SkillDes_1035202</t>
  </si>
  <si>
    <t>3200|3300|3400|3500|3600|3700|3800|3900</t>
  </si>
  <si>
    <t>稻草人普攻</t>
  </si>
  <si>
    <t>稻草突袭</t>
  </si>
  <si>
    <t>Skill_Name_5007058</t>
  </si>
  <si>
    <t>稻草人向前方突进，在敌人阵中飘忽不定，对敌人造成伤害</t>
  </si>
  <si>
    <t>SkillDes_1036002</t>
  </si>
  <si>
    <t>稻草人主动技能</t>
  </si>
  <si>
    <t>600|1000|1300|1750|2050</t>
  </si>
  <si>
    <t>稻草绅士普攻</t>
  </si>
  <si>
    <t>绅士的幽影</t>
  </si>
  <si>
    <t>Skill_Name_5007059</t>
  </si>
  <si>
    <t>稻草绅士向前方突进，利用诡异身法对敌人造成大量伤害</t>
  </si>
  <si>
    <t>SkillDes_1036102</t>
  </si>
  <si>
    <t>稻草绅士主动技能</t>
  </si>
  <si>
    <t>幼灵普攻</t>
  </si>
  <si>
    <t>幽灵恐惧</t>
  </si>
  <si>
    <t>Skill_Name_5007060</t>
  </si>
  <si>
    <t>好奇鬼鬼放出幽灵，对周围的敌人造成伤害</t>
  </si>
  <si>
    <t>SkillDes_1038002</t>
  </si>
  <si>
    <t>1250|1500|1750|2000|2250</t>
  </si>
  <si>
    <t>幽光灵普攻</t>
  </si>
  <si>
    <t>幽灵军团</t>
  </si>
  <si>
    <t>Skill_Name_5007061</t>
  </si>
  <si>
    <t>胆小鬼鬼放出大量幽灵，对周围的敌人造成大量伤害</t>
  </si>
  <si>
    <t>SkillDes_1038102</t>
  </si>
  <si>
    <t>壶灵普攻</t>
  </si>
  <si>
    <t>Skill_Name_5007062</t>
  </si>
  <si>
    <t>壶灵召唤灵壶进行攻击，对周围敌人造成伤害</t>
  </si>
  <si>
    <t>SkillDes_1039002</t>
  </si>
  <si>
    <t>900|1100|1300|1500|1700|1900|2000</t>
  </si>
  <si>
    <t>壶灵将普攻</t>
  </si>
  <si>
    <t>灵壶爆发</t>
  </si>
  <si>
    <t>Skill_Name_5007063</t>
  </si>
  <si>
    <t>壶灵将召唤更的灵壶进行攻击，对周围敌人造成大量伤害</t>
  </si>
  <si>
    <t>SkillDes_1039102</t>
  </si>
  <si>
    <t>1100|1300|1500|1700|1900|2000</t>
  </si>
  <si>
    <t>壶灵神普攻</t>
  </si>
  <si>
    <t>紫色雷霆</t>
  </si>
  <si>
    <t>Skill_Name_5007064</t>
  </si>
  <si>
    <t>壶灵王释放灵壶神力，召唤紫色雷霆对周围敌人造成巨量伤害</t>
  </si>
  <si>
    <t>SkillDes_1039202</t>
  </si>
  <si>
    <t>念灯鱼普攻</t>
  </si>
  <si>
    <t>Skill_Name_5007065</t>
  </si>
  <si>
    <t>灯灵章鱼释放光波，对周围敌人造成伤害</t>
  </si>
  <si>
    <t>SkillDes_1041002</t>
  </si>
  <si>
    <t>1200|1400|1600|1800|2000|2200</t>
  </si>
  <si>
    <t>念力章鱼普攻</t>
  </si>
  <si>
    <t>光波爆发</t>
  </si>
  <si>
    <t>Skill_Name_5007066</t>
  </si>
  <si>
    <t>潜灵章鱼释放强力光波，对周围敌人造成大量伤害</t>
  </si>
  <si>
    <t>SkillDes_1041102</t>
  </si>
  <si>
    <t>小灵犬普攻</t>
  </si>
  <si>
    <t>灵球猛击</t>
  </si>
  <si>
    <t>Skill_Name_5007067</t>
  </si>
  <si>
    <t>幼灵犬召唤灵球攻击，对周围敌人造成伤害</t>
  </si>
  <si>
    <t>SkillDes_1042002</t>
  </si>
  <si>
    <t>灵犬三头犬普攻</t>
  </si>
  <si>
    <t>雷霆灵球</t>
  </si>
  <si>
    <t>Skill_Name_5007068</t>
  </si>
  <si>
    <t>三头灵犬召唤强力灵球攻击，对周围敌人造成大量伤害</t>
  </si>
  <si>
    <t>SkillDes_1042102</t>
  </si>
  <si>
    <t>1000|1200|1650</t>
  </si>
  <si>
    <t>彈弓翼龍普攻</t>
  </si>
  <si>
    <t>弹射冲击</t>
  </si>
  <si>
    <t>Skill_Name_5007069</t>
  </si>
  <si>
    <t>弹弓翼龙利用弹弓将自己弹射出去，砸到周围敌人造成伤害</t>
  </si>
  <si>
    <t>SkillDes_1045002</t>
  </si>
  <si>
    <t>火炮翼龍普攻</t>
  </si>
  <si>
    <t>Skill_Name_5007070</t>
  </si>
  <si>
    <t>火炮翼龙利用火炮发射炮弹，对周围敌人造成大量伤害</t>
  </si>
  <si>
    <t>SkillDes_1045102</t>
  </si>
  <si>
    <t>1250|1450|1650|1850|2050|2400</t>
  </si>
  <si>
    <t>雷鸣幼龙普攻</t>
  </si>
  <si>
    <t>雷霆轰击</t>
  </si>
  <si>
    <t>Skill_Name_5007071</t>
  </si>
  <si>
    <t>雷鸣幼龙引发自身雷霆元素，召唤雷霆对周围敌人造成伤害</t>
  </si>
  <si>
    <t>SkillDes_1046002</t>
  </si>
  <si>
    <t>1250|1350|1550|1750|1950</t>
  </si>
  <si>
    <t>雷暴幼龙普攻</t>
  </si>
  <si>
    <t>Skill_Name_5007072</t>
  </si>
  <si>
    <t>雷暴幼龙引发自身雷暴元素，召唤雷暴对周围敌人造成大量伤害</t>
  </si>
  <si>
    <t>SkillDes_1046102</t>
  </si>
  <si>
    <t>1050|1150|1350|1550|1750</t>
  </si>
  <si>
    <t>音乐小鳄鱼普攻</t>
  </si>
  <si>
    <t>声波利刃</t>
  </si>
  <si>
    <t>Skill_Name_5007073</t>
  </si>
  <si>
    <t>音波鳄发出震撼的声波，声波如同利刃般穿透敌人的防线，给予致命一击。</t>
  </si>
  <si>
    <t>SkillDes_1047002</t>
  </si>
  <si>
    <t>1000|1500|2000|2500</t>
  </si>
  <si>
    <t>音响鳄普攻</t>
  </si>
  <si>
    <t>声波回响</t>
  </si>
  <si>
    <t>Skill_Name_5007074</t>
  </si>
  <si>
    <t>音响鳄通过音波的回响，使敌人陷入混乱，声波的力量直接打击敌人。</t>
  </si>
  <si>
    <t>SkillDes_1047102</t>
  </si>
  <si>
    <t>1400|1900|2400|2900</t>
  </si>
  <si>
    <t>火灵猪普攻</t>
  </si>
  <si>
    <t>火焰甩尾</t>
  </si>
  <si>
    <t>Skill_Name_5007075</t>
  </si>
  <si>
    <t>火灵猪尾部火焰熊熊燃烧，甩出炽热的火焰灼烧周围敌人造成伤害</t>
  </si>
  <si>
    <t>SkillDes_1050002</t>
  </si>
  <si>
    <t>1100|1300|1500|1700|1900|2100|2300|2500|2650</t>
  </si>
  <si>
    <t>烫嘴火灵猪普攻</t>
  </si>
  <si>
    <t>火焰喷发</t>
  </si>
  <si>
    <t>Skill_Name_5007076</t>
  </si>
  <si>
    <t>炽焰猪头部火焰熊熊燃烧，喷吐出炽热的火焰灼烧周围敌人造成大量伤害</t>
  </si>
  <si>
    <t>SkillDes_1050102</t>
  </si>
  <si>
    <t>500|700|900|1100|1300|1500|1700|1900|2150</t>
  </si>
  <si>
    <t>钢爪幼龙普攻</t>
  </si>
  <si>
    <t>激光射线</t>
  </si>
  <si>
    <t>Skill_Name_5007077</t>
  </si>
  <si>
    <t>钢爪幼龙发出激光射线，对周围敌人造成伤害</t>
  </si>
  <si>
    <t>SkillDes_1051002</t>
  </si>
  <si>
    <t>1000|1200|1400|1600|1800|2000|2200</t>
  </si>
  <si>
    <t>钢甲暴龙普攻</t>
  </si>
  <si>
    <t>Skill_Name_5007078</t>
  </si>
  <si>
    <t>钢甲暴龙发出强力的激光射线，对周围敌人造成大量伤害</t>
  </si>
  <si>
    <t>SkillDes_1051102</t>
  </si>
  <si>
    <t>机械暴龙普攻</t>
  </si>
  <si>
    <t>灭世光束</t>
  </si>
  <si>
    <t>Skill_Name_5007079</t>
  </si>
  <si>
    <t>机械暴龙发出强大至极的激光射线，对周围敌人造成巨量伤害</t>
  </si>
  <si>
    <t>SkillDes_1051202</t>
  </si>
  <si>
    <t>800|1000|1200|1400|1600|1800|2000</t>
  </si>
  <si>
    <t>小兵蜥普攻</t>
  </si>
  <si>
    <t>木棍重击</t>
  </si>
  <si>
    <t>Skill_Name_5007080</t>
  </si>
  <si>
    <t>木宝蜥向前突进，挥出木棍对敌人造成伤害</t>
  </si>
  <si>
    <t>SkillDes_1052002</t>
  </si>
  <si>
    <t>戟手蜥普攻</t>
  </si>
  <si>
    <t>Skill_Name_5007081</t>
  </si>
  <si>
    <t>戟手蜥刺出手中大戟，对敌人造成大量伤害</t>
  </si>
  <si>
    <t>SkillDes_1052102</t>
  </si>
  <si>
    <t>450|650|800|1300</t>
  </si>
  <si>
    <t>骑士蜥普攻</t>
  </si>
  <si>
    <t>Skill_Name_5007082</t>
  </si>
  <si>
    <t>骑士蜥激发骑士之魂召唤5名强大骑士分身，并对路径上的敌人造成巨量伤害</t>
  </si>
  <si>
    <t>SkillDes_1052202</t>
  </si>
  <si>
    <t>小财龙普攻</t>
  </si>
  <si>
    <t>Skill_Name_5007083</t>
  </si>
  <si>
    <t>小财龙丢出自身珍藏宝物，砸向周围敌人造成伤害</t>
  </si>
  <si>
    <t>SkillDes_1053002</t>
  </si>
  <si>
    <t>1500|1700|1900|2100|2300|2500</t>
  </si>
  <si>
    <t>财宝龙普攻</t>
  </si>
  <si>
    <t>珠宝纷飞</t>
  </si>
  <si>
    <t>Skill_Name_5007084</t>
  </si>
  <si>
    <t>财宝龙丢出自身大量珍藏宝物，砸向周围敌人造成大量伤害</t>
  </si>
  <si>
    <t>SkillDes_1053102</t>
  </si>
  <si>
    <t>导弹鱼普攻</t>
  </si>
  <si>
    <t>导弹爆炸</t>
  </si>
  <si>
    <t>Skill_Name_5007085</t>
  </si>
  <si>
    <t>导弹鲨自身幻化一枚导弹，飞入周围敌人造成伤害</t>
  </si>
  <si>
    <t>SkillDes_1056002</t>
  </si>
  <si>
    <t>1200|1500|2000|2500</t>
  </si>
  <si>
    <t>水影炸弹鱼普攻</t>
  </si>
  <si>
    <t>鱼雷冲击</t>
  </si>
  <si>
    <t>Skill_Name_5007086</t>
  </si>
  <si>
    <t>鱼雷鲨自身幻化一枚鱼雷，飞入周围敌人造成大量伤害</t>
  </si>
  <si>
    <t>SkillDes_1056102</t>
  </si>
  <si>
    <t>深渊海神鱼普攻</t>
  </si>
  <si>
    <t>Skill_Name_5007087</t>
  </si>
  <si>
    <t>核弹鲨召唤数枚威力巨大的核弹，对周围敌人造成巨量伤害</t>
  </si>
  <si>
    <t>SkillDes_1056202</t>
  </si>
  <si>
    <t>2700|2800|2900|2950</t>
  </si>
  <si>
    <t>茶杯灵普攻</t>
  </si>
  <si>
    <t>火焰迸发</t>
  </si>
  <si>
    <t>Skill_Name_5007088</t>
  </si>
  <si>
    <t>茶杯灵激发体内火元素，对周围敌人造成伤害</t>
  </si>
  <si>
    <t>SkillDes_1057002</t>
  </si>
  <si>
    <t>茶壶象普攻</t>
  </si>
  <si>
    <t>熔岩喷涌</t>
  </si>
  <si>
    <t>Skill_Name_5007089</t>
  </si>
  <si>
    <t>象茶壶激发体内大量火元素，对周围敌人造成大量伤害</t>
  </si>
  <si>
    <t>SkillDes_1057102</t>
  </si>
  <si>
    <t>蜜汁蝸牛普攻</t>
  </si>
  <si>
    <t>Skill_Name_5007090</t>
  </si>
  <si>
    <t>蜜汁蜗牛召唤出蜜汁蜂箱，蜂群四散而出，围攻敌人，给予致命的伤害。</t>
  </si>
  <si>
    <t>SkillDes_1058002</t>
  </si>
  <si>
    <t>堡垒蜗牛普攻</t>
  </si>
  <si>
    <t>蜂群袭击</t>
  </si>
  <si>
    <t>Skill_Name_5007091</t>
  </si>
  <si>
    <t>堡垒蜗牛的蜜汁蜂箱召唤出更强大的蜂群，大量蜂群疯狂袭击敌人，造成大量伤害。</t>
  </si>
  <si>
    <t>SkillDes_1058102</t>
  </si>
  <si>
    <t>850|1150|1400</t>
  </si>
  <si>
    <t>城堡蝸牛普攻</t>
  </si>
  <si>
    <t>蜂群轰炸</t>
  </si>
  <si>
    <t>Skill_Name_5007092</t>
  </si>
  <si>
    <t>城堡蜗牛的蜜汁蜂箱召唤出最强大的蜂群，密密麻麻的蜂群疯狂袭击敌人，造成大范围的爆炸性巨量伤害。</t>
  </si>
  <si>
    <t>SkillDes_1058202</t>
  </si>
  <si>
    <t>1200|1300|1400|1500|1600|1700</t>
  </si>
  <si>
    <t>雪人普攻</t>
  </si>
  <si>
    <t>雪球猛击</t>
  </si>
  <si>
    <t>Skill_Name_5007093</t>
  </si>
  <si>
    <t>雪人甩出雪球，雪球划过空气，重重砸向敌人，冰寒之力瞬间冻结一切。</t>
  </si>
  <si>
    <t>SkillDes_1059002</t>
  </si>
  <si>
    <t>雪怪普攻</t>
  </si>
  <si>
    <t>强力雪球</t>
  </si>
  <si>
    <t>Skill_Name_5007094</t>
  </si>
  <si>
    <t>雪怪挥出强力雪球，带着风雪的威力猛然击中敌人，造成大量伤害。</t>
  </si>
  <si>
    <t>SkillDes_1059102</t>
  </si>
  <si>
    <t>1200|1300|1400|1500|1600|1700|1800</t>
  </si>
  <si>
    <t>冰球普攻</t>
  </si>
  <si>
    <t>寒气冰刺</t>
  </si>
  <si>
    <t>Skill_Name_5007095</t>
  </si>
  <si>
    <t>冰灵召唤冰元素，召唤冰刺对周围的敌人造成伤害</t>
  </si>
  <si>
    <t>SkillDes_1060002</t>
  </si>
  <si>
    <t>1700|1800|1900|2000</t>
  </si>
  <si>
    <t>冰守护普攻</t>
  </si>
  <si>
    <t>巨大冰刺</t>
  </si>
  <si>
    <t>Skill_Name_5007096</t>
  </si>
  <si>
    <t>冰甲兽召唤强力冰元素，召唤冰刺对周围的敌人造成大量伤害</t>
  </si>
  <si>
    <t>SkillDes_1060102</t>
  </si>
  <si>
    <t>1400|1500|1700|2000|3000</t>
  </si>
  <si>
    <t>菜鸟海盗鲨普攻</t>
  </si>
  <si>
    <t>潜水破袭</t>
  </si>
  <si>
    <t>Skill_Name_5007097</t>
  </si>
  <si>
    <t>见习海盗鲨利用水之力量覆盖全身进入潜水状态，冲出水面对周围敌人造成伤害</t>
  </si>
  <si>
    <t>SkillDes_1062002</t>
  </si>
  <si>
    <t>1200|1580</t>
  </si>
  <si>
    <t>大副海盗鲨普攻</t>
  </si>
  <si>
    <t>狂浪冲击</t>
  </si>
  <si>
    <t>Skill_Name_5007098</t>
  </si>
  <si>
    <t>大副海盗鲨利用水之力量覆盖全身进入潜水状态，冲出水面对周围敌人造成大量伤害</t>
  </si>
  <si>
    <t>SkillDes_1062102</t>
  </si>
  <si>
    <t>船长海盗鲨通用普攻</t>
  </si>
  <si>
    <t>船长海盗鲨技能</t>
  </si>
  <si>
    <t>Skill_Name_5007099</t>
  </si>
  <si>
    <t>0</t>
  </si>
  <si>
    <t>船长海盗鲨利用水之力量覆盖全身进入深海，再快速冲出水面对周围敌人造成绝对伤害</t>
  </si>
  <si>
    <t>SkillDes_1062202</t>
  </si>
  <si>
    <t>PetSkill_Name_10101001</t>
  </si>
  <si>
    <t>宠物释放技能后根据自身伤害值，对1个目标造成{0}%伤害</t>
  </si>
  <si>
    <t>PetSkillLevel_Doc_10101001</t>
  </si>
  <si>
    <t>PetSkill_Name_10101002</t>
  </si>
  <si>
    <t>宠物释放技能后根据自身伤害值，对1个目标造成{0}%伤害，眩晕3秒</t>
  </si>
  <si>
    <t>PetSkillLevel_Doc_10101002</t>
  </si>
  <si>
    <t>PetSkill_Name_10101003</t>
  </si>
  <si>
    <t>宠物释放技能后根据自身伤害值，对1个目标造成{0}%伤害，流血5秒</t>
  </si>
  <si>
    <t>PetSkillLevel_Doc_10101003</t>
  </si>
  <si>
    <t>PetSkill_Name_10101004</t>
  </si>
  <si>
    <t>宠物释放技能后根据自身伤害值，对3个目标造成{0}%伤害</t>
  </si>
  <si>
    <t>PetSkillLevel_Doc_10101004</t>
  </si>
  <si>
    <t>PetSkill_Name_10101005</t>
  </si>
  <si>
    <t>宠物释放技能后根据自身伤害值，对3个目标造成{0}%伤害，眩晕3秒</t>
  </si>
  <si>
    <t>PetSkillLevel_Doc_10101005</t>
  </si>
  <si>
    <t>PetSkill_Name_10101006</t>
  </si>
  <si>
    <t>宠物释放技能后根据自身伤害值，对3个目标造成{0}%伤害，流血5秒</t>
  </si>
  <si>
    <t>PetSkillLevel_Doc_10101006</t>
  </si>
  <si>
    <t>借点气势</t>
  </si>
  <si>
    <t>PetSkill_Name_10201007</t>
  </si>
  <si>
    <t>宠物释放技能后为角色提供等同自身宠物伤害{0}%的主属性，持续3秒</t>
  </si>
  <si>
    <t>PetSkillLevel_Doc_10201007</t>
  </si>
  <si>
    <t>鼓腮加成</t>
  </si>
  <si>
    <t>PetSkill_Name_10201008</t>
  </si>
  <si>
    <t>宠物释放技能后为角色提供等同自身宠物等级{0}%的伤害加成，持续3秒</t>
  </si>
  <si>
    <t>PetSkillLevel_Doc_10201008</t>
  </si>
  <si>
    <t>元素渣涌</t>
  </si>
  <si>
    <t>PetSkill_Name_10201009</t>
  </si>
  <si>
    <t>宠物释放技能后为角色提供等同自身宠物等级{0}%的元素伤害加成，持续3秒</t>
  </si>
  <si>
    <t>PetSkillLevel_Doc_10201009</t>
  </si>
  <si>
    <t>暴击弱点</t>
  </si>
  <si>
    <t>PetSkill_Name_10201010</t>
  </si>
  <si>
    <t>宠物释放技能后为角色提供等同自身宠物等级{0}%的暴击加成，持续3秒</t>
  </si>
  <si>
    <t>PetSkillLevel_Doc_10201010</t>
  </si>
  <si>
    <t>暴击猛砸</t>
  </si>
  <si>
    <t>PetSkill_Name_10201011</t>
  </si>
  <si>
    <t>宠物释放技能后为角色提供等同自身宠物等级{0}%的爆伤加成，持续3秒</t>
  </si>
  <si>
    <t>PetSkillLevel_Doc_10201011</t>
  </si>
  <si>
    <t>魔法疗愈</t>
  </si>
  <si>
    <t>PetSkill_Name_10301012</t>
  </si>
  <si>
    <t>宠物释放技能后回复角色等同自身宠物伤害{0}%的血量</t>
  </si>
  <si>
    <t>PetSkillLevel_Doc_10301012</t>
  </si>
  <si>
    <t>回春疗愈</t>
  </si>
  <si>
    <t>PetSkill_Name_10301013</t>
  </si>
  <si>
    <t>宠物释放技能后回复角色等同自身宠物伤害{0}%的血量，持续3秒</t>
  </si>
  <si>
    <t>PetSkillLevel_Doc_10301013</t>
  </si>
  <si>
    <t>糊层护盾</t>
  </si>
  <si>
    <t>PetSkill_Name_10301014</t>
  </si>
  <si>
    <t>宠物释放技能后为角色提供等同自身宠物伤害{0}%的生命护盾，持续3秒</t>
  </si>
  <si>
    <t>PetSkillLevel_Doc_10301014</t>
  </si>
  <si>
    <t>偷点血量</t>
  </si>
  <si>
    <t>PetSkill_Name_10301015</t>
  </si>
  <si>
    <t>宠物释放技能后提供角色等同自身宠物伤害{0}%的攻击回复，持续3秒</t>
  </si>
  <si>
    <t>PetSkillLevel_Doc_10301015</t>
  </si>
  <si>
    <t>挨揍回血</t>
  </si>
  <si>
    <t>PetSkill_Name_10301016</t>
  </si>
  <si>
    <t>角色受到攻击时，回复等同自身宠物伤害{0}%的血量，持续3秒</t>
  </si>
  <si>
    <t>PetSkillLevel_Doc_10301016</t>
  </si>
  <si>
    <t>硬壳加持</t>
  </si>
  <si>
    <t>PetSkill_Name_10401017</t>
  </si>
  <si>
    <t>宠物释放技能后为角色提供等同自身宠物伤害{0}%的防御属性，持续3秒</t>
  </si>
  <si>
    <t>PetSkillLevel_Doc_10401017</t>
  </si>
  <si>
    <t>小盾挡挡</t>
  </si>
  <si>
    <t>PetSkill_Name_10401018</t>
  </si>
  <si>
    <t>宠物释放技能后为角色提供等同自身宠物伤害{0}%的格挡值属性，持续3秒</t>
  </si>
  <si>
    <t>PetSkillLevel_Doc_10401018</t>
  </si>
  <si>
    <t>厚皮加持</t>
  </si>
  <si>
    <t>PetSkill_Name_10401019</t>
  </si>
  <si>
    <t>宠物释放技能后为角色提供等同自身宠物等级{0}%的防御加成，持续3秒</t>
  </si>
  <si>
    <t>PetSkillLevel_Doc_10401019</t>
  </si>
  <si>
    <t>溜得飞快</t>
  </si>
  <si>
    <t>PetSkill_Name_10401020</t>
  </si>
  <si>
    <t>宠物释放技能后为角色提供等同自身宠物等级{0}%的闪避率，持续3秒</t>
  </si>
  <si>
    <t>PetSkillLevel_Doc_10401020</t>
  </si>
  <si>
    <t>乱挥格挡</t>
  </si>
  <si>
    <t>PetSkill_Name_10401021</t>
  </si>
  <si>
    <t>宠物释放技能后为角色提供等同自身宠物等级{0}%的格挡率，持续3秒</t>
  </si>
  <si>
    <t>PetSkillLevel_Doc_10401021</t>
  </si>
  <si>
    <t>嘟里奥普攻</t>
  </si>
  <si>
    <t>2004602</t>
  </si>
  <si>
    <t>造成攻击力100%伤害</t>
  </si>
  <si>
    <t>SkillDes_2000101</t>
  </si>
  <si>
    <t>金光闪闪</t>
  </si>
  <si>
    <t>Skill_Name_2000102</t>
  </si>
  <si>
    <t>召唤3枚金币攻击，每枚金币造成攻击力[color=#cb7802]{0}%[/color]的伤害</t>
  </si>
  <si>
    <t>SkillDes_2000102</t>
  </si>
  <si>
    <t>嘟里奥天赋技能</t>
  </si>
  <si>
    <t>1000|1150|1400</t>
  </si>
  <si>
    <t>嘟小龙普攻</t>
  </si>
  <si>
    <t>SkillDes_2001101</t>
  </si>
  <si>
    <t>双节棍</t>
  </si>
  <si>
    <t>Skill_Name_2001102</t>
  </si>
  <si>
    <t>丢出鞭炮，造成攻击力[color=#cb7802]{0}%[/color]的伤害</t>
  </si>
  <si>
    <t>SkillDes_2001102</t>
  </si>
  <si>
    <t>嘟小龙天赋技能</t>
  </si>
  <si>
    <t>哈利王子普攻</t>
  </si>
  <si>
    <t>发射一根箭矢，造成180%伤害</t>
  </si>
  <si>
    <t>SkillDes_2002101</t>
  </si>
  <si>
    <t>神奇魔法</t>
  </si>
  <si>
    <t>Skill_Name_2002102</t>
  </si>
  <si>
    <t>发射3道魔法光束，每道魔法光束造成攻击力[color=#cb7802]{0}%[/color]的伤害</t>
  </si>
  <si>
    <t>SkillDes_2002102</t>
  </si>
  <si>
    <t>哈利王子天赋技能</t>
  </si>
  <si>
    <t>750|1100|1700</t>
  </si>
  <si>
    <t>雷神普攻</t>
  </si>
  <si>
    <t>抛射一团烟丝，造成160%伤害</t>
  </si>
  <si>
    <t>SkillDes_2002201</t>
  </si>
  <si>
    <t>雷神之锤</t>
  </si>
  <si>
    <t>Skill_Name_2002202</t>
  </si>
  <si>
    <t>召唤雷神锤从天而降，造成攻击力[color=#cb7802]{0}%[/color]的伤害</t>
  </si>
  <si>
    <t>SkillDes_2002202</t>
  </si>
  <si>
    <t>雷神天赋技能</t>
  </si>
  <si>
    <t>厨神普攻</t>
  </si>
  <si>
    <t>元素法师（法师）普攻替代</t>
  </si>
  <si>
    <t>SkillDes_2002301</t>
  </si>
  <si>
    <t>佛跳墙</t>
  </si>
  <si>
    <t>Skill_Name_2002302</t>
  </si>
  <si>
    <t>召唤大量食物，造成攻击力[color=#cb7802]{0}%[/color]的伤害</t>
  </si>
  <si>
    <t>SkillDes_2002302</t>
  </si>
  <si>
    <t>厨神天赋技能</t>
  </si>
  <si>
    <t>地狱公爵普攻</t>
  </si>
  <si>
    <t>SkillDes_2003101</t>
  </si>
  <si>
    <t>地狱导弹</t>
  </si>
  <si>
    <t>Skill_Name_2003102</t>
  </si>
  <si>
    <t>发射5枚地狱导弹，每枚导弹造成攻击力[color=#cb7802]{0}%[/color]的伤害</t>
  </si>
  <si>
    <t>SkillDes_2003102</t>
  </si>
  <si>
    <t>地狱公爵天赋技能</t>
  </si>
  <si>
    <t>750|950|1150|1350|1600</t>
  </si>
  <si>
    <t>科学怪人普攻</t>
  </si>
  <si>
    <t>SkillDes_2003201</t>
  </si>
  <si>
    <t>电磁狂暴</t>
  </si>
  <si>
    <t>Skill_Name_2003202</t>
  </si>
  <si>
    <t>安装1枚电磁炸弹，造成攻击力[color=#cb7802]{0}%[/color]的伤害</t>
  </si>
  <si>
    <t>SkillDes_2003202</t>
  </si>
  <si>
    <t>科学怪人天赋技能</t>
  </si>
  <si>
    <t>孙悟空普攻</t>
  </si>
  <si>
    <t>SkillDes_2003301</t>
  </si>
  <si>
    <t>如意金箍棒</t>
  </si>
  <si>
    <t>Skill_Name_2003302</t>
  </si>
  <si>
    <t>召唤如意金箍棒镇压目标4次，造成攻击力[color=#cb7802]{0}%[/color]的伤害</t>
  </si>
  <si>
    <t>SkillDes_2003302</t>
  </si>
  <si>
    <t>孙悟空天赋技能</t>
  </si>
  <si>
    <t>350|750|1150|1550</t>
  </si>
  <si>
    <t>金刚郎普攻</t>
  </si>
  <si>
    <t>SkillDes_2003401</t>
  </si>
  <si>
    <t>撕裂之爪</t>
  </si>
  <si>
    <t>Skill_Name_2003402</t>
  </si>
  <si>
    <t>释放撕裂之爪，撕裂目标10次，造成攻击力[color=#cb7802]{0}%[/color]的伤害</t>
  </si>
  <si>
    <t>SkillDes_2003402</t>
  </si>
  <si>
    <t>金刚郎天赋技能</t>
  </si>
  <si>
    <t>250|400|650|800|950|1100|1250|1400|1550|1650</t>
  </si>
  <si>
    <t>拳王普攻</t>
  </si>
  <si>
    <t>SkillDes_2003501</t>
  </si>
  <si>
    <t>怒拳</t>
  </si>
  <si>
    <t>Skill_Name_2003502</t>
  </si>
  <si>
    <t>释放怒拳，对目标造成攻击力[color=#cb7802]{0}%[/color]的伤害</t>
  </si>
  <si>
    <t>SkillDes_2003502</t>
  </si>
  <si>
    <t>拳王天赋技能</t>
  </si>
  <si>
    <t>宝藏猎人普攻</t>
  </si>
  <si>
    <t>古武祭司（精神）普攻替代</t>
  </si>
  <si>
    <t>SkillDes_2003601</t>
  </si>
  <si>
    <t>火球冲击</t>
  </si>
  <si>
    <t>Skill_Name_2003602</t>
  </si>
  <si>
    <t>召唤火球攻击目标，造成攻击力[color=#cb7802]{0}%[/color]的伤害</t>
  </si>
  <si>
    <t>SkillDes_2003602</t>
  </si>
  <si>
    <t>宝藏猎人天赋技能</t>
  </si>
  <si>
    <t>妖刀姬普攻</t>
  </si>
  <si>
    <t>SkillDes_2003701</t>
  </si>
  <si>
    <t>妖刀姬</t>
  </si>
  <si>
    <t>Skill_Name_2003702</t>
  </si>
  <si>
    <t>劈出5道刀光，对目标造成攻击力[color=#cb7802]{0}%[/color]的伤害</t>
  </si>
  <si>
    <t>SkillDes_2003702</t>
  </si>
  <si>
    <t>450|650|850|1050|1150</t>
  </si>
  <si>
    <t>战神高达普攻</t>
  </si>
  <si>
    <t>SkillDes_2003801</t>
  </si>
  <si>
    <t>战神高达</t>
  </si>
  <si>
    <t>Skill_Name_2003802</t>
  </si>
  <si>
    <t>召唤7道镭射激光，对目标造成攻击力[color=#cb7802]{0}%[/color]的伤害</t>
  </si>
  <si>
    <t>SkillDes_2003802</t>
  </si>
  <si>
    <t>300|500|700|900|1100|1300|1500</t>
  </si>
  <si>
    <t>永春少女普攻</t>
  </si>
  <si>
    <t>SkillDes_2003901</t>
  </si>
  <si>
    <t>永春少女</t>
  </si>
  <si>
    <t>Skill_Name_2003902</t>
  </si>
  <si>
    <t>释放3次永春古拳法，对目标造成攻击力[color=#cb7802]{0}%[/color]的伤害</t>
  </si>
  <si>
    <t>SkillDes_2003902</t>
  </si>
  <si>
    <t>650|800|950</t>
  </si>
  <si>
    <t>魔法萝莉普攻</t>
  </si>
  <si>
    <t>SkillDes_2004001</t>
  </si>
  <si>
    <t>魔法萝莉</t>
  </si>
  <si>
    <t>Skill_Name_2004002</t>
  </si>
  <si>
    <t>召唤魔法阵，对目标造成8次攻击力[color=#cb7802]{0}%[/color]的伤害</t>
  </si>
  <si>
    <t>SkillDes_2004002</t>
  </si>
  <si>
    <t>900|1100|1300|1500|1800|2100|2300|2500</t>
  </si>
  <si>
    <t>厄运玫瑰普攻</t>
  </si>
  <si>
    <t>SkillDes_2004101</t>
  </si>
  <si>
    <t>厄运玫瑰</t>
  </si>
  <si>
    <t>Skill_Name_2004102</t>
  </si>
  <si>
    <t>射出3枚爆破子弹，对目标造成攻击力[color=#cb7802]{0}%[/color]的伤害</t>
  </si>
  <si>
    <t>SkillDes_2004102</t>
  </si>
  <si>
    <t>200|350|500</t>
  </si>
  <si>
    <t>扑克王普攻</t>
  </si>
  <si>
    <t>SkillDes_2004201</t>
  </si>
  <si>
    <t>扑克王</t>
  </si>
  <si>
    <t>Skill_Name_2004202</t>
  </si>
  <si>
    <t>投掷出幸运骰子，对目标造成攻击力[color=#cb7802]{0}%[/color]的伤害</t>
  </si>
  <si>
    <t>SkillDes_2004202</t>
  </si>
  <si>
    <t>哪吒普攻</t>
  </si>
  <si>
    <t>SkillDes_2004301</t>
  </si>
  <si>
    <t>哪吒</t>
  </si>
  <si>
    <t>Skill_Name_2004302</t>
  </si>
  <si>
    <t>召唤混天绫，对目标造成攻击力[color=#cb7802]{0}%[/color]的伤害</t>
  </si>
  <si>
    <t>SkillDes_2004302</t>
  </si>
  <si>
    <t>碧光游侠普攻</t>
  </si>
  <si>
    <t>SkillDes_2004401</t>
  </si>
  <si>
    <t>碧光游侠</t>
  </si>
  <si>
    <t>Skill_Name_2004402</t>
  </si>
  <si>
    <t>召唤箭雨对目标造成6次攻击力[color=#cb7802]{0}%[/color]的伤害</t>
  </si>
  <si>
    <t>SkillDes_2004402</t>
  </si>
  <si>
    <t>400|500|650|800|900|1000</t>
  </si>
  <si>
    <t>阿拉丁普攻</t>
  </si>
  <si>
    <t>SkillDes_2004501</t>
  </si>
  <si>
    <t>阿拉丁</t>
  </si>
  <si>
    <t>Skill_Name_2004502</t>
  </si>
  <si>
    <t>召唤神灯，对目标造成攻击力[color=#cb7802]{0}%[/color]的伤害</t>
  </si>
  <si>
    <t>SkillDes_2004502</t>
  </si>
  <si>
    <t>杰洛特普攻</t>
  </si>
  <si>
    <t>SkillDes_2004601</t>
  </si>
  <si>
    <t>400|730</t>
  </si>
  <si>
    <t>杰洛特</t>
  </si>
  <si>
    <t>Skill_Name_2004602</t>
  </si>
  <si>
    <t>对目标造成攻击力[color=#cb7802]{0}%[/color]的伤害，50%概率对目标附加灼烧</t>
  </si>
  <si>
    <t>SkillDes_2004602</t>
  </si>
  <si>
    <t>375|750|1125|1500|1875|2250|2625|3000</t>
  </si>
  <si>
    <t>箱子怪技能-近战</t>
  </si>
  <si>
    <t>花怪技能-远程</t>
  </si>
  <si>
    <t>眼球怪技能-远程</t>
  </si>
  <si>
    <t>石头猩猩技能-近战</t>
  </si>
  <si>
    <t>幽灵怪技能-远程</t>
  </si>
  <si>
    <t>仙人掌怪技能-远程</t>
  </si>
  <si>
    <t>金币BOSS1-技能</t>
  </si>
  <si>
    <t>金币BOSS2-技能</t>
  </si>
  <si>
    <t>2000|2200|3000|3200</t>
  </si>
  <si>
    <t>2200|2400|3200|3400</t>
  </si>
  <si>
    <t>700|750|850|950|1050</t>
  </si>
  <si>
    <t>1750|1900</t>
  </si>
  <si>
    <t>1400|1600|2050</t>
  </si>
  <si>
    <t>750|950|1150|1350|1550</t>
  </si>
  <si>
    <t>2000|2300|2600|3300|3900|3950|4000</t>
  </si>
  <si>
    <t>1900|2050|2200|2350|2500</t>
  </si>
  <si>
    <t>唯一宠物id</t>
  </si>
  <si>
    <t>宠物名字</t>
  </si>
  <si>
    <t>技能描述（简述）</t>
  </si>
  <si>
    <t>技能描述(详细)</t>
  </si>
  <si>
    <t>波波龟</t>
  </si>
  <si>
    <t>海之波波</t>
  </si>
  <si>
    <t>海翼龟</t>
  </si>
  <si>
    <t>小火狐</t>
  </si>
  <si>
    <t>炎之火狐</t>
  </si>
  <si>
    <t>炎尾狐</t>
  </si>
  <si>
    <t>钢甲鼬</t>
  </si>
  <si>
    <t>钢铠鼬</t>
  </si>
  <si>
    <t>钢铠王</t>
  </si>
  <si>
    <t>沙漠蜥</t>
  </si>
  <si>
    <t>沙漠巨蜥</t>
  </si>
  <si>
    <t>沙漠龙王</t>
  </si>
  <si>
    <t>青叶虫</t>
  </si>
  <si>
    <t>嫩叶虫</t>
  </si>
  <si>
    <t>茂叶蛾</t>
  </si>
  <si>
    <t>幻影猫</t>
  </si>
  <si>
    <t>幻影猫召唤虚空之眼，炽烈的能量波动席卷四周，令敌人瞬间陷入痛苦。</t>
  </si>
  <si>
    <t>梦影猫</t>
  </si>
  <si>
    <t>梦影猫召唤出强力的虚空之眼，其无尽的力量爆发，重创所有周围的敌人。</t>
  </si>
  <si>
    <t>虚梦猫</t>
  </si>
  <si>
    <t>虚梦猫召唤最强虚空之眼，天崩地裂般的巨量能量冲击席卷一切，令敌人无处遁形。</t>
  </si>
  <si>
    <t>行路草</t>
  </si>
  <si>
    <t>行路草在大地上播下寄生种子，种子飞速生长，侵蚀周围的敌人并给予伤害。</t>
  </si>
  <si>
    <t>冰角鹿</t>
  </si>
  <si>
    <t>霜角鹿</t>
  </si>
  <si>
    <t>下忍菇</t>
  </si>
  <si>
    <t>上忍菇</t>
  </si>
  <si>
    <t>影忍菇</t>
  </si>
  <si>
    <t>小树卫</t>
  </si>
  <si>
    <t>小树卫唤醒元素之力，召唤树灵猛然现身，强大的树灵对前方敌人造成毁灭性打击。</t>
  </si>
  <si>
    <t>树桩战士</t>
  </si>
  <si>
    <t>树桩战士召唤出更强大的树灵，巨树灵爆发的力量如风暴般席卷前方的敌人，造成大量伤害。</t>
  </si>
  <si>
    <t>藤蔓球</t>
  </si>
  <si>
    <t>尖牙蔓</t>
  </si>
  <si>
    <t>三头巨蔓</t>
  </si>
  <si>
    <t>小灯蜂</t>
  </si>
  <si>
    <t>灵灯蜂</t>
  </si>
  <si>
    <t>炽焰幼虎</t>
  </si>
  <si>
    <t>炽焰幼虎一跃而起，利爪划破空气，猛烈撕裂敌人，带来炽热的伤害。</t>
  </si>
  <si>
    <t>炽焰虎</t>
  </si>
  <si>
    <t>炽焰虎如雷霆般猛扑而至，强力的爪击狠狠撕裂敌人，造成巨大的伤害。</t>
  </si>
  <si>
    <t>惊吓魔盒</t>
  </si>
  <si>
    <t>惊吓魔盒祭出神秘魔盒，伴随一声巨响，魔盒爆裂，敌人瞬间被冲击波吞没。</t>
  </si>
  <si>
    <t>小丑魔盒</t>
  </si>
  <si>
    <t>小丑魔盒释放出极具破坏力的魔盒，爆炸产生的震撼波动席卷四周，令敌人无处可逃。</t>
  </si>
  <si>
    <t>惨叫鸡</t>
  </si>
  <si>
    <t>惨叫鸡发出令人胆寒的尖锐音波，音波所过之处，敌人皆陷入混乱与痛苦。</t>
  </si>
  <si>
    <t>勇士鸡</t>
  </si>
  <si>
    <t>勇士鸡挥舞长枪，似一道闪电般向前冲刺，带着无尽力量的枪尖刺穿敌人，造成大量伤害。</t>
  </si>
  <si>
    <t>王者鸡</t>
  </si>
  <si>
    <t>鼹鼠幼崽</t>
  </si>
  <si>
    <t>鼹鼠幼崽瞬间消失于地面之上，随即从地底爆发而出，冲击波撕裂周围的敌人。</t>
  </si>
  <si>
    <t>鼹鼠矿工</t>
  </si>
  <si>
    <t>鼹鼠矿工如同大地的守护者，潜伏地下，突然冲出，以无比强大的冲力击溃敌人。</t>
  </si>
  <si>
    <t>受伤小软</t>
  </si>
  <si>
    <t>受伤小软拼命冲向敌人中心，左摇右摆中释放出毒液，四处蔓延，腐蚀敌人的生命。</t>
  </si>
  <si>
    <t>战斗小软</t>
  </si>
  <si>
    <t>战斗小软手持利剑，一往无前地冲刺向敌人，剑光如雷霆般落下，给予敌人致命的打击。</t>
  </si>
  <si>
    <t>奶拳兔</t>
  </si>
  <si>
    <t>奶拳兔挥起小拳头，带着萌动的力量冲向敌人，虽然可爱，但绝不留情。</t>
  </si>
  <si>
    <t>拳击兔</t>
  </si>
  <si>
    <t>拳击兔如风一般向敌人扑去，一连串的组合拳带着狂风骤雨般的力量击打敌人。</t>
  </si>
  <si>
    <t>拳王兔</t>
  </si>
  <si>
    <t>拳王兔全身的力量汇聚于一拳，雷霆般的冲击席卷前方，所到之处，敌人无一幸免。</t>
  </si>
  <si>
    <t>角斗娃</t>
  </si>
  <si>
    <t>角斗娃全力向前冲撞，强大的冲力如同山崩地裂，将周围敌人击飞。</t>
  </si>
  <si>
    <t>巨角斗牛</t>
  </si>
  <si>
    <t>巨角斗牛全身爆发出无穷的力量，猛烈冲撞，震撼波动将周围的敌人碾压成灰。</t>
  </si>
  <si>
    <t>重锤兽</t>
  </si>
  <si>
    <t>重锤兽唤起大地之力，召唤地突刺破土而出，重击敌人，造成巨大的伤害。</t>
  </si>
  <si>
    <t>重锤巨兽</t>
  </si>
  <si>
    <t>重锤巨兽聚集无尽的元素之力，召唤大量地突刺，如同天灾降临，给予敌人毁灭性打击。</t>
  </si>
  <si>
    <t>小烛灵</t>
  </si>
  <si>
    <t>小烛灵将烛火化作火枪，闪电般的子弹射向前方，精准打击敌人。</t>
  </si>
  <si>
    <t>烛灵枪手</t>
  </si>
  <si>
    <t>烛灵枪手幻化出无数火枪，连珠火力覆盖前方，令敌人无处遁形。</t>
  </si>
  <si>
    <t xml:space="preserve"> 火尾猴</t>
  </si>
  <si>
    <t>火焰猴</t>
  </si>
  <si>
    <t>晶角龙崽</t>
  </si>
  <si>
    <t>晶角龙崽借助玄晶元素之力，召唤水晶爆裂，碎片四散，伤害周围的敌人。</t>
  </si>
  <si>
    <t>晶角幼龙</t>
  </si>
  <si>
    <t>晶角巨龙</t>
  </si>
  <si>
    <t>火焰精灵</t>
  </si>
  <si>
    <t>火焰精灵唤出火元素，蓄力后发射炽热火焰，将周围敌人烧成灰烬。</t>
  </si>
  <si>
    <t>熔岩精灵</t>
  </si>
  <si>
    <t>熔岩精灵召唤熔岩元素，炽热的熔岩犹如岩浆般喷涌而出，焚尽一切。</t>
  </si>
  <si>
    <t>爆弹蟹</t>
  </si>
  <si>
    <t>将一颗爆弹扔向敌人，瞬间爆炸，火光四射，伤害爆炸范围内的所有敌人。</t>
  </si>
  <si>
    <t>火药蟹</t>
  </si>
  <si>
    <t>火药桶飞向敌人阵地，随即引爆，爆炸的狂潮席卷四周，造成大量伤害。</t>
  </si>
  <si>
    <t>三恶魔</t>
  </si>
  <si>
    <t>指挥小鬼奋不顾身冲入敌阵，挥舞武器进行无差别攻击，造成混乱和伤害。</t>
  </si>
  <si>
    <t>恶魔小分队</t>
  </si>
  <si>
    <t>指挥精英小鬼全力冲锋，狂乱的攻击如同风暴般横扫敌人，造成大量伤害。</t>
  </si>
  <si>
    <t>蓬蓬羊</t>
  </si>
  <si>
    <t>蓬蓬羊的羊角释放出震荡波，强大的波动让周围的敌人陷入重创。</t>
  </si>
  <si>
    <t>巨角羊</t>
  </si>
  <si>
    <t>巨角羊的羊角发出强力冲击波，巨大的震荡波摧毁敌人，造成大量伤害。</t>
  </si>
  <si>
    <t>炽焰羊</t>
  </si>
  <si>
    <t>炽焰羊全身包裹火焰，如同火焰彗星般向前猛冲，将敌人焚毁殆尽。</t>
  </si>
  <si>
    <t>迷眩蝙蝠</t>
  </si>
  <si>
    <t>迷眩蝙蝠发出震耳欲聋的尖啸，音波穿透空气，击中敌人，造成巨大的伤害。</t>
  </si>
  <si>
    <t>夜影伯爵</t>
  </si>
  <si>
    <t>夜影伯爵发出尖锐的叫声，音波如刀锋般切割敌人，造成可怕的伤害。</t>
  </si>
  <si>
    <t>夜影公爵</t>
  </si>
  <si>
    <t>夜影公爵将深邃的能量注入酒杯，缓缓将其倒向敌阵。酒液如黑暗的潮水般涌动，霎时间在敌人之间爆发出持续性的巨量伤害。</t>
  </si>
  <si>
    <t>稻草人</t>
  </si>
  <si>
    <t>好奇鬼鬼</t>
  </si>
  <si>
    <t>好奇鬼鬼释放幽灵，幽暗的灵体在空中盘旋，给周围的敌人带来恐惧与痛苦。</t>
  </si>
  <si>
    <t>胆小鬼鬼</t>
  </si>
  <si>
    <t>胆小鬼鬼召唤大量幽灵，铺天盖地的幽灵军团对周围的敌人发动猛烈攻击。</t>
  </si>
  <si>
    <t>壶灵</t>
  </si>
  <si>
    <t>壶灵召唤出灵壶，灵壶中射出的光芒打击周围敌人，造成痛苦的伤害。</t>
  </si>
  <si>
    <t>壶灵将</t>
  </si>
  <si>
    <t>壶灵将召唤更高级的灵壶进行攻击，对周围敌人造成大量伤害</t>
  </si>
  <si>
    <t>壶灵召唤高级灵壶，灵壶爆发出的力量吞没敌人，造成大量伤害。</t>
  </si>
  <si>
    <t>壶灵王</t>
  </si>
  <si>
    <t>壶灵王释放灵壶的神力，召唤紫色雷霆，雷霆之力毁天灭地，对敌人造成巨量伤害。</t>
  </si>
  <si>
    <t>灯灵章鱼</t>
  </si>
  <si>
    <t>灯灵章鱼释放炽烈光波，光波横扫四周，灼烧敌人。</t>
  </si>
  <si>
    <t>潜灵章鱼</t>
  </si>
  <si>
    <t>潜灵章鱼释放出更强的光波，光芒刺眼，令周围的敌人无处藏身，造成大量伤害。</t>
  </si>
  <si>
    <t>幼灵犬</t>
  </si>
  <si>
    <t>幼灵犬召唤出神秘灵球，灵球在空中高速旋转，对周围的敌人造成猛烈的伤害。</t>
  </si>
  <si>
    <t>三头灵犬</t>
  </si>
  <si>
    <t>三头灵犬唤出强力灵球，灵球如同雷霆般冲向敌人，带来毁灭性的打击。</t>
  </si>
  <si>
    <t>铃铛蛇</t>
  </si>
  <si>
    <t>喷吉蛇</t>
  </si>
  <si>
    <t>弹弓翼龙</t>
  </si>
  <si>
    <t>弹弓翼龙利用弹弓将自己弹射而出，猛烈地砸向敌人，将敌人击飞。</t>
  </si>
  <si>
    <t>火炮翼龙</t>
  </si>
  <si>
    <t>火炮翼龙通过火炮发射炽热炮弹，炮弹撕裂空气，轰击敌人，造成巨量伤害。</t>
  </si>
  <si>
    <t>雷鸣幼龙</t>
  </si>
  <si>
    <t>雷鸣幼龙引动雷霆元素，召唤雷霆之力轰击大地，震撼周围的敌人。</t>
  </si>
  <si>
    <t>雷暴幼龙</t>
  </si>
  <si>
    <t>雷暴幼龙唤出雷暴之力，雷鸣闪烁间，雷电狂舞，将敌人笼罩在无尽的雷暴中。</t>
  </si>
  <si>
    <t>音波鳄</t>
  </si>
  <si>
    <r>
      <rPr>
        <sz val="11"/>
        <color theme="1"/>
        <rFont val="等线"/>
        <charset val="134"/>
        <scheme val="minor"/>
      </rPr>
      <t>音波鳄</t>
    </r>
    <r>
      <rPr>
        <sz val="11"/>
        <color theme="1"/>
        <rFont val="等线"/>
        <charset val="134"/>
        <scheme val="minor"/>
      </rPr>
      <t>通过发出声波对敌人造成伤害</t>
    </r>
  </si>
  <si>
    <t>音响鳄</t>
  </si>
  <si>
    <r>
      <rPr>
        <sz val="11"/>
        <color theme="1"/>
        <rFont val="等线"/>
        <charset val="134"/>
        <scheme val="minor"/>
      </rPr>
      <t>音响鳄通</t>
    </r>
    <r>
      <rPr>
        <sz val="11"/>
        <color theme="1"/>
        <rFont val="等线"/>
        <charset val="134"/>
        <scheme val="minor"/>
      </rPr>
      <t>过发出声波对敌人造成伤害</t>
    </r>
  </si>
  <si>
    <t>火灵猪</t>
  </si>
  <si>
    <t>火灵猪尾部的火焰熊熊燃烧，甩出的炽热火焰瞬间将周围敌人点燃。</t>
  </si>
  <si>
    <t>炽焰猪</t>
  </si>
  <si>
    <t>炽焰猪头部火焰如烈焰喷发，炽热火流将敌人焚烧殆尽，造成大量伤害。</t>
  </si>
  <si>
    <t>钢爪幼龙</t>
  </si>
  <si>
    <t>钢爪幼龙发出激光射线，激光精准命中敌人，带来剧烈伤害。</t>
  </si>
  <si>
    <t>钢甲暴龙</t>
  </si>
  <si>
    <t>钢甲暴龙发射出强力激光射线，刺破空气，撕裂敌人，造成毁灭性的打击。</t>
  </si>
  <si>
    <t>机械暴龙</t>
  </si>
  <si>
    <t>机械暴龙释放出炽烈且无比强大的激光射线，瞬间扫荡四周，对所有敌人造成毁灭性的巨量伤害</t>
  </si>
  <si>
    <t>木宝蜥</t>
  </si>
  <si>
    <t>木宝蜥迅猛突进，挥动木棍重击敌人，带来不容小觑的伤害。</t>
  </si>
  <si>
    <t>戟手蜥</t>
  </si>
  <si>
    <t>戟手蜥猛然刺出手中大戟，戟刃划破空气，重创敌人，造成大量伤害。</t>
  </si>
  <si>
    <t>骑士蜥</t>
  </si>
  <si>
    <t>骑士蜥激发骑士之魂，召唤出五名强大骑士分身，战阵如洪水般席卷前方敌人，造成巨量伤害。</t>
  </si>
  <si>
    <t>小财龙</t>
  </si>
  <si>
    <t>小财龙将自身珍藏宝物当作武器，猛然丢出，重重砸向敌人，造成伤害。</t>
  </si>
  <si>
    <t>财宝龙</t>
  </si>
  <si>
    <t>财宝龙愤怒地甩出大量珍藏宝物，珠宝纷飞间，敌人被无情击倒，造成大量伤害。</t>
  </si>
  <si>
    <t>导弹鲨</t>
  </si>
  <si>
    <t>导弹鲨化身为导弹，凌空飞行，迅速冲入敌阵，引发猛烈爆炸，造成巨大伤害。</t>
  </si>
  <si>
    <t>鱼雷鲨</t>
  </si>
  <si>
    <t>鱼雷鲨幻化为鱼雷，带着摧枯拉朽的力量穿越敌阵，造成大量伤害。</t>
  </si>
  <si>
    <t>核弹鲨</t>
  </si>
  <si>
    <t>核弹鲨召唤出数枚威力无穷的核弹，巨大的爆炸冲击波碾碎周围的一切，造成毁天灭地的巨量伤害。</t>
  </si>
  <si>
    <t>茶杯灵</t>
  </si>
  <si>
    <t>茶杯灵激发体内的火元素，火焰迸发，迅速灼烧敌人，带来无尽痛苦。</t>
  </si>
  <si>
    <t>象茶壶</t>
  </si>
  <si>
    <t>象茶壶唤出体内大量火元素，火焰如熔岩般喷涌而出，焚尽一切，造成大量伤害。</t>
  </si>
  <si>
    <t>蜜汁蜗牛</t>
  </si>
  <si>
    <t>蜜汁蜗牛召唤蜜汁蜂箱，对周围敌人造成伤害</t>
  </si>
  <si>
    <t>堡垒蜗牛</t>
  </si>
  <si>
    <t>堡垒蜗牛召唤蜜汁蜂箱，对周围敌人造成大量伤害</t>
  </si>
  <si>
    <t>城堡蜗牛</t>
  </si>
  <si>
    <t>指挥4只蜜蜂战士在敌人上方丢蜂箱炸弹，对敌人造成大范围的巨量伤害</t>
  </si>
  <si>
    <t>雪人</t>
  </si>
  <si>
    <t>雪人扔出雪球，对周围敌人造成伤害</t>
  </si>
  <si>
    <t>雪怪</t>
  </si>
  <si>
    <t>雪人扔出强力雪球，对周围敌人造成大量伤害</t>
  </si>
  <si>
    <t>雪人挥出强力雪球，带着风雪的威力猛然击中敌人，造成大量伤害。</t>
  </si>
  <si>
    <t>国王指挥四只蜜蜂战士从空中投掷蜂箱炸弹，对敌人造成大范围的爆炸性巨量伤害。</t>
  </si>
  <si>
    <t>冰灵</t>
  </si>
  <si>
    <t>冰灵唤出冰元素的寒气，召唤出锐利的冰刺，从地面瞬间刺出，对周围的敌人造成凛冽的伤害。</t>
  </si>
  <si>
    <t>冰甲兽</t>
  </si>
  <si>
    <t>冰甲兽掌控强力冰元素，召唤出巨大的冰刺，冰封大地的力量猛然爆发，给予周围敌人毁灭性的打击。</t>
  </si>
  <si>
    <t>见习海盗鲨</t>
  </si>
  <si>
    <t>见习海盗鲨以水之力覆盖全身，潜入水下，随后如闪电般破水而出，猛烈冲击敌人，带来冲击伤害。</t>
  </si>
  <si>
    <t>大副海盗鲨</t>
  </si>
  <si>
    <t>大副海盗鲨将水之力环绕全身，隐匿于水下，紧接着以更为强劲的力量破水而出，激起狂浪，给予敌人致命一击。</t>
  </si>
  <si>
    <t>Buffs</t>
  </si>
  <si>
    <r>
      <rPr>
        <b/>
        <sz val="11"/>
        <rFont val="微软雅黑"/>
        <charset val="134"/>
      </rPr>
      <t>攻击特效</t>
    </r>
    <r>
      <rPr>
        <sz val="11"/>
        <color theme="1"/>
        <rFont val="Times New Roman"/>
        <charset val="134"/>
      </rPr>
      <t>id</t>
    </r>
  </si>
  <si>
    <r>
      <rPr>
        <b/>
        <sz val="11"/>
        <rFont val="微软雅黑"/>
        <charset val="134"/>
      </rPr>
      <t>受击特效</t>
    </r>
    <r>
      <rPr>
        <sz val="11"/>
        <color theme="1"/>
        <rFont val="Times New Roman"/>
        <charset val="134"/>
      </rPr>
      <t>id</t>
    </r>
  </si>
  <si>
    <r>
      <rPr>
        <b/>
        <sz val="11"/>
        <rFont val="微软雅黑"/>
        <charset val="134"/>
      </rPr>
      <t>子弹特效</t>
    </r>
    <r>
      <rPr>
        <sz val="11"/>
        <color theme="1"/>
        <rFont val="Times New Roman"/>
        <charset val="134"/>
      </rPr>
      <t>id</t>
    </r>
  </si>
  <si>
    <t>2200|2400|3200|3411</t>
  </si>
  <si>
    <t>传说6</t>
  </si>
  <si>
    <t>神话6</t>
  </si>
  <si>
    <t>无限6</t>
  </si>
  <si>
    <t>火焰宝珠专属突破属性</t>
  </si>
  <si>
    <t>太阳之泪专属突破属性</t>
  </si>
  <si>
    <t>马里奥普攻</t>
  </si>
  <si>
    <t>马里奥天赋技能</t>
  </si>
  <si>
    <t>造成3段伤害，算技能时要除3分配</t>
  </si>
  <si>
    <t>化身熊猫</t>
  </si>
  <si>
    <t>在生命值低于30%时，化身为熊猫神兽，获得更强大的力量和耐力</t>
  </si>
  <si>
    <t>300|1400|2900</t>
  </si>
  <si>
    <t>大竹抛射</t>
  </si>
  <si>
    <t>丢出1个大竹子，造成100%伤害</t>
  </si>
  <si>
    <t>李小龙天赋技能</t>
  </si>
  <si>
    <t>箭矢发射</t>
  </si>
  <si>
    <t>哈利波特天赋技能</t>
  </si>
  <si>
    <t>精准攻击</t>
  </si>
  <si>
    <t>精确瞄准目标，造成致命一击，暴击概率提升3000</t>
  </si>
  <si>
    <t>烟丝抛射</t>
  </si>
  <si>
    <t>坚韧体魄</t>
  </si>
  <si>
    <t>通过冥想和修炼，提升自身的抗击打能力和生命值，生命提升5000</t>
  </si>
  <si>
    <t>元素法师普攻</t>
  </si>
  <si>
    <t>元素拥护</t>
  </si>
  <si>
    <t>获得元素能力，提升自身的连击属性，连击提升3000</t>
  </si>
  <si>
    <t>狂战（格斗）普攻替代</t>
  </si>
  <si>
    <t>狂战（格斗）技能替代</t>
  </si>
  <si>
    <t>1600|1700|1800|1900|2000|2100|2200|2300|2400</t>
  </si>
  <si>
    <t>格斗亲和</t>
  </si>
  <si>
    <t>格斗系panda能力有强大的提升</t>
  </si>
  <si>
    <t>狂战（格斗）被动4替代</t>
  </si>
  <si>
    <t>狂战（格斗）被动5替代</t>
  </si>
  <si>
    <t>影刺（草）普攻替代</t>
  </si>
  <si>
    <t>影刺（草）技能替代</t>
  </si>
  <si>
    <t>草系亲和</t>
  </si>
  <si>
    <t>草系panda能力有强大的提升</t>
  </si>
  <si>
    <t>影刺（草）被动4替代</t>
  </si>
  <si>
    <t>影刺（草）被动5替代</t>
  </si>
  <si>
    <t>渔夫（水）普攻替代</t>
  </si>
  <si>
    <t>渔夫（水）技能替代</t>
  </si>
  <si>
    <t>水系亲和</t>
  </si>
  <si>
    <t>水系panda能力有强大的提升</t>
  </si>
  <si>
    <t>渔夫（水）被动4替代</t>
  </si>
  <si>
    <t>渔夫（水）被动5替代</t>
  </si>
  <si>
    <t>贤者（龙）普攻替代</t>
  </si>
  <si>
    <t>贤者（龙）技能替代</t>
  </si>
  <si>
    <t>龙系亲和</t>
  </si>
  <si>
    <t>龙系panda能力有强大的提升</t>
  </si>
  <si>
    <t>贤者（龙）被动4替代</t>
  </si>
  <si>
    <t>贤者（龙）被动5替代</t>
  </si>
  <si>
    <t>酒仙（火）普攻替代</t>
  </si>
  <si>
    <t>酒仙（火）技能替代</t>
  </si>
  <si>
    <t>火系亲和</t>
  </si>
  <si>
    <t>火系panda能力有强大的提升</t>
  </si>
  <si>
    <t>酒仙（火）被动4替代</t>
  </si>
  <si>
    <t>酒仙（火）被动5替代</t>
  </si>
  <si>
    <t>古武祭司（精神）技能替代</t>
  </si>
  <si>
    <t>精神亲和</t>
  </si>
  <si>
    <t>精神系panda能力有强大的提升</t>
  </si>
  <si>
    <t>古武祭司（精神）被动4替代</t>
  </si>
  <si>
    <t>古武祭司（精神）被动5替代</t>
  </si>
  <si>
    <t>id</t>
  </si>
  <si>
    <t>SkillCrit</t>
  </si>
  <si>
    <t>SkillLevel</t>
  </si>
  <si>
    <t>Ascription</t>
  </si>
  <si>
    <t>Consume</t>
  </si>
  <si>
    <t>TriggerCondition</t>
  </si>
  <si>
    <t>power</t>
  </si>
  <si>
    <t>技能暴击</t>
  </si>
  <si>
    <t>技能等级</t>
  </si>
  <si>
    <t>归属技能ID</t>
  </si>
  <si>
    <t>升级消耗（金币）</t>
  </si>
  <si>
    <t>XP触发条件</t>
  </si>
  <si>
    <t>技能战斗力</t>
  </si>
  <si>
    <r>
      <rPr>
        <b/>
        <sz val="10"/>
        <rFont val="微软雅黑"/>
        <charset val="134"/>
      </rPr>
      <t>攻击特效</t>
    </r>
    <r>
      <rPr>
        <sz val="10.5"/>
        <color theme="1"/>
        <rFont val="Times New Roman"/>
        <charset val="134"/>
      </rPr>
      <t>id</t>
    </r>
  </si>
  <si>
    <r>
      <rPr>
        <b/>
        <sz val="10"/>
        <rFont val="微软雅黑"/>
        <charset val="134"/>
      </rPr>
      <t>受击特效</t>
    </r>
    <r>
      <rPr>
        <sz val="10.5"/>
        <color theme="1"/>
        <rFont val="Times New Roman"/>
        <charset val="134"/>
      </rPr>
      <t>id</t>
    </r>
  </si>
  <si>
    <r>
      <rPr>
        <b/>
        <sz val="10"/>
        <rFont val="微软雅黑"/>
        <charset val="134"/>
      </rPr>
      <t>子弹特效</t>
    </r>
    <r>
      <rPr>
        <sz val="10.5"/>
        <color theme="1"/>
        <rFont val="Times New Roman"/>
        <charset val="134"/>
      </rPr>
      <t>id</t>
    </r>
  </si>
  <si>
    <t>小竹抛射</t>
  </si>
  <si>
    <t>丢出1个小竹子，造成80%伤害</t>
  </si>
  <si>
    <t>竹炮攻击</t>
  </si>
  <si>
    <t>发射一个竹筒炮，对前方怪物造成范围伤害</t>
  </si>
  <si>
    <t>1,3000</t>
  </si>
  <si>
    <t>连珠竹炮</t>
  </si>
  <si>
    <t>发射3个竹筒炮，对前方怪物造成范围伤害</t>
  </si>
  <si>
    <t>2000|2450|3050</t>
  </si>
  <si>
    <t>箭雨风暴</t>
  </si>
  <si>
    <t>召唤箭雨风暴，覆盖广阔区域，对敌人造成240%范围伤害。</t>
  </si>
  <si>
    <t>烟斗倾泻</t>
  </si>
  <si>
    <t>将烟斗中的烟丝对前方倾泻而出，覆盖广阔区域，对敌人造成220%范围伤害。</t>
  </si>
  <si>
    <t>1070|1170|1270|1370|1470|1570|1670|1770|1870|1970</t>
  </si>
  <si>
    <t>元素法师技能</t>
  </si>
  <si>
    <t>元素法师（法师）技能替代</t>
  </si>
  <si>
    <t>初级生命</t>
  </si>
  <si>
    <t>生命+0</t>
  </si>
  <si>
    <t>生命+30</t>
  </si>
  <si>
    <t>生命+60</t>
  </si>
  <si>
    <t>生命+91</t>
  </si>
  <si>
    <t>生命+121</t>
  </si>
  <si>
    <t>生命+189</t>
  </si>
  <si>
    <t>初级爆伤</t>
  </si>
  <si>
    <t>暴伤+0</t>
  </si>
  <si>
    <t>暴伤+1</t>
  </si>
  <si>
    <t>暴伤+2</t>
  </si>
  <si>
    <t>暴伤+3</t>
  </si>
  <si>
    <t>暴伤+4</t>
  </si>
  <si>
    <t>暴伤+6</t>
  </si>
  <si>
    <t>初级爆抗</t>
  </si>
  <si>
    <t>抗暴+0</t>
  </si>
  <si>
    <t>抗暴+2</t>
  </si>
  <si>
    <t>抗暴+3</t>
  </si>
  <si>
    <t>抗暴+4</t>
  </si>
  <si>
    <t>抗暴+5</t>
  </si>
  <si>
    <t>抗暴+10</t>
  </si>
  <si>
    <t>初级穿透</t>
  </si>
  <si>
    <t>穿透+0</t>
  </si>
  <si>
    <t>穿透+1</t>
  </si>
  <si>
    <t>穿透+2</t>
  </si>
  <si>
    <t>穿透+3</t>
  </si>
  <si>
    <t>穿透+4</t>
  </si>
  <si>
    <t>穿透+7</t>
  </si>
  <si>
    <t>中级生命</t>
  </si>
  <si>
    <t>生命+290</t>
  </si>
  <si>
    <t>生命+442</t>
  </si>
  <si>
    <t>生命+670</t>
  </si>
  <si>
    <t>生命+1012</t>
  </si>
  <si>
    <t>生命+1437</t>
  </si>
  <si>
    <t>中级爆伤</t>
  </si>
  <si>
    <t>暴伤+9</t>
  </si>
  <si>
    <t>暴伤+13</t>
  </si>
  <si>
    <t>暴伤+18</t>
  </si>
  <si>
    <t>暴伤+24</t>
  </si>
  <si>
    <t>暴伤+30</t>
  </si>
  <si>
    <t>中级爆抗</t>
  </si>
  <si>
    <t>抗暴+15</t>
  </si>
  <si>
    <t>抗暴+20</t>
  </si>
  <si>
    <t>抗暴+25</t>
  </si>
  <si>
    <t>抗暴+30</t>
  </si>
  <si>
    <t>抗暴+35</t>
  </si>
  <si>
    <t>中级穿透</t>
  </si>
  <si>
    <t>穿透+10</t>
  </si>
  <si>
    <t>穿透+15</t>
  </si>
  <si>
    <t>穿透+22</t>
  </si>
  <si>
    <t>穿透+31</t>
  </si>
  <si>
    <t>穿透+46</t>
  </si>
  <si>
    <t>中级防御</t>
  </si>
  <si>
    <t>防御+0</t>
  </si>
  <si>
    <t>防御+10</t>
  </si>
  <si>
    <t>防御+21</t>
  </si>
  <si>
    <t>防御+32</t>
  </si>
  <si>
    <t>防御+43</t>
  </si>
  <si>
    <t>防御+58</t>
  </si>
  <si>
    <t>中级连击</t>
  </si>
  <si>
    <t>连击+0</t>
  </si>
  <si>
    <t>连击+4</t>
  </si>
  <si>
    <t>连击+8</t>
  </si>
  <si>
    <t>连击+12</t>
  </si>
  <si>
    <t>连击+16</t>
  </si>
  <si>
    <t>连击+18</t>
  </si>
  <si>
    <t>高级生命</t>
  </si>
  <si>
    <t>生命+2031</t>
  </si>
  <si>
    <t>生命+2863</t>
  </si>
  <si>
    <t>生命+4028</t>
  </si>
  <si>
    <t>生命+5658</t>
  </si>
  <si>
    <t>生命+7941</t>
  </si>
  <si>
    <t>生命+11137</t>
  </si>
  <si>
    <t>生命+15611</t>
  </si>
  <si>
    <t>生命+21875</t>
  </si>
  <si>
    <t>生命+30644</t>
  </si>
  <si>
    <t>生命+42921</t>
  </si>
  <si>
    <t>高级爆伤</t>
  </si>
  <si>
    <t>暴伤+36</t>
  </si>
  <si>
    <t>暴伤+44</t>
  </si>
  <si>
    <t>暴伤+53</t>
  </si>
  <si>
    <t>暴伤+65</t>
  </si>
  <si>
    <t>暴伤+78</t>
  </si>
  <si>
    <t>暴伤+95</t>
  </si>
  <si>
    <t>暴伤+114</t>
  </si>
  <si>
    <t>暴伤+138</t>
  </si>
  <si>
    <t>暴伤+166</t>
  </si>
  <si>
    <t>暴伤+200</t>
  </si>
  <si>
    <t>高级爆抗</t>
  </si>
  <si>
    <t>抗暴+40</t>
  </si>
  <si>
    <t>抗暴+45</t>
  </si>
  <si>
    <t>抗暴+50</t>
  </si>
  <si>
    <t>抗暴+55</t>
  </si>
  <si>
    <t>抗暴+60</t>
  </si>
  <si>
    <t>抗暴+65</t>
  </si>
  <si>
    <t>抗暴+70</t>
  </si>
  <si>
    <t>抗暴+75</t>
  </si>
  <si>
    <t>高级穿透</t>
  </si>
  <si>
    <t>穿透+41</t>
  </si>
  <si>
    <t>穿透+52</t>
  </si>
  <si>
    <t>穿透+66</t>
  </si>
  <si>
    <t>穿透+83</t>
  </si>
  <si>
    <t>穿透+105</t>
  </si>
  <si>
    <t>穿透+131</t>
  </si>
  <si>
    <t>穿透+165</t>
  </si>
  <si>
    <t>穿透+206</t>
  </si>
  <si>
    <t>穿透+257</t>
  </si>
  <si>
    <t>穿透+320</t>
  </si>
  <si>
    <t>穿透+398</t>
  </si>
  <si>
    <t>高级防御</t>
  </si>
  <si>
    <t>防御+77</t>
  </si>
  <si>
    <t>防御+102</t>
  </si>
  <si>
    <t>防御+134</t>
  </si>
  <si>
    <t>防御+175</t>
  </si>
  <si>
    <t>防御+230</t>
  </si>
  <si>
    <t>防御+300</t>
  </si>
  <si>
    <t>防御+392</t>
  </si>
  <si>
    <t>防御+511</t>
  </si>
  <si>
    <t>防御+666</t>
  </si>
  <si>
    <t>防御+867</t>
  </si>
  <si>
    <t>高级连击</t>
  </si>
  <si>
    <t>连击+20</t>
  </si>
  <si>
    <t>连击+22</t>
  </si>
  <si>
    <t>连击+24</t>
  </si>
  <si>
    <t>连击+27</t>
  </si>
  <si>
    <t>连击+30</t>
  </si>
  <si>
    <t>连击+33</t>
  </si>
  <si>
    <t>连击+36</t>
  </si>
  <si>
    <t>连击+40</t>
  </si>
  <si>
    <t>连击+44</t>
  </si>
  <si>
    <t>连击+48</t>
  </si>
  <si>
    <t>高级攻击</t>
  </si>
  <si>
    <t>攻击+0</t>
  </si>
  <si>
    <t>攻击+102</t>
  </si>
  <si>
    <t>攻击+204</t>
  </si>
  <si>
    <t>攻击+307</t>
  </si>
  <si>
    <t>攻击+409</t>
  </si>
  <si>
    <t>攻击+512</t>
  </si>
  <si>
    <t>攻击+614</t>
  </si>
  <si>
    <t>攻击+716</t>
  </si>
  <si>
    <t>攻击+819</t>
  </si>
  <si>
    <t>攻击+921</t>
  </si>
  <si>
    <t>攻击+1024</t>
  </si>
  <si>
    <t>高级暴击</t>
  </si>
  <si>
    <t>暴击+0</t>
  </si>
  <si>
    <t>暴击+1</t>
  </si>
  <si>
    <t>暴击+2</t>
  </si>
  <si>
    <t>暴击+3</t>
  </si>
  <si>
    <t>暴击+4</t>
  </si>
  <si>
    <t>暴击+5</t>
  </si>
  <si>
    <t>暴击+6</t>
  </si>
  <si>
    <t>暴击+7</t>
  </si>
  <si>
    <t>暴击+8</t>
  </si>
  <si>
    <t>暴击+9</t>
  </si>
  <si>
    <t>暴击+10</t>
  </si>
  <si>
    <t>高级反击</t>
  </si>
  <si>
    <t>反击+0</t>
  </si>
  <si>
    <t>反击+2</t>
  </si>
  <si>
    <t>反击+4</t>
  </si>
  <si>
    <t>反击+6</t>
  </si>
  <si>
    <t>反击+8</t>
  </si>
  <si>
    <t>反击+10</t>
  </si>
  <si>
    <t>反击+12</t>
  </si>
  <si>
    <t>反击+14</t>
  </si>
  <si>
    <t>反击+16</t>
  </si>
  <si>
    <t>反击+18</t>
  </si>
  <si>
    <t>反击+20</t>
  </si>
  <si>
    <t>高级恢复</t>
  </si>
  <si>
    <t>恢复+0</t>
  </si>
  <si>
    <t>恢复+10</t>
  </si>
  <si>
    <t>恢复+20</t>
  </si>
  <si>
    <t>恢复+30</t>
  </si>
  <si>
    <t>恢复+40</t>
  </si>
  <si>
    <t>恢复+50</t>
  </si>
  <si>
    <t>恢复+60</t>
  </si>
  <si>
    <t>恢复+70</t>
  </si>
  <si>
    <t>恢复+80</t>
  </si>
  <si>
    <t>恢复+90</t>
  </si>
  <si>
    <t>恢复+100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</si>
</sst>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sz val="11"/>
      <name val="等线"/>
      <charset val="134"/>
      <scheme val="minor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1"/>
      <color rgb="FF000000"/>
      <name val="等线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0"/>
      <color rgb="FF00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等线"/>
      <charset val="134"/>
      <scheme val="minor"/>
    </font>
    <font>
      <sz val="12"/>
      <name val="微软雅黑"/>
      <charset val="134"/>
    </font>
    <font>
      <sz val="11"/>
      <color rgb="FF000000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Times New Roman"/>
      <charset val="134"/>
    </font>
    <font>
      <sz val="10.5"/>
      <color theme="1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104">
    <xf numFmtId="0" fontId="0" fillId="0" borderId="0" xfId="0"/>
    <xf numFmtId="0" fontId="0" fillId="0" borderId="0" xfId="0" applyFont="1"/>
    <xf numFmtId="0" fontId="0" fillId="2" borderId="0" xfId="0" applyFont="1" applyFill="1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2" fillId="0" borderId="0" xfId="0" applyFont="1"/>
    <xf numFmtId="0" fontId="3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2" fillId="2" borderId="0" xfId="0" applyFont="1" applyFill="1"/>
    <xf numFmtId="0" fontId="5" fillId="0" borderId="0" xfId="0" applyFont="1" applyAlignment="1">
      <alignment horizontal="right"/>
    </xf>
    <xf numFmtId="3" fontId="0" fillId="0" borderId="0" xfId="0" applyNumberFormat="1" applyFont="1"/>
    <xf numFmtId="0" fontId="0" fillId="0" borderId="0" xfId="0" applyFont="1" applyAlignment="1">
      <alignment horizontal="left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10" xfId="0" applyBorder="1"/>
    <xf numFmtId="0" fontId="0" fillId="0" borderId="10" xfId="0" applyFont="1" applyBorder="1"/>
    <xf numFmtId="0" fontId="1" fillId="0" borderId="0" xfId="0" applyFont="1" applyBorder="1" applyAlignment="1">
      <alignment horizontal="justify" vertical="center" wrapText="1"/>
    </xf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 wrapText="1"/>
    </xf>
    <xf numFmtId="0" fontId="7" fillId="0" borderId="9" xfId="0" applyNumberFormat="1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/>
    </xf>
    <xf numFmtId="0" fontId="7" fillId="0" borderId="9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0" borderId="0" xfId="0" applyFont="1" applyBorder="1"/>
    <xf numFmtId="0" fontId="0" fillId="2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0" fillId="2" borderId="0" xfId="0" applyNumberFormat="1" applyFont="1" applyFill="1" applyAlignment="1">
      <alignment horizontal="left"/>
    </xf>
    <xf numFmtId="0" fontId="0" fillId="0" borderId="11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0" fillId="0" borderId="11" xfId="0" applyNumberFormat="1" applyFont="1" applyFill="1" applyBorder="1" applyAlignment="1">
      <alignment horizontal="left"/>
    </xf>
    <xf numFmtId="0" fontId="0" fillId="0" borderId="10" xfId="0" applyNumberFormat="1" applyFont="1" applyFill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2" borderId="0" xfId="0" applyFont="1" applyFill="1"/>
    <xf numFmtId="0" fontId="6" fillId="0" borderId="0" xfId="0" applyFont="1" applyFill="1"/>
    <xf numFmtId="0" fontId="6" fillId="0" borderId="0" xfId="0" applyFont="1"/>
    <xf numFmtId="0" fontId="6" fillId="0" borderId="0" xfId="0" applyFont="1" applyAlignment="1"/>
    <xf numFmtId="49" fontId="6" fillId="0" borderId="0" xfId="0" applyNumberFormat="1" applyFont="1"/>
    <xf numFmtId="0" fontId="6" fillId="0" borderId="0" xfId="0" applyNumberFormat="1" applyFont="1"/>
    <xf numFmtId="0" fontId="6" fillId="0" borderId="0" xfId="0" applyFont="1" applyFill="1" applyAlignment="1">
      <alignment horizontal="left"/>
    </xf>
    <xf numFmtId="49" fontId="6" fillId="0" borderId="1" xfId="0" applyNumberFormat="1" applyFont="1" applyFill="1" applyBorder="1" applyAlignment="1">
      <alignment horizontal="left" vertical="center" wrapText="1"/>
    </xf>
    <xf numFmtId="49" fontId="6" fillId="0" borderId="2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49" fontId="6" fillId="0" borderId="0" xfId="0" applyNumberFormat="1" applyFont="1" applyFill="1" applyAlignment="1">
      <alignment horizontal="left"/>
    </xf>
    <xf numFmtId="0" fontId="0" fillId="0" borderId="0" xfId="0" applyFont="1" applyFill="1" applyBorder="1" applyAlignment="1"/>
    <xf numFmtId="0" fontId="9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9" fillId="0" borderId="0" xfId="0" applyNumberFormat="1" applyFont="1" applyFill="1" applyAlignment="1">
      <alignment horizontal="left"/>
    </xf>
    <xf numFmtId="49" fontId="0" fillId="0" borderId="0" xfId="0" applyNumberFormat="1" applyFill="1" applyAlignment="1">
      <alignment horizontal="left" vertical="center"/>
    </xf>
    <xf numFmtId="49" fontId="0" fillId="0" borderId="0" xfId="0" applyNumberFormat="1"/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NumberFormat="1" applyFont="1" applyFill="1" applyBorder="1" applyAlignment="1">
      <alignment horizontal="left" vertical="center"/>
    </xf>
    <xf numFmtId="0" fontId="12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0" fillId="2" borderId="0" xfId="0" applyNumberFormat="1" applyFill="1"/>
    <xf numFmtId="0" fontId="6" fillId="2" borderId="0" xfId="0" applyFont="1" applyFill="1" applyAlignment="1">
      <alignment horizontal="left"/>
    </xf>
    <xf numFmtId="0" fontId="1" fillId="0" borderId="0" xfId="0" applyFont="1"/>
    <xf numFmtId="0" fontId="5" fillId="0" borderId="0" xfId="0" applyFont="1" applyAlignment="1">
      <alignment horizontal="left"/>
    </xf>
    <xf numFmtId="0" fontId="6" fillId="0" borderId="11" xfId="0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0" xfId="0" applyFont="1" applyFill="1" applyAlignment="1">
      <alignment horizontal="left" vertical="center"/>
    </xf>
    <xf numFmtId="49" fontId="6" fillId="0" borderId="10" xfId="0" applyNumberFormat="1" applyFont="1" applyFill="1" applyBorder="1" applyAlignment="1">
      <alignment horizontal="left"/>
    </xf>
    <xf numFmtId="0" fontId="13" fillId="0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NumberFormat="1" applyFont="1" applyFill="1" applyBorder="1" applyAlignment="1" applyProtection="1">
      <alignment horizontal="left"/>
    </xf>
    <xf numFmtId="0" fontId="6" fillId="0" borderId="11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3" fontId="0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66675</xdr:colOff>
      <xdr:row>16</xdr:row>
      <xdr:rowOff>28575</xdr:rowOff>
    </xdr:from>
    <xdr:to>
      <xdr:col>3</xdr:col>
      <xdr:colOff>606675</xdr:colOff>
      <xdr:row>19</xdr:row>
      <xdr:rowOff>18926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338137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17</xdr:row>
      <xdr:rowOff>47625</xdr:rowOff>
    </xdr:from>
    <xdr:to>
      <xdr:col>3</xdr:col>
      <xdr:colOff>606675</xdr:colOff>
      <xdr:row>20</xdr:row>
      <xdr:rowOff>37976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360997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18</xdr:row>
      <xdr:rowOff>28575</xdr:rowOff>
    </xdr:from>
    <xdr:to>
      <xdr:col>3</xdr:col>
      <xdr:colOff>616200</xdr:colOff>
      <xdr:row>21</xdr:row>
      <xdr:rowOff>18927</xdr:rowOff>
    </xdr:to>
    <xdr:pic>
      <xdr:nvPicPr>
        <xdr:cNvPr id="4" name="图片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380047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19</xdr:row>
      <xdr:rowOff>47625</xdr:rowOff>
    </xdr:from>
    <xdr:to>
      <xdr:col>3</xdr:col>
      <xdr:colOff>616200</xdr:colOff>
      <xdr:row>22</xdr:row>
      <xdr:rowOff>37977</xdr:rowOff>
    </xdr:to>
    <xdr:pic>
      <xdr:nvPicPr>
        <xdr:cNvPr id="5" name="图片 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402907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22</xdr:row>
      <xdr:rowOff>47625</xdr:rowOff>
    </xdr:from>
    <xdr:to>
      <xdr:col>3</xdr:col>
      <xdr:colOff>644775</xdr:colOff>
      <xdr:row>25</xdr:row>
      <xdr:rowOff>37977</xdr:rowOff>
    </xdr:to>
    <xdr:pic>
      <xdr:nvPicPr>
        <xdr:cNvPr id="6" name="图片 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465772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23</xdr:row>
      <xdr:rowOff>28575</xdr:rowOff>
    </xdr:from>
    <xdr:to>
      <xdr:col>3</xdr:col>
      <xdr:colOff>635250</xdr:colOff>
      <xdr:row>26</xdr:row>
      <xdr:rowOff>18927</xdr:rowOff>
    </xdr:to>
    <xdr:pic>
      <xdr:nvPicPr>
        <xdr:cNvPr id="7" name="图片 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484822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25</xdr:row>
      <xdr:rowOff>47625</xdr:rowOff>
    </xdr:from>
    <xdr:to>
      <xdr:col>3</xdr:col>
      <xdr:colOff>616200</xdr:colOff>
      <xdr:row>28</xdr:row>
      <xdr:rowOff>37976</xdr:rowOff>
    </xdr:to>
    <xdr:pic>
      <xdr:nvPicPr>
        <xdr:cNvPr id="8" name="图片 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528637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26</xdr:row>
      <xdr:rowOff>38100</xdr:rowOff>
    </xdr:from>
    <xdr:to>
      <xdr:col>3</xdr:col>
      <xdr:colOff>616200</xdr:colOff>
      <xdr:row>29</xdr:row>
      <xdr:rowOff>28452</xdr:rowOff>
    </xdr:to>
    <xdr:pic>
      <xdr:nvPicPr>
        <xdr:cNvPr id="9" name="图片 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548640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27</xdr:row>
      <xdr:rowOff>47625</xdr:rowOff>
    </xdr:from>
    <xdr:to>
      <xdr:col>3</xdr:col>
      <xdr:colOff>616200</xdr:colOff>
      <xdr:row>30</xdr:row>
      <xdr:rowOff>37977</xdr:rowOff>
    </xdr:to>
    <xdr:pic>
      <xdr:nvPicPr>
        <xdr:cNvPr id="10" name="图片 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570547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28</xdr:row>
      <xdr:rowOff>47625</xdr:rowOff>
    </xdr:from>
    <xdr:to>
      <xdr:col>3</xdr:col>
      <xdr:colOff>606675</xdr:colOff>
      <xdr:row>31</xdr:row>
      <xdr:rowOff>37976</xdr:rowOff>
    </xdr:to>
    <xdr:pic>
      <xdr:nvPicPr>
        <xdr:cNvPr id="11" name="图片 1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591502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29</xdr:row>
      <xdr:rowOff>57150</xdr:rowOff>
    </xdr:from>
    <xdr:to>
      <xdr:col>3</xdr:col>
      <xdr:colOff>616200</xdr:colOff>
      <xdr:row>32</xdr:row>
      <xdr:rowOff>47501</xdr:rowOff>
    </xdr:to>
    <xdr:pic>
      <xdr:nvPicPr>
        <xdr:cNvPr id="12" name="图片 1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613410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31</xdr:row>
      <xdr:rowOff>28575</xdr:rowOff>
    </xdr:from>
    <xdr:to>
      <xdr:col>3</xdr:col>
      <xdr:colOff>625725</xdr:colOff>
      <xdr:row>34</xdr:row>
      <xdr:rowOff>18927</xdr:rowOff>
    </xdr:to>
    <xdr:pic>
      <xdr:nvPicPr>
        <xdr:cNvPr id="13" name="图片 1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52462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32</xdr:row>
      <xdr:rowOff>28575</xdr:rowOff>
    </xdr:from>
    <xdr:to>
      <xdr:col>3</xdr:col>
      <xdr:colOff>635250</xdr:colOff>
      <xdr:row>35</xdr:row>
      <xdr:rowOff>18926</xdr:rowOff>
    </xdr:to>
    <xdr:pic>
      <xdr:nvPicPr>
        <xdr:cNvPr id="14" name="图片 1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673417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33</xdr:row>
      <xdr:rowOff>47625</xdr:rowOff>
    </xdr:from>
    <xdr:to>
      <xdr:col>3</xdr:col>
      <xdr:colOff>616200</xdr:colOff>
      <xdr:row>36</xdr:row>
      <xdr:rowOff>37976</xdr:rowOff>
    </xdr:to>
    <xdr:pic>
      <xdr:nvPicPr>
        <xdr:cNvPr id="15" name="图片 1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696277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34</xdr:row>
      <xdr:rowOff>47625</xdr:rowOff>
    </xdr:from>
    <xdr:to>
      <xdr:col>3</xdr:col>
      <xdr:colOff>616200</xdr:colOff>
      <xdr:row>37</xdr:row>
      <xdr:rowOff>37976</xdr:rowOff>
    </xdr:to>
    <xdr:pic>
      <xdr:nvPicPr>
        <xdr:cNvPr id="16" name="图片 1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717232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35</xdr:row>
      <xdr:rowOff>38100</xdr:rowOff>
    </xdr:from>
    <xdr:to>
      <xdr:col>3</xdr:col>
      <xdr:colOff>616200</xdr:colOff>
      <xdr:row>38</xdr:row>
      <xdr:rowOff>28452</xdr:rowOff>
    </xdr:to>
    <xdr:pic>
      <xdr:nvPicPr>
        <xdr:cNvPr id="17" name="图片 1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737235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37</xdr:row>
      <xdr:rowOff>47625</xdr:rowOff>
    </xdr:from>
    <xdr:to>
      <xdr:col>3</xdr:col>
      <xdr:colOff>616200</xdr:colOff>
      <xdr:row>40</xdr:row>
      <xdr:rowOff>37976</xdr:rowOff>
    </xdr:to>
    <xdr:pic>
      <xdr:nvPicPr>
        <xdr:cNvPr id="18" name="图片 1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780097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38</xdr:row>
      <xdr:rowOff>47625</xdr:rowOff>
    </xdr:from>
    <xdr:to>
      <xdr:col>3</xdr:col>
      <xdr:colOff>606675</xdr:colOff>
      <xdr:row>41</xdr:row>
      <xdr:rowOff>37976</xdr:rowOff>
    </xdr:to>
    <xdr:pic>
      <xdr:nvPicPr>
        <xdr:cNvPr id="19" name="图片 1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801052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40</xdr:row>
      <xdr:rowOff>47625</xdr:rowOff>
    </xdr:from>
    <xdr:to>
      <xdr:col>3</xdr:col>
      <xdr:colOff>616200</xdr:colOff>
      <xdr:row>43</xdr:row>
      <xdr:rowOff>37977</xdr:rowOff>
    </xdr:to>
    <xdr:pic>
      <xdr:nvPicPr>
        <xdr:cNvPr id="20" name="图片 1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842962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41</xdr:row>
      <xdr:rowOff>47625</xdr:rowOff>
    </xdr:from>
    <xdr:to>
      <xdr:col>3</xdr:col>
      <xdr:colOff>616200</xdr:colOff>
      <xdr:row>44</xdr:row>
      <xdr:rowOff>37976</xdr:rowOff>
    </xdr:to>
    <xdr:pic>
      <xdr:nvPicPr>
        <xdr:cNvPr id="21" name="图片 2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863917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72258</xdr:colOff>
      <xdr:row>43</xdr:row>
      <xdr:rowOff>32845</xdr:rowOff>
    </xdr:from>
    <xdr:to>
      <xdr:col>3</xdr:col>
      <xdr:colOff>612258</xdr:colOff>
      <xdr:row>46</xdr:row>
      <xdr:rowOff>23197</xdr:rowOff>
    </xdr:to>
    <xdr:pic>
      <xdr:nvPicPr>
        <xdr:cNvPr id="22" name="图片 2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9043035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72259</xdr:colOff>
      <xdr:row>44</xdr:row>
      <xdr:rowOff>39414</xdr:rowOff>
    </xdr:from>
    <xdr:to>
      <xdr:col>3</xdr:col>
      <xdr:colOff>612259</xdr:colOff>
      <xdr:row>47</xdr:row>
      <xdr:rowOff>29766</xdr:rowOff>
    </xdr:to>
    <xdr:pic>
      <xdr:nvPicPr>
        <xdr:cNvPr id="23" name="图片 2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9259570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65690</xdr:colOff>
      <xdr:row>45</xdr:row>
      <xdr:rowOff>45982</xdr:rowOff>
    </xdr:from>
    <xdr:to>
      <xdr:col>3</xdr:col>
      <xdr:colOff>605690</xdr:colOff>
      <xdr:row>48</xdr:row>
      <xdr:rowOff>36333</xdr:rowOff>
    </xdr:to>
    <xdr:pic>
      <xdr:nvPicPr>
        <xdr:cNvPr id="24" name="图片 23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805" y="9475470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72259</xdr:colOff>
      <xdr:row>46</xdr:row>
      <xdr:rowOff>39414</xdr:rowOff>
    </xdr:from>
    <xdr:to>
      <xdr:col>3</xdr:col>
      <xdr:colOff>612259</xdr:colOff>
      <xdr:row>49</xdr:row>
      <xdr:rowOff>29765</xdr:rowOff>
    </xdr:to>
    <xdr:pic>
      <xdr:nvPicPr>
        <xdr:cNvPr id="25" name="图片 2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9678670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72259</xdr:colOff>
      <xdr:row>47</xdr:row>
      <xdr:rowOff>32846</xdr:rowOff>
    </xdr:from>
    <xdr:to>
      <xdr:col>3</xdr:col>
      <xdr:colOff>612259</xdr:colOff>
      <xdr:row>50</xdr:row>
      <xdr:rowOff>23198</xdr:rowOff>
    </xdr:to>
    <xdr:pic>
      <xdr:nvPicPr>
        <xdr:cNvPr id="26" name="图片 2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9881235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59121</xdr:colOff>
      <xdr:row>49</xdr:row>
      <xdr:rowOff>45982</xdr:rowOff>
    </xdr:from>
    <xdr:to>
      <xdr:col>3</xdr:col>
      <xdr:colOff>599121</xdr:colOff>
      <xdr:row>52</xdr:row>
      <xdr:rowOff>36333</xdr:rowOff>
    </xdr:to>
    <xdr:pic>
      <xdr:nvPicPr>
        <xdr:cNvPr id="27" name="图片 2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455" y="10313670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65690</xdr:colOff>
      <xdr:row>50</xdr:row>
      <xdr:rowOff>32845</xdr:rowOff>
    </xdr:from>
    <xdr:to>
      <xdr:col>3</xdr:col>
      <xdr:colOff>605690</xdr:colOff>
      <xdr:row>53</xdr:row>
      <xdr:rowOff>23196</xdr:rowOff>
    </xdr:to>
    <xdr:pic>
      <xdr:nvPicPr>
        <xdr:cNvPr id="28" name="图片 2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805" y="10509885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72258</xdr:colOff>
      <xdr:row>52</xdr:row>
      <xdr:rowOff>32845</xdr:rowOff>
    </xdr:from>
    <xdr:to>
      <xdr:col>3</xdr:col>
      <xdr:colOff>612258</xdr:colOff>
      <xdr:row>55</xdr:row>
      <xdr:rowOff>23197</xdr:rowOff>
    </xdr:to>
    <xdr:pic>
      <xdr:nvPicPr>
        <xdr:cNvPr id="29" name="图片 2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10928985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72258</xdr:colOff>
      <xdr:row>53</xdr:row>
      <xdr:rowOff>45983</xdr:rowOff>
    </xdr:from>
    <xdr:to>
      <xdr:col>3</xdr:col>
      <xdr:colOff>612258</xdr:colOff>
      <xdr:row>56</xdr:row>
      <xdr:rowOff>36335</xdr:rowOff>
    </xdr:to>
    <xdr:pic>
      <xdr:nvPicPr>
        <xdr:cNvPr id="30" name="图片 2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11151870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72259</xdr:colOff>
      <xdr:row>54</xdr:row>
      <xdr:rowOff>45983</xdr:rowOff>
    </xdr:from>
    <xdr:to>
      <xdr:col>3</xdr:col>
      <xdr:colOff>612259</xdr:colOff>
      <xdr:row>57</xdr:row>
      <xdr:rowOff>36334</xdr:rowOff>
    </xdr:to>
    <xdr:pic>
      <xdr:nvPicPr>
        <xdr:cNvPr id="31" name="图片 3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11361420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72259</xdr:colOff>
      <xdr:row>55</xdr:row>
      <xdr:rowOff>52552</xdr:rowOff>
    </xdr:from>
    <xdr:to>
      <xdr:col>3</xdr:col>
      <xdr:colOff>612259</xdr:colOff>
      <xdr:row>58</xdr:row>
      <xdr:rowOff>42903</xdr:rowOff>
    </xdr:to>
    <xdr:pic>
      <xdr:nvPicPr>
        <xdr:cNvPr id="32" name="图片 3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11577320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59121</xdr:colOff>
      <xdr:row>58</xdr:row>
      <xdr:rowOff>65690</xdr:rowOff>
    </xdr:from>
    <xdr:to>
      <xdr:col>3</xdr:col>
      <xdr:colOff>599121</xdr:colOff>
      <xdr:row>61</xdr:row>
      <xdr:rowOff>56041</xdr:rowOff>
    </xdr:to>
    <xdr:pic>
      <xdr:nvPicPr>
        <xdr:cNvPr id="33" name="图片 3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455" y="12219305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65690</xdr:colOff>
      <xdr:row>56</xdr:row>
      <xdr:rowOff>39414</xdr:rowOff>
    </xdr:from>
    <xdr:to>
      <xdr:col>3</xdr:col>
      <xdr:colOff>605690</xdr:colOff>
      <xdr:row>59</xdr:row>
      <xdr:rowOff>29766</xdr:rowOff>
    </xdr:to>
    <xdr:pic>
      <xdr:nvPicPr>
        <xdr:cNvPr id="34" name="图片 33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805" y="1177417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65690</xdr:colOff>
      <xdr:row>61</xdr:row>
      <xdr:rowOff>45983</xdr:rowOff>
    </xdr:from>
    <xdr:to>
      <xdr:col>3</xdr:col>
      <xdr:colOff>605690</xdr:colOff>
      <xdr:row>64</xdr:row>
      <xdr:rowOff>36335</xdr:rowOff>
    </xdr:to>
    <xdr:pic>
      <xdr:nvPicPr>
        <xdr:cNvPr id="35" name="图片 3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805" y="12828270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65690</xdr:colOff>
      <xdr:row>59</xdr:row>
      <xdr:rowOff>59121</xdr:rowOff>
    </xdr:from>
    <xdr:to>
      <xdr:col>3</xdr:col>
      <xdr:colOff>605690</xdr:colOff>
      <xdr:row>62</xdr:row>
      <xdr:rowOff>49472</xdr:rowOff>
    </xdr:to>
    <xdr:pic>
      <xdr:nvPicPr>
        <xdr:cNvPr id="36" name="图片 3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805" y="1242250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59121</xdr:colOff>
      <xdr:row>62</xdr:row>
      <xdr:rowOff>39414</xdr:rowOff>
    </xdr:from>
    <xdr:to>
      <xdr:col>3</xdr:col>
      <xdr:colOff>599121</xdr:colOff>
      <xdr:row>65</xdr:row>
      <xdr:rowOff>29765</xdr:rowOff>
    </xdr:to>
    <xdr:pic>
      <xdr:nvPicPr>
        <xdr:cNvPr id="37" name="图片 3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455" y="1303147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72258</xdr:colOff>
      <xdr:row>67</xdr:row>
      <xdr:rowOff>39414</xdr:rowOff>
    </xdr:from>
    <xdr:to>
      <xdr:col>3</xdr:col>
      <xdr:colOff>612258</xdr:colOff>
      <xdr:row>70</xdr:row>
      <xdr:rowOff>29765</xdr:rowOff>
    </xdr:to>
    <xdr:pic>
      <xdr:nvPicPr>
        <xdr:cNvPr id="38" name="图片 37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14079220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78827</xdr:colOff>
      <xdr:row>68</xdr:row>
      <xdr:rowOff>39415</xdr:rowOff>
    </xdr:from>
    <xdr:to>
      <xdr:col>3</xdr:col>
      <xdr:colOff>618827</xdr:colOff>
      <xdr:row>71</xdr:row>
      <xdr:rowOff>29766</xdr:rowOff>
    </xdr:to>
    <xdr:pic>
      <xdr:nvPicPr>
        <xdr:cNvPr id="39" name="图片 38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40" y="1428877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78827</xdr:colOff>
      <xdr:row>69</xdr:row>
      <xdr:rowOff>32846</xdr:rowOff>
    </xdr:from>
    <xdr:to>
      <xdr:col>3</xdr:col>
      <xdr:colOff>618827</xdr:colOff>
      <xdr:row>72</xdr:row>
      <xdr:rowOff>23198</xdr:rowOff>
    </xdr:to>
    <xdr:pic>
      <xdr:nvPicPr>
        <xdr:cNvPr id="40" name="图片 3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40" y="14491335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85397</xdr:colOff>
      <xdr:row>70</xdr:row>
      <xdr:rowOff>52552</xdr:rowOff>
    </xdr:from>
    <xdr:to>
      <xdr:col>3</xdr:col>
      <xdr:colOff>625397</xdr:colOff>
      <xdr:row>73</xdr:row>
      <xdr:rowOff>42904</xdr:rowOff>
    </xdr:to>
    <xdr:pic>
      <xdr:nvPicPr>
        <xdr:cNvPr id="41" name="图片 4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2490" y="14720570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78828</xdr:colOff>
      <xdr:row>71</xdr:row>
      <xdr:rowOff>39414</xdr:rowOff>
    </xdr:from>
    <xdr:to>
      <xdr:col>3</xdr:col>
      <xdr:colOff>618828</xdr:colOff>
      <xdr:row>74</xdr:row>
      <xdr:rowOff>29765</xdr:rowOff>
    </xdr:to>
    <xdr:pic>
      <xdr:nvPicPr>
        <xdr:cNvPr id="42" name="图片 41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40" y="1491742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65690</xdr:colOff>
      <xdr:row>74</xdr:row>
      <xdr:rowOff>39413</xdr:rowOff>
    </xdr:from>
    <xdr:to>
      <xdr:col>3</xdr:col>
      <xdr:colOff>605690</xdr:colOff>
      <xdr:row>77</xdr:row>
      <xdr:rowOff>29765</xdr:rowOff>
    </xdr:to>
    <xdr:pic>
      <xdr:nvPicPr>
        <xdr:cNvPr id="43" name="图片 42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805" y="1554607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78827</xdr:colOff>
      <xdr:row>73</xdr:row>
      <xdr:rowOff>32844</xdr:rowOff>
    </xdr:from>
    <xdr:to>
      <xdr:col>3</xdr:col>
      <xdr:colOff>618827</xdr:colOff>
      <xdr:row>76</xdr:row>
      <xdr:rowOff>23196</xdr:rowOff>
    </xdr:to>
    <xdr:pic>
      <xdr:nvPicPr>
        <xdr:cNvPr id="44" name="图片 43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40" y="15329535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72259</xdr:colOff>
      <xdr:row>76</xdr:row>
      <xdr:rowOff>45982</xdr:rowOff>
    </xdr:from>
    <xdr:to>
      <xdr:col>3</xdr:col>
      <xdr:colOff>612259</xdr:colOff>
      <xdr:row>79</xdr:row>
      <xdr:rowOff>36333</xdr:rowOff>
    </xdr:to>
    <xdr:pic>
      <xdr:nvPicPr>
        <xdr:cNvPr id="45" name="图片 4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15971520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72259</xdr:colOff>
      <xdr:row>77</xdr:row>
      <xdr:rowOff>32844</xdr:rowOff>
    </xdr:from>
    <xdr:to>
      <xdr:col>3</xdr:col>
      <xdr:colOff>612259</xdr:colOff>
      <xdr:row>80</xdr:row>
      <xdr:rowOff>23196</xdr:rowOff>
    </xdr:to>
    <xdr:pic>
      <xdr:nvPicPr>
        <xdr:cNvPr id="46" name="图片 4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16167735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65690</xdr:colOff>
      <xdr:row>79</xdr:row>
      <xdr:rowOff>45983</xdr:rowOff>
    </xdr:from>
    <xdr:to>
      <xdr:col>3</xdr:col>
      <xdr:colOff>605690</xdr:colOff>
      <xdr:row>82</xdr:row>
      <xdr:rowOff>36334</xdr:rowOff>
    </xdr:to>
    <xdr:pic>
      <xdr:nvPicPr>
        <xdr:cNvPr id="47" name="图片 4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805" y="16600170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78828</xdr:colOff>
      <xdr:row>80</xdr:row>
      <xdr:rowOff>39415</xdr:rowOff>
    </xdr:from>
    <xdr:to>
      <xdr:col>3</xdr:col>
      <xdr:colOff>618828</xdr:colOff>
      <xdr:row>83</xdr:row>
      <xdr:rowOff>29766</xdr:rowOff>
    </xdr:to>
    <xdr:pic>
      <xdr:nvPicPr>
        <xdr:cNvPr id="48" name="图片 4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40" y="1680337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78826</xdr:colOff>
      <xdr:row>81</xdr:row>
      <xdr:rowOff>32845</xdr:rowOff>
    </xdr:from>
    <xdr:to>
      <xdr:col>3</xdr:col>
      <xdr:colOff>618826</xdr:colOff>
      <xdr:row>84</xdr:row>
      <xdr:rowOff>23197</xdr:rowOff>
    </xdr:to>
    <xdr:pic>
      <xdr:nvPicPr>
        <xdr:cNvPr id="49" name="图片 4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40" y="17005935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78827</xdr:colOff>
      <xdr:row>82</xdr:row>
      <xdr:rowOff>45983</xdr:rowOff>
    </xdr:from>
    <xdr:to>
      <xdr:col>3</xdr:col>
      <xdr:colOff>618827</xdr:colOff>
      <xdr:row>85</xdr:row>
      <xdr:rowOff>36335</xdr:rowOff>
    </xdr:to>
    <xdr:pic>
      <xdr:nvPicPr>
        <xdr:cNvPr id="50" name="图片 4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40" y="17228820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78827</xdr:colOff>
      <xdr:row>83</xdr:row>
      <xdr:rowOff>45983</xdr:rowOff>
    </xdr:from>
    <xdr:to>
      <xdr:col>3</xdr:col>
      <xdr:colOff>618827</xdr:colOff>
      <xdr:row>86</xdr:row>
      <xdr:rowOff>36334</xdr:rowOff>
    </xdr:to>
    <xdr:pic>
      <xdr:nvPicPr>
        <xdr:cNvPr id="51" name="图片 5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40" y="17438370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72259</xdr:colOff>
      <xdr:row>84</xdr:row>
      <xdr:rowOff>52552</xdr:rowOff>
    </xdr:from>
    <xdr:to>
      <xdr:col>3</xdr:col>
      <xdr:colOff>612259</xdr:colOff>
      <xdr:row>87</xdr:row>
      <xdr:rowOff>42903</xdr:rowOff>
    </xdr:to>
    <xdr:pic>
      <xdr:nvPicPr>
        <xdr:cNvPr id="52" name="图片 5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17654270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78828</xdr:colOff>
      <xdr:row>88</xdr:row>
      <xdr:rowOff>32845</xdr:rowOff>
    </xdr:from>
    <xdr:to>
      <xdr:col>3</xdr:col>
      <xdr:colOff>618828</xdr:colOff>
      <xdr:row>91</xdr:row>
      <xdr:rowOff>23196</xdr:rowOff>
    </xdr:to>
    <xdr:pic>
      <xdr:nvPicPr>
        <xdr:cNvPr id="53" name="图片 5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40" y="18472785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78828</xdr:colOff>
      <xdr:row>89</xdr:row>
      <xdr:rowOff>39415</xdr:rowOff>
    </xdr:from>
    <xdr:to>
      <xdr:col>3</xdr:col>
      <xdr:colOff>618828</xdr:colOff>
      <xdr:row>92</xdr:row>
      <xdr:rowOff>29766</xdr:rowOff>
    </xdr:to>
    <xdr:pic>
      <xdr:nvPicPr>
        <xdr:cNvPr id="54" name="图片 5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140" y="1868932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72259</xdr:colOff>
      <xdr:row>92</xdr:row>
      <xdr:rowOff>39414</xdr:rowOff>
    </xdr:from>
    <xdr:to>
      <xdr:col>3</xdr:col>
      <xdr:colOff>612259</xdr:colOff>
      <xdr:row>95</xdr:row>
      <xdr:rowOff>29765</xdr:rowOff>
    </xdr:to>
    <xdr:pic>
      <xdr:nvPicPr>
        <xdr:cNvPr id="55" name="图片 5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19317970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65689</xdr:colOff>
      <xdr:row>93</xdr:row>
      <xdr:rowOff>39413</xdr:rowOff>
    </xdr:from>
    <xdr:to>
      <xdr:col>3</xdr:col>
      <xdr:colOff>605689</xdr:colOff>
      <xdr:row>96</xdr:row>
      <xdr:rowOff>29764</xdr:rowOff>
    </xdr:to>
    <xdr:pic>
      <xdr:nvPicPr>
        <xdr:cNvPr id="56" name="图片 5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805" y="19527520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72259</xdr:colOff>
      <xdr:row>91</xdr:row>
      <xdr:rowOff>39414</xdr:rowOff>
    </xdr:from>
    <xdr:to>
      <xdr:col>3</xdr:col>
      <xdr:colOff>612259</xdr:colOff>
      <xdr:row>94</xdr:row>
      <xdr:rowOff>29766</xdr:rowOff>
    </xdr:to>
    <xdr:pic>
      <xdr:nvPicPr>
        <xdr:cNvPr id="57" name="图片 56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55" y="19108420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65172</xdr:colOff>
      <xdr:row>94</xdr:row>
      <xdr:rowOff>45118</xdr:rowOff>
    </xdr:from>
    <xdr:to>
      <xdr:col>3</xdr:col>
      <xdr:colOff>605172</xdr:colOff>
      <xdr:row>97</xdr:row>
      <xdr:rowOff>35470</xdr:rowOff>
    </xdr:to>
    <xdr:pic>
      <xdr:nvPicPr>
        <xdr:cNvPr id="58" name="图片 57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19742785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60158</xdr:colOff>
      <xdr:row>95</xdr:row>
      <xdr:rowOff>40105</xdr:rowOff>
    </xdr:from>
    <xdr:to>
      <xdr:col>3</xdr:col>
      <xdr:colOff>600158</xdr:colOff>
      <xdr:row>98</xdr:row>
      <xdr:rowOff>30457</xdr:rowOff>
    </xdr:to>
    <xdr:pic>
      <xdr:nvPicPr>
        <xdr:cNvPr id="59" name="图片 58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7090" y="19947255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75198</xdr:colOff>
      <xdr:row>97</xdr:row>
      <xdr:rowOff>35092</xdr:rowOff>
    </xdr:from>
    <xdr:to>
      <xdr:col>3</xdr:col>
      <xdr:colOff>615198</xdr:colOff>
      <xdr:row>100</xdr:row>
      <xdr:rowOff>25443</xdr:rowOff>
    </xdr:to>
    <xdr:pic>
      <xdr:nvPicPr>
        <xdr:cNvPr id="60" name="图片 59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2330" y="20361275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70184</xdr:colOff>
      <xdr:row>98</xdr:row>
      <xdr:rowOff>45119</xdr:rowOff>
    </xdr:from>
    <xdr:to>
      <xdr:col>3</xdr:col>
      <xdr:colOff>610184</xdr:colOff>
      <xdr:row>101</xdr:row>
      <xdr:rowOff>35471</xdr:rowOff>
    </xdr:to>
    <xdr:pic>
      <xdr:nvPicPr>
        <xdr:cNvPr id="61" name="图片 60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058098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65171</xdr:colOff>
      <xdr:row>103</xdr:row>
      <xdr:rowOff>50132</xdr:rowOff>
    </xdr:from>
    <xdr:to>
      <xdr:col>3</xdr:col>
      <xdr:colOff>605171</xdr:colOff>
      <xdr:row>106</xdr:row>
      <xdr:rowOff>40484</xdr:rowOff>
    </xdr:to>
    <xdr:pic>
      <xdr:nvPicPr>
        <xdr:cNvPr id="62" name="图片 61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21633180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65171</xdr:colOff>
      <xdr:row>104</xdr:row>
      <xdr:rowOff>35093</xdr:rowOff>
    </xdr:from>
    <xdr:to>
      <xdr:col>3</xdr:col>
      <xdr:colOff>605171</xdr:colOff>
      <xdr:row>107</xdr:row>
      <xdr:rowOff>25445</xdr:rowOff>
    </xdr:to>
    <xdr:pic>
      <xdr:nvPicPr>
        <xdr:cNvPr id="63" name="图片 62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21828125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50131</xdr:colOff>
      <xdr:row>107</xdr:row>
      <xdr:rowOff>35093</xdr:rowOff>
    </xdr:from>
    <xdr:to>
      <xdr:col>3</xdr:col>
      <xdr:colOff>590131</xdr:colOff>
      <xdr:row>110</xdr:row>
      <xdr:rowOff>25445</xdr:rowOff>
    </xdr:to>
    <xdr:pic>
      <xdr:nvPicPr>
        <xdr:cNvPr id="64" name="图片 63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6930" y="22456775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70184</xdr:colOff>
      <xdr:row>109</xdr:row>
      <xdr:rowOff>45119</xdr:rowOff>
    </xdr:from>
    <xdr:to>
      <xdr:col>3</xdr:col>
      <xdr:colOff>610184</xdr:colOff>
      <xdr:row>112</xdr:row>
      <xdr:rowOff>35470</xdr:rowOff>
    </xdr:to>
    <xdr:pic>
      <xdr:nvPicPr>
        <xdr:cNvPr id="65" name="图片 64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288603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65170</xdr:colOff>
      <xdr:row>106</xdr:row>
      <xdr:rowOff>40105</xdr:rowOff>
    </xdr:from>
    <xdr:to>
      <xdr:col>3</xdr:col>
      <xdr:colOff>605170</xdr:colOff>
      <xdr:row>109</xdr:row>
      <xdr:rowOff>30456</xdr:rowOff>
    </xdr:to>
    <xdr:pic>
      <xdr:nvPicPr>
        <xdr:cNvPr id="66" name="图片 6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22252305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90237</xdr:colOff>
      <xdr:row>110</xdr:row>
      <xdr:rowOff>40105</xdr:rowOff>
    </xdr:from>
    <xdr:to>
      <xdr:col>3</xdr:col>
      <xdr:colOff>630237</xdr:colOff>
      <xdr:row>113</xdr:row>
      <xdr:rowOff>30456</xdr:rowOff>
    </xdr:to>
    <xdr:pic>
      <xdr:nvPicPr>
        <xdr:cNvPr id="67" name="图片 6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570" y="2309050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70185</xdr:colOff>
      <xdr:row>112</xdr:row>
      <xdr:rowOff>40105</xdr:rowOff>
    </xdr:from>
    <xdr:to>
      <xdr:col>3</xdr:col>
      <xdr:colOff>610185</xdr:colOff>
      <xdr:row>115</xdr:row>
      <xdr:rowOff>30457</xdr:rowOff>
    </xdr:to>
    <xdr:pic>
      <xdr:nvPicPr>
        <xdr:cNvPr id="68" name="图片 6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350960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75198</xdr:colOff>
      <xdr:row>113</xdr:row>
      <xdr:rowOff>45117</xdr:rowOff>
    </xdr:from>
    <xdr:to>
      <xdr:col>3</xdr:col>
      <xdr:colOff>615198</xdr:colOff>
      <xdr:row>116</xdr:row>
      <xdr:rowOff>35468</xdr:rowOff>
    </xdr:to>
    <xdr:pic>
      <xdr:nvPicPr>
        <xdr:cNvPr id="69" name="图片 68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2330" y="2372423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70184</xdr:colOff>
      <xdr:row>115</xdr:row>
      <xdr:rowOff>40105</xdr:rowOff>
    </xdr:from>
    <xdr:to>
      <xdr:col>3</xdr:col>
      <xdr:colOff>610184</xdr:colOff>
      <xdr:row>118</xdr:row>
      <xdr:rowOff>30457</xdr:rowOff>
    </xdr:to>
    <xdr:pic>
      <xdr:nvPicPr>
        <xdr:cNvPr id="70" name="图片 69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413825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75197</xdr:colOff>
      <xdr:row>116</xdr:row>
      <xdr:rowOff>40105</xdr:rowOff>
    </xdr:from>
    <xdr:to>
      <xdr:col>3</xdr:col>
      <xdr:colOff>615197</xdr:colOff>
      <xdr:row>119</xdr:row>
      <xdr:rowOff>30457</xdr:rowOff>
    </xdr:to>
    <xdr:pic>
      <xdr:nvPicPr>
        <xdr:cNvPr id="71" name="图片 7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2330" y="2434780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75198</xdr:colOff>
      <xdr:row>118</xdr:row>
      <xdr:rowOff>50132</xdr:rowOff>
    </xdr:from>
    <xdr:to>
      <xdr:col>3</xdr:col>
      <xdr:colOff>615198</xdr:colOff>
      <xdr:row>121</xdr:row>
      <xdr:rowOff>40483</xdr:rowOff>
    </xdr:to>
    <xdr:pic>
      <xdr:nvPicPr>
        <xdr:cNvPr id="72" name="图片 7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2330" y="24776430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60157</xdr:colOff>
      <xdr:row>117</xdr:row>
      <xdr:rowOff>35092</xdr:rowOff>
    </xdr:from>
    <xdr:to>
      <xdr:col>3</xdr:col>
      <xdr:colOff>600157</xdr:colOff>
      <xdr:row>120</xdr:row>
      <xdr:rowOff>25443</xdr:rowOff>
    </xdr:to>
    <xdr:pic>
      <xdr:nvPicPr>
        <xdr:cNvPr id="73" name="图片 72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7090" y="24552275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70184</xdr:colOff>
      <xdr:row>119</xdr:row>
      <xdr:rowOff>40105</xdr:rowOff>
    </xdr:from>
    <xdr:to>
      <xdr:col>3</xdr:col>
      <xdr:colOff>610184</xdr:colOff>
      <xdr:row>122</xdr:row>
      <xdr:rowOff>30456</xdr:rowOff>
    </xdr:to>
    <xdr:pic>
      <xdr:nvPicPr>
        <xdr:cNvPr id="74" name="图片 7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497645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120</xdr:row>
      <xdr:rowOff>40105</xdr:rowOff>
    </xdr:from>
    <xdr:to>
      <xdr:col>3</xdr:col>
      <xdr:colOff>635250</xdr:colOff>
      <xdr:row>123</xdr:row>
      <xdr:rowOff>30457</xdr:rowOff>
    </xdr:to>
    <xdr:pic>
      <xdr:nvPicPr>
        <xdr:cNvPr id="75" name="图片 7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2650" y="2518600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70185</xdr:colOff>
      <xdr:row>121</xdr:row>
      <xdr:rowOff>45118</xdr:rowOff>
    </xdr:from>
    <xdr:to>
      <xdr:col>3</xdr:col>
      <xdr:colOff>610185</xdr:colOff>
      <xdr:row>124</xdr:row>
      <xdr:rowOff>35470</xdr:rowOff>
    </xdr:to>
    <xdr:pic>
      <xdr:nvPicPr>
        <xdr:cNvPr id="76" name="图片 7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540063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70184</xdr:colOff>
      <xdr:row>122</xdr:row>
      <xdr:rowOff>35092</xdr:rowOff>
    </xdr:from>
    <xdr:to>
      <xdr:col>3</xdr:col>
      <xdr:colOff>610184</xdr:colOff>
      <xdr:row>125</xdr:row>
      <xdr:rowOff>25443</xdr:rowOff>
    </xdr:to>
    <xdr:pic>
      <xdr:nvPicPr>
        <xdr:cNvPr id="77" name="图片 76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5600025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75198</xdr:colOff>
      <xdr:row>124</xdr:row>
      <xdr:rowOff>40105</xdr:rowOff>
    </xdr:from>
    <xdr:to>
      <xdr:col>3</xdr:col>
      <xdr:colOff>615198</xdr:colOff>
      <xdr:row>127</xdr:row>
      <xdr:rowOff>30457</xdr:rowOff>
    </xdr:to>
    <xdr:pic>
      <xdr:nvPicPr>
        <xdr:cNvPr id="78" name="图片 77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2330" y="2602420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65172</xdr:colOff>
      <xdr:row>126</xdr:row>
      <xdr:rowOff>35092</xdr:rowOff>
    </xdr:from>
    <xdr:to>
      <xdr:col>3</xdr:col>
      <xdr:colOff>605172</xdr:colOff>
      <xdr:row>129</xdr:row>
      <xdr:rowOff>25443</xdr:rowOff>
    </xdr:to>
    <xdr:pic>
      <xdr:nvPicPr>
        <xdr:cNvPr id="79" name="图片 78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26438225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65171</xdr:colOff>
      <xdr:row>125</xdr:row>
      <xdr:rowOff>35092</xdr:rowOff>
    </xdr:from>
    <xdr:to>
      <xdr:col>3</xdr:col>
      <xdr:colOff>605171</xdr:colOff>
      <xdr:row>128</xdr:row>
      <xdr:rowOff>25444</xdr:rowOff>
    </xdr:to>
    <xdr:pic>
      <xdr:nvPicPr>
        <xdr:cNvPr id="80" name="图片 79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26228675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55145</xdr:colOff>
      <xdr:row>128</xdr:row>
      <xdr:rowOff>40106</xdr:rowOff>
    </xdr:from>
    <xdr:to>
      <xdr:col>3</xdr:col>
      <xdr:colOff>595145</xdr:colOff>
      <xdr:row>131</xdr:row>
      <xdr:rowOff>30458</xdr:rowOff>
    </xdr:to>
    <xdr:pic>
      <xdr:nvPicPr>
        <xdr:cNvPr id="81" name="图片 80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2010" y="26862405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75198</xdr:colOff>
      <xdr:row>130</xdr:row>
      <xdr:rowOff>35092</xdr:rowOff>
    </xdr:from>
    <xdr:to>
      <xdr:col>3</xdr:col>
      <xdr:colOff>615198</xdr:colOff>
      <xdr:row>133</xdr:row>
      <xdr:rowOff>25443</xdr:rowOff>
    </xdr:to>
    <xdr:pic>
      <xdr:nvPicPr>
        <xdr:cNvPr id="82" name="图片 81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2330" y="27276425"/>
          <a:ext cx="539750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65171</xdr:colOff>
      <xdr:row>127</xdr:row>
      <xdr:rowOff>40105</xdr:rowOff>
    </xdr:from>
    <xdr:to>
      <xdr:col>3</xdr:col>
      <xdr:colOff>605171</xdr:colOff>
      <xdr:row>130</xdr:row>
      <xdr:rowOff>30456</xdr:rowOff>
    </xdr:to>
    <xdr:pic>
      <xdr:nvPicPr>
        <xdr:cNvPr id="83" name="图片 82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26652855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70184</xdr:colOff>
      <xdr:row>131</xdr:row>
      <xdr:rowOff>40105</xdr:rowOff>
    </xdr:from>
    <xdr:to>
      <xdr:col>3</xdr:col>
      <xdr:colOff>610184</xdr:colOff>
      <xdr:row>134</xdr:row>
      <xdr:rowOff>30456</xdr:rowOff>
    </xdr:to>
    <xdr:pic>
      <xdr:nvPicPr>
        <xdr:cNvPr id="84" name="图片 83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749105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65171</xdr:colOff>
      <xdr:row>132</xdr:row>
      <xdr:rowOff>40106</xdr:rowOff>
    </xdr:from>
    <xdr:to>
      <xdr:col>3</xdr:col>
      <xdr:colOff>605171</xdr:colOff>
      <xdr:row>135</xdr:row>
      <xdr:rowOff>30458</xdr:rowOff>
    </xdr:to>
    <xdr:pic>
      <xdr:nvPicPr>
        <xdr:cNvPr id="85" name="图片 84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27700605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65171</xdr:colOff>
      <xdr:row>133</xdr:row>
      <xdr:rowOff>50131</xdr:rowOff>
    </xdr:from>
    <xdr:to>
      <xdr:col>3</xdr:col>
      <xdr:colOff>605171</xdr:colOff>
      <xdr:row>136</xdr:row>
      <xdr:rowOff>40483</xdr:rowOff>
    </xdr:to>
    <xdr:pic>
      <xdr:nvPicPr>
        <xdr:cNvPr id="86" name="图片 85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27919680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65171</xdr:colOff>
      <xdr:row>134</xdr:row>
      <xdr:rowOff>50132</xdr:rowOff>
    </xdr:from>
    <xdr:to>
      <xdr:col>3</xdr:col>
      <xdr:colOff>605171</xdr:colOff>
      <xdr:row>137</xdr:row>
      <xdr:rowOff>40483</xdr:rowOff>
    </xdr:to>
    <xdr:pic>
      <xdr:nvPicPr>
        <xdr:cNvPr id="87" name="图片 86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28129230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70184</xdr:colOff>
      <xdr:row>136</xdr:row>
      <xdr:rowOff>40106</xdr:rowOff>
    </xdr:from>
    <xdr:to>
      <xdr:col>3</xdr:col>
      <xdr:colOff>610184</xdr:colOff>
      <xdr:row>139</xdr:row>
      <xdr:rowOff>30457</xdr:rowOff>
    </xdr:to>
    <xdr:pic>
      <xdr:nvPicPr>
        <xdr:cNvPr id="88" name="图片 87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8538805"/>
          <a:ext cx="539750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60158</xdr:colOff>
      <xdr:row>137</xdr:row>
      <xdr:rowOff>35092</xdr:rowOff>
    </xdr:from>
    <xdr:to>
      <xdr:col>3</xdr:col>
      <xdr:colOff>600158</xdr:colOff>
      <xdr:row>140</xdr:row>
      <xdr:rowOff>25444</xdr:rowOff>
    </xdr:to>
    <xdr:pic>
      <xdr:nvPicPr>
        <xdr:cNvPr id="89" name="图片 88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7090" y="28743275"/>
          <a:ext cx="540385" cy="619125"/>
        </a:xfrm>
        <a:prstGeom prst="rect">
          <a:avLst/>
        </a:prstGeom>
      </xdr:spPr>
    </xdr:pic>
    <xdr:clientData/>
  </xdr:twoCellAnchor>
  <xdr:twoCellAnchor editAs="oneCell">
    <xdr:from>
      <xdr:col>3</xdr:col>
      <xdr:colOff>65171</xdr:colOff>
      <xdr:row>139</xdr:row>
      <xdr:rowOff>40105</xdr:rowOff>
    </xdr:from>
    <xdr:to>
      <xdr:col>3</xdr:col>
      <xdr:colOff>605171</xdr:colOff>
      <xdr:row>142</xdr:row>
      <xdr:rowOff>30456</xdr:rowOff>
    </xdr:to>
    <xdr:pic>
      <xdr:nvPicPr>
        <xdr:cNvPr id="90" name="图片 89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170" y="29167455"/>
          <a:ext cx="540385" cy="618490"/>
        </a:xfrm>
        <a:prstGeom prst="rect">
          <a:avLst/>
        </a:prstGeom>
      </xdr:spPr>
    </xdr:pic>
    <xdr:clientData/>
  </xdr:twoCellAnchor>
  <xdr:twoCellAnchor editAs="oneCell">
    <xdr:from>
      <xdr:col>3</xdr:col>
      <xdr:colOff>70184</xdr:colOff>
      <xdr:row>140</xdr:row>
      <xdr:rowOff>55145</xdr:rowOff>
    </xdr:from>
    <xdr:to>
      <xdr:col>3</xdr:col>
      <xdr:colOff>610184</xdr:colOff>
      <xdr:row>143</xdr:row>
      <xdr:rowOff>45496</xdr:rowOff>
    </xdr:to>
    <xdr:pic>
      <xdr:nvPicPr>
        <xdr:cNvPr id="91" name="图片 90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9391610"/>
          <a:ext cx="53975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13"/>
  <sheetViews>
    <sheetView tabSelected="1" workbookViewId="0">
      <pane xSplit="2" ySplit="3" topLeftCell="C368" activePane="bottomRight" state="frozen"/>
      <selection/>
      <selection pane="topRight"/>
      <selection pane="bottomLeft"/>
      <selection pane="bottomRight" activeCell="G385" sqref="G385"/>
    </sheetView>
  </sheetViews>
  <sheetFormatPr defaultColWidth="7.375" defaultRowHeight="16.5"/>
  <cols>
    <col min="1" max="1" width="10.375" style="67" customWidth="1"/>
    <col min="2" max="2" width="29.625" style="67" customWidth="1"/>
    <col min="3" max="3" width="31.125" style="67" customWidth="1"/>
    <col min="4" max="4" width="9.375" style="67" customWidth="1"/>
    <col min="5" max="5" width="11.375" style="68" customWidth="1"/>
    <col min="6" max="6" width="12.875" style="67" customWidth="1"/>
    <col min="7" max="7" width="8.875" style="67" customWidth="1"/>
    <col min="8" max="8" width="12.875" style="67" customWidth="1"/>
    <col min="9" max="9" width="20.25" style="69" customWidth="1"/>
    <col min="10" max="10" width="8.875" style="67" customWidth="1"/>
    <col min="11" max="11" width="14.125" style="67" customWidth="1"/>
    <col min="12" max="12" width="80.125" style="67" customWidth="1"/>
    <col min="13" max="13" width="18.75" style="67" customWidth="1"/>
    <col min="14" max="14" width="21.25" style="67" customWidth="1"/>
    <col min="15" max="15" width="22.875" style="67" customWidth="1"/>
    <col min="16" max="16" width="14" style="67" customWidth="1"/>
    <col min="17" max="17" width="14.625" style="67" customWidth="1"/>
    <col min="18" max="18" width="16.375" style="67" customWidth="1"/>
    <col min="19" max="19" width="14.375" style="70" customWidth="1"/>
    <col min="20" max="20" width="20.25" style="67" customWidth="1"/>
    <col min="21" max="21" width="14.375" style="67" customWidth="1"/>
    <col min="22" max="22" width="28" style="67" customWidth="1"/>
    <col min="23" max="23" width="14.375" style="67" customWidth="1"/>
    <col min="24" max="24" width="27.75" style="67" customWidth="1"/>
    <col min="25" max="25" width="16.625" style="67" customWidth="1"/>
    <col min="26" max="26" width="15.25" style="67" customWidth="1"/>
    <col min="27" max="16384" width="7.375" style="67"/>
  </cols>
  <sheetData>
    <row r="1" ht="17.25" spans="1:30">
      <c r="A1" s="71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19" t="s">
        <v>5</v>
      </c>
      <c r="G1" s="19" t="s">
        <v>6</v>
      </c>
      <c r="H1" s="19" t="s">
        <v>7</v>
      </c>
      <c r="I1" s="72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33" t="s">
        <v>16</v>
      </c>
      <c r="R1" s="33" t="s">
        <v>17</v>
      </c>
      <c r="S1" s="34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19" t="s">
        <v>25</v>
      </c>
      <c r="AA1" s="82"/>
      <c r="AB1" s="82"/>
      <c r="AC1" s="83"/>
      <c r="AD1" s="83"/>
    </row>
    <row r="2" ht="17.25" spans="1:30">
      <c r="A2" s="71" t="s">
        <v>26</v>
      </c>
      <c r="B2" s="21" t="s">
        <v>27</v>
      </c>
      <c r="C2" s="21" t="s">
        <v>27</v>
      </c>
      <c r="D2" s="21" t="s">
        <v>26</v>
      </c>
      <c r="E2" s="22" t="s">
        <v>26</v>
      </c>
      <c r="F2" s="21" t="s">
        <v>26</v>
      </c>
      <c r="G2" s="21" t="s">
        <v>26</v>
      </c>
      <c r="H2" s="21" t="s">
        <v>26</v>
      </c>
      <c r="I2" s="73" t="s">
        <v>27</v>
      </c>
      <c r="J2" s="21" t="s">
        <v>26</v>
      </c>
      <c r="K2" s="21" t="s">
        <v>27</v>
      </c>
      <c r="L2" s="21" t="s">
        <v>27</v>
      </c>
      <c r="M2" s="21" t="s">
        <v>27</v>
      </c>
      <c r="N2" s="21" t="s">
        <v>27</v>
      </c>
      <c r="O2" s="21" t="s">
        <v>27</v>
      </c>
      <c r="P2" s="21" t="s">
        <v>27</v>
      </c>
      <c r="Q2" s="33" t="s">
        <v>28</v>
      </c>
      <c r="R2" s="33" t="s">
        <v>29</v>
      </c>
      <c r="S2" s="34" t="s">
        <v>30</v>
      </c>
      <c r="T2" s="33" t="s">
        <v>30</v>
      </c>
      <c r="U2" s="33" t="s">
        <v>30</v>
      </c>
      <c r="V2" s="33" t="s">
        <v>29</v>
      </c>
      <c r="W2" s="33" t="s">
        <v>30</v>
      </c>
      <c r="X2" s="33" t="s">
        <v>30</v>
      </c>
      <c r="Y2" s="33" t="s">
        <v>30</v>
      </c>
      <c r="Z2" s="21" t="s">
        <v>30</v>
      </c>
      <c r="AA2" s="84"/>
      <c r="AB2" s="84"/>
      <c r="AC2" s="83"/>
      <c r="AD2" s="83"/>
    </row>
    <row r="3" ht="17.25" spans="1:30">
      <c r="A3" s="71" t="s">
        <v>31</v>
      </c>
      <c r="B3" s="21" t="s">
        <v>32</v>
      </c>
      <c r="C3" s="21" t="s">
        <v>33</v>
      </c>
      <c r="D3" s="23" t="s">
        <v>34</v>
      </c>
      <c r="E3" s="24" t="s">
        <v>35</v>
      </c>
      <c r="F3" s="21" t="s">
        <v>36</v>
      </c>
      <c r="G3" s="21" t="s">
        <v>37</v>
      </c>
      <c r="H3" s="21" t="s">
        <v>38</v>
      </c>
      <c r="I3" s="73" t="s">
        <v>39</v>
      </c>
      <c r="J3" s="21" t="s">
        <v>40</v>
      </c>
      <c r="K3" s="21" t="s">
        <v>41</v>
      </c>
      <c r="L3" s="23" t="s">
        <v>42</v>
      </c>
      <c r="M3" s="21" t="s">
        <v>42</v>
      </c>
      <c r="N3" s="23" t="s">
        <v>43</v>
      </c>
      <c r="O3" s="23" t="s">
        <v>44</v>
      </c>
      <c r="P3" s="23" t="s">
        <v>45</v>
      </c>
      <c r="Q3" s="35" t="s">
        <v>46</v>
      </c>
      <c r="R3" s="35" t="s">
        <v>47</v>
      </c>
      <c r="S3" s="36" t="s">
        <v>48</v>
      </c>
      <c r="T3" s="35" t="s">
        <v>49</v>
      </c>
      <c r="U3" s="35" t="s">
        <v>50</v>
      </c>
      <c r="V3" s="35" t="s">
        <v>51</v>
      </c>
      <c r="W3" s="35" t="s">
        <v>52</v>
      </c>
      <c r="X3" s="35" t="s">
        <v>53</v>
      </c>
      <c r="Y3" s="35" t="s">
        <v>54</v>
      </c>
      <c r="Z3" s="23" t="s">
        <v>55</v>
      </c>
      <c r="AA3" s="82"/>
      <c r="AB3" s="82"/>
      <c r="AC3" s="83"/>
      <c r="AD3" s="83"/>
    </row>
    <row r="4" spans="1:26">
      <c r="A4" s="71">
        <v>25001001</v>
      </c>
      <c r="B4" s="71" t="s">
        <v>56</v>
      </c>
      <c r="C4" s="71" t="str">
        <f>"Skill_Name_"&amp;A4</f>
        <v>Skill_Name_25001001</v>
      </c>
      <c r="D4" s="31">
        <v>5</v>
      </c>
      <c r="E4" s="32">
        <v>1</v>
      </c>
      <c r="F4" s="71">
        <v>2001</v>
      </c>
      <c r="G4" s="71">
        <v>350</v>
      </c>
      <c r="H4" s="71">
        <v>0</v>
      </c>
      <c r="I4" s="74">
        <v>25001001</v>
      </c>
      <c r="J4" s="71">
        <v>220000</v>
      </c>
      <c r="K4" s="71">
        <f>A4</f>
        <v>25001001</v>
      </c>
      <c r="L4" s="74" t="s">
        <v>57</v>
      </c>
      <c r="M4" s="71" t="str">
        <f>"SkillDes_"&amp;A4</f>
        <v>SkillDes_25001001</v>
      </c>
      <c r="N4" s="31" t="s">
        <v>58</v>
      </c>
      <c r="O4" s="67" t="s">
        <v>59</v>
      </c>
      <c r="P4" s="75">
        <v>1</v>
      </c>
      <c r="Q4" s="71" t="s">
        <v>60</v>
      </c>
      <c r="R4" s="71">
        <v>0</v>
      </c>
      <c r="S4" s="74">
        <v>5001001</v>
      </c>
      <c r="T4" s="78">
        <v>0</v>
      </c>
      <c r="U4" s="71">
        <v>1013</v>
      </c>
      <c r="V4" s="79" t="s">
        <v>61</v>
      </c>
      <c r="W4" s="71">
        <v>0</v>
      </c>
      <c r="X4" s="71">
        <v>0</v>
      </c>
      <c r="Y4" s="71">
        <v>0</v>
      </c>
      <c r="Z4" s="71">
        <v>5001001</v>
      </c>
    </row>
    <row r="5" spans="1:26">
      <c r="A5" s="71" t="s">
        <v>62</v>
      </c>
      <c r="B5" s="71" t="s">
        <v>63</v>
      </c>
      <c r="C5" s="71" t="str">
        <f t="shared" ref="C5:C38" si="0">"Skill_Name_"&amp;A5</f>
        <v>Skill_Name_25001002</v>
      </c>
      <c r="D5" s="31">
        <v>5</v>
      </c>
      <c r="E5" s="32">
        <v>1</v>
      </c>
      <c r="F5" s="71">
        <v>2001</v>
      </c>
      <c r="G5" s="71">
        <v>350</v>
      </c>
      <c r="H5" s="71">
        <v>0</v>
      </c>
      <c r="I5" s="74">
        <v>25001002</v>
      </c>
      <c r="J5" s="71">
        <v>180000</v>
      </c>
      <c r="K5" s="71" t="str">
        <f t="shared" ref="K5:K38" si="1">A5</f>
        <v>25001002</v>
      </c>
      <c r="L5" s="74" t="s">
        <v>64</v>
      </c>
      <c r="M5" s="71" t="str">
        <f t="shared" ref="M5:M38" si="2">"SkillDes_"&amp;A5</f>
        <v>SkillDes_25001002</v>
      </c>
      <c r="N5" s="31" t="s">
        <v>65</v>
      </c>
      <c r="O5" s="67" t="s">
        <v>59</v>
      </c>
      <c r="P5" s="75">
        <v>2</v>
      </c>
      <c r="Q5" s="71" t="s">
        <v>60</v>
      </c>
      <c r="R5" s="71">
        <v>0</v>
      </c>
      <c r="S5" s="74">
        <v>5001002</v>
      </c>
      <c r="T5" s="78">
        <v>0</v>
      </c>
      <c r="U5" s="71">
        <v>1011</v>
      </c>
      <c r="V5" s="79" t="s">
        <v>66</v>
      </c>
      <c r="W5" s="78">
        <v>0</v>
      </c>
      <c r="X5" s="78">
        <v>0</v>
      </c>
      <c r="Y5" s="71">
        <v>0</v>
      </c>
      <c r="Z5" s="71">
        <v>5001002</v>
      </c>
    </row>
    <row r="6" spans="1:26">
      <c r="A6" s="71" t="s">
        <v>67</v>
      </c>
      <c r="B6" s="71" t="s">
        <v>68</v>
      </c>
      <c r="C6" s="71" t="str">
        <f t="shared" si="0"/>
        <v>Skill_Name_25001003</v>
      </c>
      <c r="D6" s="31">
        <v>5</v>
      </c>
      <c r="E6" s="32">
        <v>1</v>
      </c>
      <c r="F6" s="71">
        <v>2001</v>
      </c>
      <c r="G6" s="71">
        <v>350</v>
      </c>
      <c r="H6" s="71">
        <v>0</v>
      </c>
      <c r="I6" s="74">
        <v>25001003</v>
      </c>
      <c r="J6" s="71">
        <v>120000</v>
      </c>
      <c r="K6" s="71" t="str">
        <f t="shared" si="1"/>
        <v>25001003</v>
      </c>
      <c r="L6" s="74" t="s">
        <v>69</v>
      </c>
      <c r="M6" s="71" t="str">
        <f t="shared" si="2"/>
        <v>SkillDes_25001003</v>
      </c>
      <c r="N6" s="31" t="s">
        <v>70</v>
      </c>
      <c r="O6" s="67" t="s">
        <v>59</v>
      </c>
      <c r="P6" s="75">
        <v>3</v>
      </c>
      <c r="Q6" s="71" t="s">
        <v>60</v>
      </c>
      <c r="R6" s="71">
        <v>0</v>
      </c>
      <c r="S6" s="74">
        <v>5001003</v>
      </c>
      <c r="T6" s="78">
        <v>0</v>
      </c>
      <c r="U6" s="71">
        <v>1015</v>
      </c>
      <c r="V6" s="79" t="s">
        <v>71</v>
      </c>
      <c r="W6" s="71">
        <v>0</v>
      </c>
      <c r="X6" s="71">
        <v>0</v>
      </c>
      <c r="Y6" s="71">
        <v>0</v>
      </c>
      <c r="Z6" s="71">
        <v>5001003</v>
      </c>
    </row>
    <row r="7" spans="1:26">
      <c r="A7" s="71" t="s">
        <v>72</v>
      </c>
      <c r="B7" s="71" t="s">
        <v>73</v>
      </c>
      <c r="C7" s="71" t="str">
        <f t="shared" si="0"/>
        <v>Skill_Name_25001004</v>
      </c>
      <c r="D7" s="31">
        <v>5</v>
      </c>
      <c r="E7" s="32">
        <v>1</v>
      </c>
      <c r="F7" s="71">
        <v>2001</v>
      </c>
      <c r="G7" s="71">
        <v>350</v>
      </c>
      <c r="H7" s="71">
        <v>0</v>
      </c>
      <c r="I7" s="74">
        <v>25001004</v>
      </c>
      <c r="J7" s="71">
        <v>100000</v>
      </c>
      <c r="K7" s="71" t="str">
        <f t="shared" si="1"/>
        <v>25001004</v>
      </c>
      <c r="L7" s="74" t="s">
        <v>74</v>
      </c>
      <c r="M7" s="71" t="str">
        <f t="shared" si="2"/>
        <v>SkillDes_25001004</v>
      </c>
      <c r="N7" s="31" t="s">
        <v>75</v>
      </c>
      <c r="O7" s="67" t="s">
        <v>59</v>
      </c>
      <c r="P7" s="75">
        <v>4</v>
      </c>
      <c r="Q7" s="71" t="s">
        <v>60</v>
      </c>
      <c r="R7" s="71">
        <v>0</v>
      </c>
      <c r="S7" s="74">
        <v>5001004</v>
      </c>
      <c r="T7" s="78">
        <v>0</v>
      </c>
      <c r="U7" s="71">
        <v>1013</v>
      </c>
      <c r="V7" s="79">
        <v>1600</v>
      </c>
      <c r="W7" s="71">
        <v>0</v>
      </c>
      <c r="X7" s="71">
        <v>0</v>
      </c>
      <c r="Y7" s="71">
        <v>0</v>
      </c>
      <c r="Z7" s="71">
        <v>5001004</v>
      </c>
    </row>
    <row r="8" spans="1:26">
      <c r="A8" s="71" t="s">
        <v>76</v>
      </c>
      <c r="B8" s="31" t="s">
        <v>77</v>
      </c>
      <c r="C8" s="71" t="str">
        <f t="shared" si="0"/>
        <v>Skill_Name_25001005</v>
      </c>
      <c r="D8" s="31">
        <v>5</v>
      </c>
      <c r="E8" s="32">
        <v>1</v>
      </c>
      <c r="F8" s="31">
        <f t="shared" ref="F8:G27" si="3">F4</f>
        <v>2001</v>
      </c>
      <c r="G8" s="71">
        <v>350</v>
      </c>
      <c r="H8" s="71">
        <v>0</v>
      </c>
      <c r="I8" s="74">
        <v>25001005</v>
      </c>
      <c r="J8" s="71">
        <v>80000</v>
      </c>
      <c r="K8" s="71" t="str">
        <f t="shared" si="1"/>
        <v>25001005</v>
      </c>
      <c r="L8" s="74" t="s">
        <v>78</v>
      </c>
      <c r="M8" s="71" t="str">
        <f t="shared" si="2"/>
        <v>SkillDes_25001005</v>
      </c>
      <c r="N8" s="31" t="s">
        <v>79</v>
      </c>
      <c r="O8" s="67" t="s">
        <v>59</v>
      </c>
      <c r="P8" s="31">
        <v>5</v>
      </c>
      <c r="Q8" s="31" t="str">
        <f t="shared" ref="Q8:Q28" si="4">Q4</f>
        <v>skill</v>
      </c>
      <c r="R8" s="31">
        <f t="shared" ref="R8:R28" si="5">R4</f>
        <v>0</v>
      </c>
      <c r="S8" s="74">
        <v>5001005</v>
      </c>
      <c r="T8" s="78">
        <v>0</v>
      </c>
      <c r="U8" s="71">
        <v>1013</v>
      </c>
      <c r="V8" s="71" t="s">
        <v>80</v>
      </c>
      <c r="W8" s="31">
        <f t="shared" ref="T8:Y8" si="6">W4</f>
        <v>0</v>
      </c>
      <c r="X8" s="31">
        <f t="shared" si="6"/>
        <v>0</v>
      </c>
      <c r="Y8" s="31">
        <f t="shared" si="6"/>
        <v>0</v>
      </c>
      <c r="Z8" s="71">
        <v>5001005</v>
      </c>
    </row>
    <row r="9" spans="1:26">
      <c r="A9" s="71" t="s">
        <v>81</v>
      </c>
      <c r="B9" s="71" t="s">
        <v>82</v>
      </c>
      <c r="C9" s="71" t="str">
        <f t="shared" si="0"/>
        <v>Skill_Name_25002001</v>
      </c>
      <c r="D9" s="31">
        <v>5</v>
      </c>
      <c r="E9" s="32">
        <f>E4+1</f>
        <v>2</v>
      </c>
      <c r="F9" s="31">
        <f t="shared" si="3"/>
        <v>2001</v>
      </c>
      <c r="G9" s="71">
        <v>350</v>
      </c>
      <c r="H9" s="71">
        <v>0</v>
      </c>
      <c r="I9" s="74">
        <v>25002001</v>
      </c>
      <c r="J9" s="71">
        <v>100000</v>
      </c>
      <c r="K9" s="71" t="str">
        <f t="shared" si="1"/>
        <v>25002001</v>
      </c>
      <c r="L9" s="74" t="s">
        <v>83</v>
      </c>
      <c r="M9" s="71" t="str">
        <f t="shared" si="2"/>
        <v>SkillDes_25002001</v>
      </c>
      <c r="N9" s="31" t="s">
        <v>84</v>
      </c>
      <c r="O9" s="67" t="s">
        <v>85</v>
      </c>
      <c r="P9" s="75">
        <v>1</v>
      </c>
      <c r="Q9" s="31" t="str">
        <f t="shared" si="4"/>
        <v>skill</v>
      </c>
      <c r="R9" s="31">
        <f t="shared" si="5"/>
        <v>0</v>
      </c>
      <c r="S9" s="74">
        <v>5002001</v>
      </c>
      <c r="T9" s="78">
        <v>0</v>
      </c>
      <c r="U9" s="71">
        <v>1011</v>
      </c>
      <c r="V9" s="79">
        <v>500</v>
      </c>
      <c r="W9" s="31">
        <f t="shared" ref="T9:Y9" si="7">W5</f>
        <v>0</v>
      </c>
      <c r="X9" s="31">
        <f t="shared" si="7"/>
        <v>0</v>
      </c>
      <c r="Y9" s="31">
        <f t="shared" si="7"/>
        <v>0</v>
      </c>
      <c r="Z9" s="71">
        <v>5002001</v>
      </c>
    </row>
    <row r="10" spans="1:26">
      <c r="A10" s="71" t="s">
        <v>86</v>
      </c>
      <c r="B10" s="71" t="s">
        <v>87</v>
      </c>
      <c r="C10" s="71" t="str">
        <f t="shared" si="0"/>
        <v>Skill_Name_25002002</v>
      </c>
      <c r="D10" s="31">
        <v>5</v>
      </c>
      <c r="E10" s="32">
        <f t="shared" ref="E10:E38" si="8">E5+1</f>
        <v>2</v>
      </c>
      <c r="F10" s="31">
        <f t="shared" si="3"/>
        <v>2001</v>
      </c>
      <c r="G10" s="71">
        <v>350</v>
      </c>
      <c r="H10" s="71">
        <v>0</v>
      </c>
      <c r="I10" s="74">
        <v>25002002</v>
      </c>
      <c r="J10" s="71">
        <v>110000</v>
      </c>
      <c r="K10" s="71" t="str">
        <f t="shared" si="1"/>
        <v>25002002</v>
      </c>
      <c r="L10" s="74" t="s">
        <v>88</v>
      </c>
      <c r="M10" s="71" t="str">
        <f t="shared" si="2"/>
        <v>SkillDes_25002002</v>
      </c>
      <c r="N10" s="31" t="s">
        <v>89</v>
      </c>
      <c r="O10" s="67" t="s">
        <v>85</v>
      </c>
      <c r="P10" s="75">
        <v>2</v>
      </c>
      <c r="Q10" s="31" t="str">
        <f t="shared" si="4"/>
        <v>skill</v>
      </c>
      <c r="R10" s="31">
        <f t="shared" si="5"/>
        <v>0</v>
      </c>
      <c r="S10" s="74">
        <v>5002002</v>
      </c>
      <c r="T10" s="78">
        <v>0</v>
      </c>
      <c r="U10" s="71">
        <v>1013</v>
      </c>
      <c r="V10" s="79" t="s">
        <v>90</v>
      </c>
      <c r="W10" s="31">
        <f t="shared" ref="T10:Y10" si="9">W6</f>
        <v>0</v>
      </c>
      <c r="X10" s="31">
        <f t="shared" si="9"/>
        <v>0</v>
      </c>
      <c r="Y10" s="31">
        <f t="shared" si="9"/>
        <v>0</v>
      </c>
      <c r="Z10" s="71">
        <v>5002002</v>
      </c>
    </row>
    <row r="11" spans="1:26">
      <c r="A11" s="71" t="s">
        <v>91</v>
      </c>
      <c r="B11" s="71" t="s">
        <v>92</v>
      </c>
      <c r="C11" s="71" t="str">
        <f t="shared" si="0"/>
        <v>Skill_Name_25002003</v>
      </c>
      <c r="D11" s="31">
        <v>5</v>
      </c>
      <c r="E11" s="32">
        <f t="shared" si="8"/>
        <v>2</v>
      </c>
      <c r="F11" s="31">
        <f t="shared" si="3"/>
        <v>2001</v>
      </c>
      <c r="G11" s="71">
        <v>350</v>
      </c>
      <c r="H11" s="71">
        <v>0</v>
      </c>
      <c r="I11" s="74">
        <v>25002003</v>
      </c>
      <c r="J11" s="71">
        <v>70000</v>
      </c>
      <c r="K11" s="71" t="str">
        <f t="shared" si="1"/>
        <v>25002003</v>
      </c>
      <c r="L11" s="74" t="s">
        <v>93</v>
      </c>
      <c r="M11" s="71" t="str">
        <f t="shared" si="2"/>
        <v>SkillDes_25002003</v>
      </c>
      <c r="N11" s="31" t="s">
        <v>94</v>
      </c>
      <c r="O11" s="67" t="s">
        <v>85</v>
      </c>
      <c r="P11" s="75">
        <v>3</v>
      </c>
      <c r="Q11" s="31" t="str">
        <f t="shared" si="4"/>
        <v>skill</v>
      </c>
      <c r="R11" s="31">
        <f t="shared" si="5"/>
        <v>0</v>
      </c>
      <c r="S11" s="74">
        <v>5002003</v>
      </c>
      <c r="T11" s="78">
        <v>0</v>
      </c>
      <c r="U11" s="71">
        <v>1016</v>
      </c>
      <c r="V11" s="79" t="s">
        <v>95</v>
      </c>
      <c r="W11" s="31">
        <f t="shared" ref="T11:Y11" si="10">W7</f>
        <v>0</v>
      </c>
      <c r="X11" s="31">
        <f t="shared" si="10"/>
        <v>0</v>
      </c>
      <c r="Y11" s="31">
        <f t="shared" si="10"/>
        <v>0</v>
      </c>
      <c r="Z11" s="71">
        <v>5002003</v>
      </c>
    </row>
    <row r="12" spans="1:26">
      <c r="A12" s="71" t="s">
        <v>96</v>
      </c>
      <c r="B12" s="71" t="s">
        <v>97</v>
      </c>
      <c r="C12" s="71" t="str">
        <f t="shared" si="0"/>
        <v>Skill_Name_25002004</v>
      </c>
      <c r="D12" s="31">
        <v>5</v>
      </c>
      <c r="E12" s="32">
        <f t="shared" si="8"/>
        <v>2</v>
      </c>
      <c r="F12" s="31">
        <f t="shared" si="3"/>
        <v>2001</v>
      </c>
      <c r="G12" s="71">
        <v>350</v>
      </c>
      <c r="H12" s="71">
        <v>0</v>
      </c>
      <c r="I12" s="74">
        <v>25002004</v>
      </c>
      <c r="J12" s="71">
        <v>210000</v>
      </c>
      <c r="K12" s="71" t="str">
        <f t="shared" si="1"/>
        <v>25002004</v>
      </c>
      <c r="L12" s="74" t="s">
        <v>98</v>
      </c>
      <c r="M12" s="71" t="str">
        <f t="shared" si="2"/>
        <v>SkillDes_25002004</v>
      </c>
      <c r="N12" s="31" t="s">
        <v>99</v>
      </c>
      <c r="O12" s="67" t="s">
        <v>85</v>
      </c>
      <c r="P12" s="75">
        <v>4</v>
      </c>
      <c r="Q12" s="31" t="str">
        <f t="shared" si="4"/>
        <v>skill</v>
      </c>
      <c r="R12" s="31">
        <f t="shared" si="5"/>
        <v>0</v>
      </c>
      <c r="S12" s="74">
        <v>5002004</v>
      </c>
      <c r="T12" s="78">
        <v>0</v>
      </c>
      <c r="U12" s="71">
        <v>1015</v>
      </c>
      <c r="V12" s="79" t="s">
        <v>100</v>
      </c>
      <c r="W12" s="31">
        <f t="shared" ref="T12:Y12" si="11">W8</f>
        <v>0</v>
      </c>
      <c r="X12" s="31">
        <f t="shared" si="11"/>
        <v>0</v>
      </c>
      <c r="Y12" s="31">
        <f t="shared" si="11"/>
        <v>0</v>
      </c>
      <c r="Z12" s="71">
        <v>5002004</v>
      </c>
    </row>
    <row r="13" spans="1:26">
      <c r="A13" s="71" t="s">
        <v>101</v>
      </c>
      <c r="B13" s="31" t="s">
        <v>102</v>
      </c>
      <c r="C13" s="71" t="str">
        <f t="shared" si="0"/>
        <v>Skill_Name_25002005</v>
      </c>
      <c r="D13" s="31">
        <v>5</v>
      </c>
      <c r="E13" s="32">
        <f t="shared" si="8"/>
        <v>2</v>
      </c>
      <c r="F13" s="31">
        <f t="shared" si="3"/>
        <v>2001</v>
      </c>
      <c r="G13" s="71">
        <v>350</v>
      </c>
      <c r="H13" s="71">
        <v>0</v>
      </c>
      <c r="I13" s="74">
        <v>25002005</v>
      </c>
      <c r="J13" s="71">
        <v>160000</v>
      </c>
      <c r="K13" s="71" t="str">
        <f t="shared" si="1"/>
        <v>25002005</v>
      </c>
      <c r="L13" s="74" t="s">
        <v>103</v>
      </c>
      <c r="M13" s="71" t="str">
        <f t="shared" si="2"/>
        <v>SkillDes_25002005</v>
      </c>
      <c r="N13" s="31" t="s">
        <v>104</v>
      </c>
      <c r="O13" s="67" t="s">
        <v>85</v>
      </c>
      <c r="P13" s="31">
        <v>5</v>
      </c>
      <c r="Q13" s="31" t="str">
        <f t="shared" si="4"/>
        <v>skill</v>
      </c>
      <c r="R13" s="31">
        <f t="shared" si="5"/>
        <v>0</v>
      </c>
      <c r="S13" s="74">
        <v>5002005</v>
      </c>
      <c r="T13" s="78">
        <v>0</v>
      </c>
      <c r="U13" s="71">
        <v>1013</v>
      </c>
      <c r="V13" s="71">
        <v>1850</v>
      </c>
      <c r="W13" s="31">
        <f t="shared" ref="T13:Y13" si="12">W9</f>
        <v>0</v>
      </c>
      <c r="X13" s="31">
        <f t="shared" si="12"/>
        <v>0</v>
      </c>
      <c r="Y13" s="31">
        <f t="shared" si="12"/>
        <v>0</v>
      </c>
      <c r="Z13" s="71">
        <v>5002005</v>
      </c>
    </row>
    <row r="14" spans="1:26">
      <c r="A14" s="71" t="s">
        <v>105</v>
      </c>
      <c r="B14" s="71" t="s">
        <v>106</v>
      </c>
      <c r="C14" s="71" t="str">
        <f t="shared" si="0"/>
        <v>Skill_Name_25003001</v>
      </c>
      <c r="D14" s="31">
        <v>5</v>
      </c>
      <c r="E14" s="32">
        <f t="shared" si="8"/>
        <v>3</v>
      </c>
      <c r="F14" s="31">
        <f t="shared" si="3"/>
        <v>2001</v>
      </c>
      <c r="G14" s="71">
        <v>350</v>
      </c>
      <c r="H14" s="71">
        <v>0</v>
      </c>
      <c r="I14" s="74">
        <v>25003001</v>
      </c>
      <c r="J14" s="71">
        <v>100000</v>
      </c>
      <c r="K14" s="71" t="str">
        <f t="shared" si="1"/>
        <v>25003001</v>
      </c>
      <c r="L14" s="74" t="s">
        <v>107</v>
      </c>
      <c r="M14" s="71" t="str">
        <f t="shared" si="2"/>
        <v>SkillDes_25003001</v>
      </c>
      <c r="N14" s="31" t="s">
        <v>108</v>
      </c>
      <c r="O14" s="67" t="s">
        <v>109</v>
      </c>
      <c r="P14" s="75">
        <v>1</v>
      </c>
      <c r="Q14" s="31" t="str">
        <f t="shared" si="4"/>
        <v>skill</v>
      </c>
      <c r="R14" s="31">
        <f t="shared" si="5"/>
        <v>0</v>
      </c>
      <c r="S14" s="74">
        <v>5003001</v>
      </c>
      <c r="T14" s="78">
        <v>0</v>
      </c>
      <c r="U14" s="71">
        <v>1014</v>
      </c>
      <c r="V14" s="71">
        <v>1150</v>
      </c>
      <c r="W14" s="31">
        <f t="shared" ref="T14:Y14" si="13">W10</f>
        <v>0</v>
      </c>
      <c r="X14" s="31">
        <f t="shared" si="13"/>
        <v>0</v>
      </c>
      <c r="Y14" s="31">
        <f t="shared" si="13"/>
        <v>0</v>
      </c>
      <c r="Z14" s="71">
        <v>5003001</v>
      </c>
    </row>
    <row r="15" spans="1:26">
      <c r="A15" s="71" t="s">
        <v>110</v>
      </c>
      <c r="B15" s="71" t="s">
        <v>111</v>
      </c>
      <c r="C15" s="71" t="str">
        <f t="shared" si="0"/>
        <v>Skill_Name_25003002</v>
      </c>
      <c r="D15" s="31">
        <v>5</v>
      </c>
      <c r="E15" s="32">
        <f t="shared" si="8"/>
        <v>3</v>
      </c>
      <c r="F15" s="31">
        <f t="shared" si="3"/>
        <v>2001</v>
      </c>
      <c r="G15" s="71">
        <v>350</v>
      </c>
      <c r="H15" s="71">
        <v>0</v>
      </c>
      <c r="I15" s="74">
        <v>25003002</v>
      </c>
      <c r="J15" s="71">
        <v>80000</v>
      </c>
      <c r="K15" s="71" t="str">
        <f t="shared" si="1"/>
        <v>25003002</v>
      </c>
      <c r="L15" s="74" t="s">
        <v>112</v>
      </c>
      <c r="M15" s="71" t="str">
        <f t="shared" si="2"/>
        <v>SkillDes_25003002</v>
      </c>
      <c r="N15" s="31" t="s">
        <v>113</v>
      </c>
      <c r="O15" s="67" t="s">
        <v>109</v>
      </c>
      <c r="P15" s="75">
        <v>2</v>
      </c>
      <c r="Q15" s="31" t="str">
        <f t="shared" si="4"/>
        <v>skill</v>
      </c>
      <c r="R15" s="31">
        <f t="shared" si="5"/>
        <v>0</v>
      </c>
      <c r="S15" s="74">
        <v>5003002</v>
      </c>
      <c r="T15" s="78">
        <v>0</v>
      </c>
      <c r="U15" s="71">
        <v>1014</v>
      </c>
      <c r="V15" s="79" t="s">
        <v>114</v>
      </c>
      <c r="W15" s="31">
        <f t="shared" ref="T15:Y15" si="14">W11</f>
        <v>0</v>
      </c>
      <c r="X15" s="31">
        <f t="shared" si="14"/>
        <v>0</v>
      </c>
      <c r="Y15" s="31">
        <f t="shared" si="14"/>
        <v>0</v>
      </c>
      <c r="Z15" s="71">
        <v>5003002</v>
      </c>
    </row>
    <row r="16" spans="1:26">
      <c r="A16" s="71" t="s">
        <v>115</v>
      </c>
      <c r="B16" s="71" t="s">
        <v>116</v>
      </c>
      <c r="C16" s="71" t="str">
        <f t="shared" si="0"/>
        <v>Skill_Name_25003003</v>
      </c>
      <c r="D16" s="31">
        <v>5</v>
      </c>
      <c r="E16" s="32">
        <f t="shared" si="8"/>
        <v>3</v>
      </c>
      <c r="F16" s="31">
        <f t="shared" si="3"/>
        <v>2001</v>
      </c>
      <c r="G16" s="71">
        <v>350</v>
      </c>
      <c r="H16" s="71">
        <v>0</v>
      </c>
      <c r="I16" s="74">
        <v>25003003</v>
      </c>
      <c r="J16" s="71">
        <v>120000</v>
      </c>
      <c r="K16" s="71" t="str">
        <f t="shared" si="1"/>
        <v>25003003</v>
      </c>
      <c r="L16" s="74" t="s">
        <v>117</v>
      </c>
      <c r="M16" s="71" t="str">
        <f t="shared" si="2"/>
        <v>SkillDes_25003003</v>
      </c>
      <c r="N16" s="31" t="s">
        <v>118</v>
      </c>
      <c r="O16" s="67" t="s">
        <v>109</v>
      </c>
      <c r="P16" s="75">
        <v>3</v>
      </c>
      <c r="Q16" s="31" t="str">
        <f t="shared" si="4"/>
        <v>skill</v>
      </c>
      <c r="R16" s="31">
        <f t="shared" si="5"/>
        <v>0</v>
      </c>
      <c r="S16" s="74">
        <v>5003003</v>
      </c>
      <c r="T16" s="78">
        <v>0</v>
      </c>
      <c r="U16" s="71">
        <v>1013</v>
      </c>
      <c r="V16" s="79" t="s">
        <v>119</v>
      </c>
      <c r="W16" s="31">
        <f t="shared" ref="T16:Y16" si="15">W12</f>
        <v>0</v>
      </c>
      <c r="X16" s="31">
        <f t="shared" si="15"/>
        <v>0</v>
      </c>
      <c r="Y16" s="31">
        <f t="shared" si="15"/>
        <v>0</v>
      </c>
      <c r="Z16" s="71">
        <v>5003003</v>
      </c>
    </row>
    <row r="17" spans="1:26">
      <c r="A17" s="71" t="s">
        <v>120</v>
      </c>
      <c r="B17" s="71" t="s">
        <v>121</v>
      </c>
      <c r="C17" s="71" t="str">
        <f t="shared" si="0"/>
        <v>Skill_Name_25003004</v>
      </c>
      <c r="D17" s="31">
        <v>5</v>
      </c>
      <c r="E17" s="32">
        <f t="shared" si="8"/>
        <v>3</v>
      </c>
      <c r="F17" s="31">
        <f t="shared" si="3"/>
        <v>2001</v>
      </c>
      <c r="G17" s="71">
        <v>350</v>
      </c>
      <c r="H17" s="71">
        <v>0</v>
      </c>
      <c r="I17" s="74">
        <v>25003004</v>
      </c>
      <c r="J17" s="71">
        <v>150000</v>
      </c>
      <c r="K17" s="71" t="str">
        <f t="shared" si="1"/>
        <v>25003004</v>
      </c>
      <c r="L17" s="74" t="s">
        <v>122</v>
      </c>
      <c r="M17" s="71" t="str">
        <f t="shared" si="2"/>
        <v>SkillDes_25003004</v>
      </c>
      <c r="N17" s="31" t="s">
        <v>123</v>
      </c>
      <c r="O17" s="67" t="s">
        <v>109</v>
      </c>
      <c r="P17" s="75">
        <v>4</v>
      </c>
      <c r="Q17" s="31" t="str">
        <f t="shared" si="4"/>
        <v>skill</v>
      </c>
      <c r="R17" s="31">
        <f t="shared" si="5"/>
        <v>0</v>
      </c>
      <c r="S17" s="74">
        <v>5003004</v>
      </c>
      <c r="T17" s="78">
        <v>0</v>
      </c>
      <c r="U17" s="71">
        <v>1012</v>
      </c>
      <c r="V17" s="79">
        <v>1300</v>
      </c>
      <c r="W17" s="31">
        <f t="shared" ref="T17:Y17" si="16">W13</f>
        <v>0</v>
      </c>
      <c r="X17" s="31">
        <f t="shared" si="16"/>
        <v>0</v>
      </c>
      <c r="Y17" s="31">
        <f t="shared" si="16"/>
        <v>0</v>
      </c>
      <c r="Z17" s="71">
        <v>5003004</v>
      </c>
    </row>
    <row r="18" spans="1:26">
      <c r="A18" s="71" t="s">
        <v>124</v>
      </c>
      <c r="B18" s="31" t="s">
        <v>125</v>
      </c>
      <c r="C18" s="71" t="str">
        <f t="shared" si="0"/>
        <v>Skill_Name_25003005</v>
      </c>
      <c r="D18" s="31">
        <v>5</v>
      </c>
      <c r="E18" s="32">
        <f t="shared" si="8"/>
        <v>3</v>
      </c>
      <c r="F18" s="31">
        <f t="shared" si="3"/>
        <v>2001</v>
      </c>
      <c r="G18" s="71">
        <v>350</v>
      </c>
      <c r="H18" s="71">
        <v>0</v>
      </c>
      <c r="I18" s="74">
        <v>25003005</v>
      </c>
      <c r="J18" s="71">
        <v>190000</v>
      </c>
      <c r="K18" s="71" t="str">
        <f t="shared" si="1"/>
        <v>25003005</v>
      </c>
      <c r="L18" s="74" t="s">
        <v>126</v>
      </c>
      <c r="M18" s="71" t="str">
        <f t="shared" si="2"/>
        <v>SkillDes_25003005</v>
      </c>
      <c r="N18" s="31" t="s">
        <v>127</v>
      </c>
      <c r="O18" s="67" t="s">
        <v>109</v>
      </c>
      <c r="P18" s="31">
        <v>5</v>
      </c>
      <c r="Q18" s="31" t="str">
        <f t="shared" si="4"/>
        <v>skill</v>
      </c>
      <c r="R18" s="31">
        <f t="shared" si="5"/>
        <v>0</v>
      </c>
      <c r="S18" s="74">
        <v>5003005</v>
      </c>
      <c r="T18" s="78">
        <v>0</v>
      </c>
      <c r="U18" s="71">
        <v>1013</v>
      </c>
      <c r="V18" s="71" t="s">
        <v>128</v>
      </c>
      <c r="W18" s="31">
        <f t="shared" ref="T18:Y18" si="17">W14</f>
        <v>0</v>
      </c>
      <c r="X18" s="31">
        <f t="shared" si="17"/>
        <v>0</v>
      </c>
      <c r="Y18" s="31">
        <f t="shared" si="17"/>
        <v>0</v>
      </c>
      <c r="Z18" s="71">
        <v>5003005</v>
      </c>
    </row>
    <row r="19" spans="1:26">
      <c r="A19" s="71" t="s">
        <v>129</v>
      </c>
      <c r="B19" s="71" t="s">
        <v>130</v>
      </c>
      <c r="C19" s="71" t="str">
        <f t="shared" si="0"/>
        <v>Skill_Name_25004001</v>
      </c>
      <c r="D19" s="31">
        <v>5</v>
      </c>
      <c r="E19" s="32">
        <f t="shared" si="8"/>
        <v>4</v>
      </c>
      <c r="F19" s="31">
        <f t="shared" si="3"/>
        <v>2001</v>
      </c>
      <c r="G19" s="71">
        <v>350</v>
      </c>
      <c r="H19" s="71">
        <v>0</v>
      </c>
      <c r="I19" s="74">
        <v>25004001</v>
      </c>
      <c r="J19" s="71">
        <v>100000</v>
      </c>
      <c r="K19" s="71" t="str">
        <f t="shared" si="1"/>
        <v>25004001</v>
      </c>
      <c r="L19" s="74" t="s">
        <v>131</v>
      </c>
      <c r="M19" s="71" t="str">
        <f t="shared" si="2"/>
        <v>SkillDes_25004001</v>
      </c>
      <c r="N19" s="31" t="s">
        <v>132</v>
      </c>
      <c r="O19" s="67" t="s">
        <v>133</v>
      </c>
      <c r="P19" s="75">
        <v>1</v>
      </c>
      <c r="Q19" s="31" t="str">
        <f t="shared" si="4"/>
        <v>skill</v>
      </c>
      <c r="R19" s="31">
        <f t="shared" si="5"/>
        <v>0</v>
      </c>
      <c r="S19" s="74">
        <v>5004001</v>
      </c>
      <c r="T19" s="78">
        <v>0</v>
      </c>
      <c r="U19" s="71">
        <v>1013</v>
      </c>
      <c r="V19" s="71">
        <v>700</v>
      </c>
      <c r="W19" s="31">
        <f t="shared" ref="T19:Y19" si="18">W15</f>
        <v>0</v>
      </c>
      <c r="X19" s="31">
        <f t="shared" si="18"/>
        <v>0</v>
      </c>
      <c r="Y19" s="31">
        <f t="shared" si="18"/>
        <v>0</v>
      </c>
      <c r="Z19" s="71">
        <v>5004001</v>
      </c>
    </row>
    <row r="20" spans="1:26">
      <c r="A20" s="71" t="s">
        <v>134</v>
      </c>
      <c r="B20" s="71" t="s">
        <v>135</v>
      </c>
      <c r="C20" s="71" t="str">
        <f t="shared" si="0"/>
        <v>Skill_Name_25004002</v>
      </c>
      <c r="D20" s="31">
        <v>5</v>
      </c>
      <c r="E20" s="32">
        <f t="shared" si="8"/>
        <v>4</v>
      </c>
      <c r="F20" s="31">
        <f t="shared" si="3"/>
        <v>2001</v>
      </c>
      <c r="G20" s="71">
        <v>350</v>
      </c>
      <c r="H20" s="71">
        <v>0</v>
      </c>
      <c r="I20" s="74">
        <v>25004002</v>
      </c>
      <c r="J20" s="71">
        <v>160000</v>
      </c>
      <c r="K20" s="71" t="str">
        <f t="shared" si="1"/>
        <v>25004002</v>
      </c>
      <c r="L20" s="74" t="s">
        <v>136</v>
      </c>
      <c r="M20" s="71" t="str">
        <f t="shared" si="2"/>
        <v>SkillDes_25004002</v>
      </c>
      <c r="N20" s="31" t="s">
        <v>137</v>
      </c>
      <c r="O20" s="67" t="s">
        <v>133</v>
      </c>
      <c r="P20" s="75">
        <v>2</v>
      </c>
      <c r="Q20" s="31" t="str">
        <f t="shared" si="4"/>
        <v>skill</v>
      </c>
      <c r="R20" s="31">
        <f t="shared" si="5"/>
        <v>0</v>
      </c>
      <c r="S20" s="74">
        <v>5004002</v>
      </c>
      <c r="T20" s="78">
        <v>0</v>
      </c>
      <c r="U20" s="71">
        <v>1016</v>
      </c>
      <c r="V20" s="79" t="s">
        <v>138</v>
      </c>
      <c r="W20" s="31">
        <f t="shared" ref="T20:Y20" si="19">W16</f>
        <v>0</v>
      </c>
      <c r="X20" s="31">
        <f t="shared" si="19"/>
        <v>0</v>
      </c>
      <c r="Y20" s="31">
        <f t="shared" si="19"/>
        <v>0</v>
      </c>
      <c r="Z20" s="71">
        <v>5004002</v>
      </c>
    </row>
    <row r="21" spans="1:26">
      <c r="A21" s="71" t="s">
        <v>139</v>
      </c>
      <c r="B21" s="71" t="s">
        <v>140</v>
      </c>
      <c r="C21" s="71" t="str">
        <f t="shared" si="0"/>
        <v>Skill_Name_25004003</v>
      </c>
      <c r="D21" s="31">
        <v>5</v>
      </c>
      <c r="E21" s="32">
        <f t="shared" si="8"/>
        <v>4</v>
      </c>
      <c r="F21" s="31">
        <f t="shared" si="3"/>
        <v>2001</v>
      </c>
      <c r="G21" s="71">
        <v>350</v>
      </c>
      <c r="H21" s="71">
        <v>0</v>
      </c>
      <c r="I21" s="74">
        <v>25004003</v>
      </c>
      <c r="J21" s="71">
        <v>170000</v>
      </c>
      <c r="K21" s="71" t="str">
        <f t="shared" si="1"/>
        <v>25004003</v>
      </c>
      <c r="L21" s="74" t="s">
        <v>141</v>
      </c>
      <c r="M21" s="71" t="str">
        <f t="shared" si="2"/>
        <v>SkillDes_25004003</v>
      </c>
      <c r="N21" s="31" t="s">
        <v>142</v>
      </c>
      <c r="O21" s="67" t="s">
        <v>133</v>
      </c>
      <c r="P21" s="75">
        <v>3</v>
      </c>
      <c r="Q21" s="31" t="str">
        <f t="shared" si="4"/>
        <v>skill</v>
      </c>
      <c r="R21" s="31">
        <f t="shared" si="5"/>
        <v>0</v>
      </c>
      <c r="S21" s="74">
        <v>5004003</v>
      </c>
      <c r="T21" s="78">
        <v>0</v>
      </c>
      <c r="U21" s="71">
        <v>1016</v>
      </c>
      <c r="V21" s="79" t="s">
        <v>143</v>
      </c>
      <c r="W21" s="31">
        <f t="shared" ref="T21:Y21" si="20">W17</f>
        <v>0</v>
      </c>
      <c r="X21" s="31">
        <f t="shared" si="20"/>
        <v>0</v>
      </c>
      <c r="Y21" s="31">
        <f t="shared" si="20"/>
        <v>0</v>
      </c>
      <c r="Z21" s="71">
        <v>5004003</v>
      </c>
    </row>
    <row r="22" spans="1:26">
      <c r="A22" s="71">
        <v>25004004</v>
      </c>
      <c r="B22" s="71" t="s">
        <v>144</v>
      </c>
      <c r="C22" s="71" t="str">
        <f t="shared" si="0"/>
        <v>Skill_Name_25004004</v>
      </c>
      <c r="D22" s="31">
        <v>5</v>
      </c>
      <c r="E22" s="32">
        <f t="shared" si="8"/>
        <v>4</v>
      </c>
      <c r="F22" s="31">
        <f t="shared" si="3"/>
        <v>2001</v>
      </c>
      <c r="G22" s="71">
        <v>350</v>
      </c>
      <c r="H22" s="71">
        <v>0</v>
      </c>
      <c r="I22" s="74">
        <v>25004004</v>
      </c>
      <c r="J22" s="71">
        <v>110000</v>
      </c>
      <c r="K22" s="71">
        <f t="shared" si="1"/>
        <v>25004004</v>
      </c>
      <c r="L22" s="74" t="s">
        <v>145</v>
      </c>
      <c r="M22" s="71" t="str">
        <f t="shared" si="2"/>
        <v>SkillDes_25004004</v>
      </c>
      <c r="N22" s="31" t="s">
        <v>146</v>
      </c>
      <c r="O22" s="67" t="s">
        <v>133</v>
      </c>
      <c r="P22" s="75">
        <v>4</v>
      </c>
      <c r="Q22" s="31" t="str">
        <f t="shared" si="4"/>
        <v>skill</v>
      </c>
      <c r="R22" s="31">
        <f t="shared" si="5"/>
        <v>0</v>
      </c>
      <c r="S22" s="74">
        <v>5004004</v>
      </c>
      <c r="T22" s="78">
        <v>0</v>
      </c>
      <c r="U22" s="71">
        <v>1015</v>
      </c>
      <c r="V22" s="79" t="s">
        <v>147</v>
      </c>
      <c r="W22" s="31">
        <f t="shared" ref="T22:Y22" si="21">W18</f>
        <v>0</v>
      </c>
      <c r="X22" s="31">
        <f t="shared" si="21"/>
        <v>0</v>
      </c>
      <c r="Y22" s="31">
        <f t="shared" si="21"/>
        <v>0</v>
      </c>
      <c r="Z22" s="71">
        <v>5004004</v>
      </c>
    </row>
    <row r="23" spans="1:26">
      <c r="A23" s="71" t="s">
        <v>148</v>
      </c>
      <c r="B23" s="71" t="s">
        <v>149</v>
      </c>
      <c r="C23" s="71" t="str">
        <f t="shared" si="0"/>
        <v>Skill_Name_25004005</v>
      </c>
      <c r="D23" s="31">
        <v>5</v>
      </c>
      <c r="E23" s="32">
        <f t="shared" si="8"/>
        <v>4</v>
      </c>
      <c r="F23" s="31">
        <f t="shared" si="3"/>
        <v>2001</v>
      </c>
      <c r="G23" s="71">
        <v>350</v>
      </c>
      <c r="H23" s="71">
        <v>0</v>
      </c>
      <c r="I23" s="74">
        <v>25004005</v>
      </c>
      <c r="J23" s="71">
        <v>80000</v>
      </c>
      <c r="K23" s="71" t="str">
        <f t="shared" si="1"/>
        <v>25004005</v>
      </c>
      <c r="L23" s="74" t="s">
        <v>150</v>
      </c>
      <c r="M23" s="71" t="str">
        <f t="shared" si="2"/>
        <v>SkillDes_25004005</v>
      </c>
      <c r="N23" s="31" t="s">
        <v>151</v>
      </c>
      <c r="O23" s="67" t="s">
        <v>133</v>
      </c>
      <c r="P23" s="31">
        <v>5</v>
      </c>
      <c r="Q23" s="31" t="str">
        <f t="shared" si="4"/>
        <v>skill</v>
      </c>
      <c r="R23" s="31">
        <f t="shared" si="5"/>
        <v>0</v>
      </c>
      <c r="S23" s="74">
        <v>5004005</v>
      </c>
      <c r="T23" s="78">
        <v>0</v>
      </c>
      <c r="U23" s="71">
        <v>1012</v>
      </c>
      <c r="V23" s="71" t="s">
        <v>152</v>
      </c>
      <c r="W23" s="31">
        <f t="shared" ref="T23:Y23" si="22">W19</f>
        <v>0</v>
      </c>
      <c r="X23" s="31">
        <f t="shared" si="22"/>
        <v>0</v>
      </c>
      <c r="Y23" s="31">
        <f t="shared" si="22"/>
        <v>0</v>
      </c>
      <c r="Z23" s="71">
        <v>5004005</v>
      </c>
    </row>
    <row r="24" spans="1:26">
      <c r="A24" s="71" t="s">
        <v>153</v>
      </c>
      <c r="B24" s="71" t="s">
        <v>154</v>
      </c>
      <c r="C24" s="71" t="str">
        <f t="shared" si="0"/>
        <v>Skill_Name_25005001</v>
      </c>
      <c r="D24" s="31">
        <v>5</v>
      </c>
      <c r="E24" s="32">
        <f t="shared" si="8"/>
        <v>5</v>
      </c>
      <c r="F24" s="31">
        <f t="shared" si="3"/>
        <v>2001</v>
      </c>
      <c r="G24" s="71">
        <v>350</v>
      </c>
      <c r="H24" s="71">
        <v>0</v>
      </c>
      <c r="I24" s="74">
        <v>25005001</v>
      </c>
      <c r="J24" s="71">
        <v>110000</v>
      </c>
      <c r="K24" s="71" t="str">
        <f t="shared" si="1"/>
        <v>25005001</v>
      </c>
      <c r="L24" s="74" t="s">
        <v>155</v>
      </c>
      <c r="M24" s="71" t="str">
        <f t="shared" si="2"/>
        <v>SkillDes_25005001</v>
      </c>
      <c r="N24" s="31" t="s">
        <v>156</v>
      </c>
      <c r="O24" s="67" t="s">
        <v>157</v>
      </c>
      <c r="P24" s="75">
        <v>1</v>
      </c>
      <c r="Q24" s="31" t="str">
        <f t="shared" si="4"/>
        <v>skill</v>
      </c>
      <c r="R24" s="31">
        <f t="shared" si="5"/>
        <v>0</v>
      </c>
      <c r="S24" s="74">
        <v>5005001</v>
      </c>
      <c r="T24" s="78">
        <v>0</v>
      </c>
      <c r="U24" s="71">
        <v>1011</v>
      </c>
      <c r="V24" s="79" t="s">
        <v>158</v>
      </c>
      <c r="W24" s="31">
        <f t="shared" ref="T24:Y24" si="23">W20</f>
        <v>0</v>
      </c>
      <c r="X24" s="31">
        <f t="shared" si="23"/>
        <v>0</v>
      </c>
      <c r="Y24" s="31">
        <f t="shared" si="23"/>
        <v>0</v>
      </c>
      <c r="Z24" s="71">
        <v>5005001</v>
      </c>
    </row>
    <row r="25" spans="1:26">
      <c r="A25" s="71" t="s">
        <v>159</v>
      </c>
      <c r="B25" s="31" t="s">
        <v>160</v>
      </c>
      <c r="C25" s="71" t="str">
        <f t="shared" si="0"/>
        <v>Skill_Name_25005002</v>
      </c>
      <c r="D25" s="31">
        <v>5</v>
      </c>
      <c r="E25" s="32">
        <f t="shared" si="8"/>
        <v>5</v>
      </c>
      <c r="F25" s="31">
        <f t="shared" si="3"/>
        <v>2001</v>
      </c>
      <c r="G25" s="71">
        <v>350</v>
      </c>
      <c r="H25" s="71">
        <v>0</v>
      </c>
      <c r="I25" s="74">
        <v>25005002</v>
      </c>
      <c r="J25" s="71">
        <v>80000</v>
      </c>
      <c r="K25" s="71" t="str">
        <f t="shared" si="1"/>
        <v>25005002</v>
      </c>
      <c r="L25" s="74" t="s">
        <v>161</v>
      </c>
      <c r="M25" s="71" t="str">
        <f t="shared" si="2"/>
        <v>SkillDes_25005002</v>
      </c>
      <c r="N25" s="31" t="s">
        <v>162</v>
      </c>
      <c r="O25" s="67" t="s">
        <v>157</v>
      </c>
      <c r="P25" s="75">
        <v>2</v>
      </c>
      <c r="Q25" s="31" t="str">
        <f t="shared" si="4"/>
        <v>skill</v>
      </c>
      <c r="R25" s="31">
        <f t="shared" si="5"/>
        <v>0</v>
      </c>
      <c r="S25" s="74">
        <v>5005002</v>
      </c>
      <c r="T25" s="78">
        <v>0</v>
      </c>
      <c r="U25" s="71">
        <v>1013</v>
      </c>
      <c r="V25" s="71" t="s">
        <v>163</v>
      </c>
      <c r="W25" s="31">
        <f t="shared" ref="T25:Y25" si="24">W21</f>
        <v>0</v>
      </c>
      <c r="X25" s="31">
        <f t="shared" si="24"/>
        <v>0</v>
      </c>
      <c r="Y25" s="31">
        <f t="shared" si="24"/>
        <v>0</v>
      </c>
      <c r="Z25" s="71">
        <v>5005002</v>
      </c>
    </row>
    <row r="26" spans="1:26">
      <c r="A26" s="71" t="s">
        <v>164</v>
      </c>
      <c r="B26" s="71" t="s">
        <v>165</v>
      </c>
      <c r="C26" s="71" t="str">
        <f t="shared" si="0"/>
        <v>Skill_Name_25005003</v>
      </c>
      <c r="D26" s="31">
        <v>5</v>
      </c>
      <c r="E26" s="32">
        <f t="shared" si="8"/>
        <v>5</v>
      </c>
      <c r="F26" s="31">
        <f t="shared" si="3"/>
        <v>2001</v>
      </c>
      <c r="G26" s="71">
        <v>350</v>
      </c>
      <c r="H26" s="71">
        <v>0</v>
      </c>
      <c r="I26" s="74">
        <v>25005003</v>
      </c>
      <c r="J26" s="71">
        <v>100000</v>
      </c>
      <c r="K26" s="71" t="str">
        <f t="shared" si="1"/>
        <v>25005003</v>
      </c>
      <c r="L26" s="74" t="s">
        <v>166</v>
      </c>
      <c r="M26" s="71" t="str">
        <f t="shared" si="2"/>
        <v>SkillDes_25005003</v>
      </c>
      <c r="N26" s="31" t="s">
        <v>167</v>
      </c>
      <c r="O26" s="67" t="s">
        <v>157</v>
      </c>
      <c r="P26" s="75">
        <v>3</v>
      </c>
      <c r="Q26" s="31" t="str">
        <f t="shared" si="4"/>
        <v>skill</v>
      </c>
      <c r="R26" s="31">
        <f t="shared" si="5"/>
        <v>0</v>
      </c>
      <c r="S26" s="74">
        <v>5005003</v>
      </c>
      <c r="T26" s="78">
        <v>0</v>
      </c>
      <c r="U26" s="71">
        <v>1014</v>
      </c>
      <c r="V26" s="71">
        <v>750</v>
      </c>
      <c r="W26" s="31">
        <f t="shared" ref="T26:Y26" si="25">W22</f>
        <v>0</v>
      </c>
      <c r="X26" s="31">
        <f t="shared" si="25"/>
        <v>0</v>
      </c>
      <c r="Y26" s="31">
        <f t="shared" si="25"/>
        <v>0</v>
      </c>
      <c r="Z26" s="71">
        <v>5005003</v>
      </c>
    </row>
    <row r="27" spans="1:26">
      <c r="A27" s="71" t="s">
        <v>168</v>
      </c>
      <c r="B27" s="71" t="s">
        <v>169</v>
      </c>
      <c r="C27" s="71" t="str">
        <f t="shared" si="0"/>
        <v>Skill_Name_25005004</v>
      </c>
      <c r="D27" s="31">
        <v>5</v>
      </c>
      <c r="E27" s="32">
        <f t="shared" si="8"/>
        <v>5</v>
      </c>
      <c r="F27" s="31">
        <f t="shared" si="3"/>
        <v>2001</v>
      </c>
      <c r="G27" s="71">
        <v>350</v>
      </c>
      <c r="H27" s="71">
        <v>0</v>
      </c>
      <c r="I27" s="74">
        <v>25005004</v>
      </c>
      <c r="J27" s="71">
        <v>80000</v>
      </c>
      <c r="K27" s="71" t="str">
        <f t="shared" si="1"/>
        <v>25005004</v>
      </c>
      <c r="L27" s="74" t="s">
        <v>170</v>
      </c>
      <c r="M27" s="71" t="str">
        <f t="shared" si="2"/>
        <v>SkillDes_25005004</v>
      </c>
      <c r="N27" s="31" t="s">
        <v>171</v>
      </c>
      <c r="O27" s="67" t="s">
        <v>157</v>
      </c>
      <c r="P27" s="75">
        <v>4</v>
      </c>
      <c r="Q27" s="31" t="str">
        <f t="shared" si="4"/>
        <v>skill</v>
      </c>
      <c r="R27" s="31">
        <f t="shared" si="5"/>
        <v>0</v>
      </c>
      <c r="S27" s="74">
        <v>5005004</v>
      </c>
      <c r="T27" s="78">
        <v>0</v>
      </c>
      <c r="U27" s="71">
        <v>1012</v>
      </c>
      <c r="V27" s="71">
        <v>300</v>
      </c>
      <c r="W27" s="31">
        <f t="shared" ref="T27:Y27" si="26">W23</f>
        <v>0</v>
      </c>
      <c r="X27" s="31">
        <f t="shared" si="26"/>
        <v>0</v>
      </c>
      <c r="Y27" s="31">
        <f t="shared" si="26"/>
        <v>0</v>
      </c>
      <c r="Z27" s="71">
        <v>5005004</v>
      </c>
    </row>
    <row r="28" spans="1:26">
      <c r="A28" s="71" t="s">
        <v>172</v>
      </c>
      <c r="B28" s="71" t="s">
        <v>173</v>
      </c>
      <c r="C28" s="71" t="str">
        <f t="shared" si="0"/>
        <v>Skill_Name_25005005</v>
      </c>
      <c r="D28" s="31">
        <v>5</v>
      </c>
      <c r="E28" s="32">
        <f t="shared" si="8"/>
        <v>5</v>
      </c>
      <c r="F28" s="31">
        <f t="shared" ref="F28:F38" si="27">F24</f>
        <v>2001</v>
      </c>
      <c r="G28" s="71">
        <v>350</v>
      </c>
      <c r="H28" s="71">
        <v>0</v>
      </c>
      <c r="I28" s="74">
        <v>25005005</v>
      </c>
      <c r="J28" s="71">
        <v>220000</v>
      </c>
      <c r="K28" s="71" t="str">
        <f t="shared" si="1"/>
        <v>25005005</v>
      </c>
      <c r="L28" s="74" t="s">
        <v>174</v>
      </c>
      <c r="M28" s="71" t="str">
        <f t="shared" si="2"/>
        <v>SkillDes_25005005</v>
      </c>
      <c r="N28" s="31" t="s">
        <v>175</v>
      </c>
      <c r="O28" s="67" t="s">
        <v>157</v>
      </c>
      <c r="P28" s="31">
        <v>5</v>
      </c>
      <c r="Q28" s="31" t="str">
        <f t="shared" si="4"/>
        <v>skill</v>
      </c>
      <c r="R28" s="31">
        <f t="shared" si="5"/>
        <v>0</v>
      </c>
      <c r="S28" s="74">
        <v>5005005</v>
      </c>
      <c r="T28" s="78">
        <v>0</v>
      </c>
      <c r="U28" s="71">
        <v>1015</v>
      </c>
      <c r="V28" s="79" t="s">
        <v>176</v>
      </c>
      <c r="W28" s="31">
        <f t="shared" ref="T28:Y28" si="28">W24</f>
        <v>0</v>
      </c>
      <c r="X28" s="31">
        <f t="shared" si="28"/>
        <v>0</v>
      </c>
      <c r="Y28" s="31">
        <f t="shared" si="28"/>
        <v>0</v>
      </c>
      <c r="Z28" s="71">
        <v>5005005</v>
      </c>
    </row>
    <row r="29" spans="1:26">
      <c r="A29" s="71" t="s">
        <v>177</v>
      </c>
      <c r="B29" s="71" t="s">
        <v>178</v>
      </c>
      <c r="C29" s="71" t="str">
        <f t="shared" si="0"/>
        <v>Skill_Name_25006001</v>
      </c>
      <c r="D29" s="31">
        <v>5</v>
      </c>
      <c r="E29" s="32">
        <f t="shared" si="8"/>
        <v>6</v>
      </c>
      <c r="F29" s="31">
        <f t="shared" si="27"/>
        <v>2001</v>
      </c>
      <c r="G29" s="71">
        <v>350</v>
      </c>
      <c r="H29" s="71">
        <v>0</v>
      </c>
      <c r="I29" s="74">
        <v>25006001</v>
      </c>
      <c r="J29" s="71">
        <v>160000</v>
      </c>
      <c r="K29" s="71" t="str">
        <f t="shared" si="1"/>
        <v>25006001</v>
      </c>
      <c r="L29" s="74" t="s">
        <v>179</v>
      </c>
      <c r="M29" s="71" t="str">
        <f t="shared" si="2"/>
        <v>SkillDes_25006001</v>
      </c>
      <c r="N29" s="31" t="s">
        <v>180</v>
      </c>
      <c r="O29" s="67" t="s">
        <v>181</v>
      </c>
      <c r="P29" s="75">
        <v>1</v>
      </c>
      <c r="Q29" s="31" t="str">
        <f>Q26</f>
        <v>skill</v>
      </c>
      <c r="R29" s="31">
        <f>R26</f>
        <v>0</v>
      </c>
      <c r="S29" s="74">
        <v>5006001</v>
      </c>
      <c r="T29" s="78">
        <v>0</v>
      </c>
      <c r="U29" s="71">
        <v>1013</v>
      </c>
      <c r="V29" s="71" t="s">
        <v>182</v>
      </c>
      <c r="W29" s="31">
        <f t="shared" ref="T29:Y29" si="29">W26</f>
        <v>0</v>
      </c>
      <c r="X29" s="31">
        <f t="shared" si="29"/>
        <v>0</v>
      </c>
      <c r="Y29" s="31">
        <f t="shared" si="29"/>
        <v>0</v>
      </c>
      <c r="Z29" s="71">
        <v>5006001</v>
      </c>
    </row>
    <row r="30" spans="1:26">
      <c r="A30" s="71" t="s">
        <v>183</v>
      </c>
      <c r="B30" s="71" t="s">
        <v>184</v>
      </c>
      <c r="C30" s="71" t="str">
        <f t="shared" si="0"/>
        <v>Skill_Name_25006002</v>
      </c>
      <c r="D30" s="31">
        <v>5</v>
      </c>
      <c r="E30" s="32">
        <f t="shared" si="8"/>
        <v>6</v>
      </c>
      <c r="F30" s="31">
        <f t="shared" si="27"/>
        <v>2001</v>
      </c>
      <c r="G30" s="71">
        <v>350</v>
      </c>
      <c r="H30" s="71">
        <v>0</v>
      </c>
      <c r="I30" s="74">
        <v>25006002</v>
      </c>
      <c r="J30" s="71">
        <v>80000</v>
      </c>
      <c r="K30" s="71" t="str">
        <f t="shared" si="1"/>
        <v>25006002</v>
      </c>
      <c r="L30" s="74" t="s">
        <v>185</v>
      </c>
      <c r="M30" s="71" t="str">
        <f t="shared" si="2"/>
        <v>SkillDes_25006002</v>
      </c>
      <c r="N30" s="31" t="s">
        <v>186</v>
      </c>
      <c r="O30" s="67" t="s">
        <v>181</v>
      </c>
      <c r="P30" s="75">
        <v>2</v>
      </c>
      <c r="Q30" s="31" t="str">
        <f>Q27</f>
        <v>skill</v>
      </c>
      <c r="R30" s="31">
        <f>R27</f>
        <v>0</v>
      </c>
      <c r="S30" s="74">
        <v>5006002</v>
      </c>
      <c r="T30" s="78">
        <v>0</v>
      </c>
      <c r="U30" s="71">
        <v>1016</v>
      </c>
      <c r="V30" s="80" t="s">
        <v>187</v>
      </c>
      <c r="W30" s="31">
        <f t="shared" ref="T30:Y30" si="30">W27</f>
        <v>0</v>
      </c>
      <c r="X30" s="31">
        <f t="shared" si="30"/>
        <v>0</v>
      </c>
      <c r="Y30" s="31">
        <f t="shared" si="30"/>
        <v>0</v>
      </c>
      <c r="Z30" s="71">
        <v>5006002</v>
      </c>
    </row>
    <row r="31" spans="1:26">
      <c r="A31" s="71" t="s">
        <v>188</v>
      </c>
      <c r="B31" s="71" t="s">
        <v>189</v>
      </c>
      <c r="C31" s="71" t="str">
        <f t="shared" si="0"/>
        <v>Skill_Name_25006003</v>
      </c>
      <c r="D31" s="31">
        <v>5</v>
      </c>
      <c r="E31" s="32">
        <f t="shared" si="8"/>
        <v>6</v>
      </c>
      <c r="F31" s="31">
        <f t="shared" si="27"/>
        <v>2001</v>
      </c>
      <c r="G31" s="71">
        <v>350</v>
      </c>
      <c r="H31" s="71">
        <v>0</v>
      </c>
      <c r="I31" s="74">
        <v>25006003</v>
      </c>
      <c r="J31" s="71">
        <v>110000</v>
      </c>
      <c r="K31" s="71" t="str">
        <f t="shared" si="1"/>
        <v>25006003</v>
      </c>
      <c r="L31" s="74" t="s">
        <v>190</v>
      </c>
      <c r="M31" s="71" t="str">
        <f t="shared" si="2"/>
        <v>SkillDes_25006003</v>
      </c>
      <c r="N31" s="31" t="s">
        <v>191</v>
      </c>
      <c r="O31" s="67" t="s">
        <v>181</v>
      </c>
      <c r="P31" s="75">
        <v>3</v>
      </c>
      <c r="Q31" s="31" t="str">
        <f>Q28</f>
        <v>skill</v>
      </c>
      <c r="R31" s="31">
        <f>R28</f>
        <v>0</v>
      </c>
      <c r="S31" s="74">
        <v>5006003</v>
      </c>
      <c r="T31" s="78">
        <v>0</v>
      </c>
      <c r="U31" s="71">
        <v>1011</v>
      </c>
      <c r="V31" s="79" t="s">
        <v>192</v>
      </c>
      <c r="W31" s="31">
        <f t="shared" ref="T31:Y31" si="31">W28</f>
        <v>0</v>
      </c>
      <c r="X31" s="31">
        <f t="shared" si="31"/>
        <v>0</v>
      </c>
      <c r="Y31" s="31">
        <f t="shared" si="31"/>
        <v>0</v>
      </c>
      <c r="Z31" s="71">
        <v>5006003</v>
      </c>
    </row>
    <row r="32" spans="1:26">
      <c r="A32" s="71" t="s">
        <v>193</v>
      </c>
      <c r="B32" s="31" t="s">
        <v>194</v>
      </c>
      <c r="C32" s="71" t="str">
        <f t="shared" si="0"/>
        <v>Skill_Name_25006004</v>
      </c>
      <c r="D32" s="31">
        <v>5</v>
      </c>
      <c r="E32" s="32">
        <f t="shared" si="8"/>
        <v>6</v>
      </c>
      <c r="F32" s="31">
        <f t="shared" si="27"/>
        <v>2001</v>
      </c>
      <c r="G32" s="71">
        <v>350</v>
      </c>
      <c r="H32" s="71">
        <v>0</v>
      </c>
      <c r="I32" s="74">
        <v>25006004</v>
      </c>
      <c r="J32" s="71">
        <v>80000</v>
      </c>
      <c r="K32" s="71" t="str">
        <f t="shared" si="1"/>
        <v>25006004</v>
      </c>
      <c r="L32" s="74" t="s">
        <v>195</v>
      </c>
      <c r="M32" s="71" t="str">
        <f t="shared" si="2"/>
        <v>SkillDes_25006004</v>
      </c>
      <c r="N32" s="31" t="s">
        <v>196</v>
      </c>
      <c r="O32" s="67" t="s">
        <v>181</v>
      </c>
      <c r="P32" s="75">
        <v>4</v>
      </c>
      <c r="Q32" s="31" t="str">
        <f t="shared" ref="Q32:Q38" si="32">Q29</f>
        <v>skill</v>
      </c>
      <c r="R32" s="31">
        <f t="shared" ref="R32:R38" si="33">R29</f>
        <v>0</v>
      </c>
      <c r="S32" s="74">
        <v>5006004</v>
      </c>
      <c r="T32" s="78">
        <v>0</v>
      </c>
      <c r="U32" s="71">
        <v>1013</v>
      </c>
      <c r="V32" s="71" t="s">
        <v>197</v>
      </c>
      <c r="W32" s="31">
        <f t="shared" ref="W32:W38" si="34">W29</f>
        <v>0</v>
      </c>
      <c r="X32" s="31">
        <f t="shared" ref="X32:X38" si="35">X29</f>
        <v>0</v>
      </c>
      <c r="Y32" s="31">
        <f t="shared" ref="Y32:Y38" si="36">Y29</f>
        <v>0</v>
      </c>
      <c r="Z32" s="71">
        <v>5006004</v>
      </c>
    </row>
    <row r="33" spans="1:26">
      <c r="A33" s="71" t="s">
        <v>198</v>
      </c>
      <c r="B33" s="31" t="s">
        <v>199</v>
      </c>
      <c r="C33" s="71" t="str">
        <f t="shared" si="0"/>
        <v>Skill_Name_25006005</v>
      </c>
      <c r="D33" s="31">
        <v>5</v>
      </c>
      <c r="E33" s="32">
        <f t="shared" si="8"/>
        <v>6</v>
      </c>
      <c r="F33" s="31">
        <f t="shared" si="27"/>
        <v>2001</v>
      </c>
      <c r="G33" s="71">
        <v>350</v>
      </c>
      <c r="H33" s="71">
        <v>0</v>
      </c>
      <c r="I33" s="74">
        <v>25006005</v>
      </c>
      <c r="J33" s="71">
        <v>180000</v>
      </c>
      <c r="K33" s="71" t="str">
        <f t="shared" si="1"/>
        <v>25006005</v>
      </c>
      <c r="L33" s="74" t="s">
        <v>200</v>
      </c>
      <c r="M33" s="71" t="str">
        <f t="shared" si="2"/>
        <v>SkillDes_25006005</v>
      </c>
      <c r="N33" s="31" t="s">
        <v>201</v>
      </c>
      <c r="O33" s="67" t="s">
        <v>181</v>
      </c>
      <c r="P33" s="31">
        <v>5</v>
      </c>
      <c r="Q33" s="31" t="str">
        <f t="shared" si="32"/>
        <v>skill</v>
      </c>
      <c r="R33" s="31">
        <f t="shared" si="33"/>
        <v>0</v>
      </c>
      <c r="S33" s="74">
        <v>5006005</v>
      </c>
      <c r="T33" s="78">
        <v>0</v>
      </c>
      <c r="U33" s="71">
        <v>1013</v>
      </c>
      <c r="V33" s="71">
        <v>600</v>
      </c>
      <c r="W33" s="31">
        <f t="shared" si="34"/>
        <v>0</v>
      </c>
      <c r="X33" s="31">
        <f t="shared" si="35"/>
        <v>0</v>
      </c>
      <c r="Y33" s="31">
        <f t="shared" si="36"/>
        <v>0</v>
      </c>
      <c r="Z33" s="71">
        <v>5006005</v>
      </c>
    </row>
    <row r="34" spans="1:26">
      <c r="A34" s="71" t="s">
        <v>202</v>
      </c>
      <c r="B34" s="71" t="s">
        <v>203</v>
      </c>
      <c r="C34" s="71" t="str">
        <f t="shared" si="0"/>
        <v>Skill_Name_25007001</v>
      </c>
      <c r="D34" s="31">
        <v>5</v>
      </c>
      <c r="E34" s="32">
        <f t="shared" si="8"/>
        <v>7</v>
      </c>
      <c r="F34" s="31">
        <f t="shared" si="27"/>
        <v>2001</v>
      </c>
      <c r="G34" s="71">
        <v>350</v>
      </c>
      <c r="H34" s="71">
        <v>0</v>
      </c>
      <c r="I34" s="74">
        <v>25007001</v>
      </c>
      <c r="J34" s="71">
        <v>100000</v>
      </c>
      <c r="K34" s="71" t="str">
        <f t="shared" si="1"/>
        <v>25007001</v>
      </c>
      <c r="L34" s="74" t="s">
        <v>204</v>
      </c>
      <c r="M34" s="71" t="str">
        <f t="shared" si="2"/>
        <v>SkillDes_25007001</v>
      </c>
      <c r="N34" s="31" t="s">
        <v>205</v>
      </c>
      <c r="O34" s="67" t="s">
        <v>206</v>
      </c>
      <c r="P34" s="75">
        <v>1</v>
      </c>
      <c r="Q34" s="31" t="str">
        <f t="shared" si="32"/>
        <v>skill</v>
      </c>
      <c r="R34" s="31">
        <f t="shared" si="33"/>
        <v>0</v>
      </c>
      <c r="S34" s="74">
        <v>5007001</v>
      </c>
      <c r="T34" s="78">
        <v>0</v>
      </c>
      <c r="U34" s="71">
        <v>1016</v>
      </c>
      <c r="V34" s="79">
        <v>500</v>
      </c>
      <c r="W34" s="31">
        <f t="shared" si="34"/>
        <v>0</v>
      </c>
      <c r="X34" s="31">
        <f t="shared" si="35"/>
        <v>0</v>
      </c>
      <c r="Y34" s="31">
        <f t="shared" si="36"/>
        <v>0</v>
      </c>
      <c r="Z34" s="71">
        <v>5007001</v>
      </c>
    </row>
    <row r="35" spans="1:26">
      <c r="A35" s="71" t="s">
        <v>207</v>
      </c>
      <c r="B35" s="71" t="s">
        <v>208</v>
      </c>
      <c r="C35" s="71" t="str">
        <f t="shared" si="0"/>
        <v>Skill_Name_25007002</v>
      </c>
      <c r="D35" s="31">
        <v>5</v>
      </c>
      <c r="E35" s="32">
        <f t="shared" si="8"/>
        <v>7</v>
      </c>
      <c r="F35" s="31">
        <f t="shared" si="27"/>
        <v>2001</v>
      </c>
      <c r="G35" s="71">
        <v>350</v>
      </c>
      <c r="H35" s="71">
        <v>0</v>
      </c>
      <c r="I35" s="74">
        <v>25007002</v>
      </c>
      <c r="J35" s="71">
        <v>70000</v>
      </c>
      <c r="K35" s="71" t="str">
        <f t="shared" si="1"/>
        <v>25007002</v>
      </c>
      <c r="L35" s="74" t="s">
        <v>209</v>
      </c>
      <c r="M35" s="71" t="str">
        <f t="shared" si="2"/>
        <v>SkillDes_25007002</v>
      </c>
      <c r="N35" s="31" t="s">
        <v>210</v>
      </c>
      <c r="O35" s="67" t="s">
        <v>206</v>
      </c>
      <c r="P35" s="75">
        <v>2</v>
      </c>
      <c r="Q35" s="31" t="str">
        <f t="shared" si="32"/>
        <v>skill</v>
      </c>
      <c r="R35" s="31">
        <f t="shared" si="33"/>
        <v>0</v>
      </c>
      <c r="S35" s="74">
        <v>5007002</v>
      </c>
      <c r="T35" s="78">
        <v>0</v>
      </c>
      <c r="U35" s="71">
        <v>1013</v>
      </c>
      <c r="V35" s="79" t="s">
        <v>211</v>
      </c>
      <c r="W35" s="31">
        <f t="shared" si="34"/>
        <v>0</v>
      </c>
      <c r="X35" s="31">
        <f t="shared" si="35"/>
        <v>0</v>
      </c>
      <c r="Y35" s="31">
        <f t="shared" si="36"/>
        <v>0</v>
      </c>
      <c r="Z35" s="71">
        <v>5007002</v>
      </c>
    </row>
    <row r="36" spans="1:26">
      <c r="A36" s="71" t="s">
        <v>212</v>
      </c>
      <c r="B36" s="71" t="s">
        <v>213</v>
      </c>
      <c r="C36" s="71" t="str">
        <f t="shared" si="0"/>
        <v>Skill_Name_25007003</v>
      </c>
      <c r="D36" s="31">
        <v>5</v>
      </c>
      <c r="E36" s="32">
        <f t="shared" si="8"/>
        <v>7</v>
      </c>
      <c r="F36" s="31">
        <f t="shared" si="27"/>
        <v>2001</v>
      </c>
      <c r="G36" s="71">
        <v>350</v>
      </c>
      <c r="H36" s="71">
        <v>0</v>
      </c>
      <c r="I36" s="74">
        <v>25007003</v>
      </c>
      <c r="J36" s="71">
        <v>110000</v>
      </c>
      <c r="K36" s="71" t="str">
        <f t="shared" si="1"/>
        <v>25007003</v>
      </c>
      <c r="L36" s="74" t="s">
        <v>214</v>
      </c>
      <c r="M36" s="71" t="str">
        <f t="shared" si="2"/>
        <v>SkillDes_25007003</v>
      </c>
      <c r="N36" s="31" t="s">
        <v>215</v>
      </c>
      <c r="O36" s="67" t="s">
        <v>206</v>
      </c>
      <c r="P36" s="75">
        <v>3</v>
      </c>
      <c r="Q36" s="31" t="str">
        <f t="shared" si="32"/>
        <v>skill</v>
      </c>
      <c r="R36" s="31">
        <f t="shared" si="33"/>
        <v>0</v>
      </c>
      <c r="S36" s="74">
        <v>5007003</v>
      </c>
      <c r="T36" s="78">
        <v>0</v>
      </c>
      <c r="U36" s="71">
        <v>1015</v>
      </c>
      <c r="V36" s="79" t="s">
        <v>216</v>
      </c>
      <c r="W36" s="31">
        <f t="shared" si="34"/>
        <v>0</v>
      </c>
      <c r="X36" s="31">
        <f t="shared" si="35"/>
        <v>0</v>
      </c>
      <c r="Y36" s="31">
        <f t="shared" si="36"/>
        <v>0</v>
      </c>
      <c r="Z36" s="71">
        <v>5007003</v>
      </c>
    </row>
    <row r="37" spans="1:26">
      <c r="A37" s="71" t="s">
        <v>217</v>
      </c>
      <c r="B37" s="31" t="s">
        <v>218</v>
      </c>
      <c r="C37" s="71" t="str">
        <f t="shared" si="0"/>
        <v>Skill_Name_25007004</v>
      </c>
      <c r="D37" s="31">
        <v>5</v>
      </c>
      <c r="E37" s="32">
        <f t="shared" si="8"/>
        <v>7</v>
      </c>
      <c r="F37" s="31">
        <f t="shared" si="27"/>
        <v>2001</v>
      </c>
      <c r="G37" s="71">
        <v>350</v>
      </c>
      <c r="H37" s="71">
        <v>0</v>
      </c>
      <c r="I37" s="74">
        <v>25007004</v>
      </c>
      <c r="J37" s="71">
        <v>220000</v>
      </c>
      <c r="K37" s="71" t="str">
        <f t="shared" si="1"/>
        <v>25007004</v>
      </c>
      <c r="L37" s="74" t="s">
        <v>219</v>
      </c>
      <c r="M37" s="71" t="str">
        <f t="shared" si="2"/>
        <v>SkillDes_25007004</v>
      </c>
      <c r="N37" s="31" t="s">
        <v>220</v>
      </c>
      <c r="O37" s="67" t="s">
        <v>206</v>
      </c>
      <c r="P37" s="75">
        <v>4</v>
      </c>
      <c r="Q37" s="31" t="str">
        <f t="shared" si="32"/>
        <v>skill</v>
      </c>
      <c r="R37" s="31">
        <f t="shared" si="33"/>
        <v>0</v>
      </c>
      <c r="S37" s="74">
        <v>5007004</v>
      </c>
      <c r="T37" s="78">
        <v>0</v>
      </c>
      <c r="U37" s="71">
        <v>1013</v>
      </c>
      <c r="V37" s="71" t="s">
        <v>221</v>
      </c>
      <c r="W37" s="31">
        <f t="shared" si="34"/>
        <v>0</v>
      </c>
      <c r="X37" s="31">
        <f t="shared" si="35"/>
        <v>0</v>
      </c>
      <c r="Y37" s="31">
        <f t="shared" si="36"/>
        <v>0</v>
      </c>
      <c r="Z37" s="71">
        <v>5007004</v>
      </c>
    </row>
    <row r="38" spans="1:26">
      <c r="A38" s="71" t="s">
        <v>222</v>
      </c>
      <c r="B38" s="71" t="s">
        <v>223</v>
      </c>
      <c r="C38" s="71" t="str">
        <f t="shared" si="0"/>
        <v>Skill_Name_25007005</v>
      </c>
      <c r="D38" s="31">
        <v>5</v>
      </c>
      <c r="E38" s="32">
        <f t="shared" si="8"/>
        <v>7</v>
      </c>
      <c r="F38" s="31">
        <f t="shared" si="27"/>
        <v>2001</v>
      </c>
      <c r="G38" s="71">
        <v>350</v>
      </c>
      <c r="H38" s="71">
        <v>0</v>
      </c>
      <c r="I38" s="74">
        <v>25007005</v>
      </c>
      <c r="J38" s="71">
        <v>70000</v>
      </c>
      <c r="K38" s="71" t="str">
        <f t="shared" si="1"/>
        <v>25007005</v>
      </c>
      <c r="L38" s="74" t="s">
        <v>224</v>
      </c>
      <c r="M38" s="71" t="str">
        <f t="shared" si="2"/>
        <v>SkillDes_25007005</v>
      </c>
      <c r="N38" s="31" t="s">
        <v>225</v>
      </c>
      <c r="O38" s="67" t="s">
        <v>206</v>
      </c>
      <c r="P38" s="31">
        <v>5</v>
      </c>
      <c r="Q38" s="31" t="str">
        <f t="shared" si="32"/>
        <v>skill</v>
      </c>
      <c r="R38" s="31">
        <f t="shared" si="33"/>
        <v>0</v>
      </c>
      <c r="S38" s="74">
        <v>5007005</v>
      </c>
      <c r="T38" s="78">
        <v>0</v>
      </c>
      <c r="U38" s="71">
        <v>1015</v>
      </c>
      <c r="V38" s="71">
        <v>750</v>
      </c>
      <c r="W38" s="31">
        <f t="shared" si="34"/>
        <v>0</v>
      </c>
      <c r="X38" s="31">
        <f t="shared" si="35"/>
        <v>0</v>
      </c>
      <c r="Y38" s="31">
        <f t="shared" si="36"/>
        <v>0</v>
      </c>
      <c r="Z38" s="71">
        <v>5007005</v>
      </c>
    </row>
    <row r="39" spans="1:26">
      <c r="A39" s="71">
        <v>1001201</v>
      </c>
      <c r="B39" s="71" t="s">
        <v>226</v>
      </c>
      <c r="C39" s="71"/>
      <c r="D39" s="71">
        <v>1</v>
      </c>
      <c r="E39" s="71">
        <v>3</v>
      </c>
      <c r="F39" s="71">
        <v>1001</v>
      </c>
      <c r="G39" s="71">
        <v>350</v>
      </c>
      <c r="H39" s="71">
        <v>10000</v>
      </c>
      <c r="I39" s="76">
        <v>0</v>
      </c>
      <c r="J39" s="71">
        <v>10000</v>
      </c>
      <c r="K39" s="71">
        <v>0</v>
      </c>
      <c r="L39" s="71" t="s">
        <v>226</v>
      </c>
      <c r="M39" s="71"/>
      <c r="N39" s="71" t="s">
        <v>226</v>
      </c>
      <c r="O39" s="71"/>
      <c r="P39" s="71"/>
      <c r="Q39" s="71" t="s">
        <v>227</v>
      </c>
      <c r="R39" s="71">
        <v>0</v>
      </c>
      <c r="S39" s="74">
        <v>0</v>
      </c>
      <c r="T39" s="71">
        <v>0</v>
      </c>
      <c r="U39" s="71">
        <v>1011</v>
      </c>
      <c r="V39" s="71">
        <v>750</v>
      </c>
      <c r="W39" s="71">
        <v>1001001</v>
      </c>
      <c r="X39" s="71">
        <v>500</v>
      </c>
      <c r="Y39" s="71">
        <v>350</v>
      </c>
      <c r="Z39" s="71">
        <v>0</v>
      </c>
    </row>
    <row r="40" spans="1:26">
      <c r="A40" s="71">
        <v>1001202</v>
      </c>
      <c r="B40" s="71" t="s">
        <v>228</v>
      </c>
      <c r="C40" s="71"/>
      <c r="D40" s="71">
        <v>2</v>
      </c>
      <c r="E40" s="71">
        <v>3</v>
      </c>
      <c r="F40" s="71">
        <v>2001</v>
      </c>
      <c r="G40" s="71">
        <v>350</v>
      </c>
      <c r="H40" s="71">
        <v>10000</v>
      </c>
      <c r="I40" s="76">
        <v>0</v>
      </c>
      <c r="J40" s="71">
        <v>70000</v>
      </c>
      <c r="K40" s="71">
        <v>3100101</v>
      </c>
      <c r="L40" s="71" t="s">
        <v>228</v>
      </c>
      <c r="M40" s="71"/>
      <c r="N40" s="71" t="s">
        <v>228</v>
      </c>
      <c r="O40" s="71"/>
      <c r="P40" s="71"/>
      <c r="Q40" s="71" t="s">
        <v>60</v>
      </c>
      <c r="R40" s="71">
        <v>0</v>
      </c>
      <c r="S40" s="74">
        <v>1001002</v>
      </c>
      <c r="T40" s="71">
        <v>400</v>
      </c>
      <c r="U40" s="71">
        <v>1011</v>
      </c>
      <c r="V40" s="71">
        <v>450</v>
      </c>
      <c r="W40" s="71">
        <v>0</v>
      </c>
      <c r="X40" s="71">
        <v>0</v>
      </c>
      <c r="Y40" s="71">
        <v>0</v>
      </c>
      <c r="Z40" s="71">
        <v>0</v>
      </c>
    </row>
    <row r="41" spans="1:26">
      <c r="A41" s="71">
        <v>1003201</v>
      </c>
      <c r="B41" s="71" t="s">
        <v>229</v>
      </c>
      <c r="C41" s="71"/>
      <c r="D41" s="71">
        <v>1</v>
      </c>
      <c r="E41" s="71">
        <v>3</v>
      </c>
      <c r="F41" s="71">
        <v>1001</v>
      </c>
      <c r="G41" s="71">
        <v>350</v>
      </c>
      <c r="H41" s="71">
        <v>10000</v>
      </c>
      <c r="I41" s="76">
        <v>0</v>
      </c>
      <c r="J41" s="71">
        <v>10000</v>
      </c>
      <c r="K41" s="71">
        <v>0</v>
      </c>
      <c r="L41" s="71" t="s">
        <v>229</v>
      </c>
      <c r="M41" s="71"/>
      <c r="N41" s="71" t="s">
        <v>229</v>
      </c>
      <c r="O41" s="71"/>
      <c r="P41" s="71"/>
      <c r="Q41" s="71" t="s">
        <v>227</v>
      </c>
      <c r="R41" s="71">
        <v>0</v>
      </c>
      <c r="S41" s="74">
        <v>0</v>
      </c>
      <c r="T41" s="71">
        <v>0</v>
      </c>
      <c r="U41" s="71">
        <v>1014</v>
      </c>
      <c r="V41" s="71">
        <v>700</v>
      </c>
      <c r="W41" s="71">
        <v>1003001</v>
      </c>
      <c r="X41" s="71">
        <v>400</v>
      </c>
      <c r="Y41" s="71">
        <v>350</v>
      </c>
      <c r="Z41" s="71">
        <v>0</v>
      </c>
    </row>
    <row r="42" spans="1:26">
      <c r="A42" s="71">
        <v>1003202</v>
      </c>
      <c r="B42" s="71" t="s">
        <v>230</v>
      </c>
      <c r="C42" s="71"/>
      <c r="D42" s="71">
        <v>2</v>
      </c>
      <c r="E42" s="71">
        <v>3</v>
      </c>
      <c r="F42" s="71">
        <v>120</v>
      </c>
      <c r="G42" s="71">
        <v>350</v>
      </c>
      <c r="H42" s="71">
        <v>1430</v>
      </c>
      <c r="I42" s="76">
        <v>0</v>
      </c>
      <c r="J42" s="71">
        <v>110000</v>
      </c>
      <c r="K42" s="71">
        <v>3100111</v>
      </c>
      <c r="L42" s="71" t="s">
        <v>230</v>
      </c>
      <c r="M42" s="71"/>
      <c r="N42" s="71" t="s">
        <v>230</v>
      </c>
      <c r="O42" s="71"/>
      <c r="P42" s="71"/>
      <c r="Q42" s="71" t="s">
        <v>60</v>
      </c>
      <c r="R42" s="71">
        <v>0</v>
      </c>
      <c r="S42" s="74">
        <v>1003002</v>
      </c>
      <c r="T42" s="71">
        <v>500</v>
      </c>
      <c r="U42" s="71">
        <v>1014</v>
      </c>
      <c r="V42" s="71" t="s">
        <v>231</v>
      </c>
      <c r="W42" s="71">
        <v>0</v>
      </c>
      <c r="X42" s="71">
        <v>0</v>
      </c>
      <c r="Y42" s="71">
        <v>0</v>
      </c>
      <c r="Z42" s="71">
        <v>0</v>
      </c>
    </row>
    <row r="43" spans="1:26">
      <c r="A43" s="71">
        <v>1004201</v>
      </c>
      <c r="B43" s="71" t="s">
        <v>232</v>
      </c>
      <c r="C43" s="71"/>
      <c r="D43" s="71">
        <v>1</v>
      </c>
      <c r="E43" s="71">
        <v>3</v>
      </c>
      <c r="F43" s="71">
        <v>1001</v>
      </c>
      <c r="G43" s="71">
        <v>350</v>
      </c>
      <c r="H43" s="71">
        <v>10000</v>
      </c>
      <c r="I43" s="76">
        <v>0</v>
      </c>
      <c r="J43" s="71">
        <v>10000</v>
      </c>
      <c r="K43" s="71">
        <v>0</v>
      </c>
      <c r="L43" s="71" t="s">
        <v>232</v>
      </c>
      <c r="M43" s="71"/>
      <c r="N43" s="71" t="s">
        <v>232</v>
      </c>
      <c r="O43" s="71"/>
      <c r="P43" s="71"/>
      <c r="Q43" s="71" t="s">
        <v>227</v>
      </c>
      <c r="R43" s="71">
        <v>0</v>
      </c>
      <c r="S43" s="74">
        <v>0</v>
      </c>
      <c r="T43" s="71">
        <v>0</v>
      </c>
      <c r="U43" s="71">
        <v>1015</v>
      </c>
      <c r="V43" s="71">
        <v>700</v>
      </c>
      <c r="W43" s="71">
        <v>1004001</v>
      </c>
      <c r="X43" s="71">
        <v>400</v>
      </c>
      <c r="Y43" s="71">
        <v>350</v>
      </c>
      <c r="Z43" s="71">
        <v>0</v>
      </c>
    </row>
    <row r="44" spans="1:26">
      <c r="A44" s="71">
        <v>1004202</v>
      </c>
      <c r="B44" s="71" t="s">
        <v>233</v>
      </c>
      <c r="C44" s="71"/>
      <c r="D44" s="71">
        <v>2</v>
      </c>
      <c r="E44" s="71">
        <v>3</v>
      </c>
      <c r="F44" s="71">
        <v>2001</v>
      </c>
      <c r="G44" s="71">
        <v>350</v>
      </c>
      <c r="H44" s="71">
        <v>1430</v>
      </c>
      <c r="I44" s="76">
        <v>0</v>
      </c>
      <c r="J44" s="71">
        <v>130000</v>
      </c>
      <c r="K44" s="71">
        <v>3100201</v>
      </c>
      <c r="L44" s="71" t="s">
        <v>233</v>
      </c>
      <c r="M44" s="71"/>
      <c r="N44" s="71" t="s">
        <v>233</v>
      </c>
      <c r="O44" s="71"/>
      <c r="P44" s="71"/>
      <c r="Q44" s="71" t="s">
        <v>60</v>
      </c>
      <c r="R44" s="71">
        <v>0</v>
      </c>
      <c r="S44" s="74">
        <v>1004002</v>
      </c>
      <c r="T44" s="71">
        <v>400</v>
      </c>
      <c r="U44" s="71">
        <v>1015</v>
      </c>
      <c r="V44" s="71" t="s">
        <v>234</v>
      </c>
      <c r="W44" s="71">
        <v>0</v>
      </c>
      <c r="X44" s="71">
        <v>0</v>
      </c>
      <c r="Y44" s="71">
        <v>0</v>
      </c>
      <c r="Z44" s="71">
        <v>0</v>
      </c>
    </row>
    <row r="45" spans="1:26">
      <c r="A45" s="71">
        <v>1006001</v>
      </c>
      <c r="B45" s="71" t="s">
        <v>235</v>
      </c>
      <c r="C45" s="71"/>
      <c r="D45" s="71">
        <v>1</v>
      </c>
      <c r="E45" s="71">
        <v>3</v>
      </c>
      <c r="F45" s="71">
        <v>1001</v>
      </c>
      <c r="G45" s="71">
        <v>350</v>
      </c>
      <c r="H45" s="71">
        <v>10000</v>
      </c>
      <c r="I45" s="76">
        <v>0</v>
      </c>
      <c r="J45" s="71">
        <v>10000</v>
      </c>
      <c r="K45" s="71">
        <v>0</v>
      </c>
      <c r="L45" s="71" t="s">
        <v>235</v>
      </c>
      <c r="M45" s="71"/>
      <c r="N45" s="71" t="s">
        <v>235</v>
      </c>
      <c r="O45" s="71"/>
      <c r="P45" s="71"/>
      <c r="Q45" s="71" t="s">
        <v>227</v>
      </c>
      <c r="R45" s="71">
        <v>0</v>
      </c>
      <c r="S45" s="74">
        <v>0</v>
      </c>
      <c r="T45" s="71">
        <v>0</v>
      </c>
      <c r="U45" s="71">
        <v>1016</v>
      </c>
      <c r="V45" s="71">
        <v>650</v>
      </c>
      <c r="W45" s="71">
        <v>1006001</v>
      </c>
      <c r="X45" s="71">
        <v>330</v>
      </c>
      <c r="Y45" s="71">
        <v>350</v>
      </c>
      <c r="Z45" s="71">
        <v>0</v>
      </c>
    </row>
    <row r="46" s="65" customFormat="1" spans="1:26">
      <c r="A46" s="71">
        <v>1006002</v>
      </c>
      <c r="B46" s="71" t="s">
        <v>236</v>
      </c>
      <c r="C46" s="71" t="s">
        <v>237</v>
      </c>
      <c r="D46" s="71">
        <v>2</v>
      </c>
      <c r="E46" s="71">
        <v>3</v>
      </c>
      <c r="F46" s="71">
        <v>2001</v>
      </c>
      <c r="G46" s="71">
        <v>350</v>
      </c>
      <c r="H46" s="71">
        <v>10000</v>
      </c>
      <c r="I46" s="76">
        <v>0</v>
      </c>
      <c r="J46" s="71">
        <v>220000</v>
      </c>
      <c r="K46" s="71">
        <v>1006002</v>
      </c>
      <c r="L46" s="71" t="s">
        <v>238</v>
      </c>
      <c r="M46" s="77" t="s">
        <v>239</v>
      </c>
      <c r="N46" s="71" t="s">
        <v>236</v>
      </c>
      <c r="O46" s="71"/>
      <c r="P46" s="71"/>
      <c r="Q46" s="71" t="s">
        <v>60</v>
      </c>
      <c r="R46" s="71">
        <v>0</v>
      </c>
      <c r="S46" s="74">
        <v>1006002</v>
      </c>
      <c r="T46" s="71">
        <v>600</v>
      </c>
      <c r="U46" s="71">
        <v>1016</v>
      </c>
      <c r="V46" s="71">
        <v>1150</v>
      </c>
      <c r="W46" s="71">
        <v>0</v>
      </c>
      <c r="X46" s="71">
        <v>0</v>
      </c>
      <c r="Y46" s="71">
        <v>0</v>
      </c>
      <c r="Z46" s="71">
        <v>0</v>
      </c>
    </row>
    <row r="47" spans="1:26">
      <c r="A47" s="71">
        <v>1006101</v>
      </c>
      <c r="B47" s="71" t="s">
        <v>240</v>
      </c>
      <c r="C47" s="71"/>
      <c r="D47" s="71">
        <v>1</v>
      </c>
      <c r="E47" s="71">
        <v>3</v>
      </c>
      <c r="F47" s="71">
        <v>1001</v>
      </c>
      <c r="G47" s="71">
        <v>350</v>
      </c>
      <c r="H47" s="71">
        <v>10000</v>
      </c>
      <c r="I47" s="76">
        <v>0</v>
      </c>
      <c r="J47" s="71">
        <v>10000</v>
      </c>
      <c r="K47" s="71">
        <v>0</v>
      </c>
      <c r="L47" s="71" t="s">
        <v>240</v>
      </c>
      <c r="M47" s="77"/>
      <c r="N47" s="71" t="s">
        <v>240</v>
      </c>
      <c r="O47" s="71"/>
      <c r="P47" s="71"/>
      <c r="Q47" s="71" t="s">
        <v>227</v>
      </c>
      <c r="R47" s="71">
        <v>0</v>
      </c>
      <c r="S47" s="74">
        <v>0</v>
      </c>
      <c r="T47" s="71">
        <v>0</v>
      </c>
      <c r="U47" s="71">
        <v>1016</v>
      </c>
      <c r="V47" s="71">
        <v>700</v>
      </c>
      <c r="W47" s="71">
        <v>1006001</v>
      </c>
      <c r="X47" s="71">
        <v>400</v>
      </c>
      <c r="Y47" s="71">
        <v>350</v>
      </c>
      <c r="Z47" s="71">
        <v>0</v>
      </c>
    </row>
    <row r="48" s="65" customFormat="1" spans="1:26">
      <c r="A48" s="71">
        <v>1006102</v>
      </c>
      <c r="B48" s="71" t="s">
        <v>241</v>
      </c>
      <c r="C48" s="71" t="s">
        <v>242</v>
      </c>
      <c r="D48" s="71">
        <v>2</v>
      </c>
      <c r="E48" s="71">
        <v>3</v>
      </c>
      <c r="F48" s="71">
        <v>2001</v>
      </c>
      <c r="G48" s="71">
        <v>350</v>
      </c>
      <c r="H48" s="71">
        <v>10000</v>
      </c>
      <c r="I48" s="76">
        <v>0</v>
      </c>
      <c r="J48" s="71">
        <v>220000</v>
      </c>
      <c r="K48" s="71">
        <v>1006002</v>
      </c>
      <c r="L48" s="71" t="s">
        <v>243</v>
      </c>
      <c r="M48" s="77" t="s">
        <v>244</v>
      </c>
      <c r="N48" s="71" t="s">
        <v>241</v>
      </c>
      <c r="O48" s="71"/>
      <c r="P48" s="71"/>
      <c r="Q48" s="71" t="s">
        <v>60</v>
      </c>
      <c r="R48" s="71">
        <v>0</v>
      </c>
      <c r="S48" s="74">
        <v>1006102</v>
      </c>
      <c r="T48" s="71">
        <v>500</v>
      </c>
      <c r="U48" s="71">
        <v>1016</v>
      </c>
      <c r="V48" s="71">
        <v>1500</v>
      </c>
      <c r="W48" s="71">
        <v>0</v>
      </c>
      <c r="X48" s="71">
        <v>0</v>
      </c>
      <c r="Y48" s="71">
        <v>0</v>
      </c>
      <c r="Z48" s="71">
        <v>0</v>
      </c>
    </row>
    <row r="49" spans="1:26">
      <c r="A49" s="71">
        <v>1006201</v>
      </c>
      <c r="B49" s="71" t="s">
        <v>245</v>
      </c>
      <c r="C49" s="71"/>
      <c r="D49" s="71">
        <v>1</v>
      </c>
      <c r="E49" s="71">
        <v>3</v>
      </c>
      <c r="F49" s="71">
        <v>1001</v>
      </c>
      <c r="G49" s="71">
        <v>350</v>
      </c>
      <c r="H49" s="71">
        <v>10000</v>
      </c>
      <c r="I49" s="76">
        <v>0</v>
      </c>
      <c r="J49" s="71">
        <v>10000</v>
      </c>
      <c r="K49" s="71">
        <v>0</v>
      </c>
      <c r="L49" s="71" t="s">
        <v>245</v>
      </c>
      <c r="M49" s="77"/>
      <c r="N49" s="71" t="s">
        <v>245</v>
      </c>
      <c r="O49" s="71"/>
      <c r="P49" s="71"/>
      <c r="Q49" s="71" t="s">
        <v>227</v>
      </c>
      <c r="R49" s="71">
        <v>0</v>
      </c>
      <c r="S49" s="74">
        <v>0</v>
      </c>
      <c r="T49" s="71">
        <v>0</v>
      </c>
      <c r="U49" s="71">
        <v>1016</v>
      </c>
      <c r="V49" s="71">
        <v>700</v>
      </c>
      <c r="W49" s="71">
        <v>1006001</v>
      </c>
      <c r="X49" s="71">
        <v>500</v>
      </c>
      <c r="Y49" s="71">
        <v>350</v>
      </c>
      <c r="Z49" s="71">
        <v>0</v>
      </c>
    </row>
    <row r="50" s="65" customFormat="1" spans="1:26">
      <c r="A50" s="71">
        <v>1006202</v>
      </c>
      <c r="B50" s="71" t="s">
        <v>203</v>
      </c>
      <c r="C50" s="71" t="s">
        <v>246</v>
      </c>
      <c r="D50" s="71">
        <v>2</v>
      </c>
      <c r="E50" s="71">
        <v>3</v>
      </c>
      <c r="F50" s="71">
        <v>2001</v>
      </c>
      <c r="G50" s="71">
        <v>350</v>
      </c>
      <c r="H50" s="71">
        <v>2500</v>
      </c>
      <c r="I50" s="76">
        <v>0</v>
      </c>
      <c r="J50" s="71">
        <v>220000</v>
      </c>
      <c r="K50" s="71">
        <v>1006002</v>
      </c>
      <c r="L50" s="71" t="s">
        <v>247</v>
      </c>
      <c r="M50" s="77" t="s">
        <v>248</v>
      </c>
      <c r="N50" s="71" t="s">
        <v>203</v>
      </c>
      <c r="O50" s="71"/>
      <c r="P50" s="71"/>
      <c r="Q50" s="71" t="s">
        <v>60</v>
      </c>
      <c r="R50" s="71">
        <v>0</v>
      </c>
      <c r="S50" s="74">
        <v>1006202</v>
      </c>
      <c r="T50" s="71">
        <v>600</v>
      </c>
      <c r="U50" s="71">
        <v>1016</v>
      </c>
      <c r="V50" s="71" t="s">
        <v>249</v>
      </c>
      <c r="W50" s="71">
        <v>0</v>
      </c>
      <c r="X50" s="71">
        <v>0</v>
      </c>
      <c r="Y50" s="71">
        <v>0</v>
      </c>
      <c r="Z50" s="71">
        <v>5007001</v>
      </c>
    </row>
    <row r="51" spans="1:26">
      <c r="A51" s="71">
        <v>1007001</v>
      </c>
      <c r="B51" s="71" t="s">
        <v>250</v>
      </c>
      <c r="C51" s="71"/>
      <c r="D51" s="71">
        <v>1</v>
      </c>
      <c r="E51" s="71">
        <v>3</v>
      </c>
      <c r="F51" s="71">
        <v>1001</v>
      </c>
      <c r="G51" s="71">
        <v>350</v>
      </c>
      <c r="H51" s="71">
        <v>10000</v>
      </c>
      <c r="I51" s="76">
        <v>0</v>
      </c>
      <c r="J51" s="71">
        <v>10000</v>
      </c>
      <c r="K51" s="71">
        <v>0</v>
      </c>
      <c r="L51" s="71" t="s">
        <v>250</v>
      </c>
      <c r="M51" s="77"/>
      <c r="N51" s="71" t="s">
        <v>250</v>
      </c>
      <c r="O51" s="71"/>
      <c r="P51" s="71"/>
      <c r="Q51" s="71" t="s">
        <v>227</v>
      </c>
      <c r="R51" s="71">
        <v>0</v>
      </c>
      <c r="S51" s="74">
        <v>0</v>
      </c>
      <c r="T51" s="71">
        <v>0</v>
      </c>
      <c r="U51" s="71">
        <v>1011</v>
      </c>
      <c r="V51" s="71">
        <v>600</v>
      </c>
      <c r="W51" s="71">
        <v>1007001</v>
      </c>
      <c r="X51" s="71">
        <v>300</v>
      </c>
      <c r="Y51" s="71">
        <v>350</v>
      </c>
      <c r="Z51" s="71">
        <v>0</v>
      </c>
    </row>
    <row r="52" spans="1:26">
      <c r="A52" s="71">
        <v>1007002</v>
      </c>
      <c r="B52" s="71" t="s">
        <v>82</v>
      </c>
      <c r="C52" s="71" t="s">
        <v>251</v>
      </c>
      <c r="D52" s="71">
        <v>2</v>
      </c>
      <c r="E52" s="71">
        <v>3</v>
      </c>
      <c r="F52" s="71">
        <v>2001</v>
      </c>
      <c r="G52" s="71">
        <v>350</v>
      </c>
      <c r="H52" s="71">
        <v>10000</v>
      </c>
      <c r="I52" s="76">
        <v>0</v>
      </c>
      <c r="J52" s="71">
        <v>70000</v>
      </c>
      <c r="K52" s="71">
        <v>1007002</v>
      </c>
      <c r="L52" s="71" t="s">
        <v>252</v>
      </c>
      <c r="M52" s="77" t="s">
        <v>253</v>
      </c>
      <c r="N52" s="71" t="s">
        <v>82</v>
      </c>
      <c r="O52" s="71"/>
      <c r="P52" s="71"/>
      <c r="Q52" s="71" t="s">
        <v>60</v>
      </c>
      <c r="R52" s="71">
        <v>0</v>
      </c>
      <c r="S52" s="74">
        <v>1007002</v>
      </c>
      <c r="T52" s="71">
        <v>900</v>
      </c>
      <c r="U52" s="71">
        <v>1011</v>
      </c>
      <c r="V52" s="71">
        <v>1400</v>
      </c>
      <c r="W52" s="71">
        <v>0</v>
      </c>
      <c r="X52" s="71">
        <v>0</v>
      </c>
      <c r="Y52" s="71">
        <v>0</v>
      </c>
      <c r="Z52" s="71">
        <v>5002001</v>
      </c>
    </row>
    <row r="53" spans="1:26">
      <c r="A53" s="71">
        <v>1007101</v>
      </c>
      <c r="B53" s="71" t="s">
        <v>254</v>
      </c>
      <c r="C53" s="71"/>
      <c r="D53" s="71">
        <v>1</v>
      </c>
      <c r="E53" s="71">
        <v>3</v>
      </c>
      <c r="F53" s="71">
        <v>1001</v>
      </c>
      <c r="G53" s="71">
        <v>350</v>
      </c>
      <c r="H53" s="71">
        <v>10000</v>
      </c>
      <c r="I53" s="76">
        <v>0</v>
      </c>
      <c r="J53" s="71">
        <v>10000</v>
      </c>
      <c r="K53" s="71">
        <v>0</v>
      </c>
      <c r="L53" s="71" t="s">
        <v>254</v>
      </c>
      <c r="M53" s="77"/>
      <c r="N53" s="71" t="s">
        <v>254</v>
      </c>
      <c r="O53" s="71"/>
      <c r="P53" s="71"/>
      <c r="Q53" s="71" t="s">
        <v>227</v>
      </c>
      <c r="R53" s="71">
        <v>0</v>
      </c>
      <c r="S53" s="74">
        <v>0</v>
      </c>
      <c r="T53" s="71">
        <v>0</v>
      </c>
      <c r="U53" s="71">
        <v>1011</v>
      </c>
      <c r="V53" s="71">
        <v>700</v>
      </c>
      <c r="W53" s="71">
        <v>1007001</v>
      </c>
      <c r="X53" s="71">
        <v>400</v>
      </c>
      <c r="Y53" s="71">
        <v>350</v>
      </c>
      <c r="Z53" s="71">
        <v>0</v>
      </c>
    </row>
    <row r="54" spans="1:26">
      <c r="A54" s="71">
        <v>1007102</v>
      </c>
      <c r="B54" s="71" t="s">
        <v>255</v>
      </c>
      <c r="C54" s="71" t="s">
        <v>256</v>
      </c>
      <c r="D54" s="71">
        <v>2</v>
      </c>
      <c r="E54" s="71">
        <v>3</v>
      </c>
      <c r="F54" s="71">
        <v>2001</v>
      </c>
      <c r="G54" s="71">
        <v>350</v>
      </c>
      <c r="H54" s="71">
        <v>10000</v>
      </c>
      <c r="I54" s="76">
        <v>0</v>
      </c>
      <c r="J54" s="71">
        <v>70000</v>
      </c>
      <c r="K54" s="78">
        <v>1007002</v>
      </c>
      <c r="L54" s="71" t="s">
        <v>257</v>
      </c>
      <c r="M54" s="77" t="s">
        <v>258</v>
      </c>
      <c r="N54" s="71" t="s">
        <v>255</v>
      </c>
      <c r="O54" s="71"/>
      <c r="P54" s="71"/>
      <c r="Q54" s="71" t="s">
        <v>60</v>
      </c>
      <c r="R54" s="71">
        <v>0</v>
      </c>
      <c r="S54" s="74">
        <v>1007102</v>
      </c>
      <c r="T54" s="71">
        <v>1000</v>
      </c>
      <c r="U54" s="71">
        <v>1011</v>
      </c>
      <c r="V54" s="71">
        <v>1500</v>
      </c>
      <c r="W54" s="71">
        <v>0</v>
      </c>
      <c r="X54" s="71">
        <v>0</v>
      </c>
      <c r="Y54" s="71">
        <v>0</v>
      </c>
      <c r="Z54" s="71">
        <v>0</v>
      </c>
    </row>
    <row r="55" spans="1:26">
      <c r="A55" s="71">
        <v>1009001</v>
      </c>
      <c r="B55" s="71" t="s">
        <v>259</v>
      </c>
      <c r="C55" s="71"/>
      <c r="D55" s="71">
        <v>1</v>
      </c>
      <c r="E55" s="71">
        <v>3</v>
      </c>
      <c r="F55" s="71">
        <v>1001</v>
      </c>
      <c r="G55" s="71">
        <v>350</v>
      </c>
      <c r="H55" s="71">
        <v>10000</v>
      </c>
      <c r="I55" s="76">
        <v>0</v>
      </c>
      <c r="J55" s="71">
        <v>10000</v>
      </c>
      <c r="K55" s="71">
        <v>0</v>
      </c>
      <c r="L55" s="71" t="s">
        <v>259</v>
      </c>
      <c r="M55" s="77"/>
      <c r="N55" s="71" t="s">
        <v>259</v>
      </c>
      <c r="O55" s="71"/>
      <c r="P55" s="71"/>
      <c r="Q55" s="71" t="s">
        <v>227</v>
      </c>
      <c r="R55" s="71">
        <v>0</v>
      </c>
      <c r="S55" s="74">
        <v>0</v>
      </c>
      <c r="T55" s="71">
        <v>0</v>
      </c>
      <c r="U55" s="71">
        <v>1011</v>
      </c>
      <c r="V55" s="71">
        <v>700</v>
      </c>
      <c r="W55" s="71">
        <v>1009001</v>
      </c>
      <c r="X55" s="71">
        <v>400</v>
      </c>
      <c r="Y55" s="71">
        <v>350</v>
      </c>
      <c r="Z55" s="71">
        <v>0</v>
      </c>
    </row>
    <row r="56" spans="1:26">
      <c r="A56" s="71">
        <v>1009002</v>
      </c>
      <c r="B56" s="71" t="s">
        <v>154</v>
      </c>
      <c r="C56" s="71" t="s">
        <v>260</v>
      </c>
      <c r="D56" s="71">
        <v>2</v>
      </c>
      <c r="E56" s="71">
        <v>3</v>
      </c>
      <c r="F56" s="71">
        <v>2001</v>
      </c>
      <c r="G56" s="71">
        <v>350</v>
      </c>
      <c r="H56" s="71">
        <v>1430</v>
      </c>
      <c r="I56" s="76">
        <v>0</v>
      </c>
      <c r="J56" s="71">
        <v>70000</v>
      </c>
      <c r="K56" s="71">
        <v>1009002</v>
      </c>
      <c r="L56" s="71" t="s">
        <v>261</v>
      </c>
      <c r="M56" s="77" t="s">
        <v>262</v>
      </c>
      <c r="N56" s="71" t="s">
        <v>154</v>
      </c>
      <c r="O56" s="71"/>
      <c r="P56" s="71"/>
      <c r="Q56" s="71" t="s">
        <v>60</v>
      </c>
      <c r="R56" s="71">
        <v>0</v>
      </c>
      <c r="S56" s="74">
        <v>1009002</v>
      </c>
      <c r="T56" s="71">
        <v>500</v>
      </c>
      <c r="U56" s="71">
        <v>1011</v>
      </c>
      <c r="V56" s="71" t="s">
        <v>263</v>
      </c>
      <c r="W56" s="71">
        <v>0</v>
      </c>
      <c r="X56" s="71">
        <v>0</v>
      </c>
      <c r="Y56" s="71">
        <v>0</v>
      </c>
      <c r="Z56" s="71">
        <v>5005001</v>
      </c>
    </row>
    <row r="57" spans="1:26">
      <c r="A57" s="71">
        <v>1009101</v>
      </c>
      <c r="B57" s="71" t="s">
        <v>264</v>
      </c>
      <c r="C57" s="71"/>
      <c r="D57" s="71">
        <v>1</v>
      </c>
      <c r="E57" s="71">
        <v>3</v>
      </c>
      <c r="F57" s="71">
        <v>1001</v>
      </c>
      <c r="G57" s="71">
        <v>350</v>
      </c>
      <c r="H57" s="71">
        <v>10000</v>
      </c>
      <c r="I57" s="76">
        <v>0</v>
      </c>
      <c r="J57" s="71">
        <v>10000</v>
      </c>
      <c r="K57" s="71">
        <v>0</v>
      </c>
      <c r="L57" s="71" t="s">
        <v>264</v>
      </c>
      <c r="M57" s="77"/>
      <c r="N57" s="71" t="s">
        <v>264</v>
      </c>
      <c r="O57" s="71"/>
      <c r="P57" s="71"/>
      <c r="Q57" s="71" t="s">
        <v>227</v>
      </c>
      <c r="R57" s="71">
        <v>0</v>
      </c>
      <c r="S57" s="74">
        <v>0</v>
      </c>
      <c r="T57" s="71">
        <v>0</v>
      </c>
      <c r="U57" s="71">
        <v>1011</v>
      </c>
      <c r="V57" s="71">
        <v>800</v>
      </c>
      <c r="W57" s="71">
        <v>1009001</v>
      </c>
      <c r="X57" s="71">
        <v>500</v>
      </c>
      <c r="Y57" s="71">
        <v>350</v>
      </c>
      <c r="Z57" s="71">
        <v>0</v>
      </c>
    </row>
    <row r="58" spans="1:26">
      <c r="A58" s="71">
        <v>1009102</v>
      </c>
      <c r="B58" s="71" t="s">
        <v>265</v>
      </c>
      <c r="C58" s="71" t="s">
        <v>266</v>
      </c>
      <c r="D58" s="71">
        <v>2</v>
      </c>
      <c r="E58" s="71">
        <v>3</v>
      </c>
      <c r="F58" s="71">
        <v>2001</v>
      </c>
      <c r="G58" s="71">
        <v>350</v>
      </c>
      <c r="H58" s="71">
        <v>1430</v>
      </c>
      <c r="I58" s="76">
        <v>0</v>
      </c>
      <c r="J58" s="71">
        <v>70000</v>
      </c>
      <c r="K58" s="71">
        <v>1009002</v>
      </c>
      <c r="L58" s="71" t="s">
        <v>267</v>
      </c>
      <c r="M58" s="77" t="s">
        <v>268</v>
      </c>
      <c r="N58" s="71" t="s">
        <v>265</v>
      </c>
      <c r="O58" s="71"/>
      <c r="P58" s="71"/>
      <c r="Q58" s="71" t="s">
        <v>60</v>
      </c>
      <c r="R58" s="71">
        <v>0</v>
      </c>
      <c r="S58" s="74">
        <v>1009002</v>
      </c>
      <c r="T58" s="71">
        <v>700</v>
      </c>
      <c r="U58" s="71">
        <v>1011</v>
      </c>
      <c r="V58" s="71" t="s">
        <v>269</v>
      </c>
      <c r="W58" s="71">
        <v>0</v>
      </c>
      <c r="X58" s="71">
        <v>0</v>
      </c>
      <c r="Y58" s="71">
        <v>0</v>
      </c>
      <c r="Z58" s="71">
        <v>0</v>
      </c>
    </row>
    <row r="59" spans="1:26">
      <c r="A59" s="71">
        <v>1010001</v>
      </c>
      <c r="B59" s="71" t="s">
        <v>270</v>
      </c>
      <c r="C59" s="71"/>
      <c r="D59" s="71">
        <v>1</v>
      </c>
      <c r="E59" s="71">
        <v>3</v>
      </c>
      <c r="F59" s="71">
        <v>1001</v>
      </c>
      <c r="G59" s="71">
        <v>350</v>
      </c>
      <c r="H59" s="71">
        <v>10000</v>
      </c>
      <c r="I59" s="76">
        <v>0</v>
      </c>
      <c r="J59" s="71">
        <v>10000</v>
      </c>
      <c r="K59" s="71">
        <v>0</v>
      </c>
      <c r="L59" s="71" t="s">
        <v>270</v>
      </c>
      <c r="M59" s="77"/>
      <c r="N59" s="71" t="s">
        <v>270</v>
      </c>
      <c r="O59" s="71"/>
      <c r="P59" s="71"/>
      <c r="Q59" s="71" t="s">
        <v>227</v>
      </c>
      <c r="R59" s="71">
        <v>0</v>
      </c>
      <c r="S59" s="81">
        <v>0</v>
      </c>
      <c r="T59" s="78">
        <v>0</v>
      </c>
      <c r="U59" s="78">
        <v>1013</v>
      </c>
      <c r="V59" s="78">
        <v>800</v>
      </c>
      <c r="W59" s="78">
        <v>1010001</v>
      </c>
      <c r="X59" s="78">
        <v>500</v>
      </c>
      <c r="Y59" s="71">
        <v>350</v>
      </c>
      <c r="Z59" s="71">
        <v>0</v>
      </c>
    </row>
    <row r="60" spans="1:26">
      <c r="A60" s="71">
        <v>1010002</v>
      </c>
      <c r="B60" s="71" t="s">
        <v>271</v>
      </c>
      <c r="C60" s="71" t="s">
        <v>272</v>
      </c>
      <c r="D60" s="71">
        <v>2</v>
      </c>
      <c r="E60" s="71">
        <v>3</v>
      </c>
      <c r="F60" s="71">
        <v>2001</v>
      </c>
      <c r="G60" s="71">
        <v>350</v>
      </c>
      <c r="H60" s="71">
        <v>10000</v>
      </c>
      <c r="I60" s="76">
        <v>0</v>
      </c>
      <c r="J60" s="71">
        <v>70000</v>
      </c>
      <c r="K60" s="71">
        <v>1010002</v>
      </c>
      <c r="L60" s="71" t="s">
        <v>273</v>
      </c>
      <c r="M60" s="77" t="s">
        <v>274</v>
      </c>
      <c r="N60" s="71" t="s">
        <v>271</v>
      </c>
      <c r="O60" s="71"/>
      <c r="P60" s="71"/>
      <c r="Q60" s="71" t="s">
        <v>60</v>
      </c>
      <c r="R60" s="71">
        <v>0</v>
      </c>
      <c r="S60" s="81">
        <v>1010002</v>
      </c>
      <c r="T60" s="78">
        <v>600</v>
      </c>
      <c r="U60" s="78">
        <v>1013</v>
      </c>
      <c r="V60" s="78">
        <v>1200</v>
      </c>
      <c r="W60" s="78">
        <v>0</v>
      </c>
      <c r="X60" s="78">
        <v>0</v>
      </c>
      <c r="Y60" s="71">
        <v>0</v>
      </c>
      <c r="Z60" s="71">
        <v>0</v>
      </c>
    </row>
    <row r="61" spans="1:26">
      <c r="A61" s="71">
        <v>1010101</v>
      </c>
      <c r="B61" s="71" t="s">
        <v>275</v>
      </c>
      <c r="C61" s="71"/>
      <c r="D61" s="71">
        <v>1</v>
      </c>
      <c r="E61" s="71">
        <v>3</v>
      </c>
      <c r="F61" s="71">
        <v>1001</v>
      </c>
      <c r="G61" s="71">
        <v>350</v>
      </c>
      <c r="H61" s="71">
        <v>10000</v>
      </c>
      <c r="I61" s="76">
        <v>0</v>
      </c>
      <c r="J61" s="71">
        <v>10000</v>
      </c>
      <c r="K61" s="71">
        <v>0</v>
      </c>
      <c r="L61" s="71" t="s">
        <v>275</v>
      </c>
      <c r="M61" s="77"/>
      <c r="N61" s="71" t="s">
        <v>275</v>
      </c>
      <c r="O61" s="71"/>
      <c r="P61" s="71"/>
      <c r="Q61" s="71" t="s">
        <v>227</v>
      </c>
      <c r="R61" s="71">
        <v>0</v>
      </c>
      <c r="S61" s="81">
        <v>0</v>
      </c>
      <c r="T61" s="78">
        <v>0</v>
      </c>
      <c r="U61" s="78">
        <v>1013</v>
      </c>
      <c r="V61" s="78">
        <v>700</v>
      </c>
      <c r="W61" s="78">
        <v>1010001</v>
      </c>
      <c r="X61" s="78">
        <v>400</v>
      </c>
      <c r="Y61" s="71">
        <v>350</v>
      </c>
      <c r="Z61" s="71">
        <v>0</v>
      </c>
    </row>
    <row r="62" spans="1:26">
      <c r="A62" s="71">
        <v>1010102</v>
      </c>
      <c r="B62" s="71" t="s">
        <v>56</v>
      </c>
      <c r="C62" s="71" t="s">
        <v>276</v>
      </c>
      <c r="D62" s="71">
        <v>2</v>
      </c>
      <c r="E62" s="71">
        <v>3</v>
      </c>
      <c r="F62" s="71">
        <v>2001</v>
      </c>
      <c r="G62" s="71">
        <v>350</v>
      </c>
      <c r="H62" s="71">
        <v>5000</v>
      </c>
      <c r="I62" s="76">
        <v>0</v>
      </c>
      <c r="J62" s="71">
        <v>70000</v>
      </c>
      <c r="K62" s="71">
        <v>1010002</v>
      </c>
      <c r="L62" s="71" t="s">
        <v>277</v>
      </c>
      <c r="M62" s="77" t="s">
        <v>278</v>
      </c>
      <c r="N62" s="71" t="s">
        <v>56</v>
      </c>
      <c r="O62" s="71"/>
      <c r="P62" s="71"/>
      <c r="Q62" s="71" t="s">
        <v>60</v>
      </c>
      <c r="R62" s="71">
        <v>0</v>
      </c>
      <c r="S62" s="81">
        <v>1010102</v>
      </c>
      <c r="T62" s="78">
        <v>500</v>
      </c>
      <c r="U62" s="78">
        <v>1013</v>
      </c>
      <c r="V62" s="78" t="s">
        <v>279</v>
      </c>
      <c r="W62" s="78">
        <v>0</v>
      </c>
      <c r="X62" s="78">
        <v>0</v>
      </c>
      <c r="Y62" s="71">
        <v>0</v>
      </c>
      <c r="Z62" s="71">
        <v>5001001</v>
      </c>
    </row>
    <row r="63" spans="1:26">
      <c r="A63" s="71">
        <v>1010201</v>
      </c>
      <c r="B63" s="71" t="s">
        <v>280</v>
      </c>
      <c r="C63" s="71"/>
      <c r="D63" s="71">
        <v>1</v>
      </c>
      <c r="E63" s="71">
        <v>3</v>
      </c>
      <c r="F63" s="71">
        <v>1001</v>
      </c>
      <c r="G63" s="71">
        <v>350</v>
      </c>
      <c r="H63" s="71">
        <v>10000</v>
      </c>
      <c r="I63" s="76">
        <v>0</v>
      </c>
      <c r="J63" s="71">
        <v>10000</v>
      </c>
      <c r="K63" s="71">
        <v>0</v>
      </c>
      <c r="L63" s="71" t="s">
        <v>280</v>
      </c>
      <c r="M63" s="77"/>
      <c r="N63" s="71" t="s">
        <v>280</v>
      </c>
      <c r="O63" s="71"/>
      <c r="P63" s="71"/>
      <c r="Q63" s="71" t="s">
        <v>227</v>
      </c>
      <c r="R63" s="71">
        <v>0</v>
      </c>
      <c r="S63" s="81">
        <v>0</v>
      </c>
      <c r="T63" s="78">
        <v>0</v>
      </c>
      <c r="U63" s="78">
        <v>1013</v>
      </c>
      <c r="V63" s="78">
        <v>700</v>
      </c>
      <c r="W63" s="78">
        <v>1010001</v>
      </c>
      <c r="X63" s="78">
        <v>400</v>
      </c>
      <c r="Y63" s="71">
        <v>350</v>
      </c>
      <c r="Z63" s="71">
        <v>0</v>
      </c>
    </row>
    <row r="64" spans="1:26">
      <c r="A64" s="71">
        <v>1010202</v>
      </c>
      <c r="B64" s="71" t="s">
        <v>208</v>
      </c>
      <c r="C64" s="71" t="s">
        <v>281</v>
      </c>
      <c r="D64" s="71">
        <v>2</v>
      </c>
      <c r="E64" s="71">
        <v>3</v>
      </c>
      <c r="F64" s="71">
        <v>2001</v>
      </c>
      <c r="G64" s="71">
        <v>350</v>
      </c>
      <c r="H64" s="71">
        <v>1430</v>
      </c>
      <c r="I64" s="76">
        <v>0</v>
      </c>
      <c r="J64" s="71">
        <v>70000</v>
      </c>
      <c r="K64" s="71">
        <v>1010202</v>
      </c>
      <c r="L64" s="71" t="s">
        <v>282</v>
      </c>
      <c r="M64" s="77" t="s">
        <v>283</v>
      </c>
      <c r="N64" s="71" t="s">
        <v>208</v>
      </c>
      <c r="O64" s="71"/>
      <c r="P64" s="71"/>
      <c r="Q64" s="71" t="s">
        <v>60</v>
      </c>
      <c r="R64" s="71">
        <v>0</v>
      </c>
      <c r="S64" s="81">
        <v>1010202</v>
      </c>
      <c r="T64" s="78">
        <v>1100</v>
      </c>
      <c r="U64" s="78">
        <v>1013</v>
      </c>
      <c r="V64" s="78" t="s">
        <v>284</v>
      </c>
      <c r="W64" s="78">
        <v>0</v>
      </c>
      <c r="X64" s="78">
        <v>0</v>
      </c>
      <c r="Y64" s="71">
        <v>0</v>
      </c>
      <c r="Z64" s="71">
        <v>5007002</v>
      </c>
    </row>
    <row r="65" spans="1:26">
      <c r="A65" s="71">
        <v>1011001</v>
      </c>
      <c r="B65" s="71" t="s">
        <v>285</v>
      </c>
      <c r="C65" s="71"/>
      <c r="D65" s="71">
        <v>1</v>
      </c>
      <c r="E65" s="71">
        <v>3</v>
      </c>
      <c r="F65" s="71">
        <v>1001</v>
      </c>
      <c r="G65" s="71">
        <v>350</v>
      </c>
      <c r="H65" s="71">
        <v>10000</v>
      </c>
      <c r="I65" s="76">
        <v>0</v>
      </c>
      <c r="J65" s="71">
        <v>10000</v>
      </c>
      <c r="K65" s="71">
        <v>0</v>
      </c>
      <c r="L65" s="71" t="s">
        <v>285</v>
      </c>
      <c r="M65" s="77"/>
      <c r="N65" s="71" t="s">
        <v>285</v>
      </c>
      <c r="O65" s="71"/>
      <c r="P65" s="71"/>
      <c r="Q65" s="71" t="s">
        <v>227</v>
      </c>
      <c r="R65" s="71">
        <v>0</v>
      </c>
      <c r="S65" s="74">
        <v>0</v>
      </c>
      <c r="T65" s="71">
        <v>0</v>
      </c>
      <c r="U65" s="71">
        <v>1013</v>
      </c>
      <c r="V65" s="71">
        <v>700</v>
      </c>
      <c r="W65" s="71">
        <v>1011001</v>
      </c>
      <c r="X65" s="71">
        <v>400</v>
      </c>
      <c r="Y65" s="71">
        <v>350</v>
      </c>
      <c r="Z65" s="71">
        <v>0</v>
      </c>
    </row>
    <row r="66" spans="1:26">
      <c r="A66" s="71">
        <v>1011002</v>
      </c>
      <c r="B66" s="71" t="s">
        <v>286</v>
      </c>
      <c r="C66" s="71" t="s">
        <v>287</v>
      </c>
      <c r="D66" s="71">
        <v>2</v>
      </c>
      <c r="E66" s="71">
        <v>3</v>
      </c>
      <c r="F66" s="71">
        <v>2001</v>
      </c>
      <c r="G66" s="71">
        <v>350</v>
      </c>
      <c r="H66" s="71">
        <v>2500</v>
      </c>
      <c r="I66" s="76">
        <v>0</v>
      </c>
      <c r="J66" s="71">
        <v>70000</v>
      </c>
      <c r="K66" s="71">
        <v>1011002</v>
      </c>
      <c r="L66" s="71" t="s">
        <v>288</v>
      </c>
      <c r="M66" s="77" t="s">
        <v>289</v>
      </c>
      <c r="N66" s="71" t="s">
        <v>286</v>
      </c>
      <c r="O66" s="71"/>
      <c r="P66" s="71"/>
      <c r="Q66" s="71" t="s">
        <v>60</v>
      </c>
      <c r="R66" s="71">
        <v>0</v>
      </c>
      <c r="S66" s="81">
        <v>1011002</v>
      </c>
      <c r="T66" s="78">
        <v>300</v>
      </c>
      <c r="U66" s="78">
        <v>1013</v>
      </c>
      <c r="V66" s="79" t="s">
        <v>290</v>
      </c>
      <c r="W66" s="71">
        <v>0</v>
      </c>
      <c r="X66" s="71">
        <v>0</v>
      </c>
      <c r="Y66" s="71">
        <v>0</v>
      </c>
      <c r="Z66" s="71">
        <v>0</v>
      </c>
    </row>
    <row r="67" spans="1:26">
      <c r="A67" s="71">
        <v>1011101</v>
      </c>
      <c r="B67" s="71" t="s">
        <v>291</v>
      </c>
      <c r="C67" s="71"/>
      <c r="D67" s="71">
        <v>1</v>
      </c>
      <c r="E67" s="71">
        <v>3</v>
      </c>
      <c r="F67" s="71">
        <v>1001</v>
      </c>
      <c r="G67" s="71">
        <v>350</v>
      </c>
      <c r="H67" s="71">
        <v>10000</v>
      </c>
      <c r="I67" s="76">
        <v>0</v>
      </c>
      <c r="J67" s="71">
        <v>10000</v>
      </c>
      <c r="K67" s="71">
        <v>0</v>
      </c>
      <c r="L67" s="71" t="s">
        <v>291</v>
      </c>
      <c r="M67" s="77"/>
      <c r="N67" s="71" t="s">
        <v>291</v>
      </c>
      <c r="O67" s="71"/>
      <c r="P67" s="71"/>
      <c r="Q67" s="71" t="s">
        <v>227</v>
      </c>
      <c r="R67" s="71">
        <v>0</v>
      </c>
      <c r="S67" s="81">
        <v>0</v>
      </c>
      <c r="T67" s="78">
        <v>0</v>
      </c>
      <c r="U67" s="78">
        <v>1013</v>
      </c>
      <c r="V67" s="78">
        <v>700</v>
      </c>
      <c r="W67" s="71">
        <v>1011001</v>
      </c>
      <c r="X67" s="71">
        <v>400</v>
      </c>
      <c r="Y67" s="71">
        <v>350</v>
      </c>
      <c r="Z67" s="71">
        <v>0</v>
      </c>
    </row>
    <row r="68" spans="1:26">
      <c r="A68" s="71">
        <v>1011102</v>
      </c>
      <c r="B68" s="71" t="s">
        <v>116</v>
      </c>
      <c r="C68" s="71" t="s">
        <v>292</v>
      </c>
      <c r="D68" s="71">
        <v>2</v>
      </c>
      <c r="E68" s="71">
        <v>3</v>
      </c>
      <c r="F68" s="71">
        <v>2001</v>
      </c>
      <c r="G68" s="71">
        <v>350</v>
      </c>
      <c r="H68" s="71">
        <v>2500</v>
      </c>
      <c r="I68" s="76">
        <v>0</v>
      </c>
      <c r="J68" s="71">
        <v>70000</v>
      </c>
      <c r="K68" s="71">
        <v>1011002</v>
      </c>
      <c r="L68" s="71" t="s">
        <v>293</v>
      </c>
      <c r="M68" s="77" t="s">
        <v>294</v>
      </c>
      <c r="N68" s="71" t="s">
        <v>116</v>
      </c>
      <c r="O68" s="71"/>
      <c r="P68" s="71"/>
      <c r="Q68" s="71" t="s">
        <v>60</v>
      </c>
      <c r="R68" s="71">
        <v>0</v>
      </c>
      <c r="S68" s="81">
        <v>1011002</v>
      </c>
      <c r="T68" s="78">
        <v>500</v>
      </c>
      <c r="U68" s="78">
        <v>1013</v>
      </c>
      <c r="V68" s="79" t="s">
        <v>290</v>
      </c>
      <c r="W68" s="71">
        <v>0</v>
      </c>
      <c r="X68" s="71">
        <v>0</v>
      </c>
      <c r="Y68" s="71">
        <v>0</v>
      </c>
      <c r="Z68" s="71">
        <v>5003003</v>
      </c>
    </row>
    <row r="69" spans="1:26">
      <c r="A69" s="71">
        <v>1012001</v>
      </c>
      <c r="B69" s="71" t="s">
        <v>295</v>
      </c>
      <c r="C69" s="71"/>
      <c r="D69" s="71">
        <v>1</v>
      </c>
      <c r="E69" s="71">
        <v>3</v>
      </c>
      <c r="F69" s="71">
        <v>1001</v>
      </c>
      <c r="G69" s="71">
        <v>350</v>
      </c>
      <c r="H69" s="71">
        <v>10000</v>
      </c>
      <c r="I69" s="76">
        <v>0</v>
      </c>
      <c r="J69" s="71">
        <v>10000</v>
      </c>
      <c r="K69" s="71">
        <v>0</v>
      </c>
      <c r="L69" s="71" t="s">
        <v>295</v>
      </c>
      <c r="M69" s="77"/>
      <c r="N69" s="71" t="s">
        <v>295</v>
      </c>
      <c r="O69" s="71"/>
      <c r="P69" s="71"/>
      <c r="Q69" s="71" t="s">
        <v>227</v>
      </c>
      <c r="R69" s="71">
        <v>0</v>
      </c>
      <c r="S69" s="74">
        <v>0</v>
      </c>
      <c r="T69" s="71">
        <v>0</v>
      </c>
      <c r="U69" s="71">
        <v>1013</v>
      </c>
      <c r="V69" s="71">
        <v>600</v>
      </c>
      <c r="W69" s="71">
        <v>1012001</v>
      </c>
      <c r="X69" s="71">
        <v>300</v>
      </c>
      <c r="Y69" s="71">
        <v>350</v>
      </c>
      <c r="Z69" s="71">
        <v>0</v>
      </c>
    </row>
    <row r="70" spans="1:26">
      <c r="A70" s="71">
        <v>1012002</v>
      </c>
      <c r="B70" s="71" t="s">
        <v>296</v>
      </c>
      <c r="C70" s="25" t="s">
        <v>297</v>
      </c>
      <c r="D70" s="71">
        <v>2</v>
      </c>
      <c r="E70" s="71">
        <v>3</v>
      </c>
      <c r="F70" s="71">
        <v>2001</v>
      </c>
      <c r="G70" s="71">
        <v>350</v>
      </c>
      <c r="H70" s="71">
        <v>2500</v>
      </c>
      <c r="I70" s="76">
        <v>0</v>
      </c>
      <c r="J70" s="71">
        <v>70000</v>
      </c>
      <c r="K70" s="71">
        <v>1012002</v>
      </c>
      <c r="L70" s="71" t="s">
        <v>298</v>
      </c>
      <c r="M70" s="77" t="s">
        <v>299</v>
      </c>
      <c r="N70" s="71" t="s">
        <v>296</v>
      </c>
      <c r="O70" s="71"/>
      <c r="P70" s="71"/>
      <c r="Q70" s="71" t="s">
        <v>60</v>
      </c>
      <c r="R70" s="71">
        <v>0</v>
      </c>
      <c r="S70" s="81">
        <v>1012002</v>
      </c>
      <c r="T70" s="78">
        <v>700</v>
      </c>
      <c r="U70" s="78">
        <v>1013</v>
      </c>
      <c r="V70" s="79" t="s">
        <v>300</v>
      </c>
      <c r="W70" s="71">
        <v>0</v>
      </c>
      <c r="X70" s="71">
        <v>0</v>
      </c>
      <c r="Y70" s="71">
        <v>0</v>
      </c>
      <c r="Z70" s="71">
        <v>0</v>
      </c>
    </row>
    <row r="71" spans="1:26">
      <c r="A71" s="71">
        <v>1012101</v>
      </c>
      <c r="B71" s="71" t="s">
        <v>301</v>
      </c>
      <c r="C71" s="71"/>
      <c r="D71" s="71">
        <v>1</v>
      </c>
      <c r="E71" s="71">
        <v>3</v>
      </c>
      <c r="F71" s="71">
        <v>1001</v>
      </c>
      <c r="G71" s="71">
        <v>350</v>
      </c>
      <c r="H71" s="71">
        <v>10000</v>
      </c>
      <c r="I71" s="76">
        <v>0</v>
      </c>
      <c r="J71" s="71">
        <v>10000</v>
      </c>
      <c r="K71" s="71">
        <v>0</v>
      </c>
      <c r="L71" s="71" t="s">
        <v>301</v>
      </c>
      <c r="M71" s="77"/>
      <c r="N71" s="71" t="s">
        <v>301</v>
      </c>
      <c r="O71" s="71"/>
      <c r="P71" s="71"/>
      <c r="Q71" s="71" t="s">
        <v>227</v>
      </c>
      <c r="R71" s="71">
        <v>0</v>
      </c>
      <c r="S71" s="81">
        <v>0</v>
      </c>
      <c r="T71" s="78">
        <v>0</v>
      </c>
      <c r="U71" s="78">
        <v>1013</v>
      </c>
      <c r="V71" s="78">
        <v>600</v>
      </c>
      <c r="W71" s="71">
        <v>1012001</v>
      </c>
      <c r="X71" s="71">
        <v>300</v>
      </c>
      <c r="Y71" s="71">
        <v>350</v>
      </c>
      <c r="Z71" s="71">
        <v>0</v>
      </c>
    </row>
    <row r="72" spans="1:26">
      <c r="A72" s="71">
        <v>1012102</v>
      </c>
      <c r="B72" s="71" t="s">
        <v>130</v>
      </c>
      <c r="C72" s="25" t="s">
        <v>302</v>
      </c>
      <c r="D72" s="71">
        <v>2</v>
      </c>
      <c r="E72" s="71">
        <v>3</v>
      </c>
      <c r="F72" s="71">
        <v>2001</v>
      </c>
      <c r="G72" s="71">
        <v>350</v>
      </c>
      <c r="H72" s="71">
        <v>2500</v>
      </c>
      <c r="I72" s="76">
        <v>0</v>
      </c>
      <c r="J72" s="71">
        <v>70000</v>
      </c>
      <c r="K72" s="71">
        <v>1012002</v>
      </c>
      <c r="L72" s="71" t="s">
        <v>303</v>
      </c>
      <c r="M72" s="77" t="s">
        <v>304</v>
      </c>
      <c r="N72" s="71" t="s">
        <v>130</v>
      </c>
      <c r="O72" s="71"/>
      <c r="P72" s="71"/>
      <c r="Q72" s="71" t="s">
        <v>60</v>
      </c>
      <c r="R72" s="71">
        <v>0</v>
      </c>
      <c r="S72" s="81">
        <v>1012002</v>
      </c>
      <c r="T72" s="78">
        <v>700</v>
      </c>
      <c r="U72" s="78">
        <v>1013</v>
      </c>
      <c r="V72" s="79" t="s">
        <v>300</v>
      </c>
      <c r="W72" s="71">
        <v>0</v>
      </c>
      <c r="X72" s="71">
        <v>0</v>
      </c>
      <c r="Y72" s="71">
        <v>0</v>
      </c>
      <c r="Z72" s="71">
        <v>5004001</v>
      </c>
    </row>
    <row r="73" spans="1:26">
      <c r="A73" s="71">
        <v>1012201</v>
      </c>
      <c r="B73" s="71" t="s">
        <v>305</v>
      </c>
      <c r="C73" s="71"/>
      <c r="D73" s="71">
        <v>1</v>
      </c>
      <c r="E73" s="71">
        <v>3</v>
      </c>
      <c r="F73" s="71">
        <v>1001</v>
      </c>
      <c r="G73" s="71">
        <v>350</v>
      </c>
      <c r="H73" s="71">
        <v>10000</v>
      </c>
      <c r="I73" s="76">
        <v>0</v>
      </c>
      <c r="J73" s="71">
        <v>10000</v>
      </c>
      <c r="K73" s="71">
        <v>0</v>
      </c>
      <c r="L73" s="71" t="s">
        <v>305</v>
      </c>
      <c r="M73" s="77"/>
      <c r="N73" s="71" t="s">
        <v>305</v>
      </c>
      <c r="O73" s="71"/>
      <c r="P73" s="71"/>
      <c r="Q73" s="71" t="s">
        <v>227</v>
      </c>
      <c r="R73" s="71">
        <v>0</v>
      </c>
      <c r="S73" s="81">
        <v>0</v>
      </c>
      <c r="T73" s="78">
        <v>0</v>
      </c>
      <c r="U73" s="78">
        <v>1013</v>
      </c>
      <c r="V73" s="78">
        <v>600</v>
      </c>
      <c r="W73" s="71">
        <v>1012001</v>
      </c>
      <c r="X73" s="71">
        <v>300</v>
      </c>
      <c r="Y73" s="71">
        <v>350</v>
      </c>
      <c r="Z73" s="71">
        <v>0</v>
      </c>
    </row>
    <row r="74" spans="1:26">
      <c r="A74" s="71">
        <v>1012202</v>
      </c>
      <c r="B74" s="71" t="s">
        <v>178</v>
      </c>
      <c r="C74" s="25" t="s">
        <v>306</v>
      </c>
      <c r="D74" s="71">
        <v>2</v>
      </c>
      <c r="E74" s="71">
        <v>3</v>
      </c>
      <c r="F74" s="71">
        <v>2001</v>
      </c>
      <c r="G74" s="71">
        <v>350</v>
      </c>
      <c r="H74" s="71">
        <v>1670</v>
      </c>
      <c r="I74" s="76">
        <v>0</v>
      </c>
      <c r="J74" s="71">
        <v>70000</v>
      </c>
      <c r="K74" s="71">
        <v>1012202</v>
      </c>
      <c r="L74" s="71" t="s">
        <v>307</v>
      </c>
      <c r="M74" s="77" t="s">
        <v>308</v>
      </c>
      <c r="N74" s="71" t="s">
        <v>178</v>
      </c>
      <c r="O74" s="71"/>
      <c r="P74" s="71"/>
      <c r="Q74" s="71" t="s">
        <v>60</v>
      </c>
      <c r="R74" s="71">
        <v>0</v>
      </c>
      <c r="S74" s="81">
        <v>1012202</v>
      </c>
      <c r="T74" s="78">
        <v>0</v>
      </c>
      <c r="U74" s="78">
        <v>1013</v>
      </c>
      <c r="V74" s="78" t="s">
        <v>182</v>
      </c>
      <c r="W74" s="71">
        <v>0</v>
      </c>
      <c r="X74" s="71">
        <v>0</v>
      </c>
      <c r="Y74" s="71">
        <v>0</v>
      </c>
      <c r="Z74" s="71">
        <v>5006001</v>
      </c>
    </row>
    <row r="75" spans="1:26">
      <c r="A75" s="71">
        <v>1013001</v>
      </c>
      <c r="B75" s="71" t="s">
        <v>309</v>
      </c>
      <c r="C75" s="71"/>
      <c r="D75" s="71">
        <v>1</v>
      </c>
      <c r="E75" s="71">
        <v>3</v>
      </c>
      <c r="F75" s="71">
        <v>1001</v>
      </c>
      <c r="G75" s="71">
        <v>350</v>
      </c>
      <c r="H75" s="71">
        <v>10000</v>
      </c>
      <c r="I75" s="76">
        <v>0</v>
      </c>
      <c r="J75" s="71">
        <v>10000</v>
      </c>
      <c r="K75" s="71">
        <v>0</v>
      </c>
      <c r="L75" s="71" t="s">
        <v>309</v>
      </c>
      <c r="M75" s="77"/>
      <c r="N75" s="71" t="s">
        <v>309</v>
      </c>
      <c r="O75" s="71"/>
      <c r="P75" s="71"/>
      <c r="Q75" s="71" t="s">
        <v>227</v>
      </c>
      <c r="R75" s="71">
        <v>0</v>
      </c>
      <c r="S75" s="81">
        <v>0</v>
      </c>
      <c r="T75" s="78">
        <v>0</v>
      </c>
      <c r="U75" s="78">
        <v>1013</v>
      </c>
      <c r="V75" s="78">
        <v>800</v>
      </c>
      <c r="W75" s="78">
        <v>1013001</v>
      </c>
      <c r="X75" s="78">
        <v>500</v>
      </c>
      <c r="Y75" s="78">
        <v>350</v>
      </c>
      <c r="Z75" s="71">
        <v>0</v>
      </c>
    </row>
    <row r="76" spans="1:26">
      <c r="A76" s="71">
        <v>1013002</v>
      </c>
      <c r="B76" s="71" t="s">
        <v>310</v>
      </c>
      <c r="C76" s="25" t="s">
        <v>311</v>
      </c>
      <c r="D76" s="71">
        <v>2</v>
      </c>
      <c r="E76" s="71">
        <v>3</v>
      </c>
      <c r="F76" s="71">
        <v>2001</v>
      </c>
      <c r="G76" s="71">
        <v>350</v>
      </c>
      <c r="H76" s="71">
        <v>1250</v>
      </c>
      <c r="I76" s="76">
        <v>0</v>
      </c>
      <c r="J76" s="71">
        <v>70000</v>
      </c>
      <c r="K76" s="71">
        <v>1013002</v>
      </c>
      <c r="L76" s="71" t="s">
        <v>312</v>
      </c>
      <c r="M76" s="77" t="s">
        <v>313</v>
      </c>
      <c r="N76" s="71" t="s">
        <v>310</v>
      </c>
      <c r="O76" s="71"/>
      <c r="P76" s="71"/>
      <c r="Q76" s="71" t="s">
        <v>60</v>
      </c>
      <c r="R76" s="71">
        <v>0</v>
      </c>
      <c r="S76" s="81">
        <v>1013002</v>
      </c>
      <c r="T76" s="78">
        <v>500</v>
      </c>
      <c r="U76" s="78">
        <v>1013</v>
      </c>
      <c r="V76" s="78" t="s">
        <v>314</v>
      </c>
      <c r="W76" s="78">
        <v>0</v>
      </c>
      <c r="X76" s="78">
        <v>0</v>
      </c>
      <c r="Y76" s="78">
        <v>0</v>
      </c>
      <c r="Z76" s="71">
        <v>0</v>
      </c>
    </row>
    <row r="77" spans="1:26">
      <c r="A77" s="71">
        <v>1013101</v>
      </c>
      <c r="B77" s="71" t="s">
        <v>315</v>
      </c>
      <c r="C77" s="71"/>
      <c r="D77" s="71">
        <v>1</v>
      </c>
      <c r="E77" s="71">
        <v>3</v>
      </c>
      <c r="F77" s="71">
        <v>1001</v>
      </c>
      <c r="G77" s="71">
        <v>350</v>
      </c>
      <c r="H77" s="71">
        <v>10000</v>
      </c>
      <c r="I77" s="76">
        <v>0</v>
      </c>
      <c r="J77" s="71">
        <v>10000</v>
      </c>
      <c r="K77" s="71">
        <v>0</v>
      </c>
      <c r="L77" s="71" t="s">
        <v>315</v>
      </c>
      <c r="M77" s="77"/>
      <c r="N77" s="71" t="s">
        <v>315</v>
      </c>
      <c r="O77" s="71"/>
      <c r="P77" s="71"/>
      <c r="Q77" s="71" t="s">
        <v>227</v>
      </c>
      <c r="R77" s="71">
        <v>0</v>
      </c>
      <c r="S77" s="81">
        <v>0</v>
      </c>
      <c r="T77" s="78">
        <v>0</v>
      </c>
      <c r="U77" s="78">
        <v>1013</v>
      </c>
      <c r="V77" s="78">
        <v>700</v>
      </c>
      <c r="W77" s="78">
        <v>1013001</v>
      </c>
      <c r="X77" s="78">
        <v>400</v>
      </c>
      <c r="Y77" s="78">
        <v>350</v>
      </c>
      <c r="Z77" s="71">
        <v>0</v>
      </c>
    </row>
    <row r="78" spans="1:26">
      <c r="A78" s="71">
        <v>1013102</v>
      </c>
      <c r="B78" s="71" t="s">
        <v>87</v>
      </c>
      <c r="C78" s="25" t="s">
        <v>316</v>
      </c>
      <c r="D78" s="71">
        <v>2</v>
      </c>
      <c r="E78" s="71">
        <v>3</v>
      </c>
      <c r="F78" s="71">
        <v>2001</v>
      </c>
      <c r="G78" s="71">
        <v>350</v>
      </c>
      <c r="H78" s="71">
        <v>1250</v>
      </c>
      <c r="I78" s="76">
        <v>0</v>
      </c>
      <c r="J78" s="71">
        <v>70000</v>
      </c>
      <c r="K78" s="71">
        <v>1013002</v>
      </c>
      <c r="L78" s="71" t="s">
        <v>317</v>
      </c>
      <c r="M78" s="77" t="s">
        <v>318</v>
      </c>
      <c r="N78" s="71" t="s">
        <v>87</v>
      </c>
      <c r="O78" s="71"/>
      <c r="P78" s="71"/>
      <c r="Q78" s="71" t="s">
        <v>60</v>
      </c>
      <c r="R78" s="71">
        <v>0</v>
      </c>
      <c r="S78" s="81">
        <v>1013002</v>
      </c>
      <c r="T78" s="78">
        <v>600</v>
      </c>
      <c r="U78" s="78">
        <v>1013</v>
      </c>
      <c r="V78" s="78" t="s">
        <v>319</v>
      </c>
      <c r="W78" s="78">
        <v>0</v>
      </c>
      <c r="X78" s="78">
        <v>0</v>
      </c>
      <c r="Y78" s="78">
        <v>0</v>
      </c>
      <c r="Z78" s="71">
        <v>5002002</v>
      </c>
    </row>
    <row r="79" spans="1:26">
      <c r="A79" s="71">
        <v>1014001</v>
      </c>
      <c r="B79" s="71" t="s">
        <v>320</v>
      </c>
      <c r="C79" s="71"/>
      <c r="D79" s="71">
        <v>1</v>
      </c>
      <c r="E79" s="71">
        <v>3</v>
      </c>
      <c r="F79" s="71">
        <v>1001</v>
      </c>
      <c r="G79" s="71">
        <v>350</v>
      </c>
      <c r="H79" s="71">
        <v>10000</v>
      </c>
      <c r="I79" s="76">
        <v>0</v>
      </c>
      <c r="J79" s="71">
        <v>10000</v>
      </c>
      <c r="K79" s="71">
        <v>0</v>
      </c>
      <c r="L79" s="71" t="s">
        <v>320</v>
      </c>
      <c r="M79" s="77"/>
      <c r="N79" s="71" t="s">
        <v>320</v>
      </c>
      <c r="O79" s="71"/>
      <c r="P79" s="71"/>
      <c r="Q79" s="71" t="s">
        <v>227</v>
      </c>
      <c r="R79" s="71">
        <v>0</v>
      </c>
      <c r="S79" s="74">
        <v>0</v>
      </c>
      <c r="T79" s="78">
        <v>0</v>
      </c>
      <c r="U79" s="78">
        <v>1014</v>
      </c>
      <c r="V79" s="78">
        <v>700</v>
      </c>
      <c r="W79" s="71">
        <v>1014001</v>
      </c>
      <c r="X79" s="71">
        <v>400</v>
      </c>
      <c r="Y79" s="71">
        <v>350</v>
      </c>
      <c r="Z79" s="71">
        <v>0</v>
      </c>
    </row>
    <row r="80" spans="1:26">
      <c r="A80" s="71">
        <v>1014002</v>
      </c>
      <c r="B80" s="71" t="s">
        <v>321</v>
      </c>
      <c r="C80" s="25" t="s">
        <v>322</v>
      </c>
      <c r="D80" s="71">
        <v>2</v>
      </c>
      <c r="E80" s="71">
        <v>3</v>
      </c>
      <c r="F80" s="71">
        <v>2001</v>
      </c>
      <c r="G80" s="71">
        <v>350</v>
      </c>
      <c r="H80" s="71">
        <v>10000</v>
      </c>
      <c r="I80" s="76">
        <v>0</v>
      </c>
      <c r="J80" s="71">
        <v>180000</v>
      </c>
      <c r="K80" s="71">
        <v>1014002</v>
      </c>
      <c r="L80" s="71" t="s">
        <v>323</v>
      </c>
      <c r="M80" s="77" t="s">
        <v>324</v>
      </c>
      <c r="N80" s="71" t="s">
        <v>321</v>
      </c>
      <c r="O80" s="71"/>
      <c r="P80" s="71"/>
      <c r="Q80" s="71" t="s">
        <v>60</v>
      </c>
      <c r="R80" s="71">
        <v>0</v>
      </c>
      <c r="S80" s="74">
        <v>1014002</v>
      </c>
      <c r="T80" s="78">
        <v>600</v>
      </c>
      <c r="U80" s="78">
        <v>1014</v>
      </c>
      <c r="V80" s="78">
        <v>1050</v>
      </c>
      <c r="W80" s="71">
        <v>0</v>
      </c>
      <c r="X80" s="71">
        <v>0</v>
      </c>
      <c r="Y80" s="71">
        <v>0</v>
      </c>
      <c r="Z80" s="71">
        <v>0</v>
      </c>
    </row>
    <row r="81" spans="1:26">
      <c r="A81" s="71">
        <v>1014101</v>
      </c>
      <c r="B81" s="71" t="s">
        <v>325</v>
      </c>
      <c r="C81" s="71"/>
      <c r="D81" s="71">
        <v>1</v>
      </c>
      <c r="E81" s="71">
        <v>3</v>
      </c>
      <c r="F81" s="71">
        <v>1001</v>
      </c>
      <c r="G81" s="71">
        <v>350</v>
      </c>
      <c r="H81" s="71">
        <v>10000</v>
      </c>
      <c r="I81" s="76">
        <v>0</v>
      </c>
      <c r="J81" s="71">
        <v>10000</v>
      </c>
      <c r="K81" s="71">
        <v>0</v>
      </c>
      <c r="L81" s="71" t="s">
        <v>325</v>
      </c>
      <c r="M81" s="77"/>
      <c r="N81" s="71" t="s">
        <v>325</v>
      </c>
      <c r="O81" s="71"/>
      <c r="P81" s="71"/>
      <c r="Q81" s="71" t="s">
        <v>227</v>
      </c>
      <c r="R81" s="71">
        <v>0</v>
      </c>
      <c r="S81" s="74">
        <v>0</v>
      </c>
      <c r="T81" s="78">
        <v>0</v>
      </c>
      <c r="U81" s="78">
        <v>1014</v>
      </c>
      <c r="V81" s="78">
        <v>700</v>
      </c>
      <c r="W81" s="71">
        <v>1014001</v>
      </c>
      <c r="X81" s="71">
        <v>400</v>
      </c>
      <c r="Y81" s="71">
        <v>350</v>
      </c>
      <c r="Z81" s="71">
        <v>0</v>
      </c>
    </row>
    <row r="82" spans="1:26">
      <c r="A82" s="71">
        <v>1014102</v>
      </c>
      <c r="B82" s="71" t="s">
        <v>326</v>
      </c>
      <c r="C82" s="25" t="s">
        <v>327</v>
      </c>
      <c r="D82" s="71">
        <v>2</v>
      </c>
      <c r="E82" s="71">
        <v>3</v>
      </c>
      <c r="F82" s="71">
        <v>2001</v>
      </c>
      <c r="G82" s="71">
        <v>350</v>
      </c>
      <c r="H82" s="71">
        <v>10000</v>
      </c>
      <c r="I82" s="76">
        <v>0</v>
      </c>
      <c r="J82" s="71">
        <v>180000</v>
      </c>
      <c r="K82" s="71">
        <v>1014002</v>
      </c>
      <c r="L82" s="71" t="s">
        <v>328</v>
      </c>
      <c r="M82" s="77" t="s">
        <v>329</v>
      </c>
      <c r="N82" s="71" t="s">
        <v>326</v>
      </c>
      <c r="O82" s="71"/>
      <c r="P82" s="71"/>
      <c r="Q82" s="71" t="s">
        <v>60</v>
      </c>
      <c r="R82" s="71">
        <v>0</v>
      </c>
      <c r="S82" s="74">
        <v>1014102</v>
      </c>
      <c r="T82" s="78">
        <v>700</v>
      </c>
      <c r="U82" s="78">
        <v>1014</v>
      </c>
      <c r="V82" s="78">
        <v>1700</v>
      </c>
      <c r="W82" s="71">
        <v>0</v>
      </c>
      <c r="X82" s="71">
        <v>0</v>
      </c>
      <c r="Y82" s="71">
        <v>0</v>
      </c>
      <c r="Z82" s="71">
        <v>0</v>
      </c>
    </row>
    <row r="83" spans="1:26">
      <c r="A83" s="71">
        <v>1015001</v>
      </c>
      <c r="B83" s="71" t="s">
        <v>330</v>
      </c>
      <c r="C83" s="71"/>
      <c r="D83" s="71">
        <v>1</v>
      </c>
      <c r="E83" s="71">
        <v>3</v>
      </c>
      <c r="F83" s="71">
        <v>1001</v>
      </c>
      <c r="G83" s="71">
        <v>350</v>
      </c>
      <c r="H83" s="71">
        <v>10000</v>
      </c>
      <c r="I83" s="76">
        <v>0</v>
      </c>
      <c r="J83" s="71">
        <v>10000</v>
      </c>
      <c r="K83" s="71">
        <v>0</v>
      </c>
      <c r="L83" s="71" t="s">
        <v>330</v>
      </c>
      <c r="M83" s="77"/>
      <c r="N83" s="71" t="s">
        <v>330</v>
      </c>
      <c r="O83" s="71"/>
      <c r="P83" s="71"/>
      <c r="Q83" s="71" t="s">
        <v>227</v>
      </c>
      <c r="R83" s="71">
        <v>0</v>
      </c>
      <c r="S83" s="74">
        <v>0</v>
      </c>
      <c r="T83" s="78">
        <v>0</v>
      </c>
      <c r="U83" s="78">
        <v>1014</v>
      </c>
      <c r="V83" s="78">
        <v>700</v>
      </c>
      <c r="W83" s="71">
        <v>1015001</v>
      </c>
      <c r="X83" s="71">
        <v>400</v>
      </c>
      <c r="Y83" s="71">
        <v>350</v>
      </c>
      <c r="Z83" s="71">
        <v>0</v>
      </c>
    </row>
    <row r="84" s="65" customFormat="1" spans="1:26">
      <c r="A84" s="71">
        <v>1015002</v>
      </c>
      <c r="B84" s="71" t="s">
        <v>106</v>
      </c>
      <c r="C84" s="25" t="s">
        <v>331</v>
      </c>
      <c r="D84" s="71">
        <v>2</v>
      </c>
      <c r="E84" s="71">
        <v>3</v>
      </c>
      <c r="F84" s="71">
        <v>2001</v>
      </c>
      <c r="G84" s="71">
        <v>350</v>
      </c>
      <c r="H84" s="71">
        <v>10000</v>
      </c>
      <c r="I84" s="76">
        <v>0</v>
      </c>
      <c r="J84" s="71">
        <v>180000</v>
      </c>
      <c r="K84" s="71">
        <v>1015002</v>
      </c>
      <c r="L84" s="71" t="s">
        <v>332</v>
      </c>
      <c r="M84" s="77" t="s">
        <v>333</v>
      </c>
      <c r="N84" s="71" t="s">
        <v>106</v>
      </c>
      <c r="O84" s="71"/>
      <c r="P84" s="71"/>
      <c r="Q84" s="71" t="s">
        <v>60</v>
      </c>
      <c r="R84" s="71">
        <v>0</v>
      </c>
      <c r="S84" s="74">
        <v>1015002</v>
      </c>
      <c r="T84" s="78">
        <v>300</v>
      </c>
      <c r="U84" s="78">
        <v>1014</v>
      </c>
      <c r="V84" s="78">
        <v>1150</v>
      </c>
      <c r="W84" s="71">
        <v>0</v>
      </c>
      <c r="X84" s="71">
        <v>0</v>
      </c>
      <c r="Y84" s="71">
        <v>0</v>
      </c>
      <c r="Z84" s="71">
        <v>5003001</v>
      </c>
    </row>
    <row r="85" spans="1:26">
      <c r="A85" s="71">
        <v>1015101</v>
      </c>
      <c r="B85" s="71" t="s">
        <v>334</v>
      </c>
      <c r="C85" s="71"/>
      <c r="D85" s="71">
        <v>1</v>
      </c>
      <c r="E85" s="71">
        <v>3</v>
      </c>
      <c r="F85" s="71">
        <v>1001</v>
      </c>
      <c r="G85" s="71">
        <v>350</v>
      </c>
      <c r="H85" s="71">
        <v>10000</v>
      </c>
      <c r="I85" s="76">
        <v>0</v>
      </c>
      <c r="J85" s="71">
        <v>10000</v>
      </c>
      <c r="K85" s="71">
        <v>0</v>
      </c>
      <c r="L85" s="71" t="s">
        <v>334</v>
      </c>
      <c r="M85" s="77"/>
      <c r="N85" s="71" t="s">
        <v>334</v>
      </c>
      <c r="O85" s="71"/>
      <c r="P85" s="71"/>
      <c r="Q85" s="71" t="s">
        <v>227</v>
      </c>
      <c r="R85" s="71">
        <v>0</v>
      </c>
      <c r="S85" s="74">
        <v>0</v>
      </c>
      <c r="T85" s="78">
        <v>0</v>
      </c>
      <c r="U85" s="78">
        <v>1014</v>
      </c>
      <c r="V85" s="78">
        <v>700</v>
      </c>
      <c r="W85" s="71">
        <v>1015001</v>
      </c>
      <c r="X85" s="71">
        <v>400</v>
      </c>
      <c r="Y85" s="71">
        <v>350</v>
      </c>
      <c r="Z85" s="71">
        <v>0</v>
      </c>
    </row>
    <row r="86" s="65" customFormat="1" spans="1:26">
      <c r="A86" s="71">
        <v>1015102</v>
      </c>
      <c r="B86" s="71" t="s">
        <v>335</v>
      </c>
      <c r="C86" s="25" t="s">
        <v>336</v>
      </c>
      <c r="D86" s="71">
        <v>2</v>
      </c>
      <c r="E86" s="71">
        <v>3</v>
      </c>
      <c r="F86" s="71">
        <v>2001</v>
      </c>
      <c r="G86" s="71">
        <v>350</v>
      </c>
      <c r="H86" s="71">
        <v>10000</v>
      </c>
      <c r="I86" s="76">
        <v>0</v>
      </c>
      <c r="J86" s="71">
        <v>180000</v>
      </c>
      <c r="K86" s="71">
        <v>1015002</v>
      </c>
      <c r="L86" s="71" t="s">
        <v>337</v>
      </c>
      <c r="M86" s="77" t="s">
        <v>338</v>
      </c>
      <c r="N86" s="71" t="s">
        <v>335</v>
      </c>
      <c r="O86" s="71"/>
      <c r="P86" s="71"/>
      <c r="Q86" s="71" t="s">
        <v>60</v>
      </c>
      <c r="R86" s="71">
        <v>0</v>
      </c>
      <c r="S86" s="74">
        <v>1015002</v>
      </c>
      <c r="T86" s="78">
        <v>1100</v>
      </c>
      <c r="U86" s="78">
        <v>1014</v>
      </c>
      <c r="V86" s="78">
        <v>1950</v>
      </c>
      <c r="W86" s="71">
        <v>0</v>
      </c>
      <c r="X86" s="71">
        <v>0</v>
      </c>
      <c r="Y86" s="71">
        <v>0</v>
      </c>
      <c r="Z86" s="71">
        <v>0</v>
      </c>
    </row>
    <row r="87" spans="1:26">
      <c r="A87" s="71">
        <v>1016001</v>
      </c>
      <c r="B87" s="71" t="s">
        <v>339</v>
      </c>
      <c r="C87" s="71"/>
      <c r="D87" s="71">
        <v>1</v>
      </c>
      <c r="E87" s="71">
        <v>3</v>
      </c>
      <c r="F87" s="71">
        <v>1001</v>
      </c>
      <c r="G87" s="71">
        <v>350</v>
      </c>
      <c r="H87" s="71">
        <v>10000</v>
      </c>
      <c r="I87" s="76">
        <v>0</v>
      </c>
      <c r="J87" s="71">
        <v>10000</v>
      </c>
      <c r="K87" s="71">
        <v>0</v>
      </c>
      <c r="L87" s="71" t="s">
        <v>339</v>
      </c>
      <c r="M87" s="77"/>
      <c r="N87" s="71" t="s">
        <v>339</v>
      </c>
      <c r="O87" s="71"/>
      <c r="P87" s="71"/>
      <c r="Q87" s="71" t="s">
        <v>227</v>
      </c>
      <c r="R87" s="71">
        <v>0</v>
      </c>
      <c r="S87" s="74">
        <v>0</v>
      </c>
      <c r="T87" s="78">
        <v>0</v>
      </c>
      <c r="U87" s="78">
        <v>1014</v>
      </c>
      <c r="V87" s="78">
        <v>700</v>
      </c>
      <c r="W87" s="71">
        <v>1016001</v>
      </c>
      <c r="X87" s="71">
        <v>400</v>
      </c>
      <c r="Y87" s="71">
        <v>350</v>
      </c>
      <c r="Z87" s="71">
        <v>0</v>
      </c>
    </row>
    <row r="88" spans="1:26">
      <c r="A88" s="71">
        <v>1016002</v>
      </c>
      <c r="B88" s="71" t="s">
        <v>340</v>
      </c>
      <c r="C88" s="25" t="s">
        <v>341</v>
      </c>
      <c r="D88" s="71">
        <v>2</v>
      </c>
      <c r="E88" s="71">
        <v>3</v>
      </c>
      <c r="F88" s="71">
        <v>2002</v>
      </c>
      <c r="G88" s="71">
        <v>350</v>
      </c>
      <c r="H88" s="71">
        <v>10000</v>
      </c>
      <c r="I88" s="76">
        <v>0</v>
      </c>
      <c r="J88" s="71">
        <v>180000</v>
      </c>
      <c r="K88" s="71">
        <v>1016002</v>
      </c>
      <c r="L88" s="71" t="s">
        <v>342</v>
      </c>
      <c r="M88" s="77" t="s">
        <v>343</v>
      </c>
      <c r="N88" s="71" t="s">
        <v>340</v>
      </c>
      <c r="O88" s="71"/>
      <c r="P88" s="71"/>
      <c r="Q88" s="71" t="s">
        <v>60</v>
      </c>
      <c r="R88" s="71">
        <v>0</v>
      </c>
      <c r="S88" s="74">
        <v>1016002</v>
      </c>
      <c r="T88" s="78">
        <v>700</v>
      </c>
      <c r="U88" s="78">
        <v>1014</v>
      </c>
      <c r="V88" s="78">
        <v>1350</v>
      </c>
      <c r="W88" s="71">
        <v>0</v>
      </c>
      <c r="X88" s="71">
        <v>0</v>
      </c>
      <c r="Y88" s="71">
        <v>0</v>
      </c>
      <c r="Z88" s="71">
        <v>0</v>
      </c>
    </row>
    <row r="89" spans="1:26">
      <c r="A89" s="71">
        <v>1016101</v>
      </c>
      <c r="B89" s="71" t="s">
        <v>344</v>
      </c>
      <c r="C89" s="71"/>
      <c r="D89" s="71">
        <v>1</v>
      </c>
      <c r="E89" s="71">
        <v>3</v>
      </c>
      <c r="F89" s="71">
        <v>1001</v>
      </c>
      <c r="G89" s="71">
        <v>350</v>
      </c>
      <c r="H89" s="71">
        <v>10000</v>
      </c>
      <c r="I89" s="76">
        <v>0</v>
      </c>
      <c r="J89" s="71">
        <v>10000</v>
      </c>
      <c r="K89" s="71">
        <v>0</v>
      </c>
      <c r="L89" s="71" t="s">
        <v>344</v>
      </c>
      <c r="M89" s="77"/>
      <c r="N89" s="71" t="s">
        <v>344</v>
      </c>
      <c r="O89" s="71"/>
      <c r="P89" s="71"/>
      <c r="Q89" s="71" t="s">
        <v>227</v>
      </c>
      <c r="R89" s="71">
        <v>0</v>
      </c>
      <c r="S89" s="74">
        <v>0</v>
      </c>
      <c r="T89" s="78">
        <v>0</v>
      </c>
      <c r="U89" s="78">
        <v>1014</v>
      </c>
      <c r="V89" s="78">
        <v>700</v>
      </c>
      <c r="W89" s="71">
        <v>1016001</v>
      </c>
      <c r="X89" s="71">
        <v>400</v>
      </c>
      <c r="Y89" s="71">
        <v>350</v>
      </c>
      <c r="Z89" s="71">
        <v>0</v>
      </c>
    </row>
    <row r="90" s="65" customFormat="1" spans="1:26">
      <c r="A90" s="71">
        <v>1016102</v>
      </c>
      <c r="B90" s="71" t="s">
        <v>345</v>
      </c>
      <c r="C90" s="25" t="s">
        <v>346</v>
      </c>
      <c r="D90" s="71">
        <v>2</v>
      </c>
      <c r="E90" s="71">
        <v>3</v>
      </c>
      <c r="F90" s="71">
        <v>2001</v>
      </c>
      <c r="G90" s="71">
        <v>350</v>
      </c>
      <c r="H90" s="71">
        <v>10000</v>
      </c>
      <c r="I90" s="76">
        <v>0</v>
      </c>
      <c r="J90" s="71">
        <v>180000</v>
      </c>
      <c r="K90" s="71">
        <v>1016102</v>
      </c>
      <c r="L90" s="71" t="s">
        <v>347</v>
      </c>
      <c r="M90" s="77" t="s">
        <v>348</v>
      </c>
      <c r="N90" s="71" t="s">
        <v>345</v>
      </c>
      <c r="O90" s="71"/>
      <c r="P90" s="71"/>
      <c r="Q90" s="71" t="s">
        <v>60</v>
      </c>
      <c r="R90" s="71">
        <v>0</v>
      </c>
      <c r="S90" s="74">
        <v>1016102</v>
      </c>
      <c r="T90" s="78">
        <v>600</v>
      </c>
      <c r="U90" s="78">
        <v>1014</v>
      </c>
      <c r="V90" s="78">
        <v>1250</v>
      </c>
      <c r="W90" s="71">
        <v>0</v>
      </c>
      <c r="X90" s="71">
        <v>0</v>
      </c>
      <c r="Y90" s="71">
        <v>0</v>
      </c>
      <c r="Z90" s="71">
        <v>0</v>
      </c>
    </row>
    <row r="91" spans="1:26">
      <c r="A91" s="71">
        <v>1017001</v>
      </c>
      <c r="B91" s="71" t="s">
        <v>349</v>
      </c>
      <c r="C91" s="71"/>
      <c r="D91" s="71">
        <v>1</v>
      </c>
      <c r="E91" s="71">
        <v>3</v>
      </c>
      <c r="F91" s="71">
        <v>1001</v>
      </c>
      <c r="G91" s="71">
        <v>350</v>
      </c>
      <c r="H91" s="71">
        <v>10000</v>
      </c>
      <c r="I91" s="76">
        <v>0</v>
      </c>
      <c r="J91" s="71">
        <v>10000</v>
      </c>
      <c r="K91" s="71">
        <v>0</v>
      </c>
      <c r="L91" s="71" t="s">
        <v>349</v>
      </c>
      <c r="M91" s="77"/>
      <c r="N91" s="71" t="s">
        <v>349</v>
      </c>
      <c r="O91" s="71"/>
      <c r="P91" s="71"/>
      <c r="Q91" s="71" t="s">
        <v>227</v>
      </c>
      <c r="R91" s="71">
        <v>0</v>
      </c>
      <c r="S91" s="74">
        <v>0</v>
      </c>
      <c r="T91" s="78">
        <v>0</v>
      </c>
      <c r="U91" s="78">
        <v>1014</v>
      </c>
      <c r="V91" s="78">
        <v>700</v>
      </c>
      <c r="W91" s="71">
        <v>1017001</v>
      </c>
      <c r="X91" s="71">
        <v>400</v>
      </c>
      <c r="Y91" s="71">
        <v>350</v>
      </c>
      <c r="Z91" s="71">
        <v>0</v>
      </c>
    </row>
    <row r="92" spans="1:26">
      <c r="A92" s="71">
        <v>1017002</v>
      </c>
      <c r="B92" s="71" t="s">
        <v>350</v>
      </c>
      <c r="C92" s="25" t="s">
        <v>351</v>
      </c>
      <c r="D92" s="71">
        <v>2</v>
      </c>
      <c r="E92" s="71">
        <v>3</v>
      </c>
      <c r="F92" s="71">
        <v>2002</v>
      </c>
      <c r="G92" s="71">
        <v>350</v>
      </c>
      <c r="H92" s="71">
        <v>10000</v>
      </c>
      <c r="I92" s="76">
        <v>0</v>
      </c>
      <c r="J92" s="71">
        <v>180000</v>
      </c>
      <c r="K92" s="71">
        <v>1017002</v>
      </c>
      <c r="L92" s="71" t="s">
        <v>352</v>
      </c>
      <c r="M92" s="77" t="s">
        <v>353</v>
      </c>
      <c r="N92" s="71" t="s">
        <v>350</v>
      </c>
      <c r="O92" s="71"/>
      <c r="P92" s="71"/>
      <c r="Q92" s="71" t="s">
        <v>60</v>
      </c>
      <c r="R92" s="71">
        <v>0</v>
      </c>
      <c r="S92" s="74">
        <v>1017002</v>
      </c>
      <c r="T92" s="78">
        <v>2000</v>
      </c>
      <c r="U92" s="78">
        <v>1014</v>
      </c>
      <c r="V92" s="78">
        <v>2100</v>
      </c>
      <c r="W92" s="71">
        <v>0</v>
      </c>
      <c r="X92" s="71">
        <v>0</v>
      </c>
      <c r="Y92" s="71">
        <v>0</v>
      </c>
      <c r="Z92" s="71">
        <v>0</v>
      </c>
    </row>
    <row r="93" spans="1:26">
      <c r="A93" s="71">
        <v>1017101</v>
      </c>
      <c r="B93" s="71" t="s">
        <v>354</v>
      </c>
      <c r="C93" s="71"/>
      <c r="D93" s="71">
        <v>1</v>
      </c>
      <c r="E93" s="71">
        <v>3</v>
      </c>
      <c r="F93" s="71">
        <v>1001</v>
      </c>
      <c r="G93" s="71">
        <v>350</v>
      </c>
      <c r="H93" s="71">
        <v>10000</v>
      </c>
      <c r="I93" s="76">
        <v>0</v>
      </c>
      <c r="J93" s="71">
        <v>10000</v>
      </c>
      <c r="K93" s="71">
        <v>0</v>
      </c>
      <c r="L93" s="71" t="s">
        <v>354</v>
      </c>
      <c r="M93" s="77"/>
      <c r="N93" s="71" t="s">
        <v>354</v>
      </c>
      <c r="O93" s="71"/>
      <c r="P93" s="71"/>
      <c r="Q93" s="71" t="s">
        <v>227</v>
      </c>
      <c r="R93" s="71">
        <v>0</v>
      </c>
      <c r="S93" s="74">
        <v>0</v>
      </c>
      <c r="T93" s="78">
        <v>0</v>
      </c>
      <c r="U93" s="78">
        <v>1014</v>
      </c>
      <c r="V93" s="78">
        <v>700</v>
      </c>
      <c r="W93" s="71">
        <v>1017001</v>
      </c>
      <c r="X93" s="71">
        <v>400</v>
      </c>
      <c r="Y93" s="71">
        <v>350</v>
      </c>
      <c r="Z93" s="71">
        <v>0</v>
      </c>
    </row>
    <row r="94" spans="1:26">
      <c r="A94" s="71">
        <v>1017102</v>
      </c>
      <c r="B94" s="71" t="s">
        <v>355</v>
      </c>
      <c r="C94" s="25" t="s">
        <v>356</v>
      </c>
      <c r="D94" s="71">
        <v>2</v>
      </c>
      <c r="E94" s="71">
        <v>3</v>
      </c>
      <c r="F94" s="71">
        <v>2001</v>
      </c>
      <c r="G94" s="71">
        <v>350</v>
      </c>
      <c r="H94" s="71">
        <v>10000</v>
      </c>
      <c r="I94" s="76">
        <v>0</v>
      </c>
      <c r="J94" s="71">
        <v>180000</v>
      </c>
      <c r="K94" s="71">
        <v>1017002</v>
      </c>
      <c r="L94" s="71" t="s">
        <v>357</v>
      </c>
      <c r="M94" s="77" t="s">
        <v>358</v>
      </c>
      <c r="N94" s="71" t="s">
        <v>355</v>
      </c>
      <c r="O94" s="71"/>
      <c r="P94" s="71"/>
      <c r="Q94" s="71" t="s">
        <v>60</v>
      </c>
      <c r="R94" s="71">
        <v>0</v>
      </c>
      <c r="S94" s="74">
        <v>1017102</v>
      </c>
      <c r="T94" s="78">
        <v>2000</v>
      </c>
      <c r="U94" s="78">
        <v>1014</v>
      </c>
      <c r="V94" s="78">
        <v>2100</v>
      </c>
      <c r="W94" s="71">
        <v>0</v>
      </c>
      <c r="X94" s="71">
        <v>0</v>
      </c>
      <c r="Y94" s="71">
        <v>0</v>
      </c>
      <c r="Z94" s="71">
        <v>0</v>
      </c>
    </row>
    <row r="95" spans="1:26">
      <c r="A95" s="71">
        <v>1018001</v>
      </c>
      <c r="B95" s="71" t="s">
        <v>359</v>
      </c>
      <c r="C95" s="71"/>
      <c r="D95" s="71">
        <v>1</v>
      </c>
      <c r="E95" s="71">
        <v>3</v>
      </c>
      <c r="F95" s="71">
        <v>1001</v>
      </c>
      <c r="G95" s="71">
        <v>350</v>
      </c>
      <c r="H95" s="71">
        <v>10000</v>
      </c>
      <c r="I95" s="76">
        <v>0</v>
      </c>
      <c r="J95" s="71">
        <v>10000</v>
      </c>
      <c r="K95" s="71">
        <v>0</v>
      </c>
      <c r="L95" s="71" t="s">
        <v>359</v>
      </c>
      <c r="M95" s="77"/>
      <c r="N95" s="71" t="s">
        <v>359</v>
      </c>
      <c r="O95" s="71"/>
      <c r="P95" s="71"/>
      <c r="Q95" s="71" t="s">
        <v>227</v>
      </c>
      <c r="R95" s="71">
        <v>0</v>
      </c>
      <c r="S95" s="74">
        <v>0</v>
      </c>
      <c r="T95" s="78">
        <v>0</v>
      </c>
      <c r="U95" s="78">
        <v>1014</v>
      </c>
      <c r="V95" s="78">
        <v>700</v>
      </c>
      <c r="W95" s="71">
        <v>1018001</v>
      </c>
      <c r="X95" s="71">
        <v>400</v>
      </c>
      <c r="Y95" s="71">
        <v>350</v>
      </c>
      <c r="Z95" s="71">
        <v>0</v>
      </c>
    </row>
    <row r="96" spans="1:26">
      <c r="A96" s="71">
        <v>1018002</v>
      </c>
      <c r="B96" s="71" t="s">
        <v>360</v>
      </c>
      <c r="C96" s="25" t="s">
        <v>361</v>
      </c>
      <c r="D96" s="71">
        <v>2</v>
      </c>
      <c r="E96" s="71">
        <v>3</v>
      </c>
      <c r="F96" s="71">
        <v>2001</v>
      </c>
      <c r="G96" s="71">
        <v>350</v>
      </c>
      <c r="H96" s="71">
        <v>1670</v>
      </c>
      <c r="I96" s="76">
        <v>0</v>
      </c>
      <c r="J96" s="71">
        <v>180000</v>
      </c>
      <c r="K96" s="71">
        <v>1018002</v>
      </c>
      <c r="L96" s="71" t="s">
        <v>362</v>
      </c>
      <c r="M96" s="77" t="s">
        <v>363</v>
      </c>
      <c r="N96" s="71" t="s">
        <v>360</v>
      </c>
      <c r="O96" s="71"/>
      <c r="P96" s="71"/>
      <c r="Q96" s="71" t="s">
        <v>60</v>
      </c>
      <c r="R96" s="71">
        <v>0</v>
      </c>
      <c r="S96" s="74">
        <v>1018002</v>
      </c>
      <c r="T96" s="78">
        <v>700</v>
      </c>
      <c r="U96" s="78">
        <v>1014</v>
      </c>
      <c r="V96" s="78" t="s">
        <v>364</v>
      </c>
      <c r="W96" s="71">
        <v>0</v>
      </c>
      <c r="X96" s="71">
        <v>0</v>
      </c>
      <c r="Y96" s="71">
        <v>0</v>
      </c>
      <c r="Z96" s="71">
        <v>0</v>
      </c>
    </row>
    <row r="97" spans="1:26">
      <c r="A97" s="71">
        <v>1018101</v>
      </c>
      <c r="B97" s="71" t="s">
        <v>365</v>
      </c>
      <c r="C97" s="71"/>
      <c r="D97" s="71">
        <v>1</v>
      </c>
      <c r="E97" s="71">
        <v>3</v>
      </c>
      <c r="F97" s="71">
        <v>1001</v>
      </c>
      <c r="G97" s="71">
        <v>350</v>
      </c>
      <c r="H97" s="71">
        <v>10000</v>
      </c>
      <c r="I97" s="76">
        <v>0</v>
      </c>
      <c r="J97" s="71">
        <v>10000</v>
      </c>
      <c r="K97" s="71">
        <v>0</v>
      </c>
      <c r="L97" s="71" t="s">
        <v>365</v>
      </c>
      <c r="M97" s="77"/>
      <c r="N97" s="71" t="s">
        <v>365</v>
      </c>
      <c r="O97" s="71"/>
      <c r="P97" s="71"/>
      <c r="Q97" s="71" t="s">
        <v>227</v>
      </c>
      <c r="R97" s="71">
        <v>0</v>
      </c>
      <c r="S97" s="74">
        <v>0</v>
      </c>
      <c r="T97" s="78">
        <v>0</v>
      </c>
      <c r="U97" s="78">
        <v>1014</v>
      </c>
      <c r="V97" s="78">
        <v>700</v>
      </c>
      <c r="W97" s="71">
        <v>1018001</v>
      </c>
      <c r="X97" s="71">
        <v>400</v>
      </c>
      <c r="Y97" s="71">
        <v>350</v>
      </c>
      <c r="Z97" s="71">
        <v>0</v>
      </c>
    </row>
    <row r="98" spans="1:26">
      <c r="A98" s="71">
        <v>1018102</v>
      </c>
      <c r="B98" s="71" t="s">
        <v>366</v>
      </c>
      <c r="C98" s="25" t="s">
        <v>367</v>
      </c>
      <c r="D98" s="71">
        <v>2</v>
      </c>
      <c r="E98" s="71">
        <v>3</v>
      </c>
      <c r="F98" s="71">
        <v>2001</v>
      </c>
      <c r="G98" s="71">
        <v>350</v>
      </c>
      <c r="H98" s="71">
        <v>1430</v>
      </c>
      <c r="I98" s="76">
        <v>0</v>
      </c>
      <c r="J98" s="71">
        <v>180000</v>
      </c>
      <c r="K98" s="71">
        <v>1018102</v>
      </c>
      <c r="L98" s="71" t="s">
        <v>368</v>
      </c>
      <c r="M98" s="77" t="s">
        <v>369</v>
      </c>
      <c r="N98" s="71" t="s">
        <v>366</v>
      </c>
      <c r="O98" s="71"/>
      <c r="P98" s="71"/>
      <c r="Q98" s="71" t="s">
        <v>60</v>
      </c>
      <c r="R98" s="71">
        <v>0</v>
      </c>
      <c r="S98" s="74">
        <v>1018102</v>
      </c>
      <c r="T98" s="78">
        <v>900</v>
      </c>
      <c r="U98" s="78">
        <v>1014</v>
      </c>
      <c r="V98" s="78" t="s">
        <v>370</v>
      </c>
      <c r="W98" s="71">
        <v>0</v>
      </c>
      <c r="X98" s="71">
        <v>0</v>
      </c>
      <c r="Y98" s="71">
        <v>0</v>
      </c>
      <c r="Z98" s="71">
        <v>0</v>
      </c>
    </row>
    <row r="99" spans="1:26">
      <c r="A99" s="71">
        <v>1019001</v>
      </c>
      <c r="B99" s="71" t="s">
        <v>371</v>
      </c>
      <c r="C99" s="71"/>
      <c r="D99" s="71">
        <v>1</v>
      </c>
      <c r="E99" s="71">
        <v>3</v>
      </c>
      <c r="F99" s="71">
        <v>1001</v>
      </c>
      <c r="G99" s="71">
        <v>350</v>
      </c>
      <c r="H99" s="71">
        <v>10000</v>
      </c>
      <c r="I99" s="76">
        <v>0</v>
      </c>
      <c r="J99" s="71">
        <v>10000</v>
      </c>
      <c r="K99" s="71">
        <v>0</v>
      </c>
      <c r="L99" s="71" t="s">
        <v>371</v>
      </c>
      <c r="M99" s="77"/>
      <c r="N99" s="71" t="s">
        <v>371</v>
      </c>
      <c r="O99" s="71"/>
      <c r="P99" s="71"/>
      <c r="Q99" s="71" t="s">
        <v>227</v>
      </c>
      <c r="R99" s="71">
        <v>0</v>
      </c>
      <c r="S99" s="74">
        <v>0</v>
      </c>
      <c r="T99" s="78">
        <v>0</v>
      </c>
      <c r="U99" s="78">
        <v>1014</v>
      </c>
      <c r="V99" s="78">
        <v>700</v>
      </c>
      <c r="W99" s="71">
        <v>1019001</v>
      </c>
      <c r="X99" s="71">
        <v>400</v>
      </c>
      <c r="Y99" s="71">
        <v>350</v>
      </c>
      <c r="Z99" s="71">
        <v>0</v>
      </c>
    </row>
    <row r="100" spans="1:26">
      <c r="A100" s="71">
        <v>1019002</v>
      </c>
      <c r="B100" s="71" t="s">
        <v>372</v>
      </c>
      <c r="C100" s="25" t="s">
        <v>373</v>
      </c>
      <c r="D100" s="71">
        <v>2</v>
      </c>
      <c r="E100" s="71">
        <v>3</v>
      </c>
      <c r="F100" s="71">
        <v>2001</v>
      </c>
      <c r="G100" s="71">
        <v>350</v>
      </c>
      <c r="H100" s="71">
        <v>2500</v>
      </c>
      <c r="I100" s="76">
        <v>0</v>
      </c>
      <c r="J100" s="71">
        <v>160000</v>
      </c>
      <c r="K100" s="71">
        <v>1019002</v>
      </c>
      <c r="L100" s="71" t="s">
        <v>374</v>
      </c>
      <c r="M100" s="77" t="s">
        <v>375</v>
      </c>
      <c r="N100" s="71" t="s">
        <v>372</v>
      </c>
      <c r="O100" s="71"/>
      <c r="P100" s="71"/>
      <c r="Q100" s="71" t="s">
        <v>60</v>
      </c>
      <c r="R100" s="71">
        <v>0</v>
      </c>
      <c r="S100" s="74">
        <v>1019002</v>
      </c>
      <c r="T100" s="78">
        <v>0</v>
      </c>
      <c r="U100" s="78">
        <v>1014</v>
      </c>
      <c r="V100" s="78" t="s">
        <v>376</v>
      </c>
      <c r="W100" s="71">
        <v>0</v>
      </c>
      <c r="X100" s="71">
        <v>0</v>
      </c>
      <c r="Y100" s="71">
        <v>0</v>
      </c>
      <c r="Z100" s="71">
        <v>0</v>
      </c>
    </row>
    <row r="101" spans="1:26">
      <c r="A101" s="71">
        <v>1019101</v>
      </c>
      <c r="B101" s="71" t="s">
        <v>377</v>
      </c>
      <c r="C101" s="71"/>
      <c r="D101" s="71">
        <v>1</v>
      </c>
      <c r="E101" s="71">
        <v>3</v>
      </c>
      <c r="F101" s="71">
        <v>1001</v>
      </c>
      <c r="G101" s="71">
        <v>350</v>
      </c>
      <c r="H101" s="71">
        <v>10000</v>
      </c>
      <c r="I101" s="76">
        <v>0</v>
      </c>
      <c r="J101" s="71">
        <v>10000</v>
      </c>
      <c r="K101" s="71">
        <v>0</v>
      </c>
      <c r="L101" s="71" t="s">
        <v>377</v>
      </c>
      <c r="M101" s="77"/>
      <c r="N101" s="71" t="s">
        <v>377</v>
      </c>
      <c r="O101" s="71"/>
      <c r="P101" s="71"/>
      <c r="Q101" s="71" t="s">
        <v>227</v>
      </c>
      <c r="R101" s="71">
        <v>0</v>
      </c>
      <c r="S101" s="74">
        <v>0</v>
      </c>
      <c r="T101" s="78">
        <v>0</v>
      </c>
      <c r="U101" s="78">
        <v>1014</v>
      </c>
      <c r="V101" s="78">
        <v>700</v>
      </c>
      <c r="W101" s="71">
        <v>1019001</v>
      </c>
      <c r="X101" s="71">
        <v>400</v>
      </c>
      <c r="Y101" s="71">
        <v>350</v>
      </c>
      <c r="Z101" s="71">
        <v>0</v>
      </c>
    </row>
    <row r="102" spans="1:26">
      <c r="A102" s="71">
        <v>1019102</v>
      </c>
      <c r="B102" s="71" t="s">
        <v>111</v>
      </c>
      <c r="C102" s="25" t="s">
        <v>378</v>
      </c>
      <c r="D102" s="71">
        <v>2</v>
      </c>
      <c r="E102" s="71">
        <v>3</v>
      </c>
      <c r="F102" s="71">
        <v>2001</v>
      </c>
      <c r="G102" s="71">
        <v>350</v>
      </c>
      <c r="H102" s="71">
        <v>1250</v>
      </c>
      <c r="I102" s="76">
        <v>0</v>
      </c>
      <c r="J102" s="71">
        <v>160000</v>
      </c>
      <c r="K102" s="71">
        <v>1019102</v>
      </c>
      <c r="L102" s="71" t="s">
        <v>379</v>
      </c>
      <c r="M102" s="77" t="s">
        <v>380</v>
      </c>
      <c r="N102" s="71" t="s">
        <v>111</v>
      </c>
      <c r="O102" s="71"/>
      <c r="P102" s="71"/>
      <c r="Q102" s="71" t="s">
        <v>60</v>
      </c>
      <c r="R102" s="71">
        <v>0</v>
      </c>
      <c r="S102" s="74">
        <v>1019102</v>
      </c>
      <c r="T102" s="78">
        <v>500</v>
      </c>
      <c r="U102" s="78">
        <v>1014</v>
      </c>
      <c r="V102" s="78" t="s">
        <v>381</v>
      </c>
      <c r="W102" s="71">
        <v>0</v>
      </c>
      <c r="X102" s="71">
        <v>0</v>
      </c>
      <c r="Y102" s="71">
        <v>0</v>
      </c>
      <c r="Z102" s="71">
        <v>5003002</v>
      </c>
    </row>
    <row r="103" spans="1:26">
      <c r="A103" s="71">
        <v>1019201</v>
      </c>
      <c r="B103" s="71" t="s">
        <v>382</v>
      </c>
      <c r="C103" s="71"/>
      <c r="D103" s="71">
        <v>1</v>
      </c>
      <c r="E103" s="71">
        <v>3</v>
      </c>
      <c r="F103" s="71">
        <v>1001</v>
      </c>
      <c r="G103" s="71">
        <v>350</v>
      </c>
      <c r="H103" s="71">
        <v>10000</v>
      </c>
      <c r="I103" s="76">
        <v>0</v>
      </c>
      <c r="J103" s="71">
        <v>10000</v>
      </c>
      <c r="K103" s="71">
        <v>0</v>
      </c>
      <c r="L103" s="71" t="s">
        <v>382</v>
      </c>
      <c r="M103" s="77"/>
      <c r="N103" s="71" t="s">
        <v>382</v>
      </c>
      <c r="O103" s="71"/>
      <c r="P103" s="71"/>
      <c r="Q103" s="71" t="s">
        <v>227</v>
      </c>
      <c r="R103" s="71">
        <v>0</v>
      </c>
      <c r="S103" s="74">
        <v>0</v>
      </c>
      <c r="T103" s="78">
        <v>0</v>
      </c>
      <c r="U103" s="78">
        <v>1014</v>
      </c>
      <c r="V103" s="78">
        <v>700</v>
      </c>
      <c r="W103" s="71">
        <v>1019001</v>
      </c>
      <c r="X103" s="71">
        <v>400</v>
      </c>
      <c r="Y103" s="71">
        <v>350</v>
      </c>
      <c r="Z103" s="71">
        <v>0</v>
      </c>
    </row>
    <row r="104" spans="1:26">
      <c r="A104" s="71">
        <v>1019202</v>
      </c>
      <c r="B104" s="71" t="s">
        <v>383</v>
      </c>
      <c r="C104" s="25" t="s">
        <v>384</v>
      </c>
      <c r="D104" s="71">
        <v>2</v>
      </c>
      <c r="E104" s="71">
        <v>3</v>
      </c>
      <c r="F104" s="71">
        <v>2002</v>
      </c>
      <c r="G104" s="71">
        <v>350</v>
      </c>
      <c r="H104" s="71">
        <v>10000</v>
      </c>
      <c r="I104" s="76">
        <v>0</v>
      </c>
      <c r="J104" s="71">
        <v>160000</v>
      </c>
      <c r="K104" s="71">
        <v>1019202</v>
      </c>
      <c r="L104" s="71" t="s">
        <v>385</v>
      </c>
      <c r="M104" s="77" t="s">
        <v>386</v>
      </c>
      <c r="N104" s="71" t="s">
        <v>383</v>
      </c>
      <c r="O104" s="71"/>
      <c r="P104" s="71"/>
      <c r="Q104" s="71" t="s">
        <v>60</v>
      </c>
      <c r="R104" s="71">
        <v>0</v>
      </c>
      <c r="S104" s="74">
        <v>1019202</v>
      </c>
      <c r="T104" s="78">
        <v>1700</v>
      </c>
      <c r="U104" s="78">
        <v>1014</v>
      </c>
      <c r="V104" s="78">
        <v>1850</v>
      </c>
      <c r="W104" s="71">
        <v>0</v>
      </c>
      <c r="X104" s="71">
        <v>0</v>
      </c>
      <c r="Y104" s="71">
        <v>0</v>
      </c>
      <c r="Z104" s="71">
        <v>0</v>
      </c>
    </row>
    <row r="105" spans="1:26">
      <c r="A105" s="71">
        <v>1021001</v>
      </c>
      <c r="B105" s="71" t="s">
        <v>387</v>
      </c>
      <c r="C105" s="71"/>
      <c r="D105" s="71">
        <v>1</v>
      </c>
      <c r="E105" s="71">
        <v>3</v>
      </c>
      <c r="F105" s="71">
        <v>1001</v>
      </c>
      <c r="G105" s="71">
        <v>350</v>
      </c>
      <c r="H105" s="71">
        <v>10000</v>
      </c>
      <c r="I105" s="76">
        <v>0</v>
      </c>
      <c r="J105" s="71">
        <v>10000</v>
      </c>
      <c r="K105" s="71">
        <v>0</v>
      </c>
      <c r="L105" s="71" t="s">
        <v>387</v>
      </c>
      <c r="M105" s="77"/>
      <c r="N105" s="71" t="s">
        <v>387</v>
      </c>
      <c r="O105" s="71"/>
      <c r="P105" s="71"/>
      <c r="Q105" s="71" t="s">
        <v>227</v>
      </c>
      <c r="R105" s="71">
        <v>0</v>
      </c>
      <c r="S105" s="74">
        <v>0</v>
      </c>
      <c r="T105" s="71">
        <v>0</v>
      </c>
      <c r="U105" s="71">
        <v>1014</v>
      </c>
      <c r="V105" s="71">
        <v>700</v>
      </c>
      <c r="W105" s="71">
        <v>1021001</v>
      </c>
      <c r="X105" s="71">
        <v>400</v>
      </c>
      <c r="Y105" s="71">
        <v>350</v>
      </c>
      <c r="Z105" s="71">
        <v>0</v>
      </c>
    </row>
    <row r="106" spans="1:26">
      <c r="A106" s="71">
        <v>1021002</v>
      </c>
      <c r="B106" s="71" t="s">
        <v>388</v>
      </c>
      <c r="C106" s="25" t="s">
        <v>389</v>
      </c>
      <c r="D106" s="71">
        <v>2</v>
      </c>
      <c r="E106" s="71">
        <v>3</v>
      </c>
      <c r="F106" s="71">
        <v>2001</v>
      </c>
      <c r="G106" s="71">
        <v>350</v>
      </c>
      <c r="H106" s="71">
        <v>2500</v>
      </c>
      <c r="I106" s="76">
        <v>0</v>
      </c>
      <c r="J106" s="71">
        <v>55000</v>
      </c>
      <c r="K106" s="71">
        <v>1021002</v>
      </c>
      <c r="L106" s="71" t="s">
        <v>390</v>
      </c>
      <c r="M106" s="77" t="s">
        <v>391</v>
      </c>
      <c r="N106" s="71" t="s">
        <v>388</v>
      </c>
      <c r="O106" s="71"/>
      <c r="P106" s="71"/>
      <c r="Q106" s="71" t="s">
        <v>60</v>
      </c>
      <c r="R106" s="71">
        <v>0</v>
      </c>
      <c r="S106" s="74">
        <v>1021002</v>
      </c>
      <c r="T106" s="71">
        <v>1100</v>
      </c>
      <c r="U106" s="71">
        <v>1014</v>
      </c>
      <c r="V106" s="71" t="s">
        <v>392</v>
      </c>
      <c r="W106" s="71">
        <v>0</v>
      </c>
      <c r="X106" s="71">
        <v>0</v>
      </c>
      <c r="Y106" s="71">
        <v>0</v>
      </c>
      <c r="Z106" s="71">
        <v>0</v>
      </c>
    </row>
    <row r="107" spans="1:26">
      <c r="A107" s="71">
        <v>1021101</v>
      </c>
      <c r="B107" s="71" t="s">
        <v>393</v>
      </c>
      <c r="C107" s="71"/>
      <c r="D107" s="71">
        <v>1</v>
      </c>
      <c r="E107" s="71">
        <v>3</v>
      </c>
      <c r="F107" s="71">
        <v>1001</v>
      </c>
      <c r="G107" s="71">
        <v>350</v>
      </c>
      <c r="H107" s="71">
        <v>10000</v>
      </c>
      <c r="I107" s="76">
        <v>0</v>
      </c>
      <c r="J107" s="71">
        <v>10000</v>
      </c>
      <c r="K107" s="71">
        <v>0</v>
      </c>
      <c r="L107" s="71" t="s">
        <v>393</v>
      </c>
      <c r="M107" s="77"/>
      <c r="N107" s="71" t="s">
        <v>393</v>
      </c>
      <c r="O107" s="71"/>
      <c r="P107" s="71"/>
      <c r="Q107" s="71" t="s">
        <v>227</v>
      </c>
      <c r="R107" s="71">
        <v>0</v>
      </c>
      <c r="S107" s="74">
        <v>0</v>
      </c>
      <c r="T107" s="71">
        <v>0</v>
      </c>
      <c r="U107" s="71">
        <v>1014</v>
      </c>
      <c r="V107" s="71">
        <v>700</v>
      </c>
      <c r="W107" s="71">
        <v>1021001</v>
      </c>
      <c r="X107" s="71">
        <v>400</v>
      </c>
      <c r="Y107" s="71">
        <v>350</v>
      </c>
      <c r="Z107" s="71">
        <v>0</v>
      </c>
    </row>
    <row r="108" spans="1:26">
      <c r="A108" s="71">
        <v>1021102</v>
      </c>
      <c r="B108" s="71" t="s">
        <v>165</v>
      </c>
      <c r="C108" s="25" t="s">
        <v>394</v>
      </c>
      <c r="D108" s="71">
        <v>2</v>
      </c>
      <c r="E108" s="71">
        <v>3</v>
      </c>
      <c r="F108" s="71">
        <v>2001</v>
      </c>
      <c r="G108" s="71">
        <v>350</v>
      </c>
      <c r="H108" s="71">
        <v>2500</v>
      </c>
      <c r="I108" s="76">
        <v>0</v>
      </c>
      <c r="J108" s="71">
        <v>110000</v>
      </c>
      <c r="K108" s="71">
        <v>1021002</v>
      </c>
      <c r="L108" s="71" t="s">
        <v>395</v>
      </c>
      <c r="M108" s="77" t="s">
        <v>396</v>
      </c>
      <c r="N108" s="71" t="s">
        <v>165</v>
      </c>
      <c r="O108" s="71"/>
      <c r="P108" s="71"/>
      <c r="Q108" s="71" t="s">
        <v>60</v>
      </c>
      <c r="R108" s="71">
        <v>0</v>
      </c>
      <c r="S108" s="74">
        <v>1021102</v>
      </c>
      <c r="T108" s="71">
        <v>400</v>
      </c>
      <c r="U108" s="71">
        <v>1014</v>
      </c>
      <c r="V108" s="71" t="s">
        <v>397</v>
      </c>
      <c r="W108" s="71">
        <v>0</v>
      </c>
      <c r="X108" s="71">
        <v>0</v>
      </c>
      <c r="Y108" s="71">
        <v>0</v>
      </c>
      <c r="Z108" s="71">
        <v>5005003</v>
      </c>
    </row>
    <row r="109" spans="1:26">
      <c r="A109" s="71">
        <v>1022001</v>
      </c>
      <c r="B109" s="71" t="s">
        <v>398</v>
      </c>
      <c r="C109" s="71"/>
      <c r="D109" s="71">
        <v>1</v>
      </c>
      <c r="E109" s="71">
        <v>3</v>
      </c>
      <c r="F109" s="71">
        <v>1001</v>
      </c>
      <c r="G109" s="71">
        <v>350</v>
      </c>
      <c r="H109" s="71">
        <v>10000</v>
      </c>
      <c r="I109" s="76">
        <v>0</v>
      </c>
      <c r="J109" s="71">
        <v>10000</v>
      </c>
      <c r="K109" s="71">
        <v>0</v>
      </c>
      <c r="L109" s="71" t="s">
        <v>398</v>
      </c>
      <c r="M109" s="77"/>
      <c r="N109" s="71" t="s">
        <v>398</v>
      </c>
      <c r="O109" s="71"/>
      <c r="P109" s="71"/>
      <c r="Q109" s="71" t="s">
        <v>227</v>
      </c>
      <c r="R109" s="71">
        <v>0</v>
      </c>
      <c r="S109" s="74">
        <v>0</v>
      </c>
      <c r="T109" s="71">
        <v>0</v>
      </c>
      <c r="U109" s="71">
        <v>1014</v>
      </c>
      <c r="V109" s="71">
        <v>700</v>
      </c>
      <c r="W109" s="71">
        <v>1022001</v>
      </c>
      <c r="X109" s="71">
        <v>400</v>
      </c>
      <c r="Y109" s="71">
        <v>350</v>
      </c>
      <c r="Z109" s="71">
        <v>0</v>
      </c>
    </row>
    <row r="110" spans="1:26">
      <c r="A110" s="71">
        <v>1022002</v>
      </c>
      <c r="B110" s="71" t="s">
        <v>399</v>
      </c>
      <c r="C110" s="25" t="s">
        <v>400</v>
      </c>
      <c r="D110" s="71">
        <v>2</v>
      </c>
      <c r="E110" s="71">
        <v>3</v>
      </c>
      <c r="F110" s="71">
        <v>2001</v>
      </c>
      <c r="G110" s="71">
        <v>350</v>
      </c>
      <c r="H110" s="71">
        <v>10000</v>
      </c>
      <c r="I110" s="76">
        <v>0</v>
      </c>
      <c r="J110" s="71">
        <v>220000</v>
      </c>
      <c r="K110" s="71">
        <v>1022002</v>
      </c>
      <c r="L110" s="71" t="s">
        <v>401</v>
      </c>
      <c r="M110" s="77" t="s">
        <v>402</v>
      </c>
      <c r="N110" s="71" t="s">
        <v>399</v>
      </c>
      <c r="O110" s="71"/>
      <c r="P110" s="71"/>
      <c r="Q110" s="71" t="s">
        <v>60</v>
      </c>
      <c r="R110" s="71">
        <v>0</v>
      </c>
      <c r="S110" s="74">
        <v>1022002</v>
      </c>
      <c r="T110" s="71">
        <v>600</v>
      </c>
      <c r="U110" s="71">
        <v>1014</v>
      </c>
      <c r="V110" s="71">
        <v>700</v>
      </c>
      <c r="W110" s="71">
        <v>0</v>
      </c>
      <c r="X110" s="71">
        <v>0</v>
      </c>
      <c r="Y110" s="71">
        <v>0</v>
      </c>
      <c r="Z110" s="71">
        <v>0</v>
      </c>
    </row>
    <row r="111" spans="1:26">
      <c r="A111" s="71">
        <v>1022101</v>
      </c>
      <c r="B111" s="71" t="s">
        <v>403</v>
      </c>
      <c r="C111" s="71"/>
      <c r="D111" s="71">
        <v>1</v>
      </c>
      <c r="E111" s="71">
        <v>3</v>
      </c>
      <c r="F111" s="71">
        <v>1001</v>
      </c>
      <c r="G111" s="71">
        <v>350</v>
      </c>
      <c r="H111" s="71">
        <v>10000</v>
      </c>
      <c r="I111" s="76">
        <v>0</v>
      </c>
      <c r="J111" s="71">
        <v>10000</v>
      </c>
      <c r="K111" s="71">
        <v>0</v>
      </c>
      <c r="L111" s="71" t="s">
        <v>403</v>
      </c>
      <c r="M111" s="77"/>
      <c r="N111" s="71" t="s">
        <v>403</v>
      </c>
      <c r="O111" s="71"/>
      <c r="P111" s="71"/>
      <c r="Q111" s="71" t="s">
        <v>227</v>
      </c>
      <c r="R111" s="71">
        <v>0</v>
      </c>
      <c r="S111" s="74">
        <v>0</v>
      </c>
      <c r="T111" s="71">
        <v>0</v>
      </c>
      <c r="U111" s="71">
        <v>1014</v>
      </c>
      <c r="V111" s="71">
        <v>600</v>
      </c>
      <c r="W111" s="71">
        <v>1022001</v>
      </c>
      <c r="X111" s="71">
        <v>300</v>
      </c>
      <c r="Y111" s="71">
        <v>350</v>
      </c>
      <c r="Z111" s="71">
        <v>0</v>
      </c>
    </row>
    <row r="112" spans="1:26">
      <c r="A112" s="71">
        <v>1022102</v>
      </c>
      <c r="B112" s="71" t="s">
        <v>404</v>
      </c>
      <c r="C112" s="25" t="s">
        <v>405</v>
      </c>
      <c r="D112" s="71">
        <v>2</v>
      </c>
      <c r="E112" s="71">
        <v>3</v>
      </c>
      <c r="F112" s="71">
        <v>2001</v>
      </c>
      <c r="G112" s="71">
        <v>350</v>
      </c>
      <c r="H112" s="71">
        <v>1670</v>
      </c>
      <c r="I112" s="76">
        <v>0</v>
      </c>
      <c r="J112" s="71">
        <v>220000</v>
      </c>
      <c r="K112" s="71">
        <v>1022002</v>
      </c>
      <c r="L112" s="71" t="s">
        <v>406</v>
      </c>
      <c r="M112" s="77" t="s">
        <v>407</v>
      </c>
      <c r="N112" s="71" t="s">
        <v>404</v>
      </c>
      <c r="O112" s="71"/>
      <c r="P112" s="71"/>
      <c r="Q112" s="71" t="s">
        <v>60</v>
      </c>
      <c r="R112" s="71">
        <v>0</v>
      </c>
      <c r="S112" s="74">
        <v>1022002</v>
      </c>
      <c r="T112" s="71">
        <v>700</v>
      </c>
      <c r="U112" s="71">
        <v>1014</v>
      </c>
      <c r="V112" s="71" t="s">
        <v>408</v>
      </c>
      <c r="W112" s="71">
        <v>0</v>
      </c>
      <c r="X112" s="71">
        <v>0</v>
      </c>
      <c r="Y112" s="71">
        <v>0</v>
      </c>
      <c r="Z112" s="71">
        <v>0</v>
      </c>
    </row>
    <row r="113" spans="1:26">
      <c r="A113" s="71">
        <v>1023001</v>
      </c>
      <c r="B113" s="71" t="s">
        <v>409</v>
      </c>
      <c r="C113" s="71"/>
      <c r="D113" s="71">
        <v>1</v>
      </c>
      <c r="E113" s="71">
        <v>3</v>
      </c>
      <c r="F113" s="71">
        <v>1001</v>
      </c>
      <c r="G113" s="71">
        <v>350</v>
      </c>
      <c r="H113" s="71">
        <v>10000</v>
      </c>
      <c r="I113" s="76">
        <v>0</v>
      </c>
      <c r="J113" s="71">
        <v>10000</v>
      </c>
      <c r="K113" s="71">
        <v>0</v>
      </c>
      <c r="L113" s="71" t="s">
        <v>409</v>
      </c>
      <c r="M113" s="77"/>
      <c r="N113" s="71" t="s">
        <v>409</v>
      </c>
      <c r="O113" s="71"/>
      <c r="P113" s="71"/>
      <c r="Q113" s="71" t="s">
        <v>227</v>
      </c>
      <c r="R113" s="71">
        <v>0</v>
      </c>
      <c r="S113" s="74">
        <v>0</v>
      </c>
      <c r="T113" s="71">
        <v>0</v>
      </c>
      <c r="U113" s="71">
        <v>1012</v>
      </c>
      <c r="V113" s="71">
        <v>700</v>
      </c>
      <c r="W113" s="71">
        <v>1023001</v>
      </c>
      <c r="X113" s="71">
        <v>400</v>
      </c>
      <c r="Y113" s="71">
        <v>350</v>
      </c>
      <c r="Z113" s="71">
        <v>0</v>
      </c>
    </row>
    <row r="114" spans="1:26">
      <c r="A114" s="71">
        <v>1023002</v>
      </c>
      <c r="B114" s="71" t="s">
        <v>410</v>
      </c>
      <c r="C114" s="25" t="s">
        <v>411</v>
      </c>
      <c r="D114" s="71">
        <v>2</v>
      </c>
      <c r="E114" s="71">
        <v>3</v>
      </c>
      <c r="F114" s="71">
        <v>2001</v>
      </c>
      <c r="G114" s="71">
        <v>350</v>
      </c>
      <c r="H114" s="71">
        <v>1430</v>
      </c>
      <c r="I114" s="76">
        <v>0</v>
      </c>
      <c r="J114" s="71">
        <v>140000</v>
      </c>
      <c r="K114" s="71">
        <v>1023002</v>
      </c>
      <c r="L114" s="71" t="s">
        <v>412</v>
      </c>
      <c r="M114" s="77" t="s">
        <v>413</v>
      </c>
      <c r="N114" s="71" t="s">
        <v>410</v>
      </c>
      <c r="O114" s="71"/>
      <c r="P114" s="71"/>
      <c r="Q114" s="71" t="s">
        <v>60</v>
      </c>
      <c r="R114" s="71">
        <v>0</v>
      </c>
      <c r="S114" s="74">
        <v>1023002</v>
      </c>
      <c r="T114" s="71">
        <v>800</v>
      </c>
      <c r="U114" s="71">
        <v>1012</v>
      </c>
      <c r="V114" s="71" t="s">
        <v>414</v>
      </c>
      <c r="W114" s="71">
        <v>0</v>
      </c>
      <c r="X114" s="71">
        <v>0</v>
      </c>
      <c r="Y114" s="71">
        <v>0</v>
      </c>
      <c r="Z114" s="71">
        <v>0</v>
      </c>
    </row>
    <row r="115" spans="1:26">
      <c r="A115" s="71">
        <v>1023101</v>
      </c>
      <c r="B115" s="71" t="s">
        <v>415</v>
      </c>
      <c r="C115" s="71"/>
      <c r="D115" s="71">
        <v>1</v>
      </c>
      <c r="E115" s="71">
        <v>3</v>
      </c>
      <c r="F115" s="71">
        <v>1001</v>
      </c>
      <c r="G115" s="71">
        <v>350</v>
      </c>
      <c r="H115" s="71">
        <v>10000</v>
      </c>
      <c r="I115" s="76">
        <v>0</v>
      </c>
      <c r="J115" s="71">
        <v>10000</v>
      </c>
      <c r="K115" s="71">
        <v>0</v>
      </c>
      <c r="L115" s="71" t="s">
        <v>415</v>
      </c>
      <c r="M115" s="77"/>
      <c r="N115" s="71" t="s">
        <v>415</v>
      </c>
      <c r="O115" s="71"/>
      <c r="P115" s="71"/>
      <c r="Q115" s="71" t="s">
        <v>227</v>
      </c>
      <c r="R115" s="71">
        <v>0</v>
      </c>
      <c r="S115" s="74">
        <v>0</v>
      </c>
      <c r="T115" s="71">
        <v>0</v>
      </c>
      <c r="U115" s="71">
        <v>1012</v>
      </c>
      <c r="V115" s="71">
        <v>600</v>
      </c>
      <c r="W115" s="71">
        <v>1023001</v>
      </c>
      <c r="X115" s="71">
        <v>300</v>
      </c>
      <c r="Y115" s="71">
        <v>350</v>
      </c>
      <c r="Z115" s="71">
        <v>0</v>
      </c>
    </row>
    <row r="116" spans="1:26">
      <c r="A116" s="71">
        <v>1023102</v>
      </c>
      <c r="B116" s="71" t="s">
        <v>169</v>
      </c>
      <c r="C116" s="25" t="s">
        <v>416</v>
      </c>
      <c r="D116" s="71">
        <v>2</v>
      </c>
      <c r="E116" s="71">
        <v>3</v>
      </c>
      <c r="F116" s="71">
        <v>2001</v>
      </c>
      <c r="G116" s="71">
        <v>350</v>
      </c>
      <c r="H116" s="71">
        <v>1430</v>
      </c>
      <c r="I116" s="76">
        <v>0</v>
      </c>
      <c r="J116" s="71">
        <v>140000</v>
      </c>
      <c r="K116" s="71">
        <v>1023002</v>
      </c>
      <c r="L116" s="71" t="s">
        <v>417</v>
      </c>
      <c r="M116" s="77" t="s">
        <v>418</v>
      </c>
      <c r="N116" s="71" t="s">
        <v>169</v>
      </c>
      <c r="O116" s="71"/>
      <c r="P116" s="71"/>
      <c r="Q116" s="71" t="s">
        <v>60</v>
      </c>
      <c r="R116" s="71">
        <v>0</v>
      </c>
      <c r="S116" s="74">
        <v>1023102</v>
      </c>
      <c r="T116" s="71">
        <v>0</v>
      </c>
      <c r="U116" s="71">
        <v>1012</v>
      </c>
      <c r="V116" s="71" t="s">
        <v>419</v>
      </c>
      <c r="W116" s="71">
        <v>0</v>
      </c>
      <c r="X116" s="71">
        <v>0</v>
      </c>
      <c r="Y116" s="71">
        <v>0</v>
      </c>
      <c r="Z116" s="71">
        <v>5005004</v>
      </c>
    </row>
    <row r="117" spans="1:26">
      <c r="A117" s="71">
        <v>1025001</v>
      </c>
      <c r="B117" s="71" t="s">
        <v>420</v>
      </c>
      <c r="C117" s="71"/>
      <c r="D117" s="71">
        <v>1</v>
      </c>
      <c r="E117" s="71">
        <v>3</v>
      </c>
      <c r="F117" s="71">
        <v>1001</v>
      </c>
      <c r="G117" s="71">
        <v>350</v>
      </c>
      <c r="H117" s="71">
        <v>10000</v>
      </c>
      <c r="I117" s="76">
        <v>0</v>
      </c>
      <c r="J117" s="71">
        <v>10000</v>
      </c>
      <c r="K117" s="71">
        <v>0</v>
      </c>
      <c r="L117" s="71" t="s">
        <v>420</v>
      </c>
      <c r="M117" s="77"/>
      <c r="N117" s="71" t="s">
        <v>420</v>
      </c>
      <c r="O117" s="71"/>
      <c r="P117" s="71"/>
      <c r="Q117" s="71" t="s">
        <v>227</v>
      </c>
      <c r="R117" s="71">
        <v>0</v>
      </c>
      <c r="S117" s="74">
        <v>0</v>
      </c>
      <c r="T117" s="71">
        <v>0</v>
      </c>
      <c r="U117" s="71">
        <v>1012</v>
      </c>
      <c r="V117" s="71">
        <v>700</v>
      </c>
      <c r="W117" s="71">
        <v>1025001</v>
      </c>
      <c r="X117" s="71">
        <v>400</v>
      </c>
      <c r="Y117" s="71">
        <v>350</v>
      </c>
      <c r="Z117" s="71">
        <v>0</v>
      </c>
    </row>
    <row r="118" spans="1:26">
      <c r="A118" s="71">
        <v>1025002</v>
      </c>
      <c r="B118" s="71" t="s">
        <v>421</v>
      </c>
      <c r="C118" s="25" t="s">
        <v>422</v>
      </c>
      <c r="D118" s="71">
        <v>2</v>
      </c>
      <c r="E118" s="71">
        <v>3</v>
      </c>
      <c r="F118" s="71">
        <v>2001</v>
      </c>
      <c r="G118" s="71">
        <v>350</v>
      </c>
      <c r="H118" s="71">
        <v>10000</v>
      </c>
      <c r="I118" s="76">
        <v>0</v>
      </c>
      <c r="J118" s="71">
        <v>140000</v>
      </c>
      <c r="K118" s="71">
        <v>1025002</v>
      </c>
      <c r="L118" s="71" t="s">
        <v>423</v>
      </c>
      <c r="M118" s="77" t="s">
        <v>424</v>
      </c>
      <c r="N118" s="71" t="s">
        <v>421</v>
      </c>
      <c r="O118" s="71"/>
      <c r="P118" s="71"/>
      <c r="Q118" s="71" t="s">
        <v>60</v>
      </c>
      <c r="R118" s="71">
        <v>0</v>
      </c>
      <c r="S118" s="74">
        <v>1025002</v>
      </c>
      <c r="T118" s="71">
        <v>400</v>
      </c>
      <c r="U118" s="71">
        <v>1012</v>
      </c>
      <c r="V118" s="71">
        <v>1000</v>
      </c>
      <c r="W118" s="71">
        <v>0</v>
      </c>
      <c r="X118" s="71">
        <v>0</v>
      </c>
      <c r="Y118" s="71">
        <v>0</v>
      </c>
      <c r="Z118" s="71">
        <v>0</v>
      </c>
    </row>
    <row r="119" spans="1:26">
      <c r="A119" s="71">
        <v>1025101</v>
      </c>
      <c r="B119" s="71" t="s">
        <v>425</v>
      </c>
      <c r="C119" s="71"/>
      <c r="D119" s="71">
        <v>1</v>
      </c>
      <c r="E119" s="71">
        <v>3</v>
      </c>
      <c r="F119" s="71">
        <v>1001</v>
      </c>
      <c r="G119" s="71">
        <v>350</v>
      </c>
      <c r="H119" s="71">
        <v>10000</v>
      </c>
      <c r="I119" s="76">
        <v>0</v>
      </c>
      <c r="J119" s="71">
        <v>10000</v>
      </c>
      <c r="K119" s="71">
        <v>0</v>
      </c>
      <c r="L119" s="71" t="s">
        <v>425</v>
      </c>
      <c r="M119" s="77"/>
      <c r="N119" s="71" t="s">
        <v>425</v>
      </c>
      <c r="O119" s="71"/>
      <c r="P119" s="71"/>
      <c r="Q119" s="71" t="s">
        <v>227</v>
      </c>
      <c r="R119" s="71">
        <v>0</v>
      </c>
      <c r="S119" s="74">
        <v>0</v>
      </c>
      <c r="T119" s="71">
        <v>0</v>
      </c>
      <c r="U119" s="71">
        <v>1012</v>
      </c>
      <c r="V119" s="71">
        <v>700</v>
      </c>
      <c r="W119" s="71">
        <v>1025001</v>
      </c>
      <c r="X119" s="71">
        <v>400</v>
      </c>
      <c r="Y119" s="71">
        <v>350</v>
      </c>
      <c r="Z119" s="71">
        <v>0</v>
      </c>
    </row>
    <row r="120" spans="1:26">
      <c r="A120" s="71">
        <v>1025102</v>
      </c>
      <c r="B120" s="71" t="s">
        <v>149</v>
      </c>
      <c r="C120" s="25" t="s">
        <v>426</v>
      </c>
      <c r="D120" s="71">
        <v>2</v>
      </c>
      <c r="E120" s="71">
        <v>3</v>
      </c>
      <c r="F120" s="71">
        <v>2001</v>
      </c>
      <c r="G120" s="71">
        <v>350</v>
      </c>
      <c r="H120" s="71">
        <v>2500</v>
      </c>
      <c r="I120" s="76">
        <v>0</v>
      </c>
      <c r="J120" s="71">
        <v>140000</v>
      </c>
      <c r="K120" s="71">
        <v>1025102</v>
      </c>
      <c r="L120" s="71" t="s">
        <v>427</v>
      </c>
      <c r="M120" s="77" t="s">
        <v>428</v>
      </c>
      <c r="N120" s="71" t="s">
        <v>149</v>
      </c>
      <c r="O120" s="71"/>
      <c r="P120" s="71"/>
      <c r="Q120" s="71" t="s">
        <v>60</v>
      </c>
      <c r="R120" s="71">
        <v>0</v>
      </c>
      <c r="S120" s="74">
        <v>1025102</v>
      </c>
      <c r="T120" s="71">
        <v>0</v>
      </c>
      <c r="U120" s="71">
        <v>1012</v>
      </c>
      <c r="V120" s="71" t="s">
        <v>429</v>
      </c>
      <c r="W120" s="71">
        <v>0</v>
      </c>
      <c r="X120" s="71">
        <v>0</v>
      </c>
      <c r="Y120" s="71">
        <v>0</v>
      </c>
      <c r="Z120" s="71">
        <v>5004005</v>
      </c>
    </row>
    <row r="121" spans="1:26">
      <c r="A121" s="71">
        <v>1026001</v>
      </c>
      <c r="B121" s="71" t="s">
        <v>430</v>
      </c>
      <c r="C121" s="71"/>
      <c r="D121" s="71">
        <v>1</v>
      </c>
      <c r="E121" s="71">
        <v>3</v>
      </c>
      <c r="F121" s="71">
        <v>1001</v>
      </c>
      <c r="G121" s="71">
        <v>350</v>
      </c>
      <c r="H121" s="71">
        <v>10000</v>
      </c>
      <c r="I121" s="76">
        <v>0</v>
      </c>
      <c r="J121" s="71">
        <v>10000</v>
      </c>
      <c r="K121" s="71">
        <v>0</v>
      </c>
      <c r="L121" s="71" t="s">
        <v>430</v>
      </c>
      <c r="M121" s="77"/>
      <c r="N121" s="71" t="s">
        <v>430</v>
      </c>
      <c r="O121" s="71"/>
      <c r="P121" s="71"/>
      <c r="Q121" s="71" t="s">
        <v>227</v>
      </c>
      <c r="R121" s="71">
        <v>0</v>
      </c>
      <c r="S121" s="74">
        <v>0</v>
      </c>
      <c r="T121" s="71">
        <v>0</v>
      </c>
      <c r="U121" s="71">
        <v>1012</v>
      </c>
      <c r="V121" s="71">
        <v>800</v>
      </c>
      <c r="W121" s="71">
        <v>1026001</v>
      </c>
      <c r="X121" s="71">
        <v>500</v>
      </c>
      <c r="Y121" s="71">
        <v>350</v>
      </c>
      <c r="Z121" s="71">
        <v>0</v>
      </c>
    </row>
    <row r="122" spans="1:26">
      <c r="A122" s="71">
        <v>1026002</v>
      </c>
      <c r="B122" s="71" t="s">
        <v>431</v>
      </c>
      <c r="C122" s="25" t="s">
        <v>432</v>
      </c>
      <c r="D122" s="71">
        <v>2</v>
      </c>
      <c r="E122" s="71">
        <v>3</v>
      </c>
      <c r="F122" s="71">
        <v>2001</v>
      </c>
      <c r="G122" s="71">
        <v>350</v>
      </c>
      <c r="H122" s="71">
        <v>10000</v>
      </c>
      <c r="I122" s="76">
        <v>0</v>
      </c>
      <c r="J122" s="71">
        <v>160000</v>
      </c>
      <c r="K122" s="71">
        <v>1026002</v>
      </c>
      <c r="L122" s="71" t="s">
        <v>433</v>
      </c>
      <c r="M122" s="77" t="s">
        <v>434</v>
      </c>
      <c r="N122" s="71" t="s">
        <v>431</v>
      </c>
      <c r="O122" s="71"/>
      <c r="P122" s="71"/>
      <c r="Q122" s="71" t="s">
        <v>60</v>
      </c>
      <c r="R122" s="71">
        <v>0</v>
      </c>
      <c r="S122" s="74">
        <v>1026002</v>
      </c>
      <c r="T122" s="71">
        <v>500</v>
      </c>
      <c r="U122" s="71">
        <v>1012</v>
      </c>
      <c r="V122" s="71">
        <v>1450</v>
      </c>
      <c r="W122" s="71">
        <v>0</v>
      </c>
      <c r="X122" s="71">
        <v>0</v>
      </c>
      <c r="Y122" s="71">
        <v>0</v>
      </c>
      <c r="Z122" s="71">
        <v>0</v>
      </c>
    </row>
    <row r="123" spans="1:26">
      <c r="A123" s="71">
        <v>1027001</v>
      </c>
      <c r="B123" s="71" t="s">
        <v>435</v>
      </c>
      <c r="C123" s="71"/>
      <c r="D123" s="71">
        <v>1</v>
      </c>
      <c r="E123" s="71">
        <v>3</v>
      </c>
      <c r="F123" s="71">
        <v>1001</v>
      </c>
      <c r="G123" s="71">
        <v>350</v>
      </c>
      <c r="H123" s="71">
        <v>10000</v>
      </c>
      <c r="I123" s="76">
        <v>0</v>
      </c>
      <c r="J123" s="71">
        <v>10000</v>
      </c>
      <c r="K123" s="71">
        <v>0</v>
      </c>
      <c r="L123" s="71" t="s">
        <v>435</v>
      </c>
      <c r="M123" s="77"/>
      <c r="N123" s="71" t="s">
        <v>435</v>
      </c>
      <c r="O123" s="71"/>
      <c r="P123" s="71"/>
      <c r="Q123" s="71" t="s">
        <v>227</v>
      </c>
      <c r="R123" s="71">
        <v>0</v>
      </c>
      <c r="S123" s="74">
        <v>0</v>
      </c>
      <c r="T123" s="71">
        <v>0</v>
      </c>
      <c r="U123" s="71">
        <v>1012</v>
      </c>
      <c r="V123" s="71">
        <v>700</v>
      </c>
      <c r="W123" s="71">
        <v>1027001</v>
      </c>
      <c r="X123" s="71">
        <v>400</v>
      </c>
      <c r="Y123" s="71">
        <v>350</v>
      </c>
      <c r="Z123" s="71">
        <v>0</v>
      </c>
    </row>
    <row r="124" s="65" customFormat="1" spans="1:26">
      <c r="A124" s="71">
        <v>1027002</v>
      </c>
      <c r="B124" s="71" t="s">
        <v>436</v>
      </c>
      <c r="C124" s="25" t="s">
        <v>437</v>
      </c>
      <c r="D124" s="71">
        <v>2</v>
      </c>
      <c r="E124" s="71">
        <v>3</v>
      </c>
      <c r="F124" s="71">
        <v>2001</v>
      </c>
      <c r="G124" s="71">
        <v>350</v>
      </c>
      <c r="H124" s="71">
        <v>10000</v>
      </c>
      <c r="I124" s="76">
        <v>0</v>
      </c>
      <c r="J124" s="71">
        <v>160000</v>
      </c>
      <c r="K124" s="71">
        <v>1027002</v>
      </c>
      <c r="L124" s="71" t="s">
        <v>438</v>
      </c>
      <c r="M124" s="77" t="s">
        <v>439</v>
      </c>
      <c r="N124" s="71" t="s">
        <v>436</v>
      </c>
      <c r="O124" s="71"/>
      <c r="P124" s="71"/>
      <c r="Q124" s="71" t="s">
        <v>60</v>
      </c>
      <c r="R124" s="71">
        <v>0</v>
      </c>
      <c r="S124" s="74">
        <v>1027002</v>
      </c>
      <c r="T124" s="71">
        <v>500</v>
      </c>
      <c r="U124" s="71">
        <v>1012</v>
      </c>
      <c r="V124" s="71">
        <v>1300</v>
      </c>
      <c r="W124" s="71">
        <v>0</v>
      </c>
      <c r="X124" s="71">
        <v>0</v>
      </c>
      <c r="Y124" s="71">
        <v>0</v>
      </c>
      <c r="Z124" s="71">
        <v>0</v>
      </c>
    </row>
    <row r="125" spans="1:26">
      <c r="A125" s="71">
        <v>1027101</v>
      </c>
      <c r="B125" s="71" t="s">
        <v>440</v>
      </c>
      <c r="C125" s="71"/>
      <c r="D125" s="71">
        <v>1</v>
      </c>
      <c r="E125" s="71">
        <v>3</v>
      </c>
      <c r="F125" s="71">
        <v>1001</v>
      </c>
      <c r="G125" s="71">
        <v>350</v>
      </c>
      <c r="H125" s="71">
        <v>10000</v>
      </c>
      <c r="I125" s="76">
        <v>0</v>
      </c>
      <c r="J125" s="71">
        <v>10000</v>
      </c>
      <c r="K125" s="71">
        <v>0</v>
      </c>
      <c r="L125" s="71" t="s">
        <v>440</v>
      </c>
      <c r="M125" s="77"/>
      <c r="N125" s="71" t="s">
        <v>440</v>
      </c>
      <c r="O125" s="71"/>
      <c r="P125" s="71"/>
      <c r="Q125" s="71" t="s">
        <v>227</v>
      </c>
      <c r="R125" s="71">
        <v>0</v>
      </c>
      <c r="S125" s="74">
        <v>0</v>
      </c>
      <c r="T125" s="71">
        <v>0</v>
      </c>
      <c r="U125" s="71">
        <v>1012</v>
      </c>
      <c r="V125" s="71">
        <v>700</v>
      </c>
      <c r="W125" s="71">
        <v>1027001</v>
      </c>
      <c r="X125" s="71">
        <v>400</v>
      </c>
      <c r="Y125" s="71">
        <v>350</v>
      </c>
      <c r="Z125" s="71">
        <v>0</v>
      </c>
    </row>
    <row r="126" s="65" customFormat="1" spans="1:26">
      <c r="A126" s="71">
        <v>1027102</v>
      </c>
      <c r="B126" s="71" t="s">
        <v>441</v>
      </c>
      <c r="C126" s="25" t="s">
        <v>442</v>
      </c>
      <c r="D126" s="71">
        <v>2</v>
      </c>
      <c r="E126" s="71">
        <v>3</v>
      </c>
      <c r="F126" s="71">
        <v>2001</v>
      </c>
      <c r="G126" s="71">
        <v>350</v>
      </c>
      <c r="H126" s="71">
        <v>10000</v>
      </c>
      <c r="I126" s="76">
        <v>0</v>
      </c>
      <c r="J126" s="71">
        <v>160000</v>
      </c>
      <c r="K126" s="71">
        <v>1027002</v>
      </c>
      <c r="L126" s="71" t="s">
        <v>443</v>
      </c>
      <c r="M126" s="77" t="s">
        <v>444</v>
      </c>
      <c r="N126" s="71" t="s">
        <v>441</v>
      </c>
      <c r="O126" s="71"/>
      <c r="P126" s="71"/>
      <c r="Q126" s="71" t="s">
        <v>60</v>
      </c>
      <c r="R126" s="71">
        <v>0</v>
      </c>
      <c r="S126" s="74">
        <v>1027002</v>
      </c>
      <c r="T126" s="71">
        <v>500</v>
      </c>
      <c r="U126" s="71">
        <v>1012</v>
      </c>
      <c r="V126" s="71">
        <v>1300</v>
      </c>
      <c r="W126" s="71">
        <v>0</v>
      </c>
      <c r="X126" s="71">
        <v>0</v>
      </c>
      <c r="Y126" s="71">
        <v>0</v>
      </c>
      <c r="Z126" s="71">
        <v>0</v>
      </c>
    </row>
    <row r="127" spans="1:26">
      <c r="A127" s="71">
        <v>1030001</v>
      </c>
      <c r="B127" s="71" t="s">
        <v>445</v>
      </c>
      <c r="C127" s="71"/>
      <c r="D127" s="71">
        <v>1</v>
      </c>
      <c r="E127" s="71">
        <v>3</v>
      </c>
      <c r="F127" s="71">
        <v>1001</v>
      </c>
      <c r="G127" s="71">
        <v>350</v>
      </c>
      <c r="H127" s="71">
        <v>10000</v>
      </c>
      <c r="I127" s="76">
        <v>0</v>
      </c>
      <c r="J127" s="71">
        <v>10000</v>
      </c>
      <c r="K127" s="71">
        <v>0</v>
      </c>
      <c r="L127" s="71" t="s">
        <v>445</v>
      </c>
      <c r="M127" s="77"/>
      <c r="N127" s="71" t="s">
        <v>445</v>
      </c>
      <c r="O127" s="71"/>
      <c r="P127" s="71"/>
      <c r="Q127" s="71" t="s">
        <v>227</v>
      </c>
      <c r="R127" s="71">
        <v>0</v>
      </c>
      <c r="S127" s="74">
        <v>0</v>
      </c>
      <c r="T127" s="71">
        <v>0</v>
      </c>
      <c r="U127" s="71">
        <v>1012</v>
      </c>
      <c r="V127" s="71">
        <v>800</v>
      </c>
      <c r="W127" s="71">
        <v>1030001</v>
      </c>
      <c r="X127" s="71">
        <v>500</v>
      </c>
      <c r="Y127" s="71">
        <v>350</v>
      </c>
      <c r="Z127" s="71">
        <v>0</v>
      </c>
    </row>
    <row r="128" s="65" customFormat="1" spans="1:26">
      <c r="A128" s="71">
        <v>1030002</v>
      </c>
      <c r="B128" s="71" t="s">
        <v>446</v>
      </c>
      <c r="C128" s="25" t="s">
        <v>447</v>
      </c>
      <c r="D128" s="71">
        <v>2</v>
      </c>
      <c r="E128" s="71">
        <v>3</v>
      </c>
      <c r="F128" s="71">
        <v>2001</v>
      </c>
      <c r="G128" s="71">
        <v>350</v>
      </c>
      <c r="H128" s="71">
        <v>10000</v>
      </c>
      <c r="I128" s="76">
        <v>0</v>
      </c>
      <c r="J128" s="71">
        <v>160000</v>
      </c>
      <c r="K128" s="71">
        <v>1030002</v>
      </c>
      <c r="L128" s="71" t="s">
        <v>448</v>
      </c>
      <c r="M128" s="77" t="s">
        <v>449</v>
      </c>
      <c r="N128" s="71" t="s">
        <v>446</v>
      </c>
      <c r="O128" s="71"/>
      <c r="P128" s="71"/>
      <c r="Q128" s="71" t="s">
        <v>60</v>
      </c>
      <c r="R128" s="71">
        <v>0</v>
      </c>
      <c r="S128" s="74">
        <v>1030002</v>
      </c>
      <c r="T128" s="71">
        <v>700</v>
      </c>
      <c r="U128" s="71">
        <v>1012</v>
      </c>
      <c r="V128" s="71">
        <v>2150</v>
      </c>
      <c r="W128" s="71">
        <v>0</v>
      </c>
      <c r="X128" s="71">
        <v>0</v>
      </c>
      <c r="Y128" s="71">
        <v>0</v>
      </c>
      <c r="Z128" s="71">
        <v>0</v>
      </c>
    </row>
    <row r="129" spans="1:26">
      <c r="A129" s="71">
        <v>1030101</v>
      </c>
      <c r="B129" s="71" t="s">
        <v>450</v>
      </c>
      <c r="C129" s="71"/>
      <c r="D129" s="71">
        <v>1</v>
      </c>
      <c r="E129" s="71">
        <v>3</v>
      </c>
      <c r="F129" s="71">
        <v>1001</v>
      </c>
      <c r="G129" s="71">
        <v>350</v>
      </c>
      <c r="H129" s="71">
        <v>10000</v>
      </c>
      <c r="I129" s="76">
        <v>0</v>
      </c>
      <c r="J129" s="71">
        <v>10000</v>
      </c>
      <c r="K129" s="71">
        <v>0</v>
      </c>
      <c r="L129" s="71" t="s">
        <v>450</v>
      </c>
      <c r="M129" s="77"/>
      <c r="N129" s="71" t="s">
        <v>450</v>
      </c>
      <c r="O129" s="71"/>
      <c r="P129" s="71"/>
      <c r="Q129" s="71" t="s">
        <v>227</v>
      </c>
      <c r="R129" s="71">
        <v>0</v>
      </c>
      <c r="S129" s="74">
        <v>0</v>
      </c>
      <c r="T129" s="71">
        <v>0</v>
      </c>
      <c r="U129" s="71">
        <v>1012</v>
      </c>
      <c r="V129" s="71">
        <v>700</v>
      </c>
      <c r="W129" s="71">
        <v>1030001</v>
      </c>
      <c r="X129" s="71">
        <v>400</v>
      </c>
      <c r="Y129" s="71">
        <v>350</v>
      </c>
      <c r="Z129" s="71">
        <v>0</v>
      </c>
    </row>
    <row r="130" s="65" customFormat="1" spans="1:26">
      <c r="A130" s="71">
        <v>1030102</v>
      </c>
      <c r="B130" s="71" t="s">
        <v>121</v>
      </c>
      <c r="C130" s="25" t="s">
        <v>451</v>
      </c>
      <c r="D130" s="71">
        <v>2</v>
      </c>
      <c r="E130" s="71">
        <v>3</v>
      </c>
      <c r="F130" s="71">
        <v>2001</v>
      </c>
      <c r="G130" s="71">
        <v>350</v>
      </c>
      <c r="H130" s="71">
        <v>10000</v>
      </c>
      <c r="I130" s="76">
        <v>0</v>
      </c>
      <c r="J130" s="71">
        <v>160000</v>
      </c>
      <c r="K130" s="71">
        <v>1030002</v>
      </c>
      <c r="L130" s="71" t="s">
        <v>452</v>
      </c>
      <c r="M130" s="77" t="s">
        <v>453</v>
      </c>
      <c r="N130" s="71" t="s">
        <v>121</v>
      </c>
      <c r="O130" s="71"/>
      <c r="P130" s="71"/>
      <c r="Q130" s="71" t="s">
        <v>60</v>
      </c>
      <c r="R130" s="71">
        <v>0</v>
      </c>
      <c r="S130" s="74">
        <v>1030002</v>
      </c>
      <c r="T130" s="71">
        <v>600</v>
      </c>
      <c r="U130" s="71">
        <v>1012</v>
      </c>
      <c r="V130" s="79">
        <v>1900</v>
      </c>
      <c r="W130" s="71">
        <v>0</v>
      </c>
      <c r="X130" s="71">
        <v>0</v>
      </c>
      <c r="Y130" s="71">
        <v>0</v>
      </c>
      <c r="Z130" s="71">
        <v>5003004</v>
      </c>
    </row>
    <row r="131" spans="1:26">
      <c r="A131" s="71">
        <v>1032001</v>
      </c>
      <c r="B131" s="71" t="s">
        <v>454</v>
      </c>
      <c r="C131" s="71"/>
      <c r="D131" s="71">
        <v>1</v>
      </c>
      <c r="E131" s="71">
        <v>3</v>
      </c>
      <c r="F131" s="71">
        <v>1001</v>
      </c>
      <c r="G131" s="71">
        <v>350</v>
      </c>
      <c r="H131" s="71">
        <v>10000</v>
      </c>
      <c r="I131" s="76">
        <v>0</v>
      </c>
      <c r="J131" s="71">
        <v>10000</v>
      </c>
      <c r="K131" s="71">
        <v>0</v>
      </c>
      <c r="L131" s="71" t="s">
        <v>454</v>
      </c>
      <c r="M131" s="77"/>
      <c r="N131" s="71" t="s">
        <v>454</v>
      </c>
      <c r="O131" s="71"/>
      <c r="P131" s="71"/>
      <c r="Q131" s="71" t="s">
        <v>227</v>
      </c>
      <c r="R131" s="71">
        <v>0</v>
      </c>
      <c r="S131" s="74">
        <v>0</v>
      </c>
      <c r="T131" s="78">
        <v>0</v>
      </c>
      <c r="U131" s="78">
        <v>1014</v>
      </c>
      <c r="V131" s="78">
        <v>700</v>
      </c>
      <c r="W131" s="71">
        <v>1032001</v>
      </c>
      <c r="X131" s="71">
        <v>400</v>
      </c>
      <c r="Y131" s="71">
        <v>350</v>
      </c>
      <c r="Z131" s="71">
        <v>0</v>
      </c>
    </row>
    <row r="132" spans="1:26">
      <c r="A132" s="71">
        <v>1032002</v>
      </c>
      <c r="B132" s="71" t="s">
        <v>455</v>
      </c>
      <c r="C132" s="25" t="s">
        <v>456</v>
      </c>
      <c r="D132" s="71">
        <v>2</v>
      </c>
      <c r="E132" s="71">
        <v>3</v>
      </c>
      <c r="F132" s="71">
        <v>2001</v>
      </c>
      <c r="G132" s="71">
        <v>350</v>
      </c>
      <c r="H132" s="71">
        <v>10000</v>
      </c>
      <c r="I132" s="76">
        <v>0</v>
      </c>
      <c r="J132" s="71">
        <v>180000</v>
      </c>
      <c r="K132" s="71">
        <v>1032002</v>
      </c>
      <c r="L132" s="71" t="s">
        <v>457</v>
      </c>
      <c r="M132" s="77" t="s">
        <v>458</v>
      </c>
      <c r="N132" s="71" t="s">
        <v>455</v>
      </c>
      <c r="O132" s="71"/>
      <c r="P132" s="71"/>
      <c r="Q132" s="71" t="s">
        <v>60</v>
      </c>
      <c r="R132" s="71">
        <v>0</v>
      </c>
      <c r="S132" s="74">
        <v>1032002</v>
      </c>
      <c r="T132" s="78">
        <v>400</v>
      </c>
      <c r="U132" s="78">
        <v>1014</v>
      </c>
      <c r="V132" s="79" t="s">
        <v>459</v>
      </c>
      <c r="W132" s="71">
        <v>0</v>
      </c>
      <c r="X132" s="71">
        <v>0</v>
      </c>
      <c r="Y132" s="71">
        <v>0</v>
      </c>
      <c r="Z132" s="71">
        <v>0</v>
      </c>
    </row>
    <row r="133" spans="1:26">
      <c r="A133" s="71">
        <v>1032101</v>
      </c>
      <c r="B133" s="71" t="s">
        <v>460</v>
      </c>
      <c r="C133" s="71"/>
      <c r="D133" s="71">
        <v>1</v>
      </c>
      <c r="E133" s="71">
        <v>3</v>
      </c>
      <c r="F133" s="71">
        <v>1001</v>
      </c>
      <c r="G133" s="71">
        <v>350</v>
      </c>
      <c r="H133" s="71">
        <v>10000</v>
      </c>
      <c r="I133" s="76">
        <v>0</v>
      </c>
      <c r="J133" s="71">
        <v>10000</v>
      </c>
      <c r="K133" s="71">
        <v>0</v>
      </c>
      <c r="L133" s="71" t="s">
        <v>460</v>
      </c>
      <c r="M133" s="77"/>
      <c r="N133" s="71" t="s">
        <v>460</v>
      </c>
      <c r="O133" s="71"/>
      <c r="P133" s="71"/>
      <c r="Q133" s="71" t="s">
        <v>227</v>
      </c>
      <c r="R133" s="71">
        <v>0</v>
      </c>
      <c r="S133" s="74">
        <v>0</v>
      </c>
      <c r="T133" s="78">
        <v>0</v>
      </c>
      <c r="U133" s="78">
        <v>1014</v>
      </c>
      <c r="V133" s="78">
        <v>700</v>
      </c>
      <c r="W133" s="71">
        <v>1032001</v>
      </c>
      <c r="X133" s="71">
        <v>400</v>
      </c>
      <c r="Y133" s="71">
        <v>350</v>
      </c>
      <c r="Z133" s="71">
        <v>0</v>
      </c>
    </row>
    <row r="134" spans="1:26">
      <c r="A134" s="71">
        <v>1032102</v>
      </c>
      <c r="B134" s="71" t="s">
        <v>461</v>
      </c>
      <c r="C134" s="25" t="s">
        <v>462</v>
      </c>
      <c r="D134" s="71">
        <v>2</v>
      </c>
      <c r="E134" s="71">
        <v>3</v>
      </c>
      <c r="F134" s="71">
        <v>2001</v>
      </c>
      <c r="G134" s="71">
        <v>350</v>
      </c>
      <c r="H134" s="71">
        <v>10000</v>
      </c>
      <c r="I134" s="76">
        <v>0</v>
      </c>
      <c r="J134" s="71">
        <v>180000</v>
      </c>
      <c r="K134" s="71">
        <v>1032002</v>
      </c>
      <c r="L134" s="71" t="s">
        <v>463</v>
      </c>
      <c r="M134" s="77" t="s">
        <v>464</v>
      </c>
      <c r="N134" s="71" t="s">
        <v>461</v>
      </c>
      <c r="O134" s="71"/>
      <c r="P134" s="71"/>
      <c r="Q134" s="71" t="s">
        <v>60</v>
      </c>
      <c r="R134" s="71">
        <v>0</v>
      </c>
      <c r="S134" s="74">
        <v>1032002</v>
      </c>
      <c r="T134" s="78">
        <v>400</v>
      </c>
      <c r="U134" s="78">
        <v>1014</v>
      </c>
      <c r="V134" s="79" t="s">
        <v>459</v>
      </c>
      <c r="W134" s="71">
        <v>0</v>
      </c>
      <c r="X134" s="71">
        <v>0</v>
      </c>
      <c r="Y134" s="71">
        <v>0</v>
      </c>
      <c r="Z134" s="71">
        <v>0</v>
      </c>
    </row>
    <row r="135" spans="1:26">
      <c r="A135" s="71">
        <v>1033001</v>
      </c>
      <c r="B135" s="71" t="s">
        <v>465</v>
      </c>
      <c r="C135" s="71"/>
      <c r="D135" s="71">
        <v>1</v>
      </c>
      <c r="E135" s="71">
        <v>3</v>
      </c>
      <c r="F135" s="71">
        <v>1001</v>
      </c>
      <c r="G135" s="71">
        <v>350</v>
      </c>
      <c r="H135" s="71">
        <v>10000</v>
      </c>
      <c r="I135" s="76">
        <v>0</v>
      </c>
      <c r="J135" s="71">
        <v>10000</v>
      </c>
      <c r="K135" s="71">
        <v>0</v>
      </c>
      <c r="L135" s="71" t="s">
        <v>465</v>
      </c>
      <c r="M135" s="77"/>
      <c r="N135" s="71" t="s">
        <v>465</v>
      </c>
      <c r="O135" s="71"/>
      <c r="P135" s="71"/>
      <c r="Q135" s="71" t="s">
        <v>227</v>
      </c>
      <c r="R135" s="71">
        <v>0</v>
      </c>
      <c r="S135" s="74">
        <v>0</v>
      </c>
      <c r="T135" s="78">
        <v>0</v>
      </c>
      <c r="U135" s="78">
        <v>1012</v>
      </c>
      <c r="V135" s="78">
        <v>700</v>
      </c>
      <c r="W135" s="71">
        <v>1033001</v>
      </c>
      <c r="X135" s="71">
        <v>400</v>
      </c>
      <c r="Y135" s="71">
        <v>350</v>
      </c>
      <c r="Z135" s="71">
        <v>0</v>
      </c>
    </row>
    <row r="136" spans="1:26">
      <c r="A136" s="71">
        <v>1033002</v>
      </c>
      <c r="B136" s="71" t="s">
        <v>466</v>
      </c>
      <c r="C136" s="25" t="s">
        <v>467</v>
      </c>
      <c r="D136" s="71">
        <v>2</v>
      </c>
      <c r="E136" s="71">
        <v>3</v>
      </c>
      <c r="F136" s="71">
        <v>2001</v>
      </c>
      <c r="G136" s="71">
        <v>350</v>
      </c>
      <c r="H136" s="71">
        <v>2000</v>
      </c>
      <c r="I136" s="76">
        <v>0</v>
      </c>
      <c r="J136" s="71">
        <v>120000</v>
      </c>
      <c r="K136" s="71">
        <v>1033002</v>
      </c>
      <c r="L136" s="71" t="s">
        <v>468</v>
      </c>
      <c r="M136" s="77" t="s">
        <v>469</v>
      </c>
      <c r="N136" s="71" t="s">
        <v>466</v>
      </c>
      <c r="O136" s="71"/>
      <c r="P136" s="71"/>
      <c r="Q136" s="71" t="s">
        <v>60</v>
      </c>
      <c r="R136" s="71">
        <v>0</v>
      </c>
      <c r="S136" s="74">
        <v>1033002</v>
      </c>
      <c r="T136" s="78">
        <v>1300</v>
      </c>
      <c r="U136" s="78">
        <v>1012</v>
      </c>
      <c r="V136" s="78" t="s">
        <v>470</v>
      </c>
      <c r="W136" s="71">
        <v>0</v>
      </c>
      <c r="X136" s="71">
        <v>0</v>
      </c>
      <c r="Y136" s="71">
        <v>0</v>
      </c>
      <c r="Z136" s="71">
        <v>0</v>
      </c>
    </row>
    <row r="137" spans="1:26">
      <c r="A137" s="71">
        <v>1033101</v>
      </c>
      <c r="B137" s="71" t="s">
        <v>471</v>
      </c>
      <c r="C137" s="71"/>
      <c r="D137" s="71">
        <v>1</v>
      </c>
      <c r="E137" s="71">
        <v>3</v>
      </c>
      <c r="F137" s="71">
        <v>1001</v>
      </c>
      <c r="G137" s="71">
        <v>350</v>
      </c>
      <c r="H137" s="71">
        <v>10000</v>
      </c>
      <c r="I137" s="76">
        <v>0</v>
      </c>
      <c r="J137" s="71">
        <v>10000</v>
      </c>
      <c r="K137" s="71">
        <v>0</v>
      </c>
      <c r="L137" s="71" t="s">
        <v>471</v>
      </c>
      <c r="M137" s="77"/>
      <c r="N137" s="71" t="s">
        <v>471</v>
      </c>
      <c r="O137" s="71"/>
      <c r="P137" s="71"/>
      <c r="Q137" s="71" t="s">
        <v>227</v>
      </c>
      <c r="R137" s="71">
        <v>0</v>
      </c>
      <c r="S137" s="74">
        <v>0</v>
      </c>
      <c r="T137" s="78">
        <v>0</v>
      </c>
      <c r="U137" s="78">
        <v>1012</v>
      </c>
      <c r="V137" s="78">
        <v>600</v>
      </c>
      <c r="W137" s="71">
        <v>1033001</v>
      </c>
      <c r="X137" s="71">
        <v>300</v>
      </c>
      <c r="Y137" s="71">
        <v>350</v>
      </c>
      <c r="Z137" s="71">
        <v>0</v>
      </c>
    </row>
    <row r="138" spans="1:26">
      <c r="A138" s="71">
        <v>1033102</v>
      </c>
      <c r="B138" s="71" t="s">
        <v>472</v>
      </c>
      <c r="C138" s="25" t="s">
        <v>473</v>
      </c>
      <c r="D138" s="71">
        <v>2</v>
      </c>
      <c r="E138" s="71">
        <v>3</v>
      </c>
      <c r="F138" s="71">
        <v>2001</v>
      </c>
      <c r="G138" s="71">
        <v>350</v>
      </c>
      <c r="H138" s="71">
        <v>2000</v>
      </c>
      <c r="I138" s="76">
        <v>0</v>
      </c>
      <c r="J138" s="71">
        <v>120000</v>
      </c>
      <c r="K138" s="71">
        <v>1033002</v>
      </c>
      <c r="L138" s="71" t="s">
        <v>474</v>
      </c>
      <c r="M138" s="77" t="s">
        <v>475</v>
      </c>
      <c r="N138" s="71" t="s">
        <v>472</v>
      </c>
      <c r="O138" s="71"/>
      <c r="P138" s="71"/>
      <c r="Q138" s="71" t="s">
        <v>60</v>
      </c>
      <c r="R138" s="71">
        <v>0</v>
      </c>
      <c r="S138" s="74">
        <v>1033002</v>
      </c>
      <c r="T138" s="78">
        <v>500</v>
      </c>
      <c r="U138" s="78">
        <v>1012</v>
      </c>
      <c r="V138" s="78" t="s">
        <v>476</v>
      </c>
      <c r="W138" s="71">
        <v>0</v>
      </c>
      <c r="X138" s="71">
        <v>0</v>
      </c>
      <c r="Y138" s="71">
        <v>0</v>
      </c>
      <c r="Z138" s="71">
        <v>0</v>
      </c>
    </row>
    <row r="139" spans="1:26">
      <c r="A139" s="71">
        <v>1033201</v>
      </c>
      <c r="B139" s="71" t="s">
        <v>477</v>
      </c>
      <c r="C139" s="71"/>
      <c r="D139" s="71">
        <v>1</v>
      </c>
      <c r="E139" s="71">
        <v>3</v>
      </c>
      <c r="F139" s="71">
        <v>1001</v>
      </c>
      <c r="G139" s="71">
        <v>350</v>
      </c>
      <c r="H139" s="71">
        <v>10000</v>
      </c>
      <c r="I139" s="76">
        <v>0</v>
      </c>
      <c r="J139" s="71">
        <v>10000</v>
      </c>
      <c r="K139" s="71">
        <v>0</v>
      </c>
      <c r="L139" s="71" t="s">
        <v>477</v>
      </c>
      <c r="M139" s="77"/>
      <c r="N139" s="71" t="s">
        <v>477</v>
      </c>
      <c r="O139" s="71"/>
      <c r="P139" s="71"/>
      <c r="Q139" s="71" t="s">
        <v>227</v>
      </c>
      <c r="R139" s="71">
        <v>0</v>
      </c>
      <c r="S139" s="74">
        <v>0</v>
      </c>
      <c r="T139" s="78">
        <v>0</v>
      </c>
      <c r="U139" s="78">
        <v>1012</v>
      </c>
      <c r="V139" s="78">
        <v>700</v>
      </c>
      <c r="W139" s="71">
        <v>1033001</v>
      </c>
      <c r="X139" s="71">
        <v>400</v>
      </c>
      <c r="Y139" s="71">
        <v>350</v>
      </c>
      <c r="Z139" s="71">
        <v>0</v>
      </c>
    </row>
    <row r="140" s="65" customFormat="1" spans="1:26">
      <c r="A140" s="71">
        <v>1033202</v>
      </c>
      <c r="B140" s="71" t="s">
        <v>478</v>
      </c>
      <c r="C140" s="25" t="s">
        <v>479</v>
      </c>
      <c r="D140" s="71">
        <v>2</v>
      </c>
      <c r="E140" s="71">
        <v>3</v>
      </c>
      <c r="F140" s="71">
        <v>2001</v>
      </c>
      <c r="G140" s="71">
        <v>350</v>
      </c>
      <c r="H140" s="71">
        <v>1670</v>
      </c>
      <c r="I140" s="76">
        <v>0</v>
      </c>
      <c r="J140" s="71">
        <v>120000</v>
      </c>
      <c r="K140" s="71">
        <v>1033202</v>
      </c>
      <c r="L140" s="71" t="s">
        <v>480</v>
      </c>
      <c r="M140" s="77" t="s">
        <v>481</v>
      </c>
      <c r="N140" s="71" t="s">
        <v>478</v>
      </c>
      <c r="O140" s="71"/>
      <c r="P140" s="71"/>
      <c r="Q140" s="71" t="s">
        <v>60</v>
      </c>
      <c r="R140" s="71">
        <v>0</v>
      </c>
      <c r="S140" s="74">
        <v>1033202</v>
      </c>
      <c r="T140" s="78">
        <v>1400</v>
      </c>
      <c r="U140" s="78">
        <v>1012</v>
      </c>
      <c r="V140" s="78" t="s">
        <v>482</v>
      </c>
      <c r="W140" s="71">
        <v>0</v>
      </c>
      <c r="X140" s="71">
        <v>0</v>
      </c>
      <c r="Y140" s="71">
        <v>0</v>
      </c>
      <c r="Z140" s="71">
        <v>0</v>
      </c>
    </row>
    <row r="141" spans="1:26">
      <c r="A141" s="71">
        <v>1035001</v>
      </c>
      <c r="B141" s="71" t="s">
        <v>483</v>
      </c>
      <c r="C141" s="71"/>
      <c r="D141" s="71">
        <v>1</v>
      </c>
      <c r="E141" s="71">
        <v>3</v>
      </c>
      <c r="F141" s="71">
        <v>1001</v>
      </c>
      <c r="G141" s="71">
        <v>350</v>
      </c>
      <c r="H141" s="71">
        <v>10000</v>
      </c>
      <c r="I141" s="76">
        <v>0</v>
      </c>
      <c r="J141" s="71">
        <v>10000</v>
      </c>
      <c r="K141" s="71">
        <v>0</v>
      </c>
      <c r="L141" s="71" t="s">
        <v>483</v>
      </c>
      <c r="M141" s="77"/>
      <c r="N141" s="71" t="s">
        <v>483</v>
      </c>
      <c r="O141" s="71"/>
      <c r="P141" s="71"/>
      <c r="Q141" s="71" t="s">
        <v>227</v>
      </c>
      <c r="R141" s="71">
        <v>0</v>
      </c>
      <c r="S141" s="74">
        <v>0</v>
      </c>
      <c r="T141" s="71">
        <v>0</v>
      </c>
      <c r="U141" s="71">
        <v>1016</v>
      </c>
      <c r="V141" s="71">
        <v>700</v>
      </c>
      <c r="W141" s="71">
        <v>1035001</v>
      </c>
      <c r="X141" s="71">
        <v>400</v>
      </c>
      <c r="Y141" s="71">
        <v>350</v>
      </c>
      <c r="Z141" s="71">
        <v>0</v>
      </c>
    </row>
    <row r="142" spans="1:26">
      <c r="A142" s="71">
        <v>1035002</v>
      </c>
      <c r="B142" s="71" t="s">
        <v>135</v>
      </c>
      <c r="C142" s="25" t="s">
        <v>484</v>
      </c>
      <c r="D142" s="71">
        <v>2</v>
      </c>
      <c r="E142" s="71">
        <v>3</v>
      </c>
      <c r="F142" s="71">
        <v>2001</v>
      </c>
      <c r="G142" s="71">
        <v>350</v>
      </c>
      <c r="H142" s="71">
        <v>1000</v>
      </c>
      <c r="I142" s="76">
        <v>0</v>
      </c>
      <c r="J142" s="71">
        <v>180000</v>
      </c>
      <c r="K142" s="71">
        <v>1035002</v>
      </c>
      <c r="L142" s="71" t="s">
        <v>485</v>
      </c>
      <c r="M142" s="77" t="s">
        <v>486</v>
      </c>
      <c r="N142" s="71" t="s">
        <v>135</v>
      </c>
      <c r="O142" s="71"/>
      <c r="P142" s="71"/>
      <c r="Q142" s="71" t="s">
        <v>60</v>
      </c>
      <c r="R142" s="71">
        <v>0</v>
      </c>
      <c r="S142" s="74">
        <v>1035002</v>
      </c>
      <c r="T142" s="71">
        <v>600</v>
      </c>
      <c r="U142" s="71">
        <v>1016</v>
      </c>
      <c r="V142" s="71" t="s">
        <v>487</v>
      </c>
      <c r="W142" s="71">
        <v>0</v>
      </c>
      <c r="X142" s="71">
        <v>0</v>
      </c>
      <c r="Y142" s="71">
        <v>0</v>
      </c>
      <c r="Z142" s="71">
        <v>5004002</v>
      </c>
    </row>
    <row r="143" spans="1:26">
      <c r="A143" s="71">
        <v>1035101</v>
      </c>
      <c r="B143" s="71" t="s">
        <v>488</v>
      </c>
      <c r="C143" s="71"/>
      <c r="D143" s="71">
        <v>1</v>
      </c>
      <c r="E143" s="71">
        <v>3</v>
      </c>
      <c r="F143" s="71">
        <v>1001</v>
      </c>
      <c r="G143" s="71">
        <v>350</v>
      </c>
      <c r="H143" s="71">
        <v>10000</v>
      </c>
      <c r="I143" s="76">
        <v>0</v>
      </c>
      <c r="J143" s="71">
        <v>10000</v>
      </c>
      <c r="K143" s="71">
        <v>0</v>
      </c>
      <c r="L143" s="71" t="s">
        <v>488</v>
      </c>
      <c r="M143" s="77"/>
      <c r="N143" s="71" t="s">
        <v>488</v>
      </c>
      <c r="O143" s="71"/>
      <c r="P143" s="71"/>
      <c r="Q143" s="71" t="s">
        <v>227</v>
      </c>
      <c r="R143" s="71">
        <v>0</v>
      </c>
      <c r="S143" s="74">
        <v>0</v>
      </c>
      <c r="T143" s="71">
        <v>0</v>
      </c>
      <c r="U143" s="71">
        <v>1016</v>
      </c>
      <c r="V143" s="71">
        <v>800</v>
      </c>
      <c r="W143" s="71">
        <v>1035001</v>
      </c>
      <c r="X143" s="71">
        <v>500</v>
      </c>
      <c r="Y143" s="71">
        <v>350</v>
      </c>
      <c r="Z143" s="71">
        <v>0</v>
      </c>
    </row>
    <row r="144" spans="1:26">
      <c r="A144" s="71">
        <v>1035102</v>
      </c>
      <c r="B144" s="71" t="s">
        <v>489</v>
      </c>
      <c r="C144" s="25" t="s">
        <v>490</v>
      </c>
      <c r="D144" s="71">
        <v>2</v>
      </c>
      <c r="E144" s="71">
        <v>3</v>
      </c>
      <c r="F144" s="71">
        <v>2001</v>
      </c>
      <c r="G144" s="71">
        <v>350</v>
      </c>
      <c r="H144" s="71">
        <v>1000</v>
      </c>
      <c r="I144" s="76">
        <v>0</v>
      </c>
      <c r="J144" s="71">
        <v>180000</v>
      </c>
      <c r="K144" s="71">
        <v>1035002</v>
      </c>
      <c r="L144" s="71" t="s">
        <v>491</v>
      </c>
      <c r="M144" s="77" t="s">
        <v>492</v>
      </c>
      <c r="N144" s="71" t="s">
        <v>489</v>
      </c>
      <c r="O144" s="71"/>
      <c r="P144" s="71"/>
      <c r="Q144" s="71" t="s">
        <v>60</v>
      </c>
      <c r="R144" s="71">
        <v>0</v>
      </c>
      <c r="S144" s="74">
        <v>1035002</v>
      </c>
      <c r="T144" s="71">
        <v>700</v>
      </c>
      <c r="U144" s="71">
        <v>1016</v>
      </c>
      <c r="V144" s="71" t="s">
        <v>493</v>
      </c>
      <c r="W144" s="71">
        <v>0</v>
      </c>
      <c r="X144" s="71">
        <v>0</v>
      </c>
      <c r="Y144" s="71">
        <v>0</v>
      </c>
      <c r="Z144" s="71">
        <v>0</v>
      </c>
    </row>
    <row r="145" spans="1:26">
      <c r="A145" s="71">
        <v>1035201</v>
      </c>
      <c r="B145" s="71" t="s">
        <v>494</v>
      </c>
      <c r="C145" s="71"/>
      <c r="D145" s="71">
        <v>1</v>
      </c>
      <c r="E145" s="71">
        <v>3</v>
      </c>
      <c r="F145" s="71">
        <v>1001</v>
      </c>
      <c r="G145" s="71">
        <v>350</v>
      </c>
      <c r="H145" s="71">
        <v>10000</v>
      </c>
      <c r="I145" s="76">
        <v>0</v>
      </c>
      <c r="J145" s="71">
        <v>10000</v>
      </c>
      <c r="K145" s="71">
        <v>0</v>
      </c>
      <c r="L145" s="71" t="s">
        <v>494</v>
      </c>
      <c r="M145" s="77"/>
      <c r="N145" s="71" t="s">
        <v>494</v>
      </c>
      <c r="O145" s="71"/>
      <c r="P145" s="71"/>
      <c r="Q145" s="71" t="s">
        <v>227</v>
      </c>
      <c r="R145" s="71">
        <v>0</v>
      </c>
      <c r="S145" s="74">
        <v>0</v>
      </c>
      <c r="T145" s="71">
        <v>0</v>
      </c>
      <c r="U145" s="71">
        <v>1016</v>
      </c>
      <c r="V145" s="71">
        <v>800</v>
      </c>
      <c r="W145" s="71">
        <v>1035001</v>
      </c>
      <c r="X145" s="71">
        <v>500</v>
      </c>
      <c r="Y145" s="71">
        <v>350</v>
      </c>
      <c r="Z145" s="71">
        <v>0</v>
      </c>
    </row>
    <row r="146" spans="1:26">
      <c r="A146" s="71">
        <v>1035202</v>
      </c>
      <c r="B146" s="71" t="s">
        <v>184</v>
      </c>
      <c r="C146" s="25" t="s">
        <v>495</v>
      </c>
      <c r="D146" s="71">
        <v>2</v>
      </c>
      <c r="E146" s="71">
        <v>3</v>
      </c>
      <c r="F146" s="71">
        <v>2001</v>
      </c>
      <c r="G146" s="71">
        <v>350</v>
      </c>
      <c r="H146" s="71">
        <v>1250</v>
      </c>
      <c r="I146" s="76">
        <v>0</v>
      </c>
      <c r="J146" s="71">
        <v>180000</v>
      </c>
      <c r="K146" s="71">
        <v>1035202</v>
      </c>
      <c r="L146" s="71" t="s">
        <v>496</v>
      </c>
      <c r="M146" s="77" t="s">
        <v>497</v>
      </c>
      <c r="N146" s="71" t="s">
        <v>184</v>
      </c>
      <c r="O146" s="71"/>
      <c r="P146" s="71"/>
      <c r="Q146" s="71" t="s">
        <v>60</v>
      </c>
      <c r="R146" s="71">
        <v>0</v>
      </c>
      <c r="S146" s="74">
        <v>1035202</v>
      </c>
      <c r="T146" s="71">
        <v>1500</v>
      </c>
      <c r="U146" s="71">
        <v>1016</v>
      </c>
      <c r="V146" s="71" t="s">
        <v>498</v>
      </c>
      <c r="W146" s="71">
        <v>0</v>
      </c>
      <c r="X146" s="71">
        <v>0</v>
      </c>
      <c r="Y146" s="71">
        <v>0</v>
      </c>
      <c r="Z146" s="71">
        <v>5006002</v>
      </c>
    </row>
    <row r="147" spans="1:26">
      <c r="A147" s="71">
        <v>1036001</v>
      </c>
      <c r="B147" s="71" t="s">
        <v>499</v>
      </c>
      <c r="C147" s="71"/>
      <c r="D147" s="71">
        <v>1</v>
      </c>
      <c r="E147" s="71">
        <v>3</v>
      </c>
      <c r="F147" s="71">
        <v>1001</v>
      </c>
      <c r="G147" s="71">
        <v>350</v>
      </c>
      <c r="H147" s="71">
        <v>10000</v>
      </c>
      <c r="I147" s="76">
        <v>0</v>
      </c>
      <c r="J147" s="71">
        <v>10000</v>
      </c>
      <c r="K147" s="71">
        <v>0</v>
      </c>
      <c r="L147" s="71" t="s">
        <v>499</v>
      </c>
      <c r="M147" s="77"/>
      <c r="N147" s="71" t="s">
        <v>499</v>
      </c>
      <c r="O147" s="71"/>
      <c r="P147" s="71"/>
      <c r="Q147" s="71" t="s">
        <v>227</v>
      </c>
      <c r="R147" s="71">
        <v>0</v>
      </c>
      <c r="S147" s="74">
        <v>0</v>
      </c>
      <c r="T147" s="71">
        <v>0</v>
      </c>
      <c r="U147" s="71">
        <v>1016</v>
      </c>
      <c r="V147" s="71">
        <v>700</v>
      </c>
      <c r="W147" s="71">
        <v>1036001</v>
      </c>
      <c r="X147" s="71">
        <v>400</v>
      </c>
      <c r="Y147" s="71">
        <v>350</v>
      </c>
      <c r="Z147" s="71">
        <v>0</v>
      </c>
    </row>
    <row r="148" spans="1:26">
      <c r="A148" s="71">
        <v>1036002</v>
      </c>
      <c r="B148" s="71" t="s">
        <v>500</v>
      </c>
      <c r="C148" s="25" t="s">
        <v>501</v>
      </c>
      <c r="D148" s="71">
        <v>2</v>
      </c>
      <c r="E148" s="71">
        <v>3</v>
      </c>
      <c r="F148" s="71">
        <v>2001</v>
      </c>
      <c r="G148" s="71">
        <v>350</v>
      </c>
      <c r="H148" s="71">
        <v>2000</v>
      </c>
      <c r="I148" s="76">
        <v>0</v>
      </c>
      <c r="J148" s="71">
        <v>70000</v>
      </c>
      <c r="K148" s="71">
        <v>1036002</v>
      </c>
      <c r="L148" s="71" t="s">
        <v>502</v>
      </c>
      <c r="M148" s="77" t="s">
        <v>503</v>
      </c>
      <c r="N148" s="71" t="s">
        <v>504</v>
      </c>
      <c r="O148" s="71"/>
      <c r="P148" s="71"/>
      <c r="Q148" s="71" t="s">
        <v>60</v>
      </c>
      <c r="R148" s="71">
        <v>0</v>
      </c>
      <c r="S148" s="74">
        <v>1036002</v>
      </c>
      <c r="T148" s="71">
        <v>300</v>
      </c>
      <c r="U148" s="71">
        <v>1016</v>
      </c>
      <c r="V148" s="71" t="s">
        <v>505</v>
      </c>
      <c r="W148" s="71">
        <v>0</v>
      </c>
      <c r="X148" s="71">
        <v>0</v>
      </c>
      <c r="Y148" s="71">
        <v>0</v>
      </c>
      <c r="Z148" s="71">
        <v>0</v>
      </c>
    </row>
    <row r="149" spans="1:26">
      <c r="A149" s="71">
        <v>1036101</v>
      </c>
      <c r="B149" s="71" t="s">
        <v>506</v>
      </c>
      <c r="C149" s="71"/>
      <c r="D149" s="71">
        <v>1</v>
      </c>
      <c r="E149" s="71">
        <v>3</v>
      </c>
      <c r="F149" s="71">
        <v>1001</v>
      </c>
      <c r="G149" s="71">
        <v>350</v>
      </c>
      <c r="H149" s="71">
        <v>10000</v>
      </c>
      <c r="I149" s="76">
        <v>0</v>
      </c>
      <c r="J149" s="71">
        <v>10000</v>
      </c>
      <c r="K149" s="71">
        <v>0</v>
      </c>
      <c r="L149" s="71" t="s">
        <v>506</v>
      </c>
      <c r="M149" s="77"/>
      <c r="N149" s="71" t="s">
        <v>506</v>
      </c>
      <c r="O149" s="71"/>
      <c r="P149" s="71"/>
      <c r="Q149" s="71" t="s">
        <v>227</v>
      </c>
      <c r="R149" s="71">
        <v>0</v>
      </c>
      <c r="S149" s="74">
        <v>0</v>
      </c>
      <c r="T149" s="71">
        <v>0</v>
      </c>
      <c r="U149" s="71">
        <v>1016</v>
      </c>
      <c r="V149" s="71">
        <v>700</v>
      </c>
      <c r="W149" s="71">
        <v>1036001</v>
      </c>
      <c r="X149" s="71">
        <v>400</v>
      </c>
      <c r="Y149" s="71">
        <v>350</v>
      </c>
      <c r="Z149" s="71">
        <v>0</v>
      </c>
    </row>
    <row r="150" spans="1:26">
      <c r="A150" s="71">
        <v>1036102</v>
      </c>
      <c r="B150" s="71" t="s">
        <v>507</v>
      </c>
      <c r="C150" s="25" t="s">
        <v>508</v>
      </c>
      <c r="D150" s="71">
        <v>2</v>
      </c>
      <c r="E150" s="71">
        <v>3</v>
      </c>
      <c r="F150" s="71">
        <v>2001</v>
      </c>
      <c r="G150" s="71">
        <v>350</v>
      </c>
      <c r="H150" s="71">
        <v>2000</v>
      </c>
      <c r="I150" s="76">
        <v>0</v>
      </c>
      <c r="J150" s="71">
        <v>70000</v>
      </c>
      <c r="K150" s="71">
        <v>1036102</v>
      </c>
      <c r="L150" s="71" t="s">
        <v>509</v>
      </c>
      <c r="M150" s="77" t="s">
        <v>510</v>
      </c>
      <c r="N150" s="71" t="s">
        <v>511</v>
      </c>
      <c r="O150" s="71"/>
      <c r="P150" s="71"/>
      <c r="Q150" s="71" t="s">
        <v>60</v>
      </c>
      <c r="R150" s="71">
        <v>0</v>
      </c>
      <c r="S150" s="74">
        <v>1036102</v>
      </c>
      <c r="T150" s="71">
        <v>300</v>
      </c>
      <c r="U150" s="71">
        <v>1016</v>
      </c>
      <c r="V150" s="71" t="s">
        <v>505</v>
      </c>
      <c r="W150" s="71">
        <v>0</v>
      </c>
      <c r="X150" s="71">
        <v>0</v>
      </c>
      <c r="Y150" s="71">
        <v>0</v>
      </c>
      <c r="Z150" s="71">
        <v>0</v>
      </c>
    </row>
    <row r="151" spans="1:26">
      <c r="A151" s="71">
        <v>1038001</v>
      </c>
      <c r="B151" s="71" t="s">
        <v>512</v>
      </c>
      <c r="C151" s="71"/>
      <c r="D151" s="71">
        <v>1</v>
      </c>
      <c r="E151" s="71">
        <v>3</v>
      </c>
      <c r="F151" s="71">
        <v>1001</v>
      </c>
      <c r="G151" s="71">
        <v>350</v>
      </c>
      <c r="H151" s="71">
        <v>10000</v>
      </c>
      <c r="I151" s="76">
        <v>0</v>
      </c>
      <c r="J151" s="71">
        <v>10000</v>
      </c>
      <c r="K151" s="71">
        <v>0</v>
      </c>
      <c r="L151" s="71" t="s">
        <v>512</v>
      </c>
      <c r="M151" s="77"/>
      <c r="N151" s="71" t="s">
        <v>512</v>
      </c>
      <c r="O151" s="71"/>
      <c r="P151" s="71"/>
      <c r="Q151" s="71" t="s">
        <v>227</v>
      </c>
      <c r="R151" s="71">
        <v>0</v>
      </c>
      <c r="S151" s="74">
        <v>0</v>
      </c>
      <c r="T151" s="71">
        <v>0</v>
      </c>
      <c r="U151" s="71">
        <v>1016</v>
      </c>
      <c r="V151" s="71">
        <v>700</v>
      </c>
      <c r="W151" s="71">
        <v>1038001</v>
      </c>
      <c r="X151" s="71">
        <v>400</v>
      </c>
      <c r="Y151" s="71">
        <v>350</v>
      </c>
      <c r="Z151" s="71">
        <v>0</v>
      </c>
    </row>
    <row r="152" spans="1:26">
      <c r="A152" s="71">
        <v>1038002</v>
      </c>
      <c r="B152" s="71" t="s">
        <v>513</v>
      </c>
      <c r="C152" s="25" t="s">
        <v>514</v>
      </c>
      <c r="D152" s="71">
        <v>2</v>
      </c>
      <c r="E152" s="71">
        <v>3</v>
      </c>
      <c r="F152" s="71">
        <v>2001</v>
      </c>
      <c r="G152" s="71">
        <v>350</v>
      </c>
      <c r="H152" s="71">
        <v>2000</v>
      </c>
      <c r="I152" s="76">
        <v>0</v>
      </c>
      <c r="J152" s="71">
        <v>140000</v>
      </c>
      <c r="K152" s="71">
        <v>1038002</v>
      </c>
      <c r="L152" s="71" t="s">
        <v>515</v>
      </c>
      <c r="M152" s="77" t="s">
        <v>516</v>
      </c>
      <c r="N152" s="71" t="s">
        <v>513</v>
      </c>
      <c r="O152" s="71"/>
      <c r="P152" s="71"/>
      <c r="Q152" s="71" t="s">
        <v>60</v>
      </c>
      <c r="R152" s="71">
        <v>0</v>
      </c>
      <c r="S152" s="74">
        <v>1038002</v>
      </c>
      <c r="T152" s="71">
        <v>700</v>
      </c>
      <c r="U152" s="71">
        <v>1016</v>
      </c>
      <c r="V152" s="71" t="s">
        <v>517</v>
      </c>
      <c r="W152" s="71">
        <v>0</v>
      </c>
      <c r="X152" s="71">
        <v>0</v>
      </c>
      <c r="Y152" s="71">
        <v>0</v>
      </c>
      <c r="Z152" s="71">
        <v>5005006</v>
      </c>
    </row>
    <row r="153" spans="1:26">
      <c r="A153" s="71">
        <v>1038101</v>
      </c>
      <c r="B153" s="71" t="s">
        <v>518</v>
      </c>
      <c r="C153" s="71"/>
      <c r="D153" s="71">
        <v>1</v>
      </c>
      <c r="E153" s="71">
        <v>3</v>
      </c>
      <c r="F153" s="71">
        <v>1001</v>
      </c>
      <c r="G153" s="71">
        <v>350</v>
      </c>
      <c r="H153" s="71">
        <v>10000</v>
      </c>
      <c r="I153" s="76">
        <v>0</v>
      </c>
      <c r="J153" s="71">
        <v>10000</v>
      </c>
      <c r="K153" s="71">
        <v>0</v>
      </c>
      <c r="L153" s="71" t="s">
        <v>518</v>
      </c>
      <c r="M153" s="77"/>
      <c r="N153" s="71" t="s">
        <v>518</v>
      </c>
      <c r="O153" s="71"/>
      <c r="P153" s="71"/>
      <c r="Q153" s="71" t="s">
        <v>227</v>
      </c>
      <c r="R153" s="71">
        <v>0</v>
      </c>
      <c r="S153" s="74">
        <v>0</v>
      </c>
      <c r="T153" s="78">
        <v>0</v>
      </c>
      <c r="U153" s="78">
        <v>1014</v>
      </c>
      <c r="V153" s="78">
        <v>600</v>
      </c>
      <c r="W153" s="71">
        <v>1038001</v>
      </c>
      <c r="X153" s="71">
        <v>300</v>
      </c>
      <c r="Y153" s="71">
        <v>350</v>
      </c>
      <c r="Z153" s="71">
        <v>0</v>
      </c>
    </row>
    <row r="154" spans="1:26">
      <c r="A154" s="71">
        <v>1038102</v>
      </c>
      <c r="B154" s="71" t="s">
        <v>519</v>
      </c>
      <c r="C154" s="25" t="s">
        <v>520</v>
      </c>
      <c r="D154" s="71">
        <v>2</v>
      </c>
      <c r="E154" s="71">
        <v>3</v>
      </c>
      <c r="F154" s="71">
        <v>2001</v>
      </c>
      <c r="G154" s="71">
        <v>350</v>
      </c>
      <c r="H154" s="71">
        <v>2000</v>
      </c>
      <c r="I154" s="76">
        <v>0</v>
      </c>
      <c r="J154" s="71">
        <v>140000</v>
      </c>
      <c r="K154" s="71">
        <v>1038002</v>
      </c>
      <c r="L154" s="71" t="s">
        <v>521</v>
      </c>
      <c r="M154" s="77" t="s">
        <v>522</v>
      </c>
      <c r="N154" s="71" t="s">
        <v>519</v>
      </c>
      <c r="O154" s="71"/>
      <c r="P154" s="71"/>
      <c r="Q154" s="71" t="s">
        <v>60</v>
      </c>
      <c r="R154" s="71">
        <v>0</v>
      </c>
      <c r="S154" s="74">
        <v>1038002</v>
      </c>
      <c r="T154" s="78">
        <v>700</v>
      </c>
      <c r="U154" s="78">
        <v>1014</v>
      </c>
      <c r="V154" s="71" t="s">
        <v>517</v>
      </c>
      <c r="W154" s="71">
        <v>0</v>
      </c>
      <c r="X154" s="71">
        <v>0</v>
      </c>
      <c r="Y154" s="71">
        <v>0</v>
      </c>
      <c r="Z154" s="71">
        <v>0</v>
      </c>
    </row>
    <row r="155" spans="1:26">
      <c r="A155" s="71">
        <v>1039001</v>
      </c>
      <c r="B155" s="71" t="s">
        <v>523</v>
      </c>
      <c r="C155" s="71"/>
      <c r="D155" s="71">
        <v>1</v>
      </c>
      <c r="E155" s="71">
        <v>3</v>
      </c>
      <c r="F155" s="71">
        <v>1001</v>
      </c>
      <c r="G155" s="71">
        <v>350</v>
      </c>
      <c r="H155" s="71">
        <v>10000</v>
      </c>
      <c r="I155" s="76">
        <v>0</v>
      </c>
      <c r="J155" s="71">
        <v>10000</v>
      </c>
      <c r="K155" s="71">
        <v>0</v>
      </c>
      <c r="L155" s="71" t="s">
        <v>523</v>
      </c>
      <c r="M155" s="77"/>
      <c r="N155" s="71" t="s">
        <v>523</v>
      </c>
      <c r="O155" s="71"/>
      <c r="P155" s="71"/>
      <c r="Q155" s="71" t="s">
        <v>227</v>
      </c>
      <c r="R155" s="71">
        <v>0</v>
      </c>
      <c r="S155" s="74">
        <v>0</v>
      </c>
      <c r="T155" s="78">
        <v>0</v>
      </c>
      <c r="U155" s="78">
        <v>1011</v>
      </c>
      <c r="V155" s="78">
        <v>700</v>
      </c>
      <c r="W155" s="71">
        <v>1039001</v>
      </c>
      <c r="X155" s="71">
        <v>400</v>
      </c>
      <c r="Y155" s="71">
        <v>350</v>
      </c>
      <c r="Z155" s="71">
        <v>0</v>
      </c>
    </row>
    <row r="156" spans="1:26">
      <c r="A156" s="71">
        <v>1039002</v>
      </c>
      <c r="B156" s="71" t="s">
        <v>63</v>
      </c>
      <c r="C156" s="25" t="s">
        <v>524</v>
      </c>
      <c r="D156" s="71">
        <v>2</v>
      </c>
      <c r="E156" s="71">
        <v>3</v>
      </c>
      <c r="F156" s="71">
        <v>2001</v>
      </c>
      <c r="G156" s="71">
        <v>350</v>
      </c>
      <c r="H156" s="71">
        <v>1430</v>
      </c>
      <c r="I156" s="76">
        <v>0</v>
      </c>
      <c r="J156" s="71">
        <v>180000</v>
      </c>
      <c r="K156" s="71">
        <v>1039002</v>
      </c>
      <c r="L156" s="71" t="s">
        <v>525</v>
      </c>
      <c r="M156" s="77" t="s">
        <v>526</v>
      </c>
      <c r="N156" s="71" t="s">
        <v>63</v>
      </c>
      <c r="O156" s="71"/>
      <c r="P156" s="71"/>
      <c r="Q156" s="71" t="s">
        <v>60</v>
      </c>
      <c r="R156" s="71">
        <v>0</v>
      </c>
      <c r="S156" s="74">
        <v>1039002</v>
      </c>
      <c r="T156" s="78">
        <v>600</v>
      </c>
      <c r="U156" s="78">
        <v>1011</v>
      </c>
      <c r="V156" s="78" t="s">
        <v>527</v>
      </c>
      <c r="W156" s="71">
        <v>0</v>
      </c>
      <c r="X156" s="71">
        <v>0</v>
      </c>
      <c r="Y156" s="71">
        <v>0</v>
      </c>
      <c r="Z156" s="71">
        <v>5001002</v>
      </c>
    </row>
    <row r="157" spans="1:26">
      <c r="A157" s="71">
        <v>1039101</v>
      </c>
      <c r="B157" s="71" t="s">
        <v>528</v>
      </c>
      <c r="C157" s="71"/>
      <c r="D157" s="71">
        <v>1</v>
      </c>
      <c r="E157" s="71">
        <v>3</v>
      </c>
      <c r="F157" s="71">
        <v>1001</v>
      </c>
      <c r="G157" s="71">
        <v>350</v>
      </c>
      <c r="H157" s="71">
        <v>10000</v>
      </c>
      <c r="I157" s="76">
        <v>0</v>
      </c>
      <c r="J157" s="71">
        <v>10000</v>
      </c>
      <c r="K157" s="71">
        <v>0</v>
      </c>
      <c r="L157" s="71" t="s">
        <v>528</v>
      </c>
      <c r="M157" s="77"/>
      <c r="N157" s="71" t="s">
        <v>528</v>
      </c>
      <c r="O157" s="71"/>
      <c r="P157" s="71"/>
      <c r="Q157" s="71" t="s">
        <v>227</v>
      </c>
      <c r="R157" s="71">
        <v>0</v>
      </c>
      <c r="S157" s="74">
        <v>0</v>
      </c>
      <c r="T157" s="78">
        <v>0</v>
      </c>
      <c r="U157" s="78">
        <v>1011</v>
      </c>
      <c r="V157" s="78">
        <v>700</v>
      </c>
      <c r="W157" s="71">
        <v>1039001</v>
      </c>
      <c r="X157" s="71">
        <v>400</v>
      </c>
      <c r="Y157" s="71">
        <v>350</v>
      </c>
      <c r="Z157" s="71">
        <v>0</v>
      </c>
    </row>
    <row r="158" spans="1:26">
      <c r="A158" s="71">
        <v>1039102</v>
      </c>
      <c r="B158" s="71" t="s">
        <v>529</v>
      </c>
      <c r="C158" s="25" t="s">
        <v>530</v>
      </c>
      <c r="D158" s="71">
        <v>2</v>
      </c>
      <c r="E158" s="71">
        <v>3</v>
      </c>
      <c r="F158" s="71">
        <v>2001</v>
      </c>
      <c r="G158" s="71">
        <v>350</v>
      </c>
      <c r="H158" s="71">
        <v>1670</v>
      </c>
      <c r="I158" s="76">
        <v>0</v>
      </c>
      <c r="J158" s="71">
        <v>180000</v>
      </c>
      <c r="K158" s="71">
        <v>1039102</v>
      </c>
      <c r="L158" s="71" t="s">
        <v>531</v>
      </c>
      <c r="M158" s="77" t="s">
        <v>532</v>
      </c>
      <c r="N158" s="71" t="s">
        <v>529</v>
      </c>
      <c r="O158" s="71"/>
      <c r="P158" s="71"/>
      <c r="Q158" s="71" t="s">
        <v>60</v>
      </c>
      <c r="R158" s="71">
        <v>0</v>
      </c>
      <c r="S158" s="74">
        <v>1039102</v>
      </c>
      <c r="T158" s="78">
        <v>700</v>
      </c>
      <c r="U158" s="78">
        <v>1011</v>
      </c>
      <c r="V158" s="78" t="s">
        <v>533</v>
      </c>
      <c r="W158" s="71">
        <v>0</v>
      </c>
      <c r="X158" s="71">
        <v>0</v>
      </c>
      <c r="Y158" s="71">
        <v>0</v>
      </c>
      <c r="Z158" s="71">
        <v>0</v>
      </c>
    </row>
    <row r="159" spans="1:26">
      <c r="A159" s="71">
        <v>1039201</v>
      </c>
      <c r="B159" s="71" t="s">
        <v>534</v>
      </c>
      <c r="C159" s="71"/>
      <c r="D159" s="71">
        <v>1</v>
      </c>
      <c r="E159" s="71">
        <v>3</v>
      </c>
      <c r="F159" s="71">
        <v>1001</v>
      </c>
      <c r="G159" s="71">
        <v>350</v>
      </c>
      <c r="H159" s="71">
        <v>10000</v>
      </c>
      <c r="I159" s="76">
        <v>0</v>
      </c>
      <c r="J159" s="71">
        <v>10000</v>
      </c>
      <c r="K159" s="71">
        <v>0</v>
      </c>
      <c r="L159" s="71" t="s">
        <v>534</v>
      </c>
      <c r="M159" s="77"/>
      <c r="N159" s="71" t="s">
        <v>534</v>
      </c>
      <c r="O159" s="71"/>
      <c r="P159" s="71"/>
      <c r="Q159" s="71" t="s">
        <v>227</v>
      </c>
      <c r="R159" s="71">
        <v>0</v>
      </c>
      <c r="S159" s="74">
        <v>0</v>
      </c>
      <c r="T159" s="78">
        <v>0</v>
      </c>
      <c r="U159" s="78">
        <v>1011</v>
      </c>
      <c r="V159" s="78">
        <v>700</v>
      </c>
      <c r="W159" s="71">
        <v>1039201</v>
      </c>
      <c r="X159" s="71">
        <v>400</v>
      </c>
      <c r="Y159" s="71">
        <v>350</v>
      </c>
      <c r="Z159" s="71">
        <v>0</v>
      </c>
    </row>
    <row r="160" spans="1:26">
      <c r="A160" s="71">
        <v>1039202</v>
      </c>
      <c r="B160" s="71" t="s">
        <v>535</v>
      </c>
      <c r="C160" s="25" t="s">
        <v>536</v>
      </c>
      <c r="D160" s="71">
        <v>2</v>
      </c>
      <c r="E160" s="71">
        <v>3</v>
      </c>
      <c r="F160" s="71">
        <v>2001</v>
      </c>
      <c r="G160" s="71">
        <v>350</v>
      </c>
      <c r="H160" s="71">
        <v>1430</v>
      </c>
      <c r="I160" s="76">
        <v>0</v>
      </c>
      <c r="J160" s="71">
        <v>180000</v>
      </c>
      <c r="K160" s="71">
        <v>1039202</v>
      </c>
      <c r="L160" s="71" t="s">
        <v>537</v>
      </c>
      <c r="M160" s="77" t="s">
        <v>538</v>
      </c>
      <c r="N160" s="71" t="s">
        <v>535</v>
      </c>
      <c r="O160" s="71"/>
      <c r="P160" s="71"/>
      <c r="Q160" s="71" t="s">
        <v>60</v>
      </c>
      <c r="R160" s="71">
        <v>0</v>
      </c>
      <c r="S160" s="74">
        <v>1039202</v>
      </c>
      <c r="T160" s="78">
        <v>600</v>
      </c>
      <c r="U160" s="78">
        <v>1011</v>
      </c>
      <c r="V160" s="78" t="s">
        <v>527</v>
      </c>
      <c r="W160" s="71">
        <v>0</v>
      </c>
      <c r="X160" s="71">
        <v>0</v>
      </c>
      <c r="Y160" s="71">
        <v>0</v>
      </c>
      <c r="Z160" s="71">
        <v>0</v>
      </c>
    </row>
    <row r="161" spans="1:26">
      <c r="A161" s="71">
        <v>1041001</v>
      </c>
      <c r="B161" s="71" t="s">
        <v>539</v>
      </c>
      <c r="C161" s="71"/>
      <c r="D161" s="71">
        <v>1</v>
      </c>
      <c r="E161" s="71">
        <v>3</v>
      </c>
      <c r="F161" s="71">
        <v>1001</v>
      </c>
      <c r="G161" s="71">
        <v>350</v>
      </c>
      <c r="H161" s="71">
        <v>10000</v>
      </c>
      <c r="I161" s="76">
        <v>0</v>
      </c>
      <c r="J161" s="71">
        <v>10000</v>
      </c>
      <c r="K161" s="71">
        <v>0</v>
      </c>
      <c r="L161" s="71" t="s">
        <v>539</v>
      </c>
      <c r="M161" s="77"/>
      <c r="N161" s="71" t="s">
        <v>539</v>
      </c>
      <c r="O161" s="71"/>
      <c r="P161" s="71"/>
      <c r="Q161" s="71" t="s">
        <v>227</v>
      </c>
      <c r="R161" s="71">
        <v>0</v>
      </c>
      <c r="S161" s="74">
        <v>0</v>
      </c>
      <c r="T161" s="71">
        <v>0</v>
      </c>
      <c r="U161" s="71">
        <v>1016</v>
      </c>
      <c r="V161" s="71">
        <v>800</v>
      </c>
      <c r="W161" s="71">
        <v>1041001</v>
      </c>
      <c r="X161" s="71">
        <v>500</v>
      </c>
      <c r="Y161" s="71">
        <v>350</v>
      </c>
      <c r="Z161" s="71">
        <v>0</v>
      </c>
    </row>
    <row r="162" spans="1:26">
      <c r="A162" s="71">
        <v>1041002</v>
      </c>
      <c r="B162" s="71" t="s">
        <v>92</v>
      </c>
      <c r="C162" s="25" t="s">
        <v>540</v>
      </c>
      <c r="D162" s="71">
        <v>2</v>
      </c>
      <c r="E162" s="71">
        <v>3</v>
      </c>
      <c r="F162" s="71">
        <v>2001</v>
      </c>
      <c r="G162" s="71">
        <v>350</v>
      </c>
      <c r="H162" s="71">
        <v>1670</v>
      </c>
      <c r="I162" s="76">
        <v>0</v>
      </c>
      <c r="J162" s="71">
        <v>70000</v>
      </c>
      <c r="K162" s="71">
        <v>1041002</v>
      </c>
      <c r="L162" s="71" t="s">
        <v>541</v>
      </c>
      <c r="M162" s="77" t="s">
        <v>542</v>
      </c>
      <c r="N162" s="71" t="s">
        <v>92</v>
      </c>
      <c r="O162" s="71"/>
      <c r="P162" s="71"/>
      <c r="Q162" s="71" t="s">
        <v>60</v>
      </c>
      <c r="R162" s="71">
        <v>0</v>
      </c>
      <c r="S162" s="74">
        <v>1041002</v>
      </c>
      <c r="T162" s="71">
        <v>700</v>
      </c>
      <c r="U162" s="71">
        <v>1016</v>
      </c>
      <c r="V162" s="71" t="s">
        <v>543</v>
      </c>
      <c r="W162" s="71">
        <v>0</v>
      </c>
      <c r="X162" s="71">
        <v>0</v>
      </c>
      <c r="Y162" s="71">
        <v>0</v>
      </c>
      <c r="Z162" s="71">
        <v>5002003</v>
      </c>
    </row>
    <row r="163" spans="1:26">
      <c r="A163" s="71">
        <v>1041101</v>
      </c>
      <c r="B163" s="71" t="s">
        <v>544</v>
      </c>
      <c r="C163" s="71"/>
      <c r="D163" s="71">
        <v>1</v>
      </c>
      <c r="E163" s="71">
        <v>3</v>
      </c>
      <c r="F163" s="71">
        <v>1001</v>
      </c>
      <c r="G163" s="71">
        <v>350</v>
      </c>
      <c r="H163" s="71">
        <v>10000</v>
      </c>
      <c r="I163" s="76">
        <v>0</v>
      </c>
      <c r="J163" s="71">
        <v>10000</v>
      </c>
      <c r="K163" s="71">
        <v>0</v>
      </c>
      <c r="L163" s="71" t="s">
        <v>544</v>
      </c>
      <c r="M163" s="77"/>
      <c r="N163" s="71" t="s">
        <v>544</v>
      </c>
      <c r="O163" s="71"/>
      <c r="P163" s="71"/>
      <c r="Q163" s="71" t="s">
        <v>227</v>
      </c>
      <c r="R163" s="71">
        <v>0</v>
      </c>
      <c r="S163" s="74">
        <v>0</v>
      </c>
      <c r="T163" s="71">
        <v>0</v>
      </c>
      <c r="U163" s="71">
        <v>1016</v>
      </c>
      <c r="V163" s="71">
        <v>700</v>
      </c>
      <c r="W163" s="71">
        <v>1041001</v>
      </c>
      <c r="X163" s="71">
        <v>400</v>
      </c>
      <c r="Y163" s="71">
        <v>350</v>
      </c>
      <c r="Z163" s="71">
        <v>0</v>
      </c>
    </row>
    <row r="164" spans="1:26">
      <c r="A164" s="71">
        <v>1041102</v>
      </c>
      <c r="B164" s="71" t="s">
        <v>545</v>
      </c>
      <c r="C164" s="25" t="s">
        <v>546</v>
      </c>
      <c r="D164" s="71">
        <v>2</v>
      </c>
      <c r="E164" s="71">
        <v>3</v>
      </c>
      <c r="F164" s="71">
        <v>2001</v>
      </c>
      <c r="G164" s="71">
        <v>350</v>
      </c>
      <c r="H164" s="71">
        <v>1670</v>
      </c>
      <c r="I164" s="76">
        <v>0</v>
      </c>
      <c r="J164" s="71">
        <v>70000</v>
      </c>
      <c r="K164" s="71">
        <v>1041002</v>
      </c>
      <c r="L164" s="71" t="s">
        <v>547</v>
      </c>
      <c r="M164" s="77" t="s">
        <v>548</v>
      </c>
      <c r="N164" s="71" t="s">
        <v>545</v>
      </c>
      <c r="O164" s="71"/>
      <c r="P164" s="71"/>
      <c r="Q164" s="71" t="s">
        <v>60</v>
      </c>
      <c r="R164" s="71">
        <v>0</v>
      </c>
      <c r="S164" s="74">
        <v>1041002</v>
      </c>
      <c r="T164" s="71">
        <v>700</v>
      </c>
      <c r="U164" s="71">
        <v>1016</v>
      </c>
      <c r="V164" s="71" t="s">
        <v>543</v>
      </c>
      <c r="W164" s="71">
        <v>0</v>
      </c>
      <c r="X164" s="71">
        <v>0</v>
      </c>
      <c r="Y164" s="71">
        <v>0</v>
      </c>
      <c r="Z164" s="71">
        <v>0</v>
      </c>
    </row>
    <row r="165" spans="1:26">
      <c r="A165" s="71">
        <v>1042001</v>
      </c>
      <c r="B165" s="71" t="s">
        <v>549</v>
      </c>
      <c r="C165" s="71"/>
      <c r="D165" s="71">
        <v>1</v>
      </c>
      <c r="E165" s="71">
        <v>3</v>
      </c>
      <c r="F165" s="71">
        <v>1001</v>
      </c>
      <c r="G165" s="71">
        <v>350</v>
      </c>
      <c r="H165" s="71">
        <v>10000</v>
      </c>
      <c r="I165" s="76">
        <v>0</v>
      </c>
      <c r="J165" s="71">
        <v>10000</v>
      </c>
      <c r="K165" s="71">
        <v>0</v>
      </c>
      <c r="L165" s="71" t="s">
        <v>549</v>
      </c>
      <c r="M165" s="77"/>
      <c r="N165" s="71" t="s">
        <v>549</v>
      </c>
      <c r="O165" s="71"/>
      <c r="P165" s="71"/>
      <c r="Q165" s="71" t="s">
        <v>227</v>
      </c>
      <c r="R165" s="71">
        <v>0</v>
      </c>
      <c r="S165" s="74">
        <v>0</v>
      </c>
      <c r="T165" s="78">
        <v>0</v>
      </c>
      <c r="U165" s="78">
        <v>1016</v>
      </c>
      <c r="V165" s="78">
        <v>700</v>
      </c>
      <c r="W165" s="71">
        <v>1042001</v>
      </c>
      <c r="X165" s="71">
        <v>400</v>
      </c>
      <c r="Y165" s="71">
        <v>350</v>
      </c>
      <c r="Z165" s="71">
        <v>0</v>
      </c>
    </row>
    <row r="166" spans="1:26">
      <c r="A166" s="71">
        <v>1042002</v>
      </c>
      <c r="B166" s="71" t="s">
        <v>550</v>
      </c>
      <c r="C166" s="25" t="s">
        <v>551</v>
      </c>
      <c r="D166" s="71">
        <v>2</v>
      </c>
      <c r="E166" s="71">
        <v>3</v>
      </c>
      <c r="F166" s="71">
        <v>2001</v>
      </c>
      <c r="G166" s="71">
        <v>350</v>
      </c>
      <c r="H166" s="71">
        <v>3330</v>
      </c>
      <c r="I166" s="76">
        <v>0</v>
      </c>
      <c r="J166" s="71">
        <v>180000</v>
      </c>
      <c r="K166" s="71">
        <v>1042002</v>
      </c>
      <c r="L166" s="71" t="s">
        <v>552</v>
      </c>
      <c r="M166" s="77" t="s">
        <v>553</v>
      </c>
      <c r="N166" s="71" t="s">
        <v>550</v>
      </c>
      <c r="O166" s="71"/>
      <c r="P166" s="71"/>
      <c r="Q166" s="71" t="s">
        <v>60</v>
      </c>
      <c r="R166" s="71">
        <v>0</v>
      </c>
      <c r="S166" s="74">
        <v>1042002</v>
      </c>
      <c r="T166" s="78">
        <v>900</v>
      </c>
      <c r="U166" s="78">
        <v>1016</v>
      </c>
      <c r="V166" s="79">
        <v>1400</v>
      </c>
      <c r="W166" s="71">
        <v>0</v>
      </c>
      <c r="X166" s="71">
        <v>0</v>
      </c>
      <c r="Y166" s="71">
        <v>0</v>
      </c>
      <c r="Z166" s="71">
        <v>0</v>
      </c>
    </row>
    <row r="167" spans="1:26">
      <c r="A167" s="71">
        <v>1042101</v>
      </c>
      <c r="B167" s="71" t="s">
        <v>554</v>
      </c>
      <c r="C167" s="71"/>
      <c r="D167" s="71">
        <v>1</v>
      </c>
      <c r="E167" s="71">
        <v>3</v>
      </c>
      <c r="F167" s="71">
        <v>1001</v>
      </c>
      <c r="G167" s="71">
        <v>350</v>
      </c>
      <c r="H167" s="71">
        <v>10000</v>
      </c>
      <c r="I167" s="76">
        <v>0</v>
      </c>
      <c r="J167" s="71">
        <v>10000</v>
      </c>
      <c r="K167" s="71">
        <v>0</v>
      </c>
      <c r="L167" s="71" t="s">
        <v>554</v>
      </c>
      <c r="M167" s="77"/>
      <c r="N167" s="71" t="s">
        <v>554</v>
      </c>
      <c r="O167" s="71"/>
      <c r="P167" s="71"/>
      <c r="Q167" s="71" t="s">
        <v>227</v>
      </c>
      <c r="R167" s="71">
        <v>0</v>
      </c>
      <c r="S167" s="74">
        <v>0</v>
      </c>
      <c r="T167" s="78">
        <v>0</v>
      </c>
      <c r="U167" s="78">
        <v>1016</v>
      </c>
      <c r="V167" s="78">
        <v>700</v>
      </c>
      <c r="W167" s="71">
        <v>1042001</v>
      </c>
      <c r="X167" s="71">
        <v>400</v>
      </c>
      <c r="Y167" s="71">
        <v>350</v>
      </c>
      <c r="Z167" s="71">
        <v>0</v>
      </c>
    </row>
    <row r="168" spans="1:26">
      <c r="A168" s="71">
        <v>1042102</v>
      </c>
      <c r="B168" s="71" t="s">
        <v>555</v>
      </c>
      <c r="C168" s="25" t="s">
        <v>556</v>
      </c>
      <c r="D168" s="71">
        <v>2</v>
      </c>
      <c r="E168" s="71">
        <v>3</v>
      </c>
      <c r="F168" s="71">
        <v>2001</v>
      </c>
      <c r="G168" s="71">
        <v>350</v>
      </c>
      <c r="H168" s="71">
        <v>3330</v>
      </c>
      <c r="I168" s="76">
        <v>0</v>
      </c>
      <c r="J168" s="71">
        <v>180000</v>
      </c>
      <c r="K168" s="71">
        <v>1042002</v>
      </c>
      <c r="L168" s="71" t="s">
        <v>557</v>
      </c>
      <c r="M168" s="77" t="s">
        <v>558</v>
      </c>
      <c r="N168" s="71" t="s">
        <v>555</v>
      </c>
      <c r="O168" s="71"/>
      <c r="P168" s="71"/>
      <c r="Q168" s="71" t="s">
        <v>60</v>
      </c>
      <c r="R168" s="71">
        <v>0</v>
      </c>
      <c r="S168" s="74">
        <v>1042002</v>
      </c>
      <c r="T168" s="78">
        <v>500</v>
      </c>
      <c r="U168" s="78">
        <v>1016</v>
      </c>
      <c r="V168" s="78" t="s">
        <v>559</v>
      </c>
      <c r="W168" s="71">
        <v>0</v>
      </c>
      <c r="X168" s="71">
        <v>0</v>
      </c>
      <c r="Y168" s="71">
        <v>0</v>
      </c>
      <c r="Z168" s="71">
        <v>0</v>
      </c>
    </row>
    <row r="169" spans="1:26">
      <c r="A169" s="71">
        <v>1045001</v>
      </c>
      <c r="B169" s="71" t="s">
        <v>560</v>
      </c>
      <c r="C169" s="71"/>
      <c r="D169" s="71">
        <v>1</v>
      </c>
      <c r="E169" s="71">
        <v>3</v>
      </c>
      <c r="F169" s="71">
        <v>1001</v>
      </c>
      <c r="G169" s="71">
        <v>350</v>
      </c>
      <c r="H169" s="71">
        <v>10000</v>
      </c>
      <c r="I169" s="76">
        <v>0</v>
      </c>
      <c r="J169" s="71">
        <v>10000</v>
      </c>
      <c r="K169" s="71">
        <v>0</v>
      </c>
      <c r="L169" s="71" t="s">
        <v>560</v>
      </c>
      <c r="M169" s="77"/>
      <c r="N169" s="71" t="s">
        <v>560</v>
      </c>
      <c r="O169" s="71"/>
      <c r="P169" s="71"/>
      <c r="Q169" s="71" t="s">
        <v>227</v>
      </c>
      <c r="R169" s="71">
        <v>0</v>
      </c>
      <c r="S169" s="74">
        <v>0</v>
      </c>
      <c r="T169" s="71">
        <v>0</v>
      </c>
      <c r="U169" s="71">
        <v>1015</v>
      </c>
      <c r="V169" s="71">
        <v>700</v>
      </c>
      <c r="W169" s="71">
        <v>1045001</v>
      </c>
      <c r="X169" s="71">
        <v>400</v>
      </c>
      <c r="Y169" s="71">
        <v>350</v>
      </c>
      <c r="Z169" s="71">
        <v>0</v>
      </c>
    </row>
    <row r="170" spans="1:26">
      <c r="A170" s="71">
        <v>1045002</v>
      </c>
      <c r="B170" s="71" t="s">
        <v>561</v>
      </c>
      <c r="C170" s="25" t="s">
        <v>562</v>
      </c>
      <c r="D170" s="71">
        <v>2</v>
      </c>
      <c r="E170" s="71">
        <v>3</v>
      </c>
      <c r="F170" s="71">
        <v>2001</v>
      </c>
      <c r="G170" s="71">
        <v>350</v>
      </c>
      <c r="H170" s="71">
        <v>10000</v>
      </c>
      <c r="I170" s="76">
        <v>0</v>
      </c>
      <c r="J170" s="71">
        <v>150000</v>
      </c>
      <c r="K170" s="71">
        <v>1045002</v>
      </c>
      <c r="L170" s="71" t="s">
        <v>563</v>
      </c>
      <c r="M170" s="77" t="s">
        <v>564</v>
      </c>
      <c r="N170" s="71" t="s">
        <v>561</v>
      </c>
      <c r="O170" s="71"/>
      <c r="P170" s="71"/>
      <c r="Q170" s="71" t="s">
        <v>60</v>
      </c>
      <c r="R170" s="71">
        <v>0</v>
      </c>
      <c r="S170" s="74">
        <v>1045002</v>
      </c>
      <c r="T170" s="71">
        <v>2000</v>
      </c>
      <c r="U170" s="71">
        <v>1015</v>
      </c>
      <c r="V170" s="71">
        <v>2650</v>
      </c>
      <c r="W170" s="71">
        <v>0</v>
      </c>
      <c r="X170" s="71">
        <v>0</v>
      </c>
      <c r="Y170" s="71">
        <v>0</v>
      </c>
      <c r="Z170" s="71">
        <v>0</v>
      </c>
    </row>
    <row r="171" spans="1:26">
      <c r="A171" s="71">
        <v>1045101</v>
      </c>
      <c r="B171" s="71" t="s">
        <v>565</v>
      </c>
      <c r="C171" s="71"/>
      <c r="D171" s="71">
        <v>1</v>
      </c>
      <c r="E171" s="71">
        <v>3</v>
      </c>
      <c r="F171" s="71">
        <v>1001</v>
      </c>
      <c r="G171" s="71">
        <v>350</v>
      </c>
      <c r="H171" s="71">
        <v>10000</v>
      </c>
      <c r="I171" s="76">
        <v>0</v>
      </c>
      <c r="J171" s="71">
        <v>10000</v>
      </c>
      <c r="K171" s="71">
        <v>0</v>
      </c>
      <c r="L171" s="71" t="s">
        <v>565</v>
      </c>
      <c r="M171" s="77"/>
      <c r="N171" s="71" t="s">
        <v>565</v>
      </c>
      <c r="O171" s="71"/>
      <c r="P171" s="71"/>
      <c r="Q171" s="71" t="s">
        <v>227</v>
      </c>
      <c r="R171" s="71">
        <v>0</v>
      </c>
      <c r="S171" s="74">
        <v>0</v>
      </c>
      <c r="T171" s="71">
        <v>0</v>
      </c>
      <c r="U171" s="71">
        <v>1015</v>
      </c>
      <c r="V171" s="71">
        <v>700</v>
      </c>
      <c r="W171" s="71">
        <v>1045001</v>
      </c>
      <c r="X171" s="71">
        <v>400</v>
      </c>
      <c r="Y171" s="71">
        <v>350</v>
      </c>
      <c r="Z171" s="71">
        <v>0</v>
      </c>
    </row>
    <row r="172" s="65" customFormat="1" spans="1:26">
      <c r="A172" s="71">
        <v>1045102</v>
      </c>
      <c r="B172" s="71" t="s">
        <v>213</v>
      </c>
      <c r="C172" s="25" t="s">
        <v>566</v>
      </c>
      <c r="D172" s="71">
        <v>2</v>
      </c>
      <c r="E172" s="71">
        <v>3</v>
      </c>
      <c r="F172" s="71">
        <v>2001</v>
      </c>
      <c r="G172" s="71">
        <v>350</v>
      </c>
      <c r="H172" s="71">
        <v>1670</v>
      </c>
      <c r="I172" s="76">
        <v>0</v>
      </c>
      <c r="J172" s="71">
        <v>150000</v>
      </c>
      <c r="K172" s="71">
        <v>1045102</v>
      </c>
      <c r="L172" s="71" t="s">
        <v>567</v>
      </c>
      <c r="M172" s="77" t="s">
        <v>568</v>
      </c>
      <c r="N172" s="71" t="s">
        <v>213</v>
      </c>
      <c r="O172" s="71"/>
      <c r="P172" s="71"/>
      <c r="Q172" s="71" t="s">
        <v>60</v>
      </c>
      <c r="R172" s="71">
        <v>0</v>
      </c>
      <c r="S172" s="74">
        <v>1045102</v>
      </c>
      <c r="T172" s="71">
        <v>800</v>
      </c>
      <c r="U172" s="71">
        <v>1015</v>
      </c>
      <c r="V172" s="71" t="s">
        <v>569</v>
      </c>
      <c r="W172" s="71">
        <v>0</v>
      </c>
      <c r="X172" s="71">
        <v>0</v>
      </c>
      <c r="Y172" s="71">
        <v>0</v>
      </c>
      <c r="Z172" s="71">
        <v>5007003</v>
      </c>
    </row>
    <row r="173" spans="1:26">
      <c r="A173" s="71">
        <v>1046001</v>
      </c>
      <c r="B173" s="71" t="s">
        <v>570</v>
      </c>
      <c r="C173" s="71"/>
      <c r="D173" s="71">
        <v>1</v>
      </c>
      <c r="E173" s="71">
        <v>3</v>
      </c>
      <c r="F173" s="71">
        <v>1001</v>
      </c>
      <c r="G173" s="71">
        <v>350</v>
      </c>
      <c r="H173" s="71">
        <v>10000</v>
      </c>
      <c r="I173" s="76">
        <v>0</v>
      </c>
      <c r="J173" s="71">
        <v>10000</v>
      </c>
      <c r="K173" s="71">
        <v>0</v>
      </c>
      <c r="L173" s="71" t="s">
        <v>570</v>
      </c>
      <c r="M173" s="77"/>
      <c r="N173" s="71" t="s">
        <v>570</v>
      </c>
      <c r="O173" s="71"/>
      <c r="P173" s="71"/>
      <c r="Q173" s="71" t="s">
        <v>227</v>
      </c>
      <c r="R173" s="71">
        <v>0</v>
      </c>
      <c r="S173" s="74">
        <v>0</v>
      </c>
      <c r="T173" s="71">
        <v>0</v>
      </c>
      <c r="U173" s="71">
        <v>1015</v>
      </c>
      <c r="V173" s="71">
        <v>800</v>
      </c>
      <c r="W173" s="71">
        <v>1046001</v>
      </c>
      <c r="X173" s="71">
        <v>500</v>
      </c>
      <c r="Y173" s="71">
        <v>350</v>
      </c>
      <c r="Z173" s="71">
        <v>0</v>
      </c>
    </row>
    <row r="174" spans="1:26">
      <c r="A174" s="71">
        <v>1046002</v>
      </c>
      <c r="B174" s="71" t="s">
        <v>571</v>
      </c>
      <c r="C174" s="25" t="s">
        <v>572</v>
      </c>
      <c r="D174" s="71">
        <v>2</v>
      </c>
      <c r="E174" s="71">
        <v>3</v>
      </c>
      <c r="F174" s="71">
        <v>2001</v>
      </c>
      <c r="G174" s="71">
        <v>350</v>
      </c>
      <c r="H174" s="71">
        <v>2000</v>
      </c>
      <c r="I174" s="76">
        <v>0</v>
      </c>
      <c r="J174" s="71">
        <v>150000</v>
      </c>
      <c r="K174" s="71">
        <v>1046002</v>
      </c>
      <c r="L174" s="71" t="s">
        <v>573</v>
      </c>
      <c r="M174" s="77" t="s">
        <v>574</v>
      </c>
      <c r="N174" s="71" t="s">
        <v>571</v>
      </c>
      <c r="O174" s="71"/>
      <c r="P174" s="71"/>
      <c r="Q174" s="71" t="s">
        <v>60</v>
      </c>
      <c r="R174" s="71">
        <v>0</v>
      </c>
      <c r="S174" s="74">
        <v>1046002</v>
      </c>
      <c r="T174" s="71">
        <v>1000</v>
      </c>
      <c r="U174" s="71">
        <v>1015</v>
      </c>
      <c r="V174" s="79" t="s">
        <v>575</v>
      </c>
      <c r="W174" s="71">
        <v>0</v>
      </c>
      <c r="X174" s="71">
        <v>0</v>
      </c>
      <c r="Y174" s="71">
        <v>0</v>
      </c>
      <c r="Z174" s="71">
        <v>0</v>
      </c>
    </row>
    <row r="175" spans="1:26">
      <c r="A175" s="71">
        <v>1046101</v>
      </c>
      <c r="B175" s="71" t="s">
        <v>576</v>
      </c>
      <c r="C175" s="71"/>
      <c r="D175" s="71">
        <v>1</v>
      </c>
      <c r="E175" s="71">
        <v>3</v>
      </c>
      <c r="F175" s="71">
        <v>1001</v>
      </c>
      <c r="G175" s="71">
        <v>350</v>
      </c>
      <c r="H175" s="71">
        <v>10000</v>
      </c>
      <c r="I175" s="76">
        <v>0</v>
      </c>
      <c r="J175" s="71">
        <v>10000</v>
      </c>
      <c r="K175" s="71">
        <v>0</v>
      </c>
      <c r="L175" s="71" t="s">
        <v>576</v>
      </c>
      <c r="M175" s="77"/>
      <c r="N175" s="71" t="s">
        <v>576</v>
      </c>
      <c r="O175" s="71"/>
      <c r="P175" s="71"/>
      <c r="Q175" s="71" t="s">
        <v>227</v>
      </c>
      <c r="R175" s="71">
        <v>0</v>
      </c>
      <c r="S175" s="74">
        <v>0</v>
      </c>
      <c r="T175" s="71">
        <v>0</v>
      </c>
      <c r="U175" s="71">
        <v>1015</v>
      </c>
      <c r="V175" s="71">
        <v>700</v>
      </c>
      <c r="W175" s="71">
        <v>1046001</v>
      </c>
      <c r="X175" s="71">
        <v>400</v>
      </c>
      <c r="Y175" s="71">
        <v>350</v>
      </c>
      <c r="Z175" s="71">
        <v>0</v>
      </c>
    </row>
    <row r="176" spans="1:26">
      <c r="A176" s="71">
        <v>1046102</v>
      </c>
      <c r="B176" s="71" t="s">
        <v>68</v>
      </c>
      <c r="C176" s="25" t="s">
        <v>577</v>
      </c>
      <c r="D176" s="71">
        <v>2</v>
      </c>
      <c r="E176" s="71">
        <v>3</v>
      </c>
      <c r="F176" s="71">
        <v>2001</v>
      </c>
      <c r="G176" s="71">
        <v>350</v>
      </c>
      <c r="H176" s="71">
        <v>2000</v>
      </c>
      <c r="I176" s="76">
        <v>0</v>
      </c>
      <c r="J176" s="71">
        <v>150000</v>
      </c>
      <c r="K176" s="71">
        <v>1046002</v>
      </c>
      <c r="L176" s="71" t="s">
        <v>578</v>
      </c>
      <c r="M176" s="77" t="s">
        <v>579</v>
      </c>
      <c r="N176" s="71" t="s">
        <v>68</v>
      </c>
      <c r="O176" s="71"/>
      <c r="P176" s="71"/>
      <c r="Q176" s="71" t="s">
        <v>60</v>
      </c>
      <c r="R176" s="71">
        <v>0</v>
      </c>
      <c r="S176" s="74">
        <v>1046002</v>
      </c>
      <c r="T176" s="71">
        <v>800</v>
      </c>
      <c r="U176" s="71">
        <v>1015</v>
      </c>
      <c r="V176" s="79" t="s">
        <v>580</v>
      </c>
      <c r="W176" s="71">
        <v>0</v>
      </c>
      <c r="X176" s="71">
        <v>0</v>
      </c>
      <c r="Y176" s="71">
        <v>0</v>
      </c>
      <c r="Z176" s="71">
        <v>5001003</v>
      </c>
    </row>
    <row r="177" spans="1:26">
      <c r="A177" s="71">
        <v>1047001</v>
      </c>
      <c r="B177" s="71" t="s">
        <v>581</v>
      </c>
      <c r="C177" s="71"/>
      <c r="D177" s="71">
        <v>1</v>
      </c>
      <c r="E177" s="71">
        <v>3</v>
      </c>
      <c r="F177" s="71">
        <v>1001</v>
      </c>
      <c r="G177" s="71">
        <v>350</v>
      </c>
      <c r="H177" s="71">
        <v>10000</v>
      </c>
      <c r="I177" s="76">
        <v>0</v>
      </c>
      <c r="J177" s="71">
        <v>10000</v>
      </c>
      <c r="K177" s="71">
        <v>0</v>
      </c>
      <c r="L177" s="71" t="s">
        <v>581</v>
      </c>
      <c r="M177" s="77"/>
      <c r="N177" s="71" t="s">
        <v>581</v>
      </c>
      <c r="O177" s="71"/>
      <c r="P177" s="71"/>
      <c r="Q177" s="71" t="s">
        <v>227</v>
      </c>
      <c r="R177" s="71">
        <v>0</v>
      </c>
      <c r="S177" s="74">
        <v>0</v>
      </c>
      <c r="T177" s="71">
        <v>0</v>
      </c>
      <c r="U177" s="71">
        <v>1015</v>
      </c>
      <c r="V177" s="71">
        <v>700</v>
      </c>
      <c r="W177" s="71">
        <v>1047001</v>
      </c>
      <c r="X177" s="71">
        <v>400</v>
      </c>
      <c r="Y177" s="71">
        <v>350</v>
      </c>
      <c r="Z177" s="71">
        <v>0</v>
      </c>
    </row>
    <row r="178" spans="1:26">
      <c r="A178" s="71">
        <v>1047002</v>
      </c>
      <c r="B178" s="71" t="s">
        <v>582</v>
      </c>
      <c r="C178" s="25" t="s">
        <v>583</v>
      </c>
      <c r="D178" s="71">
        <v>2</v>
      </c>
      <c r="E178" s="71">
        <v>3</v>
      </c>
      <c r="F178" s="71">
        <v>2001</v>
      </c>
      <c r="G178" s="71">
        <v>350</v>
      </c>
      <c r="H178" s="71">
        <v>2500</v>
      </c>
      <c r="I178" s="76">
        <v>0</v>
      </c>
      <c r="J178" s="71">
        <v>150000</v>
      </c>
      <c r="K178" s="71">
        <v>1047002</v>
      </c>
      <c r="L178" s="71" t="s">
        <v>584</v>
      </c>
      <c r="M178" s="77" t="s">
        <v>585</v>
      </c>
      <c r="N178" s="71" t="s">
        <v>582</v>
      </c>
      <c r="O178" s="71"/>
      <c r="P178" s="71"/>
      <c r="Q178" s="71" t="s">
        <v>60</v>
      </c>
      <c r="R178" s="71">
        <v>0</v>
      </c>
      <c r="S178" s="74">
        <v>1047002</v>
      </c>
      <c r="T178" s="71">
        <v>500</v>
      </c>
      <c r="U178" s="71">
        <v>1015</v>
      </c>
      <c r="V178" s="71" t="s">
        <v>586</v>
      </c>
      <c r="W178" s="71">
        <v>0</v>
      </c>
      <c r="X178" s="71">
        <v>0</v>
      </c>
      <c r="Y178" s="71">
        <v>0</v>
      </c>
      <c r="Z178" s="71">
        <v>0</v>
      </c>
    </row>
    <row r="179" spans="1:26">
      <c r="A179" s="71">
        <v>1047101</v>
      </c>
      <c r="B179" s="71" t="s">
        <v>587</v>
      </c>
      <c r="C179" s="71"/>
      <c r="D179" s="71">
        <v>1</v>
      </c>
      <c r="E179" s="71">
        <v>3</v>
      </c>
      <c r="F179" s="71">
        <v>1001</v>
      </c>
      <c r="G179" s="71">
        <v>350</v>
      </c>
      <c r="H179" s="71">
        <v>10000</v>
      </c>
      <c r="I179" s="76">
        <v>0</v>
      </c>
      <c r="J179" s="71">
        <v>10000</v>
      </c>
      <c r="K179" s="71">
        <v>0</v>
      </c>
      <c r="L179" s="71" t="s">
        <v>587</v>
      </c>
      <c r="M179" s="77"/>
      <c r="N179" s="71" t="s">
        <v>587</v>
      </c>
      <c r="O179" s="71"/>
      <c r="P179" s="71"/>
      <c r="Q179" s="71" t="s">
        <v>227</v>
      </c>
      <c r="R179" s="71">
        <v>0</v>
      </c>
      <c r="S179" s="74">
        <v>0</v>
      </c>
      <c r="T179" s="71">
        <v>0</v>
      </c>
      <c r="U179" s="71">
        <v>1015</v>
      </c>
      <c r="V179" s="71">
        <v>700</v>
      </c>
      <c r="W179" s="71">
        <v>1047001</v>
      </c>
      <c r="X179" s="71">
        <v>400</v>
      </c>
      <c r="Y179" s="71">
        <v>350</v>
      </c>
      <c r="Z179" s="71">
        <v>0</v>
      </c>
    </row>
    <row r="180" spans="1:26">
      <c r="A180" s="71">
        <v>1047102</v>
      </c>
      <c r="B180" s="71" t="s">
        <v>588</v>
      </c>
      <c r="C180" s="25" t="s">
        <v>589</v>
      </c>
      <c r="D180" s="71">
        <v>2</v>
      </c>
      <c r="E180" s="71">
        <v>3</v>
      </c>
      <c r="F180" s="71">
        <v>2001</v>
      </c>
      <c r="G180" s="71">
        <v>350</v>
      </c>
      <c r="H180" s="71">
        <v>2500</v>
      </c>
      <c r="I180" s="76">
        <v>0</v>
      </c>
      <c r="J180" s="71">
        <v>150000</v>
      </c>
      <c r="K180" s="71">
        <v>1047002</v>
      </c>
      <c r="L180" s="71" t="s">
        <v>590</v>
      </c>
      <c r="M180" s="77" t="s">
        <v>591</v>
      </c>
      <c r="N180" s="71" t="s">
        <v>588</v>
      </c>
      <c r="O180" s="71"/>
      <c r="P180" s="71"/>
      <c r="Q180" s="71" t="s">
        <v>60</v>
      </c>
      <c r="R180" s="71">
        <v>0</v>
      </c>
      <c r="S180" s="74">
        <v>1047002</v>
      </c>
      <c r="T180" s="71">
        <v>900</v>
      </c>
      <c r="U180" s="71">
        <v>1015</v>
      </c>
      <c r="V180" s="71" t="s">
        <v>592</v>
      </c>
      <c r="W180" s="71">
        <v>0</v>
      </c>
      <c r="X180" s="71">
        <v>0</v>
      </c>
      <c r="Y180" s="71">
        <v>0</v>
      </c>
      <c r="Z180" s="71">
        <v>0</v>
      </c>
    </row>
    <row r="181" spans="1:26">
      <c r="A181" s="71">
        <v>1050001</v>
      </c>
      <c r="B181" s="71" t="s">
        <v>593</v>
      </c>
      <c r="C181" s="71"/>
      <c r="D181" s="71">
        <v>1</v>
      </c>
      <c r="E181" s="71">
        <v>3</v>
      </c>
      <c r="F181" s="71">
        <v>1001</v>
      </c>
      <c r="G181" s="71">
        <v>350</v>
      </c>
      <c r="H181" s="71">
        <v>10000</v>
      </c>
      <c r="I181" s="76">
        <v>0</v>
      </c>
      <c r="J181" s="71">
        <v>10000</v>
      </c>
      <c r="K181" s="71">
        <v>0</v>
      </c>
      <c r="L181" s="71" t="s">
        <v>593</v>
      </c>
      <c r="M181" s="77"/>
      <c r="N181" s="71" t="s">
        <v>593</v>
      </c>
      <c r="O181" s="71"/>
      <c r="P181" s="71"/>
      <c r="Q181" s="71" t="s">
        <v>227</v>
      </c>
      <c r="R181" s="71">
        <v>0</v>
      </c>
      <c r="S181" s="74">
        <v>0</v>
      </c>
      <c r="T181" s="71">
        <v>0</v>
      </c>
      <c r="U181" s="71">
        <v>1012</v>
      </c>
      <c r="V181" s="71">
        <v>700</v>
      </c>
      <c r="W181" s="71">
        <v>1050001</v>
      </c>
      <c r="X181" s="71">
        <v>400</v>
      </c>
      <c r="Y181" s="71">
        <v>350</v>
      </c>
      <c r="Z181" s="71">
        <v>0</v>
      </c>
    </row>
    <row r="182" spans="1:26">
      <c r="A182" s="71">
        <v>1050002</v>
      </c>
      <c r="B182" s="71" t="s">
        <v>594</v>
      </c>
      <c r="C182" s="25" t="s">
        <v>595</v>
      </c>
      <c r="D182" s="71">
        <v>2</v>
      </c>
      <c r="E182" s="71">
        <v>3</v>
      </c>
      <c r="F182" s="71">
        <v>2001</v>
      </c>
      <c r="G182" s="71">
        <v>350</v>
      </c>
      <c r="H182" s="71">
        <v>1110</v>
      </c>
      <c r="I182" s="76">
        <v>0</v>
      </c>
      <c r="J182" s="71">
        <v>120000</v>
      </c>
      <c r="K182" s="71">
        <v>1050002</v>
      </c>
      <c r="L182" s="71" t="s">
        <v>596</v>
      </c>
      <c r="M182" s="77" t="s">
        <v>597</v>
      </c>
      <c r="N182" s="71" t="s">
        <v>594</v>
      </c>
      <c r="O182" s="71"/>
      <c r="P182" s="71"/>
      <c r="Q182" s="71" t="s">
        <v>60</v>
      </c>
      <c r="R182" s="71">
        <v>0</v>
      </c>
      <c r="S182" s="74">
        <v>1050002</v>
      </c>
      <c r="T182" s="71">
        <v>1000</v>
      </c>
      <c r="U182" s="71">
        <v>1012</v>
      </c>
      <c r="V182" s="71" t="s">
        <v>598</v>
      </c>
      <c r="W182" s="71">
        <v>0</v>
      </c>
      <c r="X182" s="71">
        <v>0</v>
      </c>
      <c r="Y182" s="71">
        <v>0</v>
      </c>
      <c r="Z182" s="71">
        <v>0</v>
      </c>
    </row>
    <row r="183" spans="1:26">
      <c r="A183" s="71">
        <v>1050101</v>
      </c>
      <c r="B183" s="71" t="s">
        <v>599</v>
      </c>
      <c r="C183" s="71"/>
      <c r="D183" s="71">
        <v>1</v>
      </c>
      <c r="E183" s="71">
        <v>3</v>
      </c>
      <c r="F183" s="71">
        <v>1001</v>
      </c>
      <c r="G183" s="71">
        <v>350</v>
      </c>
      <c r="H183" s="71">
        <v>10000</v>
      </c>
      <c r="I183" s="76">
        <v>0</v>
      </c>
      <c r="J183" s="71">
        <v>10000</v>
      </c>
      <c r="K183" s="71">
        <v>0</v>
      </c>
      <c r="L183" s="71" t="s">
        <v>599</v>
      </c>
      <c r="M183" s="77"/>
      <c r="N183" s="71" t="s">
        <v>599</v>
      </c>
      <c r="O183" s="71"/>
      <c r="P183" s="71"/>
      <c r="Q183" s="71" t="s">
        <v>227</v>
      </c>
      <c r="R183" s="71">
        <v>0</v>
      </c>
      <c r="S183" s="74">
        <v>0</v>
      </c>
      <c r="T183" s="71">
        <v>0</v>
      </c>
      <c r="U183" s="71">
        <v>1012</v>
      </c>
      <c r="V183" s="71">
        <v>700</v>
      </c>
      <c r="W183" s="71">
        <v>1050001</v>
      </c>
      <c r="X183" s="71">
        <v>400</v>
      </c>
      <c r="Y183" s="71">
        <v>350</v>
      </c>
      <c r="Z183" s="71">
        <v>0</v>
      </c>
    </row>
    <row r="184" spans="1:26">
      <c r="A184" s="71">
        <v>1050102</v>
      </c>
      <c r="B184" s="71" t="s">
        <v>600</v>
      </c>
      <c r="C184" s="25" t="s">
        <v>601</v>
      </c>
      <c r="D184" s="71">
        <v>2</v>
      </c>
      <c r="E184" s="71">
        <v>3</v>
      </c>
      <c r="F184" s="71">
        <v>2001</v>
      </c>
      <c r="G184" s="71">
        <v>350</v>
      </c>
      <c r="H184" s="71">
        <v>1110</v>
      </c>
      <c r="I184" s="76">
        <v>0</v>
      </c>
      <c r="J184" s="71">
        <v>120000</v>
      </c>
      <c r="K184" s="71">
        <v>1050002</v>
      </c>
      <c r="L184" s="71" t="s">
        <v>602</v>
      </c>
      <c r="M184" s="77" t="s">
        <v>603</v>
      </c>
      <c r="N184" s="71" t="s">
        <v>600</v>
      </c>
      <c r="O184" s="71"/>
      <c r="P184" s="71"/>
      <c r="Q184" s="71" t="s">
        <v>60</v>
      </c>
      <c r="R184" s="71">
        <v>0</v>
      </c>
      <c r="S184" s="74">
        <v>1050002</v>
      </c>
      <c r="T184" s="71">
        <v>400</v>
      </c>
      <c r="U184" s="71">
        <v>1012</v>
      </c>
      <c r="V184" s="71" t="s">
        <v>604</v>
      </c>
      <c r="W184" s="71">
        <v>0</v>
      </c>
      <c r="X184" s="71">
        <v>0</v>
      </c>
      <c r="Y184" s="71">
        <v>0</v>
      </c>
      <c r="Z184" s="71">
        <v>0</v>
      </c>
    </row>
    <row r="185" spans="1:26">
      <c r="A185" s="71">
        <v>1051001</v>
      </c>
      <c r="B185" s="71" t="s">
        <v>605</v>
      </c>
      <c r="C185" s="71"/>
      <c r="D185" s="71">
        <v>1</v>
      </c>
      <c r="E185" s="71">
        <v>3</v>
      </c>
      <c r="F185" s="71">
        <v>1001</v>
      </c>
      <c r="G185" s="71">
        <v>350</v>
      </c>
      <c r="H185" s="71">
        <v>10000</v>
      </c>
      <c r="I185" s="76">
        <v>0</v>
      </c>
      <c r="J185" s="71">
        <v>10000</v>
      </c>
      <c r="K185" s="71">
        <v>0</v>
      </c>
      <c r="L185" s="71" t="s">
        <v>605</v>
      </c>
      <c r="M185" s="77"/>
      <c r="N185" s="71" t="s">
        <v>605</v>
      </c>
      <c r="O185" s="71"/>
      <c r="P185" s="71"/>
      <c r="Q185" s="71" t="s">
        <v>227</v>
      </c>
      <c r="R185" s="71">
        <v>0</v>
      </c>
      <c r="S185" s="74">
        <v>0</v>
      </c>
      <c r="T185" s="71">
        <v>0</v>
      </c>
      <c r="U185" s="71">
        <v>1015</v>
      </c>
      <c r="V185" s="71">
        <v>700</v>
      </c>
      <c r="W185" s="71">
        <v>1051001</v>
      </c>
      <c r="X185" s="71">
        <v>400</v>
      </c>
      <c r="Y185" s="71">
        <v>350</v>
      </c>
      <c r="Z185" s="71">
        <v>0</v>
      </c>
    </row>
    <row r="186" spans="1:26">
      <c r="A186" s="71">
        <v>1051002</v>
      </c>
      <c r="B186" s="71" t="s">
        <v>606</v>
      </c>
      <c r="C186" s="25" t="s">
        <v>607</v>
      </c>
      <c r="D186" s="71">
        <v>2</v>
      </c>
      <c r="E186" s="71">
        <v>3</v>
      </c>
      <c r="F186" s="71">
        <v>2001</v>
      </c>
      <c r="G186" s="71">
        <v>350</v>
      </c>
      <c r="H186" s="71">
        <v>1430</v>
      </c>
      <c r="I186" s="76">
        <v>0</v>
      </c>
      <c r="J186" s="71">
        <v>150000</v>
      </c>
      <c r="K186" s="71">
        <v>1051002</v>
      </c>
      <c r="L186" s="71" t="s">
        <v>608</v>
      </c>
      <c r="M186" s="77" t="s">
        <v>609</v>
      </c>
      <c r="N186" s="71" t="s">
        <v>606</v>
      </c>
      <c r="O186" s="71"/>
      <c r="P186" s="71"/>
      <c r="Q186" s="71" t="s">
        <v>60</v>
      </c>
      <c r="R186" s="71">
        <v>0</v>
      </c>
      <c r="S186" s="74">
        <v>1051002</v>
      </c>
      <c r="T186" s="71">
        <v>700</v>
      </c>
      <c r="U186" s="71">
        <v>1015</v>
      </c>
      <c r="V186" s="71" t="s">
        <v>610</v>
      </c>
      <c r="W186" s="71">
        <v>0</v>
      </c>
      <c r="X186" s="71">
        <v>0</v>
      </c>
      <c r="Y186" s="71">
        <v>0</v>
      </c>
      <c r="Z186" s="71">
        <v>0</v>
      </c>
    </row>
    <row r="187" spans="1:26">
      <c r="A187" s="71">
        <v>1051101</v>
      </c>
      <c r="B187" s="71" t="s">
        <v>611</v>
      </c>
      <c r="C187" s="71"/>
      <c r="D187" s="71">
        <v>1</v>
      </c>
      <c r="E187" s="71">
        <v>3</v>
      </c>
      <c r="F187" s="71">
        <v>1001</v>
      </c>
      <c r="G187" s="71">
        <v>350</v>
      </c>
      <c r="H187" s="71">
        <v>10000</v>
      </c>
      <c r="I187" s="76">
        <v>0</v>
      </c>
      <c r="J187" s="71">
        <v>10000</v>
      </c>
      <c r="K187" s="71">
        <v>0</v>
      </c>
      <c r="L187" s="71" t="s">
        <v>611</v>
      </c>
      <c r="M187" s="77"/>
      <c r="N187" s="71" t="s">
        <v>611</v>
      </c>
      <c r="O187" s="71"/>
      <c r="P187" s="71"/>
      <c r="Q187" s="71" t="s">
        <v>227</v>
      </c>
      <c r="R187" s="71">
        <v>0</v>
      </c>
      <c r="S187" s="74">
        <v>0</v>
      </c>
      <c r="T187" s="71">
        <v>0</v>
      </c>
      <c r="U187" s="71">
        <v>1015</v>
      </c>
      <c r="V187" s="71">
        <v>700</v>
      </c>
      <c r="W187" s="71">
        <v>1051001</v>
      </c>
      <c r="X187" s="71">
        <v>400</v>
      </c>
      <c r="Y187" s="71">
        <v>350</v>
      </c>
      <c r="Z187" s="71">
        <v>0</v>
      </c>
    </row>
    <row r="188" spans="1:26">
      <c r="A188" s="71">
        <v>1051102</v>
      </c>
      <c r="B188" s="71" t="s">
        <v>97</v>
      </c>
      <c r="C188" s="25" t="s">
        <v>612</v>
      </c>
      <c r="D188" s="71">
        <v>2</v>
      </c>
      <c r="E188" s="71">
        <v>3</v>
      </c>
      <c r="F188" s="71">
        <v>2001</v>
      </c>
      <c r="G188" s="71">
        <v>350</v>
      </c>
      <c r="H188" s="71">
        <v>1430</v>
      </c>
      <c r="I188" s="76">
        <v>0</v>
      </c>
      <c r="J188" s="71">
        <v>150000</v>
      </c>
      <c r="K188" s="71">
        <v>1051002</v>
      </c>
      <c r="L188" s="71" t="s">
        <v>613</v>
      </c>
      <c r="M188" s="77" t="s">
        <v>614</v>
      </c>
      <c r="N188" s="71" t="s">
        <v>97</v>
      </c>
      <c r="O188" s="71"/>
      <c r="P188" s="71"/>
      <c r="Q188" s="71" t="s">
        <v>60</v>
      </c>
      <c r="R188" s="71">
        <v>0</v>
      </c>
      <c r="S188" s="74">
        <v>1051002</v>
      </c>
      <c r="T188" s="71">
        <v>700</v>
      </c>
      <c r="U188" s="71">
        <v>1015</v>
      </c>
      <c r="V188" s="71" t="s">
        <v>610</v>
      </c>
      <c r="W188" s="71">
        <v>0</v>
      </c>
      <c r="X188" s="71">
        <v>0</v>
      </c>
      <c r="Y188" s="71">
        <v>0</v>
      </c>
      <c r="Z188" s="71">
        <v>5002004</v>
      </c>
    </row>
    <row r="189" spans="1:26">
      <c r="A189" s="71">
        <v>1051201</v>
      </c>
      <c r="B189" s="71" t="s">
        <v>615</v>
      </c>
      <c r="C189" s="71"/>
      <c r="D189" s="71">
        <v>1</v>
      </c>
      <c r="E189" s="71">
        <v>3</v>
      </c>
      <c r="F189" s="71">
        <v>1001</v>
      </c>
      <c r="G189" s="71">
        <v>350</v>
      </c>
      <c r="H189" s="71">
        <v>10000</v>
      </c>
      <c r="I189" s="76">
        <v>0</v>
      </c>
      <c r="J189" s="71">
        <v>10000</v>
      </c>
      <c r="K189" s="71">
        <v>0</v>
      </c>
      <c r="L189" s="71" t="s">
        <v>615</v>
      </c>
      <c r="M189" s="77"/>
      <c r="N189" s="71" t="s">
        <v>615</v>
      </c>
      <c r="O189" s="71"/>
      <c r="P189" s="71"/>
      <c r="Q189" s="71" t="s">
        <v>227</v>
      </c>
      <c r="R189" s="71">
        <v>0</v>
      </c>
      <c r="S189" s="74">
        <v>0</v>
      </c>
      <c r="T189" s="71">
        <v>0</v>
      </c>
      <c r="U189" s="71">
        <v>1015</v>
      </c>
      <c r="V189" s="71">
        <v>700</v>
      </c>
      <c r="W189" s="71">
        <v>1051001</v>
      </c>
      <c r="X189" s="71">
        <v>400</v>
      </c>
      <c r="Y189" s="71">
        <v>350</v>
      </c>
      <c r="Z189" s="71">
        <v>0</v>
      </c>
    </row>
    <row r="190" spans="1:26">
      <c r="A190" s="71">
        <v>1051202</v>
      </c>
      <c r="B190" s="71" t="s">
        <v>616</v>
      </c>
      <c r="C190" s="25" t="s">
        <v>617</v>
      </c>
      <c r="D190" s="71">
        <v>2</v>
      </c>
      <c r="E190" s="71">
        <v>3</v>
      </c>
      <c r="F190" s="71">
        <v>2001</v>
      </c>
      <c r="G190" s="71">
        <v>350</v>
      </c>
      <c r="H190" s="71">
        <v>1430</v>
      </c>
      <c r="I190" s="76">
        <v>0</v>
      </c>
      <c r="J190" s="71">
        <v>150000</v>
      </c>
      <c r="K190" s="71">
        <v>1051202</v>
      </c>
      <c r="L190" s="71" t="s">
        <v>618</v>
      </c>
      <c r="M190" s="77" t="s">
        <v>619</v>
      </c>
      <c r="N190" s="71" t="s">
        <v>616</v>
      </c>
      <c r="O190" s="71"/>
      <c r="P190" s="71"/>
      <c r="Q190" s="71" t="s">
        <v>60</v>
      </c>
      <c r="R190" s="71">
        <v>0</v>
      </c>
      <c r="S190" s="74">
        <v>1051202</v>
      </c>
      <c r="T190" s="71">
        <v>500</v>
      </c>
      <c r="U190" s="71">
        <v>1015</v>
      </c>
      <c r="V190" s="71" t="s">
        <v>620</v>
      </c>
      <c r="W190" s="71">
        <v>0</v>
      </c>
      <c r="X190" s="71">
        <v>0</v>
      </c>
      <c r="Y190" s="71">
        <v>0</v>
      </c>
      <c r="Z190" s="71">
        <v>0</v>
      </c>
    </row>
    <row r="191" spans="1:26">
      <c r="A191" s="71">
        <v>1052001</v>
      </c>
      <c r="B191" s="71" t="s">
        <v>621</v>
      </c>
      <c r="C191" s="71"/>
      <c r="D191" s="71">
        <v>1</v>
      </c>
      <c r="E191" s="71">
        <v>3</v>
      </c>
      <c r="F191" s="71">
        <v>1001</v>
      </c>
      <c r="G191" s="71">
        <v>350</v>
      </c>
      <c r="H191" s="71">
        <v>10000</v>
      </c>
      <c r="I191" s="76">
        <v>0</v>
      </c>
      <c r="J191" s="71">
        <v>10000</v>
      </c>
      <c r="K191" s="71">
        <v>0</v>
      </c>
      <c r="L191" s="71" t="s">
        <v>621</v>
      </c>
      <c r="M191" s="77"/>
      <c r="N191" s="71" t="s">
        <v>621</v>
      </c>
      <c r="O191" s="71"/>
      <c r="P191" s="71"/>
      <c r="Q191" s="71" t="s">
        <v>227</v>
      </c>
      <c r="R191" s="71">
        <v>0</v>
      </c>
      <c r="S191" s="74">
        <v>0</v>
      </c>
      <c r="T191" s="71">
        <v>0</v>
      </c>
      <c r="U191" s="71">
        <v>1015</v>
      </c>
      <c r="V191" s="71">
        <v>700</v>
      </c>
      <c r="W191" s="71">
        <v>1052001</v>
      </c>
      <c r="X191" s="71">
        <v>400</v>
      </c>
      <c r="Y191" s="71">
        <v>350</v>
      </c>
      <c r="Z191" s="71">
        <v>0</v>
      </c>
    </row>
    <row r="192" spans="1:26">
      <c r="A192" s="71">
        <v>1052002</v>
      </c>
      <c r="B192" s="71" t="s">
        <v>622</v>
      </c>
      <c r="C192" s="25" t="s">
        <v>623</v>
      </c>
      <c r="D192" s="71">
        <v>2</v>
      </c>
      <c r="E192" s="71">
        <v>3</v>
      </c>
      <c r="F192" s="71">
        <v>2001</v>
      </c>
      <c r="G192" s="71">
        <v>350</v>
      </c>
      <c r="H192" s="71">
        <v>10000</v>
      </c>
      <c r="I192" s="76">
        <v>0</v>
      </c>
      <c r="J192" s="71">
        <v>150000</v>
      </c>
      <c r="K192" s="71">
        <v>1052002</v>
      </c>
      <c r="L192" s="71" t="s">
        <v>624</v>
      </c>
      <c r="M192" s="77" t="s">
        <v>625</v>
      </c>
      <c r="N192" s="71" t="s">
        <v>622</v>
      </c>
      <c r="O192" s="71"/>
      <c r="P192" s="71"/>
      <c r="Q192" s="71" t="s">
        <v>60</v>
      </c>
      <c r="R192" s="71">
        <v>0</v>
      </c>
      <c r="S192" s="74">
        <v>1052002</v>
      </c>
      <c r="T192" s="71">
        <v>0</v>
      </c>
      <c r="U192" s="71">
        <v>1015</v>
      </c>
      <c r="V192" s="79">
        <v>850</v>
      </c>
      <c r="W192" s="71">
        <v>0</v>
      </c>
      <c r="X192" s="71">
        <v>0</v>
      </c>
      <c r="Y192" s="71">
        <v>0</v>
      </c>
      <c r="Z192" s="71">
        <v>0</v>
      </c>
    </row>
    <row r="193" spans="1:26">
      <c r="A193" s="71">
        <v>1052101</v>
      </c>
      <c r="B193" s="71" t="s">
        <v>626</v>
      </c>
      <c r="C193" s="71"/>
      <c r="D193" s="71">
        <v>1</v>
      </c>
      <c r="E193" s="71">
        <v>3</v>
      </c>
      <c r="F193" s="71">
        <v>1001</v>
      </c>
      <c r="G193" s="71">
        <v>350</v>
      </c>
      <c r="H193" s="71">
        <v>10000</v>
      </c>
      <c r="I193" s="76">
        <v>0</v>
      </c>
      <c r="J193" s="71">
        <v>10000</v>
      </c>
      <c r="K193" s="71">
        <v>0</v>
      </c>
      <c r="L193" s="71" t="s">
        <v>626</v>
      </c>
      <c r="M193" s="77"/>
      <c r="N193" s="71" t="s">
        <v>626</v>
      </c>
      <c r="O193" s="71"/>
      <c r="P193" s="71"/>
      <c r="Q193" s="71" t="s">
        <v>227</v>
      </c>
      <c r="R193" s="71">
        <v>0</v>
      </c>
      <c r="S193" s="74">
        <v>0</v>
      </c>
      <c r="T193" s="71">
        <v>0</v>
      </c>
      <c r="U193" s="71">
        <v>1015</v>
      </c>
      <c r="V193" s="71">
        <v>700</v>
      </c>
      <c r="W193" s="71">
        <v>1052001</v>
      </c>
      <c r="X193" s="71">
        <v>400</v>
      </c>
      <c r="Y193" s="71">
        <v>350</v>
      </c>
      <c r="Z193" s="71">
        <v>0</v>
      </c>
    </row>
    <row r="194" spans="1:26">
      <c r="A194" s="71">
        <v>1052102</v>
      </c>
      <c r="B194" s="71" t="s">
        <v>173</v>
      </c>
      <c r="C194" s="25" t="s">
        <v>627</v>
      </c>
      <c r="D194" s="71">
        <v>2</v>
      </c>
      <c r="E194" s="71">
        <v>3</v>
      </c>
      <c r="F194" s="71">
        <v>2001</v>
      </c>
      <c r="G194" s="71">
        <v>350</v>
      </c>
      <c r="H194" s="71">
        <v>2500</v>
      </c>
      <c r="I194" s="76">
        <v>0</v>
      </c>
      <c r="J194" s="71">
        <v>150000</v>
      </c>
      <c r="K194" s="71">
        <v>1052102</v>
      </c>
      <c r="L194" s="71" t="s">
        <v>628</v>
      </c>
      <c r="M194" s="77" t="s">
        <v>629</v>
      </c>
      <c r="N194" s="71" t="s">
        <v>173</v>
      </c>
      <c r="O194" s="71"/>
      <c r="P194" s="71"/>
      <c r="Q194" s="71" t="s">
        <v>60</v>
      </c>
      <c r="R194" s="71">
        <v>0</v>
      </c>
      <c r="S194" s="74">
        <v>1052102</v>
      </c>
      <c r="T194" s="71">
        <v>0</v>
      </c>
      <c r="U194" s="71">
        <v>1015</v>
      </c>
      <c r="V194" s="71" t="s">
        <v>630</v>
      </c>
      <c r="W194" s="71">
        <v>0</v>
      </c>
      <c r="X194" s="71">
        <v>0</v>
      </c>
      <c r="Y194" s="71">
        <v>0</v>
      </c>
      <c r="Z194" s="71">
        <v>5005005</v>
      </c>
    </row>
    <row r="195" spans="1:26">
      <c r="A195" s="71">
        <v>1052201</v>
      </c>
      <c r="B195" s="71" t="s">
        <v>631</v>
      </c>
      <c r="C195" s="71"/>
      <c r="D195" s="71">
        <v>1</v>
      </c>
      <c r="E195" s="71">
        <v>3</v>
      </c>
      <c r="F195" s="71">
        <v>1001</v>
      </c>
      <c r="G195" s="71">
        <v>350</v>
      </c>
      <c r="H195" s="71">
        <v>10000</v>
      </c>
      <c r="I195" s="76">
        <v>0</v>
      </c>
      <c r="J195" s="71">
        <v>10000</v>
      </c>
      <c r="K195" s="71">
        <v>0</v>
      </c>
      <c r="L195" s="71" t="s">
        <v>631</v>
      </c>
      <c r="M195" s="77"/>
      <c r="N195" s="71" t="s">
        <v>631</v>
      </c>
      <c r="O195" s="71"/>
      <c r="P195" s="71"/>
      <c r="Q195" s="71" t="s">
        <v>227</v>
      </c>
      <c r="R195" s="71">
        <v>0</v>
      </c>
      <c r="S195" s="74">
        <v>0</v>
      </c>
      <c r="T195" s="71">
        <v>0</v>
      </c>
      <c r="U195" s="71">
        <v>1015</v>
      </c>
      <c r="V195" s="71">
        <v>700</v>
      </c>
      <c r="W195" s="71">
        <v>1052001</v>
      </c>
      <c r="X195" s="71">
        <v>400</v>
      </c>
      <c r="Y195" s="71">
        <v>350</v>
      </c>
      <c r="Z195" s="71">
        <v>0</v>
      </c>
    </row>
    <row r="196" spans="1:26">
      <c r="A196" s="71">
        <v>1052202</v>
      </c>
      <c r="B196" s="71" t="s">
        <v>223</v>
      </c>
      <c r="C196" s="25" t="s">
        <v>632</v>
      </c>
      <c r="D196" s="71">
        <v>2</v>
      </c>
      <c r="E196" s="71">
        <v>3</v>
      </c>
      <c r="F196" s="71">
        <v>2001</v>
      </c>
      <c r="G196" s="71">
        <v>350</v>
      </c>
      <c r="H196" s="71">
        <v>10000</v>
      </c>
      <c r="I196" s="76">
        <v>0</v>
      </c>
      <c r="J196" s="71">
        <v>170000</v>
      </c>
      <c r="K196" s="71">
        <v>1052202</v>
      </c>
      <c r="L196" s="71" t="s">
        <v>633</v>
      </c>
      <c r="M196" s="77" t="s">
        <v>634</v>
      </c>
      <c r="N196" s="71" t="s">
        <v>223</v>
      </c>
      <c r="O196" s="71"/>
      <c r="P196" s="71"/>
      <c r="Q196" s="71" t="s">
        <v>60</v>
      </c>
      <c r="R196" s="71">
        <v>0</v>
      </c>
      <c r="S196" s="74">
        <v>1052202</v>
      </c>
      <c r="T196" s="71">
        <v>100</v>
      </c>
      <c r="U196" s="71">
        <v>1015</v>
      </c>
      <c r="V196" s="71">
        <v>1000</v>
      </c>
      <c r="W196" s="71">
        <v>0</v>
      </c>
      <c r="X196" s="71">
        <v>0</v>
      </c>
      <c r="Y196" s="71">
        <v>0</v>
      </c>
      <c r="Z196" s="71">
        <v>5007005</v>
      </c>
    </row>
    <row r="197" spans="1:26">
      <c r="A197" s="71">
        <v>1053001</v>
      </c>
      <c r="B197" s="71" t="s">
        <v>635</v>
      </c>
      <c r="C197" s="71"/>
      <c r="D197" s="71">
        <v>1</v>
      </c>
      <c r="E197" s="71">
        <v>3</v>
      </c>
      <c r="F197" s="71">
        <v>1001</v>
      </c>
      <c r="G197" s="71">
        <v>350</v>
      </c>
      <c r="H197" s="71">
        <v>10000</v>
      </c>
      <c r="I197" s="76">
        <v>0</v>
      </c>
      <c r="J197" s="71">
        <v>10000</v>
      </c>
      <c r="K197" s="71">
        <v>0</v>
      </c>
      <c r="L197" s="71" t="s">
        <v>635</v>
      </c>
      <c r="M197" s="77"/>
      <c r="N197" s="71" t="s">
        <v>635</v>
      </c>
      <c r="O197" s="71"/>
      <c r="P197" s="71"/>
      <c r="Q197" s="71" t="s">
        <v>227</v>
      </c>
      <c r="R197" s="71">
        <v>0</v>
      </c>
      <c r="S197" s="74">
        <v>0</v>
      </c>
      <c r="T197" s="71">
        <v>0</v>
      </c>
      <c r="U197" s="71">
        <v>1015</v>
      </c>
      <c r="V197" s="71">
        <v>700</v>
      </c>
      <c r="W197" s="71">
        <v>1053001</v>
      </c>
      <c r="X197" s="71">
        <v>400</v>
      </c>
      <c r="Y197" s="71">
        <v>350</v>
      </c>
      <c r="Z197" s="71">
        <v>0</v>
      </c>
    </row>
    <row r="198" spans="1:26">
      <c r="A198" s="71">
        <v>1053002</v>
      </c>
      <c r="B198" s="71" t="s">
        <v>144</v>
      </c>
      <c r="C198" s="25" t="s">
        <v>636</v>
      </c>
      <c r="D198" s="71">
        <v>2</v>
      </c>
      <c r="E198" s="71">
        <v>3</v>
      </c>
      <c r="F198" s="71">
        <v>2001</v>
      </c>
      <c r="G198" s="71">
        <v>350</v>
      </c>
      <c r="H198" s="71">
        <v>1670</v>
      </c>
      <c r="I198" s="76">
        <v>0</v>
      </c>
      <c r="J198" s="71">
        <v>150000</v>
      </c>
      <c r="K198" s="71">
        <v>1053002</v>
      </c>
      <c r="L198" s="71" t="s">
        <v>637</v>
      </c>
      <c r="M198" s="77" t="s">
        <v>638</v>
      </c>
      <c r="N198" s="71" t="s">
        <v>144</v>
      </c>
      <c r="O198" s="71"/>
      <c r="P198" s="71"/>
      <c r="Q198" s="71" t="s">
        <v>60</v>
      </c>
      <c r="R198" s="71">
        <v>0</v>
      </c>
      <c r="S198" s="74">
        <v>1053002</v>
      </c>
      <c r="T198" s="71">
        <v>1000</v>
      </c>
      <c r="U198" s="71">
        <v>1015</v>
      </c>
      <c r="V198" s="71" t="s">
        <v>639</v>
      </c>
      <c r="W198" s="71">
        <v>0</v>
      </c>
      <c r="X198" s="71">
        <v>0</v>
      </c>
      <c r="Y198" s="71">
        <v>0</v>
      </c>
      <c r="Z198" s="71">
        <v>5004004</v>
      </c>
    </row>
    <row r="199" spans="1:26">
      <c r="A199" s="71">
        <v>1053101</v>
      </c>
      <c r="B199" s="71" t="s">
        <v>640</v>
      </c>
      <c r="C199" s="71"/>
      <c r="D199" s="71">
        <v>1</v>
      </c>
      <c r="E199" s="71">
        <v>3</v>
      </c>
      <c r="F199" s="71">
        <v>1001</v>
      </c>
      <c r="G199" s="71">
        <v>350</v>
      </c>
      <c r="H199" s="71">
        <v>10000</v>
      </c>
      <c r="I199" s="76">
        <v>0</v>
      </c>
      <c r="J199" s="71">
        <v>10000</v>
      </c>
      <c r="K199" s="71">
        <v>0</v>
      </c>
      <c r="L199" s="71" t="s">
        <v>640</v>
      </c>
      <c r="M199" s="77"/>
      <c r="N199" s="71" t="s">
        <v>640</v>
      </c>
      <c r="O199" s="71"/>
      <c r="P199" s="71"/>
      <c r="Q199" s="71" t="s">
        <v>227</v>
      </c>
      <c r="R199" s="71">
        <v>0</v>
      </c>
      <c r="S199" s="74">
        <v>0</v>
      </c>
      <c r="T199" s="71">
        <v>0</v>
      </c>
      <c r="U199" s="71">
        <v>1015</v>
      </c>
      <c r="V199" s="71">
        <v>700</v>
      </c>
      <c r="W199" s="71">
        <v>1053001</v>
      </c>
      <c r="X199" s="71">
        <v>400</v>
      </c>
      <c r="Y199" s="71">
        <v>350</v>
      </c>
      <c r="Z199" s="71">
        <v>0</v>
      </c>
    </row>
    <row r="200" spans="1:26">
      <c r="A200" s="71">
        <v>1053102</v>
      </c>
      <c r="B200" s="71" t="s">
        <v>641</v>
      </c>
      <c r="C200" s="25" t="s">
        <v>642</v>
      </c>
      <c r="D200" s="71">
        <v>2</v>
      </c>
      <c r="E200" s="71">
        <v>3</v>
      </c>
      <c r="F200" s="71">
        <v>2001</v>
      </c>
      <c r="G200" s="71">
        <v>350</v>
      </c>
      <c r="H200" s="71">
        <v>1670</v>
      </c>
      <c r="I200" s="76">
        <v>0</v>
      </c>
      <c r="J200" s="71">
        <v>150000</v>
      </c>
      <c r="K200" s="71">
        <v>1053002</v>
      </c>
      <c r="L200" s="71" t="s">
        <v>643</v>
      </c>
      <c r="M200" s="77" t="s">
        <v>644</v>
      </c>
      <c r="N200" s="71" t="s">
        <v>641</v>
      </c>
      <c r="O200" s="71"/>
      <c r="P200" s="71"/>
      <c r="Q200" s="71" t="s">
        <v>60</v>
      </c>
      <c r="R200" s="71">
        <v>0</v>
      </c>
      <c r="S200" s="74">
        <f>A200</f>
        <v>1053102</v>
      </c>
      <c r="T200" s="71">
        <v>1000</v>
      </c>
      <c r="U200" s="71">
        <v>1015</v>
      </c>
      <c r="V200" s="71" t="s">
        <v>639</v>
      </c>
      <c r="W200" s="71">
        <v>0</v>
      </c>
      <c r="X200" s="71">
        <v>0</v>
      </c>
      <c r="Y200" s="71">
        <v>0</v>
      </c>
      <c r="Z200" s="71">
        <v>0</v>
      </c>
    </row>
    <row r="201" spans="1:26">
      <c r="A201" s="71">
        <v>1056001</v>
      </c>
      <c r="B201" s="71" t="s">
        <v>645</v>
      </c>
      <c r="C201" s="71"/>
      <c r="D201" s="71">
        <v>1</v>
      </c>
      <c r="E201" s="71">
        <v>3</v>
      </c>
      <c r="F201" s="71">
        <v>1001</v>
      </c>
      <c r="G201" s="71">
        <v>350</v>
      </c>
      <c r="H201" s="71">
        <v>10000</v>
      </c>
      <c r="I201" s="76">
        <v>0</v>
      </c>
      <c r="J201" s="71">
        <v>10000</v>
      </c>
      <c r="K201" s="71">
        <v>0</v>
      </c>
      <c r="L201" s="71" t="s">
        <v>645</v>
      </c>
      <c r="M201" s="77"/>
      <c r="N201" s="71" t="s">
        <v>645</v>
      </c>
      <c r="O201" s="71"/>
      <c r="P201" s="71"/>
      <c r="Q201" s="71" t="s">
        <v>227</v>
      </c>
      <c r="R201" s="71">
        <v>0</v>
      </c>
      <c r="S201" s="74">
        <v>0</v>
      </c>
      <c r="T201" s="71">
        <v>0</v>
      </c>
      <c r="U201" s="71">
        <v>1011</v>
      </c>
      <c r="V201" s="71">
        <v>700</v>
      </c>
      <c r="W201" s="71">
        <v>1056001</v>
      </c>
      <c r="X201" s="71">
        <v>400</v>
      </c>
      <c r="Y201" s="71">
        <v>350</v>
      </c>
      <c r="Z201" s="71">
        <v>0</v>
      </c>
    </row>
    <row r="202" spans="1:26">
      <c r="A202" s="71">
        <v>1056002</v>
      </c>
      <c r="B202" s="71" t="s">
        <v>646</v>
      </c>
      <c r="C202" s="25" t="s">
        <v>647</v>
      </c>
      <c r="D202" s="71">
        <v>2</v>
      </c>
      <c r="E202" s="71">
        <v>3</v>
      </c>
      <c r="F202" s="71">
        <v>2001</v>
      </c>
      <c r="G202" s="71">
        <v>350</v>
      </c>
      <c r="H202" s="71">
        <v>2500</v>
      </c>
      <c r="I202" s="76">
        <v>0</v>
      </c>
      <c r="J202" s="71">
        <v>110000</v>
      </c>
      <c r="K202" s="71">
        <v>1056002</v>
      </c>
      <c r="L202" s="71" t="s">
        <v>648</v>
      </c>
      <c r="M202" s="77" t="s">
        <v>649</v>
      </c>
      <c r="N202" s="71" t="s">
        <v>646</v>
      </c>
      <c r="O202" s="71"/>
      <c r="P202" s="71"/>
      <c r="Q202" s="71" t="s">
        <v>60</v>
      </c>
      <c r="R202" s="71">
        <v>0</v>
      </c>
      <c r="S202" s="74">
        <f>A202</f>
        <v>1056002</v>
      </c>
      <c r="T202" s="71">
        <v>700</v>
      </c>
      <c r="U202" s="71">
        <v>1011</v>
      </c>
      <c r="V202" s="79" t="s">
        <v>650</v>
      </c>
      <c r="W202" s="71">
        <v>0</v>
      </c>
      <c r="X202" s="71">
        <v>0</v>
      </c>
      <c r="Y202" s="71">
        <v>0</v>
      </c>
      <c r="Z202" s="71">
        <v>0</v>
      </c>
    </row>
    <row r="203" spans="1:26">
      <c r="A203" s="71">
        <v>1056101</v>
      </c>
      <c r="B203" s="71" t="s">
        <v>651</v>
      </c>
      <c r="C203" s="71"/>
      <c r="D203" s="71">
        <v>1</v>
      </c>
      <c r="E203" s="71">
        <v>3</v>
      </c>
      <c r="F203" s="71">
        <v>1001</v>
      </c>
      <c r="G203" s="71">
        <v>350</v>
      </c>
      <c r="H203" s="71">
        <v>10000</v>
      </c>
      <c r="I203" s="76">
        <v>0</v>
      </c>
      <c r="J203" s="71">
        <v>10000</v>
      </c>
      <c r="K203" s="71">
        <v>0</v>
      </c>
      <c r="L203" s="71" t="s">
        <v>651</v>
      </c>
      <c r="M203" s="77"/>
      <c r="N203" s="71" t="s">
        <v>651</v>
      </c>
      <c r="O203" s="71"/>
      <c r="P203" s="71"/>
      <c r="Q203" s="71" t="s">
        <v>227</v>
      </c>
      <c r="R203" s="71">
        <v>0</v>
      </c>
      <c r="S203" s="74">
        <v>0</v>
      </c>
      <c r="T203" s="71">
        <v>0</v>
      </c>
      <c r="U203" s="71">
        <v>1011</v>
      </c>
      <c r="V203" s="71">
        <v>600</v>
      </c>
      <c r="W203" s="71">
        <v>1056001</v>
      </c>
      <c r="X203" s="71">
        <v>300</v>
      </c>
      <c r="Y203" s="71">
        <v>350</v>
      </c>
      <c r="Z203" s="71">
        <v>0</v>
      </c>
    </row>
    <row r="204" spans="1:26">
      <c r="A204" s="71">
        <v>1056102</v>
      </c>
      <c r="B204" s="71" t="s">
        <v>652</v>
      </c>
      <c r="C204" s="25" t="s">
        <v>653</v>
      </c>
      <c r="D204" s="71">
        <v>2</v>
      </c>
      <c r="E204" s="71">
        <v>3</v>
      </c>
      <c r="F204" s="71">
        <v>2001</v>
      </c>
      <c r="G204" s="71">
        <v>350</v>
      </c>
      <c r="H204" s="71">
        <v>2500</v>
      </c>
      <c r="I204" s="76">
        <v>0</v>
      </c>
      <c r="J204" s="71">
        <v>110000</v>
      </c>
      <c r="K204" s="71">
        <v>1056002</v>
      </c>
      <c r="L204" s="71" t="s">
        <v>654</v>
      </c>
      <c r="M204" s="77" t="s">
        <v>655</v>
      </c>
      <c r="N204" s="71" t="s">
        <v>652</v>
      </c>
      <c r="O204" s="71"/>
      <c r="P204" s="71"/>
      <c r="Q204" s="71" t="s">
        <v>60</v>
      </c>
      <c r="R204" s="71">
        <v>0</v>
      </c>
      <c r="S204" s="74">
        <f>A204</f>
        <v>1056102</v>
      </c>
      <c r="T204" s="71">
        <v>600</v>
      </c>
      <c r="U204" s="71">
        <v>1011</v>
      </c>
      <c r="V204" s="79">
        <v>1100</v>
      </c>
      <c r="W204" s="71">
        <v>0</v>
      </c>
      <c r="X204" s="71">
        <v>0</v>
      </c>
      <c r="Y204" s="71">
        <v>0</v>
      </c>
      <c r="Z204" s="71">
        <v>0</v>
      </c>
    </row>
    <row r="205" spans="1:26">
      <c r="A205" s="71">
        <v>1056201</v>
      </c>
      <c r="B205" s="71" t="s">
        <v>656</v>
      </c>
      <c r="C205" s="71"/>
      <c r="D205" s="71">
        <v>1</v>
      </c>
      <c r="E205" s="71">
        <v>3</v>
      </c>
      <c r="F205" s="71">
        <v>1001</v>
      </c>
      <c r="G205" s="71">
        <v>350</v>
      </c>
      <c r="H205" s="71">
        <v>10000</v>
      </c>
      <c r="I205" s="76">
        <v>0</v>
      </c>
      <c r="J205" s="71">
        <v>10000</v>
      </c>
      <c r="K205" s="71">
        <v>0</v>
      </c>
      <c r="L205" s="71" t="s">
        <v>656</v>
      </c>
      <c r="M205" s="77"/>
      <c r="N205" s="71" t="s">
        <v>656</v>
      </c>
      <c r="O205" s="71"/>
      <c r="P205" s="71"/>
      <c r="Q205" s="71" t="s">
        <v>227</v>
      </c>
      <c r="R205" s="71">
        <v>0</v>
      </c>
      <c r="S205" s="74">
        <v>0</v>
      </c>
      <c r="T205" s="71">
        <v>0</v>
      </c>
      <c r="U205" s="71">
        <v>1011</v>
      </c>
      <c r="V205" s="71">
        <v>700</v>
      </c>
      <c r="W205" s="71">
        <v>1056201</v>
      </c>
      <c r="X205" s="71">
        <v>400</v>
      </c>
      <c r="Y205" s="71">
        <v>350</v>
      </c>
      <c r="Z205" s="71">
        <v>0</v>
      </c>
    </row>
    <row r="206" spans="1:26">
      <c r="A206" s="71">
        <v>1056202</v>
      </c>
      <c r="B206" s="71" t="s">
        <v>189</v>
      </c>
      <c r="C206" s="25" t="s">
        <v>657</v>
      </c>
      <c r="D206" s="71">
        <v>2</v>
      </c>
      <c r="E206" s="71">
        <v>3</v>
      </c>
      <c r="F206" s="71">
        <v>2001</v>
      </c>
      <c r="G206" s="71">
        <v>350</v>
      </c>
      <c r="H206" s="71">
        <v>2500</v>
      </c>
      <c r="I206" s="76">
        <v>0</v>
      </c>
      <c r="J206" s="71">
        <v>110000</v>
      </c>
      <c r="K206" s="71">
        <v>1056202</v>
      </c>
      <c r="L206" s="71" t="s">
        <v>658</v>
      </c>
      <c r="M206" s="77" t="s">
        <v>659</v>
      </c>
      <c r="N206" s="71" t="s">
        <v>189</v>
      </c>
      <c r="O206" s="71"/>
      <c r="P206" s="71"/>
      <c r="Q206" s="71" t="s">
        <v>60</v>
      </c>
      <c r="R206" s="71">
        <v>0</v>
      </c>
      <c r="S206" s="74">
        <f>A206</f>
        <v>1056202</v>
      </c>
      <c r="T206" s="71">
        <v>700</v>
      </c>
      <c r="U206" s="71">
        <v>1011</v>
      </c>
      <c r="V206" s="71" t="s">
        <v>660</v>
      </c>
      <c r="W206" s="71">
        <v>0</v>
      </c>
      <c r="X206" s="71">
        <v>0</v>
      </c>
      <c r="Y206" s="71">
        <v>0</v>
      </c>
      <c r="Z206" s="71">
        <v>5006003</v>
      </c>
    </row>
    <row r="207" spans="1:26">
      <c r="A207" s="71">
        <v>1057001</v>
      </c>
      <c r="B207" s="71" t="s">
        <v>661</v>
      </c>
      <c r="C207" s="71"/>
      <c r="D207" s="71">
        <v>1</v>
      </c>
      <c r="E207" s="71">
        <v>3</v>
      </c>
      <c r="F207" s="71">
        <v>1001</v>
      </c>
      <c r="G207" s="71">
        <v>350</v>
      </c>
      <c r="H207" s="71">
        <v>10000</v>
      </c>
      <c r="I207" s="76">
        <v>0</v>
      </c>
      <c r="J207" s="71">
        <v>10000</v>
      </c>
      <c r="K207" s="71">
        <v>0</v>
      </c>
      <c r="L207" s="71" t="s">
        <v>661</v>
      </c>
      <c r="M207" s="77"/>
      <c r="N207" s="71" t="s">
        <v>661</v>
      </c>
      <c r="O207" s="71"/>
      <c r="P207" s="71"/>
      <c r="Q207" s="71" t="s">
        <v>227</v>
      </c>
      <c r="R207" s="71">
        <v>0</v>
      </c>
      <c r="S207" s="74">
        <v>0</v>
      </c>
      <c r="T207" s="71">
        <v>0</v>
      </c>
      <c r="U207" s="71">
        <v>1011</v>
      </c>
      <c r="V207" s="71">
        <v>700</v>
      </c>
      <c r="W207" s="71">
        <v>1057001</v>
      </c>
      <c r="X207" s="71">
        <v>400</v>
      </c>
      <c r="Y207" s="71">
        <v>350</v>
      </c>
      <c r="Z207" s="71">
        <v>0</v>
      </c>
    </row>
    <row r="208" spans="1:26">
      <c r="A208" s="71">
        <v>1057002</v>
      </c>
      <c r="B208" s="71" t="s">
        <v>662</v>
      </c>
      <c r="C208" s="25" t="s">
        <v>663</v>
      </c>
      <c r="D208" s="71">
        <v>2</v>
      </c>
      <c r="E208" s="71">
        <v>3</v>
      </c>
      <c r="F208" s="71">
        <v>2001</v>
      </c>
      <c r="G208" s="71">
        <v>350</v>
      </c>
      <c r="H208" s="71">
        <v>10000</v>
      </c>
      <c r="I208" s="76">
        <v>0</v>
      </c>
      <c r="J208" s="71">
        <v>70000</v>
      </c>
      <c r="K208" s="71">
        <v>1057002</v>
      </c>
      <c r="L208" s="71" t="s">
        <v>664</v>
      </c>
      <c r="M208" s="77" t="s">
        <v>665</v>
      </c>
      <c r="N208" s="71" t="s">
        <v>662</v>
      </c>
      <c r="O208" s="71"/>
      <c r="P208" s="71"/>
      <c r="Q208" s="71" t="s">
        <v>60</v>
      </c>
      <c r="R208" s="71">
        <v>0</v>
      </c>
      <c r="S208" s="74">
        <f>A208</f>
        <v>1057002</v>
      </c>
      <c r="T208" s="71">
        <v>500</v>
      </c>
      <c r="U208" s="71">
        <v>1011</v>
      </c>
      <c r="V208" s="71">
        <v>1000</v>
      </c>
      <c r="W208" s="71">
        <v>0</v>
      </c>
      <c r="X208" s="71">
        <v>0</v>
      </c>
      <c r="Y208" s="71">
        <v>0</v>
      </c>
      <c r="Z208" s="71">
        <v>0</v>
      </c>
    </row>
    <row r="209" spans="1:26">
      <c r="A209" s="71">
        <v>1057101</v>
      </c>
      <c r="B209" s="71" t="s">
        <v>666</v>
      </c>
      <c r="C209" s="71"/>
      <c r="D209" s="71">
        <v>1</v>
      </c>
      <c r="E209" s="71">
        <v>3</v>
      </c>
      <c r="F209" s="71">
        <v>1001</v>
      </c>
      <c r="G209" s="71">
        <v>350</v>
      </c>
      <c r="H209" s="71">
        <v>10000</v>
      </c>
      <c r="I209" s="76">
        <v>0</v>
      </c>
      <c r="J209" s="71">
        <v>10000</v>
      </c>
      <c r="K209" s="71">
        <v>0</v>
      </c>
      <c r="L209" s="71" t="s">
        <v>666</v>
      </c>
      <c r="M209" s="77"/>
      <c r="N209" s="71" t="s">
        <v>666</v>
      </c>
      <c r="O209" s="71"/>
      <c r="P209" s="71"/>
      <c r="Q209" s="71" t="s">
        <v>227</v>
      </c>
      <c r="R209" s="71">
        <v>0</v>
      </c>
      <c r="S209" s="74">
        <v>0</v>
      </c>
      <c r="T209" s="71">
        <v>0</v>
      </c>
      <c r="U209" s="71">
        <v>1011</v>
      </c>
      <c r="V209" s="71">
        <v>700</v>
      </c>
      <c r="W209" s="71">
        <v>1057001</v>
      </c>
      <c r="X209" s="71">
        <v>400</v>
      </c>
      <c r="Y209" s="71">
        <v>350</v>
      </c>
      <c r="Z209" s="71">
        <v>0</v>
      </c>
    </row>
    <row r="210" spans="1:26">
      <c r="A210" s="71">
        <v>1057102</v>
      </c>
      <c r="B210" s="71" t="s">
        <v>667</v>
      </c>
      <c r="C210" s="25" t="s">
        <v>668</v>
      </c>
      <c r="D210" s="71">
        <v>2</v>
      </c>
      <c r="E210" s="71">
        <v>3</v>
      </c>
      <c r="F210" s="71">
        <v>2001</v>
      </c>
      <c r="G210" s="71">
        <v>350</v>
      </c>
      <c r="H210" s="71">
        <v>10000</v>
      </c>
      <c r="I210" s="76">
        <v>0</v>
      </c>
      <c r="J210" s="71">
        <v>70000</v>
      </c>
      <c r="K210" s="71">
        <v>1057002</v>
      </c>
      <c r="L210" s="71" t="s">
        <v>669</v>
      </c>
      <c r="M210" s="77" t="s">
        <v>670</v>
      </c>
      <c r="N210" s="71" t="s">
        <v>667</v>
      </c>
      <c r="O210" s="71"/>
      <c r="P210" s="71"/>
      <c r="Q210" s="71" t="s">
        <v>60</v>
      </c>
      <c r="R210" s="71">
        <v>0</v>
      </c>
      <c r="S210" s="74">
        <f>A210</f>
        <v>1057102</v>
      </c>
      <c r="T210" s="71">
        <v>500</v>
      </c>
      <c r="U210" s="71">
        <v>1011</v>
      </c>
      <c r="V210" s="71">
        <v>1100</v>
      </c>
      <c r="W210" s="71">
        <v>0</v>
      </c>
      <c r="X210" s="71">
        <v>0</v>
      </c>
      <c r="Y210" s="71">
        <v>0</v>
      </c>
      <c r="Z210" s="71">
        <v>0</v>
      </c>
    </row>
    <row r="211" spans="1:26">
      <c r="A211" s="71">
        <v>1058001</v>
      </c>
      <c r="B211" s="71" t="s">
        <v>671</v>
      </c>
      <c r="C211" s="71"/>
      <c r="D211" s="71">
        <v>1</v>
      </c>
      <c r="E211" s="71">
        <v>3</v>
      </c>
      <c r="F211" s="71">
        <v>1001</v>
      </c>
      <c r="G211" s="71">
        <v>350</v>
      </c>
      <c r="H211" s="71">
        <v>10000</v>
      </c>
      <c r="I211" s="76">
        <v>0</v>
      </c>
      <c r="J211" s="71">
        <v>10000</v>
      </c>
      <c r="K211" s="71">
        <v>0</v>
      </c>
      <c r="L211" s="71" t="s">
        <v>671</v>
      </c>
      <c r="M211" s="77"/>
      <c r="N211" s="71" t="s">
        <v>671</v>
      </c>
      <c r="O211" s="71"/>
      <c r="P211" s="71"/>
      <c r="Q211" s="71" t="s">
        <v>227</v>
      </c>
      <c r="R211" s="71">
        <v>0</v>
      </c>
      <c r="S211" s="74">
        <v>0</v>
      </c>
      <c r="T211" s="71">
        <v>0</v>
      </c>
      <c r="U211" s="71">
        <v>1013</v>
      </c>
      <c r="V211" s="71">
        <v>700</v>
      </c>
      <c r="W211" s="71">
        <v>1058001</v>
      </c>
      <c r="X211" s="71">
        <v>400</v>
      </c>
      <c r="Y211" s="71">
        <v>350</v>
      </c>
      <c r="Z211" s="71">
        <v>0</v>
      </c>
    </row>
    <row r="212" spans="1:26">
      <c r="A212" s="71">
        <v>1058002</v>
      </c>
      <c r="B212" s="71" t="s">
        <v>73</v>
      </c>
      <c r="C212" s="25" t="s">
        <v>672</v>
      </c>
      <c r="D212" s="71">
        <v>2</v>
      </c>
      <c r="E212" s="71">
        <v>3</v>
      </c>
      <c r="F212" s="71">
        <v>2001</v>
      </c>
      <c r="G212" s="71">
        <v>350</v>
      </c>
      <c r="H212" s="71">
        <v>10000</v>
      </c>
      <c r="I212" s="76">
        <v>0</v>
      </c>
      <c r="J212" s="71">
        <v>90000</v>
      </c>
      <c r="K212" s="71">
        <v>1058002</v>
      </c>
      <c r="L212" s="71" t="s">
        <v>673</v>
      </c>
      <c r="M212" s="77" t="s">
        <v>674</v>
      </c>
      <c r="N212" s="71" t="s">
        <v>73</v>
      </c>
      <c r="O212" s="71"/>
      <c r="P212" s="71"/>
      <c r="Q212" s="71" t="s">
        <v>60</v>
      </c>
      <c r="R212" s="71">
        <v>0</v>
      </c>
      <c r="S212" s="74">
        <f>A212</f>
        <v>1058002</v>
      </c>
      <c r="T212" s="78">
        <v>400</v>
      </c>
      <c r="U212" s="78">
        <v>1013</v>
      </c>
      <c r="V212" s="78">
        <v>2000</v>
      </c>
      <c r="W212" s="71">
        <v>0</v>
      </c>
      <c r="X212" s="71">
        <v>0</v>
      </c>
      <c r="Y212" s="71">
        <v>0</v>
      </c>
      <c r="Z212" s="71">
        <v>5001004</v>
      </c>
    </row>
    <row r="213" spans="1:26">
      <c r="A213" s="71">
        <v>1058101</v>
      </c>
      <c r="B213" s="71" t="s">
        <v>675</v>
      </c>
      <c r="C213" s="71"/>
      <c r="D213" s="71">
        <v>1</v>
      </c>
      <c r="E213" s="71">
        <v>3</v>
      </c>
      <c r="F213" s="71">
        <v>1001</v>
      </c>
      <c r="G213" s="71">
        <v>350</v>
      </c>
      <c r="H213" s="71">
        <v>10000</v>
      </c>
      <c r="I213" s="76">
        <v>0</v>
      </c>
      <c r="J213" s="71">
        <v>10000</v>
      </c>
      <c r="K213" s="71">
        <v>0</v>
      </c>
      <c r="L213" s="71" t="s">
        <v>675</v>
      </c>
      <c r="M213" s="77"/>
      <c r="N213" s="71" t="s">
        <v>675</v>
      </c>
      <c r="O213" s="71"/>
      <c r="P213" s="71"/>
      <c r="Q213" s="71" t="s">
        <v>227</v>
      </c>
      <c r="R213" s="71">
        <v>0</v>
      </c>
      <c r="S213" s="74">
        <v>0</v>
      </c>
      <c r="T213" s="71">
        <v>0</v>
      </c>
      <c r="U213" s="71">
        <v>1013</v>
      </c>
      <c r="V213" s="71">
        <v>700</v>
      </c>
      <c r="W213" s="71">
        <v>1058001</v>
      </c>
      <c r="X213" s="71">
        <v>400</v>
      </c>
      <c r="Y213" s="71">
        <v>350</v>
      </c>
      <c r="Z213" s="71">
        <v>0</v>
      </c>
    </row>
    <row r="214" spans="1:26">
      <c r="A214" s="71">
        <v>1058102</v>
      </c>
      <c r="B214" s="71" t="s">
        <v>676</v>
      </c>
      <c r="C214" s="25" t="s">
        <v>677</v>
      </c>
      <c r="D214" s="71">
        <v>2</v>
      </c>
      <c r="E214" s="71">
        <v>3</v>
      </c>
      <c r="F214" s="71">
        <v>2001</v>
      </c>
      <c r="G214" s="71">
        <v>350</v>
      </c>
      <c r="H214" s="71">
        <v>10000</v>
      </c>
      <c r="I214" s="76">
        <v>0</v>
      </c>
      <c r="J214" s="71">
        <v>90000</v>
      </c>
      <c r="K214" s="78">
        <v>1058002</v>
      </c>
      <c r="L214" s="71" t="s">
        <v>678</v>
      </c>
      <c r="M214" s="77" t="s">
        <v>679</v>
      </c>
      <c r="N214" s="71" t="s">
        <v>676</v>
      </c>
      <c r="O214" s="71"/>
      <c r="P214" s="71"/>
      <c r="Q214" s="71" t="s">
        <v>60</v>
      </c>
      <c r="R214" s="71">
        <v>0</v>
      </c>
      <c r="S214" s="74">
        <f>A214</f>
        <v>1058102</v>
      </c>
      <c r="T214" s="78">
        <v>400</v>
      </c>
      <c r="U214" s="78">
        <v>1013</v>
      </c>
      <c r="V214" s="79" t="s">
        <v>680</v>
      </c>
      <c r="W214" s="71">
        <v>0</v>
      </c>
      <c r="X214" s="71">
        <v>0</v>
      </c>
      <c r="Y214" s="71">
        <v>0</v>
      </c>
      <c r="Z214" s="71">
        <v>0</v>
      </c>
    </row>
    <row r="215" spans="1:26">
      <c r="A215" s="71">
        <v>1058201</v>
      </c>
      <c r="B215" s="71" t="s">
        <v>681</v>
      </c>
      <c r="C215" s="71"/>
      <c r="D215" s="71">
        <v>1</v>
      </c>
      <c r="E215" s="71">
        <v>3</v>
      </c>
      <c r="F215" s="71">
        <v>1001</v>
      </c>
      <c r="G215" s="71">
        <v>350</v>
      </c>
      <c r="H215" s="71">
        <v>10000</v>
      </c>
      <c r="I215" s="76">
        <v>0</v>
      </c>
      <c r="J215" s="71">
        <v>10000</v>
      </c>
      <c r="K215" s="71">
        <v>0</v>
      </c>
      <c r="L215" s="71" t="s">
        <v>681</v>
      </c>
      <c r="M215" s="77"/>
      <c r="N215" s="71" t="s">
        <v>681</v>
      </c>
      <c r="O215" s="71"/>
      <c r="P215" s="71"/>
      <c r="Q215" s="71" t="s">
        <v>227</v>
      </c>
      <c r="R215" s="71">
        <v>0</v>
      </c>
      <c r="S215" s="74">
        <v>0</v>
      </c>
      <c r="T215" s="71">
        <v>0</v>
      </c>
      <c r="U215" s="71">
        <v>1013</v>
      </c>
      <c r="V215" s="71">
        <v>700</v>
      </c>
      <c r="W215" s="71">
        <v>1058001</v>
      </c>
      <c r="X215" s="71">
        <v>400</v>
      </c>
      <c r="Y215" s="71">
        <v>350</v>
      </c>
      <c r="Z215" s="71">
        <v>0</v>
      </c>
    </row>
    <row r="216" spans="1:26">
      <c r="A216" s="71">
        <v>1058202</v>
      </c>
      <c r="B216" s="71" t="s">
        <v>682</v>
      </c>
      <c r="C216" s="25" t="s">
        <v>683</v>
      </c>
      <c r="D216" s="71">
        <v>2</v>
      </c>
      <c r="E216" s="71">
        <v>3</v>
      </c>
      <c r="F216" s="71">
        <v>2001</v>
      </c>
      <c r="G216" s="71">
        <v>350</v>
      </c>
      <c r="H216" s="71">
        <v>1670</v>
      </c>
      <c r="I216" s="76">
        <v>0</v>
      </c>
      <c r="J216" s="71">
        <v>90000</v>
      </c>
      <c r="K216" s="71">
        <v>1058202</v>
      </c>
      <c r="L216" s="71" t="s">
        <v>684</v>
      </c>
      <c r="M216" s="77" t="s">
        <v>685</v>
      </c>
      <c r="N216" s="71" t="s">
        <v>682</v>
      </c>
      <c r="O216" s="71"/>
      <c r="P216" s="71"/>
      <c r="Q216" s="71" t="s">
        <v>60</v>
      </c>
      <c r="R216" s="71">
        <v>0</v>
      </c>
      <c r="S216" s="74">
        <f>A216</f>
        <v>1058202</v>
      </c>
      <c r="T216" s="78">
        <v>700</v>
      </c>
      <c r="U216" s="78">
        <v>1013</v>
      </c>
      <c r="V216" s="78" t="s">
        <v>686</v>
      </c>
      <c r="W216" s="71">
        <v>0</v>
      </c>
      <c r="X216" s="71">
        <v>0</v>
      </c>
      <c r="Y216" s="71">
        <v>0</v>
      </c>
      <c r="Z216" s="71">
        <v>5007006</v>
      </c>
    </row>
    <row r="217" spans="1:26">
      <c r="A217" s="71">
        <v>1059001</v>
      </c>
      <c r="B217" s="71" t="s">
        <v>687</v>
      </c>
      <c r="C217" s="71"/>
      <c r="D217" s="71">
        <v>1</v>
      </c>
      <c r="E217" s="71">
        <v>3</v>
      </c>
      <c r="F217" s="71">
        <v>1001</v>
      </c>
      <c r="G217" s="71">
        <v>350</v>
      </c>
      <c r="H217" s="71">
        <v>10000</v>
      </c>
      <c r="I217" s="76">
        <v>0</v>
      </c>
      <c r="J217" s="71">
        <v>10000</v>
      </c>
      <c r="K217" s="71">
        <v>0</v>
      </c>
      <c r="L217" s="71" t="s">
        <v>687</v>
      </c>
      <c r="M217" s="77"/>
      <c r="N217" s="71" t="s">
        <v>687</v>
      </c>
      <c r="O217" s="71"/>
      <c r="P217" s="71"/>
      <c r="Q217" s="71" t="s">
        <v>227</v>
      </c>
      <c r="R217" s="71">
        <v>0</v>
      </c>
      <c r="S217" s="74">
        <v>0</v>
      </c>
      <c r="T217" s="71">
        <v>0</v>
      </c>
      <c r="U217" s="71">
        <v>1011</v>
      </c>
      <c r="V217" s="71">
        <v>600</v>
      </c>
      <c r="W217" s="71">
        <v>1059001</v>
      </c>
      <c r="X217" s="71">
        <v>300</v>
      </c>
      <c r="Y217" s="71">
        <v>350</v>
      </c>
      <c r="Z217" s="71">
        <v>0</v>
      </c>
    </row>
    <row r="218" spans="1:26">
      <c r="A218" s="71">
        <v>1059002</v>
      </c>
      <c r="B218" s="71" t="s">
        <v>688</v>
      </c>
      <c r="C218" s="25" t="s">
        <v>689</v>
      </c>
      <c r="D218" s="71">
        <v>2</v>
      </c>
      <c r="E218" s="71">
        <v>3</v>
      </c>
      <c r="F218" s="71">
        <v>2001</v>
      </c>
      <c r="G218" s="71">
        <v>350</v>
      </c>
      <c r="H218" s="71">
        <v>1430</v>
      </c>
      <c r="I218" s="76">
        <v>0</v>
      </c>
      <c r="J218" s="71">
        <v>70000</v>
      </c>
      <c r="K218" s="71">
        <v>1059002</v>
      </c>
      <c r="L218" s="71" t="s">
        <v>690</v>
      </c>
      <c r="M218" s="77" t="s">
        <v>691</v>
      </c>
      <c r="N218" s="71" t="s">
        <v>688</v>
      </c>
      <c r="O218" s="71"/>
      <c r="P218" s="71"/>
      <c r="Q218" s="71" t="s">
        <v>60</v>
      </c>
      <c r="R218" s="71">
        <v>0</v>
      </c>
      <c r="S218" s="74">
        <f>A218</f>
        <v>1059002</v>
      </c>
      <c r="T218" s="71">
        <v>1400</v>
      </c>
      <c r="U218" s="71">
        <v>1011</v>
      </c>
      <c r="V218" s="79">
        <v>1850</v>
      </c>
      <c r="W218" s="71">
        <v>0</v>
      </c>
      <c r="X218" s="71">
        <v>0</v>
      </c>
      <c r="Y218" s="71">
        <v>0</v>
      </c>
      <c r="Z218" s="71">
        <v>0</v>
      </c>
    </row>
    <row r="219" spans="1:26">
      <c r="A219" s="71">
        <v>1059101</v>
      </c>
      <c r="B219" s="71" t="s">
        <v>692</v>
      </c>
      <c r="C219" s="71"/>
      <c r="D219" s="71">
        <v>1</v>
      </c>
      <c r="E219" s="71">
        <v>3</v>
      </c>
      <c r="F219" s="71">
        <v>1001</v>
      </c>
      <c r="G219" s="71">
        <v>350</v>
      </c>
      <c r="H219" s="71">
        <v>10000</v>
      </c>
      <c r="I219" s="76">
        <v>0</v>
      </c>
      <c r="J219" s="71">
        <v>10000</v>
      </c>
      <c r="K219" s="71">
        <v>0</v>
      </c>
      <c r="L219" s="71" t="s">
        <v>692</v>
      </c>
      <c r="M219" s="77"/>
      <c r="N219" s="71" t="s">
        <v>692</v>
      </c>
      <c r="O219" s="71"/>
      <c r="P219" s="71"/>
      <c r="Q219" s="71" t="s">
        <v>227</v>
      </c>
      <c r="R219" s="71">
        <v>0</v>
      </c>
      <c r="S219" s="74">
        <v>0</v>
      </c>
      <c r="T219" s="71">
        <v>0</v>
      </c>
      <c r="U219" s="71">
        <v>1011</v>
      </c>
      <c r="V219" s="71">
        <v>700</v>
      </c>
      <c r="W219" s="71">
        <v>1059001</v>
      </c>
      <c r="X219" s="71">
        <v>400</v>
      </c>
      <c r="Y219" s="71">
        <v>350</v>
      </c>
      <c r="Z219" s="71">
        <v>0</v>
      </c>
    </row>
    <row r="220" spans="1:26">
      <c r="A220" s="71">
        <v>1059102</v>
      </c>
      <c r="B220" s="71" t="s">
        <v>693</v>
      </c>
      <c r="C220" s="25" t="s">
        <v>694</v>
      </c>
      <c r="D220" s="71">
        <v>2</v>
      </c>
      <c r="E220" s="71">
        <v>3</v>
      </c>
      <c r="F220" s="71">
        <v>2001</v>
      </c>
      <c r="G220" s="71">
        <v>350</v>
      </c>
      <c r="H220" s="71">
        <v>1430</v>
      </c>
      <c r="I220" s="76">
        <v>0</v>
      </c>
      <c r="J220" s="71">
        <v>70000</v>
      </c>
      <c r="K220" s="71">
        <v>1059002</v>
      </c>
      <c r="L220" s="71" t="s">
        <v>695</v>
      </c>
      <c r="M220" s="77" t="s">
        <v>696</v>
      </c>
      <c r="N220" s="71" t="s">
        <v>693</v>
      </c>
      <c r="O220" s="71"/>
      <c r="P220" s="71"/>
      <c r="Q220" s="71" t="s">
        <v>60</v>
      </c>
      <c r="R220" s="71">
        <v>0</v>
      </c>
      <c r="S220" s="74">
        <f>A220</f>
        <v>1059102</v>
      </c>
      <c r="T220" s="71">
        <v>800</v>
      </c>
      <c r="U220" s="71">
        <v>1011</v>
      </c>
      <c r="V220" s="79" t="s">
        <v>697</v>
      </c>
      <c r="W220" s="71">
        <v>0</v>
      </c>
      <c r="X220" s="71">
        <v>0</v>
      </c>
      <c r="Y220" s="71">
        <v>0</v>
      </c>
      <c r="Z220" s="71">
        <v>0</v>
      </c>
    </row>
    <row r="221" spans="1:26">
      <c r="A221" s="71">
        <v>1060001</v>
      </c>
      <c r="B221" s="71" t="s">
        <v>698</v>
      </c>
      <c r="C221" s="71"/>
      <c r="D221" s="71">
        <v>1</v>
      </c>
      <c r="E221" s="71">
        <v>3</v>
      </c>
      <c r="F221" s="71">
        <v>1001</v>
      </c>
      <c r="G221" s="71">
        <v>350</v>
      </c>
      <c r="H221" s="71">
        <v>10000</v>
      </c>
      <c r="I221" s="76">
        <v>0</v>
      </c>
      <c r="J221" s="71">
        <v>10000</v>
      </c>
      <c r="K221" s="71">
        <v>0</v>
      </c>
      <c r="L221" s="71" t="s">
        <v>698</v>
      </c>
      <c r="M221" s="77"/>
      <c r="N221" s="71" t="s">
        <v>698</v>
      </c>
      <c r="O221" s="71"/>
      <c r="P221" s="71"/>
      <c r="Q221" s="71" t="s">
        <v>227</v>
      </c>
      <c r="R221" s="71">
        <v>0</v>
      </c>
      <c r="S221" s="74">
        <v>0</v>
      </c>
      <c r="T221" s="78">
        <v>0</v>
      </c>
      <c r="U221" s="78">
        <v>1011</v>
      </c>
      <c r="V221" s="78">
        <v>700</v>
      </c>
      <c r="W221" s="71">
        <v>1060001</v>
      </c>
      <c r="X221" s="71">
        <v>400</v>
      </c>
      <c r="Y221" s="71">
        <v>350</v>
      </c>
      <c r="Z221" s="71">
        <v>0</v>
      </c>
    </row>
    <row r="222" spans="1:26">
      <c r="A222" s="71">
        <v>1060002</v>
      </c>
      <c r="B222" s="71" t="s">
        <v>699</v>
      </c>
      <c r="C222" s="25" t="s">
        <v>700</v>
      </c>
      <c r="D222" s="71">
        <v>2</v>
      </c>
      <c r="E222" s="71">
        <v>3</v>
      </c>
      <c r="F222" s="71">
        <v>2001</v>
      </c>
      <c r="G222" s="71">
        <v>350</v>
      </c>
      <c r="H222" s="71">
        <v>2000</v>
      </c>
      <c r="I222" s="76">
        <v>0</v>
      </c>
      <c r="J222" s="71">
        <v>180000</v>
      </c>
      <c r="K222" s="71">
        <v>1060002</v>
      </c>
      <c r="L222" s="71" t="s">
        <v>701</v>
      </c>
      <c r="M222" s="77" t="s">
        <v>702</v>
      </c>
      <c r="N222" s="71" t="s">
        <v>699</v>
      </c>
      <c r="O222" s="71"/>
      <c r="P222" s="71"/>
      <c r="Q222" s="71" t="s">
        <v>60</v>
      </c>
      <c r="R222" s="71">
        <v>0</v>
      </c>
      <c r="S222" s="74">
        <f>A222</f>
        <v>1060002</v>
      </c>
      <c r="T222" s="79">
        <v>1100</v>
      </c>
      <c r="U222" s="78">
        <v>1011</v>
      </c>
      <c r="V222" s="79" t="s">
        <v>703</v>
      </c>
      <c r="W222" s="71">
        <v>0</v>
      </c>
      <c r="X222" s="71">
        <v>0</v>
      </c>
      <c r="Y222" s="71">
        <v>0</v>
      </c>
      <c r="Z222" s="71">
        <v>0</v>
      </c>
    </row>
    <row r="223" spans="1:26">
      <c r="A223" s="71">
        <v>1060101</v>
      </c>
      <c r="B223" s="71" t="s">
        <v>704</v>
      </c>
      <c r="C223" s="71"/>
      <c r="D223" s="71">
        <v>1</v>
      </c>
      <c r="E223" s="71">
        <v>3</v>
      </c>
      <c r="F223" s="71">
        <v>1001</v>
      </c>
      <c r="G223" s="71">
        <v>350</v>
      </c>
      <c r="H223" s="71">
        <v>10000</v>
      </c>
      <c r="I223" s="76">
        <v>0</v>
      </c>
      <c r="J223" s="71">
        <v>10000</v>
      </c>
      <c r="K223" s="71">
        <v>0</v>
      </c>
      <c r="L223" s="71" t="s">
        <v>704</v>
      </c>
      <c r="M223" s="77"/>
      <c r="N223" s="71" t="s">
        <v>704</v>
      </c>
      <c r="O223" s="71"/>
      <c r="P223" s="71"/>
      <c r="Q223" s="71" t="s">
        <v>227</v>
      </c>
      <c r="R223" s="71">
        <v>0</v>
      </c>
      <c r="S223" s="74">
        <v>0</v>
      </c>
      <c r="T223" s="78">
        <v>0</v>
      </c>
      <c r="U223" s="78">
        <v>1011</v>
      </c>
      <c r="V223" s="78">
        <v>700</v>
      </c>
      <c r="W223" s="71">
        <v>1060001</v>
      </c>
      <c r="X223" s="71">
        <v>400</v>
      </c>
      <c r="Y223" s="71">
        <v>350</v>
      </c>
      <c r="Z223" s="71">
        <v>0</v>
      </c>
    </row>
    <row r="224" spans="1:26">
      <c r="A224" s="71">
        <v>1060102</v>
      </c>
      <c r="B224" s="71" t="s">
        <v>705</v>
      </c>
      <c r="C224" s="25" t="s">
        <v>706</v>
      </c>
      <c r="D224" s="71">
        <v>2</v>
      </c>
      <c r="E224" s="71">
        <v>3</v>
      </c>
      <c r="F224" s="71">
        <v>2001</v>
      </c>
      <c r="G224" s="71">
        <v>350</v>
      </c>
      <c r="H224" s="71">
        <v>2000</v>
      </c>
      <c r="I224" s="76">
        <v>0</v>
      </c>
      <c r="J224" s="71">
        <v>180000</v>
      </c>
      <c r="K224" s="71">
        <f>A224</f>
        <v>1060102</v>
      </c>
      <c r="L224" s="71" t="s">
        <v>707</v>
      </c>
      <c r="M224" s="77" t="s">
        <v>708</v>
      </c>
      <c r="N224" s="71" t="s">
        <v>705</v>
      </c>
      <c r="O224" s="71"/>
      <c r="P224" s="71"/>
      <c r="Q224" s="71" t="s">
        <v>60</v>
      </c>
      <c r="R224" s="71">
        <v>0</v>
      </c>
      <c r="S224" s="74">
        <f>A224</f>
        <v>1060102</v>
      </c>
      <c r="T224" s="79">
        <v>1100</v>
      </c>
      <c r="U224" s="78">
        <v>1011</v>
      </c>
      <c r="V224" s="79" t="s">
        <v>709</v>
      </c>
      <c r="W224" s="71">
        <v>0</v>
      </c>
      <c r="X224" s="71">
        <v>0</v>
      </c>
      <c r="Y224" s="71">
        <v>0</v>
      </c>
      <c r="Z224" s="71">
        <v>0</v>
      </c>
    </row>
    <row r="225" spans="1:26">
      <c r="A225" s="71">
        <v>1062001</v>
      </c>
      <c r="B225" s="71" t="s">
        <v>710</v>
      </c>
      <c r="C225" s="71"/>
      <c r="D225" s="71">
        <v>1</v>
      </c>
      <c r="E225" s="71">
        <v>3</v>
      </c>
      <c r="F225" s="71">
        <v>1001</v>
      </c>
      <c r="G225" s="71">
        <v>350</v>
      </c>
      <c r="H225" s="71">
        <v>10000</v>
      </c>
      <c r="I225" s="76">
        <v>0</v>
      </c>
      <c r="J225" s="71">
        <v>10000</v>
      </c>
      <c r="K225" s="71">
        <v>0</v>
      </c>
      <c r="L225" s="71" t="s">
        <v>710</v>
      </c>
      <c r="M225" s="77"/>
      <c r="N225" s="71" t="s">
        <v>710</v>
      </c>
      <c r="O225" s="71"/>
      <c r="P225" s="71"/>
      <c r="Q225" s="71" t="s">
        <v>227</v>
      </c>
      <c r="R225" s="71">
        <v>0</v>
      </c>
      <c r="S225" s="74">
        <v>0</v>
      </c>
      <c r="T225" s="78">
        <v>0</v>
      </c>
      <c r="U225" s="78">
        <v>1011</v>
      </c>
      <c r="V225" s="78">
        <v>700</v>
      </c>
      <c r="W225" s="71">
        <v>1062001</v>
      </c>
      <c r="X225" s="71">
        <v>400</v>
      </c>
      <c r="Y225" s="71">
        <v>350</v>
      </c>
      <c r="Z225" s="71">
        <v>0</v>
      </c>
    </row>
    <row r="226" spans="1:26">
      <c r="A226" s="71">
        <v>1062002</v>
      </c>
      <c r="B226" s="71" t="s">
        <v>711</v>
      </c>
      <c r="C226" s="25" t="s">
        <v>712</v>
      </c>
      <c r="D226" s="71">
        <v>2</v>
      </c>
      <c r="E226" s="71">
        <v>3</v>
      </c>
      <c r="F226" s="71">
        <v>2001</v>
      </c>
      <c r="G226" s="71">
        <v>350</v>
      </c>
      <c r="H226" s="71">
        <v>5000</v>
      </c>
      <c r="I226" s="76">
        <v>0</v>
      </c>
      <c r="J226" s="71">
        <v>180000</v>
      </c>
      <c r="K226" s="71">
        <f>A226</f>
        <v>1062002</v>
      </c>
      <c r="L226" s="71" t="s">
        <v>713</v>
      </c>
      <c r="M226" s="77" t="s">
        <v>714</v>
      </c>
      <c r="N226" s="71" t="s">
        <v>711</v>
      </c>
      <c r="O226" s="71"/>
      <c r="P226" s="71"/>
      <c r="Q226" s="71" t="s">
        <v>60</v>
      </c>
      <c r="R226" s="71">
        <v>0</v>
      </c>
      <c r="S226" s="74">
        <f>A226</f>
        <v>1062002</v>
      </c>
      <c r="T226" s="78">
        <v>1000</v>
      </c>
      <c r="U226" s="78">
        <v>1011</v>
      </c>
      <c r="V226" s="78" t="s">
        <v>715</v>
      </c>
      <c r="W226" s="71">
        <v>0</v>
      </c>
      <c r="X226" s="71">
        <v>0</v>
      </c>
      <c r="Y226" s="71">
        <v>0</v>
      </c>
      <c r="Z226" s="71">
        <v>0</v>
      </c>
    </row>
    <row r="227" spans="1:26">
      <c r="A227" s="71">
        <v>1062101</v>
      </c>
      <c r="B227" s="71" t="s">
        <v>716</v>
      </c>
      <c r="C227" s="71"/>
      <c r="D227" s="71">
        <v>1</v>
      </c>
      <c r="E227" s="71">
        <v>3</v>
      </c>
      <c r="F227" s="71">
        <v>1001</v>
      </c>
      <c r="G227" s="71">
        <v>350</v>
      </c>
      <c r="H227" s="71">
        <v>10000</v>
      </c>
      <c r="I227" s="76">
        <v>0</v>
      </c>
      <c r="J227" s="71">
        <v>10000</v>
      </c>
      <c r="K227" s="71">
        <v>0</v>
      </c>
      <c r="L227" s="71" t="s">
        <v>716</v>
      </c>
      <c r="M227" s="77"/>
      <c r="N227" s="71" t="s">
        <v>716</v>
      </c>
      <c r="O227" s="71"/>
      <c r="P227" s="71"/>
      <c r="Q227" s="71" t="s">
        <v>227</v>
      </c>
      <c r="R227" s="71">
        <v>0</v>
      </c>
      <c r="S227" s="74">
        <v>0</v>
      </c>
      <c r="T227" s="78">
        <v>0</v>
      </c>
      <c r="U227" s="78">
        <v>1011</v>
      </c>
      <c r="V227" s="78">
        <v>700</v>
      </c>
      <c r="W227" s="71">
        <v>1062001</v>
      </c>
      <c r="X227" s="71">
        <v>400</v>
      </c>
      <c r="Y227" s="71">
        <v>350</v>
      </c>
      <c r="Z227" s="71">
        <v>0</v>
      </c>
    </row>
    <row r="228" spans="1:26">
      <c r="A228" s="71">
        <v>1062102</v>
      </c>
      <c r="B228" s="71" t="s">
        <v>717</v>
      </c>
      <c r="C228" s="25" t="s">
        <v>718</v>
      </c>
      <c r="D228" s="71">
        <v>2</v>
      </c>
      <c r="E228" s="71">
        <v>3</v>
      </c>
      <c r="F228" s="71">
        <v>2001</v>
      </c>
      <c r="G228" s="71">
        <v>350</v>
      </c>
      <c r="H228" s="71">
        <v>5000</v>
      </c>
      <c r="I228" s="76">
        <v>0</v>
      </c>
      <c r="J228" s="71">
        <v>180000</v>
      </c>
      <c r="K228" s="71">
        <f>A228</f>
        <v>1062102</v>
      </c>
      <c r="L228" s="71" t="s">
        <v>719</v>
      </c>
      <c r="M228" s="77" t="s">
        <v>720</v>
      </c>
      <c r="N228" s="71" t="s">
        <v>717</v>
      </c>
      <c r="O228" s="71"/>
      <c r="P228" s="71"/>
      <c r="Q228" s="71" t="s">
        <v>60</v>
      </c>
      <c r="R228" s="71">
        <v>0</v>
      </c>
      <c r="S228" s="74">
        <f>A228</f>
        <v>1062102</v>
      </c>
      <c r="T228" s="78">
        <v>1000</v>
      </c>
      <c r="U228" s="78">
        <v>1011</v>
      </c>
      <c r="V228" s="78" t="s">
        <v>715</v>
      </c>
      <c r="W228" s="71">
        <v>0</v>
      </c>
      <c r="X228" s="71">
        <v>0</v>
      </c>
      <c r="Y228" s="71">
        <v>0</v>
      </c>
      <c r="Z228" s="71">
        <v>0</v>
      </c>
    </row>
    <row r="229" ht="17.25" spans="1:26">
      <c r="A229" s="71">
        <v>1062201</v>
      </c>
      <c r="B229" s="85" t="s">
        <v>721</v>
      </c>
      <c r="C229" s="86"/>
      <c r="D229" s="71">
        <v>1</v>
      </c>
      <c r="E229" s="71">
        <v>3</v>
      </c>
      <c r="F229" s="71">
        <v>1001</v>
      </c>
      <c r="G229" s="71">
        <v>350</v>
      </c>
      <c r="H229" s="71">
        <v>10000</v>
      </c>
      <c r="I229" s="76">
        <v>0</v>
      </c>
      <c r="J229" s="71">
        <v>10000</v>
      </c>
      <c r="K229" s="71">
        <v>0</v>
      </c>
      <c r="L229" s="85" t="s">
        <v>721</v>
      </c>
      <c r="M229" s="77"/>
      <c r="N229" s="71" t="s">
        <v>721</v>
      </c>
      <c r="O229" s="71"/>
      <c r="P229" s="71"/>
      <c r="Q229" s="71" t="s">
        <v>227</v>
      </c>
      <c r="R229" s="71">
        <v>0</v>
      </c>
      <c r="S229" s="71">
        <v>0</v>
      </c>
      <c r="T229" s="78">
        <v>0</v>
      </c>
      <c r="U229" s="78">
        <v>1011</v>
      </c>
      <c r="V229" s="78">
        <v>700</v>
      </c>
      <c r="W229" s="71">
        <v>1062001</v>
      </c>
      <c r="X229" s="71">
        <v>400</v>
      </c>
      <c r="Y229" s="71">
        <v>350</v>
      </c>
      <c r="Z229" s="71">
        <v>0</v>
      </c>
    </row>
    <row r="230" ht="17.25" spans="1:26">
      <c r="A230" s="71">
        <v>1062202</v>
      </c>
      <c r="B230" s="85" t="s">
        <v>722</v>
      </c>
      <c r="C230" s="25" t="s">
        <v>723</v>
      </c>
      <c r="D230" s="71">
        <v>2</v>
      </c>
      <c r="E230" s="71">
        <v>3</v>
      </c>
      <c r="F230" s="71">
        <v>2001</v>
      </c>
      <c r="G230" s="71">
        <v>350</v>
      </c>
      <c r="H230" s="71">
        <v>10000</v>
      </c>
      <c r="I230" s="76" t="s">
        <v>724</v>
      </c>
      <c r="J230" s="71">
        <v>180000</v>
      </c>
      <c r="K230" s="71">
        <f>A230</f>
        <v>1062202</v>
      </c>
      <c r="L230" s="89" t="s">
        <v>725</v>
      </c>
      <c r="M230" s="77" t="s">
        <v>726</v>
      </c>
      <c r="N230" s="71" t="s">
        <v>722</v>
      </c>
      <c r="O230" s="71"/>
      <c r="P230" s="71"/>
      <c r="Q230" s="71" t="s">
        <v>60</v>
      </c>
      <c r="R230" s="71">
        <v>0</v>
      </c>
      <c r="S230" s="74">
        <f>A230</f>
        <v>1062202</v>
      </c>
      <c r="T230" s="78">
        <v>800</v>
      </c>
      <c r="U230" s="78">
        <v>1011</v>
      </c>
      <c r="V230" s="79">
        <v>1650</v>
      </c>
      <c r="W230" s="71">
        <v>0</v>
      </c>
      <c r="X230" s="71">
        <v>0</v>
      </c>
      <c r="Y230" s="71">
        <v>0</v>
      </c>
      <c r="Z230" s="71">
        <v>0</v>
      </c>
    </row>
    <row r="231" ht="17.25" spans="1:26">
      <c r="A231" s="71">
        <v>10101001</v>
      </c>
      <c r="B231" s="87" t="s">
        <v>455</v>
      </c>
      <c r="C231" s="86" t="s">
        <v>727</v>
      </c>
      <c r="D231" s="71">
        <v>2</v>
      </c>
      <c r="E231" s="71">
        <v>1</v>
      </c>
      <c r="F231" s="71">
        <v>2010</v>
      </c>
      <c r="G231" s="71">
        <v>350</v>
      </c>
      <c r="H231" s="71">
        <v>10000</v>
      </c>
      <c r="I231" s="76">
        <v>0</v>
      </c>
      <c r="J231" s="71">
        <v>180000</v>
      </c>
      <c r="K231" s="71">
        <f>A231</f>
        <v>10101001</v>
      </c>
      <c r="L231" s="90" t="s">
        <v>728</v>
      </c>
      <c r="M231" s="91" t="s">
        <v>729</v>
      </c>
      <c r="N231" s="71" t="str">
        <f>B231</f>
        <v>小鬼出击</v>
      </c>
      <c r="O231" s="71"/>
      <c r="P231" s="71"/>
      <c r="Q231" s="71" t="s">
        <v>60</v>
      </c>
      <c r="R231" s="71">
        <v>0</v>
      </c>
      <c r="S231" s="74">
        <v>1032002</v>
      </c>
      <c r="T231" s="78">
        <v>400</v>
      </c>
      <c r="U231" s="78">
        <v>1014</v>
      </c>
      <c r="V231" s="79" t="s">
        <v>459</v>
      </c>
      <c r="W231" s="71">
        <v>0</v>
      </c>
      <c r="X231" s="71">
        <v>0</v>
      </c>
      <c r="Y231" s="71">
        <v>0</v>
      </c>
      <c r="Z231" s="71">
        <v>0</v>
      </c>
    </row>
    <row r="232" ht="17.25" spans="1:26">
      <c r="A232" s="71">
        <v>10101002</v>
      </c>
      <c r="B232" s="87" t="s">
        <v>535</v>
      </c>
      <c r="C232" s="86" t="s">
        <v>730</v>
      </c>
      <c r="D232" s="71">
        <v>2</v>
      </c>
      <c r="E232" s="71">
        <v>1</v>
      </c>
      <c r="F232" s="71">
        <v>2010</v>
      </c>
      <c r="G232" s="71">
        <v>350</v>
      </c>
      <c r="H232" s="71">
        <v>1430</v>
      </c>
      <c r="I232" s="71">
        <v>10101002</v>
      </c>
      <c r="J232" s="71">
        <v>180000</v>
      </c>
      <c r="K232" s="71">
        <f t="shared" ref="K232:K251" si="37">A232</f>
        <v>10101002</v>
      </c>
      <c r="L232" s="90" t="s">
        <v>731</v>
      </c>
      <c r="M232" s="91" t="s">
        <v>732</v>
      </c>
      <c r="N232" s="71" t="str">
        <f t="shared" ref="N232:N263" si="38">B232</f>
        <v>紫色雷霆</v>
      </c>
      <c r="O232" s="71"/>
      <c r="P232" s="71"/>
      <c r="Q232" s="71" t="s">
        <v>60</v>
      </c>
      <c r="R232" s="71">
        <v>0</v>
      </c>
      <c r="S232" s="74">
        <v>1039202</v>
      </c>
      <c r="T232" s="78">
        <v>600</v>
      </c>
      <c r="U232" s="78">
        <v>1011</v>
      </c>
      <c r="V232" s="78" t="s">
        <v>527</v>
      </c>
      <c r="W232" s="71">
        <v>0</v>
      </c>
      <c r="X232" s="71">
        <v>0</v>
      </c>
      <c r="Y232" s="71">
        <v>0</v>
      </c>
      <c r="Z232" s="71">
        <v>0</v>
      </c>
    </row>
    <row r="233" ht="17.25" spans="1:26">
      <c r="A233" s="71">
        <v>10101003</v>
      </c>
      <c r="B233" s="87" t="s">
        <v>296</v>
      </c>
      <c r="C233" s="86" t="s">
        <v>733</v>
      </c>
      <c r="D233" s="71">
        <v>2</v>
      </c>
      <c r="E233" s="71">
        <v>1</v>
      </c>
      <c r="F233" s="71">
        <v>2010</v>
      </c>
      <c r="G233" s="71">
        <v>350</v>
      </c>
      <c r="H233" s="71">
        <v>2500</v>
      </c>
      <c r="I233" s="71">
        <v>10101003</v>
      </c>
      <c r="J233" s="71">
        <v>70000</v>
      </c>
      <c r="K233" s="71">
        <f t="shared" si="37"/>
        <v>10101003</v>
      </c>
      <c r="L233" s="90" t="s">
        <v>734</v>
      </c>
      <c r="M233" s="91" t="s">
        <v>735</v>
      </c>
      <c r="N233" s="71" t="str">
        <f t="shared" si="38"/>
        <v>噬影分身</v>
      </c>
      <c r="O233" s="71"/>
      <c r="P233" s="71"/>
      <c r="Q233" s="71" t="s">
        <v>60</v>
      </c>
      <c r="R233" s="71">
        <v>0</v>
      </c>
      <c r="S233" s="81">
        <v>1012002</v>
      </c>
      <c r="T233" s="78">
        <v>700</v>
      </c>
      <c r="U233" s="78">
        <v>1013</v>
      </c>
      <c r="V233" s="79" t="s">
        <v>300</v>
      </c>
      <c r="W233" s="71">
        <v>0</v>
      </c>
      <c r="X233" s="71">
        <v>0</v>
      </c>
      <c r="Y233" s="71">
        <v>0</v>
      </c>
      <c r="Z233" s="71">
        <v>5004001</v>
      </c>
    </row>
    <row r="234" ht="17.25" spans="1:26">
      <c r="A234" s="71">
        <v>10101004</v>
      </c>
      <c r="B234" s="71" t="s">
        <v>326</v>
      </c>
      <c r="C234" s="86" t="s">
        <v>736</v>
      </c>
      <c r="D234" s="71">
        <v>2</v>
      </c>
      <c r="E234" s="71">
        <v>1</v>
      </c>
      <c r="F234" s="71">
        <v>2001</v>
      </c>
      <c r="G234" s="71">
        <v>350</v>
      </c>
      <c r="H234" s="71">
        <v>10000</v>
      </c>
      <c r="I234" s="71">
        <v>10101004</v>
      </c>
      <c r="J234" s="71">
        <v>180000</v>
      </c>
      <c r="K234" s="71">
        <f t="shared" si="37"/>
        <v>10101004</v>
      </c>
      <c r="L234" s="90" t="s">
        <v>737</v>
      </c>
      <c r="M234" s="91" t="s">
        <v>738</v>
      </c>
      <c r="N234" s="71" t="str">
        <f t="shared" si="38"/>
        <v>雷霆爪击</v>
      </c>
      <c r="O234" s="71"/>
      <c r="P234" s="71"/>
      <c r="Q234" s="71" t="s">
        <v>60</v>
      </c>
      <c r="R234" s="71">
        <v>0</v>
      </c>
      <c r="S234" s="74">
        <v>1014102</v>
      </c>
      <c r="T234" s="78">
        <v>700</v>
      </c>
      <c r="U234" s="78">
        <v>1014</v>
      </c>
      <c r="V234" s="78">
        <v>1700</v>
      </c>
      <c r="W234" s="71">
        <v>0</v>
      </c>
      <c r="X234" s="71">
        <v>0</v>
      </c>
      <c r="Y234" s="71">
        <v>0</v>
      </c>
      <c r="Z234" s="71">
        <v>0</v>
      </c>
    </row>
    <row r="235" ht="17.25" spans="1:26">
      <c r="A235" s="71">
        <v>10101005</v>
      </c>
      <c r="B235" s="71" t="s">
        <v>550</v>
      </c>
      <c r="C235" s="86" t="s">
        <v>739</v>
      </c>
      <c r="D235" s="71">
        <v>2</v>
      </c>
      <c r="E235" s="71">
        <v>1</v>
      </c>
      <c r="F235" s="71">
        <v>2001</v>
      </c>
      <c r="G235" s="71">
        <v>350</v>
      </c>
      <c r="H235" s="71">
        <v>3330</v>
      </c>
      <c r="I235" s="71">
        <v>10101005</v>
      </c>
      <c r="J235" s="71">
        <v>180000</v>
      </c>
      <c r="K235" s="71">
        <f t="shared" si="37"/>
        <v>10101005</v>
      </c>
      <c r="L235" s="90" t="s">
        <v>740</v>
      </c>
      <c r="M235" s="91" t="s">
        <v>741</v>
      </c>
      <c r="N235" s="71" t="str">
        <f t="shared" si="38"/>
        <v>灵球猛击</v>
      </c>
      <c r="O235" s="71"/>
      <c r="P235" s="71"/>
      <c r="Q235" s="71" t="s">
        <v>60</v>
      </c>
      <c r="R235" s="71">
        <v>0</v>
      </c>
      <c r="S235" s="74">
        <v>1042002</v>
      </c>
      <c r="T235" s="78">
        <v>900</v>
      </c>
      <c r="U235" s="78">
        <v>1016</v>
      </c>
      <c r="V235" s="79">
        <v>1400</v>
      </c>
      <c r="W235" s="71">
        <v>0</v>
      </c>
      <c r="X235" s="71">
        <v>0</v>
      </c>
      <c r="Y235" s="71">
        <v>0</v>
      </c>
      <c r="Z235" s="71">
        <v>0</v>
      </c>
    </row>
    <row r="236" ht="17.25" spans="1:26">
      <c r="A236" s="71">
        <v>10101006</v>
      </c>
      <c r="B236" s="88" t="s">
        <v>594</v>
      </c>
      <c r="C236" s="86" t="s">
        <v>742</v>
      </c>
      <c r="D236" s="71">
        <v>2</v>
      </c>
      <c r="E236" s="71">
        <v>1</v>
      </c>
      <c r="F236" s="71">
        <v>2001</v>
      </c>
      <c r="G236" s="71">
        <v>350</v>
      </c>
      <c r="H236" s="71">
        <v>1110</v>
      </c>
      <c r="I236" s="71">
        <v>10101006</v>
      </c>
      <c r="J236" s="71">
        <v>180000</v>
      </c>
      <c r="K236" s="71">
        <f t="shared" si="37"/>
        <v>10101006</v>
      </c>
      <c r="L236" s="90" t="s">
        <v>743</v>
      </c>
      <c r="M236" s="91" t="s">
        <v>744</v>
      </c>
      <c r="N236" s="71" t="str">
        <f t="shared" si="38"/>
        <v>火焰甩尾</v>
      </c>
      <c r="O236" s="71"/>
      <c r="P236" s="71"/>
      <c r="Q236" s="71" t="s">
        <v>60</v>
      </c>
      <c r="R236" s="71">
        <v>0</v>
      </c>
      <c r="S236" s="74">
        <v>1050002</v>
      </c>
      <c r="T236" s="81">
        <v>1000</v>
      </c>
      <c r="U236" s="81">
        <v>1012</v>
      </c>
      <c r="V236" s="81" t="s">
        <v>598</v>
      </c>
      <c r="W236" s="71">
        <v>0</v>
      </c>
      <c r="X236" s="71">
        <v>0</v>
      </c>
      <c r="Y236" s="71">
        <v>0</v>
      </c>
      <c r="Z236" s="71">
        <v>0</v>
      </c>
    </row>
    <row r="237" ht="17.25" spans="1:26">
      <c r="A237" s="71">
        <v>10201007</v>
      </c>
      <c r="B237" s="87" t="s">
        <v>745</v>
      </c>
      <c r="C237" s="86" t="s">
        <v>746</v>
      </c>
      <c r="D237" s="71">
        <v>2</v>
      </c>
      <c r="E237" s="71">
        <v>1</v>
      </c>
      <c r="F237" s="71">
        <v>3001</v>
      </c>
      <c r="G237" s="71">
        <v>350</v>
      </c>
      <c r="H237" s="71">
        <v>0</v>
      </c>
      <c r="I237" s="71">
        <v>10201007</v>
      </c>
      <c r="J237" s="71">
        <v>100000</v>
      </c>
      <c r="K237" s="71">
        <f t="shared" si="37"/>
        <v>10201007</v>
      </c>
      <c r="L237" s="90" t="s">
        <v>747</v>
      </c>
      <c r="M237" s="91" t="s">
        <v>748</v>
      </c>
      <c r="N237" s="71" t="str">
        <f t="shared" si="38"/>
        <v>借点气势</v>
      </c>
      <c r="O237" s="71"/>
      <c r="P237" s="71"/>
      <c r="Q237" s="71" t="s">
        <v>60</v>
      </c>
      <c r="R237" s="71">
        <v>0</v>
      </c>
      <c r="S237" s="74">
        <v>0</v>
      </c>
      <c r="T237" s="78">
        <v>0</v>
      </c>
      <c r="U237" s="78">
        <v>0</v>
      </c>
      <c r="V237" s="78">
        <v>0</v>
      </c>
      <c r="W237" s="71">
        <v>0</v>
      </c>
      <c r="X237" s="71">
        <v>0</v>
      </c>
      <c r="Y237" s="71">
        <v>0</v>
      </c>
      <c r="Z237" s="71">
        <v>10201007</v>
      </c>
    </row>
    <row r="238" ht="17.25" spans="1:26">
      <c r="A238" s="71">
        <v>10201008</v>
      </c>
      <c r="B238" s="87" t="s">
        <v>749</v>
      </c>
      <c r="C238" s="86" t="s">
        <v>750</v>
      </c>
      <c r="D238" s="71">
        <v>2</v>
      </c>
      <c r="E238" s="71">
        <v>1</v>
      </c>
      <c r="F238" s="71">
        <v>3001</v>
      </c>
      <c r="G238" s="71">
        <v>350</v>
      </c>
      <c r="H238" s="71">
        <v>0</v>
      </c>
      <c r="I238" s="71">
        <v>10201008</v>
      </c>
      <c r="J238" s="71">
        <v>100000</v>
      </c>
      <c r="K238" s="71">
        <f t="shared" si="37"/>
        <v>10201008</v>
      </c>
      <c r="L238" s="90" t="s">
        <v>751</v>
      </c>
      <c r="M238" s="91" t="s">
        <v>752</v>
      </c>
      <c r="N238" s="71" t="str">
        <f t="shared" si="38"/>
        <v>鼓腮加成</v>
      </c>
      <c r="O238" s="71"/>
      <c r="P238" s="71"/>
      <c r="Q238" s="71" t="s">
        <v>60</v>
      </c>
      <c r="R238" s="71">
        <v>0</v>
      </c>
      <c r="S238" s="74">
        <v>0</v>
      </c>
      <c r="T238" s="78">
        <v>0</v>
      </c>
      <c r="U238" s="78">
        <v>0</v>
      </c>
      <c r="V238" s="78">
        <v>0</v>
      </c>
      <c r="W238" s="71">
        <v>0</v>
      </c>
      <c r="X238" s="71">
        <v>0</v>
      </c>
      <c r="Y238" s="71">
        <v>0</v>
      </c>
      <c r="Z238" s="71">
        <v>10201007</v>
      </c>
    </row>
    <row r="239" ht="17.25" spans="1:26">
      <c r="A239" s="71">
        <v>10201009</v>
      </c>
      <c r="B239" s="87" t="s">
        <v>753</v>
      </c>
      <c r="C239" s="86" t="s">
        <v>754</v>
      </c>
      <c r="D239" s="71">
        <v>2</v>
      </c>
      <c r="E239" s="71">
        <v>1</v>
      </c>
      <c r="F239" s="71">
        <v>3001</v>
      </c>
      <c r="G239" s="71">
        <v>350</v>
      </c>
      <c r="H239" s="71">
        <v>0</v>
      </c>
      <c r="I239" s="71">
        <v>10201009</v>
      </c>
      <c r="J239" s="71">
        <v>100000</v>
      </c>
      <c r="K239" s="71">
        <f t="shared" si="37"/>
        <v>10201009</v>
      </c>
      <c r="L239" s="90" t="s">
        <v>755</v>
      </c>
      <c r="M239" s="91" t="s">
        <v>756</v>
      </c>
      <c r="N239" s="71" t="str">
        <f t="shared" si="38"/>
        <v>元素渣涌</v>
      </c>
      <c r="O239" s="71"/>
      <c r="P239" s="71"/>
      <c r="Q239" s="71" t="s">
        <v>60</v>
      </c>
      <c r="R239" s="71">
        <v>0</v>
      </c>
      <c r="S239" s="74">
        <v>0</v>
      </c>
      <c r="T239" s="78">
        <v>0</v>
      </c>
      <c r="U239" s="78">
        <v>0</v>
      </c>
      <c r="V239" s="78">
        <v>0</v>
      </c>
      <c r="W239" s="71">
        <v>0</v>
      </c>
      <c r="X239" s="71">
        <v>0</v>
      </c>
      <c r="Y239" s="71">
        <v>0</v>
      </c>
      <c r="Z239" s="71">
        <v>10201007</v>
      </c>
    </row>
    <row r="240" ht="17.25" spans="1:26">
      <c r="A240" s="71">
        <v>10201010</v>
      </c>
      <c r="B240" s="87" t="s">
        <v>757</v>
      </c>
      <c r="C240" s="86" t="s">
        <v>758</v>
      </c>
      <c r="D240" s="71">
        <v>2</v>
      </c>
      <c r="E240" s="71">
        <v>1</v>
      </c>
      <c r="F240" s="71">
        <v>3001</v>
      </c>
      <c r="G240" s="71">
        <v>350</v>
      </c>
      <c r="H240" s="71">
        <v>0</v>
      </c>
      <c r="I240" s="71">
        <v>10201010</v>
      </c>
      <c r="J240" s="71">
        <v>100000</v>
      </c>
      <c r="K240" s="71">
        <f t="shared" si="37"/>
        <v>10201010</v>
      </c>
      <c r="L240" s="90" t="s">
        <v>759</v>
      </c>
      <c r="M240" s="91" t="s">
        <v>760</v>
      </c>
      <c r="N240" s="71" t="str">
        <f t="shared" si="38"/>
        <v>暴击弱点</v>
      </c>
      <c r="O240" s="71"/>
      <c r="P240" s="71"/>
      <c r="Q240" s="71" t="s">
        <v>60</v>
      </c>
      <c r="R240" s="71">
        <v>0</v>
      </c>
      <c r="S240" s="74">
        <v>0</v>
      </c>
      <c r="T240" s="78">
        <v>0</v>
      </c>
      <c r="U240" s="78">
        <v>0</v>
      </c>
      <c r="V240" s="78">
        <v>0</v>
      </c>
      <c r="W240" s="71">
        <v>0</v>
      </c>
      <c r="X240" s="71">
        <v>0</v>
      </c>
      <c r="Y240" s="71">
        <v>0</v>
      </c>
      <c r="Z240" s="71">
        <v>10201007</v>
      </c>
    </row>
    <row r="241" ht="17.25" spans="1:26">
      <c r="A241" s="71">
        <v>10201011</v>
      </c>
      <c r="B241" s="87" t="s">
        <v>761</v>
      </c>
      <c r="C241" s="86" t="s">
        <v>762</v>
      </c>
      <c r="D241" s="71">
        <v>2</v>
      </c>
      <c r="E241" s="71">
        <v>1</v>
      </c>
      <c r="F241" s="71">
        <v>3001</v>
      </c>
      <c r="G241" s="71">
        <v>350</v>
      </c>
      <c r="H241" s="71">
        <v>0</v>
      </c>
      <c r="I241" s="71">
        <v>10201011</v>
      </c>
      <c r="J241" s="71">
        <v>100000</v>
      </c>
      <c r="K241" s="71">
        <f t="shared" si="37"/>
        <v>10201011</v>
      </c>
      <c r="L241" s="90" t="s">
        <v>763</v>
      </c>
      <c r="M241" s="91" t="s">
        <v>764</v>
      </c>
      <c r="N241" s="71" t="str">
        <f t="shared" si="38"/>
        <v>暴击猛砸</v>
      </c>
      <c r="O241" s="71"/>
      <c r="P241" s="71"/>
      <c r="Q241" s="71" t="s">
        <v>60</v>
      </c>
      <c r="R241" s="71">
        <v>0</v>
      </c>
      <c r="S241" s="74">
        <v>0</v>
      </c>
      <c r="T241" s="78">
        <v>0</v>
      </c>
      <c r="U241" s="78">
        <v>0</v>
      </c>
      <c r="V241" s="78">
        <v>0</v>
      </c>
      <c r="W241" s="71">
        <v>0</v>
      </c>
      <c r="X241" s="71">
        <v>0</v>
      </c>
      <c r="Y241" s="71">
        <v>0</v>
      </c>
      <c r="Z241" s="71">
        <v>10201007</v>
      </c>
    </row>
    <row r="242" ht="17.25" spans="1:26">
      <c r="A242" s="71">
        <v>10301012</v>
      </c>
      <c r="B242" s="87" t="s">
        <v>765</v>
      </c>
      <c r="C242" s="86" t="s">
        <v>766</v>
      </c>
      <c r="D242" s="71">
        <v>2</v>
      </c>
      <c r="E242" s="71">
        <v>1</v>
      </c>
      <c r="F242" s="71">
        <v>3001</v>
      </c>
      <c r="G242" s="71">
        <v>350</v>
      </c>
      <c r="H242" s="71">
        <v>0</v>
      </c>
      <c r="I242" s="71">
        <v>10301012</v>
      </c>
      <c r="J242" s="71">
        <v>100000</v>
      </c>
      <c r="K242" s="71">
        <f t="shared" si="37"/>
        <v>10301012</v>
      </c>
      <c r="L242" s="90" t="s">
        <v>767</v>
      </c>
      <c r="M242" s="91" t="s">
        <v>768</v>
      </c>
      <c r="N242" s="71" t="str">
        <f t="shared" si="38"/>
        <v>魔法疗愈</v>
      </c>
      <c r="O242" s="71"/>
      <c r="P242" s="71"/>
      <c r="Q242" s="71" t="s">
        <v>60</v>
      </c>
      <c r="R242" s="71">
        <v>0</v>
      </c>
      <c r="S242" s="74">
        <v>0</v>
      </c>
      <c r="T242" s="78">
        <v>0</v>
      </c>
      <c r="U242" s="78">
        <v>0</v>
      </c>
      <c r="V242" s="78">
        <v>0</v>
      </c>
      <c r="W242" s="71">
        <v>0</v>
      </c>
      <c r="X242" s="71">
        <v>0</v>
      </c>
      <c r="Y242" s="71">
        <v>0</v>
      </c>
      <c r="Z242" s="71">
        <v>10201007</v>
      </c>
    </row>
    <row r="243" ht="17.25" spans="1:26">
      <c r="A243" s="71">
        <v>10301013</v>
      </c>
      <c r="B243" s="87" t="s">
        <v>769</v>
      </c>
      <c r="C243" s="86" t="s">
        <v>770</v>
      </c>
      <c r="D243" s="71">
        <v>2</v>
      </c>
      <c r="E243" s="71">
        <v>1</v>
      </c>
      <c r="F243" s="71">
        <v>3001</v>
      </c>
      <c r="G243" s="71">
        <v>350</v>
      </c>
      <c r="H243" s="71">
        <v>0</v>
      </c>
      <c r="I243" s="71">
        <v>10301013</v>
      </c>
      <c r="J243" s="71">
        <v>100000</v>
      </c>
      <c r="K243" s="71">
        <f t="shared" si="37"/>
        <v>10301013</v>
      </c>
      <c r="L243" s="90" t="s">
        <v>771</v>
      </c>
      <c r="M243" s="91" t="s">
        <v>772</v>
      </c>
      <c r="N243" s="71" t="str">
        <f t="shared" si="38"/>
        <v>回春疗愈</v>
      </c>
      <c r="O243" s="71"/>
      <c r="P243" s="71"/>
      <c r="Q243" s="71" t="s">
        <v>60</v>
      </c>
      <c r="R243" s="71">
        <v>0</v>
      </c>
      <c r="S243" s="74">
        <v>0</v>
      </c>
      <c r="T243" s="78">
        <v>0</v>
      </c>
      <c r="U243" s="78">
        <v>0</v>
      </c>
      <c r="V243" s="78">
        <v>0</v>
      </c>
      <c r="W243" s="71">
        <v>0</v>
      </c>
      <c r="X243" s="71">
        <v>0</v>
      </c>
      <c r="Y243" s="71">
        <v>0</v>
      </c>
      <c r="Z243" s="71">
        <v>10201007</v>
      </c>
    </row>
    <row r="244" ht="17.25" spans="1:26">
      <c r="A244" s="71">
        <v>10301014</v>
      </c>
      <c r="B244" s="87" t="s">
        <v>773</v>
      </c>
      <c r="C244" s="86" t="s">
        <v>774</v>
      </c>
      <c r="D244" s="71">
        <v>2</v>
      </c>
      <c r="E244" s="71">
        <v>1</v>
      </c>
      <c r="F244" s="71">
        <v>3001</v>
      </c>
      <c r="G244" s="71">
        <v>350</v>
      </c>
      <c r="H244" s="71">
        <v>0</v>
      </c>
      <c r="I244" s="71">
        <v>10301014</v>
      </c>
      <c r="J244" s="71">
        <v>100000</v>
      </c>
      <c r="K244" s="71">
        <f t="shared" si="37"/>
        <v>10301014</v>
      </c>
      <c r="L244" s="90" t="s">
        <v>775</v>
      </c>
      <c r="M244" s="91" t="s">
        <v>776</v>
      </c>
      <c r="N244" s="71" t="str">
        <f t="shared" si="38"/>
        <v>糊层护盾</v>
      </c>
      <c r="O244" s="71"/>
      <c r="P244" s="71"/>
      <c r="Q244" s="71" t="s">
        <v>60</v>
      </c>
      <c r="R244" s="71">
        <v>0</v>
      </c>
      <c r="S244" s="74">
        <v>0</v>
      </c>
      <c r="T244" s="78">
        <v>0</v>
      </c>
      <c r="U244" s="78">
        <v>0</v>
      </c>
      <c r="V244" s="78">
        <v>0</v>
      </c>
      <c r="W244" s="71">
        <v>0</v>
      </c>
      <c r="X244" s="71">
        <v>0</v>
      </c>
      <c r="Y244" s="71">
        <v>0</v>
      </c>
      <c r="Z244" s="71">
        <v>10201007</v>
      </c>
    </row>
    <row r="245" ht="17.25" spans="1:26">
      <c r="A245" s="71">
        <v>10301015</v>
      </c>
      <c r="B245" s="87" t="s">
        <v>777</v>
      </c>
      <c r="C245" s="86" t="s">
        <v>778</v>
      </c>
      <c r="D245" s="71">
        <v>2</v>
      </c>
      <c r="E245" s="71">
        <v>1</v>
      </c>
      <c r="F245" s="71">
        <v>3001</v>
      </c>
      <c r="G245" s="71">
        <v>350</v>
      </c>
      <c r="H245" s="71">
        <v>0</v>
      </c>
      <c r="I245" s="71">
        <v>10301015</v>
      </c>
      <c r="J245" s="71">
        <v>100000</v>
      </c>
      <c r="K245" s="71">
        <f t="shared" si="37"/>
        <v>10301015</v>
      </c>
      <c r="L245" s="90" t="s">
        <v>779</v>
      </c>
      <c r="M245" s="91" t="s">
        <v>780</v>
      </c>
      <c r="N245" s="71" t="str">
        <f t="shared" si="38"/>
        <v>偷点血量</v>
      </c>
      <c r="O245" s="71"/>
      <c r="P245" s="71"/>
      <c r="Q245" s="71" t="s">
        <v>60</v>
      </c>
      <c r="R245" s="71">
        <v>0</v>
      </c>
      <c r="S245" s="74">
        <v>0</v>
      </c>
      <c r="T245" s="78">
        <v>0</v>
      </c>
      <c r="U245" s="78">
        <v>0</v>
      </c>
      <c r="V245" s="78">
        <v>0</v>
      </c>
      <c r="W245" s="71">
        <v>0</v>
      </c>
      <c r="X245" s="71">
        <v>0</v>
      </c>
      <c r="Y245" s="71">
        <v>0</v>
      </c>
      <c r="Z245" s="71">
        <v>10201007</v>
      </c>
    </row>
    <row r="246" ht="17.25" spans="1:26">
      <c r="A246" s="71">
        <v>10301016</v>
      </c>
      <c r="B246" s="87" t="s">
        <v>781</v>
      </c>
      <c r="C246" s="86" t="s">
        <v>782</v>
      </c>
      <c r="D246" s="71">
        <v>2</v>
      </c>
      <c r="E246" s="71">
        <v>1</v>
      </c>
      <c r="F246" s="71">
        <v>3001</v>
      </c>
      <c r="G246" s="71">
        <v>350</v>
      </c>
      <c r="H246" s="71">
        <v>0</v>
      </c>
      <c r="I246" s="71">
        <v>10301016</v>
      </c>
      <c r="J246" s="71">
        <v>100000</v>
      </c>
      <c r="K246" s="71">
        <f t="shared" si="37"/>
        <v>10301016</v>
      </c>
      <c r="L246" s="90" t="s">
        <v>783</v>
      </c>
      <c r="M246" s="91" t="s">
        <v>784</v>
      </c>
      <c r="N246" s="71" t="str">
        <f t="shared" si="38"/>
        <v>挨揍回血</v>
      </c>
      <c r="O246" s="71"/>
      <c r="P246" s="71"/>
      <c r="Q246" s="71" t="s">
        <v>60</v>
      </c>
      <c r="R246" s="71">
        <v>0</v>
      </c>
      <c r="S246" s="74">
        <v>0</v>
      </c>
      <c r="T246" s="78">
        <v>0</v>
      </c>
      <c r="U246" s="78">
        <v>0</v>
      </c>
      <c r="V246" s="78">
        <v>0</v>
      </c>
      <c r="W246" s="71">
        <v>0</v>
      </c>
      <c r="X246" s="71">
        <v>0</v>
      </c>
      <c r="Y246" s="71">
        <v>0</v>
      </c>
      <c r="Z246" s="71">
        <v>10201007</v>
      </c>
    </row>
    <row r="247" ht="17.25" spans="1:26">
      <c r="A247" s="71">
        <v>10401017</v>
      </c>
      <c r="B247" s="87" t="s">
        <v>785</v>
      </c>
      <c r="C247" s="86" t="s">
        <v>786</v>
      </c>
      <c r="D247" s="71">
        <v>2</v>
      </c>
      <c r="E247" s="71">
        <v>1</v>
      </c>
      <c r="F247" s="71">
        <v>3001</v>
      </c>
      <c r="G247" s="71">
        <v>350</v>
      </c>
      <c r="H247" s="71">
        <v>0</v>
      </c>
      <c r="I247" s="71">
        <v>10401017</v>
      </c>
      <c r="J247" s="71">
        <v>100000</v>
      </c>
      <c r="K247" s="71">
        <f t="shared" si="37"/>
        <v>10401017</v>
      </c>
      <c r="L247" s="90" t="s">
        <v>787</v>
      </c>
      <c r="M247" s="91" t="s">
        <v>788</v>
      </c>
      <c r="N247" s="71" t="str">
        <f t="shared" si="38"/>
        <v>硬壳加持</v>
      </c>
      <c r="O247" s="71"/>
      <c r="P247" s="71"/>
      <c r="Q247" s="71" t="s">
        <v>60</v>
      </c>
      <c r="R247" s="71">
        <v>0</v>
      </c>
      <c r="S247" s="74">
        <v>0</v>
      </c>
      <c r="T247" s="78">
        <v>0</v>
      </c>
      <c r="U247" s="78">
        <v>0</v>
      </c>
      <c r="V247" s="78">
        <v>0</v>
      </c>
      <c r="W247" s="71">
        <v>0</v>
      </c>
      <c r="X247" s="71">
        <v>0</v>
      </c>
      <c r="Y247" s="71">
        <v>0</v>
      </c>
      <c r="Z247" s="71">
        <v>10201007</v>
      </c>
    </row>
    <row r="248" ht="17.25" spans="1:26">
      <c r="A248" s="71">
        <v>10401018</v>
      </c>
      <c r="B248" s="87" t="s">
        <v>789</v>
      </c>
      <c r="C248" s="86" t="s">
        <v>790</v>
      </c>
      <c r="D248" s="71">
        <v>2</v>
      </c>
      <c r="E248" s="71">
        <v>1</v>
      </c>
      <c r="F248" s="71">
        <v>3001</v>
      </c>
      <c r="G248" s="71">
        <v>350</v>
      </c>
      <c r="H248" s="71">
        <v>0</v>
      </c>
      <c r="I248" s="71">
        <v>10401018</v>
      </c>
      <c r="J248" s="71">
        <v>100000</v>
      </c>
      <c r="K248" s="71">
        <f t="shared" si="37"/>
        <v>10401018</v>
      </c>
      <c r="L248" s="90" t="s">
        <v>791</v>
      </c>
      <c r="M248" s="91" t="s">
        <v>792</v>
      </c>
      <c r="N248" s="71" t="str">
        <f t="shared" si="38"/>
        <v>小盾挡挡</v>
      </c>
      <c r="O248" s="71"/>
      <c r="P248" s="71"/>
      <c r="Q248" s="71" t="s">
        <v>60</v>
      </c>
      <c r="R248" s="71">
        <v>0</v>
      </c>
      <c r="S248" s="74">
        <v>0</v>
      </c>
      <c r="T248" s="78">
        <v>0</v>
      </c>
      <c r="U248" s="78">
        <v>0</v>
      </c>
      <c r="V248" s="78">
        <v>0</v>
      </c>
      <c r="W248" s="71">
        <v>0</v>
      </c>
      <c r="X248" s="71">
        <v>0</v>
      </c>
      <c r="Y248" s="71">
        <v>0</v>
      </c>
      <c r="Z248" s="71">
        <v>10201007</v>
      </c>
    </row>
    <row r="249" ht="17.25" spans="1:26">
      <c r="A249" s="71">
        <v>10401019</v>
      </c>
      <c r="B249" s="87" t="s">
        <v>793</v>
      </c>
      <c r="C249" s="86" t="s">
        <v>794</v>
      </c>
      <c r="D249" s="71">
        <v>2</v>
      </c>
      <c r="E249" s="71">
        <v>1</v>
      </c>
      <c r="F249" s="71">
        <v>3001</v>
      </c>
      <c r="G249" s="71">
        <v>350</v>
      </c>
      <c r="H249" s="71">
        <v>0</v>
      </c>
      <c r="I249" s="71">
        <v>10401019</v>
      </c>
      <c r="J249" s="71">
        <v>100000</v>
      </c>
      <c r="K249" s="71">
        <f t="shared" si="37"/>
        <v>10401019</v>
      </c>
      <c r="L249" s="90" t="s">
        <v>795</v>
      </c>
      <c r="M249" s="91" t="s">
        <v>796</v>
      </c>
      <c r="N249" s="71" t="str">
        <f t="shared" si="38"/>
        <v>厚皮加持</v>
      </c>
      <c r="O249" s="71"/>
      <c r="P249" s="71"/>
      <c r="Q249" s="71" t="s">
        <v>60</v>
      </c>
      <c r="R249" s="71">
        <v>0</v>
      </c>
      <c r="S249" s="74">
        <v>0</v>
      </c>
      <c r="T249" s="78">
        <v>0</v>
      </c>
      <c r="U249" s="78">
        <v>0</v>
      </c>
      <c r="V249" s="78">
        <v>0</v>
      </c>
      <c r="W249" s="71">
        <v>0</v>
      </c>
      <c r="X249" s="71">
        <v>0</v>
      </c>
      <c r="Y249" s="71">
        <v>0</v>
      </c>
      <c r="Z249" s="71">
        <v>10201007</v>
      </c>
    </row>
    <row r="250" ht="17.25" spans="1:26">
      <c r="A250" s="71">
        <v>10401020</v>
      </c>
      <c r="B250" s="87" t="s">
        <v>797</v>
      </c>
      <c r="C250" s="86" t="s">
        <v>798</v>
      </c>
      <c r="D250" s="71">
        <v>2</v>
      </c>
      <c r="E250" s="71">
        <v>1</v>
      </c>
      <c r="F250" s="71">
        <v>3001</v>
      </c>
      <c r="G250" s="71">
        <v>350</v>
      </c>
      <c r="H250" s="71">
        <v>0</v>
      </c>
      <c r="I250" s="71">
        <v>10401020</v>
      </c>
      <c r="J250" s="71">
        <v>100000</v>
      </c>
      <c r="K250" s="71">
        <f t="shared" si="37"/>
        <v>10401020</v>
      </c>
      <c r="L250" s="90" t="s">
        <v>799</v>
      </c>
      <c r="M250" s="91" t="s">
        <v>800</v>
      </c>
      <c r="N250" s="71" t="str">
        <f t="shared" si="38"/>
        <v>溜得飞快</v>
      </c>
      <c r="O250" s="71"/>
      <c r="P250" s="71"/>
      <c r="Q250" s="71" t="s">
        <v>60</v>
      </c>
      <c r="R250" s="71">
        <v>0</v>
      </c>
      <c r="S250" s="74">
        <v>0</v>
      </c>
      <c r="T250" s="78">
        <v>0</v>
      </c>
      <c r="U250" s="78">
        <v>0</v>
      </c>
      <c r="V250" s="78">
        <v>0</v>
      </c>
      <c r="W250" s="71">
        <v>0</v>
      </c>
      <c r="X250" s="71">
        <v>0</v>
      </c>
      <c r="Y250" s="71">
        <v>0</v>
      </c>
      <c r="Z250" s="71">
        <v>10201007</v>
      </c>
    </row>
    <row r="251" ht="17.25" spans="1:26">
      <c r="A251" s="71">
        <v>10401021</v>
      </c>
      <c r="B251" s="87" t="s">
        <v>801</v>
      </c>
      <c r="C251" s="86" t="s">
        <v>802</v>
      </c>
      <c r="D251" s="71">
        <v>2</v>
      </c>
      <c r="E251" s="71">
        <v>1</v>
      </c>
      <c r="F251" s="71">
        <v>3001</v>
      </c>
      <c r="G251" s="71">
        <v>350</v>
      </c>
      <c r="H251" s="71">
        <v>0</v>
      </c>
      <c r="I251" s="71">
        <v>10401021</v>
      </c>
      <c r="J251" s="71">
        <v>100000</v>
      </c>
      <c r="K251" s="71">
        <f t="shared" si="37"/>
        <v>10401021</v>
      </c>
      <c r="L251" s="90" t="s">
        <v>803</v>
      </c>
      <c r="M251" s="91" t="s">
        <v>804</v>
      </c>
      <c r="N251" s="71" t="str">
        <f t="shared" si="38"/>
        <v>乱挥格挡</v>
      </c>
      <c r="O251" s="71"/>
      <c r="P251" s="71"/>
      <c r="Q251" s="71" t="s">
        <v>60</v>
      </c>
      <c r="R251" s="71">
        <v>0</v>
      </c>
      <c r="S251" s="74">
        <v>0</v>
      </c>
      <c r="T251" s="78">
        <v>0</v>
      </c>
      <c r="U251" s="78">
        <v>0</v>
      </c>
      <c r="V251" s="78">
        <v>0</v>
      </c>
      <c r="W251" s="71">
        <v>0</v>
      </c>
      <c r="X251" s="71">
        <v>0</v>
      </c>
      <c r="Y251" s="71">
        <v>0</v>
      </c>
      <c r="Z251" s="71">
        <v>10201007</v>
      </c>
    </row>
    <row r="252" ht="17.25" spans="1:26">
      <c r="A252" s="71">
        <v>10102001</v>
      </c>
      <c r="B252" s="87" t="s">
        <v>455</v>
      </c>
      <c r="C252" s="86" t="s">
        <v>727</v>
      </c>
      <c r="D252" s="71">
        <v>2</v>
      </c>
      <c r="E252" s="71">
        <f>E231+1</f>
        <v>2</v>
      </c>
      <c r="F252" s="71">
        <v>2010</v>
      </c>
      <c r="G252" s="71">
        <v>350</v>
      </c>
      <c r="H252" s="71">
        <v>10000</v>
      </c>
      <c r="I252" s="71">
        <v>0</v>
      </c>
      <c r="J252" s="71">
        <v>180000</v>
      </c>
      <c r="K252" s="71">
        <f>K231</f>
        <v>10101001</v>
      </c>
      <c r="L252" s="90" t="s">
        <v>728</v>
      </c>
      <c r="M252" s="91" t="s">
        <v>729</v>
      </c>
      <c r="N252" s="71" t="str">
        <f t="shared" si="38"/>
        <v>小鬼出击</v>
      </c>
      <c r="O252" s="71"/>
      <c r="P252" s="71"/>
      <c r="Q252" s="71" t="s">
        <v>60</v>
      </c>
      <c r="R252" s="71">
        <v>0</v>
      </c>
      <c r="S252" s="74">
        <v>1032002</v>
      </c>
      <c r="T252" s="78">
        <v>400</v>
      </c>
      <c r="U252" s="78">
        <v>1014</v>
      </c>
      <c r="V252" s="79" t="s">
        <v>459</v>
      </c>
      <c r="W252" s="71">
        <v>0</v>
      </c>
      <c r="X252" s="71">
        <v>0</v>
      </c>
      <c r="Y252" s="71">
        <v>0</v>
      </c>
      <c r="Z252" s="71">
        <v>0</v>
      </c>
    </row>
    <row r="253" ht="17.25" spans="1:26">
      <c r="A253" s="71">
        <v>10102002</v>
      </c>
      <c r="B253" s="87" t="s">
        <v>535</v>
      </c>
      <c r="C253" s="86" t="s">
        <v>730</v>
      </c>
      <c r="D253" s="71">
        <v>2</v>
      </c>
      <c r="E253" s="71">
        <f t="shared" ref="E253:E279" si="39">E232+1</f>
        <v>2</v>
      </c>
      <c r="F253" s="71">
        <v>2010</v>
      </c>
      <c r="G253" s="71">
        <v>350</v>
      </c>
      <c r="H253" s="71">
        <v>1430</v>
      </c>
      <c r="I253" s="71">
        <v>10102002</v>
      </c>
      <c r="J253" s="71">
        <v>180000</v>
      </c>
      <c r="K253" s="71">
        <f t="shared" ref="K253:K284" si="40">K232</f>
        <v>10101002</v>
      </c>
      <c r="L253" s="90" t="s">
        <v>731</v>
      </c>
      <c r="M253" s="91" t="s">
        <v>732</v>
      </c>
      <c r="N253" s="71" t="str">
        <f t="shared" si="38"/>
        <v>紫色雷霆</v>
      </c>
      <c r="O253" s="71"/>
      <c r="P253" s="71"/>
      <c r="Q253" s="71" t="s">
        <v>60</v>
      </c>
      <c r="R253" s="71">
        <v>0</v>
      </c>
      <c r="S253" s="74">
        <v>1039202</v>
      </c>
      <c r="T253" s="78">
        <v>600</v>
      </c>
      <c r="U253" s="78">
        <v>1011</v>
      </c>
      <c r="V253" s="78" t="s">
        <v>527</v>
      </c>
      <c r="W253" s="71">
        <v>0</v>
      </c>
      <c r="X253" s="71">
        <v>0</v>
      </c>
      <c r="Y253" s="71">
        <v>0</v>
      </c>
      <c r="Z253" s="71">
        <v>0</v>
      </c>
    </row>
    <row r="254" ht="17.25" spans="1:26">
      <c r="A254" s="71">
        <v>10102003</v>
      </c>
      <c r="B254" s="87" t="s">
        <v>296</v>
      </c>
      <c r="C254" s="86" t="s">
        <v>733</v>
      </c>
      <c r="D254" s="71">
        <v>2</v>
      </c>
      <c r="E254" s="71">
        <f t="shared" si="39"/>
        <v>2</v>
      </c>
      <c r="F254" s="71">
        <v>2010</v>
      </c>
      <c r="G254" s="71">
        <v>350</v>
      </c>
      <c r="H254" s="71">
        <v>2500</v>
      </c>
      <c r="I254" s="71">
        <v>10102003</v>
      </c>
      <c r="J254" s="71">
        <v>70000</v>
      </c>
      <c r="K254" s="71">
        <f t="shared" si="40"/>
        <v>10101003</v>
      </c>
      <c r="L254" s="90" t="s">
        <v>734</v>
      </c>
      <c r="M254" s="91" t="s">
        <v>735</v>
      </c>
      <c r="N254" s="71" t="str">
        <f t="shared" si="38"/>
        <v>噬影分身</v>
      </c>
      <c r="O254" s="71"/>
      <c r="P254" s="71"/>
      <c r="Q254" s="71" t="s">
        <v>60</v>
      </c>
      <c r="R254" s="71">
        <v>0</v>
      </c>
      <c r="S254" s="81">
        <v>1012002</v>
      </c>
      <c r="T254" s="78">
        <v>700</v>
      </c>
      <c r="U254" s="78">
        <v>1013</v>
      </c>
      <c r="V254" s="79" t="s">
        <v>300</v>
      </c>
      <c r="W254" s="71">
        <v>0</v>
      </c>
      <c r="X254" s="71">
        <v>0</v>
      </c>
      <c r="Y254" s="71">
        <v>0</v>
      </c>
      <c r="Z254" s="71">
        <v>5004001</v>
      </c>
    </row>
    <row r="255" ht="17.25" spans="1:26">
      <c r="A255" s="71">
        <v>10102004</v>
      </c>
      <c r="B255" s="71" t="s">
        <v>326</v>
      </c>
      <c r="C255" s="86" t="s">
        <v>736</v>
      </c>
      <c r="D255" s="71">
        <v>2</v>
      </c>
      <c r="E255" s="71">
        <f t="shared" si="39"/>
        <v>2</v>
      </c>
      <c r="F255" s="71">
        <v>2001</v>
      </c>
      <c r="G255" s="71">
        <v>350</v>
      </c>
      <c r="H255" s="71">
        <v>10000</v>
      </c>
      <c r="I255" s="71">
        <v>10102004</v>
      </c>
      <c r="J255" s="71">
        <v>180000</v>
      </c>
      <c r="K255" s="71">
        <f t="shared" si="40"/>
        <v>10101004</v>
      </c>
      <c r="L255" s="90" t="s">
        <v>737</v>
      </c>
      <c r="M255" s="91" t="s">
        <v>738</v>
      </c>
      <c r="N255" s="71" t="str">
        <f t="shared" si="38"/>
        <v>雷霆爪击</v>
      </c>
      <c r="O255" s="71"/>
      <c r="P255" s="71"/>
      <c r="Q255" s="71" t="s">
        <v>60</v>
      </c>
      <c r="R255" s="71">
        <v>0</v>
      </c>
      <c r="S255" s="74">
        <v>1014102</v>
      </c>
      <c r="T255" s="78">
        <v>700</v>
      </c>
      <c r="U255" s="78">
        <v>1014</v>
      </c>
      <c r="V255" s="78">
        <v>1700</v>
      </c>
      <c r="W255" s="71">
        <v>0</v>
      </c>
      <c r="X255" s="71">
        <v>0</v>
      </c>
      <c r="Y255" s="71">
        <v>0</v>
      </c>
      <c r="Z255" s="71">
        <v>0</v>
      </c>
    </row>
    <row r="256" ht="17.25" spans="1:26">
      <c r="A256" s="71">
        <v>10102005</v>
      </c>
      <c r="B256" s="71" t="s">
        <v>550</v>
      </c>
      <c r="C256" s="86" t="s">
        <v>739</v>
      </c>
      <c r="D256" s="71">
        <v>2</v>
      </c>
      <c r="E256" s="71">
        <f t="shared" si="39"/>
        <v>2</v>
      </c>
      <c r="F256" s="71">
        <v>2001</v>
      </c>
      <c r="G256" s="71">
        <v>350</v>
      </c>
      <c r="H256" s="71">
        <v>3330</v>
      </c>
      <c r="I256" s="71">
        <v>10102005</v>
      </c>
      <c r="J256" s="71">
        <v>180000</v>
      </c>
      <c r="K256" s="71">
        <f t="shared" si="40"/>
        <v>10101005</v>
      </c>
      <c r="L256" s="90" t="s">
        <v>740</v>
      </c>
      <c r="M256" s="91" t="s">
        <v>741</v>
      </c>
      <c r="N256" s="71" t="str">
        <f t="shared" si="38"/>
        <v>灵球猛击</v>
      </c>
      <c r="O256" s="71"/>
      <c r="P256" s="71"/>
      <c r="Q256" s="71" t="s">
        <v>60</v>
      </c>
      <c r="R256" s="71">
        <v>0</v>
      </c>
      <c r="S256" s="74">
        <v>1042002</v>
      </c>
      <c r="T256" s="78">
        <v>900</v>
      </c>
      <c r="U256" s="78">
        <v>1016</v>
      </c>
      <c r="V256" s="79">
        <v>1400</v>
      </c>
      <c r="W256" s="71">
        <v>0</v>
      </c>
      <c r="X256" s="71">
        <v>0</v>
      </c>
      <c r="Y256" s="71">
        <v>0</v>
      </c>
      <c r="Z256" s="71">
        <v>0</v>
      </c>
    </row>
    <row r="257" ht="17.25" spans="1:26">
      <c r="A257" s="71">
        <v>10102006</v>
      </c>
      <c r="B257" s="88" t="s">
        <v>594</v>
      </c>
      <c r="C257" s="86" t="s">
        <v>742</v>
      </c>
      <c r="D257" s="71">
        <v>2</v>
      </c>
      <c r="E257" s="71">
        <f t="shared" si="39"/>
        <v>2</v>
      </c>
      <c r="F257" s="71">
        <v>2001</v>
      </c>
      <c r="G257" s="71">
        <v>350</v>
      </c>
      <c r="H257" s="71">
        <v>1110</v>
      </c>
      <c r="I257" s="71">
        <v>10102006</v>
      </c>
      <c r="J257" s="71">
        <v>180000</v>
      </c>
      <c r="K257" s="71">
        <f t="shared" si="40"/>
        <v>10101006</v>
      </c>
      <c r="L257" s="90" t="s">
        <v>743</v>
      </c>
      <c r="M257" s="91" t="s">
        <v>744</v>
      </c>
      <c r="N257" s="71" t="str">
        <f t="shared" si="38"/>
        <v>火焰甩尾</v>
      </c>
      <c r="O257" s="71"/>
      <c r="P257" s="71"/>
      <c r="Q257" s="71" t="s">
        <v>60</v>
      </c>
      <c r="R257" s="71">
        <v>0</v>
      </c>
      <c r="S257" s="74">
        <v>1050002</v>
      </c>
      <c r="T257" s="81">
        <v>1000</v>
      </c>
      <c r="U257" s="81">
        <v>1012</v>
      </c>
      <c r="V257" s="81" t="s">
        <v>598</v>
      </c>
      <c r="W257" s="71">
        <v>0</v>
      </c>
      <c r="X257" s="71">
        <v>0</v>
      </c>
      <c r="Y257" s="71">
        <v>0</v>
      </c>
      <c r="Z257" s="71">
        <v>0</v>
      </c>
    </row>
    <row r="258" ht="17.25" spans="1:26">
      <c r="A258" s="71">
        <v>10202007</v>
      </c>
      <c r="B258" s="87" t="s">
        <v>745</v>
      </c>
      <c r="C258" s="86" t="s">
        <v>746</v>
      </c>
      <c r="D258" s="71">
        <v>2</v>
      </c>
      <c r="E258" s="71">
        <f t="shared" si="39"/>
        <v>2</v>
      </c>
      <c r="F258" s="71">
        <v>3001</v>
      </c>
      <c r="G258" s="71">
        <v>350</v>
      </c>
      <c r="H258" s="71">
        <v>0</v>
      </c>
      <c r="I258" s="71">
        <v>10202007</v>
      </c>
      <c r="J258" s="71">
        <v>100000</v>
      </c>
      <c r="K258" s="71">
        <f t="shared" si="40"/>
        <v>10201007</v>
      </c>
      <c r="L258" s="90" t="s">
        <v>747</v>
      </c>
      <c r="M258" s="91" t="s">
        <v>748</v>
      </c>
      <c r="N258" s="71" t="str">
        <f t="shared" si="38"/>
        <v>借点气势</v>
      </c>
      <c r="O258" s="71"/>
      <c r="P258" s="71"/>
      <c r="Q258" s="71" t="s">
        <v>60</v>
      </c>
      <c r="R258" s="71">
        <v>0</v>
      </c>
      <c r="S258" s="74">
        <v>0</v>
      </c>
      <c r="T258" s="78">
        <v>0</v>
      </c>
      <c r="U258" s="78">
        <v>0</v>
      </c>
      <c r="V258" s="78">
        <v>0</v>
      </c>
      <c r="W258" s="71">
        <v>0</v>
      </c>
      <c r="X258" s="71">
        <v>0</v>
      </c>
      <c r="Y258" s="71">
        <v>0</v>
      </c>
      <c r="Z258" s="71">
        <v>10201007</v>
      </c>
    </row>
    <row r="259" ht="17.25" spans="1:26">
      <c r="A259" s="71">
        <v>10202008</v>
      </c>
      <c r="B259" s="87" t="s">
        <v>749</v>
      </c>
      <c r="C259" s="86" t="s">
        <v>750</v>
      </c>
      <c r="D259" s="71">
        <v>2</v>
      </c>
      <c r="E259" s="71">
        <f t="shared" si="39"/>
        <v>2</v>
      </c>
      <c r="F259" s="71">
        <v>3001</v>
      </c>
      <c r="G259" s="71">
        <v>350</v>
      </c>
      <c r="H259" s="71">
        <v>0</v>
      </c>
      <c r="I259" s="71">
        <v>10202008</v>
      </c>
      <c r="J259" s="71">
        <v>100000</v>
      </c>
      <c r="K259" s="71">
        <f t="shared" si="40"/>
        <v>10201008</v>
      </c>
      <c r="L259" s="90" t="s">
        <v>751</v>
      </c>
      <c r="M259" s="91" t="s">
        <v>752</v>
      </c>
      <c r="N259" s="71" t="str">
        <f t="shared" si="38"/>
        <v>鼓腮加成</v>
      </c>
      <c r="O259" s="71"/>
      <c r="P259" s="71"/>
      <c r="Q259" s="71" t="s">
        <v>60</v>
      </c>
      <c r="R259" s="71">
        <v>0</v>
      </c>
      <c r="S259" s="74">
        <v>0</v>
      </c>
      <c r="T259" s="78">
        <v>0</v>
      </c>
      <c r="U259" s="78">
        <v>0</v>
      </c>
      <c r="V259" s="78">
        <v>0</v>
      </c>
      <c r="W259" s="71">
        <v>0</v>
      </c>
      <c r="X259" s="71">
        <v>0</v>
      </c>
      <c r="Y259" s="71">
        <v>0</v>
      </c>
      <c r="Z259" s="71">
        <v>10201007</v>
      </c>
    </row>
    <row r="260" ht="17.25" spans="1:26">
      <c r="A260" s="71">
        <v>10202009</v>
      </c>
      <c r="B260" s="87" t="s">
        <v>753</v>
      </c>
      <c r="C260" s="86" t="s">
        <v>754</v>
      </c>
      <c r="D260" s="71">
        <v>2</v>
      </c>
      <c r="E260" s="71">
        <f t="shared" si="39"/>
        <v>2</v>
      </c>
      <c r="F260" s="71">
        <v>3001</v>
      </c>
      <c r="G260" s="71">
        <v>350</v>
      </c>
      <c r="H260" s="71">
        <v>0</v>
      </c>
      <c r="I260" s="71">
        <v>10202009</v>
      </c>
      <c r="J260" s="71">
        <v>100000</v>
      </c>
      <c r="K260" s="71">
        <f t="shared" si="40"/>
        <v>10201009</v>
      </c>
      <c r="L260" s="90" t="s">
        <v>755</v>
      </c>
      <c r="M260" s="91" t="s">
        <v>756</v>
      </c>
      <c r="N260" s="71" t="str">
        <f t="shared" si="38"/>
        <v>元素渣涌</v>
      </c>
      <c r="O260" s="71"/>
      <c r="P260" s="71"/>
      <c r="Q260" s="71" t="s">
        <v>60</v>
      </c>
      <c r="R260" s="71">
        <v>0</v>
      </c>
      <c r="S260" s="74">
        <v>0</v>
      </c>
      <c r="T260" s="78">
        <v>0</v>
      </c>
      <c r="U260" s="78">
        <v>0</v>
      </c>
      <c r="V260" s="78">
        <v>0</v>
      </c>
      <c r="W260" s="71">
        <v>0</v>
      </c>
      <c r="X260" s="71">
        <v>0</v>
      </c>
      <c r="Y260" s="71">
        <v>0</v>
      </c>
      <c r="Z260" s="71">
        <v>10201007</v>
      </c>
    </row>
    <row r="261" ht="17.25" spans="1:26">
      <c r="A261" s="71">
        <v>10202010</v>
      </c>
      <c r="B261" s="87" t="s">
        <v>757</v>
      </c>
      <c r="C261" s="86" t="s">
        <v>758</v>
      </c>
      <c r="D261" s="71">
        <v>2</v>
      </c>
      <c r="E261" s="71">
        <f t="shared" si="39"/>
        <v>2</v>
      </c>
      <c r="F261" s="71">
        <v>3001</v>
      </c>
      <c r="G261" s="71">
        <v>350</v>
      </c>
      <c r="H261" s="71">
        <v>0</v>
      </c>
      <c r="I261" s="71">
        <v>10202010</v>
      </c>
      <c r="J261" s="71">
        <v>100000</v>
      </c>
      <c r="K261" s="71">
        <f t="shared" si="40"/>
        <v>10201010</v>
      </c>
      <c r="L261" s="90" t="s">
        <v>759</v>
      </c>
      <c r="M261" s="91" t="s">
        <v>760</v>
      </c>
      <c r="N261" s="71" t="str">
        <f t="shared" si="38"/>
        <v>暴击弱点</v>
      </c>
      <c r="O261" s="71"/>
      <c r="P261" s="71"/>
      <c r="Q261" s="71" t="s">
        <v>60</v>
      </c>
      <c r="R261" s="71">
        <v>0</v>
      </c>
      <c r="S261" s="74">
        <v>0</v>
      </c>
      <c r="T261" s="78">
        <v>0</v>
      </c>
      <c r="U261" s="78">
        <v>0</v>
      </c>
      <c r="V261" s="78">
        <v>0</v>
      </c>
      <c r="W261" s="71">
        <v>0</v>
      </c>
      <c r="X261" s="71">
        <v>0</v>
      </c>
      <c r="Y261" s="71">
        <v>0</v>
      </c>
      <c r="Z261" s="71">
        <v>10201007</v>
      </c>
    </row>
    <row r="262" ht="17.25" spans="1:26">
      <c r="A262" s="71">
        <v>10202011</v>
      </c>
      <c r="B262" s="87" t="s">
        <v>761</v>
      </c>
      <c r="C262" s="86" t="s">
        <v>762</v>
      </c>
      <c r="D262" s="71">
        <v>2</v>
      </c>
      <c r="E262" s="71">
        <f t="shared" si="39"/>
        <v>2</v>
      </c>
      <c r="F262" s="71">
        <v>3001</v>
      </c>
      <c r="G262" s="71">
        <v>350</v>
      </c>
      <c r="H262" s="71">
        <v>0</v>
      </c>
      <c r="I262" s="71">
        <v>10202011</v>
      </c>
      <c r="J262" s="71">
        <v>100000</v>
      </c>
      <c r="K262" s="71">
        <f t="shared" si="40"/>
        <v>10201011</v>
      </c>
      <c r="L262" s="90" t="s">
        <v>763</v>
      </c>
      <c r="M262" s="91" t="s">
        <v>764</v>
      </c>
      <c r="N262" s="71" t="str">
        <f t="shared" si="38"/>
        <v>暴击猛砸</v>
      </c>
      <c r="O262" s="71"/>
      <c r="P262" s="71"/>
      <c r="Q262" s="71" t="s">
        <v>60</v>
      </c>
      <c r="R262" s="71">
        <v>0</v>
      </c>
      <c r="S262" s="74">
        <v>0</v>
      </c>
      <c r="T262" s="78">
        <v>0</v>
      </c>
      <c r="U262" s="78">
        <v>0</v>
      </c>
      <c r="V262" s="78">
        <v>0</v>
      </c>
      <c r="W262" s="71">
        <v>0</v>
      </c>
      <c r="X262" s="71">
        <v>0</v>
      </c>
      <c r="Y262" s="71">
        <v>0</v>
      </c>
      <c r="Z262" s="71">
        <v>10201007</v>
      </c>
    </row>
    <row r="263" ht="17.25" spans="1:26">
      <c r="A263" s="71">
        <v>10302012</v>
      </c>
      <c r="B263" s="87" t="s">
        <v>765</v>
      </c>
      <c r="C263" s="86" t="s">
        <v>766</v>
      </c>
      <c r="D263" s="71">
        <v>2</v>
      </c>
      <c r="E263" s="71">
        <f t="shared" si="39"/>
        <v>2</v>
      </c>
      <c r="F263" s="71">
        <v>3001</v>
      </c>
      <c r="G263" s="71">
        <v>350</v>
      </c>
      <c r="H263" s="71">
        <v>0</v>
      </c>
      <c r="I263" s="71">
        <v>10302012</v>
      </c>
      <c r="J263" s="71">
        <v>100000</v>
      </c>
      <c r="K263" s="71">
        <f t="shared" si="40"/>
        <v>10301012</v>
      </c>
      <c r="L263" s="90" t="s">
        <v>767</v>
      </c>
      <c r="M263" s="91" t="s">
        <v>768</v>
      </c>
      <c r="N263" s="71" t="str">
        <f t="shared" si="38"/>
        <v>魔法疗愈</v>
      </c>
      <c r="O263" s="71"/>
      <c r="P263" s="71"/>
      <c r="Q263" s="71" t="s">
        <v>60</v>
      </c>
      <c r="R263" s="71">
        <v>0</v>
      </c>
      <c r="S263" s="74">
        <v>0</v>
      </c>
      <c r="T263" s="78">
        <v>0</v>
      </c>
      <c r="U263" s="78">
        <v>0</v>
      </c>
      <c r="V263" s="78">
        <v>0</v>
      </c>
      <c r="W263" s="71">
        <v>0</v>
      </c>
      <c r="X263" s="71">
        <v>0</v>
      </c>
      <c r="Y263" s="71">
        <v>0</v>
      </c>
      <c r="Z263" s="71">
        <v>10201007</v>
      </c>
    </row>
    <row r="264" ht="17.25" spans="1:26">
      <c r="A264" s="71">
        <v>10302013</v>
      </c>
      <c r="B264" s="87" t="s">
        <v>769</v>
      </c>
      <c r="C264" s="86" t="s">
        <v>770</v>
      </c>
      <c r="D264" s="71">
        <v>2</v>
      </c>
      <c r="E264" s="71">
        <f t="shared" si="39"/>
        <v>2</v>
      </c>
      <c r="F264" s="71">
        <v>3001</v>
      </c>
      <c r="G264" s="71">
        <v>350</v>
      </c>
      <c r="H264" s="71">
        <v>0</v>
      </c>
      <c r="I264" s="71">
        <v>10302013</v>
      </c>
      <c r="J264" s="71">
        <v>100000</v>
      </c>
      <c r="K264" s="71">
        <f t="shared" si="40"/>
        <v>10301013</v>
      </c>
      <c r="L264" s="90" t="s">
        <v>771</v>
      </c>
      <c r="M264" s="91" t="s">
        <v>772</v>
      </c>
      <c r="N264" s="71" t="str">
        <f t="shared" ref="N264:N295" si="41">B264</f>
        <v>回春疗愈</v>
      </c>
      <c r="O264" s="71"/>
      <c r="P264" s="71"/>
      <c r="Q264" s="71" t="s">
        <v>60</v>
      </c>
      <c r="R264" s="71">
        <v>0</v>
      </c>
      <c r="S264" s="74">
        <v>0</v>
      </c>
      <c r="T264" s="78">
        <v>0</v>
      </c>
      <c r="U264" s="78">
        <v>0</v>
      </c>
      <c r="V264" s="78">
        <v>0</v>
      </c>
      <c r="W264" s="71">
        <v>0</v>
      </c>
      <c r="X264" s="71">
        <v>0</v>
      </c>
      <c r="Y264" s="71">
        <v>0</v>
      </c>
      <c r="Z264" s="71">
        <v>10201007</v>
      </c>
    </row>
    <row r="265" ht="17.25" spans="1:26">
      <c r="A265" s="71">
        <v>10302014</v>
      </c>
      <c r="B265" s="87" t="s">
        <v>773</v>
      </c>
      <c r="C265" s="86" t="s">
        <v>774</v>
      </c>
      <c r="D265" s="71">
        <v>2</v>
      </c>
      <c r="E265" s="71">
        <f t="shared" si="39"/>
        <v>2</v>
      </c>
      <c r="F265" s="71">
        <v>3001</v>
      </c>
      <c r="G265" s="71">
        <v>350</v>
      </c>
      <c r="H265" s="71">
        <v>0</v>
      </c>
      <c r="I265" s="71">
        <v>10302014</v>
      </c>
      <c r="J265" s="71">
        <v>100000</v>
      </c>
      <c r="K265" s="71">
        <f t="shared" si="40"/>
        <v>10301014</v>
      </c>
      <c r="L265" s="90" t="s">
        <v>775</v>
      </c>
      <c r="M265" s="91" t="s">
        <v>776</v>
      </c>
      <c r="N265" s="71" t="str">
        <f t="shared" si="41"/>
        <v>糊层护盾</v>
      </c>
      <c r="O265" s="71"/>
      <c r="P265" s="71"/>
      <c r="Q265" s="71" t="s">
        <v>60</v>
      </c>
      <c r="R265" s="71">
        <v>0</v>
      </c>
      <c r="S265" s="74">
        <v>0</v>
      </c>
      <c r="T265" s="78">
        <v>0</v>
      </c>
      <c r="U265" s="78">
        <v>0</v>
      </c>
      <c r="V265" s="78">
        <v>0</v>
      </c>
      <c r="W265" s="71">
        <v>0</v>
      </c>
      <c r="X265" s="71">
        <v>0</v>
      </c>
      <c r="Y265" s="71">
        <v>0</v>
      </c>
      <c r="Z265" s="71">
        <v>10201007</v>
      </c>
    </row>
    <row r="266" ht="17.25" spans="1:26">
      <c r="A266" s="71">
        <v>10302015</v>
      </c>
      <c r="B266" s="87" t="s">
        <v>777</v>
      </c>
      <c r="C266" s="86" t="s">
        <v>778</v>
      </c>
      <c r="D266" s="71">
        <v>2</v>
      </c>
      <c r="E266" s="71">
        <f t="shared" si="39"/>
        <v>2</v>
      </c>
      <c r="F266" s="71">
        <v>3001</v>
      </c>
      <c r="G266" s="71">
        <v>350</v>
      </c>
      <c r="H266" s="71">
        <v>0</v>
      </c>
      <c r="I266" s="71">
        <v>10302015</v>
      </c>
      <c r="J266" s="71">
        <v>100000</v>
      </c>
      <c r="K266" s="71">
        <f t="shared" si="40"/>
        <v>10301015</v>
      </c>
      <c r="L266" s="90" t="s">
        <v>779</v>
      </c>
      <c r="M266" s="91" t="s">
        <v>780</v>
      </c>
      <c r="N266" s="71" t="str">
        <f t="shared" si="41"/>
        <v>偷点血量</v>
      </c>
      <c r="O266" s="71"/>
      <c r="P266" s="71"/>
      <c r="Q266" s="71" t="s">
        <v>60</v>
      </c>
      <c r="R266" s="71">
        <v>0</v>
      </c>
      <c r="S266" s="74">
        <v>0</v>
      </c>
      <c r="T266" s="78">
        <v>0</v>
      </c>
      <c r="U266" s="78">
        <v>0</v>
      </c>
      <c r="V266" s="78">
        <v>0</v>
      </c>
      <c r="W266" s="71">
        <v>0</v>
      </c>
      <c r="X266" s="71">
        <v>0</v>
      </c>
      <c r="Y266" s="71">
        <v>0</v>
      </c>
      <c r="Z266" s="71">
        <v>10201007</v>
      </c>
    </row>
    <row r="267" ht="17.25" spans="1:26">
      <c r="A267" s="71">
        <v>10302016</v>
      </c>
      <c r="B267" s="87" t="s">
        <v>781</v>
      </c>
      <c r="C267" s="86" t="s">
        <v>782</v>
      </c>
      <c r="D267" s="71">
        <v>2</v>
      </c>
      <c r="E267" s="71">
        <f t="shared" si="39"/>
        <v>2</v>
      </c>
      <c r="F267" s="71">
        <v>3001</v>
      </c>
      <c r="G267" s="71">
        <v>350</v>
      </c>
      <c r="H267" s="71">
        <v>0</v>
      </c>
      <c r="I267" s="71">
        <v>10302016</v>
      </c>
      <c r="J267" s="71">
        <v>100000</v>
      </c>
      <c r="K267" s="71">
        <f t="shared" si="40"/>
        <v>10301016</v>
      </c>
      <c r="L267" s="90" t="s">
        <v>783</v>
      </c>
      <c r="M267" s="91" t="s">
        <v>784</v>
      </c>
      <c r="N267" s="71" t="str">
        <f t="shared" si="41"/>
        <v>挨揍回血</v>
      </c>
      <c r="O267" s="71"/>
      <c r="P267" s="71"/>
      <c r="Q267" s="71" t="s">
        <v>60</v>
      </c>
      <c r="R267" s="71">
        <v>0</v>
      </c>
      <c r="S267" s="74">
        <v>0</v>
      </c>
      <c r="T267" s="78">
        <v>0</v>
      </c>
      <c r="U267" s="78">
        <v>0</v>
      </c>
      <c r="V267" s="78">
        <v>0</v>
      </c>
      <c r="W267" s="71">
        <v>0</v>
      </c>
      <c r="X267" s="71">
        <v>0</v>
      </c>
      <c r="Y267" s="71">
        <v>0</v>
      </c>
      <c r="Z267" s="71">
        <v>10201007</v>
      </c>
    </row>
    <row r="268" ht="17.25" spans="1:26">
      <c r="A268" s="71">
        <v>10402017</v>
      </c>
      <c r="B268" s="87" t="s">
        <v>785</v>
      </c>
      <c r="C268" s="86" t="s">
        <v>786</v>
      </c>
      <c r="D268" s="71">
        <v>2</v>
      </c>
      <c r="E268" s="71">
        <f t="shared" si="39"/>
        <v>2</v>
      </c>
      <c r="F268" s="71">
        <v>3001</v>
      </c>
      <c r="G268" s="71">
        <v>350</v>
      </c>
      <c r="H268" s="71">
        <v>0</v>
      </c>
      <c r="I268" s="71">
        <v>10402017</v>
      </c>
      <c r="J268" s="71">
        <v>100000</v>
      </c>
      <c r="K268" s="71">
        <f t="shared" si="40"/>
        <v>10401017</v>
      </c>
      <c r="L268" s="90" t="s">
        <v>787</v>
      </c>
      <c r="M268" s="91" t="s">
        <v>788</v>
      </c>
      <c r="N268" s="71" t="str">
        <f t="shared" si="41"/>
        <v>硬壳加持</v>
      </c>
      <c r="O268" s="71"/>
      <c r="P268" s="71"/>
      <c r="Q268" s="71" t="s">
        <v>60</v>
      </c>
      <c r="R268" s="71">
        <v>0</v>
      </c>
      <c r="S268" s="74">
        <v>0</v>
      </c>
      <c r="T268" s="78">
        <v>0</v>
      </c>
      <c r="U268" s="78">
        <v>0</v>
      </c>
      <c r="V268" s="78">
        <v>0</v>
      </c>
      <c r="W268" s="71">
        <v>0</v>
      </c>
      <c r="X268" s="71">
        <v>0</v>
      </c>
      <c r="Y268" s="71">
        <v>0</v>
      </c>
      <c r="Z268" s="71">
        <v>10201007</v>
      </c>
    </row>
    <row r="269" ht="17.25" spans="1:26">
      <c r="A269" s="71">
        <v>10402018</v>
      </c>
      <c r="B269" s="87" t="s">
        <v>789</v>
      </c>
      <c r="C269" s="86" t="s">
        <v>790</v>
      </c>
      <c r="D269" s="71">
        <v>2</v>
      </c>
      <c r="E269" s="71">
        <f t="shared" si="39"/>
        <v>2</v>
      </c>
      <c r="F269" s="71">
        <v>3001</v>
      </c>
      <c r="G269" s="71">
        <v>350</v>
      </c>
      <c r="H269" s="71">
        <v>0</v>
      </c>
      <c r="I269" s="71">
        <v>10402018</v>
      </c>
      <c r="J269" s="71">
        <v>100000</v>
      </c>
      <c r="K269" s="71">
        <f t="shared" si="40"/>
        <v>10401018</v>
      </c>
      <c r="L269" s="90" t="s">
        <v>791</v>
      </c>
      <c r="M269" s="91" t="s">
        <v>792</v>
      </c>
      <c r="N269" s="71" t="str">
        <f t="shared" si="41"/>
        <v>小盾挡挡</v>
      </c>
      <c r="O269" s="71"/>
      <c r="P269" s="71"/>
      <c r="Q269" s="71" t="s">
        <v>60</v>
      </c>
      <c r="R269" s="71">
        <v>0</v>
      </c>
      <c r="S269" s="74">
        <v>0</v>
      </c>
      <c r="T269" s="78">
        <v>0</v>
      </c>
      <c r="U269" s="78">
        <v>0</v>
      </c>
      <c r="V269" s="78">
        <v>0</v>
      </c>
      <c r="W269" s="71">
        <v>0</v>
      </c>
      <c r="X269" s="71">
        <v>0</v>
      </c>
      <c r="Y269" s="71">
        <v>0</v>
      </c>
      <c r="Z269" s="71">
        <v>10201007</v>
      </c>
    </row>
    <row r="270" ht="17.25" spans="1:26">
      <c r="A270" s="71">
        <v>10402019</v>
      </c>
      <c r="B270" s="87" t="s">
        <v>793</v>
      </c>
      <c r="C270" s="86" t="s">
        <v>794</v>
      </c>
      <c r="D270" s="71">
        <v>2</v>
      </c>
      <c r="E270" s="71">
        <f t="shared" si="39"/>
        <v>2</v>
      </c>
      <c r="F270" s="71">
        <v>3001</v>
      </c>
      <c r="G270" s="71">
        <v>350</v>
      </c>
      <c r="H270" s="71">
        <v>0</v>
      </c>
      <c r="I270" s="71">
        <v>10402019</v>
      </c>
      <c r="J270" s="71">
        <v>100000</v>
      </c>
      <c r="K270" s="71">
        <f t="shared" si="40"/>
        <v>10401019</v>
      </c>
      <c r="L270" s="90" t="s">
        <v>795</v>
      </c>
      <c r="M270" s="91" t="s">
        <v>796</v>
      </c>
      <c r="N270" s="71" t="str">
        <f t="shared" si="41"/>
        <v>厚皮加持</v>
      </c>
      <c r="O270" s="71"/>
      <c r="P270" s="71"/>
      <c r="Q270" s="71" t="s">
        <v>60</v>
      </c>
      <c r="R270" s="71">
        <v>0</v>
      </c>
      <c r="S270" s="74">
        <v>0</v>
      </c>
      <c r="T270" s="78">
        <v>0</v>
      </c>
      <c r="U270" s="78">
        <v>0</v>
      </c>
      <c r="V270" s="78">
        <v>0</v>
      </c>
      <c r="W270" s="71">
        <v>0</v>
      </c>
      <c r="X270" s="71">
        <v>0</v>
      </c>
      <c r="Y270" s="71">
        <v>0</v>
      </c>
      <c r="Z270" s="71">
        <v>10201007</v>
      </c>
    </row>
    <row r="271" ht="17.25" spans="1:26">
      <c r="A271" s="71">
        <v>10402020</v>
      </c>
      <c r="B271" s="87" t="s">
        <v>797</v>
      </c>
      <c r="C271" s="86" t="s">
        <v>798</v>
      </c>
      <c r="D271" s="71">
        <v>2</v>
      </c>
      <c r="E271" s="71">
        <f t="shared" si="39"/>
        <v>2</v>
      </c>
      <c r="F271" s="71">
        <v>3001</v>
      </c>
      <c r="G271" s="71">
        <v>350</v>
      </c>
      <c r="H271" s="71">
        <v>0</v>
      </c>
      <c r="I271" s="71">
        <v>10402020</v>
      </c>
      <c r="J271" s="71">
        <v>100000</v>
      </c>
      <c r="K271" s="71">
        <f t="shared" si="40"/>
        <v>10401020</v>
      </c>
      <c r="L271" s="90" t="s">
        <v>799</v>
      </c>
      <c r="M271" s="91" t="s">
        <v>800</v>
      </c>
      <c r="N271" s="71" t="str">
        <f t="shared" si="41"/>
        <v>溜得飞快</v>
      </c>
      <c r="O271" s="71"/>
      <c r="P271" s="71"/>
      <c r="Q271" s="71" t="s">
        <v>60</v>
      </c>
      <c r="R271" s="71">
        <v>0</v>
      </c>
      <c r="S271" s="74">
        <v>0</v>
      </c>
      <c r="T271" s="78">
        <v>0</v>
      </c>
      <c r="U271" s="78">
        <v>0</v>
      </c>
      <c r="V271" s="78">
        <v>0</v>
      </c>
      <c r="W271" s="71">
        <v>0</v>
      </c>
      <c r="X271" s="71">
        <v>0</v>
      </c>
      <c r="Y271" s="71">
        <v>0</v>
      </c>
      <c r="Z271" s="71">
        <v>10201007</v>
      </c>
    </row>
    <row r="272" ht="17.25" spans="1:26">
      <c r="A272" s="71">
        <v>10402021</v>
      </c>
      <c r="B272" s="87" t="s">
        <v>801</v>
      </c>
      <c r="C272" s="86" t="s">
        <v>802</v>
      </c>
      <c r="D272" s="71">
        <v>2</v>
      </c>
      <c r="E272" s="71">
        <f t="shared" si="39"/>
        <v>2</v>
      </c>
      <c r="F272" s="71">
        <v>3001</v>
      </c>
      <c r="G272" s="71">
        <v>350</v>
      </c>
      <c r="H272" s="71">
        <v>0</v>
      </c>
      <c r="I272" s="71">
        <v>10402021</v>
      </c>
      <c r="J272" s="71">
        <v>100000</v>
      </c>
      <c r="K272" s="71">
        <f t="shared" si="40"/>
        <v>10401021</v>
      </c>
      <c r="L272" s="90" t="s">
        <v>803</v>
      </c>
      <c r="M272" s="91" t="s">
        <v>804</v>
      </c>
      <c r="N272" s="71" t="str">
        <f t="shared" si="41"/>
        <v>乱挥格挡</v>
      </c>
      <c r="O272" s="71"/>
      <c r="P272" s="71"/>
      <c r="Q272" s="71" t="s">
        <v>60</v>
      </c>
      <c r="R272" s="71">
        <v>0</v>
      </c>
      <c r="S272" s="74">
        <v>0</v>
      </c>
      <c r="T272" s="78">
        <v>0</v>
      </c>
      <c r="U272" s="78">
        <v>0</v>
      </c>
      <c r="V272" s="78">
        <v>0</v>
      </c>
      <c r="W272" s="71">
        <v>0</v>
      </c>
      <c r="X272" s="71">
        <v>0</v>
      </c>
      <c r="Y272" s="71">
        <v>0</v>
      </c>
      <c r="Z272" s="71">
        <v>10201007</v>
      </c>
    </row>
    <row r="273" ht="17.25" spans="1:26">
      <c r="A273" s="71">
        <v>10103001</v>
      </c>
      <c r="B273" s="87" t="s">
        <v>455</v>
      </c>
      <c r="C273" s="86" t="s">
        <v>727</v>
      </c>
      <c r="D273" s="71">
        <v>2</v>
      </c>
      <c r="E273" s="71">
        <f t="shared" si="39"/>
        <v>3</v>
      </c>
      <c r="F273" s="71">
        <v>2010</v>
      </c>
      <c r="G273" s="71">
        <v>350</v>
      </c>
      <c r="H273" s="71">
        <v>10000</v>
      </c>
      <c r="I273" s="71">
        <v>0</v>
      </c>
      <c r="J273" s="71">
        <v>180000</v>
      </c>
      <c r="K273" s="71">
        <f t="shared" si="40"/>
        <v>10101001</v>
      </c>
      <c r="L273" s="90" t="s">
        <v>728</v>
      </c>
      <c r="M273" s="91" t="s">
        <v>729</v>
      </c>
      <c r="N273" s="71" t="str">
        <f t="shared" si="41"/>
        <v>小鬼出击</v>
      </c>
      <c r="O273" s="71"/>
      <c r="P273" s="71"/>
      <c r="Q273" s="71" t="s">
        <v>60</v>
      </c>
      <c r="R273" s="71">
        <v>0</v>
      </c>
      <c r="S273" s="74">
        <v>1032002</v>
      </c>
      <c r="T273" s="78">
        <v>400</v>
      </c>
      <c r="U273" s="78">
        <v>1014</v>
      </c>
      <c r="V273" s="79" t="s">
        <v>459</v>
      </c>
      <c r="W273" s="71">
        <v>0</v>
      </c>
      <c r="X273" s="71">
        <v>0</v>
      </c>
      <c r="Y273" s="71">
        <v>0</v>
      </c>
      <c r="Z273" s="71">
        <v>0</v>
      </c>
    </row>
    <row r="274" ht="17.25" spans="1:26">
      <c r="A274" s="71">
        <v>10103002</v>
      </c>
      <c r="B274" s="87" t="s">
        <v>535</v>
      </c>
      <c r="C274" s="86" t="s">
        <v>730</v>
      </c>
      <c r="D274" s="71">
        <v>2</v>
      </c>
      <c r="E274" s="71">
        <f t="shared" si="39"/>
        <v>3</v>
      </c>
      <c r="F274" s="71">
        <v>2010</v>
      </c>
      <c r="G274" s="71">
        <v>350</v>
      </c>
      <c r="H274" s="71">
        <v>1430</v>
      </c>
      <c r="I274" s="71">
        <v>10103002</v>
      </c>
      <c r="J274" s="71">
        <v>180000</v>
      </c>
      <c r="K274" s="71">
        <f t="shared" si="40"/>
        <v>10101002</v>
      </c>
      <c r="L274" s="90" t="s">
        <v>731</v>
      </c>
      <c r="M274" s="91" t="s">
        <v>732</v>
      </c>
      <c r="N274" s="71" t="str">
        <f t="shared" si="41"/>
        <v>紫色雷霆</v>
      </c>
      <c r="O274" s="71"/>
      <c r="P274" s="71"/>
      <c r="Q274" s="71" t="s">
        <v>60</v>
      </c>
      <c r="R274" s="71">
        <v>0</v>
      </c>
      <c r="S274" s="74">
        <v>1039202</v>
      </c>
      <c r="T274" s="78">
        <v>600</v>
      </c>
      <c r="U274" s="78">
        <v>1011</v>
      </c>
      <c r="V274" s="78" t="s">
        <v>527</v>
      </c>
      <c r="W274" s="71">
        <v>0</v>
      </c>
      <c r="X274" s="71">
        <v>0</v>
      </c>
      <c r="Y274" s="71">
        <v>0</v>
      </c>
      <c r="Z274" s="71">
        <v>0</v>
      </c>
    </row>
    <row r="275" ht="17.25" spans="1:26">
      <c r="A275" s="71">
        <v>10103003</v>
      </c>
      <c r="B275" s="87" t="s">
        <v>296</v>
      </c>
      <c r="C275" s="86" t="s">
        <v>733</v>
      </c>
      <c r="D275" s="71">
        <v>2</v>
      </c>
      <c r="E275" s="71">
        <f t="shared" si="39"/>
        <v>3</v>
      </c>
      <c r="F275" s="71">
        <v>2010</v>
      </c>
      <c r="G275" s="71">
        <v>350</v>
      </c>
      <c r="H275" s="71">
        <v>2500</v>
      </c>
      <c r="I275" s="71">
        <v>10103003</v>
      </c>
      <c r="J275" s="71">
        <v>70000</v>
      </c>
      <c r="K275" s="71">
        <f t="shared" si="40"/>
        <v>10101003</v>
      </c>
      <c r="L275" s="90" t="s">
        <v>734</v>
      </c>
      <c r="M275" s="91" t="s">
        <v>735</v>
      </c>
      <c r="N275" s="71" t="str">
        <f t="shared" si="41"/>
        <v>噬影分身</v>
      </c>
      <c r="O275" s="71"/>
      <c r="P275" s="71"/>
      <c r="Q275" s="71" t="s">
        <v>60</v>
      </c>
      <c r="R275" s="71">
        <v>0</v>
      </c>
      <c r="S275" s="81">
        <v>1012002</v>
      </c>
      <c r="T275" s="78">
        <v>700</v>
      </c>
      <c r="U275" s="78">
        <v>1013</v>
      </c>
      <c r="V275" s="79" t="s">
        <v>300</v>
      </c>
      <c r="W275" s="71">
        <v>0</v>
      </c>
      <c r="X275" s="71">
        <v>0</v>
      </c>
      <c r="Y275" s="71">
        <v>0</v>
      </c>
      <c r="Z275" s="71">
        <v>5004001</v>
      </c>
    </row>
    <row r="276" ht="17.25" spans="1:26">
      <c r="A276" s="71">
        <v>10103004</v>
      </c>
      <c r="B276" s="71" t="s">
        <v>326</v>
      </c>
      <c r="C276" s="86" t="s">
        <v>736</v>
      </c>
      <c r="D276" s="71">
        <v>2</v>
      </c>
      <c r="E276" s="71">
        <f t="shared" si="39"/>
        <v>3</v>
      </c>
      <c r="F276" s="71">
        <v>2001</v>
      </c>
      <c r="G276" s="71">
        <v>350</v>
      </c>
      <c r="H276" s="71">
        <v>10000</v>
      </c>
      <c r="I276" s="71">
        <v>10103004</v>
      </c>
      <c r="J276" s="71">
        <v>180000</v>
      </c>
      <c r="K276" s="71">
        <f t="shared" si="40"/>
        <v>10101004</v>
      </c>
      <c r="L276" s="90" t="s">
        <v>737</v>
      </c>
      <c r="M276" s="91" t="s">
        <v>738</v>
      </c>
      <c r="N276" s="71" t="str">
        <f t="shared" si="41"/>
        <v>雷霆爪击</v>
      </c>
      <c r="O276" s="71"/>
      <c r="P276" s="71"/>
      <c r="Q276" s="71" t="s">
        <v>60</v>
      </c>
      <c r="R276" s="71">
        <v>0</v>
      </c>
      <c r="S276" s="74">
        <v>1014102</v>
      </c>
      <c r="T276" s="78">
        <v>700</v>
      </c>
      <c r="U276" s="78">
        <v>1014</v>
      </c>
      <c r="V276" s="78">
        <v>1700</v>
      </c>
      <c r="W276" s="71">
        <v>0</v>
      </c>
      <c r="X276" s="71">
        <v>0</v>
      </c>
      <c r="Y276" s="71">
        <v>0</v>
      </c>
      <c r="Z276" s="71">
        <v>0</v>
      </c>
    </row>
    <row r="277" ht="17.25" spans="1:26">
      <c r="A277" s="71">
        <v>10103005</v>
      </c>
      <c r="B277" s="71" t="s">
        <v>550</v>
      </c>
      <c r="C277" s="86" t="s">
        <v>739</v>
      </c>
      <c r="D277" s="71">
        <v>2</v>
      </c>
      <c r="E277" s="71">
        <f t="shared" si="39"/>
        <v>3</v>
      </c>
      <c r="F277" s="71">
        <v>2001</v>
      </c>
      <c r="G277" s="71">
        <v>350</v>
      </c>
      <c r="H277" s="71">
        <v>3330</v>
      </c>
      <c r="I277" s="71">
        <v>10103005</v>
      </c>
      <c r="J277" s="71">
        <v>180000</v>
      </c>
      <c r="K277" s="71">
        <f t="shared" si="40"/>
        <v>10101005</v>
      </c>
      <c r="L277" s="90" t="s">
        <v>740</v>
      </c>
      <c r="M277" s="91" t="s">
        <v>741</v>
      </c>
      <c r="N277" s="71" t="str">
        <f t="shared" si="41"/>
        <v>灵球猛击</v>
      </c>
      <c r="O277" s="71"/>
      <c r="P277" s="71"/>
      <c r="Q277" s="71" t="s">
        <v>60</v>
      </c>
      <c r="R277" s="71">
        <v>0</v>
      </c>
      <c r="S277" s="74">
        <v>1042002</v>
      </c>
      <c r="T277" s="78">
        <v>900</v>
      </c>
      <c r="U277" s="78">
        <v>1016</v>
      </c>
      <c r="V277" s="79">
        <v>1400</v>
      </c>
      <c r="W277" s="71">
        <v>0</v>
      </c>
      <c r="X277" s="71">
        <v>0</v>
      </c>
      <c r="Y277" s="71">
        <v>0</v>
      </c>
      <c r="Z277" s="71">
        <v>0</v>
      </c>
    </row>
    <row r="278" ht="17.25" spans="1:26">
      <c r="A278" s="71">
        <v>10103006</v>
      </c>
      <c r="B278" s="88" t="s">
        <v>594</v>
      </c>
      <c r="C278" s="86" t="s">
        <v>742</v>
      </c>
      <c r="D278" s="71">
        <v>2</v>
      </c>
      <c r="E278" s="71">
        <f t="shared" si="39"/>
        <v>3</v>
      </c>
      <c r="F278" s="71">
        <v>2001</v>
      </c>
      <c r="G278" s="71">
        <v>350</v>
      </c>
      <c r="H278" s="71">
        <v>1110</v>
      </c>
      <c r="I278" s="71">
        <v>10103006</v>
      </c>
      <c r="J278" s="71">
        <v>180000</v>
      </c>
      <c r="K278" s="71">
        <f t="shared" si="40"/>
        <v>10101006</v>
      </c>
      <c r="L278" s="90" t="s">
        <v>743</v>
      </c>
      <c r="M278" s="91" t="s">
        <v>744</v>
      </c>
      <c r="N278" s="71" t="str">
        <f t="shared" si="41"/>
        <v>火焰甩尾</v>
      </c>
      <c r="O278" s="71"/>
      <c r="P278" s="71"/>
      <c r="Q278" s="71" t="s">
        <v>60</v>
      </c>
      <c r="R278" s="71">
        <v>0</v>
      </c>
      <c r="S278" s="74">
        <v>1050002</v>
      </c>
      <c r="T278" s="81">
        <v>1000</v>
      </c>
      <c r="U278" s="81">
        <v>1012</v>
      </c>
      <c r="V278" s="81" t="s">
        <v>598</v>
      </c>
      <c r="W278" s="71">
        <v>0</v>
      </c>
      <c r="X278" s="71">
        <v>0</v>
      </c>
      <c r="Y278" s="71">
        <v>0</v>
      </c>
      <c r="Z278" s="71">
        <v>0</v>
      </c>
    </row>
    <row r="279" ht="17.25" spans="1:26">
      <c r="A279" s="71">
        <v>10203007</v>
      </c>
      <c r="B279" s="87" t="s">
        <v>745</v>
      </c>
      <c r="C279" s="86" t="s">
        <v>746</v>
      </c>
      <c r="D279" s="71">
        <v>2</v>
      </c>
      <c r="E279" s="71">
        <f t="shared" si="39"/>
        <v>3</v>
      </c>
      <c r="F279" s="71">
        <v>3001</v>
      </c>
      <c r="G279" s="71">
        <v>350</v>
      </c>
      <c r="H279" s="71">
        <v>0</v>
      </c>
      <c r="I279" s="71">
        <v>10203007</v>
      </c>
      <c r="J279" s="71">
        <v>100000</v>
      </c>
      <c r="K279" s="71">
        <f t="shared" si="40"/>
        <v>10201007</v>
      </c>
      <c r="L279" s="90" t="s">
        <v>747</v>
      </c>
      <c r="M279" s="91" t="s">
        <v>748</v>
      </c>
      <c r="N279" s="71" t="str">
        <f t="shared" si="41"/>
        <v>借点气势</v>
      </c>
      <c r="O279" s="71"/>
      <c r="P279" s="71"/>
      <c r="Q279" s="71" t="s">
        <v>60</v>
      </c>
      <c r="R279" s="71">
        <v>0</v>
      </c>
      <c r="S279" s="74">
        <v>0</v>
      </c>
      <c r="T279" s="78">
        <v>0</v>
      </c>
      <c r="U279" s="78">
        <v>0</v>
      </c>
      <c r="V279" s="78">
        <v>0</v>
      </c>
      <c r="W279" s="71">
        <v>0</v>
      </c>
      <c r="X279" s="71">
        <v>0</v>
      </c>
      <c r="Y279" s="71">
        <v>0</v>
      </c>
      <c r="Z279" s="71">
        <v>10201007</v>
      </c>
    </row>
    <row r="280" ht="17.25" spans="1:26">
      <c r="A280" s="71">
        <v>10203008</v>
      </c>
      <c r="B280" s="87" t="s">
        <v>749</v>
      </c>
      <c r="C280" s="86" t="s">
        <v>750</v>
      </c>
      <c r="D280" s="71">
        <v>2</v>
      </c>
      <c r="E280" s="71">
        <f t="shared" ref="E280:E295" si="42">E259+1</f>
        <v>3</v>
      </c>
      <c r="F280" s="71">
        <v>3001</v>
      </c>
      <c r="G280" s="71">
        <v>350</v>
      </c>
      <c r="H280" s="71">
        <v>0</v>
      </c>
      <c r="I280" s="71">
        <v>10203008</v>
      </c>
      <c r="J280" s="71">
        <v>100000</v>
      </c>
      <c r="K280" s="71">
        <f t="shared" si="40"/>
        <v>10201008</v>
      </c>
      <c r="L280" s="90" t="s">
        <v>751</v>
      </c>
      <c r="M280" s="91" t="s">
        <v>752</v>
      </c>
      <c r="N280" s="71" t="str">
        <f t="shared" si="41"/>
        <v>鼓腮加成</v>
      </c>
      <c r="O280" s="71"/>
      <c r="P280" s="71"/>
      <c r="Q280" s="71" t="s">
        <v>60</v>
      </c>
      <c r="R280" s="71">
        <v>0</v>
      </c>
      <c r="S280" s="74">
        <v>0</v>
      </c>
      <c r="T280" s="78">
        <v>0</v>
      </c>
      <c r="U280" s="78">
        <v>0</v>
      </c>
      <c r="V280" s="78">
        <v>0</v>
      </c>
      <c r="W280" s="71">
        <v>0</v>
      </c>
      <c r="X280" s="71">
        <v>0</v>
      </c>
      <c r="Y280" s="71">
        <v>0</v>
      </c>
      <c r="Z280" s="71">
        <v>10201007</v>
      </c>
    </row>
    <row r="281" ht="17.25" spans="1:26">
      <c r="A281" s="71">
        <v>10203009</v>
      </c>
      <c r="B281" s="87" t="s">
        <v>753</v>
      </c>
      <c r="C281" s="86" t="s">
        <v>754</v>
      </c>
      <c r="D281" s="71">
        <v>2</v>
      </c>
      <c r="E281" s="71">
        <f t="shared" si="42"/>
        <v>3</v>
      </c>
      <c r="F281" s="71">
        <v>3001</v>
      </c>
      <c r="G281" s="71">
        <v>350</v>
      </c>
      <c r="H281" s="71">
        <v>0</v>
      </c>
      <c r="I281" s="71">
        <v>10203009</v>
      </c>
      <c r="J281" s="71">
        <v>100000</v>
      </c>
      <c r="K281" s="71">
        <f t="shared" si="40"/>
        <v>10201009</v>
      </c>
      <c r="L281" s="90" t="s">
        <v>755</v>
      </c>
      <c r="M281" s="91" t="s">
        <v>756</v>
      </c>
      <c r="N281" s="71" t="str">
        <f t="shared" si="41"/>
        <v>元素渣涌</v>
      </c>
      <c r="O281" s="71"/>
      <c r="P281" s="71"/>
      <c r="Q281" s="71" t="s">
        <v>60</v>
      </c>
      <c r="R281" s="71">
        <v>0</v>
      </c>
      <c r="S281" s="74">
        <v>0</v>
      </c>
      <c r="T281" s="78">
        <v>0</v>
      </c>
      <c r="U281" s="78">
        <v>0</v>
      </c>
      <c r="V281" s="78">
        <v>0</v>
      </c>
      <c r="W281" s="71">
        <v>0</v>
      </c>
      <c r="X281" s="71">
        <v>0</v>
      </c>
      <c r="Y281" s="71">
        <v>0</v>
      </c>
      <c r="Z281" s="71">
        <v>10201007</v>
      </c>
    </row>
    <row r="282" ht="17.25" spans="1:26">
      <c r="A282" s="71">
        <v>10203010</v>
      </c>
      <c r="B282" s="87" t="s">
        <v>757</v>
      </c>
      <c r="C282" s="86" t="s">
        <v>758</v>
      </c>
      <c r="D282" s="71">
        <v>2</v>
      </c>
      <c r="E282" s="71">
        <f t="shared" si="42"/>
        <v>3</v>
      </c>
      <c r="F282" s="71">
        <v>3001</v>
      </c>
      <c r="G282" s="71">
        <v>350</v>
      </c>
      <c r="H282" s="71">
        <v>0</v>
      </c>
      <c r="I282" s="71">
        <v>10203010</v>
      </c>
      <c r="J282" s="71">
        <v>100000</v>
      </c>
      <c r="K282" s="71">
        <f t="shared" si="40"/>
        <v>10201010</v>
      </c>
      <c r="L282" s="90" t="s">
        <v>759</v>
      </c>
      <c r="M282" s="91" t="s">
        <v>760</v>
      </c>
      <c r="N282" s="71" t="str">
        <f t="shared" si="41"/>
        <v>暴击弱点</v>
      </c>
      <c r="O282" s="71"/>
      <c r="P282" s="71"/>
      <c r="Q282" s="71" t="s">
        <v>60</v>
      </c>
      <c r="R282" s="71">
        <v>0</v>
      </c>
      <c r="S282" s="74">
        <v>0</v>
      </c>
      <c r="T282" s="78">
        <v>0</v>
      </c>
      <c r="U282" s="78">
        <v>0</v>
      </c>
      <c r="V282" s="78">
        <v>0</v>
      </c>
      <c r="W282" s="71">
        <v>0</v>
      </c>
      <c r="X282" s="71">
        <v>0</v>
      </c>
      <c r="Y282" s="71">
        <v>0</v>
      </c>
      <c r="Z282" s="71">
        <v>10201007</v>
      </c>
    </row>
    <row r="283" ht="17.25" spans="1:26">
      <c r="A283" s="71">
        <v>10203011</v>
      </c>
      <c r="B283" s="87" t="s">
        <v>761</v>
      </c>
      <c r="C283" s="86" t="s">
        <v>762</v>
      </c>
      <c r="D283" s="71">
        <v>2</v>
      </c>
      <c r="E283" s="71">
        <f t="shared" si="42"/>
        <v>3</v>
      </c>
      <c r="F283" s="71">
        <v>3001</v>
      </c>
      <c r="G283" s="71">
        <v>350</v>
      </c>
      <c r="H283" s="71">
        <v>0</v>
      </c>
      <c r="I283" s="71">
        <v>10203011</v>
      </c>
      <c r="J283" s="71">
        <v>100000</v>
      </c>
      <c r="K283" s="71">
        <f t="shared" si="40"/>
        <v>10201011</v>
      </c>
      <c r="L283" s="90" t="s">
        <v>763</v>
      </c>
      <c r="M283" s="91" t="s">
        <v>764</v>
      </c>
      <c r="N283" s="71" t="str">
        <f t="shared" si="41"/>
        <v>暴击猛砸</v>
      </c>
      <c r="O283" s="71"/>
      <c r="P283" s="71"/>
      <c r="Q283" s="71" t="s">
        <v>60</v>
      </c>
      <c r="R283" s="71">
        <v>0</v>
      </c>
      <c r="S283" s="74">
        <v>0</v>
      </c>
      <c r="T283" s="78">
        <v>0</v>
      </c>
      <c r="U283" s="78">
        <v>0</v>
      </c>
      <c r="V283" s="78">
        <v>0</v>
      </c>
      <c r="W283" s="71">
        <v>0</v>
      </c>
      <c r="X283" s="71">
        <v>0</v>
      </c>
      <c r="Y283" s="71">
        <v>0</v>
      </c>
      <c r="Z283" s="71">
        <v>10201007</v>
      </c>
    </row>
    <row r="284" ht="17.25" spans="1:26">
      <c r="A284" s="71">
        <v>10303012</v>
      </c>
      <c r="B284" s="87" t="s">
        <v>765</v>
      </c>
      <c r="C284" s="86" t="s">
        <v>766</v>
      </c>
      <c r="D284" s="71">
        <v>2</v>
      </c>
      <c r="E284" s="71">
        <f t="shared" si="42"/>
        <v>3</v>
      </c>
      <c r="F284" s="71">
        <v>3001</v>
      </c>
      <c r="G284" s="71">
        <v>350</v>
      </c>
      <c r="H284" s="71">
        <v>0</v>
      </c>
      <c r="I284" s="71">
        <v>10303012</v>
      </c>
      <c r="J284" s="71">
        <v>100000</v>
      </c>
      <c r="K284" s="71">
        <f t="shared" si="40"/>
        <v>10301012</v>
      </c>
      <c r="L284" s="90" t="s">
        <v>767</v>
      </c>
      <c r="M284" s="91" t="s">
        <v>768</v>
      </c>
      <c r="N284" s="71" t="str">
        <f t="shared" si="41"/>
        <v>魔法疗愈</v>
      </c>
      <c r="O284" s="71"/>
      <c r="P284" s="71"/>
      <c r="Q284" s="71" t="s">
        <v>60</v>
      </c>
      <c r="R284" s="71">
        <v>0</v>
      </c>
      <c r="S284" s="74">
        <v>0</v>
      </c>
      <c r="T284" s="78">
        <v>0</v>
      </c>
      <c r="U284" s="78">
        <v>0</v>
      </c>
      <c r="V284" s="78">
        <v>0</v>
      </c>
      <c r="W284" s="71">
        <v>0</v>
      </c>
      <c r="X284" s="71">
        <v>0</v>
      </c>
      <c r="Y284" s="71">
        <v>0</v>
      </c>
      <c r="Z284" s="71">
        <v>10201007</v>
      </c>
    </row>
    <row r="285" ht="17.25" spans="1:26">
      <c r="A285" s="71">
        <v>10303013</v>
      </c>
      <c r="B285" s="87" t="s">
        <v>769</v>
      </c>
      <c r="C285" s="86" t="s">
        <v>770</v>
      </c>
      <c r="D285" s="71">
        <v>2</v>
      </c>
      <c r="E285" s="71">
        <f t="shared" si="42"/>
        <v>3</v>
      </c>
      <c r="F285" s="71">
        <v>3001</v>
      </c>
      <c r="G285" s="71">
        <v>350</v>
      </c>
      <c r="H285" s="71">
        <v>0</v>
      </c>
      <c r="I285" s="71">
        <v>10303013</v>
      </c>
      <c r="J285" s="71">
        <v>100000</v>
      </c>
      <c r="K285" s="71">
        <f t="shared" ref="K285:K316" si="43">K264</f>
        <v>10301013</v>
      </c>
      <c r="L285" s="90" t="s">
        <v>771</v>
      </c>
      <c r="M285" s="91" t="s">
        <v>772</v>
      </c>
      <c r="N285" s="71" t="str">
        <f t="shared" si="41"/>
        <v>回春疗愈</v>
      </c>
      <c r="O285" s="71"/>
      <c r="P285" s="71"/>
      <c r="Q285" s="71" t="s">
        <v>60</v>
      </c>
      <c r="R285" s="71">
        <v>0</v>
      </c>
      <c r="S285" s="74">
        <v>0</v>
      </c>
      <c r="T285" s="78">
        <v>0</v>
      </c>
      <c r="U285" s="78">
        <v>0</v>
      </c>
      <c r="V285" s="78">
        <v>0</v>
      </c>
      <c r="W285" s="71">
        <v>0</v>
      </c>
      <c r="X285" s="71">
        <v>0</v>
      </c>
      <c r="Y285" s="71">
        <v>0</v>
      </c>
      <c r="Z285" s="71">
        <v>10201007</v>
      </c>
    </row>
    <row r="286" ht="17.25" spans="1:26">
      <c r="A286" s="71">
        <v>10303014</v>
      </c>
      <c r="B286" s="87" t="s">
        <v>773</v>
      </c>
      <c r="C286" s="86" t="s">
        <v>774</v>
      </c>
      <c r="D286" s="71">
        <v>2</v>
      </c>
      <c r="E286" s="71">
        <f t="shared" si="42"/>
        <v>3</v>
      </c>
      <c r="F286" s="71">
        <v>3001</v>
      </c>
      <c r="G286" s="71">
        <v>350</v>
      </c>
      <c r="H286" s="71">
        <v>0</v>
      </c>
      <c r="I286" s="71">
        <v>10303014</v>
      </c>
      <c r="J286" s="71">
        <v>100000</v>
      </c>
      <c r="K286" s="71">
        <f t="shared" si="43"/>
        <v>10301014</v>
      </c>
      <c r="L286" s="90" t="s">
        <v>775</v>
      </c>
      <c r="M286" s="91" t="s">
        <v>776</v>
      </c>
      <c r="N286" s="71" t="str">
        <f t="shared" si="41"/>
        <v>糊层护盾</v>
      </c>
      <c r="O286" s="71"/>
      <c r="P286" s="71"/>
      <c r="Q286" s="71" t="s">
        <v>60</v>
      </c>
      <c r="R286" s="71">
        <v>0</v>
      </c>
      <c r="S286" s="74">
        <v>0</v>
      </c>
      <c r="T286" s="78">
        <v>0</v>
      </c>
      <c r="U286" s="78">
        <v>0</v>
      </c>
      <c r="V286" s="78">
        <v>0</v>
      </c>
      <c r="W286" s="71">
        <v>0</v>
      </c>
      <c r="X286" s="71">
        <v>0</v>
      </c>
      <c r="Y286" s="71">
        <v>0</v>
      </c>
      <c r="Z286" s="71">
        <v>10201007</v>
      </c>
    </row>
    <row r="287" ht="17.25" spans="1:26">
      <c r="A287" s="71">
        <v>10303015</v>
      </c>
      <c r="B287" s="87" t="s">
        <v>777</v>
      </c>
      <c r="C287" s="86" t="s">
        <v>778</v>
      </c>
      <c r="D287" s="71">
        <v>2</v>
      </c>
      <c r="E287" s="71">
        <f t="shared" si="42"/>
        <v>3</v>
      </c>
      <c r="F287" s="71">
        <v>3001</v>
      </c>
      <c r="G287" s="71">
        <v>350</v>
      </c>
      <c r="H287" s="71">
        <v>0</v>
      </c>
      <c r="I287" s="71">
        <v>10303015</v>
      </c>
      <c r="J287" s="71">
        <v>100000</v>
      </c>
      <c r="K287" s="71">
        <f t="shared" si="43"/>
        <v>10301015</v>
      </c>
      <c r="L287" s="90" t="s">
        <v>779</v>
      </c>
      <c r="M287" s="91" t="s">
        <v>780</v>
      </c>
      <c r="N287" s="71" t="str">
        <f t="shared" si="41"/>
        <v>偷点血量</v>
      </c>
      <c r="O287" s="71"/>
      <c r="P287" s="71"/>
      <c r="Q287" s="71" t="s">
        <v>60</v>
      </c>
      <c r="R287" s="71">
        <v>0</v>
      </c>
      <c r="S287" s="74">
        <v>0</v>
      </c>
      <c r="T287" s="78">
        <v>0</v>
      </c>
      <c r="U287" s="78">
        <v>0</v>
      </c>
      <c r="V287" s="78">
        <v>0</v>
      </c>
      <c r="W287" s="71">
        <v>0</v>
      </c>
      <c r="X287" s="71">
        <v>0</v>
      </c>
      <c r="Y287" s="71">
        <v>0</v>
      </c>
      <c r="Z287" s="71">
        <v>10201007</v>
      </c>
    </row>
    <row r="288" ht="17.25" spans="1:26">
      <c r="A288" s="71">
        <v>10303016</v>
      </c>
      <c r="B288" s="87" t="s">
        <v>781</v>
      </c>
      <c r="C288" s="86" t="s">
        <v>782</v>
      </c>
      <c r="D288" s="71">
        <v>2</v>
      </c>
      <c r="E288" s="71">
        <f t="shared" si="42"/>
        <v>3</v>
      </c>
      <c r="F288" s="71">
        <v>3001</v>
      </c>
      <c r="G288" s="71">
        <v>350</v>
      </c>
      <c r="H288" s="71">
        <v>0</v>
      </c>
      <c r="I288" s="71">
        <v>10303016</v>
      </c>
      <c r="J288" s="71">
        <v>100000</v>
      </c>
      <c r="K288" s="71">
        <f t="shared" si="43"/>
        <v>10301016</v>
      </c>
      <c r="L288" s="90" t="s">
        <v>783</v>
      </c>
      <c r="M288" s="91" t="s">
        <v>784</v>
      </c>
      <c r="N288" s="71" t="str">
        <f t="shared" si="41"/>
        <v>挨揍回血</v>
      </c>
      <c r="O288" s="71"/>
      <c r="P288" s="71"/>
      <c r="Q288" s="71" t="s">
        <v>60</v>
      </c>
      <c r="R288" s="71">
        <v>0</v>
      </c>
      <c r="S288" s="74">
        <v>0</v>
      </c>
      <c r="T288" s="78">
        <v>0</v>
      </c>
      <c r="U288" s="78">
        <v>0</v>
      </c>
      <c r="V288" s="78">
        <v>0</v>
      </c>
      <c r="W288" s="71">
        <v>0</v>
      </c>
      <c r="X288" s="71">
        <v>0</v>
      </c>
      <c r="Y288" s="71">
        <v>0</v>
      </c>
      <c r="Z288" s="71">
        <v>10201007</v>
      </c>
    </row>
    <row r="289" ht="17.25" spans="1:26">
      <c r="A289" s="71">
        <v>10403017</v>
      </c>
      <c r="B289" s="87" t="s">
        <v>785</v>
      </c>
      <c r="C289" s="86" t="s">
        <v>786</v>
      </c>
      <c r="D289" s="71">
        <v>2</v>
      </c>
      <c r="E289" s="71">
        <f t="shared" si="42"/>
        <v>3</v>
      </c>
      <c r="F289" s="71">
        <v>3001</v>
      </c>
      <c r="G289" s="71">
        <v>350</v>
      </c>
      <c r="H289" s="71">
        <v>0</v>
      </c>
      <c r="I289" s="71">
        <v>10403017</v>
      </c>
      <c r="J289" s="71">
        <v>100000</v>
      </c>
      <c r="K289" s="71">
        <f t="shared" si="43"/>
        <v>10401017</v>
      </c>
      <c r="L289" s="90" t="s">
        <v>787</v>
      </c>
      <c r="M289" s="91" t="s">
        <v>788</v>
      </c>
      <c r="N289" s="71" t="str">
        <f t="shared" si="41"/>
        <v>硬壳加持</v>
      </c>
      <c r="O289" s="71"/>
      <c r="P289" s="71"/>
      <c r="Q289" s="71" t="s">
        <v>60</v>
      </c>
      <c r="R289" s="71">
        <v>0</v>
      </c>
      <c r="S289" s="74">
        <v>0</v>
      </c>
      <c r="T289" s="78">
        <v>0</v>
      </c>
      <c r="U289" s="78">
        <v>0</v>
      </c>
      <c r="V289" s="78">
        <v>0</v>
      </c>
      <c r="W289" s="71">
        <v>0</v>
      </c>
      <c r="X289" s="71">
        <v>0</v>
      </c>
      <c r="Y289" s="71">
        <v>0</v>
      </c>
      <c r="Z289" s="71">
        <v>10201007</v>
      </c>
    </row>
    <row r="290" ht="17.25" spans="1:26">
      <c r="A290" s="71">
        <v>10403018</v>
      </c>
      <c r="B290" s="87" t="s">
        <v>789</v>
      </c>
      <c r="C290" s="86" t="s">
        <v>790</v>
      </c>
      <c r="D290" s="71">
        <v>2</v>
      </c>
      <c r="E290" s="71">
        <f t="shared" si="42"/>
        <v>3</v>
      </c>
      <c r="F290" s="71">
        <v>3001</v>
      </c>
      <c r="G290" s="71">
        <v>350</v>
      </c>
      <c r="H290" s="71">
        <v>0</v>
      </c>
      <c r="I290" s="71">
        <v>10403018</v>
      </c>
      <c r="J290" s="71">
        <v>100000</v>
      </c>
      <c r="K290" s="71">
        <f t="shared" si="43"/>
        <v>10401018</v>
      </c>
      <c r="L290" s="90" t="s">
        <v>791</v>
      </c>
      <c r="M290" s="91" t="s">
        <v>792</v>
      </c>
      <c r="N290" s="71" t="str">
        <f t="shared" si="41"/>
        <v>小盾挡挡</v>
      </c>
      <c r="O290" s="71"/>
      <c r="P290" s="71"/>
      <c r="Q290" s="71" t="s">
        <v>60</v>
      </c>
      <c r="R290" s="71">
        <v>0</v>
      </c>
      <c r="S290" s="74">
        <v>0</v>
      </c>
      <c r="T290" s="78">
        <v>0</v>
      </c>
      <c r="U290" s="78">
        <v>0</v>
      </c>
      <c r="V290" s="78">
        <v>0</v>
      </c>
      <c r="W290" s="71">
        <v>0</v>
      </c>
      <c r="X290" s="71">
        <v>0</v>
      </c>
      <c r="Y290" s="71">
        <v>0</v>
      </c>
      <c r="Z290" s="71">
        <v>10201007</v>
      </c>
    </row>
    <row r="291" ht="17.25" spans="1:26">
      <c r="A291" s="71">
        <v>10403019</v>
      </c>
      <c r="B291" s="87" t="s">
        <v>793</v>
      </c>
      <c r="C291" s="86" t="s">
        <v>794</v>
      </c>
      <c r="D291" s="71">
        <v>2</v>
      </c>
      <c r="E291" s="71">
        <f t="shared" si="42"/>
        <v>3</v>
      </c>
      <c r="F291" s="71">
        <v>3001</v>
      </c>
      <c r="G291" s="71">
        <v>350</v>
      </c>
      <c r="H291" s="71">
        <v>0</v>
      </c>
      <c r="I291" s="71">
        <v>10403019</v>
      </c>
      <c r="J291" s="71">
        <v>100000</v>
      </c>
      <c r="K291" s="71">
        <f t="shared" si="43"/>
        <v>10401019</v>
      </c>
      <c r="L291" s="90" t="s">
        <v>795</v>
      </c>
      <c r="M291" s="91" t="s">
        <v>796</v>
      </c>
      <c r="N291" s="71" t="str">
        <f t="shared" si="41"/>
        <v>厚皮加持</v>
      </c>
      <c r="O291" s="71"/>
      <c r="P291" s="71"/>
      <c r="Q291" s="71" t="s">
        <v>60</v>
      </c>
      <c r="R291" s="71">
        <v>0</v>
      </c>
      <c r="S291" s="74">
        <v>0</v>
      </c>
      <c r="T291" s="78">
        <v>0</v>
      </c>
      <c r="U291" s="78">
        <v>0</v>
      </c>
      <c r="V291" s="78">
        <v>0</v>
      </c>
      <c r="W291" s="71">
        <v>0</v>
      </c>
      <c r="X291" s="71">
        <v>0</v>
      </c>
      <c r="Y291" s="71">
        <v>0</v>
      </c>
      <c r="Z291" s="71">
        <v>10201007</v>
      </c>
    </row>
    <row r="292" ht="17.25" spans="1:26">
      <c r="A292" s="71">
        <v>10403020</v>
      </c>
      <c r="B292" s="87" t="s">
        <v>797</v>
      </c>
      <c r="C292" s="86" t="s">
        <v>798</v>
      </c>
      <c r="D292" s="71">
        <v>2</v>
      </c>
      <c r="E292" s="71">
        <f t="shared" si="42"/>
        <v>3</v>
      </c>
      <c r="F292" s="71">
        <v>3001</v>
      </c>
      <c r="G292" s="71">
        <v>350</v>
      </c>
      <c r="H292" s="71">
        <v>0</v>
      </c>
      <c r="I292" s="71">
        <v>10403020</v>
      </c>
      <c r="J292" s="71">
        <v>100000</v>
      </c>
      <c r="K292" s="71">
        <f t="shared" si="43"/>
        <v>10401020</v>
      </c>
      <c r="L292" s="90" t="s">
        <v>799</v>
      </c>
      <c r="M292" s="91" t="s">
        <v>800</v>
      </c>
      <c r="N292" s="71" t="str">
        <f t="shared" si="41"/>
        <v>溜得飞快</v>
      </c>
      <c r="O292" s="71"/>
      <c r="P292" s="71"/>
      <c r="Q292" s="71" t="s">
        <v>60</v>
      </c>
      <c r="R292" s="71">
        <v>0</v>
      </c>
      <c r="S292" s="74">
        <v>0</v>
      </c>
      <c r="T292" s="78">
        <v>0</v>
      </c>
      <c r="U292" s="78">
        <v>0</v>
      </c>
      <c r="V292" s="78">
        <v>0</v>
      </c>
      <c r="W292" s="71">
        <v>0</v>
      </c>
      <c r="X292" s="71">
        <v>0</v>
      </c>
      <c r="Y292" s="71">
        <v>0</v>
      </c>
      <c r="Z292" s="71">
        <v>10201007</v>
      </c>
    </row>
    <row r="293" ht="17.25" spans="1:26">
      <c r="A293" s="71">
        <v>10403021</v>
      </c>
      <c r="B293" s="87" t="s">
        <v>801</v>
      </c>
      <c r="C293" s="86" t="s">
        <v>802</v>
      </c>
      <c r="D293" s="71">
        <v>2</v>
      </c>
      <c r="E293" s="71">
        <f t="shared" si="42"/>
        <v>3</v>
      </c>
      <c r="F293" s="71">
        <v>3001</v>
      </c>
      <c r="G293" s="71">
        <v>350</v>
      </c>
      <c r="H293" s="71">
        <v>0</v>
      </c>
      <c r="I293" s="71">
        <v>10403021</v>
      </c>
      <c r="J293" s="71">
        <v>100000</v>
      </c>
      <c r="K293" s="71">
        <f t="shared" si="43"/>
        <v>10401021</v>
      </c>
      <c r="L293" s="90" t="s">
        <v>803</v>
      </c>
      <c r="M293" s="91" t="s">
        <v>804</v>
      </c>
      <c r="N293" s="71" t="str">
        <f t="shared" si="41"/>
        <v>乱挥格挡</v>
      </c>
      <c r="O293" s="71"/>
      <c r="P293" s="71"/>
      <c r="Q293" s="71" t="s">
        <v>60</v>
      </c>
      <c r="R293" s="71">
        <v>0</v>
      </c>
      <c r="S293" s="74">
        <v>0</v>
      </c>
      <c r="T293" s="78">
        <v>0</v>
      </c>
      <c r="U293" s="78">
        <v>0</v>
      </c>
      <c r="V293" s="78">
        <v>0</v>
      </c>
      <c r="W293" s="71">
        <v>0</v>
      </c>
      <c r="X293" s="71">
        <v>0</v>
      </c>
      <c r="Y293" s="71">
        <v>0</v>
      </c>
      <c r="Z293" s="71">
        <v>10201007</v>
      </c>
    </row>
    <row r="294" ht="17.25" spans="1:26">
      <c r="A294" s="71">
        <v>10104001</v>
      </c>
      <c r="B294" s="87" t="s">
        <v>455</v>
      </c>
      <c r="C294" s="86" t="s">
        <v>727</v>
      </c>
      <c r="D294" s="71">
        <v>2</v>
      </c>
      <c r="E294" s="71">
        <f t="shared" si="42"/>
        <v>4</v>
      </c>
      <c r="F294" s="71">
        <v>2010</v>
      </c>
      <c r="G294" s="71">
        <v>350</v>
      </c>
      <c r="H294" s="71">
        <v>10000</v>
      </c>
      <c r="I294" s="71">
        <v>0</v>
      </c>
      <c r="J294" s="71">
        <v>180000</v>
      </c>
      <c r="K294" s="71">
        <f t="shared" si="43"/>
        <v>10101001</v>
      </c>
      <c r="L294" s="90" t="s">
        <v>728</v>
      </c>
      <c r="M294" s="91" t="s">
        <v>729</v>
      </c>
      <c r="N294" s="71" t="str">
        <f t="shared" si="41"/>
        <v>小鬼出击</v>
      </c>
      <c r="O294" s="71"/>
      <c r="P294" s="71"/>
      <c r="Q294" s="71" t="s">
        <v>60</v>
      </c>
      <c r="R294" s="71">
        <v>0</v>
      </c>
      <c r="S294" s="74">
        <v>1032002</v>
      </c>
      <c r="T294" s="78">
        <v>400</v>
      </c>
      <c r="U294" s="78">
        <v>1014</v>
      </c>
      <c r="V294" s="79" t="s">
        <v>459</v>
      </c>
      <c r="W294" s="71">
        <v>0</v>
      </c>
      <c r="X294" s="71">
        <v>0</v>
      </c>
      <c r="Y294" s="71">
        <v>0</v>
      </c>
      <c r="Z294" s="71">
        <v>0</v>
      </c>
    </row>
    <row r="295" ht="17.25" spans="1:26">
      <c r="A295" s="71">
        <v>10104002</v>
      </c>
      <c r="B295" s="87" t="s">
        <v>535</v>
      </c>
      <c r="C295" s="86" t="s">
        <v>730</v>
      </c>
      <c r="D295" s="71">
        <v>2</v>
      </c>
      <c r="E295" s="71">
        <f t="shared" si="42"/>
        <v>4</v>
      </c>
      <c r="F295" s="71">
        <v>2010</v>
      </c>
      <c r="G295" s="71">
        <v>350</v>
      </c>
      <c r="H295" s="71">
        <v>1430</v>
      </c>
      <c r="I295" s="71">
        <v>10104002</v>
      </c>
      <c r="J295" s="71">
        <v>180000</v>
      </c>
      <c r="K295" s="71">
        <f t="shared" si="43"/>
        <v>10101002</v>
      </c>
      <c r="L295" s="90" t="s">
        <v>731</v>
      </c>
      <c r="M295" s="91" t="s">
        <v>732</v>
      </c>
      <c r="N295" s="71" t="str">
        <f t="shared" si="41"/>
        <v>紫色雷霆</v>
      </c>
      <c r="O295" s="71"/>
      <c r="P295" s="71"/>
      <c r="Q295" s="71" t="s">
        <v>60</v>
      </c>
      <c r="R295" s="71">
        <v>0</v>
      </c>
      <c r="S295" s="74">
        <v>1039202</v>
      </c>
      <c r="T295" s="78">
        <v>600</v>
      </c>
      <c r="U295" s="78">
        <v>1011</v>
      </c>
      <c r="V295" s="78" t="s">
        <v>527</v>
      </c>
      <c r="W295" s="71">
        <v>0</v>
      </c>
      <c r="X295" s="71">
        <v>0</v>
      </c>
      <c r="Y295" s="71">
        <v>0</v>
      </c>
      <c r="Z295" s="71">
        <v>0</v>
      </c>
    </row>
    <row r="296" ht="17.25" spans="1:26">
      <c r="A296" s="71">
        <v>10104003</v>
      </c>
      <c r="B296" s="87" t="s">
        <v>296</v>
      </c>
      <c r="C296" s="86" t="s">
        <v>733</v>
      </c>
      <c r="D296" s="71">
        <v>2</v>
      </c>
      <c r="E296" s="71">
        <f t="shared" ref="E296:E327" si="44">E275+1</f>
        <v>4</v>
      </c>
      <c r="F296" s="71">
        <v>2010</v>
      </c>
      <c r="G296" s="71">
        <v>350</v>
      </c>
      <c r="H296" s="71">
        <v>2500</v>
      </c>
      <c r="I296" s="71">
        <v>10104003</v>
      </c>
      <c r="J296" s="71">
        <v>70000</v>
      </c>
      <c r="K296" s="71">
        <f t="shared" si="43"/>
        <v>10101003</v>
      </c>
      <c r="L296" s="90" t="s">
        <v>734</v>
      </c>
      <c r="M296" s="91" t="s">
        <v>735</v>
      </c>
      <c r="N296" s="71" t="str">
        <f t="shared" ref="N296:N327" si="45">B296</f>
        <v>噬影分身</v>
      </c>
      <c r="O296" s="71"/>
      <c r="P296" s="71"/>
      <c r="Q296" s="71" t="s">
        <v>60</v>
      </c>
      <c r="R296" s="71">
        <v>0</v>
      </c>
      <c r="S296" s="81">
        <v>1012002</v>
      </c>
      <c r="T296" s="78">
        <v>700</v>
      </c>
      <c r="U296" s="78">
        <v>1013</v>
      </c>
      <c r="V296" s="79" t="s">
        <v>300</v>
      </c>
      <c r="W296" s="71">
        <v>0</v>
      </c>
      <c r="X296" s="71">
        <v>0</v>
      </c>
      <c r="Y296" s="71">
        <v>0</v>
      </c>
      <c r="Z296" s="71">
        <v>5004001</v>
      </c>
    </row>
    <row r="297" ht="17.25" spans="1:26">
      <c r="A297" s="71">
        <v>10104004</v>
      </c>
      <c r="B297" s="71" t="s">
        <v>326</v>
      </c>
      <c r="C297" s="86" t="s">
        <v>736</v>
      </c>
      <c r="D297" s="71">
        <v>2</v>
      </c>
      <c r="E297" s="71">
        <f t="shared" si="44"/>
        <v>4</v>
      </c>
      <c r="F297" s="71">
        <v>2001</v>
      </c>
      <c r="G297" s="71">
        <v>350</v>
      </c>
      <c r="H297" s="71">
        <v>10000</v>
      </c>
      <c r="I297" s="71">
        <v>10104004</v>
      </c>
      <c r="J297" s="71">
        <v>180000</v>
      </c>
      <c r="K297" s="71">
        <f t="shared" si="43"/>
        <v>10101004</v>
      </c>
      <c r="L297" s="90" t="s">
        <v>737</v>
      </c>
      <c r="M297" s="91" t="s">
        <v>738</v>
      </c>
      <c r="N297" s="71" t="str">
        <f t="shared" si="45"/>
        <v>雷霆爪击</v>
      </c>
      <c r="O297" s="71"/>
      <c r="P297" s="71"/>
      <c r="Q297" s="71" t="s">
        <v>60</v>
      </c>
      <c r="R297" s="71">
        <v>0</v>
      </c>
      <c r="S297" s="74">
        <v>1014102</v>
      </c>
      <c r="T297" s="78">
        <v>700</v>
      </c>
      <c r="U297" s="78">
        <v>1014</v>
      </c>
      <c r="V297" s="78">
        <v>1700</v>
      </c>
      <c r="W297" s="71">
        <v>0</v>
      </c>
      <c r="X297" s="71">
        <v>0</v>
      </c>
      <c r="Y297" s="71">
        <v>0</v>
      </c>
      <c r="Z297" s="71">
        <v>0</v>
      </c>
    </row>
    <row r="298" ht="17.25" spans="1:26">
      <c r="A298" s="71">
        <v>10104005</v>
      </c>
      <c r="B298" s="71" t="s">
        <v>550</v>
      </c>
      <c r="C298" s="86" t="s">
        <v>739</v>
      </c>
      <c r="D298" s="71">
        <v>2</v>
      </c>
      <c r="E298" s="71">
        <f t="shared" si="44"/>
        <v>4</v>
      </c>
      <c r="F298" s="71">
        <v>2001</v>
      </c>
      <c r="G298" s="71">
        <v>350</v>
      </c>
      <c r="H298" s="71">
        <v>3330</v>
      </c>
      <c r="I298" s="71">
        <v>10104005</v>
      </c>
      <c r="J298" s="71">
        <v>180000</v>
      </c>
      <c r="K298" s="71">
        <f t="shared" si="43"/>
        <v>10101005</v>
      </c>
      <c r="L298" s="90" t="s">
        <v>740</v>
      </c>
      <c r="M298" s="91" t="s">
        <v>741</v>
      </c>
      <c r="N298" s="71" t="str">
        <f t="shared" si="45"/>
        <v>灵球猛击</v>
      </c>
      <c r="O298" s="71"/>
      <c r="P298" s="71"/>
      <c r="Q298" s="71" t="s">
        <v>60</v>
      </c>
      <c r="R298" s="71">
        <v>0</v>
      </c>
      <c r="S298" s="74">
        <v>1042002</v>
      </c>
      <c r="T298" s="78">
        <v>900</v>
      </c>
      <c r="U298" s="78">
        <v>1016</v>
      </c>
      <c r="V298" s="79">
        <v>1400</v>
      </c>
      <c r="W298" s="71">
        <v>0</v>
      </c>
      <c r="X298" s="71">
        <v>0</v>
      </c>
      <c r="Y298" s="71">
        <v>0</v>
      </c>
      <c r="Z298" s="71">
        <v>0</v>
      </c>
    </row>
    <row r="299" ht="17.25" spans="1:26">
      <c r="A299" s="71">
        <v>10104006</v>
      </c>
      <c r="B299" s="88" t="s">
        <v>594</v>
      </c>
      <c r="C299" s="86" t="s">
        <v>742</v>
      </c>
      <c r="D299" s="71">
        <v>2</v>
      </c>
      <c r="E299" s="71">
        <f t="shared" si="44"/>
        <v>4</v>
      </c>
      <c r="F299" s="71">
        <v>2001</v>
      </c>
      <c r="G299" s="71">
        <v>350</v>
      </c>
      <c r="H299" s="71">
        <v>1110</v>
      </c>
      <c r="I299" s="71">
        <v>10104006</v>
      </c>
      <c r="J299" s="71">
        <v>180000</v>
      </c>
      <c r="K299" s="71">
        <f t="shared" si="43"/>
        <v>10101006</v>
      </c>
      <c r="L299" s="90" t="s">
        <v>743</v>
      </c>
      <c r="M299" s="91" t="s">
        <v>744</v>
      </c>
      <c r="N299" s="71" t="str">
        <f t="shared" si="45"/>
        <v>火焰甩尾</v>
      </c>
      <c r="O299" s="71"/>
      <c r="P299" s="71"/>
      <c r="Q299" s="71" t="s">
        <v>60</v>
      </c>
      <c r="R299" s="71">
        <v>0</v>
      </c>
      <c r="S299" s="74">
        <v>1050002</v>
      </c>
      <c r="T299" s="81">
        <v>1000</v>
      </c>
      <c r="U299" s="81">
        <v>1012</v>
      </c>
      <c r="V299" s="81" t="s">
        <v>598</v>
      </c>
      <c r="W299" s="71">
        <v>0</v>
      </c>
      <c r="X299" s="71">
        <v>0</v>
      </c>
      <c r="Y299" s="71">
        <v>0</v>
      </c>
      <c r="Z299" s="71">
        <v>0</v>
      </c>
    </row>
    <row r="300" ht="17.25" spans="1:26">
      <c r="A300" s="71">
        <v>10204007</v>
      </c>
      <c r="B300" s="87" t="s">
        <v>745</v>
      </c>
      <c r="C300" s="86" t="s">
        <v>746</v>
      </c>
      <c r="D300" s="71">
        <v>2</v>
      </c>
      <c r="E300" s="71">
        <f t="shared" si="44"/>
        <v>4</v>
      </c>
      <c r="F300" s="71">
        <v>3001</v>
      </c>
      <c r="G300" s="71">
        <v>350</v>
      </c>
      <c r="H300" s="71">
        <v>0</v>
      </c>
      <c r="I300" s="71">
        <v>10204007</v>
      </c>
      <c r="J300" s="71">
        <v>100000</v>
      </c>
      <c r="K300" s="71">
        <f t="shared" si="43"/>
        <v>10201007</v>
      </c>
      <c r="L300" s="90" t="s">
        <v>747</v>
      </c>
      <c r="M300" s="91" t="s">
        <v>748</v>
      </c>
      <c r="N300" s="71" t="str">
        <f t="shared" si="45"/>
        <v>借点气势</v>
      </c>
      <c r="O300" s="71"/>
      <c r="P300" s="71"/>
      <c r="Q300" s="71" t="s">
        <v>60</v>
      </c>
      <c r="R300" s="71">
        <v>0</v>
      </c>
      <c r="S300" s="74">
        <v>0</v>
      </c>
      <c r="T300" s="78">
        <v>0</v>
      </c>
      <c r="U300" s="78">
        <v>0</v>
      </c>
      <c r="V300" s="78">
        <v>0</v>
      </c>
      <c r="W300" s="71">
        <v>0</v>
      </c>
      <c r="X300" s="71">
        <v>0</v>
      </c>
      <c r="Y300" s="71">
        <v>0</v>
      </c>
      <c r="Z300" s="71">
        <v>10201007</v>
      </c>
    </row>
    <row r="301" ht="17.25" spans="1:26">
      <c r="A301" s="71">
        <v>10204008</v>
      </c>
      <c r="B301" s="87" t="s">
        <v>749</v>
      </c>
      <c r="C301" s="86" t="s">
        <v>750</v>
      </c>
      <c r="D301" s="71">
        <v>2</v>
      </c>
      <c r="E301" s="71">
        <f t="shared" si="44"/>
        <v>4</v>
      </c>
      <c r="F301" s="71">
        <v>3001</v>
      </c>
      <c r="G301" s="71">
        <v>350</v>
      </c>
      <c r="H301" s="71">
        <v>0</v>
      </c>
      <c r="I301" s="71">
        <v>10204008</v>
      </c>
      <c r="J301" s="71">
        <v>100000</v>
      </c>
      <c r="K301" s="71">
        <f t="shared" si="43"/>
        <v>10201008</v>
      </c>
      <c r="L301" s="90" t="s">
        <v>751</v>
      </c>
      <c r="M301" s="91" t="s">
        <v>752</v>
      </c>
      <c r="N301" s="71" t="str">
        <f t="shared" si="45"/>
        <v>鼓腮加成</v>
      </c>
      <c r="O301" s="71"/>
      <c r="P301" s="71"/>
      <c r="Q301" s="71" t="s">
        <v>60</v>
      </c>
      <c r="R301" s="71">
        <v>0</v>
      </c>
      <c r="S301" s="74">
        <v>0</v>
      </c>
      <c r="T301" s="78">
        <v>0</v>
      </c>
      <c r="U301" s="78">
        <v>0</v>
      </c>
      <c r="V301" s="78">
        <v>0</v>
      </c>
      <c r="W301" s="71">
        <v>0</v>
      </c>
      <c r="X301" s="71">
        <v>0</v>
      </c>
      <c r="Y301" s="71">
        <v>0</v>
      </c>
      <c r="Z301" s="71">
        <v>10201007</v>
      </c>
    </row>
    <row r="302" ht="17.25" spans="1:26">
      <c r="A302" s="71">
        <v>10204009</v>
      </c>
      <c r="B302" s="87" t="s">
        <v>753</v>
      </c>
      <c r="C302" s="86" t="s">
        <v>754</v>
      </c>
      <c r="D302" s="71">
        <v>2</v>
      </c>
      <c r="E302" s="71">
        <f t="shared" si="44"/>
        <v>4</v>
      </c>
      <c r="F302" s="71">
        <v>3001</v>
      </c>
      <c r="G302" s="71">
        <v>350</v>
      </c>
      <c r="H302" s="71">
        <v>0</v>
      </c>
      <c r="I302" s="71">
        <v>10204009</v>
      </c>
      <c r="J302" s="71">
        <v>100000</v>
      </c>
      <c r="K302" s="71">
        <f t="shared" si="43"/>
        <v>10201009</v>
      </c>
      <c r="L302" s="90" t="s">
        <v>755</v>
      </c>
      <c r="M302" s="91" t="s">
        <v>756</v>
      </c>
      <c r="N302" s="71" t="str">
        <f t="shared" si="45"/>
        <v>元素渣涌</v>
      </c>
      <c r="O302" s="71"/>
      <c r="P302" s="71"/>
      <c r="Q302" s="71" t="s">
        <v>60</v>
      </c>
      <c r="R302" s="71">
        <v>0</v>
      </c>
      <c r="S302" s="74">
        <v>0</v>
      </c>
      <c r="T302" s="78">
        <v>0</v>
      </c>
      <c r="U302" s="78">
        <v>0</v>
      </c>
      <c r="V302" s="78">
        <v>0</v>
      </c>
      <c r="W302" s="71">
        <v>0</v>
      </c>
      <c r="X302" s="71">
        <v>0</v>
      </c>
      <c r="Y302" s="71">
        <v>0</v>
      </c>
      <c r="Z302" s="71">
        <v>10201007</v>
      </c>
    </row>
    <row r="303" ht="17.25" spans="1:26">
      <c r="A303" s="71">
        <v>10204010</v>
      </c>
      <c r="B303" s="87" t="s">
        <v>757</v>
      </c>
      <c r="C303" s="86" t="s">
        <v>758</v>
      </c>
      <c r="D303" s="71">
        <v>2</v>
      </c>
      <c r="E303" s="71">
        <f t="shared" si="44"/>
        <v>4</v>
      </c>
      <c r="F303" s="71">
        <v>3001</v>
      </c>
      <c r="G303" s="71">
        <v>350</v>
      </c>
      <c r="H303" s="71">
        <v>0</v>
      </c>
      <c r="I303" s="71">
        <v>10204010</v>
      </c>
      <c r="J303" s="71">
        <v>100000</v>
      </c>
      <c r="K303" s="71">
        <f t="shared" si="43"/>
        <v>10201010</v>
      </c>
      <c r="L303" s="90" t="s">
        <v>759</v>
      </c>
      <c r="M303" s="91" t="s">
        <v>760</v>
      </c>
      <c r="N303" s="71" t="str">
        <f t="shared" si="45"/>
        <v>暴击弱点</v>
      </c>
      <c r="O303" s="71"/>
      <c r="P303" s="71"/>
      <c r="Q303" s="71" t="s">
        <v>60</v>
      </c>
      <c r="R303" s="71">
        <v>0</v>
      </c>
      <c r="S303" s="74">
        <v>0</v>
      </c>
      <c r="T303" s="78">
        <v>0</v>
      </c>
      <c r="U303" s="78">
        <v>0</v>
      </c>
      <c r="V303" s="78">
        <v>0</v>
      </c>
      <c r="W303" s="71">
        <v>0</v>
      </c>
      <c r="X303" s="71">
        <v>0</v>
      </c>
      <c r="Y303" s="71">
        <v>0</v>
      </c>
      <c r="Z303" s="71">
        <v>10201007</v>
      </c>
    </row>
    <row r="304" ht="17.25" spans="1:26">
      <c r="A304" s="71">
        <v>10204011</v>
      </c>
      <c r="B304" s="87" t="s">
        <v>761</v>
      </c>
      <c r="C304" s="86" t="s">
        <v>762</v>
      </c>
      <c r="D304" s="71">
        <v>2</v>
      </c>
      <c r="E304" s="71">
        <f t="shared" si="44"/>
        <v>4</v>
      </c>
      <c r="F304" s="71">
        <v>3001</v>
      </c>
      <c r="G304" s="71">
        <v>350</v>
      </c>
      <c r="H304" s="71">
        <v>0</v>
      </c>
      <c r="I304" s="71">
        <v>10204011</v>
      </c>
      <c r="J304" s="71">
        <v>100000</v>
      </c>
      <c r="K304" s="71">
        <f t="shared" si="43"/>
        <v>10201011</v>
      </c>
      <c r="L304" s="90" t="s">
        <v>763</v>
      </c>
      <c r="M304" s="91" t="s">
        <v>764</v>
      </c>
      <c r="N304" s="71" t="str">
        <f t="shared" si="45"/>
        <v>暴击猛砸</v>
      </c>
      <c r="O304" s="71"/>
      <c r="P304" s="71"/>
      <c r="Q304" s="71" t="s">
        <v>60</v>
      </c>
      <c r="R304" s="71">
        <v>0</v>
      </c>
      <c r="S304" s="74">
        <v>0</v>
      </c>
      <c r="T304" s="78">
        <v>0</v>
      </c>
      <c r="U304" s="78">
        <v>0</v>
      </c>
      <c r="V304" s="78">
        <v>0</v>
      </c>
      <c r="W304" s="71">
        <v>0</v>
      </c>
      <c r="X304" s="71">
        <v>0</v>
      </c>
      <c r="Y304" s="71">
        <v>0</v>
      </c>
      <c r="Z304" s="71">
        <v>10201007</v>
      </c>
    </row>
    <row r="305" ht="17.25" spans="1:26">
      <c r="A305" s="71">
        <v>10304012</v>
      </c>
      <c r="B305" s="87" t="s">
        <v>765</v>
      </c>
      <c r="C305" s="86" t="s">
        <v>766</v>
      </c>
      <c r="D305" s="71">
        <v>2</v>
      </c>
      <c r="E305" s="71">
        <f t="shared" si="44"/>
        <v>4</v>
      </c>
      <c r="F305" s="71">
        <v>3001</v>
      </c>
      <c r="G305" s="71">
        <v>350</v>
      </c>
      <c r="H305" s="71">
        <v>0</v>
      </c>
      <c r="I305" s="71">
        <v>10304012</v>
      </c>
      <c r="J305" s="71">
        <v>100000</v>
      </c>
      <c r="K305" s="71">
        <f t="shared" si="43"/>
        <v>10301012</v>
      </c>
      <c r="L305" s="90" t="s">
        <v>767</v>
      </c>
      <c r="M305" s="91" t="s">
        <v>768</v>
      </c>
      <c r="N305" s="71" t="str">
        <f t="shared" si="45"/>
        <v>魔法疗愈</v>
      </c>
      <c r="O305" s="71"/>
      <c r="P305" s="71"/>
      <c r="Q305" s="71" t="s">
        <v>60</v>
      </c>
      <c r="R305" s="71">
        <v>0</v>
      </c>
      <c r="S305" s="74">
        <v>0</v>
      </c>
      <c r="T305" s="78">
        <v>0</v>
      </c>
      <c r="U305" s="78">
        <v>0</v>
      </c>
      <c r="V305" s="78">
        <v>0</v>
      </c>
      <c r="W305" s="71">
        <v>0</v>
      </c>
      <c r="X305" s="71">
        <v>0</v>
      </c>
      <c r="Y305" s="71">
        <v>0</v>
      </c>
      <c r="Z305" s="71">
        <v>10201007</v>
      </c>
    </row>
    <row r="306" ht="17.25" spans="1:26">
      <c r="A306" s="71">
        <v>10304013</v>
      </c>
      <c r="B306" s="87" t="s">
        <v>769</v>
      </c>
      <c r="C306" s="86" t="s">
        <v>770</v>
      </c>
      <c r="D306" s="71">
        <v>2</v>
      </c>
      <c r="E306" s="71">
        <f t="shared" si="44"/>
        <v>4</v>
      </c>
      <c r="F306" s="71">
        <v>3001</v>
      </c>
      <c r="G306" s="71">
        <v>350</v>
      </c>
      <c r="H306" s="71">
        <v>0</v>
      </c>
      <c r="I306" s="71">
        <v>10304013</v>
      </c>
      <c r="J306" s="71">
        <v>100000</v>
      </c>
      <c r="K306" s="71">
        <f t="shared" si="43"/>
        <v>10301013</v>
      </c>
      <c r="L306" s="90" t="s">
        <v>771</v>
      </c>
      <c r="M306" s="91" t="s">
        <v>772</v>
      </c>
      <c r="N306" s="71" t="str">
        <f t="shared" si="45"/>
        <v>回春疗愈</v>
      </c>
      <c r="O306" s="71"/>
      <c r="P306" s="71"/>
      <c r="Q306" s="71" t="s">
        <v>60</v>
      </c>
      <c r="R306" s="71">
        <v>0</v>
      </c>
      <c r="S306" s="74">
        <v>0</v>
      </c>
      <c r="T306" s="78">
        <v>0</v>
      </c>
      <c r="U306" s="78">
        <v>0</v>
      </c>
      <c r="V306" s="78">
        <v>0</v>
      </c>
      <c r="W306" s="71">
        <v>0</v>
      </c>
      <c r="X306" s="71">
        <v>0</v>
      </c>
      <c r="Y306" s="71">
        <v>0</v>
      </c>
      <c r="Z306" s="71">
        <v>10201007</v>
      </c>
    </row>
    <row r="307" ht="17.25" spans="1:26">
      <c r="A307" s="71">
        <v>10304014</v>
      </c>
      <c r="B307" s="87" t="s">
        <v>773</v>
      </c>
      <c r="C307" s="86" t="s">
        <v>774</v>
      </c>
      <c r="D307" s="71">
        <v>2</v>
      </c>
      <c r="E307" s="71">
        <f t="shared" si="44"/>
        <v>4</v>
      </c>
      <c r="F307" s="71">
        <v>3001</v>
      </c>
      <c r="G307" s="71">
        <v>350</v>
      </c>
      <c r="H307" s="71">
        <v>0</v>
      </c>
      <c r="I307" s="71">
        <v>10304014</v>
      </c>
      <c r="J307" s="71">
        <v>100000</v>
      </c>
      <c r="K307" s="71">
        <f t="shared" si="43"/>
        <v>10301014</v>
      </c>
      <c r="L307" s="90" t="s">
        <v>775</v>
      </c>
      <c r="M307" s="91" t="s">
        <v>776</v>
      </c>
      <c r="N307" s="71" t="str">
        <f t="shared" si="45"/>
        <v>糊层护盾</v>
      </c>
      <c r="O307" s="71"/>
      <c r="P307" s="71"/>
      <c r="Q307" s="71" t="s">
        <v>60</v>
      </c>
      <c r="R307" s="71">
        <v>0</v>
      </c>
      <c r="S307" s="74">
        <v>0</v>
      </c>
      <c r="T307" s="78">
        <v>0</v>
      </c>
      <c r="U307" s="78">
        <v>0</v>
      </c>
      <c r="V307" s="78">
        <v>0</v>
      </c>
      <c r="W307" s="71">
        <v>0</v>
      </c>
      <c r="X307" s="71">
        <v>0</v>
      </c>
      <c r="Y307" s="71">
        <v>0</v>
      </c>
      <c r="Z307" s="71">
        <v>10201007</v>
      </c>
    </row>
    <row r="308" ht="17.25" spans="1:26">
      <c r="A308" s="71">
        <v>10304015</v>
      </c>
      <c r="B308" s="87" t="s">
        <v>777</v>
      </c>
      <c r="C308" s="86" t="s">
        <v>778</v>
      </c>
      <c r="D308" s="71">
        <v>2</v>
      </c>
      <c r="E308" s="71">
        <f t="shared" si="44"/>
        <v>4</v>
      </c>
      <c r="F308" s="71">
        <v>3001</v>
      </c>
      <c r="G308" s="71">
        <v>350</v>
      </c>
      <c r="H308" s="71">
        <v>0</v>
      </c>
      <c r="I308" s="71">
        <v>10304015</v>
      </c>
      <c r="J308" s="71">
        <v>100000</v>
      </c>
      <c r="K308" s="71">
        <f t="shared" si="43"/>
        <v>10301015</v>
      </c>
      <c r="L308" s="90" t="s">
        <v>779</v>
      </c>
      <c r="M308" s="91" t="s">
        <v>780</v>
      </c>
      <c r="N308" s="71" t="str">
        <f t="shared" si="45"/>
        <v>偷点血量</v>
      </c>
      <c r="O308" s="71"/>
      <c r="P308" s="71"/>
      <c r="Q308" s="71" t="s">
        <v>60</v>
      </c>
      <c r="R308" s="71">
        <v>0</v>
      </c>
      <c r="S308" s="74">
        <v>0</v>
      </c>
      <c r="T308" s="78">
        <v>0</v>
      </c>
      <c r="U308" s="78">
        <v>0</v>
      </c>
      <c r="V308" s="78">
        <v>0</v>
      </c>
      <c r="W308" s="71">
        <v>0</v>
      </c>
      <c r="X308" s="71">
        <v>0</v>
      </c>
      <c r="Y308" s="71">
        <v>0</v>
      </c>
      <c r="Z308" s="71">
        <v>10201007</v>
      </c>
    </row>
    <row r="309" ht="17.25" spans="1:26">
      <c r="A309" s="71">
        <v>10304016</v>
      </c>
      <c r="B309" s="87" t="s">
        <v>781</v>
      </c>
      <c r="C309" s="86" t="s">
        <v>782</v>
      </c>
      <c r="D309" s="71">
        <v>2</v>
      </c>
      <c r="E309" s="71">
        <f t="shared" si="44"/>
        <v>4</v>
      </c>
      <c r="F309" s="71">
        <v>3001</v>
      </c>
      <c r="G309" s="71">
        <v>350</v>
      </c>
      <c r="H309" s="71">
        <v>0</v>
      </c>
      <c r="I309" s="71">
        <v>10304016</v>
      </c>
      <c r="J309" s="71">
        <v>100000</v>
      </c>
      <c r="K309" s="71">
        <f t="shared" si="43"/>
        <v>10301016</v>
      </c>
      <c r="L309" s="90" t="s">
        <v>783</v>
      </c>
      <c r="M309" s="91" t="s">
        <v>784</v>
      </c>
      <c r="N309" s="71" t="str">
        <f t="shared" si="45"/>
        <v>挨揍回血</v>
      </c>
      <c r="O309" s="71"/>
      <c r="P309" s="71"/>
      <c r="Q309" s="71" t="s">
        <v>60</v>
      </c>
      <c r="R309" s="71">
        <v>0</v>
      </c>
      <c r="S309" s="74">
        <v>0</v>
      </c>
      <c r="T309" s="78">
        <v>0</v>
      </c>
      <c r="U309" s="78">
        <v>0</v>
      </c>
      <c r="V309" s="78">
        <v>0</v>
      </c>
      <c r="W309" s="71">
        <v>0</v>
      </c>
      <c r="X309" s="71">
        <v>0</v>
      </c>
      <c r="Y309" s="71">
        <v>0</v>
      </c>
      <c r="Z309" s="71">
        <v>10201007</v>
      </c>
    </row>
    <row r="310" ht="17.25" spans="1:26">
      <c r="A310" s="71">
        <v>10404017</v>
      </c>
      <c r="B310" s="87" t="s">
        <v>785</v>
      </c>
      <c r="C310" s="86" t="s">
        <v>786</v>
      </c>
      <c r="D310" s="71">
        <v>2</v>
      </c>
      <c r="E310" s="71">
        <f t="shared" si="44"/>
        <v>4</v>
      </c>
      <c r="F310" s="71">
        <v>3001</v>
      </c>
      <c r="G310" s="71">
        <v>350</v>
      </c>
      <c r="H310" s="71">
        <v>0</v>
      </c>
      <c r="I310" s="71">
        <v>10404017</v>
      </c>
      <c r="J310" s="71">
        <v>100000</v>
      </c>
      <c r="K310" s="71">
        <f t="shared" si="43"/>
        <v>10401017</v>
      </c>
      <c r="L310" s="90" t="s">
        <v>787</v>
      </c>
      <c r="M310" s="91" t="s">
        <v>788</v>
      </c>
      <c r="N310" s="71" t="str">
        <f t="shared" si="45"/>
        <v>硬壳加持</v>
      </c>
      <c r="O310" s="71"/>
      <c r="P310" s="71"/>
      <c r="Q310" s="71" t="s">
        <v>60</v>
      </c>
      <c r="R310" s="71">
        <v>0</v>
      </c>
      <c r="S310" s="74">
        <v>0</v>
      </c>
      <c r="T310" s="78">
        <v>0</v>
      </c>
      <c r="U310" s="78">
        <v>0</v>
      </c>
      <c r="V310" s="78">
        <v>0</v>
      </c>
      <c r="W310" s="71">
        <v>0</v>
      </c>
      <c r="X310" s="71">
        <v>0</v>
      </c>
      <c r="Y310" s="71">
        <v>0</v>
      </c>
      <c r="Z310" s="71">
        <v>10201007</v>
      </c>
    </row>
    <row r="311" ht="17.25" spans="1:26">
      <c r="A311" s="71">
        <v>10404018</v>
      </c>
      <c r="B311" s="87" t="s">
        <v>789</v>
      </c>
      <c r="C311" s="86" t="s">
        <v>790</v>
      </c>
      <c r="D311" s="71">
        <v>2</v>
      </c>
      <c r="E311" s="71">
        <f t="shared" si="44"/>
        <v>4</v>
      </c>
      <c r="F311" s="71">
        <v>3001</v>
      </c>
      <c r="G311" s="71">
        <v>350</v>
      </c>
      <c r="H311" s="71">
        <v>0</v>
      </c>
      <c r="I311" s="71">
        <v>10404018</v>
      </c>
      <c r="J311" s="71">
        <v>100000</v>
      </c>
      <c r="K311" s="71">
        <f t="shared" si="43"/>
        <v>10401018</v>
      </c>
      <c r="L311" s="90" t="s">
        <v>791</v>
      </c>
      <c r="M311" s="91" t="s">
        <v>792</v>
      </c>
      <c r="N311" s="71" t="str">
        <f t="shared" si="45"/>
        <v>小盾挡挡</v>
      </c>
      <c r="O311" s="71"/>
      <c r="P311" s="71"/>
      <c r="Q311" s="71" t="s">
        <v>60</v>
      </c>
      <c r="R311" s="71">
        <v>0</v>
      </c>
      <c r="S311" s="74">
        <v>0</v>
      </c>
      <c r="T311" s="78">
        <v>0</v>
      </c>
      <c r="U311" s="78">
        <v>0</v>
      </c>
      <c r="V311" s="78">
        <v>0</v>
      </c>
      <c r="W311" s="71">
        <v>0</v>
      </c>
      <c r="X311" s="71">
        <v>0</v>
      </c>
      <c r="Y311" s="71">
        <v>0</v>
      </c>
      <c r="Z311" s="71">
        <v>10201007</v>
      </c>
    </row>
    <row r="312" ht="17.25" spans="1:26">
      <c r="A312" s="71">
        <v>10404019</v>
      </c>
      <c r="B312" s="87" t="s">
        <v>793</v>
      </c>
      <c r="C312" s="86" t="s">
        <v>794</v>
      </c>
      <c r="D312" s="71">
        <v>2</v>
      </c>
      <c r="E312" s="71">
        <f t="shared" si="44"/>
        <v>4</v>
      </c>
      <c r="F312" s="71">
        <v>3001</v>
      </c>
      <c r="G312" s="71">
        <v>350</v>
      </c>
      <c r="H312" s="71">
        <v>0</v>
      </c>
      <c r="I312" s="71">
        <v>10404019</v>
      </c>
      <c r="J312" s="71">
        <v>100000</v>
      </c>
      <c r="K312" s="71">
        <f t="shared" si="43"/>
        <v>10401019</v>
      </c>
      <c r="L312" s="90" t="s">
        <v>795</v>
      </c>
      <c r="M312" s="91" t="s">
        <v>796</v>
      </c>
      <c r="N312" s="71" t="str">
        <f t="shared" si="45"/>
        <v>厚皮加持</v>
      </c>
      <c r="O312" s="71"/>
      <c r="P312" s="71"/>
      <c r="Q312" s="71" t="s">
        <v>60</v>
      </c>
      <c r="R312" s="71">
        <v>0</v>
      </c>
      <c r="S312" s="74">
        <v>0</v>
      </c>
      <c r="T312" s="78">
        <v>0</v>
      </c>
      <c r="U312" s="78">
        <v>0</v>
      </c>
      <c r="V312" s="78">
        <v>0</v>
      </c>
      <c r="W312" s="71">
        <v>0</v>
      </c>
      <c r="X312" s="71">
        <v>0</v>
      </c>
      <c r="Y312" s="71">
        <v>0</v>
      </c>
      <c r="Z312" s="71">
        <v>10201007</v>
      </c>
    </row>
    <row r="313" ht="17.25" spans="1:26">
      <c r="A313" s="71">
        <v>10404020</v>
      </c>
      <c r="B313" s="87" t="s">
        <v>797</v>
      </c>
      <c r="C313" s="86" t="s">
        <v>798</v>
      </c>
      <c r="D313" s="71">
        <v>2</v>
      </c>
      <c r="E313" s="71">
        <f t="shared" si="44"/>
        <v>4</v>
      </c>
      <c r="F313" s="71">
        <v>3001</v>
      </c>
      <c r="G313" s="71">
        <v>350</v>
      </c>
      <c r="H313" s="71">
        <v>0</v>
      </c>
      <c r="I313" s="71">
        <v>10404020</v>
      </c>
      <c r="J313" s="71">
        <v>100000</v>
      </c>
      <c r="K313" s="71">
        <f t="shared" si="43"/>
        <v>10401020</v>
      </c>
      <c r="L313" s="90" t="s">
        <v>799</v>
      </c>
      <c r="M313" s="91" t="s">
        <v>800</v>
      </c>
      <c r="N313" s="71" t="str">
        <f t="shared" si="45"/>
        <v>溜得飞快</v>
      </c>
      <c r="O313" s="71"/>
      <c r="P313" s="71"/>
      <c r="Q313" s="71" t="s">
        <v>60</v>
      </c>
      <c r="R313" s="71">
        <v>0</v>
      </c>
      <c r="S313" s="74">
        <v>0</v>
      </c>
      <c r="T313" s="78">
        <v>0</v>
      </c>
      <c r="U313" s="78">
        <v>0</v>
      </c>
      <c r="V313" s="78">
        <v>0</v>
      </c>
      <c r="W313" s="71">
        <v>0</v>
      </c>
      <c r="X313" s="71">
        <v>0</v>
      </c>
      <c r="Y313" s="71">
        <v>0</v>
      </c>
      <c r="Z313" s="71">
        <v>10201007</v>
      </c>
    </row>
    <row r="314" ht="17.25" spans="1:26">
      <c r="A314" s="71">
        <v>10404021</v>
      </c>
      <c r="B314" s="87" t="s">
        <v>801</v>
      </c>
      <c r="C314" s="86" t="s">
        <v>802</v>
      </c>
      <c r="D314" s="71">
        <v>2</v>
      </c>
      <c r="E314" s="71">
        <f t="shared" si="44"/>
        <v>4</v>
      </c>
      <c r="F314" s="71">
        <v>3001</v>
      </c>
      <c r="G314" s="71">
        <v>350</v>
      </c>
      <c r="H314" s="71">
        <v>0</v>
      </c>
      <c r="I314" s="71">
        <v>10404021</v>
      </c>
      <c r="J314" s="71">
        <v>100000</v>
      </c>
      <c r="K314" s="71">
        <f t="shared" si="43"/>
        <v>10401021</v>
      </c>
      <c r="L314" s="90" t="s">
        <v>803</v>
      </c>
      <c r="M314" s="91" t="s">
        <v>804</v>
      </c>
      <c r="N314" s="71" t="str">
        <f t="shared" si="45"/>
        <v>乱挥格挡</v>
      </c>
      <c r="O314" s="71"/>
      <c r="P314" s="71"/>
      <c r="Q314" s="71" t="s">
        <v>60</v>
      </c>
      <c r="R314" s="71">
        <v>0</v>
      </c>
      <c r="S314" s="74">
        <v>0</v>
      </c>
      <c r="T314" s="78">
        <v>0</v>
      </c>
      <c r="U314" s="78">
        <v>0</v>
      </c>
      <c r="V314" s="78">
        <v>0</v>
      </c>
      <c r="W314" s="71">
        <v>0</v>
      </c>
      <c r="X314" s="71">
        <v>0</v>
      </c>
      <c r="Y314" s="71">
        <v>0</v>
      </c>
      <c r="Z314" s="71">
        <v>10201007</v>
      </c>
    </row>
    <row r="315" ht="17.25" spans="1:26">
      <c r="A315" s="71">
        <v>10105001</v>
      </c>
      <c r="B315" s="87" t="s">
        <v>455</v>
      </c>
      <c r="C315" s="86" t="s">
        <v>727</v>
      </c>
      <c r="D315" s="71">
        <v>2</v>
      </c>
      <c r="E315" s="71">
        <f t="shared" si="44"/>
        <v>5</v>
      </c>
      <c r="F315" s="71">
        <v>2010</v>
      </c>
      <c r="G315" s="71">
        <v>350</v>
      </c>
      <c r="H315" s="71">
        <v>10000</v>
      </c>
      <c r="I315" s="71">
        <v>0</v>
      </c>
      <c r="J315" s="71">
        <v>180000</v>
      </c>
      <c r="K315" s="71">
        <f t="shared" si="43"/>
        <v>10101001</v>
      </c>
      <c r="L315" s="90" t="s">
        <v>728</v>
      </c>
      <c r="M315" s="91" t="s">
        <v>729</v>
      </c>
      <c r="N315" s="71" t="str">
        <f t="shared" si="45"/>
        <v>小鬼出击</v>
      </c>
      <c r="O315" s="71"/>
      <c r="P315" s="71"/>
      <c r="Q315" s="71" t="s">
        <v>60</v>
      </c>
      <c r="R315" s="71">
        <v>0</v>
      </c>
      <c r="S315" s="74">
        <v>1032002</v>
      </c>
      <c r="T315" s="78">
        <v>400</v>
      </c>
      <c r="U315" s="78">
        <v>1014</v>
      </c>
      <c r="V315" s="79" t="s">
        <v>459</v>
      </c>
      <c r="W315" s="71">
        <v>0</v>
      </c>
      <c r="X315" s="71">
        <v>0</v>
      </c>
      <c r="Y315" s="71">
        <v>0</v>
      </c>
      <c r="Z315" s="71">
        <v>0</v>
      </c>
    </row>
    <row r="316" ht="17.25" spans="1:26">
      <c r="A316" s="71">
        <v>10105002</v>
      </c>
      <c r="B316" s="87" t="s">
        <v>535</v>
      </c>
      <c r="C316" s="86" t="s">
        <v>730</v>
      </c>
      <c r="D316" s="71">
        <v>2</v>
      </c>
      <c r="E316" s="71">
        <f t="shared" si="44"/>
        <v>5</v>
      </c>
      <c r="F316" s="71">
        <v>2010</v>
      </c>
      <c r="G316" s="71">
        <v>350</v>
      </c>
      <c r="H316" s="71">
        <v>1430</v>
      </c>
      <c r="I316" s="71">
        <v>10105002</v>
      </c>
      <c r="J316" s="71">
        <v>180000</v>
      </c>
      <c r="K316" s="71">
        <f t="shared" si="43"/>
        <v>10101002</v>
      </c>
      <c r="L316" s="90" t="s">
        <v>731</v>
      </c>
      <c r="M316" s="91" t="s">
        <v>732</v>
      </c>
      <c r="N316" s="71" t="str">
        <f t="shared" si="45"/>
        <v>紫色雷霆</v>
      </c>
      <c r="O316" s="71"/>
      <c r="P316" s="71"/>
      <c r="Q316" s="71" t="s">
        <v>60</v>
      </c>
      <c r="R316" s="71">
        <v>0</v>
      </c>
      <c r="S316" s="74">
        <v>1039202</v>
      </c>
      <c r="T316" s="78">
        <v>600</v>
      </c>
      <c r="U316" s="78">
        <v>1011</v>
      </c>
      <c r="V316" s="78" t="s">
        <v>527</v>
      </c>
      <c r="W316" s="71">
        <v>0</v>
      </c>
      <c r="X316" s="71">
        <v>0</v>
      </c>
      <c r="Y316" s="71">
        <v>0</v>
      </c>
      <c r="Z316" s="71">
        <v>0</v>
      </c>
    </row>
    <row r="317" ht="17.25" spans="1:26">
      <c r="A317" s="71">
        <v>10105003</v>
      </c>
      <c r="B317" s="87" t="s">
        <v>296</v>
      </c>
      <c r="C317" s="86" t="s">
        <v>733</v>
      </c>
      <c r="D317" s="71">
        <v>2</v>
      </c>
      <c r="E317" s="71">
        <f t="shared" si="44"/>
        <v>5</v>
      </c>
      <c r="F317" s="71">
        <v>2010</v>
      </c>
      <c r="G317" s="71">
        <v>350</v>
      </c>
      <c r="H317" s="71">
        <v>2500</v>
      </c>
      <c r="I317" s="71">
        <v>10105003</v>
      </c>
      <c r="J317" s="71">
        <v>70000</v>
      </c>
      <c r="K317" s="71">
        <f t="shared" ref="K317:K348" si="46">K296</f>
        <v>10101003</v>
      </c>
      <c r="L317" s="90" t="s">
        <v>734</v>
      </c>
      <c r="M317" s="91" t="s">
        <v>735</v>
      </c>
      <c r="N317" s="71" t="str">
        <f t="shared" si="45"/>
        <v>噬影分身</v>
      </c>
      <c r="O317" s="71"/>
      <c r="P317" s="71"/>
      <c r="Q317" s="71" t="s">
        <v>60</v>
      </c>
      <c r="R317" s="71">
        <v>0</v>
      </c>
      <c r="S317" s="81">
        <v>1012002</v>
      </c>
      <c r="T317" s="78">
        <v>700</v>
      </c>
      <c r="U317" s="78">
        <v>1013</v>
      </c>
      <c r="V317" s="79" t="s">
        <v>300</v>
      </c>
      <c r="W317" s="71">
        <v>0</v>
      </c>
      <c r="X317" s="71">
        <v>0</v>
      </c>
      <c r="Y317" s="71">
        <v>0</v>
      </c>
      <c r="Z317" s="71">
        <v>5004001</v>
      </c>
    </row>
    <row r="318" ht="17.25" spans="1:26">
      <c r="A318" s="71">
        <v>10105004</v>
      </c>
      <c r="B318" s="71" t="s">
        <v>326</v>
      </c>
      <c r="C318" s="86" t="s">
        <v>736</v>
      </c>
      <c r="D318" s="71">
        <v>2</v>
      </c>
      <c r="E318" s="71">
        <f t="shared" si="44"/>
        <v>5</v>
      </c>
      <c r="F318" s="71">
        <v>2001</v>
      </c>
      <c r="G318" s="71">
        <v>350</v>
      </c>
      <c r="H318" s="71">
        <v>10000</v>
      </c>
      <c r="I318" s="71">
        <v>10105004</v>
      </c>
      <c r="J318" s="71">
        <v>180000</v>
      </c>
      <c r="K318" s="71">
        <f t="shared" si="46"/>
        <v>10101004</v>
      </c>
      <c r="L318" s="90" t="s">
        <v>737</v>
      </c>
      <c r="M318" s="91" t="s">
        <v>738</v>
      </c>
      <c r="N318" s="71" t="str">
        <f t="shared" si="45"/>
        <v>雷霆爪击</v>
      </c>
      <c r="O318" s="71"/>
      <c r="P318" s="71"/>
      <c r="Q318" s="71" t="s">
        <v>60</v>
      </c>
      <c r="R318" s="71">
        <v>0</v>
      </c>
      <c r="S318" s="74">
        <v>1014102</v>
      </c>
      <c r="T318" s="78">
        <v>700</v>
      </c>
      <c r="U318" s="78">
        <v>1014</v>
      </c>
      <c r="V318" s="78">
        <v>1700</v>
      </c>
      <c r="W318" s="71">
        <v>0</v>
      </c>
      <c r="X318" s="71">
        <v>0</v>
      </c>
      <c r="Y318" s="71">
        <v>0</v>
      </c>
      <c r="Z318" s="71">
        <v>0</v>
      </c>
    </row>
    <row r="319" ht="17.25" spans="1:26">
      <c r="A319" s="71">
        <v>10105005</v>
      </c>
      <c r="B319" s="71" t="s">
        <v>550</v>
      </c>
      <c r="C319" s="86" t="s">
        <v>739</v>
      </c>
      <c r="D319" s="71">
        <v>2</v>
      </c>
      <c r="E319" s="71">
        <f t="shared" si="44"/>
        <v>5</v>
      </c>
      <c r="F319" s="71">
        <v>2001</v>
      </c>
      <c r="G319" s="71">
        <v>350</v>
      </c>
      <c r="H319" s="71">
        <v>3330</v>
      </c>
      <c r="I319" s="71">
        <v>10105005</v>
      </c>
      <c r="J319" s="71">
        <v>180000</v>
      </c>
      <c r="K319" s="71">
        <f t="shared" si="46"/>
        <v>10101005</v>
      </c>
      <c r="L319" s="90" t="s">
        <v>740</v>
      </c>
      <c r="M319" s="91" t="s">
        <v>741</v>
      </c>
      <c r="N319" s="71" t="str">
        <f t="shared" si="45"/>
        <v>灵球猛击</v>
      </c>
      <c r="O319" s="71"/>
      <c r="P319" s="71"/>
      <c r="Q319" s="71" t="s">
        <v>60</v>
      </c>
      <c r="R319" s="71">
        <v>0</v>
      </c>
      <c r="S319" s="74">
        <v>1042002</v>
      </c>
      <c r="T319" s="78">
        <v>900</v>
      </c>
      <c r="U319" s="78">
        <v>1016</v>
      </c>
      <c r="V319" s="79">
        <v>1400</v>
      </c>
      <c r="W319" s="71">
        <v>0</v>
      </c>
      <c r="X319" s="71">
        <v>0</v>
      </c>
      <c r="Y319" s="71">
        <v>0</v>
      </c>
      <c r="Z319" s="71">
        <v>0</v>
      </c>
    </row>
    <row r="320" ht="17.25" spans="1:26">
      <c r="A320" s="71">
        <v>10105006</v>
      </c>
      <c r="B320" s="88" t="s">
        <v>594</v>
      </c>
      <c r="C320" s="86" t="s">
        <v>742</v>
      </c>
      <c r="D320" s="71">
        <v>2</v>
      </c>
      <c r="E320" s="71">
        <f t="shared" si="44"/>
        <v>5</v>
      </c>
      <c r="F320" s="71">
        <v>2001</v>
      </c>
      <c r="G320" s="71">
        <v>350</v>
      </c>
      <c r="H320" s="71">
        <v>1110</v>
      </c>
      <c r="I320" s="71">
        <v>10105006</v>
      </c>
      <c r="J320" s="71">
        <v>180000</v>
      </c>
      <c r="K320" s="71">
        <f t="shared" si="46"/>
        <v>10101006</v>
      </c>
      <c r="L320" s="90" t="s">
        <v>743</v>
      </c>
      <c r="M320" s="91" t="s">
        <v>744</v>
      </c>
      <c r="N320" s="71" t="str">
        <f t="shared" si="45"/>
        <v>火焰甩尾</v>
      </c>
      <c r="O320" s="71"/>
      <c r="P320" s="71"/>
      <c r="Q320" s="71" t="s">
        <v>60</v>
      </c>
      <c r="R320" s="71">
        <v>0</v>
      </c>
      <c r="S320" s="74">
        <v>1050002</v>
      </c>
      <c r="T320" s="81">
        <v>1000</v>
      </c>
      <c r="U320" s="81">
        <v>1012</v>
      </c>
      <c r="V320" s="81" t="s">
        <v>598</v>
      </c>
      <c r="W320" s="71">
        <v>0</v>
      </c>
      <c r="X320" s="71">
        <v>0</v>
      </c>
      <c r="Y320" s="71">
        <v>0</v>
      </c>
      <c r="Z320" s="71">
        <v>0</v>
      </c>
    </row>
    <row r="321" ht="17.25" spans="1:26">
      <c r="A321" s="71">
        <v>10205007</v>
      </c>
      <c r="B321" s="87" t="s">
        <v>745</v>
      </c>
      <c r="C321" s="86" t="s">
        <v>746</v>
      </c>
      <c r="D321" s="71">
        <v>2</v>
      </c>
      <c r="E321" s="71">
        <f t="shared" si="44"/>
        <v>5</v>
      </c>
      <c r="F321" s="71">
        <v>3001</v>
      </c>
      <c r="G321" s="71">
        <v>350</v>
      </c>
      <c r="H321" s="71">
        <v>0</v>
      </c>
      <c r="I321" s="71">
        <v>10205007</v>
      </c>
      <c r="J321" s="71">
        <v>100000</v>
      </c>
      <c r="K321" s="71">
        <f t="shared" si="46"/>
        <v>10201007</v>
      </c>
      <c r="L321" s="90" t="s">
        <v>747</v>
      </c>
      <c r="M321" s="91" t="s">
        <v>748</v>
      </c>
      <c r="N321" s="71" t="str">
        <f t="shared" si="45"/>
        <v>借点气势</v>
      </c>
      <c r="O321" s="71"/>
      <c r="P321" s="71"/>
      <c r="Q321" s="71" t="s">
        <v>60</v>
      </c>
      <c r="R321" s="71">
        <v>0</v>
      </c>
      <c r="S321" s="74">
        <v>0</v>
      </c>
      <c r="T321" s="78">
        <v>0</v>
      </c>
      <c r="U321" s="78">
        <v>0</v>
      </c>
      <c r="V321" s="78">
        <v>0</v>
      </c>
      <c r="W321" s="71">
        <v>0</v>
      </c>
      <c r="X321" s="71">
        <v>0</v>
      </c>
      <c r="Y321" s="71">
        <v>0</v>
      </c>
      <c r="Z321" s="71">
        <v>10201007</v>
      </c>
    </row>
    <row r="322" ht="17.25" spans="1:26">
      <c r="A322" s="71">
        <v>10205008</v>
      </c>
      <c r="B322" s="87" t="s">
        <v>749</v>
      </c>
      <c r="C322" s="86" t="s">
        <v>750</v>
      </c>
      <c r="D322" s="71">
        <v>2</v>
      </c>
      <c r="E322" s="71">
        <f t="shared" si="44"/>
        <v>5</v>
      </c>
      <c r="F322" s="71">
        <v>3001</v>
      </c>
      <c r="G322" s="71">
        <v>350</v>
      </c>
      <c r="H322" s="71">
        <v>0</v>
      </c>
      <c r="I322" s="71">
        <v>10205008</v>
      </c>
      <c r="J322" s="71">
        <v>100000</v>
      </c>
      <c r="K322" s="71">
        <f t="shared" si="46"/>
        <v>10201008</v>
      </c>
      <c r="L322" s="90" t="s">
        <v>751</v>
      </c>
      <c r="M322" s="91" t="s">
        <v>752</v>
      </c>
      <c r="N322" s="71" t="str">
        <f t="shared" si="45"/>
        <v>鼓腮加成</v>
      </c>
      <c r="O322" s="71"/>
      <c r="P322" s="71"/>
      <c r="Q322" s="71" t="s">
        <v>60</v>
      </c>
      <c r="R322" s="71">
        <v>0</v>
      </c>
      <c r="S322" s="74">
        <v>0</v>
      </c>
      <c r="T322" s="78">
        <v>0</v>
      </c>
      <c r="U322" s="78">
        <v>0</v>
      </c>
      <c r="V322" s="78">
        <v>0</v>
      </c>
      <c r="W322" s="71">
        <v>0</v>
      </c>
      <c r="X322" s="71">
        <v>0</v>
      </c>
      <c r="Y322" s="71">
        <v>0</v>
      </c>
      <c r="Z322" s="71">
        <v>10201007</v>
      </c>
    </row>
    <row r="323" ht="17.25" spans="1:26">
      <c r="A323" s="71">
        <v>10205009</v>
      </c>
      <c r="B323" s="87" t="s">
        <v>753</v>
      </c>
      <c r="C323" s="86" t="s">
        <v>754</v>
      </c>
      <c r="D323" s="71">
        <v>2</v>
      </c>
      <c r="E323" s="71">
        <f t="shared" si="44"/>
        <v>5</v>
      </c>
      <c r="F323" s="71">
        <v>3001</v>
      </c>
      <c r="G323" s="71">
        <v>350</v>
      </c>
      <c r="H323" s="71">
        <v>0</v>
      </c>
      <c r="I323" s="71">
        <v>10205009</v>
      </c>
      <c r="J323" s="71">
        <v>100000</v>
      </c>
      <c r="K323" s="71">
        <f t="shared" si="46"/>
        <v>10201009</v>
      </c>
      <c r="L323" s="90" t="s">
        <v>755</v>
      </c>
      <c r="M323" s="91" t="s">
        <v>756</v>
      </c>
      <c r="N323" s="71" t="str">
        <f t="shared" si="45"/>
        <v>元素渣涌</v>
      </c>
      <c r="O323" s="71"/>
      <c r="P323" s="71"/>
      <c r="Q323" s="71" t="s">
        <v>60</v>
      </c>
      <c r="R323" s="71">
        <v>0</v>
      </c>
      <c r="S323" s="74">
        <v>0</v>
      </c>
      <c r="T323" s="78">
        <v>0</v>
      </c>
      <c r="U323" s="78">
        <v>0</v>
      </c>
      <c r="V323" s="78">
        <v>0</v>
      </c>
      <c r="W323" s="71">
        <v>0</v>
      </c>
      <c r="X323" s="71">
        <v>0</v>
      </c>
      <c r="Y323" s="71">
        <v>0</v>
      </c>
      <c r="Z323" s="71">
        <v>10201007</v>
      </c>
    </row>
    <row r="324" ht="17.25" spans="1:26">
      <c r="A324" s="71">
        <v>10205010</v>
      </c>
      <c r="B324" s="87" t="s">
        <v>757</v>
      </c>
      <c r="C324" s="86" t="s">
        <v>758</v>
      </c>
      <c r="D324" s="71">
        <v>2</v>
      </c>
      <c r="E324" s="71">
        <f t="shared" si="44"/>
        <v>5</v>
      </c>
      <c r="F324" s="71">
        <v>3001</v>
      </c>
      <c r="G324" s="71">
        <v>350</v>
      </c>
      <c r="H324" s="71">
        <v>0</v>
      </c>
      <c r="I324" s="71">
        <v>10205010</v>
      </c>
      <c r="J324" s="71">
        <v>100000</v>
      </c>
      <c r="K324" s="71">
        <f t="shared" si="46"/>
        <v>10201010</v>
      </c>
      <c r="L324" s="90" t="s">
        <v>759</v>
      </c>
      <c r="M324" s="91" t="s">
        <v>760</v>
      </c>
      <c r="N324" s="71" t="str">
        <f t="shared" si="45"/>
        <v>暴击弱点</v>
      </c>
      <c r="O324" s="71"/>
      <c r="P324" s="71"/>
      <c r="Q324" s="71" t="s">
        <v>60</v>
      </c>
      <c r="R324" s="71">
        <v>0</v>
      </c>
      <c r="S324" s="74">
        <v>0</v>
      </c>
      <c r="T324" s="78">
        <v>0</v>
      </c>
      <c r="U324" s="78">
        <v>0</v>
      </c>
      <c r="V324" s="78">
        <v>0</v>
      </c>
      <c r="W324" s="71">
        <v>0</v>
      </c>
      <c r="X324" s="71">
        <v>0</v>
      </c>
      <c r="Y324" s="71">
        <v>0</v>
      </c>
      <c r="Z324" s="71">
        <v>10201007</v>
      </c>
    </row>
    <row r="325" ht="17.25" spans="1:26">
      <c r="A325" s="71">
        <v>10205011</v>
      </c>
      <c r="B325" s="87" t="s">
        <v>761</v>
      </c>
      <c r="C325" s="86" t="s">
        <v>762</v>
      </c>
      <c r="D325" s="71">
        <v>2</v>
      </c>
      <c r="E325" s="71">
        <f t="shared" si="44"/>
        <v>5</v>
      </c>
      <c r="F325" s="71">
        <v>3001</v>
      </c>
      <c r="G325" s="71">
        <v>350</v>
      </c>
      <c r="H325" s="71">
        <v>0</v>
      </c>
      <c r="I325" s="71">
        <v>10205011</v>
      </c>
      <c r="J325" s="71">
        <v>100000</v>
      </c>
      <c r="K325" s="71">
        <f t="shared" si="46"/>
        <v>10201011</v>
      </c>
      <c r="L325" s="90" t="s">
        <v>763</v>
      </c>
      <c r="M325" s="91" t="s">
        <v>764</v>
      </c>
      <c r="N325" s="71" t="str">
        <f t="shared" si="45"/>
        <v>暴击猛砸</v>
      </c>
      <c r="O325" s="71"/>
      <c r="P325" s="71"/>
      <c r="Q325" s="71" t="s">
        <v>60</v>
      </c>
      <c r="R325" s="71">
        <v>0</v>
      </c>
      <c r="S325" s="74">
        <v>0</v>
      </c>
      <c r="T325" s="78">
        <v>0</v>
      </c>
      <c r="U325" s="78">
        <v>0</v>
      </c>
      <c r="V325" s="78">
        <v>0</v>
      </c>
      <c r="W325" s="71">
        <v>0</v>
      </c>
      <c r="X325" s="71">
        <v>0</v>
      </c>
      <c r="Y325" s="71">
        <v>0</v>
      </c>
      <c r="Z325" s="71">
        <v>10201007</v>
      </c>
    </row>
    <row r="326" ht="17.25" spans="1:26">
      <c r="A326" s="71">
        <v>10305012</v>
      </c>
      <c r="B326" s="87" t="s">
        <v>765</v>
      </c>
      <c r="C326" s="86" t="s">
        <v>766</v>
      </c>
      <c r="D326" s="71">
        <v>2</v>
      </c>
      <c r="E326" s="71">
        <f t="shared" si="44"/>
        <v>5</v>
      </c>
      <c r="F326" s="71">
        <v>3001</v>
      </c>
      <c r="G326" s="71">
        <v>350</v>
      </c>
      <c r="H326" s="71">
        <v>0</v>
      </c>
      <c r="I326" s="71">
        <v>10305012</v>
      </c>
      <c r="J326" s="71">
        <v>100000</v>
      </c>
      <c r="K326" s="71">
        <f t="shared" si="46"/>
        <v>10301012</v>
      </c>
      <c r="L326" s="90" t="s">
        <v>767</v>
      </c>
      <c r="M326" s="91" t="s">
        <v>768</v>
      </c>
      <c r="N326" s="71" t="str">
        <f t="shared" si="45"/>
        <v>魔法疗愈</v>
      </c>
      <c r="O326" s="71"/>
      <c r="P326" s="71"/>
      <c r="Q326" s="71" t="s">
        <v>60</v>
      </c>
      <c r="R326" s="71">
        <v>0</v>
      </c>
      <c r="S326" s="74">
        <v>0</v>
      </c>
      <c r="T326" s="78">
        <v>0</v>
      </c>
      <c r="U326" s="78">
        <v>0</v>
      </c>
      <c r="V326" s="78">
        <v>0</v>
      </c>
      <c r="W326" s="71">
        <v>0</v>
      </c>
      <c r="X326" s="71">
        <v>0</v>
      </c>
      <c r="Y326" s="71">
        <v>0</v>
      </c>
      <c r="Z326" s="71">
        <v>10201007</v>
      </c>
    </row>
    <row r="327" ht="17.25" spans="1:26">
      <c r="A327" s="71">
        <v>10305013</v>
      </c>
      <c r="B327" s="87" t="s">
        <v>769</v>
      </c>
      <c r="C327" s="86" t="s">
        <v>770</v>
      </c>
      <c r="D327" s="71">
        <v>2</v>
      </c>
      <c r="E327" s="71">
        <f t="shared" si="44"/>
        <v>5</v>
      </c>
      <c r="F327" s="71">
        <v>3001</v>
      </c>
      <c r="G327" s="71">
        <v>350</v>
      </c>
      <c r="H327" s="71">
        <v>0</v>
      </c>
      <c r="I327" s="71">
        <v>10305013</v>
      </c>
      <c r="J327" s="71">
        <v>100000</v>
      </c>
      <c r="K327" s="71">
        <f t="shared" si="46"/>
        <v>10301013</v>
      </c>
      <c r="L327" s="90" t="s">
        <v>771</v>
      </c>
      <c r="M327" s="91" t="s">
        <v>772</v>
      </c>
      <c r="N327" s="71" t="str">
        <f t="shared" si="45"/>
        <v>回春疗愈</v>
      </c>
      <c r="O327" s="71"/>
      <c r="P327" s="71"/>
      <c r="Q327" s="71" t="s">
        <v>60</v>
      </c>
      <c r="R327" s="71">
        <v>0</v>
      </c>
      <c r="S327" s="74">
        <v>0</v>
      </c>
      <c r="T327" s="78">
        <v>0</v>
      </c>
      <c r="U327" s="78">
        <v>0</v>
      </c>
      <c r="V327" s="78">
        <v>0</v>
      </c>
      <c r="W327" s="71">
        <v>0</v>
      </c>
      <c r="X327" s="71">
        <v>0</v>
      </c>
      <c r="Y327" s="71">
        <v>0</v>
      </c>
      <c r="Z327" s="71">
        <v>10201007</v>
      </c>
    </row>
    <row r="328" ht="17.25" spans="1:26">
      <c r="A328" s="71">
        <v>10305014</v>
      </c>
      <c r="B328" s="87" t="s">
        <v>773</v>
      </c>
      <c r="C328" s="86" t="s">
        <v>774</v>
      </c>
      <c r="D328" s="71">
        <v>2</v>
      </c>
      <c r="E328" s="71">
        <f t="shared" ref="E328:E344" si="47">E307+1</f>
        <v>5</v>
      </c>
      <c r="F328" s="71">
        <v>3001</v>
      </c>
      <c r="G328" s="71">
        <v>350</v>
      </c>
      <c r="H328" s="71">
        <v>0</v>
      </c>
      <c r="I328" s="71">
        <v>10305014</v>
      </c>
      <c r="J328" s="71">
        <v>100000</v>
      </c>
      <c r="K328" s="71">
        <f t="shared" si="46"/>
        <v>10301014</v>
      </c>
      <c r="L328" s="90" t="s">
        <v>775</v>
      </c>
      <c r="M328" s="91" t="s">
        <v>776</v>
      </c>
      <c r="N328" s="71" t="str">
        <f t="shared" ref="N328:N359" si="48">B328</f>
        <v>糊层护盾</v>
      </c>
      <c r="O328" s="71"/>
      <c r="P328" s="71"/>
      <c r="Q328" s="71" t="s">
        <v>60</v>
      </c>
      <c r="R328" s="71">
        <v>0</v>
      </c>
      <c r="S328" s="74">
        <v>0</v>
      </c>
      <c r="T328" s="78">
        <v>0</v>
      </c>
      <c r="U328" s="78">
        <v>0</v>
      </c>
      <c r="V328" s="78">
        <v>0</v>
      </c>
      <c r="W328" s="71">
        <v>0</v>
      </c>
      <c r="X328" s="71">
        <v>0</v>
      </c>
      <c r="Y328" s="71">
        <v>0</v>
      </c>
      <c r="Z328" s="71">
        <v>10201007</v>
      </c>
    </row>
    <row r="329" ht="17.25" spans="1:26">
      <c r="A329" s="71">
        <v>10305015</v>
      </c>
      <c r="B329" s="87" t="s">
        <v>777</v>
      </c>
      <c r="C329" s="86" t="s">
        <v>778</v>
      </c>
      <c r="D329" s="71">
        <v>2</v>
      </c>
      <c r="E329" s="71">
        <f t="shared" si="47"/>
        <v>5</v>
      </c>
      <c r="F329" s="71">
        <v>3001</v>
      </c>
      <c r="G329" s="71">
        <v>350</v>
      </c>
      <c r="H329" s="71">
        <v>0</v>
      </c>
      <c r="I329" s="71">
        <v>10305015</v>
      </c>
      <c r="J329" s="71">
        <v>100000</v>
      </c>
      <c r="K329" s="71">
        <f t="shared" si="46"/>
        <v>10301015</v>
      </c>
      <c r="L329" s="90" t="s">
        <v>779</v>
      </c>
      <c r="M329" s="91" t="s">
        <v>780</v>
      </c>
      <c r="N329" s="71" t="str">
        <f t="shared" si="48"/>
        <v>偷点血量</v>
      </c>
      <c r="O329" s="71"/>
      <c r="P329" s="71"/>
      <c r="Q329" s="71" t="s">
        <v>60</v>
      </c>
      <c r="R329" s="71">
        <v>0</v>
      </c>
      <c r="S329" s="74">
        <v>0</v>
      </c>
      <c r="T329" s="78">
        <v>0</v>
      </c>
      <c r="U329" s="78">
        <v>0</v>
      </c>
      <c r="V329" s="78">
        <v>0</v>
      </c>
      <c r="W329" s="71">
        <v>0</v>
      </c>
      <c r="X329" s="71">
        <v>0</v>
      </c>
      <c r="Y329" s="71">
        <v>0</v>
      </c>
      <c r="Z329" s="71">
        <v>10201007</v>
      </c>
    </row>
    <row r="330" ht="17.25" spans="1:26">
      <c r="A330" s="71">
        <v>10305016</v>
      </c>
      <c r="B330" s="87" t="s">
        <v>781</v>
      </c>
      <c r="C330" s="86" t="s">
        <v>782</v>
      </c>
      <c r="D330" s="71">
        <v>2</v>
      </c>
      <c r="E330" s="71">
        <f t="shared" si="47"/>
        <v>5</v>
      </c>
      <c r="F330" s="71">
        <v>3001</v>
      </c>
      <c r="G330" s="71">
        <v>350</v>
      </c>
      <c r="H330" s="71">
        <v>0</v>
      </c>
      <c r="I330" s="71">
        <v>10305016</v>
      </c>
      <c r="J330" s="71">
        <v>100000</v>
      </c>
      <c r="K330" s="71">
        <f t="shared" si="46"/>
        <v>10301016</v>
      </c>
      <c r="L330" s="90" t="s">
        <v>783</v>
      </c>
      <c r="M330" s="91" t="s">
        <v>784</v>
      </c>
      <c r="N330" s="71" t="str">
        <f t="shared" si="48"/>
        <v>挨揍回血</v>
      </c>
      <c r="O330" s="71"/>
      <c r="P330" s="71"/>
      <c r="Q330" s="71" t="s">
        <v>60</v>
      </c>
      <c r="R330" s="71">
        <v>0</v>
      </c>
      <c r="S330" s="74">
        <v>0</v>
      </c>
      <c r="T330" s="78">
        <v>0</v>
      </c>
      <c r="U330" s="78">
        <v>0</v>
      </c>
      <c r="V330" s="78">
        <v>0</v>
      </c>
      <c r="W330" s="71">
        <v>0</v>
      </c>
      <c r="X330" s="71">
        <v>0</v>
      </c>
      <c r="Y330" s="71">
        <v>0</v>
      </c>
      <c r="Z330" s="71">
        <v>10201007</v>
      </c>
    </row>
    <row r="331" ht="17.25" spans="1:26">
      <c r="A331" s="71">
        <v>10405017</v>
      </c>
      <c r="B331" s="87" t="s">
        <v>785</v>
      </c>
      <c r="C331" s="86" t="s">
        <v>786</v>
      </c>
      <c r="D331" s="71">
        <v>2</v>
      </c>
      <c r="E331" s="71">
        <f t="shared" si="47"/>
        <v>5</v>
      </c>
      <c r="F331" s="71">
        <v>3001</v>
      </c>
      <c r="G331" s="71">
        <v>350</v>
      </c>
      <c r="H331" s="71">
        <v>0</v>
      </c>
      <c r="I331" s="71">
        <v>10405017</v>
      </c>
      <c r="J331" s="71">
        <v>100000</v>
      </c>
      <c r="K331" s="71">
        <f t="shared" si="46"/>
        <v>10401017</v>
      </c>
      <c r="L331" s="90" t="s">
        <v>787</v>
      </c>
      <c r="M331" s="91" t="s">
        <v>788</v>
      </c>
      <c r="N331" s="71" t="str">
        <f t="shared" si="48"/>
        <v>硬壳加持</v>
      </c>
      <c r="O331" s="71"/>
      <c r="P331" s="71"/>
      <c r="Q331" s="71" t="s">
        <v>60</v>
      </c>
      <c r="R331" s="71">
        <v>0</v>
      </c>
      <c r="S331" s="74">
        <v>0</v>
      </c>
      <c r="T331" s="78">
        <v>0</v>
      </c>
      <c r="U331" s="78">
        <v>0</v>
      </c>
      <c r="V331" s="78">
        <v>0</v>
      </c>
      <c r="W331" s="71">
        <v>0</v>
      </c>
      <c r="X331" s="71">
        <v>0</v>
      </c>
      <c r="Y331" s="71">
        <v>0</v>
      </c>
      <c r="Z331" s="71">
        <v>10201007</v>
      </c>
    </row>
    <row r="332" ht="17.25" spans="1:26">
      <c r="A332" s="71">
        <v>10405018</v>
      </c>
      <c r="B332" s="87" t="s">
        <v>789</v>
      </c>
      <c r="C332" s="86" t="s">
        <v>790</v>
      </c>
      <c r="D332" s="71">
        <v>2</v>
      </c>
      <c r="E332" s="71">
        <f t="shared" si="47"/>
        <v>5</v>
      </c>
      <c r="F332" s="71">
        <v>3001</v>
      </c>
      <c r="G332" s="71">
        <v>350</v>
      </c>
      <c r="H332" s="71">
        <v>0</v>
      </c>
      <c r="I332" s="71">
        <v>10405018</v>
      </c>
      <c r="J332" s="71">
        <v>100000</v>
      </c>
      <c r="K332" s="71">
        <f t="shared" si="46"/>
        <v>10401018</v>
      </c>
      <c r="L332" s="90" t="s">
        <v>791</v>
      </c>
      <c r="M332" s="91" t="s">
        <v>792</v>
      </c>
      <c r="N332" s="71" t="str">
        <f t="shared" si="48"/>
        <v>小盾挡挡</v>
      </c>
      <c r="O332" s="71"/>
      <c r="P332" s="71"/>
      <c r="Q332" s="71" t="s">
        <v>60</v>
      </c>
      <c r="R332" s="71">
        <v>0</v>
      </c>
      <c r="S332" s="74">
        <v>0</v>
      </c>
      <c r="T332" s="78">
        <v>0</v>
      </c>
      <c r="U332" s="78">
        <v>0</v>
      </c>
      <c r="V332" s="78">
        <v>0</v>
      </c>
      <c r="W332" s="71">
        <v>0</v>
      </c>
      <c r="X332" s="71">
        <v>0</v>
      </c>
      <c r="Y332" s="71">
        <v>0</v>
      </c>
      <c r="Z332" s="71">
        <v>10201007</v>
      </c>
    </row>
    <row r="333" ht="17.25" spans="1:26">
      <c r="A333" s="71">
        <v>10405019</v>
      </c>
      <c r="B333" s="87" t="s">
        <v>793</v>
      </c>
      <c r="C333" s="86" t="s">
        <v>794</v>
      </c>
      <c r="D333" s="71">
        <v>2</v>
      </c>
      <c r="E333" s="71">
        <f t="shared" si="47"/>
        <v>5</v>
      </c>
      <c r="F333" s="71">
        <v>3001</v>
      </c>
      <c r="G333" s="71">
        <v>350</v>
      </c>
      <c r="H333" s="71">
        <v>0</v>
      </c>
      <c r="I333" s="71">
        <v>10405019</v>
      </c>
      <c r="J333" s="71">
        <v>100000</v>
      </c>
      <c r="K333" s="71">
        <f t="shared" si="46"/>
        <v>10401019</v>
      </c>
      <c r="L333" s="90" t="s">
        <v>795</v>
      </c>
      <c r="M333" s="91" t="s">
        <v>796</v>
      </c>
      <c r="N333" s="71" t="str">
        <f t="shared" si="48"/>
        <v>厚皮加持</v>
      </c>
      <c r="O333" s="71"/>
      <c r="P333" s="71"/>
      <c r="Q333" s="71" t="s">
        <v>60</v>
      </c>
      <c r="R333" s="71">
        <v>0</v>
      </c>
      <c r="S333" s="74">
        <v>0</v>
      </c>
      <c r="T333" s="78">
        <v>0</v>
      </c>
      <c r="U333" s="78">
        <v>0</v>
      </c>
      <c r="V333" s="78">
        <v>0</v>
      </c>
      <c r="W333" s="71">
        <v>0</v>
      </c>
      <c r="X333" s="71">
        <v>0</v>
      </c>
      <c r="Y333" s="71">
        <v>0</v>
      </c>
      <c r="Z333" s="71">
        <v>10201007</v>
      </c>
    </row>
    <row r="334" ht="17.25" spans="1:26">
      <c r="A334" s="71">
        <v>10405020</v>
      </c>
      <c r="B334" s="87" t="s">
        <v>797</v>
      </c>
      <c r="C334" s="86" t="s">
        <v>798</v>
      </c>
      <c r="D334" s="71">
        <v>2</v>
      </c>
      <c r="E334" s="71">
        <f t="shared" si="47"/>
        <v>5</v>
      </c>
      <c r="F334" s="71">
        <v>3001</v>
      </c>
      <c r="G334" s="71">
        <v>350</v>
      </c>
      <c r="H334" s="71">
        <v>0</v>
      </c>
      <c r="I334" s="71">
        <v>10405020</v>
      </c>
      <c r="J334" s="71">
        <v>100000</v>
      </c>
      <c r="K334" s="71">
        <f t="shared" si="46"/>
        <v>10401020</v>
      </c>
      <c r="L334" s="90" t="s">
        <v>799</v>
      </c>
      <c r="M334" s="91" t="s">
        <v>800</v>
      </c>
      <c r="N334" s="71" t="str">
        <f t="shared" si="48"/>
        <v>溜得飞快</v>
      </c>
      <c r="O334" s="71"/>
      <c r="P334" s="71"/>
      <c r="Q334" s="71" t="s">
        <v>60</v>
      </c>
      <c r="R334" s="71">
        <v>0</v>
      </c>
      <c r="S334" s="74">
        <v>0</v>
      </c>
      <c r="T334" s="78">
        <v>0</v>
      </c>
      <c r="U334" s="78">
        <v>0</v>
      </c>
      <c r="V334" s="78">
        <v>0</v>
      </c>
      <c r="W334" s="71">
        <v>0</v>
      </c>
      <c r="X334" s="71">
        <v>0</v>
      </c>
      <c r="Y334" s="71">
        <v>0</v>
      </c>
      <c r="Z334" s="71">
        <v>10201007</v>
      </c>
    </row>
    <row r="335" ht="17.25" spans="1:26">
      <c r="A335" s="71">
        <v>10405021</v>
      </c>
      <c r="B335" s="87" t="s">
        <v>801</v>
      </c>
      <c r="C335" s="86" t="s">
        <v>802</v>
      </c>
      <c r="D335" s="71">
        <v>2</v>
      </c>
      <c r="E335" s="71">
        <f t="shared" si="47"/>
        <v>5</v>
      </c>
      <c r="F335" s="71">
        <v>3001</v>
      </c>
      <c r="G335" s="71">
        <v>350</v>
      </c>
      <c r="H335" s="71">
        <v>0</v>
      </c>
      <c r="I335" s="71">
        <v>10405021</v>
      </c>
      <c r="J335" s="71">
        <v>100000</v>
      </c>
      <c r="K335" s="71">
        <f t="shared" si="46"/>
        <v>10401021</v>
      </c>
      <c r="L335" s="90" t="s">
        <v>803</v>
      </c>
      <c r="M335" s="91" t="s">
        <v>804</v>
      </c>
      <c r="N335" s="71" t="str">
        <f t="shared" si="48"/>
        <v>乱挥格挡</v>
      </c>
      <c r="O335" s="71"/>
      <c r="P335" s="71"/>
      <c r="Q335" s="71" t="s">
        <v>60</v>
      </c>
      <c r="R335" s="71">
        <v>0</v>
      </c>
      <c r="S335" s="74">
        <v>0</v>
      </c>
      <c r="T335" s="78">
        <v>0</v>
      </c>
      <c r="U335" s="78">
        <v>0</v>
      </c>
      <c r="V335" s="78">
        <v>0</v>
      </c>
      <c r="W335" s="71">
        <v>0</v>
      </c>
      <c r="X335" s="71">
        <v>0</v>
      </c>
      <c r="Y335" s="71">
        <v>0</v>
      </c>
      <c r="Z335" s="71">
        <v>10201007</v>
      </c>
    </row>
    <row r="336" ht="17.25" spans="1:26">
      <c r="A336" s="71">
        <v>10106001</v>
      </c>
      <c r="B336" s="87" t="s">
        <v>455</v>
      </c>
      <c r="C336" s="86" t="s">
        <v>727</v>
      </c>
      <c r="D336" s="71">
        <v>2</v>
      </c>
      <c r="E336" s="71">
        <f t="shared" si="47"/>
        <v>6</v>
      </c>
      <c r="F336" s="71">
        <v>2010</v>
      </c>
      <c r="G336" s="71">
        <v>350</v>
      </c>
      <c r="H336" s="71">
        <v>10000</v>
      </c>
      <c r="I336" s="71">
        <v>0</v>
      </c>
      <c r="J336" s="71">
        <v>180000</v>
      </c>
      <c r="K336" s="71">
        <f t="shared" si="46"/>
        <v>10101001</v>
      </c>
      <c r="L336" s="90" t="s">
        <v>728</v>
      </c>
      <c r="M336" s="91" t="s">
        <v>729</v>
      </c>
      <c r="N336" s="71" t="str">
        <f t="shared" si="48"/>
        <v>小鬼出击</v>
      </c>
      <c r="O336" s="71"/>
      <c r="P336" s="71"/>
      <c r="Q336" s="71" t="s">
        <v>60</v>
      </c>
      <c r="R336" s="71">
        <v>0</v>
      </c>
      <c r="S336" s="74">
        <v>1032002</v>
      </c>
      <c r="T336" s="78">
        <v>400</v>
      </c>
      <c r="U336" s="78">
        <v>1014</v>
      </c>
      <c r="V336" s="79" t="s">
        <v>459</v>
      </c>
      <c r="W336" s="71">
        <v>0</v>
      </c>
      <c r="X336" s="71">
        <v>0</v>
      </c>
      <c r="Y336" s="71">
        <v>0</v>
      </c>
      <c r="Z336" s="71">
        <v>0</v>
      </c>
    </row>
    <row r="337" ht="17.25" spans="1:26">
      <c r="A337" s="71">
        <v>10106002</v>
      </c>
      <c r="B337" s="87" t="s">
        <v>535</v>
      </c>
      <c r="C337" s="86" t="s">
        <v>730</v>
      </c>
      <c r="D337" s="71">
        <v>2</v>
      </c>
      <c r="E337" s="71">
        <f t="shared" si="47"/>
        <v>6</v>
      </c>
      <c r="F337" s="71">
        <v>2010</v>
      </c>
      <c r="G337" s="71">
        <v>350</v>
      </c>
      <c r="H337" s="71">
        <v>1430</v>
      </c>
      <c r="I337" s="71">
        <v>10106002</v>
      </c>
      <c r="J337" s="71">
        <v>180000</v>
      </c>
      <c r="K337" s="71">
        <f t="shared" si="46"/>
        <v>10101002</v>
      </c>
      <c r="L337" s="90" t="s">
        <v>731</v>
      </c>
      <c r="M337" s="91" t="s">
        <v>732</v>
      </c>
      <c r="N337" s="71" t="str">
        <f t="shared" si="48"/>
        <v>紫色雷霆</v>
      </c>
      <c r="O337" s="71"/>
      <c r="P337" s="71"/>
      <c r="Q337" s="71" t="s">
        <v>60</v>
      </c>
      <c r="R337" s="71">
        <v>0</v>
      </c>
      <c r="S337" s="74">
        <v>1039202</v>
      </c>
      <c r="T337" s="78">
        <v>600</v>
      </c>
      <c r="U337" s="78">
        <v>1011</v>
      </c>
      <c r="V337" s="78" t="s">
        <v>527</v>
      </c>
      <c r="W337" s="71">
        <v>0</v>
      </c>
      <c r="X337" s="71">
        <v>0</v>
      </c>
      <c r="Y337" s="71">
        <v>0</v>
      </c>
      <c r="Z337" s="71">
        <v>0</v>
      </c>
    </row>
    <row r="338" ht="17.25" spans="1:26">
      <c r="A338" s="71">
        <v>10106003</v>
      </c>
      <c r="B338" s="87" t="s">
        <v>296</v>
      </c>
      <c r="C338" s="86" t="s">
        <v>733</v>
      </c>
      <c r="D338" s="71">
        <v>2</v>
      </c>
      <c r="E338" s="71">
        <f t="shared" si="47"/>
        <v>6</v>
      </c>
      <c r="F338" s="71">
        <v>2010</v>
      </c>
      <c r="G338" s="71">
        <v>350</v>
      </c>
      <c r="H338" s="71">
        <v>2500</v>
      </c>
      <c r="I338" s="71">
        <v>10106003</v>
      </c>
      <c r="J338" s="71">
        <v>70000</v>
      </c>
      <c r="K338" s="71">
        <f t="shared" si="46"/>
        <v>10101003</v>
      </c>
      <c r="L338" s="90" t="s">
        <v>734</v>
      </c>
      <c r="M338" s="91" t="s">
        <v>735</v>
      </c>
      <c r="N338" s="71" t="str">
        <f t="shared" si="48"/>
        <v>噬影分身</v>
      </c>
      <c r="O338" s="71"/>
      <c r="P338" s="71"/>
      <c r="Q338" s="71" t="s">
        <v>60</v>
      </c>
      <c r="R338" s="71">
        <v>0</v>
      </c>
      <c r="S338" s="81">
        <v>1012002</v>
      </c>
      <c r="T338" s="78">
        <v>700</v>
      </c>
      <c r="U338" s="78">
        <v>1013</v>
      </c>
      <c r="V338" s="79" t="s">
        <v>300</v>
      </c>
      <c r="W338" s="71">
        <v>0</v>
      </c>
      <c r="X338" s="71">
        <v>0</v>
      </c>
      <c r="Y338" s="71">
        <v>0</v>
      </c>
      <c r="Z338" s="71">
        <v>5004001</v>
      </c>
    </row>
    <row r="339" ht="17.25" spans="1:26">
      <c r="A339" s="71">
        <v>10106004</v>
      </c>
      <c r="B339" s="71" t="s">
        <v>326</v>
      </c>
      <c r="C339" s="86" t="s">
        <v>736</v>
      </c>
      <c r="D339" s="71">
        <v>2</v>
      </c>
      <c r="E339" s="71">
        <f t="shared" si="47"/>
        <v>6</v>
      </c>
      <c r="F339" s="71">
        <v>2001</v>
      </c>
      <c r="G339" s="71">
        <v>350</v>
      </c>
      <c r="H339" s="71">
        <v>10000</v>
      </c>
      <c r="I339" s="71">
        <v>10106004</v>
      </c>
      <c r="J339" s="71">
        <v>180000</v>
      </c>
      <c r="K339" s="71">
        <f t="shared" si="46"/>
        <v>10101004</v>
      </c>
      <c r="L339" s="90" t="s">
        <v>737</v>
      </c>
      <c r="M339" s="91" t="s">
        <v>738</v>
      </c>
      <c r="N339" s="71" t="str">
        <f t="shared" si="48"/>
        <v>雷霆爪击</v>
      </c>
      <c r="O339" s="71"/>
      <c r="P339" s="71"/>
      <c r="Q339" s="71" t="s">
        <v>60</v>
      </c>
      <c r="R339" s="71">
        <v>0</v>
      </c>
      <c r="S339" s="74">
        <v>1014102</v>
      </c>
      <c r="T339" s="78">
        <v>700</v>
      </c>
      <c r="U339" s="78">
        <v>1014</v>
      </c>
      <c r="V339" s="78">
        <v>1700</v>
      </c>
      <c r="W339" s="71">
        <v>0</v>
      </c>
      <c r="X339" s="71">
        <v>0</v>
      </c>
      <c r="Y339" s="71">
        <v>0</v>
      </c>
      <c r="Z339" s="71">
        <v>0</v>
      </c>
    </row>
    <row r="340" ht="17.25" spans="1:26">
      <c r="A340" s="71">
        <v>10106005</v>
      </c>
      <c r="B340" s="71" t="s">
        <v>550</v>
      </c>
      <c r="C340" s="86" t="s">
        <v>739</v>
      </c>
      <c r="D340" s="71">
        <v>2</v>
      </c>
      <c r="E340" s="71">
        <f t="shared" si="47"/>
        <v>6</v>
      </c>
      <c r="F340" s="71">
        <v>2001</v>
      </c>
      <c r="G340" s="71">
        <v>350</v>
      </c>
      <c r="H340" s="71">
        <v>3330</v>
      </c>
      <c r="I340" s="71">
        <v>10106005</v>
      </c>
      <c r="J340" s="71">
        <v>180000</v>
      </c>
      <c r="K340" s="71">
        <f t="shared" si="46"/>
        <v>10101005</v>
      </c>
      <c r="L340" s="90" t="s">
        <v>740</v>
      </c>
      <c r="M340" s="91" t="s">
        <v>741</v>
      </c>
      <c r="N340" s="71" t="str">
        <f t="shared" si="48"/>
        <v>灵球猛击</v>
      </c>
      <c r="O340" s="71"/>
      <c r="P340" s="71"/>
      <c r="Q340" s="71" t="s">
        <v>60</v>
      </c>
      <c r="R340" s="71">
        <v>0</v>
      </c>
      <c r="S340" s="74">
        <v>1042002</v>
      </c>
      <c r="T340" s="78">
        <v>900</v>
      </c>
      <c r="U340" s="78">
        <v>1016</v>
      </c>
      <c r="V340" s="79">
        <v>1400</v>
      </c>
      <c r="W340" s="71">
        <v>0</v>
      </c>
      <c r="X340" s="71">
        <v>0</v>
      </c>
      <c r="Y340" s="71">
        <v>0</v>
      </c>
      <c r="Z340" s="71">
        <v>0</v>
      </c>
    </row>
    <row r="341" ht="17.25" spans="1:26">
      <c r="A341" s="71">
        <v>10106006</v>
      </c>
      <c r="B341" s="88" t="s">
        <v>594</v>
      </c>
      <c r="C341" s="86" t="s">
        <v>742</v>
      </c>
      <c r="D341" s="71">
        <v>2</v>
      </c>
      <c r="E341" s="71">
        <f t="shared" si="47"/>
        <v>6</v>
      </c>
      <c r="F341" s="71">
        <v>2001</v>
      </c>
      <c r="G341" s="71">
        <v>350</v>
      </c>
      <c r="H341" s="71">
        <v>1110</v>
      </c>
      <c r="I341" s="71">
        <v>10106006</v>
      </c>
      <c r="J341" s="71">
        <v>180000</v>
      </c>
      <c r="K341" s="71">
        <f t="shared" si="46"/>
        <v>10101006</v>
      </c>
      <c r="L341" s="90" t="s">
        <v>743</v>
      </c>
      <c r="M341" s="91" t="s">
        <v>744</v>
      </c>
      <c r="N341" s="71" t="str">
        <f t="shared" si="48"/>
        <v>火焰甩尾</v>
      </c>
      <c r="O341" s="71"/>
      <c r="P341" s="71"/>
      <c r="Q341" s="71" t="s">
        <v>60</v>
      </c>
      <c r="R341" s="71">
        <v>0</v>
      </c>
      <c r="S341" s="74">
        <v>1050002</v>
      </c>
      <c r="T341" s="81">
        <v>1000</v>
      </c>
      <c r="U341" s="81">
        <v>1012</v>
      </c>
      <c r="V341" s="81" t="s">
        <v>598</v>
      </c>
      <c r="W341" s="71">
        <v>0</v>
      </c>
      <c r="X341" s="71">
        <v>0</v>
      </c>
      <c r="Y341" s="71">
        <v>0</v>
      </c>
      <c r="Z341" s="71">
        <v>0</v>
      </c>
    </row>
    <row r="342" ht="17.25" spans="1:26">
      <c r="A342" s="71">
        <v>10206007</v>
      </c>
      <c r="B342" s="87" t="s">
        <v>745</v>
      </c>
      <c r="C342" s="86" t="s">
        <v>746</v>
      </c>
      <c r="D342" s="71">
        <v>2</v>
      </c>
      <c r="E342" s="71">
        <f t="shared" si="47"/>
        <v>6</v>
      </c>
      <c r="F342" s="71">
        <v>3001</v>
      </c>
      <c r="G342" s="71">
        <v>350</v>
      </c>
      <c r="H342" s="71">
        <v>0</v>
      </c>
      <c r="I342" s="71">
        <v>10206007</v>
      </c>
      <c r="J342" s="71">
        <v>100000</v>
      </c>
      <c r="K342" s="71">
        <f t="shared" si="46"/>
        <v>10201007</v>
      </c>
      <c r="L342" s="90" t="s">
        <v>747</v>
      </c>
      <c r="M342" s="91" t="s">
        <v>748</v>
      </c>
      <c r="N342" s="71" t="str">
        <f t="shared" si="48"/>
        <v>借点气势</v>
      </c>
      <c r="O342" s="71"/>
      <c r="P342" s="71"/>
      <c r="Q342" s="71" t="s">
        <v>60</v>
      </c>
      <c r="R342" s="71">
        <v>0</v>
      </c>
      <c r="S342" s="74">
        <v>0</v>
      </c>
      <c r="T342" s="78">
        <v>0</v>
      </c>
      <c r="U342" s="78">
        <v>0</v>
      </c>
      <c r="V342" s="78">
        <v>0</v>
      </c>
      <c r="W342" s="71">
        <v>0</v>
      </c>
      <c r="X342" s="71">
        <v>0</v>
      </c>
      <c r="Y342" s="71">
        <v>0</v>
      </c>
      <c r="Z342" s="71">
        <v>10201007</v>
      </c>
    </row>
    <row r="343" ht="17.25" spans="1:26">
      <c r="A343" s="71">
        <v>10206008</v>
      </c>
      <c r="B343" s="87" t="s">
        <v>749</v>
      </c>
      <c r="C343" s="86" t="s">
        <v>750</v>
      </c>
      <c r="D343" s="71">
        <v>2</v>
      </c>
      <c r="E343" s="71">
        <f t="shared" si="47"/>
        <v>6</v>
      </c>
      <c r="F343" s="71">
        <v>3001</v>
      </c>
      <c r="G343" s="71">
        <v>350</v>
      </c>
      <c r="H343" s="71">
        <v>0</v>
      </c>
      <c r="I343" s="71">
        <v>10206008</v>
      </c>
      <c r="J343" s="71">
        <v>100000</v>
      </c>
      <c r="K343" s="71">
        <f t="shared" si="46"/>
        <v>10201008</v>
      </c>
      <c r="L343" s="90" t="s">
        <v>751</v>
      </c>
      <c r="M343" s="91" t="s">
        <v>752</v>
      </c>
      <c r="N343" s="71" t="str">
        <f t="shared" si="48"/>
        <v>鼓腮加成</v>
      </c>
      <c r="O343" s="71"/>
      <c r="P343" s="71"/>
      <c r="Q343" s="71" t="s">
        <v>60</v>
      </c>
      <c r="R343" s="71">
        <v>0</v>
      </c>
      <c r="S343" s="74">
        <v>0</v>
      </c>
      <c r="T343" s="78">
        <v>0</v>
      </c>
      <c r="U343" s="78">
        <v>0</v>
      </c>
      <c r="V343" s="78">
        <v>0</v>
      </c>
      <c r="W343" s="71">
        <v>0</v>
      </c>
      <c r="X343" s="71">
        <v>0</v>
      </c>
      <c r="Y343" s="71">
        <v>0</v>
      </c>
      <c r="Z343" s="71">
        <v>10201007</v>
      </c>
    </row>
    <row r="344" ht="17.25" spans="1:26">
      <c r="A344" s="71">
        <v>10206009</v>
      </c>
      <c r="B344" s="87" t="s">
        <v>753</v>
      </c>
      <c r="C344" s="86" t="s">
        <v>754</v>
      </c>
      <c r="D344" s="71">
        <v>2</v>
      </c>
      <c r="E344" s="71">
        <f t="shared" si="47"/>
        <v>6</v>
      </c>
      <c r="F344" s="71">
        <v>3001</v>
      </c>
      <c r="G344" s="71">
        <v>350</v>
      </c>
      <c r="H344" s="71">
        <v>0</v>
      </c>
      <c r="I344" s="71">
        <v>10206009</v>
      </c>
      <c r="J344" s="71">
        <v>100000</v>
      </c>
      <c r="K344" s="71">
        <f t="shared" si="46"/>
        <v>10201009</v>
      </c>
      <c r="L344" s="90" t="s">
        <v>755</v>
      </c>
      <c r="M344" s="91" t="s">
        <v>756</v>
      </c>
      <c r="N344" s="71" t="str">
        <f t="shared" si="48"/>
        <v>元素渣涌</v>
      </c>
      <c r="O344" s="71"/>
      <c r="P344" s="71"/>
      <c r="Q344" s="71" t="s">
        <v>60</v>
      </c>
      <c r="R344" s="71">
        <v>0</v>
      </c>
      <c r="S344" s="74">
        <v>0</v>
      </c>
      <c r="T344" s="78">
        <v>0</v>
      </c>
      <c r="U344" s="78">
        <v>0</v>
      </c>
      <c r="V344" s="78">
        <v>0</v>
      </c>
      <c r="W344" s="71">
        <v>0</v>
      </c>
      <c r="X344" s="71">
        <v>0</v>
      </c>
      <c r="Y344" s="71">
        <v>0</v>
      </c>
      <c r="Z344" s="71">
        <v>10201007</v>
      </c>
    </row>
    <row r="345" ht="17.25" spans="1:26">
      <c r="A345" s="71">
        <v>10206010</v>
      </c>
      <c r="B345" s="87" t="s">
        <v>757</v>
      </c>
      <c r="C345" s="86" t="s">
        <v>758</v>
      </c>
      <c r="D345" s="71">
        <v>2</v>
      </c>
      <c r="E345" s="71">
        <f t="shared" ref="E345:E357" si="49">E324+1</f>
        <v>6</v>
      </c>
      <c r="F345" s="71">
        <v>3001</v>
      </c>
      <c r="G345" s="71">
        <v>350</v>
      </c>
      <c r="H345" s="71">
        <v>0</v>
      </c>
      <c r="I345" s="71">
        <v>10206010</v>
      </c>
      <c r="J345" s="71">
        <v>100000</v>
      </c>
      <c r="K345" s="71">
        <f t="shared" si="46"/>
        <v>10201010</v>
      </c>
      <c r="L345" s="90" t="s">
        <v>759</v>
      </c>
      <c r="M345" s="91" t="s">
        <v>760</v>
      </c>
      <c r="N345" s="71" t="str">
        <f t="shared" si="48"/>
        <v>暴击弱点</v>
      </c>
      <c r="O345" s="71"/>
      <c r="P345" s="71"/>
      <c r="Q345" s="71" t="s">
        <v>60</v>
      </c>
      <c r="R345" s="71">
        <v>0</v>
      </c>
      <c r="S345" s="74">
        <v>0</v>
      </c>
      <c r="T345" s="78">
        <v>0</v>
      </c>
      <c r="U345" s="78">
        <v>0</v>
      </c>
      <c r="V345" s="78">
        <v>0</v>
      </c>
      <c r="W345" s="71">
        <v>0</v>
      </c>
      <c r="X345" s="71">
        <v>0</v>
      </c>
      <c r="Y345" s="71">
        <v>0</v>
      </c>
      <c r="Z345" s="71">
        <v>10201007</v>
      </c>
    </row>
    <row r="346" ht="17.25" spans="1:26">
      <c r="A346" s="71">
        <v>10206011</v>
      </c>
      <c r="B346" s="87" t="s">
        <v>761</v>
      </c>
      <c r="C346" s="86" t="s">
        <v>762</v>
      </c>
      <c r="D346" s="71">
        <v>2</v>
      </c>
      <c r="E346" s="71">
        <f t="shared" si="49"/>
        <v>6</v>
      </c>
      <c r="F346" s="71">
        <v>3001</v>
      </c>
      <c r="G346" s="71">
        <v>350</v>
      </c>
      <c r="H346" s="71">
        <v>0</v>
      </c>
      <c r="I346" s="71">
        <v>10206011</v>
      </c>
      <c r="J346" s="71">
        <v>100000</v>
      </c>
      <c r="K346" s="71">
        <f t="shared" si="46"/>
        <v>10201011</v>
      </c>
      <c r="L346" s="90" t="s">
        <v>763</v>
      </c>
      <c r="M346" s="91" t="s">
        <v>764</v>
      </c>
      <c r="N346" s="71" t="str">
        <f t="shared" si="48"/>
        <v>暴击猛砸</v>
      </c>
      <c r="O346" s="71"/>
      <c r="P346" s="71"/>
      <c r="Q346" s="71" t="s">
        <v>60</v>
      </c>
      <c r="R346" s="71">
        <v>0</v>
      </c>
      <c r="S346" s="74">
        <v>0</v>
      </c>
      <c r="T346" s="78">
        <v>0</v>
      </c>
      <c r="U346" s="78">
        <v>0</v>
      </c>
      <c r="V346" s="78">
        <v>0</v>
      </c>
      <c r="W346" s="71">
        <v>0</v>
      </c>
      <c r="X346" s="71">
        <v>0</v>
      </c>
      <c r="Y346" s="71">
        <v>0</v>
      </c>
      <c r="Z346" s="71">
        <v>10201007</v>
      </c>
    </row>
    <row r="347" ht="17.25" spans="1:26">
      <c r="A347" s="71">
        <v>10306012</v>
      </c>
      <c r="B347" s="87" t="s">
        <v>765</v>
      </c>
      <c r="C347" s="86" t="s">
        <v>766</v>
      </c>
      <c r="D347" s="71">
        <v>2</v>
      </c>
      <c r="E347" s="71">
        <f t="shared" si="49"/>
        <v>6</v>
      </c>
      <c r="F347" s="71">
        <v>3001</v>
      </c>
      <c r="G347" s="71">
        <v>350</v>
      </c>
      <c r="H347" s="71">
        <v>0</v>
      </c>
      <c r="I347" s="71">
        <v>10306012</v>
      </c>
      <c r="J347" s="71">
        <v>100000</v>
      </c>
      <c r="K347" s="71">
        <f t="shared" si="46"/>
        <v>10301012</v>
      </c>
      <c r="L347" s="90" t="s">
        <v>767</v>
      </c>
      <c r="M347" s="91" t="s">
        <v>768</v>
      </c>
      <c r="N347" s="71" t="str">
        <f t="shared" si="48"/>
        <v>魔法疗愈</v>
      </c>
      <c r="O347" s="71"/>
      <c r="P347" s="71"/>
      <c r="Q347" s="71" t="s">
        <v>60</v>
      </c>
      <c r="R347" s="71">
        <v>0</v>
      </c>
      <c r="S347" s="74">
        <v>0</v>
      </c>
      <c r="T347" s="78">
        <v>0</v>
      </c>
      <c r="U347" s="78">
        <v>0</v>
      </c>
      <c r="V347" s="78">
        <v>0</v>
      </c>
      <c r="W347" s="71">
        <v>0</v>
      </c>
      <c r="X347" s="71">
        <v>0</v>
      </c>
      <c r="Y347" s="71">
        <v>0</v>
      </c>
      <c r="Z347" s="71">
        <v>10201007</v>
      </c>
    </row>
    <row r="348" ht="17.25" spans="1:26">
      <c r="A348" s="71">
        <v>10306013</v>
      </c>
      <c r="B348" s="87" t="s">
        <v>769</v>
      </c>
      <c r="C348" s="86" t="s">
        <v>770</v>
      </c>
      <c r="D348" s="71">
        <v>2</v>
      </c>
      <c r="E348" s="71">
        <f t="shared" si="49"/>
        <v>6</v>
      </c>
      <c r="F348" s="71">
        <v>3001</v>
      </c>
      <c r="G348" s="71">
        <v>350</v>
      </c>
      <c r="H348" s="71">
        <v>0</v>
      </c>
      <c r="I348" s="71">
        <v>10306013</v>
      </c>
      <c r="J348" s="71">
        <v>100000</v>
      </c>
      <c r="K348" s="71">
        <f t="shared" si="46"/>
        <v>10301013</v>
      </c>
      <c r="L348" s="90" t="s">
        <v>771</v>
      </c>
      <c r="M348" s="91" t="s">
        <v>772</v>
      </c>
      <c r="N348" s="71" t="str">
        <f t="shared" si="48"/>
        <v>回春疗愈</v>
      </c>
      <c r="O348" s="71"/>
      <c r="P348" s="71"/>
      <c r="Q348" s="71" t="s">
        <v>60</v>
      </c>
      <c r="R348" s="71">
        <v>0</v>
      </c>
      <c r="S348" s="74">
        <v>0</v>
      </c>
      <c r="T348" s="78">
        <v>0</v>
      </c>
      <c r="U348" s="78">
        <v>0</v>
      </c>
      <c r="V348" s="78">
        <v>0</v>
      </c>
      <c r="W348" s="71">
        <v>0</v>
      </c>
      <c r="X348" s="71">
        <v>0</v>
      </c>
      <c r="Y348" s="71">
        <v>0</v>
      </c>
      <c r="Z348" s="71">
        <v>10201007</v>
      </c>
    </row>
    <row r="349" ht="17.25" spans="1:26">
      <c r="A349" s="71">
        <v>10306014</v>
      </c>
      <c r="B349" s="87" t="s">
        <v>773</v>
      </c>
      <c r="C349" s="86" t="s">
        <v>774</v>
      </c>
      <c r="D349" s="71">
        <v>2</v>
      </c>
      <c r="E349" s="71">
        <f t="shared" si="49"/>
        <v>6</v>
      </c>
      <c r="F349" s="71">
        <v>3001</v>
      </c>
      <c r="G349" s="71">
        <v>350</v>
      </c>
      <c r="H349" s="71">
        <v>0</v>
      </c>
      <c r="I349" s="71">
        <v>10306014</v>
      </c>
      <c r="J349" s="71">
        <v>100000</v>
      </c>
      <c r="K349" s="71">
        <f t="shared" ref="K349:K377" si="50">K328</f>
        <v>10301014</v>
      </c>
      <c r="L349" s="90" t="s">
        <v>775</v>
      </c>
      <c r="M349" s="91" t="s">
        <v>776</v>
      </c>
      <c r="N349" s="71" t="str">
        <f t="shared" si="48"/>
        <v>糊层护盾</v>
      </c>
      <c r="O349" s="71"/>
      <c r="P349" s="71"/>
      <c r="Q349" s="71" t="s">
        <v>60</v>
      </c>
      <c r="R349" s="71">
        <v>0</v>
      </c>
      <c r="S349" s="74">
        <v>0</v>
      </c>
      <c r="T349" s="78">
        <v>0</v>
      </c>
      <c r="U349" s="78">
        <v>0</v>
      </c>
      <c r="V349" s="78">
        <v>0</v>
      </c>
      <c r="W349" s="71">
        <v>0</v>
      </c>
      <c r="X349" s="71">
        <v>0</v>
      </c>
      <c r="Y349" s="71">
        <v>0</v>
      </c>
      <c r="Z349" s="71">
        <v>10201007</v>
      </c>
    </row>
    <row r="350" ht="17.25" spans="1:26">
      <c r="A350" s="71">
        <v>10306015</v>
      </c>
      <c r="B350" s="87" t="s">
        <v>777</v>
      </c>
      <c r="C350" s="86" t="s">
        <v>778</v>
      </c>
      <c r="D350" s="71">
        <v>2</v>
      </c>
      <c r="E350" s="71">
        <f t="shared" si="49"/>
        <v>6</v>
      </c>
      <c r="F350" s="71">
        <v>3001</v>
      </c>
      <c r="G350" s="71">
        <v>350</v>
      </c>
      <c r="H350" s="71">
        <v>0</v>
      </c>
      <c r="I350" s="71">
        <v>10306015</v>
      </c>
      <c r="J350" s="71">
        <v>100000</v>
      </c>
      <c r="K350" s="71">
        <f t="shared" si="50"/>
        <v>10301015</v>
      </c>
      <c r="L350" s="90" t="s">
        <v>779</v>
      </c>
      <c r="M350" s="91" t="s">
        <v>780</v>
      </c>
      <c r="N350" s="71" t="str">
        <f t="shared" si="48"/>
        <v>偷点血量</v>
      </c>
      <c r="O350" s="71"/>
      <c r="P350" s="71"/>
      <c r="Q350" s="71" t="s">
        <v>60</v>
      </c>
      <c r="R350" s="71">
        <v>0</v>
      </c>
      <c r="S350" s="74">
        <v>0</v>
      </c>
      <c r="T350" s="78">
        <v>0</v>
      </c>
      <c r="U350" s="78">
        <v>0</v>
      </c>
      <c r="V350" s="78">
        <v>0</v>
      </c>
      <c r="W350" s="71">
        <v>0</v>
      </c>
      <c r="X350" s="71">
        <v>0</v>
      </c>
      <c r="Y350" s="71">
        <v>0</v>
      </c>
      <c r="Z350" s="71">
        <v>10201007</v>
      </c>
    </row>
    <row r="351" ht="17.25" spans="1:26">
      <c r="A351" s="71">
        <v>10306016</v>
      </c>
      <c r="B351" s="87" t="s">
        <v>781</v>
      </c>
      <c r="C351" s="86" t="s">
        <v>782</v>
      </c>
      <c r="D351" s="71">
        <v>2</v>
      </c>
      <c r="E351" s="71">
        <f t="shared" si="49"/>
        <v>6</v>
      </c>
      <c r="F351" s="71">
        <v>3001</v>
      </c>
      <c r="G351" s="71">
        <v>350</v>
      </c>
      <c r="H351" s="71">
        <v>0</v>
      </c>
      <c r="I351" s="71">
        <v>10306016</v>
      </c>
      <c r="J351" s="71">
        <v>100000</v>
      </c>
      <c r="K351" s="71">
        <f t="shared" si="50"/>
        <v>10301016</v>
      </c>
      <c r="L351" s="90" t="s">
        <v>783</v>
      </c>
      <c r="M351" s="91" t="s">
        <v>784</v>
      </c>
      <c r="N351" s="71" t="str">
        <f t="shared" si="48"/>
        <v>挨揍回血</v>
      </c>
      <c r="O351" s="71"/>
      <c r="P351" s="71"/>
      <c r="Q351" s="71" t="s">
        <v>60</v>
      </c>
      <c r="R351" s="71">
        <v>0</v>
      </c>
      <c r="S351" s="74">
        <v>0</v>
      </c>
      <c r="T351" s="78">
        <v>0</v>
      </c>
      <c r="U351" s="78">
        <v>0</v>
      </c>
      <c r="V351" s="78">
        <v>0</v>
      </c>
      <c r="W351" s="71">
        <v>0</v>
      </c>
      <c r="X351" s="71">
        <v>0</v>
      </c>
      <c r="Y351" s="71">
        <v>0</v>
      </c>
      <c r="Z351" s="71">
        <v>10201007</v>
      </c>
    </row>
    <row r="352" ht="17.25" spans="1:26">
      <c r="A352" s="71">
        <v>10406017</v>
      </c>
      <c r="B352" s="87" t="s">
        <v>785</v>
      </c>
      <c r="C352" s="86" t="s">
        <v>786</v>
      </c>
      <c r="D352" s="71">
        <v>2</v>
      </c>
      <c r="E352" s="71">
        <f t="shared" si="49"/>
        <v>6</v>
      </c>
      <c r="F352" s="71">
        <v>3001</v>
      </c>
      <c r="G352" s="71">
        <v>350</v>
      </c>
      <c r="H352" s="71">
        <v>0</v>
      </c>
      <c r="I352" s="71">
        <v>10406017</v>
      </c>
      <c r="J352" s="71">
        <v>100000</v>
      </c>
      <c r="K352" s="71">
        <f t="shared" si="50"/>
        <v>10401017</v>
      </c>
      <c r="L352" s="90" t="s">
        <v>787</v>
      </c>
      <c r="M352" s="91" t="s">
        <v>788</v>
      </c>
      <c r="N352" s="71" t="str">
        <f t="shared" si="48"/>
        <v>硬壳加持</v>
      </c>
      <c r="O352" s="71"/>
      <c r="P352" s="71"/>
      <c r="Q352" s="71" t="s">
        <v>60</v>
      </c>
      <c r="R352" s="71">
        <v>0</v>
      </c>
      <c r="S352" s="74">
        <v>0</v>
      </c>
      <c r="T352" s="78">
        <v>0</v>
      </c>
      <c r="U352" s="78">
        <v>0</v>
      </c>
      <c r="V352" s="78">
        <v>0</v>
      </c>
      <c r="W352" s="71">
        <v>0</v>
      </c>
      <c r="X352" s="71">
        <v>0</v>
      </c>
      <c r="Y352" s="71">
        <v>0</v>
      </c>
      <c r="Z352" s="71">
        <v>10201007</v>
      </c>
    </row>
    <row r="353" ht="17.25" spans="1:26">
      <c r="A353" s="71">
        <v>10406018</v>
      </c>
      <c r="B353" s="87" t="s">
        <v>789</v>
      </c>
      <c r="C353" s="86" t="s">
        <v>790</v>
      </c>
      <c r="D353" s="71">
        <v>2</v>
      </c>
      <c r="E353" s="71">
        <f t="shared" si="49"/>
        <v>6</v>
      </c>
      <c r="F353" s="71">
        <v>3001</v>
      </c>
      <c r="G353" s="71">
        <v>350</v>
      </c>
      <c r="H353" s="71">
        <v>0</v>
      </c>
      <c r="I353" s="71">
        <v>10406018</v>
      </c>
      <c r="J353" s="71">
        <v>100000</v>
      </c>
      <c r="K353" s="71">
        <f t="shared" si="50"/>
        <v>10401018</v>
      </c>
      <c r="L353" s="90" t="s">
        <v>791</v>
      </c>
      <c r="M353" s="91" t="s">
        <v>792</v>
      </c>
      <c r="N353" s="71" t="str">
        <f t="shared" si="48"/>
        <v>小盾挡挡</v>
      </c>
      <c r="O353" s="71"/>
      <c r="P353" s="71"/>
      <c r="Q353" s="71" t="s">
        <v>60</v>
      </c>
      <c r="R353" s="71">
        <v>0</v>
      </c>
      <c r="S353" s="74">
        <v>0</v>
      </c>
      <c r="T353" s="78">
        <v>0</v>
      </c>
      <c r="U353" s="78">
        <v>0</v>
      </c>
      <c r="V353" s="78">
        <v>0</v>
      </c>
      <c r="W353" s="71">
        <v>0</v>
      </c>
      <c r="X353" s="71">
        <v>0</v>
      </c>
      <c r="Y353" s="71">
        <v>0</v>
      </c>
      <c r="Z353" s="71">
        <v>10201007</v>
      </c>
    </row>
    <row r="354" ht="17.25" spans="1:26">
      <c r="A354" s="71">
        <v>10406019</v>
      </c>
      <c r="B354" s="87" t="s">
        <v>793</v>
      </c>
      <c r="C354" s="86" t="s">
        <v>794</v>
      </c>
      <c r="D354" s="71">
        <v>2</v>
      </c>
      <c r="E354" s="71">
        <f t="shared" si="49"/>
        <v>6</v>
      </c>
      <c r="F354" s="71">
        <v>3001</v>
      </c>
      <c r="G354" s="71">
        <v>350</v>
      </c>
      <c r="H354" s="71">
        <v>0</v>
      </c>
      <c r="I354" s="71">
        <v>10406019</v>
      </c>
      <c r="J354" s="71">
        <v>100000</v>
      </c>
      <c r="K354" s="71">
        <f t="shared" si="50"/>
        <v>10401019</v>
      </c>
      <c r="L354" s="90" t="s">
        <v>795</v>
      </c>
      <c r="M354" s="91" t="s">
        <v>796</v>
      </c>
      <c r="N354" s="71" t="str">
        <f t="shared" si="48"/>
        <v>厚皮加持</v>
      </c>
      <c r="O354" s="71"/>
      <c r="P354" s="71"/>
      <c r="Q354" s="71" t="s">
        <v>60</v>
      </c>
      <c r="R354" s="71">
        <v>0</v>
      </c>
      <c r="S354" s="74">
        <v>0</v>
      </c>
      <c r="T354" s="78">
        <v>0</v>
      </c>
      <c r="U354" s="78">
        <v>0</v>
      </c>
      <c r="V354" s="78">
        <v>0</v>
      </c>
      <c r="W354" s="71">
        <v>0</v>
      </c>
      <c r="X354" s="71">
        <v>0</v>
      </c>
      <c r="Y354" s="71">
        <v>0</v>
      </c>
      <c r="Z354" s="71">
        <v>10201007</v>
      </c>
    </row>
    <row r="355" ht="17.25" spans="1:26">
      <c r="A355" s="71">
        <v>10406020</v>
      </c>
      <c r="B355" s="87" t="s">
        <v>797</v>
      </c>
      <c r="C355" s="86" t="s">
        <v>798</v>
      </c>
      <c r="D355" s="71">
        <v>2</v>
      </c>
      <c r="E355" s="71">
        <f t="shared" si="49"/>
        <v>6</v>
      </c>
      <c r="F355" s="71">
        <v>3001</v>
      </c>
      <c r="G355" s="71">
        <v>350</v>
      </c>
      <c r="H355" s="71">
        <v>0</v>
      </c>
      <c r="I355" s="71">
        <v>10406020</v>
      </c>
      <c r="J355" s="71">
        <v>100000</v>
      </c>
      <c r="K355" s="71">
        <f t="shared" si="50"/>
        <v>10401020</v>
      </c>
      <c r="L355" s="90" t="s">
        <v>799</v>
      </c>
      <c r="M355" s="91" t="s">
        <v>800</v>
      </c>
      <c r="N355" s="71" t="str">
        <f t="shared" si="48"/>
        <v>溜得飞快</v>
      </c>
      <c r="O355" s="71"/>
      <c r="P355" s="71"/>
      <c r="Q355" s="71" t="s">
        <v>60</v>
      </c>
      <c r="R355" s="71">
        <v>0</v>
      </c>
      <c r="S355" s="74">
        <v>0</v>
      </c>
      <c r="T355" s="78">
        <v>0</v>
      </c>
      <c r="U355" s="78">
        <v>0</v>
      </c>
      <c r="V355" s="78">
        <v>0</v>
      </c>
      <c r="W355" s="71">
        <v>0</v>
      </c>
      <c r="X355" s="71">
        <v>0</v>
      </c>
      <c r="Y355" s="71">
        <v>0</v>
      </c>
      <c r="Z355" s="71">
        <v>10201007</v>
      </c>
    </row>
    <row r="356" ht="17.25" spans="1:26">
      <c r="A356" s="71">
        <v>10406021</v>
      </c>
      <c r="B356" s="87" t="s">
        <v>801</v>
      </c>
      <c r="C356" s="86" t="s">
        <v>802</v>
      </c>
      <c r="D356" s="71">
        <v>2</v>
      </c>
      <c r="E356" s="71">
        <f t="shared" si="49"/>
        <v>6</v>
      </c>
      <c r="F356" s="71">
        <v>3001</v>
      </c>
      <c r="G356" s="71">
        <v>350</v>
      </c>
      <c r="H356" s="71">
        <v>0</v>
      </c>
      <c r="I356" s="71">
        <v>10406021</v>
      </c>
      <c r="J356" s="71">
        <v>100000</v>
      </c>
      <c r="K356" s="71">
        <f t="shared" si="50"/>
        <v>10401021</v>
      </c>
      <c r="L356" s="90" t="s">
        <v>803</v>
      </c>
      <c r="M356" s="91" t="s">
        <v>804</v>
      </c>
      <c r="N356" s="71" t="str">
        <f t="shared" si="48"/>
        <v>乱挥格挡</v>
      </c>
      <c r="O356" s="71"/>
      <c r="P356" s="71"/>
      <c r="Q356" s="71" t="s">
        <v>60</v>
      </c>
      <c r="R356" s="71">
        <v>0</v>
      </c>
      <c r="S356" s="74">
        <v>0</v>
      </c>
      <c r="T356" s="78">
        <v>0</v>
      </c>
      <c r="U356" s="78">
        <v>0</v>
      </c>
      <c r="V356" s="78">
        <v>0</v>
      </c>
      <c r="W356" s="71">
        <v>0</v>
      </c>
      <c r="X356" s="71">
        <v>0</v>
      </c>
      <c r="Y356" s="71">
        <v>0</v>
      </c>
      <c r="Z356" s="71">
        <v>10201007</v>
      </c>
    </row>
    <row r="357" ht="17.25" spans="1:26">
      <c r="A357" s="71">
        <v>10107001</v>
      </c>
      <c r="B357" s="87" t="s">
        <v>455</v>
      </c>
      <c r="C357" s="86" t="s">
        <v>727</v>
      </c>
      <c r="D357" s="71">
        <v>2</v>
      </c>
      <c r="E357" s="71">
        <f t="shared" si="49"/>
        <v>7</v>
      </c>
      <c r="F357" s="71">
        <v>2010</v>
      </c>
      <c r="G357" s="71">
        <v>350</v>
      </c>
      <c r="H357" s="71">
        <v>10000</v>
      </c>
      <c r="I357" s="71">
        <v>0</v>
      </c>
      <c r="J357" s="71">
        <v>180000</v>
      </c>
      <c r="K357" s="71">
        <f t="shared" si="50"/>
        <v>10101001</v>
      </c>
      <c r="L357" s="90" t="s">
        <v>728</v>
      </c>
      <c r="M357" s="91" t="s">
        <v>729</v>
      </c>
      <c r="N357" s="71" t="str">
        <f t="shared" si="48"/>
        <v>小鬼出击</v>
      </c>
      <c r="O357" s="71"/>
      <c r="P357" s="71"/>
      <c r="Q357" s="71" t="s">
        <v>60</v>
      </c>
      <c r="R357" s="71">
        <v>0</v>
      </c>
      <c r="S357" s="74">
        <v>1032002</v>
      </c>
      <c r="T357" s="78">
        <v>400</v>
      </c>
      <c r="U357" s="78">
        <v>1014</v>
      </c>
      <c r="V357" s="79" t="s">
        <v>459</v>
      </c>
      <c r="W357" s="71">
        <v>0</v>
      </c>
      <c r="X357" s="71">
        <v>0</v>
      </c>
      <c r="Y357" s="71">
        <v>0</v>
      </c>
      <c r="Z357" s="71">
        <v>0</v>
      </c>
    </row>
    <row r="358" ht="17.25" spans="1:26">
      <c r="A358" s="71">
        <v>10107002</v>
      </c>
      <c r="B358" s="87" t="s">
        <v>535</v>
      </c>
      <c r="C358" s="86" t="s">
        <v>730</v>
      </c>
      <c r="D358" s="71">
        <v>2</v>
      </c>
      <c r="E358" s="71">
        <f t="shared" ref="E358:E385" si="51">E337+1</f>
        <v>7</v>
      </c>
      <c r="F358" s="71">
        <v>2010</v>
      </c>
      <c r="G358" s="71">
        <v>350</v>
      </c>
      <c r="H358" s="71">
        <v>1430</v>
      </c>
      <c r="I358" s="71">
        <v>10107002</v>
      </c>
      <c r="J358" s="71">
        <v>180000</v>
      </c>
      <c r="K358" s="71">
        <f t="shared" si="50"/>
        <v>10101002</v>
      </c>
      <c r="L358" s="90" t="s">
        <v>731</v>
      </c>
      <c r="M358" s="91" t="s">
        <v>732</v>
      </c>
      <c r="N358" s="71" t="str">
        <f t="shared" si="48"/>
        <v>紫色雷霆</v>
      </c>
      <c r="O358" s="71"/>
      <c r="P358" s="71"/>
      <c r="Q358" s="71" t="s">
        <v>60</v>
      </c>
      <c r="R358" s="71">
        <v>0</v>
      </c>
      <c r="S358" s="74">
        <v>1039202</v>
      </c>
      <c r="T358" s="78">
        <v>600</v>
      </c>
      <c r="U358" s="78">
        <v>1011</v>
      </c>
      <c r="V358" s="78" t="s">
        <v>527</v>
      </c>
      <c r="W358" s="71">
        <v>0</v>
      </c>
      <c r="X358" s="71">
        <v>0</v>
      </c>
      <c r="Y358" s="71">
        <v>0</v>
      </c>
      <c r="Z358" s="71">
        <v>0</v>
      </c>
    </row>
    <row r="359" ht="17.25" spans="1:26">
      <c r="A359" s="71">
        <v>10107003</v>
      </c>
      <c r="B359" s="87" t="s">
        <v>296</v>
      </c>
      <c r="C359" s="86" t="s">
        <v>733</v>
      </c>
      <c r="D359" s="71">
        <v>2</v>
      </c>
      <c r="E359" s="71">
        <f t="shared" si="51"/>
        <v>7</v>
      </c>
      <c r="F359" s="71">
        <v>2010</v>
      </c>
      <c r="G359" s="71">
        <v>350</v>
      </c>
      <c r="H359" s="71">
        <v>2500</v>
      </c>
      <c r="I359" s="71">
        <v>10107003</v>
      </c>
      <c r="J359" s="71">
        <v>70000</v>
      </c>
      <c r="K359" s="71">
        <f t="shared" si="50"/>
        <v>10101003</v>
      </c>
      <c r="L359" s="90" t="s">
        <v>734</v>
      </c>
      <c r="M359" s="91" t="s">
        <v>735</v>
      </c>
      <c r="N359" s="71" t="str">
        <f t="shared" si="48"/>
        <v>噬影分身</v>
      </c>
      <c r="O359" s="71"/>
      <c r="P359" s="71"/>
      <c r="Q359" s="71" t="s">
        <v>60</v>
      </c>
      <c r="R359" s="71">
        <v>0</v>
      </c>
      <c r="S359" s="81">
        <v>1012002</v>
      </c>
      <c r="T359" s="78">
        <v>700</v>
      </c>
      <c r="U359" s="78">
        <v>1013</v>
      </c>
      <c r="V359" s="79" t="s">
        <v>300</v>
      </c>
      <c r="W359" s="71">
        <v>0</v>
      </c>
      <c r="X359" s="71">
        <v>0</v>
      </c>
      <c r="Y359" s="71">
        <v>0</v>
      </c>
      <c r="Z359" s="71">
        <v>5004001</v>
      </c>
    </row>
    <row r="360" ht="17.25" spans="1:26">
      <c r="A360" s="71">
        <v>10107004</v>
      </c>
      <c r="B360" s="71" t="s">
        <v>326</v>
      </c>
      <c r="C360" s="86" t="s">
        <v>736</v>
      </c>
      <c r="D360" s="71">
        <v>2</v>
      </c>
      <c r="E360" s="71">
        <f t="shared" si="51"/>
        <v>7</v>
      </c>
      <c r="F360" s="71">
        <v>2001</v>
      </c>
      <c r="G360" s="71">
        <v>350</v>
      </c>
      <c r="H360" s="71">
        <v>10000</v>
      </c>
      <c r="I360" s="71">
        <v>10107004</v>
      </c>
      <c r="J360" s="71">
        <v>180000</v>
      </c>
      <c r="K360" s="71">
        <f t="shared" si="50"/>
        <v>10101004</v>
      </c>
      <c r="L360" s="90" t="s">
        <v>737</v>
      </c>
      <c r="M360" s="91" t="s">
        <v>738</v>
      </c>
      <c r="N360" s="71" t="str">
        <f t="shared" ref="N360:N377" si="52">B360</f>
        <v>雷霆爪击</v>
      </c>
      <c r="O360" s="71"/>
      <c r="P360" s="71"/>
      <c r="Q360" s="71" t="s">
        <v>60</v>
      </c>
      <c r="R360" s="71">
        <v>0</v>
      </c>
      <c r="S360" s="74">
        <v>1014102</v>
      </c>
      <c r="T360" s="78">
        <v>700</v>
      </c>
      <c r="U360" s="78">
        <v>1014</v>
      </c>
      <c r="V360" s="78">
        <v>1700</v>
      </c>
      <c r="W360" s="71">
        <v>0</v>
      </c>
      <c r="X360" s="71">
        <v>0</v>
      </c>
      <c r="Y360" s="71">
        <v>0</v>
      </c>
      <c r="Z360" s="71">
        <v>0</v>
      </c>
    </row>
    <row r="361" ht="17.25" spans="1:26">
      <c r="A361" s="71">
        <v>10107005</v>
      </c>
      <c r="B361" s="71" t="s">
        <v>550</v>
      </c>
      <c r="C361" s="86" t="s">
        <v>739</v>
      </c>
      <c r="D361" s="71">
        <v>2</v>
      </c>
      <c r="E361" s="71">
        <f t="shared" si="51"/>
        <v>7</v>
      </c>
      <c r="F361" s="71">
        <v>2001</v>
      </c>
      <c r="G361" s="71">
        <v>350</v>
      </c>
      <c r="H361" s="71">
        <v>3330</v>
      </c>
      <c r="I361" s="71">
        <v>10107005</v>
      </c>
      <c r="J361" s="71">
        <v>180000</v>
      </c>
      <c r="K361" s="71">
        <f t="shared" si="50"/>
        <v>10101005</v>
      </c>
      <c r="L361" s="90" t="s">
        <v>740</v>
      </c>
      <c r="M361" s="91" t="s">
        <v>741</v>
      </c>
      <c r="N361" s="71" t="str">
        <f t="shared" si="52"/>
        <v>灵球猛击</v>
      </c>
      <c r="O361" s="71"/>
      <c r="P361" s="71"/>
      <c r="Q361" s="71" t="s">
        <v>60</v>
      </c>
      <c r="R361" s="71">
        <v>0</v>
      </c>
      <c r="S361" s="74">
        <v>1042002</v>
      </c>
      <c r="T361" s="78">
        <v>900</v>
      </c>
      <c r="U361" s="78">
        <v>1016</v>
      </c>
      <c r="V361" s="79">
        <v>1400</v>
      </c>
      <c r="W361" s="71">
        <v>0</v>
      </c>
      <c r="X361" s="71">
        <v>0</v>
      </c>
      <c r="Y361" s="71">
        <v>0</v>
      </c>
      <c r="Z361" s="71">
        <v>0</v>
      </c>
    </row>
    <row r="362" ht="17.25" spans="1:26">
      <c r="A362" s="71">
        <v>10107006</v>
      </c>
      <c r="B362" s="88" t="s">
        <v>594</v>
      </c>
      <c r="C362" s="86" t="s">
        <v>742</v>
      </c>
      <c r="D362" s="71">
        <v>2</v>
      </c>
      <c r="E362" s="71">
        <f t="shared" si="51"/>
        <v>7</v>
      </c>
      <c r="F362" s="71">
        <v>2001</v>
      </c>
      <c r="G362" s="71">
        <v>350</v>
      </c>
      <c r="H362" s="71">
        <v>1110</v>
      </c>
      <c r="I362" s="71">
        <v>10107006</v>
      </c>
      <c r="J362" s="71">
        <v>180000</v>
      </c>
      <c r="K362" s="71">
        <f t="shared" si="50"/>
        <v>10101006</v>
      </c>
      <c r="L362" s="90" t="s">
        <v>743</v>
      </c>
      <c r="M362" s="91" t="s">
        <v>744</v>
      </c>
      <c r="N362" s="71" t="str">
        <f t="shared" si="52"/>
        <v>火焰甩尾</v>
      </c>
      <c r="O362" s="71"/>
      <c r="P362" s="71"/>
      <c r="Q362" s="71" t="s">
        <v>60</v>
      </c>
      <c r="R362" s="71">
        <v>0</v>
      </c>
      <c r="S362" s="74">
        <v>1050002</v>
      </c>
      <c r="T362" s="81">
        <v>1000</v>
      </c>
      <c r="U362" s="81">
        <v>1012</v>
      </c>
      <c r="V362" s="81" t="s">
        <v>598</v>
      </c>
      <c r="W362" s="71">
        <v>0</v>
      </c>
      <c r="X362" s="71">
        <v>0</v>
      </c>
      <c r="Y362" s="71">
        <v>0</v>
      </c>
      <c r="Z362" s="71">
        <v>0</v>
      </c>
    </row>
    <row r="363" ht="17.25" spans="1:26">
      <c r="A363" s="71">
        <v>10207007</v>
      </c>
      <c r="B363" s="87" t="s">
        <v>745</v>
      </c>
      <c r="C363" s="86" t="s">
        <v>746</v>
      </c>
      <c r="D363" s="71">
        <v>2</v>
      </c>
      <c r="E363" s="71">
        <f t="shared" si="51"/>
        <v>7</v>
      </c>
      <c r="F363" s="71">
        <v>3001</v>
      </c>
      <c r="G363" s="71">
        <v>350</v>
      </c>
      <c r="H363" s="71">
        <v>0</v>
      </c>
      <c r="I363" s="71">
        <v>10207007</v>
      </c>
      <c r="J363" s="71">
        <v>100000</v>
      </c>
      <c r="K363" s="71">
        <f t="shared" si="50"/>
        <v>10201007</v>
      </c>
      <c r="L363" s="90" t="s">
        <v>747</v>
      </c>
      <c r="M363" s="91" t="s">
        <v>748</v>
      </c>
      <c r="N363" s="71" t="str">
        <f t="shared" si="52"/>
        <v>借点气势</v>
      </c>
      <c r="O363" s="71"/>
      <c r="P363" s="71"/>
      <c r="Q363" s="71" t="s">
        <v>60</v>
      </c>
      <c r="R363" s="71">
        <v>0</v>
      </c>
      <c r="S363" s="74">
        <v>0</v>
      </c>
      <c r="T363" s="78">
        <v>0</v>
      </c>
      <c r="U363" s="78">
        <v>0</v>
      </c>
      <c r="V363" s="78">
        <v>0</v>
      </c>
      <c r="W363" s="71">
        <v>0</v>
      </c>
      <c r="X363" s="71">
        <v>0</v>
      </c>
      <c r="Y363" s="71">
        <v>0</v>
      </c>
      <c r="Z363" s="71">
        <v>10201007</v>
      </c>
    </row>
    <row r="364" ht="17.25" spans="1:26">
      <c r="A364" s="71">
        <v>10207008</v>
      </c>
      <c r="B364" s="87" t="s">
        <v>749</v>
      </c>
      <c r="C364" s="86" t="s">
        <v>750</v>
      </c>
      <c r="D364" s="71">
        <v>2</v>
      </c>
      <c r="E364" s="71">
        <f t="shared" si="51"/>
        <v>7</v>
      </c>
      <c r="F364" s="71">
        <v>3001</v>
      </c>
      <c r="G364" s="71">
        <v>350</v>
      </c>
      <c r="H364" s="71">
        <v>0</v>
      </c>
      <c r="I364" s="71">
        <v>10207008</v>
      </c>
      <c r="J364" s="71">
        <v>100000</v>
      </c>
      <c r="K364" s="71">
        <f t="shared" si="50"/>
        <v>10201008</v>
      </c>
      <c r="L364" s="90" t="s">
        <v>751</v>
      </c>
      <c r="M364" s="91" t="s">
        <v>752</v>
      </c>
      <c r="N364" s="71" t="str">
        <f t="shared" si="52"/>
        <v>鼓腮加成</v>
      </c>
      <c r="O364" s="71"/>
      <c r="P364" s="71"/>
      <c r="Q364" s="71" t="s">
        <v>60</v>
      </c>
      <c r="R364" s="71">
        <v>0</v>
      </c>
      <c r="S364" s="74">
        <v>0</v>
      </c>
      <c r="T364" s="78">
        <v>0</v>
      </c>
      <c r="U364" s="78">
        <v>0</v>
      </c>
      <c r="V364" s="78">
        <v>0</v>
      </c>
      <c r="W364" s="71">
        <v>0</v>
      </c>
      <c r="X364" s="71">
        <v>0</v>
      </c>
      <c r="Y364" s="71">
        <v>0</v>
      </c>
      <c r="Z364" s="71">
        <v>10201007</v>
      </c>
    </row>
    <row r="365" ht="17.25" spans="1:26">
      <c r="A365" s="71">
        <v>10207009</v>
      </c>
      <c r="B365" s="87" t="s">
        <v>753</v>
      </c>
      <c r="C365" s="86" t="s">
        <v>754</v>
      </c>
      <c r="D365" s="71">
        <v>2</v>
      </c>
      <c r="E365" s="71">
        <f t="shared" si="51"/>
        <v>7</v>
      </c>
      <c r="F365" s="71">
        <v>3001</v>
      </c>
      <c r="G365" s="71">
        <v>350</v>
      </c>
      <c r="H365" s="71">
        <v>0</v>
      </c>
      <c r="I365" s="71">
        <v>10207009</v>
      </c>
      <c r="J365" s="71">
        <v>100000</v>
      </c>
      <c r="K365" s="71">
        <f t="shared" si="50"/>
        <v>10201009</v>
      </c>
      <c r="L365" s="90" t="s">
        <v>755</v>
      </c>
      <c r="M365" s="91" t="s">
        <v>756</v>
      </c>
      <c r="N365" s="71" t="str">
        <f t="shared" si="52"/>
        <v>元素渣涌</v>
      </c>
      <c r="O365" s="71"/>
      <c r="P365" s="71"/>
      <c r="Q365" s="71" t="s">
        <v>60</v>
      </c>
      <c r="R365" s="71">
        <v>0</v>
      </c>
      <c r="S365" s="74">
        <v>0</v>
      </c>
      <c r="T365" s="78">
        <v>0</v>
      </c>
      <c r="U365" s="78">
        <v>0</v>
      </c>
      <c r="V365" s="78">
        <v>0</v>
      </c>
      <c r="W365" s="71">
        <v>0</v>
      </c>
      <c r="X365" s="71">
        <v>0</v>
      </c>
      <c r="Y365" s="71">
        <v>0</v>
      </c>
      <c r="Z365" s="71">
        <v>10201007</v>
      </c>
    </row>
    <row r="366" ht="17.25" spans="1:26">
      <c r="A366" s="71">
        <v>10207010</v>
      </c>
      <c r="B366" s="87" t="s">
        <v>757</v>
      </c>
      <c r="C366" s="86" t="s">
        <v>758</v>
      </c>
      <c r="D366" s="71">
        <v>2</v>
      </c>
      <c r="E366" s="71">
        <f t="shared" si="51"/>
        <v>7</v>
      </c>
      <c r="F366" s="71">
        <v>3001</v>
      </c>
      <c r="G366" s="71">
        <v>350</v>
      </c>
      <c r="H366" s="71">
        <v>0</v>
      </c>
      <c r="I366" s="71">
        <v>10207010</v>
      </c>
      <c r="J366" s="71">
        <v>100000</v>
      </c>
      <c r="K366" s="71">
        <f t="shared" si="50"/>
        <v>10201010</v>
      </c>
      <c r="L366" s="90" t="s">
        <v>759</v>
      </c>
      <c r="M366" s="91" t="s">
        <v>760</v>
      </c>
      <c r="N366" s="71" t="str">
        <f t="shared" si="52"/>
        <v>暴击弱点</v>
      </c>
      <c r="O366" s="71"/>
      <c r="P366" s="71"/>
      <c r="Q366" s="71" t="s">
        <v>60</v>
      </c>
      <c r="R366" s="71">
        <v>0</v>
      </c>
      <c r="S366" s="74">
        <v>0</v>
      </c>
      <c r="T366" s="78">
        <v>0</v>
      </c>
      <c r="U366" s="78">
        <v>0</v>
      </c>
      <c r="V366" s="78">
        <v>0</v>
      </c>
      <c r="W366" s="71">
        <v>0</v>
      </c>
      <c r="X366" s="71">
        <v>0</v>
      </c>
      <c r="Y366" s="71">
        <v>0</v>
      </c>
      <c r="Z366" s="71">
        <v>10201007</v>
      </c>
    </row>
    <row r="367" ht="17.25" spans="1:26">
      <c r="A367" s="71">
        <v>10207011</v>
      </c>
      <c r="B367" s="87" t="s">
        <v>761</v>
      </c>
      <c r="C367" s="86" t="s">
        <v>762</v>
      </c>
      <c r="D367" s="71">
        <v>2</v>
      </c>
      <c r="E367" s="71">
        <f t="shared" si="51"/>
        <v>7</v>
      </c>
      <c r="F367" s="71">
        <v>3001</v>
      </c>
      <c r="G367" s="71">
        <v>350</v>
      </c>
      <c r="H367" s="71">
        <v>0</v>
      </c>
      <c r="I367" s="71">
        <v>10207011</v>
      </c>
      <c r="J367" s="71">
        <v>100000</v>
      </c>
      <c r="K367" s="71">
        <f t="shared" si="50"/>
        <v>10201011</v>
      </c>
      <c r="L367" s="90" t="s">
        <v>763</v>
      </c>
      <c r="M367" s="91" t="s">
        <v>764</v>
      </c>
      <c r="N367" s="71" t="str">
        <f t="shared" si="52"/>
        <v>暴击猛砸</v>
      </c>
      <c r="O367" s="71"/>
      <c r="P367" s="71"/>
      <c r="Q367" s="71" t="s">
        <v>60</v>
      </c>
      <c r="R367" s="71">
        <v>0</v>
      </c>
      <c r="S367" s="74">
        <v>0</v>
      </c>
      <c r="T367" s="78">
        <v>0</v>
      </c>
      <c r="U367" s="78">
        <v>0</v>
      </c>
      <c r="V367" s="78">
        <v>0</v>
      </c>
      <c r="W367" s="71">
        <v>0</v>
      </c>
      <c r="X367" s="71">
        <v>0</v>
      </c>
      <c r="Y367" s="71">
        <v>0</v>
      </c>
      <c r="Z367" s="71">
        <v>10201007</v>
      </c>
    </row>
    <row r="368" ht="17.25" spans="1:26">
      <c r="A368" s="71">
        <v>10307012</v>
      </c>
      <c r="B368" s="87" t="s">
        <v>765</v>
      </c>
      <c r="C368" s="86" t="s">
        <v>766</v>
      </c>
      <c r="D368" s="71">
        <v>2</v>
      </c>
      <c r="E368" s="71">
        <f t="shared" si="51"/>
        <v>7</v>
      </c>
      <c r="F368" s="71">
        <v>3001</v>
      </c>
      <c r="G368" s="71">
        <v>350</v>
      </c>
      <c r="H368" s="71">
        <v>0</v>
      </c>
      <c r="I368" s="71">
        <v>10307012</v>
      </c>
      <c r="J368" s="71">
        <v>100000</v>
      </c>
      <c r="K368" s="71">
        <f t="shared" si="50"/>
        <v>10301012</v>
      </c>
      <c r="L368" s="90" t="s">
        <v>767</v>
      </c>
      <c r="M368" s="91" t="s">
        <v>768</v>
      </c>
      <c r="N368" s="71" t="str">
        <f t="shared" si="52"/>
        <v>魔法疗愈</v>
      </c>
      <c r="O368" s="71"/>
      <c r="P368" s="71"/>
      <c r="Q368" s="71" t="s">
        <v>60</v>
      </c>
      <c r="R368" s="71">
        <v>0</v>
      </c>
      <c r="S368" s="74">
        <v>0</v>
      </c>
      <c r="T368" s="78">
        <v>0</v>
      </c>
      <c r="U368" s="78">
        <v>0</v>
      </c>
      <c r="V368" s="78">
        <v>0</v>
      </c>
      <c r="W368" s="71">
        <v>0</v>
      </c>
      <c r="X368" s="71">
        <v>0</v>
      </c>
      <c r="Y368" s="71">
        <v>0</v>
      </c>
      <c r="Z368" s="71">
        <v>10201007</v>
      </c>
    </row>
    <row r="369" ht="17.25" spans="1:26">
      <c r="A369" s="71">
        <v>10307013</v>
      </c>
      <c r="B369" s="87" t="s">
        <v>769</v>
      </c>
      <c r="C369" s="86" t="s">
        <v>770</v>
      </c>
      <c r="D369" s="71">
        <v>2</v>
      </c>
      <c r="E369" s="71">
        <f t="shared" si="51"/>
        <v>7</v>
      </c>
      <c r="F369" s="71">
        <v>3001</v>
      </c>
      <c r="G369" s="71">
        <v>350</v>
      </c>
      <c r="H369" s="71">
        <v>0</v>
      </c>
      <c r="I369" s="71">
        <v>10307013</v>
      </c>
      <c r="J369" s="71">
        <v>100000</v>
      </c>
      <c r="K369" s="71">
        <f t="shared" si="50"/>
        <v>10301013</v>
      </c>
      <c r="L369" s="90" t="s">
        <v>771</v>
      </c>
      <c r="M369" s="91" t="s">
        <v>772</v>
      </c>
      <c r="N369" s="71" t="str">
        <f t="shared" si="52"/>
        <v>回春疗愈</v>
      </c>
      <c r="O369" s="71"/>
      <c r="P369" s="71"/>
      <c r="Q369" s="71" t="s">
        <v>60</v>
      </c>
      <c r="R369" s="71">
        <v>0</v>
      </c>
      <c r="S369" s="74">
        <v>0</v>
      </c>
      <c r="T369" s="78">
        <v>0</v>
      </c>
      <c r="U369" s="78">
        <v>0</v>
      </c>
      <c r="V369" s="78">
        <v>0</v>
      </c>
      <c r="W369" s="71">
        <v>0</v>
      </c>
      <c r="X369" s="71">
        <v>0</v>
      </c>
      <c r="Y369" s="71">
        <v>0</v>
      </c>
      <c r="Z369" s="71">
        <v>10201007</v>
      </c>
    </row>
    <row r="370" ht="17.25" spans="1:26">
      <c r="A370" s="71">
        <v>10307014</v>
      </c>
      <c r="B370" s="87" t="s">
        <v>773</v>
      </c>
      <c r="C370" s="86" t="s">
        <v>774</v>
      </c>
      <c r="D370" s="71">
        <v>2</v>
      </c>
      <c r="E370" s="71">
        <f t="shared" si="51"/>
        <v>7</v>
      </c>
      <c r="F370" s="71">
        <v>3001</v>
      </c>
      <c r="G370" s="71">
        <v>350</v>
      </c>
      <c r="H370" s="71">
        <v>0</v>
      </c>
      <c r="I370" s="71">
        <v>10307014</v>
      </c>
      <c r="J370" s="71">
        <v>100000</v>
      </c>
      <c r="K370" s="71">
        <f t="shared" si="50"/>
        <v>10301014</v>
      </c>
      <c r="L370" s="90" t="s">
        <v>775</v>
      </c>
      <c r="M370" s="91" t="s">
        <v>776</v>
      </c>
      <c r="N370" s="71" t="str">
        <f t="shared" si="52"/>
        <v>糊层护盾</v>
      </c>
      <c r="O370" s="71"/>
      <c r="P370" s="71"/>
      <c r="Q370" s="71" t="s">
        <v>60</v>
      </c>
      <c r="R370" s="71">
        <v>0</v>
      </c>
      <c r="S370" s="74">
        <v>0</v>
      </c>
      <c r="T370" s="78">
        <v>0</v>
      </c>
      <c r="U370" s="78">
        <v>0</v>
      </c>
      <c r="V370" s="78">
        <v>0</v>
      </c>
      <c r="W370" s="71">
        <v>0</v>
      </c>
      <c r="X370" s="71">
        <v>0</v>
      </c>
      <c r="Y370" s="71">
        <v>0</v>
      </c>
      <c r="Z370" s="71">
        <v>10201007</v>
      </c>
    </row>
    <row r="371" ht="17.25" spans="1:26">
      <c r="A371" s="71">
        <v>10307015</v>
      </c>
      <c r="B371" s="87" t="s">
        <v>777</v>
      </c>
      <c r="C371" s="86" t="s">
        <v>778</v>
      </c>
      <c r="D371" s="71">
        <v>2</v>
      </c>
      <c r="E371" s="71">
        <f t="shared" si="51"/>
        <v>7</v>
      </c>
      <c r="F371" s="71">
        <v>3001</v>
      </c>
      <c r="G371" s="71">
        <v>350</v>
      </c>
      <c r="H371" s="71">
        <v>0</v>
      </c>
      <c r="I371" s="71">
        <v>10307015</v>
      </c>
      <c r="J371" s="71">
        <v>100000</v>
      </c>
      <c r="K371" s="71">
        <f t="shared" si="50"/>
        <v>10301015</v>
      </c>
      <c r="L371" s="90" t="s">
        <v>779</v>
      </c>
      <c r="M371" s="91" t="s">
        <v>780</v>
      </c>
      <c r="N371" s="71" t="str">
        <f t="shared" si="52"/>
        <v>偷点血量</v>
      </c>
      <c r="O371" s="71"/>
      <c r="P371" s="71"/>
      <c r="Q371" s="71" t="s">
        <v>60</v>
      </c>
      <c r="R371" s="71">
        <v>0</v>
      </c>
      <c r="S371" s="74">
        <v>0</v>
      </c>
      <c r="T371" s="78">
        <v>0</v>
      </c>
      <c r="U371" s="78">
        <v>0</v>
      </c>
      <c r="V371" s="78">
        <v>0</v>
      </c>
      <c r="W371" s="71">
        <v>0</v>
      </c>
      <c r="X371" s="71">
        <v>0</v>
      </c>
      <c r="Y371" s="71">
        <v>0</v>
      </c>
      <c r="Z371" s="71">
        <v>10201007</v>
      </c>
    </row>
    <row r="372" ht="17.25" spans="1:26">
      <c r="A372" s="71">
        <v>10307016</v>
      </c>
      <c r="B372" s="87" t="s">
        <v>781</v>
      </c>
      <c r="C372" s="86" t="s">
        <v>782</v>
      </c>
      <c r="D372" s="71">
        <v>2</v>
      </c>
      <c r="E372" s="71">
        <f t="shared" si="51"/>
        <v>7</v>
      </c>
      <c r="F372" s="71">
        <v>3001</v>
      </c>
      <c r="G372" s="71">
        <v>350</v>
      </c>
      <c r="H372" s="71">
        <v>0</v>
      </c>
      <c r="I372" s="71">
        <v>10307016</v>
      </c>
      <c r="J372" s="71">
        <v>100000</v>
      </c>
      <c r="K372" s="71">
        <f t="shared" si="50"/>
        <v>10301016</v>
      </c>
      <c r="L372" s="90" t="s">
        <v>783</v>
      </c>
      <c r="M372" s="91" t="s">
        <v>784</v>
      </c>
      <c r="N372" s="71" t="str">
        <f t="shared" si="52"/>
        <v>挨揍回血</v>
      </c>
      <c r="O372" s="71"/>
      <c r="P372" s="71"/>
      <c r="Q372" s="71" t="s">
        <v>60</v>
      </c>
      <c r="R372" s="71">
        <v>0</v>
      </c>
      <c r="S372" s="74">
        <v>0</v>
      </c>
      <c r="T372" s="78">
        <v>0</v>
      </c>
      <c r="U372" s="78">
        <v>0</v>
      </c>
      <c r="V372" s="78">
        <v>0</v>
      </c>
      <c r="W372" s="71">
        <v>0</v>
      </c>
      <c r="X372" s="71">
        <v>0</v>
      </c>
      <c r="Y372" s="71">
        <v>0</v>
      </c>
      <c r="Z372" s="71">
        <v>10201007</v>
      </c>
    </row>
    <row r="373" ht="17.25" spans="1:26">
      <c r="A373" s="71">
        <v>10407017</v>
      </c>
      <c r="B373" s="87" t="s">
        <v>785</v>
      </c>
      <c r="C373" s="86" t="s">
        <v>786</v>
      </c>
      <c r="D373" s="71">
        <v>2</v>
      </c>
      <c r="E373" s="71">
        <f t="shared" si="51"/>
        <v>7</v>
      </c>
      <c r="F373" s="71">
        <v>3001</v>
      </c>
      <c r="G373" s="71">
        <v>350</v>
      </c>
      <c r="H373" s="71">
        <v>0</v>
      </c>
      <c r="I373" s="71">
        <v>10407017</v>
      </c>
      <c r="J373" s="71">
        <v>100000</v>
      </c>
      <c r="K373" s="71">
        <f t="shared" si="50"/>
        <v>10401017</v>
      </c>
      <c r="L373" s="90" t="s">
        <v>787</v>
      </c>
      <c r="M373" s="91" t="s">
        <v>788</v>
      </c>
      <c r="N373" s="71" t="str">
        <f t="shared" si="52"/>
        <v>硬壳加持</v>
      </c>
      <c r="O373" s="71"/>
      <c r="P373" s="71"/>
      <c r="Q373" s="71" t="s">
        <v>60</v>
      </c>
      <c r="R373" s="71">
        <v>0</v>
      </c>
      <c r="S373" s="74">
        <v>0</v>
      </c>
      <c r="T373" s="78">
        <v>0</v>
      </c>
      <c r="U373" s="78">
        <v>0</v>
      </c>
      <c r="V373" s="78">
        <v>0</v>
      </c>
      <c r="W373" s="71">
        <v>0</v>
      </c>
      <c r="X373" s="71">
        <v>0</v>
      </c>
      <c r="Y373" s="71">
        <v>0</v>
      </c>
      <c r="Z373" s="71">
        <v>10201007</v>
      </c>
    </row>
    <row r="374" ht="17.25" spans="1:26">
      <c r="A374" s="71">
        <v>10407018</v>
      </c>
      <c r="B374" s="87" t="s">
        <v>789</v>
      </c>
      <c r="C374" s="86" t="s">
        <v>790</v>
      </c>
      <c r="D374" s="71">
        <v>2</v>
      </c>
      <c r="E374" s="71">
        <f t="shared" si="51"/>
        <v>7</v>
      </c>
      <c r="F374" s="71">
        <v>3001</v>
      </c>
      <c r="G374" s="71">
        <v>350</v>
      </c>
      <c r="H374" s="71">
        <v>0</v>
      </c>
      <c r="I374" s="71">
        <v>10407018</v>
      </c>
      <c r="J374" s="71">
        <v>100000</v>
      </c>
      <c r="K374" s="71">
        <f t="shared" si="50"/>
        <v>10401018</v>
      </c>
      <c r="L374" s="90" t="s">
        <v>791</v>
      </c>
      <c r="M374" s="91" t="s">
        <v>792</v>
      </c>
      <c r="N374" s="71" t="str">
        <f t="shared" si="52"/>
        <v>小盾挡挡</v>
      </c>
      <c r="O374" s="71"/>
      <c r="P374" s="71"/>
      <c r="Q374" s="71" t="s">
        <v>60</v>
      </c>
      <c r="R374" s="71">
        <v>0</v>
      </c>
      <c r="S374" s="74">
        <v>0</v>
      </c>
      <c r="T374" s="78">
        <v>0</v>
      </c>
      <c r="U374" s="78">
        <v>0</v>
      </c>
      <c r="V374" s="78">
        <v>0</v>
      </c>
      <c r="W374" s="71">
        <v>0</v>
      </c>
      <c r="X374" s="71">
        <v>0</v>
      </c>
      <c r="Y374" s="71">
        <v>0</v>
      </c>
      <c r="Z374" s="71">
        <v>10201007</v>
      </c>
    </row>
    <row r="375" ht="17.25" spans="1:26">
      <c r="A375" s="71">
        <v>10407019</v>
      </c>
      <c r="B375" s="87" t="s">
        <v>793</v>
      </c>
      <c r="C375" s="86" t="s">
        <v>794</v>
      </c>
      <c r="D375" s="71">
        <v>2</v>
      </c>
      <c r="E375" s="71">
        <f t="shared" si="51"/>
        <v>7</v>
      </c>
      <c r="F375" s="71">
        <v>3001</v>
      </c>
      <c r="G375" s="71">
        <v>350</v>
      </c>
      <c r="H375" s="71">
        <v>0</v>
      </c>
      <c r="I375" s="71">
        <v>10407019</v>
      </c>
      <c r="J375" s="71">
        <v>100000</v>
      </c>
      <c r="K375" s="71">
        <f t="shared" si="50"/>
        <v>10401019</v>
      </c>
      <c r="L375" s="90" t="s">
        <v>795</v>
      </c>
      <c r="M375" s="91" t="s">
        <v>796</v>
      </c>
      <c r="N375" s="71" t="str">
        <f t="shared" si="52"/>
        <v>厚皮加持</v>
      </c>
      <c r="O375" s="71"/>
      <c r="P375" s="71"/>
      <c r="Q375" s="71" t="s">
        <v>60</v>
      </c>
      <c r="R375" s="71">
        <v>0</v>
      </c>
      <c r="S375" s="74">
        <v>0</v>
      </c>
      <c r="T375" s="78">
        <v>0</v>
      </c>
      <c r="U375" s="78">
        <v>0</v>
      </c>
      <c r="V375" s="78">
        <v>0</v>
      </c>
      <c r="W375" s="71">
        <v>0</v>
      </c>
      <c r="X375" s="71">
        <v>0</v>
      </c>
      <c r="Y375" s="71">
        <v>0</v>
      </c>
      <c r="Z375" s="71">
        <v>10201007</v>
      </c>
    </row>
    <row r="376" ht="17.25" spans="1:26">
      <c r="A376" s="71">
        <v>10407020</v>
      </c>
      <c r="B376" s="87" t="s">
        <v>797</v>
      </c>
      <c r="C376" s="86" t="s">
        <v>798</v>
      </c>
      <c r="D376" s="71">
        <v>2</v>
      </c>
      <c r="E376" s="71">
        <f t="shared" si="51"/>
        <v>7</v>
      </c>
      <c r="F376" s="71">
        <v>3001</v>
      </c>
      <c r="G376" s="71">
        <v>350</v>
      </c>
      <c r="H376" s="71">
        <v>0</v>
      </c>
      <c r="I376" s="71">
        <v>10407020</v>
      </c>
      <c r="J376" s="71">
        <v>100000</v>
      </c>
      <c r="K376" s="71">
        <f t="shared" si="50"/>
        <v>10401020</v>
      </c>
      <c r="L376" s="90" t="s">
        <v>799</v>
      </c>
      <c r="M376" s="91" t="s">
        <v>800</v>
      </c>
      <c r="N376" s="71" t="str">
        <f t="shared" si="52"/>
        <v>溜得飞快</v>
      </c>
      <c r="O376" s="71"/>
      <c r="P376" s="71"/>
      <c r="Q376" s="71" t="s">
        <v>60</v>
      </c>
      <c r="R376" s="71">
        <v>0</v>
      </c>
      <c r="S376" s="74">
        <v>0</v>
      </c>
      <c r="T376" s="78">
        <v>0</v>
      </c>
      <c r="U376" s="78">
        <v>0</v>
      </c>
      <c r="V376" s="78">
        <v>0</v>
      </c>
      <c r="W376" s="71">
        <v>0</v>
      </c>
      <c r="X376" s="71">
        <v>0</v>
      </c>
      <c r="Y376" s="71">
        <v>0</v>
      </c>
      <c r="Z376" s="71">
        <v>10201007</v>
      </c>
    </row>
    <row r="377" ht="17.25" spans="1:26">
      <c r="A377" s="71">
        <v>10407021</v>
      </c>
      <c r="B377" s="87" t="s">
        <v>801</v>
      </c>
      <c r="C377" s="86" t="s">
        <v>802</v>
      </c>
      <c r="D377" s="71">
        <v>2</v>
      </c>
      <c r="E377" s="71">
        <f t="shared" si="51"/>
        <v>7</v>
      </c>
      <c r="F377" s="71">
        <v>3001</v>
      </c>
      <c r="G377" s="71">
        <v>350</v>
      </c>
      <c r="H377" s="71">
        <v>0</v>
      </c>
      <c r="I377" s="71">
        <v>10407021</v>
      </c>
      <c r="J377" s="71">
        <v>100000</v>
      </c>
      <c r="K377" s="71">
        <f t="shared" si="50"/>
        <v>10401021</v>
      </c>
      <c r="L377" s="90" t="s">
        <v>803</v>
      </c>
      <c r="M377" s="91" t="s">
        <v>804</v>
      </c>
      <c r="N377" s="71" t="str">
        <f t="shared" si="52"/>
        <v>乱挥格挡</v>
      </c>
      <c r="O377" s="71"/>
      <c r="P377" s="71"/>
      <c r="Q377" s="71" t="s">
        <v>60</v>
      </c>
      <c r="R377" s="71">
        <v>0</v>
      </c>
      <c r="S377" s="74">
        <v>0</v>
      </c>
      <c r="T377" s="78">
        <v>0</v>
      </c>
      <c r="U377" s="78">
        <v>0</v>
      </c>
      <c r="V377" s="78">
        <v>0</v>
      </c>
      <c r="W377" s="71">
        <v>0</v>
      </c>
      <c r="X377" s="71">
        <v>0</v>
      </c>
      <c r="Y377" s="71">
        <v>0</v>
      </c>
      <c r="Z377" s="71">
        <v>10201007</v>
      </c>
    </row>
    <row r="378" s="66" customFormat="1" spans="1:26">
      <c r="A378" s="71">
        <v>2000101</v>
      </c>
      <c r="B378" s="71" t="s">
        <v>805</v>
      </c>
      <c r="C378" s="71"/>
      <c r="D378" s="71">
        <v>1</v>
      </c>
      <c r="E378" s="71">
        <v>3</v>
      </c>
      <c r="F378" s="71">
        <v>1001</v>
      </c>
      <c r="G378" s="71">
        <v>350</v>
      </c>
      <c r="H378" s="71">
        <v>10000</v>
      </c>
      <c r="I378" s="76" t="s">
        <v>806</v>
      </c>
      <c r="J378" s="71">
        <v>0</v>
      </c>
      <c r="K378" s="71">
        <v>0</v>
      </c>
      <c r="L378" s="71" t="s">
        <v>807</v>
      </c>
      <c r="M378" t="s">
        <v>808</v>
      </c>
      <c r="N378" s="71" t="s">
        <v>805</v>
      </c>
      <c r="O378" s="71"/>
      <c r="P378" s="71"/>
      <c r="Q378" s="71" t="s">
        <v>227</v>
      </c>
      <c r="R378" s="71">
        <v>0</v>
      </c>
      <c r="S378" s="74">
        <v>0</v>
      </c>
      <c r="T378" s="71">
        <v>0</v>
      </c>
      <c r="U378" s="71">
        <v>1013</v>
      </c>
      <c r="V378" s="71">
        <v>730</v>
      </c>
      <c r="W378" s="71">
        <f>A378</f>
        <v>2000101</v>
      </c>
      <c r="X378" s="71">
        <v>500</v>
      </c>
      <c r="Y378" s="71">
        <v>250</v>
      </c>
      <c r="Z378" s="71">
        <v>0</v>
      </c>
    </row>
    <row r="379" spans="1:26">
      <c r="A379" s="71">
        <v>2000102</v>
      </c>
      <c r="B379" s="92" t="s">
        <v>809</v>
      </c>
      <c r="C379" s="92" t="s">
        <v>810</v>
      </c>
      <c r="D379" s="71">
        <v>2</v>
      </c>
      <c r="E379" s="71">
        <v>3</v>
      </c>
      <c r="F379" s="71">
        <v>2001</v>
      </c>
      <c r="G379" s="71">
        <v>325</v>
      </c>
      <c r="H379" s="71">
        <v>10000</v>
      </c>
      <c r="I379" s="76" t="s">
        <v>806</v>
      </c>
      <c r="J379" s="71">
        <v>80000</v>
      </c>
      <c r="K379" s="71">
        <v>2000102</v>
      </c>
      <c r="L379" s="71" t="s">
        <v>811</v>
      </c>
      <c r="M379" t="s">
        <v>812</v>
      </c>
      <c r="N379" s="71" t="s">
        <v>813</v>
      </c>
      <c r="O379" s="71"/>
      <c r="P379" s="71"/>
      <c r="Q379" s="71" t="s">
        <v>60</v>
      </c>
      <c r="R379" s="71">
        <v>0</v>
      </c>
      <c r="S379" s="74">
        <v>2000102</v>
      </c>
      <c r="T379" s="71">
        <v>0</v>
      </c>
      <c r="U379" s="71">
        <v>1013</v>
      </c>
      <c r="V379" s="71" t="s">
        <v>814</v>
      </c>
      <c r="W379" s="71">
        <v>0</v>
      </c>
      <c r="X379" s="71">
        <v>0</v>
      </c>
      <c r="Y379" s="71">
        <v>0</v>
      </c>
      <c r="Z379" s="71">
        <v>20001</v>
      </c>
    </row>
    <row r="380" spans="1:26">
      <c r="A380" s="71">
        <v>2001101</v>
      </c>
      <c r="B380" s="71" t="s">
        <v>815</v>
      </c>
      <c r="C380" s="71"/>
      <c r="D380" s="71">
        <v>1</v>
      </c>
      <c r="E380" s="71">
        <v>3</v>
      </c>
      <c r="F380" s="71">
        <v>1001</v>
      </c>
      <c r="G380" s="71">
        <v>350</v>
      </c>
      <c r="H380" s="71">
        <v>10000</v>
      </c>
      <c r="I380" s="76" t="s">
        <v>806</v>
      </c>
      <c r="J380" s="71">
        <v>10000</v>
      </c>
      <c r="K380" s="71">
        <v>0</v>
      </c>
      <c r="L380" s="71" t="s">
        <v>815</v>
      </c>
      <c r="M380" t="s">
        <v>816</v>
      </c>
      <c r="N380" s="71" t="s">
        <v>815</v>
      </c>
      <c r="O380" s="71"/>
      <c r="P380" s="71"/>
      <c r="Q380" s="71" t="s">
        <v>227</v>
      </c>
      <c r="R380" s="71">
        <v>0</v>
      </c>
      <c r="S380" s="74">
        <v>0</v>
      </c>
      <c r="T380" s="71">
        <v>0</v>
      </c>
      <c r="U380" s="71">
        <v>1013</v>
      </c>
      <c r="V380" s="71">
        <v>730</v>
      </c>
      <c r="W380" s="71">
        <f>A380</f>
        <v>2001101</v>
      </c>
      <c r="X380" s="71">
        <v>500</v>
      </c>
      <c r="Y380" s="71">
        <v>250</v>
      </c>
      <c r="Z380" s="71">
        <v>0</v>
      </c>
    </row>
    <row r="381" spans="1:26">
      <c r="A381" s="71">
        <v>2001102</v>
      </c>
      <c r="B381" s="92" t="s">
        <v>817</v>
      </c>
      <c r="C381" s="92" t="s">
        <v>818</v>
      </c>
      <c r="D381" s="71">
        <v>2</v>
      </c>
      <c r="E381" s="71">
        <v>3</v>
      </c>
      <c r="F381" s="71">
        <v>2001</v>
      </c>
      <c r="G381" s="71">
        <v>325</v>
      </c>
      <c r="H381" s="71">
        <v>10000</v>
      </c>
      <c r="I381" s="76" t="s">
        <v>806</v>
      </c>
      <c r="J381" s="71">
        <v>100000</v>
      </c>
      <c r="K381" s="71">
        <f>A381</f>
        <v>2001102</v>
      </c>
      <c r="L381" s="71" t="s">
        <v>819</v>
      </c>
      <c r="M381" t="s">
        <v>820</v>
      </c>
      <c r="N381" s="71" t="s">
        <v>821</v>
      </c>
      <c r="O381" s="71"/>
      <c r="P381" s="71"/>
      <c r="Q381" s="71" t="s">
        <v>60</v>
      </c>
      <c r="R381" s="71">
        <v>0</v>
      </c>
      <c r="S381" s="74">
        <v>2001102</v>
      </c>
      <c r="T381" s="71">
        <v>0</v>
      </c>
      <c r="U381" s="71">
        <v>1013</v>
      </c>
      <c r="V381" s="71">
        <v>700</v>
      </c>
      <c r="W381" s="71">
        <v>0</v>
      </c>
      <c r="X381" s="71">
        <v>0</v>
      </c>
      <c r="Y381" s="71">
        <v>0</v>
      </c>
      <c r="Z381" s="71">
        <v>20011</v>
      </c>
    </row>
    <row r="382" spans="1:26">
      <c r="A382" s="71">
        <v>2002101</v>
      </c>
      <c r="B382" s="71" t="s">
        <v>822</v>
      </c>
      <c r="C382" s="71"/>
      <c r="D382" s="71">
        <v>1</v>
      </c>
      <c r="E382" s="71">
        <v>3</v>
      </c>
      <c r="F382" s="71">
        <v>1001</v>
      </c>
      <c r="G382" s="71">
        <v>350</v>
      </c>
      <c r="H382" s="71">
        <v>10000</v>
      </c>
      <c r="I382" s="76" t="s">
        <v>806</v>
      </c>
      <c r="J382" s="71">
        <v>10000</v>
      </c>
      <c r="K382" s="71">
        <v>0</v>
      </c>
      <c r="L382" s="71" t="s">
        <v>823</v>
      </c>
      <c r="M382" t="s">
        <v>824</v>
      </c>
      <c r="N382" s="71" t="s">
        <v>822</v>
      </c>
      <c r="O382" s="71"/>
      <c r="P382" s="71"/>
      <c r="Q382" s="71" t="s">
        <v>227</v>
      </c>
      <c r="R382" s="71">
        <v>0</v>
      </c>
      <c r="S382" s="74">
        <v>0</v>
      </c>
      <c r="T382" s="71">
        <v>0</v>
      </c>
      <c r="U382" s="71">
        <v>1013</v>
      </c>
      <c r="V382" s="71">
        <v>730</v>
      </c>
      <c r="W382" s="71">
        <f>A382</f>
        <v>2002101</v>
      </c>
      <c r="X382" s="71">
        <v>500</v>
      </c>
      <c r="Y382" s="71">
        <v>250</v>
      </c>
      <c r="Z382" s="71">
        <v>0</v>
      </c>
    </row>
    <row r="383" spans="1:26">
      <c r="A383" s="71">
        <v>2002102</v>
      </c>
      <c r="B383" s="92" t="s">
        <v>825</v>
      </c>
      <c r="C383" s="92" t="s">
        <v>826</v>
      </c>
      <c r="D383" s="71">
        <v>2</v>
      </c>
      <c r="E383" s="71">
        <v>3</v>
      </c>
      <c r="F383" s="71">
        <v>2001</v>
      </c>
      <c r="G383" s="71">
        <v>325</v>
      </c>
      <c r="H383" s="71">
        <v>10000</v>
      </c>
      <c r="I383" s="76" t="s">
        <v>806</v>
      </c>
      <c r="J383" s="71">
        <v>160000</v>
      </c>
      <c r="K383" s="71">
        <f>A383</f>
        <v>2002102</v>
      </c>
      <c r="L383" s="71" t="s">
        <v>827</v>
      </c>
      <c r="M383" t="s">
        <v>828</v>
      </c>
      <c r="N383" s="71" t="s">
        <v>829</v>
      </c>
      <c r="O383" s="71"/>
      <c r="P383" s="71"/>
      <c r="Q383" s="71" t="s">
        <v>60</v>
      </c>
      <c r="R383" s="71">
        <v>0</v>
      </c>
      <c r="S383" s="74">
        <v>2002102</v>
      </c>
      <c r="T383" s="71">
        <v>0</v>
      </c>
      <c r="U383" s="71">
        <v>1013</v>
      </c>
      <c r="V383" s="71" t="s">
        <v>830</v>
      </c>
      <c r="W383" s="71">
        <v>0</v>
      </c>
      <c r="X383" s="71">
        <v>0</v>
      </c>
      <c r="Y383" s="71">
        <v>0</v>
      </c>
      <c r="Z383" s="71">
        <v>20021</v>
      </c>
    </row>
    <row r="384" spans="1:26">
      <c r="A384" s="71">
        <v>2002201</v>
      </c>
      <c r="B384" s="71" t="s">
        <v>831</v>
      </c>
      <c r="C384" s="71"/>
      <c r="D384" s="71">
        <v>1</v>
      </c>
      <c r="E384" s="71">
        <v>3</v>
      </c>
      <c r="F384" s="71">
        <v>1001</v>
      </c>
      <c r="G384" s="71">
        <v>350</v>
      </c>
      <c r="H384" s="71">
        <v>10000</v>
      </c>
      <c r="I384" s="76" t="s">
        <v>806</v>
      </c>
      <c r="J384" s="71">
        <v>10000</v>
      </c>
      <c r="K384" s="71">
        <v>0</v>
      </c>
      <c r="L384" s="71" t="s">
        <v>832</v>
      </c>
      <c r="M384" t="s">
        <v>833</v>
      </c>
      <c r="N384" s="71" t="s">
        <v>831</v>
      </c>
      <c r="O384" s="71"/>
      <c r="P384" s="71"/>
      <c r="Q384" s="71" t="s">
        <v>227</v>
      </c>
      <c r="R384" s="71">
        <v>0</v>
      </c>
      <c r="S384" s="74">
        <v>0</v>
      </c>
      <c r="T384" s="71">
        <v>0</v>
      </c>
      <c r="U384" s="71">
        <v>1012</v>
      </c>
      <c r="V384" s="71">
        <v>730</v>
      </c>
      <c r="W384" s="71">
        <f>A384</f>
        <v>2002201</v>
      </c>
      <c r="X384" s="71">
        <v>500</v>
      </c>
      <c r="Y384" s="71">
        <v>250</v>
      </c>
      <c r="Z384" s="71">
        <v>0</v>
      </c>
    </row>
    <row r="385" spans="1:26">
      <c r="A385" s="71">
        <v>2002202</v>
      </c>
      <c r="B385" s="92" t="s">
        <v>834</v>
      </c>
      <c r="C385" s="92" t="s">
        <v>835</v>
      </c>
      <c r="D385" s="71">
        <v>2</v>
      </c>
      <c r="E385" s="71">
        <v>3</v>
      </c>
      <c r="F385" s="71">
        <v>2001</v>
      </c>
      <c r="G385" s="71">
        <v>325</v>
      </c>
      <c r="H385" s="71">
        <v>10000</v>
      </c>
      <c r="I385" s="76" t="s">
        <v>806</v>
      </c>
      <c r="J385" s="71">
        <v>220000</v>
      </c>
      <c r="K385" s="71">
        <f>A385</f>
        <v>2002202</v>
      </c>
      <c r="L385" s="71" t="s">
        <v>836</v>
      </c>
      <c r="M385" t="s">
        <v>837</v>
      </c>
      <c r="N385" s="71" t="s">
        <v>838</v>
      </c>
      <c r="O385" s="71"/>
      <c r="P385" s="71"/>
      <c r="Q385" s="71" t="s">
        <v>60</v>
      </c>
      <c r="R385" s="71">
        <v>0</v>
      </c>
      <c r="S385" s="74">
        <v>2002202</v>
      </c>
      <c r="T385" s="71">
        <v>0</v>
      </c>
      <c r="U385" s="71">
        <v>1012</v>
      </c>
      <c r="V385" s="71">
        <v>500</v>
      </c>
      <c r="W385" s="71">
        <v>0</v>
      </c>
      <c r="X385" s="71">
        <v>0</v>
      </c>
      <c r="Y385" s="71">
        <v>0</v>
      </c>
      <c r="Z385" s="71">
        <v>20022</v>
      </c>
    </row>
    <row r="386" spans="1:26">
      <c r="A386" s="71">
        <v>2002301</v>
      </c>
      <c r="B386" s="71" t="s">
        <v>839</v>
      </c>
      <c r="C386" s="71"/>
      <c r="D386" s="71">
        <v>1</v>
      </c>
      <c r="E386" s="71">
        <v>3</v>
      </c>
      <c r="F386" s="71">
        <v>1001</v>
      </c>
      <c r="G386" s="71">
        <v>350</v>
      </c>
      <c r="H386" s="71">
        <v>10000</v>
      </c>
      <c r="I386" s="76" t="s">
        <v>806</v>
      </c>
      <c r="J386" s="71">
        <v>10000</v>
      </c>
      <c r="K386" s="71">
        <v>0</v>
      </c>
      <c r="L386" s="71" t="s">
        <v>840</v>
      </c>
      <c r="M386" t="s">
        <v>841</v>
      </c>
      <c r="N386" s="71" t="s">
        <v>839</v>
      </c>
      <c r="O386" s="71"/>
      <c r="P386" s="71"/>
      <c r="Q386" s="71" t="s">
        <v>227</v>
      </c>
      <c r="R386" s="71">
        <v>0</v>
      </c>
      <c r="S386" s="74">
        <v>0</v>
      </c>
      <c r="T386" s="71">
        <v>0</v>
      </c>
      <c r="U386" s="71">
        <v>1016</v>
      </c>
      <c r="V386" s="71">
        <v>730</v>
      </c>
      <c r="W386" s="71">
        <f>A386</f>
        <v>2002301</v>
      </c>
      <c r="X386" s="71">
        <v>500</v>
      </c>
      <c r="Y386" s="71">
        <v>250</v>
      </c>
      <c r="Z386" s="71">
        <v>0</v>
      </c>
    </row>
    <row r="387" spans="1:26">
      <c r="A387" s="71">
        <v>2002302</v>
      </c>
      <c r="B387" s="92" t="s">
        <v>842</v>
      </c>
      <c r="C387" s="92" t="s">
        <v>843</v>
      </c>
      <c r="D387" s="71">
        <v>2</v>
      </c>
      <c r="E387" s="71">
        <v>3</v>
      </c>
      <c r="F387" s="71">
        <v>2001</v>
      </c>
      <c r="G387" s="71">
        <v>325</v>
      </c>
      <c r="H387" s="71">
        <v>10000</v>
      </c>
      <c r="I387" s="76" t="s">
        <v>806</v>
      </c>
      <c r="J387" s="71">
        <v>70000</v>
      </c>
      <c r="K387" s="71">
        <f>A387</f>
        <v>2002302</v>
      </c>
      <c r="L387" s="71" t="s">
        <v>844</v>
      </c>
      <c r="M387" t="s">
        <v>845</v>
      </c>
      <c r="N387" s="71" t="s">
        <v>846</v>
      </c>
      <c r="O387" s="71"/>
      <c r="P387" s="71"/>
      <c r="Q387" s="71" t="s">
        <v>60</v>
      </c>
      <c r="R387" s="71">
        <v>0</v>
      </c>
      <c r="S387" s="74">
        <v>2002302</v>
      </c>
      <c r="T387" s="71">
        <v>0</v>
      </c>
      <c r="U387" s="71">
        <v>1016</v>
      </c>
      <c r="V387" s="71">
        <v>650</v>
      </c>
      <c r="W387" s="71">
        <v>0</v>
      </c>
      <c r="X387" s="71">
        <v>0</v>
      </c>
      <c r="Y387" s="71">
        <v>0</v>
      </c>
      <c r="Z387" s="71">
        <v>20023</v>
      </c>
    </row>
    <row r="388" spans="1:26">
      <c r="A388" s="71">
        <v>2003101</v>
      </c>
      <c r="B388" s="71" t="s">
        <v>847</v>
      </c>
      <c r="C388" s="71"/>
      <c r="D388" s="71">
        <v>1</v>
      </c>
      <c r="E388" s="71">
        <v>3</v>
      </c>
      <c r="F388" s="71">
        <v>1001</v>
      </c>
      <c r="G388" s="71">
        <v>350</v>
      </c>
      <c r="H388" s="71">
        <v>10000</v>
      </c>
      <c r="I388" s="76" t="s">
        <v>806</v>
      </c>
      <c r="J388" s="71">
        <v>10000</v>
      </c>
      <c r="K388" s="71">
        <v>0</v>
      </c>
      <c r="L388" s="71" t="s">
        <v>847</v>
      </c>
      <c r="M388" t="s">
        <v>848</v>
      </c>
      <c r="N388" s="71" t="s">
        <v>847</v>
      </c>
      <c r="O388" s="71"/>
      <c r="P388" s="71"/>
      <c r="Q388" s="71" t="s">
        <v>227</v>
      </c>
      <c r="R388" s="71">
        <v>0</v>
      </c>
      <c r="S388" s="74">
        <v>0</v>
      </c>
      <c r="T388" s="71">
        <v>0</v>
      </c>
      <c r="U388" s="71">
        <v>1013</v>
      </c>
      <c r="V388" s="71">
        <v>730</v>
      </c>
      <c r="W388" s="71">
        <f>A388</f>
        <v>2003101</v>
      </c>
      <c r="X388" s="71">
        <v>500</v>
      </c>
      <c r="Y388" s="71">
        <v>250</v>
      </c>
      <c r="Z388" s="71">
        <v>0</v>
      </c>
    </row>
    <row r="389" spans="1:26">
      <c r="A389" s="71">
        <v>2003102</v>
      </c>
      <c r="B389" s="92" t="s">
        <v>849</v>
      </c>
      <c r="C389" s="92" t="s">
        <v>850</v>
      </c>
      <c r="D389" s="71">
        <v>2</v>
      </c>
      <c r="E389" s="71">
        <v>3</v>
      </c>
      <c r="F389" s="71">
        <v>2001</v>
      </c>
      <c r="G389" s="71">
        <v>325</v>
      </c>
      <c r="H389" s="71">
        <v>10000</v>
      </c>
      <c r="I389" s="76" t="s">
        <v>806</v>
      </c>
      <c r="J389" s="71">
        <v>110000</v>
      </c>
      <c r="K389" s="71">
        <f>A389</f>
        <v>2003102</v>
      </c>
      <c r="L389" s="71" t="s">
        <v>851</v>
      </c>
      <c r="M389" t="s">
        <v>852</v>
      </c>
      <c r="N389" s="71" t="s">
        <v>853</v>
      </c>
      <c r="O389" s="71"/>
      <c r="P389" s="71"/>
      <c r="Q389" s="71" t="s">
        <v>60</v>
      </c>
      <c r="R389" s="71">
        <v>0</v>
      </c>
      <c r="S389" s="74">
        <f>A389</f>
        <v>2003102</v>
      </c>
      <c r="T389" s="79">
        <v>0</v>
      </c>
      <c r="U389" s="71">
        <v>1013</v>
      </c>
      <c r="V389" s="99" t="s">
        <v>854</v>
      </c>
      <c r="W389" s="71">
        <v>0</v>
      </c>
      <c r="X389" s="71">
        <v>0</v>
      </c>
      <c r="Y389" s="71">
        <v>0</v>
      </c>
      <c r="Z389" s="71">
        <v>20031</v>
      </c>
    </row>
    <row r="390" spans="1:26">
      <c r="A390" s="71">
        <v>2003201</v>
      </c>
      <c r="B390" s="71" t="s">
        <v>855</v>
      </c>
      <c r="C390" s="71"/>
      <c r="D390" s="71">
        <v>1</v>
      </c>
      <c r="E390" s="71">
        <v>3</v>
      </c>
      <c r="F390" s="71">
        <v>1001</v>
      </c>
      <c r="G390" s="71">
        <v>350</v>
      </c>
      <c r="H390" s="71">
        <v>10000</v>
      </c>
      <c r="I390" s="76" t="s">
        <v>806</v>
      </c>
      <c r="J390" s="71">
        <v>10000</v>
      </c>
      <c r="K390" s="71">
        <v>0</v>
      </c>
      <c r="L390" s="71" t="s">
        <v>855</v>
      </c>
      <c r="M390" t="s">
        <v>856</v>
      </c>
      <c r="N390" s="71" t="s">
        <v>855</v>
      </c>
      <c r="O390" s="71"/>
      <c r="P390" s="71"/>
      <c r="Q390" s="71" t="s">
        <v>227</v>
      </c>
      <c r="R390" s="71">
        <v>0</v>
      </c>
      <c r="S390" s="74">
        <v>0</v>
      </c>
      <c r="T390" s="71">
        <v>0</v>
      </c>
      <c r="U390" s="71">
        <v>1013</v>
      </c>
      <c r="V390" s="71">
        <v>730</v>
      </c>
      <c r="W390" s="71">
        <f>A390</f>
        <v>2003201</v>
      </c>
      <c r="X390" s="71">
        <v>500</v>
      </c>
      <c r="Y390" s="71">
        <v>250</v>
      </c>
      <c r="Z390" s="71">
        <v>0</v>
      </c>
    </row>
    <row r="391" spans="1:26">
      <c r="A391" s="71">
        <v>2003202</v>
      </c>
      <c r="B391" s="92" t="s">
        <v>857</v>
      </c>
      <c r="C391" s="92" t="s">
        <v>858</v>
      </c>
      <c r="D391" s="71">
        <v>2</v>
      </c>
      <c r="E391" s="71">
        <v>3</v>
      </c>
      <c r="F391" s="71">
        <v>2001</v>
      </c>
      <c r="G391" s="71">
        <v>325</v>
      </c>
      <c r="H391" s="71">
        <v>10000</v>
      </c>
      <c r="I391" s="76" t="s">
        <v>806</v>
      </c>
      <c r="J391" s="71">
        <v>100000</v>
      </c>
      <c r="K391" s="71">
        <f>A391</f>
        <v>2003202</v>
      </c>
      <c r="L391" s="71" t="s">
        <v>859</v>
      </c>
      <c r="M391" t="s">
        <v>860</v>
      </c>
      <c r="N391" s="71" t="s">
        <v>861</v>
      </c>
      <c r="O391" s="71"/>
      <c r="P391" s="71"/>
      <c r="Q391" s="71" t="s">
        <v>60</v>
      </c>
      <c r="R391" s="71">
        <v>0</v>
      </c>
      <c r="S391" s="74">
        <f>A391</f>
        <v>2003202</v>
      </c>
      <c r="T391" s="79">
        <v>0</v>
      </c>
      <c r="U391" s="71">
        <v>1013</v>
      </c>
      <c r="V391" s="71">
        <v>1500</v>
      </c>
      <c r="W391" s="71">
        <v>0</v>
      </c>
      <c r="X391" s="71">
        <v>0</v>
      </c>
      <c r="Y391" s="71">
        <v>0</v>
      </c>
      <c r="Z391" s="71">
        <v>20032</v>
      </c>
    </row>
    <row r="392" spans="1:26">
      <c r="A392" s="71">
        <v>2003301</v>
      </c>
      <c r="B392" s="71" t="s">
        <v>862</v>
      </c>
      <c r="C392" s="71"/>
      <c r="D392" s="71">
        <v>1</v>
      </c>
      <c r="E392" s="71">
        <v>3</v>
      </c>
      <c r="F392" s="71">
        <v>1001</v>
      </c>
      <c r="G392" s="71">
        <v>350</v>
      </c>
      <c r="H392" s="71">
        <v>10000</v>
      </c>
      <c r="I392" s="76" t="s">
        <v>806</v>
      </c>
      <c r="J392" s="71">
        <v>10000</v>
      </c>
      <c r="K392" s="71">
        <v>0</v>
      </c>
      <c r="L392" s="71" t="s">
        <v>862</v>
      </c>
      <c r="M392" t="s">
        <v>863</v>
      </c>
      <c r="N392" s="71" t="s">
        <v>862</v>
      </c>
      <c r="O392" s="71"/>
      <c r="P392" s="71"/>
      <c r="Q392" s="71" t="s">
        <v>227</v>
      </c>
      <c r="R392" s="71">
        <v>0</v>
      </c>
      <c r="S392" s="74">
        <v>0</v>
      </c>
      <c r="T392" s="71">
        <v>0</v>
      </c>
      <c r="U392" s="71">
        <v>1011</v>
      </c>
      <c r="V392" s="71">
        <v>730</v>
      </c>
      <c r="W392" s="71">
        <f>A392</f>
        <v>2003301</v>
      </c>
      <c r="X392" s="71">
        <v>500</v>
      </c>
      <c r="Y392" s="71">
        <v>250</v>
      </c>
      <c r="Z392" s="71">
        <v>0</v>
      </c>
    </row>
    <row r="393" spans="1:26">
      <c r="A393" s="71">
        <v>2003302</v>
      </c>
      <c r="B393" s="92" t="s">
        <v>864</v>
      </c>
      <c r="C393" s="92" t="s">
        <v>865</v>
      </c>
      <c r="D393" s="71">
        <v>2</v>
      </c>
      <c r="E393" s="71">
        <v>3</v>
      </c>
      <c r="F393" s="71">
        <v>2001</v>
      </c>
      <c r="G393" s="71">
        <v>325</v>
      </c>
      <c r="H393" s="71">
        <v>10000</v>
      </c>
      <c r="I393" s="76" t="s">
        <v>806</v>
      </c>
      <c r="J393" s="71">
        <v>180000</v>
      </c>
      <c r="K393" s="71">
        <f>A393</f>
        <v>2003302</v>
      </c>
      <c r="L393" s="71" t="s">
        <v>866</v>
      </c>
      <c r="M393" t="s">
        <v>867</v>
      </c>
      <c r="N393" s="71" t="s">
        <v>868</v>
      </c>
      <c r="O393" s="71"/>
      <c r="P393" s="71"/>
      <c r="Q393" s="71" t="s">
        <v>60</v>
      </c>
      <c r="R393" s="71">
        <v>0</v>
      </c>
      <c r="S393" s="74">
        <f>A393</f>
        <v>2003302</v>
      </c>
      <c r="T393" s="71">
        <v>0</v>
      </c>
      <c r="U393" s="71">
        <v>1011</v>
      </c>
      <c r="V393" s="99" t="s">
        <v>869</v>
      </c>
      <c r="W393" s="71">
        <v>0</v>
      </c>
      <c r="X393" s="71">
        <v>0</v>
      </c>
      <c r="Y393" s="71">
        <v>0</v>
      </c>
      <c r="Z393" s="71">
        <v>20033</v>
      </c>
    </row>
    <row r="394" spans="1:26">
      <c r="A394" s="71">
        <v>2003401</v>
      </c>
      <c r="B394" s="71" t="s">
        <v>870</v>
      </c>
      <c r="C394" s="71"/>
      <c r="D394" s="71">
        <v>1</v>
      </c>
      <c r="E394" s="71">
        <v>3</v>
      </c>
      <c r="F394" s="71">
        <v>1001</v>
      </c>
      <c r="G394" s="71">
        <v>350</v>
      </c>
      <c r="H394" s="71">
        <v>10000</v>
      </c>
      <c r="I394" s="76" t="s">
        <v>806</v>
      </c>
      <c r="J394" s="71">
        <v>10000</v>
      </c>
      <c r="K394" s="71">
        <v>0</v>
      </c>
      <c r="L394" s="71" t="s">
        <v>870</v>
      </c>
      <c r="M394" t="s">
        <v>871</v>
      </c>
      <c r="N394" s="71" t="s">
        <v>870</v>
      </c>
      <c r="O394" s="71"/>
      <c r="P394" s="71"/>
      <c r="Q394" s="71" t="s">
        <v>227</v>
      </c>
      <c r="R394" s="71">
        <v>0</v>
      </c>
      <c r="S394" s="74">
        <v>0</v>
      </c>
      <c r="T394" s="71">
        <v>0</v>
      </c>
      <c r="U394" s="71">
        <v>1011</v>
      </c>
      <c r="V394" s="71">
        <v>730</v>
      </c>
      <c r="W394" s="71">
        <f>A394</f>
        <v>2003401</v>
      </c>
      <c r="X394" s="71">
        <v>500</v>
      </c>
      <c r="Y394" s="71">
        <v>250</v>
      </c>
      <c r="Z394" s="71">
        <v>0</v>
      </c>
    </row>
    <row r="395" spans="1:26">
      <c r="A395" s="71">
        <v>2003402</v>
      </c>
      <c r="B395" s="92" t="s">
        <v>872</v>
      </c>
      <c r="C395" s="92" t="s">
        <v>873</v>
      </c>
      <c r="D395" s="71">
        <v>2</v>
      </c>
      <c r="E395" s="71">
        <v>3</v>
      </c>
      <c r="F395" s="71">
        <v>2001</v>
      </c>
      <c r="G395" s="71">
        <v>325</v>
      </c>
      <c r="H395" s="71">
        <v>10000</v>
      </c>
      <c r="I395" s="76" t="s">
        <v>806</v>
      </c>
      <c r="J395" s="71">
        <v>80000</v>
      </c>
      <c r="K395" s="71">
        <f>A395</f>
        <v>2003402</v>
      </c>
      <c r="L395" s="71" t="s">
        <v>874</v>
      </c>
      <c r="M395" t="s">
        <v>875</v>
      </c>
      <c r="N395" s="71" t="s">
        <v>876</v>
      </c>
      <c r="O395" s="71"/>
      <c r="P395" s="71"/>
      <c r="Q395" s="71" t="s">
        <v>60</v>
      </c>
      <c r="R395" s="71">
        <v>0</v>
      </c>
      <c r="S395" s="74">
        <f>A395</f>
        <v>2003402</v>
      </c>
      <c r="T395" s="71">
        <v>0</v>
      </c>
      <c r="U395" s="71">
        <v>1011</v>
      </c>
      <c r="V395" s="99" t="s">
        <v>877</v>
      </c>
      <c r="W395" s="71">
        <v>0</v>
      </c>
      <c r="X395" s="71">
        <v>0</v>
      </c>
      <c r="Y395" s="71">
        <v>0</v>
      </c>
      <c r="Z395" s="71">
        <v>20034</v>
      </c>
    </row>
    <row r="396" spans="1:26">
      <c r="A396" s="71">
        <v>2003501</v>
      </c>
      <c r="B396" s="71" t="s">
        <v>878</v>
      </c>
      <c r="C396" s="71"/>
      <c r="D396" s="71">
        <v>1</v>
      </c>
      <c r="E396" s="71">
        <v>3</v>
      </c>
      <c r="F396" s="71">
        <v>1001</v>
      </c>
      <c r="G396" s="71">
        <v>350</v>
      </c>
      <c r="H396" s="71">
        <v>10000</v>
      </c>
      <c r="I396" s="76" t="s">
        <v>806</v>
      </c>
      <c r="J396" s="71">
        <v>10000</v>
      </c>
      <c r="K396" s="71">
        <v>0</v>
      </c>
      <c r="L396" s="71" t="s">
        <v>878</v>
      </c>
      <c r="M396" t="s">
        <v>879</v>
      </c>
      <c r="N396" s="71" t="s">
        <v>878</v>
      </c>
      <c r="O396" s="71"/>
      <c r="P396" s="71"/>
      <c r="Q396" s="71" t="s">
        <v>227</v>
      </c>
      <c r="R396" s="71">
        <v>0</v>
      </c>
      <c r="S396" s="74">
        <v>0</v>
      </c>
      <c r="T396" s="71">
        <v>0</v>
      </c>
      <c r="U396" s="71">
        <v>1011</v>
      </c>
      <c r="V396" s="71">
        <v>730</v>
      </c>
      <c r="W396" s="71">
        <f>A396</f>
        <v>2003501</v>
      </c>
      <c r="X396" s="71">
        <v>500</v>
      </c>
      <c r="Y396" s="71">
        <v>250</v>
      </c>
      <c r="Z396" s="71">
        <v>0</v>
      </c>
    </row>
    <row r="397" spans="1:26">
      <c r="A397" s="71">
        <v>2003502</v>
      </c>
      <c r="B397" s="92" t="s">
        <v>880</v>
      </c>
      <c r="C397" s="92" t="s">
        <v>881</v>
      </c>
      <c r="D397" s="71">
        <v>2</v>
      </c>
      <c r="E397" s="71">
        <v>3</v>
      </c>
      <c r="F397" s="71">
        <v>2001</v>
      </c>
      <c r="G397" s="71">
        <v>325</v>
      </c>
      <c r="H397" s="71">
        <v>10000</v>
      </c>
      <c r="I397" s="76" t="s">
        <v>806</v>
      </c>
      <c r="J397" s="71">
        <v>160000</v>
      </c>
      <c r="K397" s="71">
        <f>A397</f>
        <v>2003502</v>
      </c>
      <c r="L397" s="71" t="s">
        <v>882</v>
      </c>
      <c r="M397" t="s">
        <v>883</v>
      </c>
      <c r="N397" s="71" t="s">
        <v>884</v>
      </c>
      <c r="O397" s="71"/>
      <c r="P397" s="71"/>
      <c r="Q397" s="71" t="s">
        <v>60</v>
      </c>
      <c r="R397" s="71">
        <v>0</v>
      </c>
      <c r="S397" s="74">
        <f>A397</f>
        <v>2003502</v>
      </c>
      <c r="T397" s="71">
        <v>0</v>
      </c>
      <c r="U397" s="71">
        <v>1011</v>
      </c>
      <c r="V397" s="71">
        <v>1250</v>
      </c>
      <c r="W397" s="71">
        <v>0</v>
      </c>
      <c r="X397" s="71">
        <v>0</v>
      </c>
      <c r="Y397" s="71">
        <v>0</v>
      </c>
      <c r="Z397" s="71">
        <v>20035</v>
      </c>
    </row>
    <row r="398" spans="1:26">
      <c r="A398" s="71">
        <v>2003601</v>
      </c>
      <c r="B398" s="71" t="s">
        <v>885</v>
      </c>
      <c r="C398" s="71"/>
      <c r="D398" s="71">
        <v>1</v>
      </c>
      <c r="E398" s="71">
        <v>3</v>
      </c>
      <c r="F398" s="71">
        <v>1001</v>
      </c>
      <c r="G398" s="71">
        <v>350</v>
      </c>
      <c r="H398" s="71">
        <v>10000</v>
      </c>
      <c r="I398" s="76" t="s">
        <v>806</v>
      </c>
      <c r="J398" s="71">
        <v>10000</v>
      </c>
      <c r="K398" s="71">
        <f>K399</f>
        <v>2003602</v>
      </c>
      <c r="L398" s="71" t="s">
        <v>886</v>
      </c>
      <c r="M398" t="s">
        <v>887</v>
      </c>
      <c r="N398" s="71" t="s">
        <v>885</v>
      </c>
      <c r="O398" s="71"/>
      <c r="P398" s="71"/>
      <c r="Q398" s="71" t="s">
        <v>227</v>
      </c>
      <c r="R398" s="71">
        <v>0</v>
      </c>
      <c r="S398" s="74">
        <v>0</v>
      </c>
      <c r="T398" s="71">
        <v>0</v>
      </c>
      <c r="U398" s="71">
        <v>1011</v>
      </c>
      <c r="V398" s="71">
        <v>730</v>
      </c>
      <c r="W398" s="71">
        <f>A398</f>
        <v>2003601</v>
      </c>
      <c r="X398" s="71">
        <v>500</v>
      </c>
      <c r="Y398" s="71">
        <v>250</v>
      </c>
      <c r="Z398" s="71">
        <v>0</v>
      </c>
    </row>
    <row r="399" spans="1:26">
      <c r="A399" s="71">
        <v>2003602</v>
      </c>
      <c r="B399" s="71" t="s">
        <v>888</v>
      </c>
      <c r="C399" s="71" t="s">
        <v>889</v>
      </c>
      <c r="D399" s="71">
        <v>2</v>
      </c>
      <c r="E399" s="71">
        <v>3</v>
      </c>
      <c r="F399" s="71">
        <v>2001</v>
      </c>
      <c r="G399" s="71">
        <v>325</v>
      </c>
      <c r="H399" s="71">
        <v>10000</v>
      </c>
      <c r="I399" s="76" t="s">
        <v>806</v>
      </c>
      <c r="J399" s="71">
        <v>100000</v>
      </c>
      <c r="K399" s="71">
        <f>A399</f>
        <v>2003602</v>
      </c>
      <c r="L399" s="71" t="s">
        <v>890</v>
      </c>
      <c r="M399" t="s">
        <v>891</v>
      </c>
      <c r="N399" s="71" t="s">
        <v>892</v>
      </c>
      <c r="O399" s="71"/>
      <c r="P399" s="71"/>
      <c r="Q399" s="71" t="s">
        <v>60</v>
      </c>
      <c r="R399" s="71">
        <v>0</v>
      </c>
      <c r="S399" s="74">
        <f>A399</f>
        <v>2003602</v>
      </c>
      <c r="T399" s="71">
        <v>0</v>
      </c>
      <c r="U399" s="71">
        <v>1011</v>
      </c>
      <c r="V399" s="71">
        <v>550</v>
      </c>
      <c r="W399" s="71">
        <v>0</v>
      </c>
      <c r="X399" s="71">
        <v>0</v>
      </c>
      <c r="Y399" s="71">
        <v>0</v>
      </c>
      <c r="Z399" s="71">
        <v>20036</v>
      </c>
    </row>
    <row r="400" ht="17.25" spans="1:26">
      <c r="A400" s="71">
        <f>A398+100</f>
        <v>2003701</v>
      </c>
      <c r="B400" s="93" t="s">
        <v>893</v>
      </c>
      <c r="C400" s="93"/>
      <c r="D400" s="71">
        <f>D398</f>
        <v>1</v>
      </c>
      <c r="E400" s="71">
        <v>3</v>
      </c>
      <c r="F400" s="71">
        <f>F398</f>
        <v>1001</v>
      </c>
      <c r="G400" s="71">
        <v>350</v>
      </c>
      <c r="H400" s="71">
        <v>10000</v>
      </c>
      <c r="I400" s="76" t="s">
        <v>806</v>
      </c>
      <c r="J400" s="71">
        <v>10000</v>
      </c>
      <c r="K400" s="71">
        <v>0</v>
      </c>
      <c r="L400" s="93" t="s">
        <v>893</v>
      </c>
      <c r="M400" t="s">
        <v>894</v>
      </c>
      <c r="N400" s="71" t="str">
        <f>B400</f>
        <v>妖刀姬普攻</v>
      </c>
      <c r="O400" s="71"/>
      <c r="P400" s="71"/>
      <c r="Q400" s="71" t="str">
        <f>Q398</f>
        <v>attack</v>
      </c>
      <c r="R400" s="71">
        <v>0</v>
      </c>
      <c r="S400" s="74">
        <f>S398</f>
        <v>0</v>
      </c>
      <c r="T400" s="71">
        <v>0</v>
      </c>
      <c r="U400" s="71">
        <v>1011</v>
      </c>
      <c r="V400" s="71">
        <v>730</v>
      </c>
      <c r="W400" s="71">
        <f>A400</f>
        <v>2003701</v>
      </c>
      <c r="X400" s="71">
        <f>X398</f>
        <v>500</v>
      </c>
      <c r="Y400" s="71">
        <f>Y398</f>
        <v>250</v>
      </c>
      <c r="Z400" s="71">
        <v>0</v>
      </c>
    </row>
    <row r="401" ht="17.25" spans="1:26">
      <c r="A401" s="71">
        <f t="shared" ref="A401:A417" si="53">A399+100</f>
        <v>2003702</v>
      </c>
      <c r="B401" s="93" t="s">
        <v>895</v>
      </c>
      <c r="C401" s="93" t="s">
        <v>896</v>
      </c>
      <c r="D401" s="71">
        <f t="shared" ref="D401:D418" si="54">D399</f>
        <v>2</v>
      </c>
      <c r="E401" s="71">
        <v>3</v>
      </c>
      <c r="F401" s="71">
        <f t="shared" ref="F401:F418" si="55">F399</f>
        <v>2001</v>
      </c>
      <c r="G401" s="71">
        <v>325</v>
      </c>
      <c r="H401" s="71">
        <v>10000</v>
      </c>
      <c r="I401" s="76" t="s">
        <v>806</v>
      </c>
      <c r="J401" s="71">
        <v>220000</v>
      </c>
      <c r="K401" s="71">
        <f>A401</f>
        <v>2003702</v>
      </c>
      <c r="L401" s="71" t="s">
        <v>897</v>
      </c>
      <c r="M401" t="s">
        <v>898</v>
      </c>
      <c r="N401" s="71" t="str">
        <f t="shared" ref="N401:N419" si="56">B401</f>
        <v>妖刀姬</v>
      </c>
      <c r="O401" s="71"/>
      <c r="P401" s="71"/>
      <c r="Q401" s="71" t="str">
        <f t="shared" ref="Q401:Q419" si="57">Q399</f>
        <v>skill</v>
      </c>
      <c r="R401" s="71">
        <v>0</v>
      </c>
      <c r="S401" s="74">
        <f>A401</f>
        <v>2003702</v>
      </c>
      <c r="T401" s="71">
        <v>0</v>
      </c>
      <c r="U401" s="71">
        <v>1011</v>
      </c>
      <c r="V401" s="100" t="s">
        <v>899</v>
      </c>
      <c r="W401" s="71">
        <v>0</v>
      </c>
      <c r="X401" s="71">
        <f t="shared" ref="X401:Y417" si="58">X399</f>
        <v>0</v>
      </c>
      <c r="Y401" s="71">
        <f t="shared" si="58"/>
        <v>0</v>
      </c>
      <c r="Z401" s="71">
        <f>Z399+1</f>
        <v>20037</v>
      </c>
    </row>
    <row r="402" ht="17.25" spans="1:27">
      <c r="A402" s="71">
        <f t="shared" si="53"/>
        <v>2003801</v>
      </c>
      <c r="B402" s="93" t="s">
        <v>900</v>
      </c>
      <c r="C402" s="93"/>
      <c r="D402" s="71">
        <f t="shared" si="54"/>
        <v>1</v>
      </c>
      <c r="E402" s="71">
        <v>3</v>
      </c>
      <c r="F402" s="71">
        <f t="shared" si="55"/>
        <v>1001</v>
      </c>
      <c r="G402" s="71">
        <v>350</v>
      </c>
      <c r="H402" s="71">
        <v>10000</v>
      </c>
      <c r="I402" s="76" t="s">
        <v>806</v>
      </c>
      <c r="J402" s="71">
        <v>10000</v>
      </c>
      <c r="K402" s="71">
        <v>0</v>
      </c>
      <c r="L402" s="93" t="s">
        <v>900</v>
      </c>
      <c r="M402" t="s">
        <v>901</v>
      </c>
      <c r="N402" s="71" t="str">
        <f t="shared" si="56"/>
        <v>战神高达普攻</v>
      </c>
      <c r="O402" s="71"/>
      <c r="P402" s="71"/>
      <c r="Q402" s="71" t="str">
        <f t="shared" si="57"/>
        <v>attack</v>
      </c>
      <c r="R402" s="71">
        <v>0</v>
      </c>
      <c r="S402" s="74">
        <f t="shared" ref="S402:S416" si="59">S400</f>
        <v>0</v>
      </c>
      <c r="T402" s="71">
        <v>0</v>
      </c>
      <c r="U402" s="71">
        <v>1011</v>
      </c>
      <c r="V402" s="71">
        <v>730</v>
      </c>
      <c r="W402" s="71">
        <f>A402</f>
        <v>2003801</v>
      </c>
      <c r="X402" s="71">
        <f t="shared" si="58"/>
        <v>500</v>
      </c>
      <c r="Y402" s="71">
        <f t="shared" si="58"/>
        <v>250</v>
      </c>
      <c r="Z402" s="71">
        <v>0</v>
      </c>
      <c r="AA402" s="100"/>
    </row>
    <row r="403" ht="17.25" spans="1:27">
      <c r="A403" s="71">
        <f t="shared" si="53"/>
        <v>2003802</v>
      </c>
      <c r="B403" s="93" t="s">
        <v>902</v>
      </c>
      <c r="C403" s="93" t="s">
        <v>903</v>
      </c>
      <c r="D403" s="71">
        <f t="shared" si="54"/>
        <v>2</v>
      </c>
      <c r="E403" s="71">
        <v>3</v>
      </c>
      <c r="F403" s="71">
        <f t="shared" si="55"/>
        <v>2001</v>
      </c>
      <c r="G403" s="71">
        <v>325</v>
      </c>
      <c r="H403" s="71">
        <v>10000</v>
      </c>
      <c r="I403" s="76" t="s">
        <v>806</v>
      </c>
      <c r="J403" s="71">
        <v>130000</v>
      </c>
      <c r="K403" s="71">
        <f>A403</f>
        <v>2003802</v>
      </c>
      <c r="L403" s="93" t="s">
        <v>904</v>
      </c>
      <c r="M403" t="s">
        <v>905</v>
      </c>
      <c r="N403" s="71" t="str">
        <f t="shared" si="56"/>
        <v>战神高达</v>
      </c>
      <c r="O403" s="71"/>
      <c r="P403" s="71"/>
      <c r="Q403" s="71" t="str">
        <f t="shared" si="57"/>
        <v>skill</v>
      </c>
      <c r="R403" s="71">
        <v>0</v>
      </c>
      <c r="S403" s="74">
        <f>A403</f>
        <v>2003802</v>
      </c>
      <c r="T403" s="71">
        <v>0</v>
      </c>
      <c r="U403" s="71">
        <v>1011</v>
      </c>
      <c r="V403" s="100" t="s">
        <v>906</v>
      </c>
      <c r="W403" s="71">
        <v>0</v>
      </c>
      <c r="X403" s="71">
        <f t="shared" si="58"/>
        <v>0</v>
      </c>
      <c r="Y403" s="71">
        <f t="shared" si="58"/>
        <v>0</v>
      </c>
      <c r="Z403" s="71">
        <f>Z401+1</f>
        <v>20038</v>
      </c>
      <c r="AA403" s="100"/>
    </row>
    <row r="404" ht="17.25" spans="1:27">
      <c r="A404" s="71">
        <f t="shared" si="53"/>
        <v>2003901</v>
      </c>
      <c r="B404" s="93" t="s">
        <v>907</v>
      </c>
      <c r="C404" s="93"/>
      <c r="D404" s="71">
        <f t="shared" si="54"/>
        <v>1</v>
      </c>
      <c r="E404" s="71">
        <v>3</v>
      </c>
      <c r="F404" s="71">
        <f t="shared" si="55"/>
        <v>1001</v>
      </c>
      <c r="G404" s="71">
        <v>350</v>
      </c>
      <c r="H404" s="71">
        <v>10000</v>
      </c>
      <c r="I404" s="76" t="s">
        <v>806</v>
      </c>
      <c r="J404" s="71">
        <v>10000</v>
      </c>
      <c r="K404" s="71">
        <v>0</v>
      </c>
      <c r="L404" s="93" t="s">
        <v>907</v>
      </c>
      <c r="M404" t="s">
        <v>908</v>
      </c>
      <c r="N404" s="71" t="str">
        <f t="shared" si="56"/>
        <v>永春少女普攻</v>
      </c>
      <c r="O404" s="71"/>
      <c r="P404" s="71"/>
      <c r="Q404" s="71" t="str">
        <f t="shared" si="57"/>
        <v>attack</v>
      </c>
      <c r="R404" s="71">
        <v>0</v>
      </c>
      <c r="S404" s="74">
        <f t="shared" si="59"/>
        <v>0</v>
      </c>
      <c r="T404" s="71">
        <v>0</v>
      </c>
      <c r="U404" s="71">
        <v>1011</v>
      </c>
      <c r="V404" s="71">
        <v>730</v>
      </c>
      <c r="W404" s="71">
        <f>A404</f>
        <v>2003901</v>
      </c>
      <c r="X404" s="71">
        <f t="shared" si="58"/>
        <v>500</v>
      </c>
      <c r="Y404" s="71">
        <f t="shared" si="58"/>
        <v>250</v>
      </c>
      <c r="Z404" s="71">
        <v>0</v>
      </c>
      <c r="AA404" s="100"/>
    </row>
    <row r="405" ht="17.25" spans="1:27">
      <c r="A405" s="71">
        <f t="shared" si="53"/>
        <v>2003902</v>
      </c>
      <c r="B405" s="93" t="s">
        <v>909</v>
      </c>
      <c r="C405" s="93" t="s">
        <v>910</v>
      </c>
      <c r="D405" s="71">
        <f t="shared" si="54"/>
        <v>2</v>
      </c>
      <c r="E405" s="71">
        <v>3</v>
      </c>
      <c r="F405" s="71">
        <f t="shared" si="55"/>
        <v>2001</v>
      </c>
      <c r="G405" s="71">
        <v>325</v>
      </c>
      <c r="H405" s="71">
        <v>10000</v>
      </c>
      <c r="I405" s="76" t="s">
        <v>806</v>
      </c>
      <c r="J405" s="71">
        <v>70000</v>
      </c>
      <c r="K405" s="71">
        <f>A405</f>
        <v>2003902</v>
      </c>
      <c r="L405" s="93" t="s">
        <v>911</v>
      </c>
      <c r="M405" t="s">
        <v>912</v>
      </c>
      <c r="N405" s="71" t="str">
        <f t="shared" si="56"/>
        <v>永春少女</v>
      </c>
      <c r="O405" s="71"/>
      <c r="P405" s="71"/>
      <c r="Q405" s="71" t="str">
        <f t="shared" si="57"/>
        <v>skill</v>
      </c>
      <c r="R405" s="71">
        <v>0</v>
      </c>
      <c r="S405" s="74">
        <f>A405</f>
        <v>2003902</v>
      </c>
      <c r="T405" s="71">
        <v>0</v>
      </c>
      <c r="U405" s="71">
        <v>1011</v>
      </c>
      <c r="V405" s="100" t="s">
        <v>913</v>
      </c>
      <c r="W405" s="71">
        <v>0</v>
      </c>
      <c r="X405" s="71">
        <f t="shared" si="58"/>
        <v>0</v>
      </c>
      <c r="Y405" s="71">
        <f t="shared" si="58"/>
        <v>0</v>
      </c>
      <c r="Z405" s="71">
        <f>Z403+1</f>
        <v>20039</v>
      </c>
      <c r="AA405" s="100"/>
    </row>
    <row r="406" ht="17.25" spans="1:27">
      <c r="A406" s="71">
        <f t="shared" si="53"/>
        <v>2004001</v>
      </c>
      <c r="B406" s="93" t="s">
        <v>914</v>
      </c>
      <c r="C406" s="93"/>
      <c r="D406" s="71">
        <f t="shared" si="54"/>
        <v>1</v>
      </c>
      <c r="E406" s="71">
        <v>3</v>
      </c>
      <c r="F406" s="71">
        <f t="shared" si="55"/>
        <v>1001</v>
      </c>
      <c r="G406" s="71">
        <v>350</v>
      </c>
      <c r="H406" s="71">
        <v>10000</v>
      </c>
      <c r="I406" s="76" t="s">
        <v>806</v>
      </c>
      <c r="J406" s="71">
        <v>10000</v>
      </c>
      <c r="K406" s="71">
        <v>0</v>
      </c>
      <c r="L406" s="93" t="s">
        <v>914</v>
      </c>
      <c r="M406" t="s">
        <v>915</v>
      </c>
      <c r="N406" s="71" t="str">
        <f t="shared" si="56"/>
        <v>魔法萝莉普攻</v>
      </c>
      <c r="O406" s="71"/>
      <c r="P406" s="71"/>
      <c r="Q406" s="71" t="str">
        <f t="shared" si="57"/>
        <v>attack</v>
      </c>
      <c r="R406" s="71">
        <v>0</v>
      </c>
      <c r="S406" s="74">
        <f t="shared" si="59"/>
        <v>0</v>
      </c>
      <c r="T406" s="71">
        <v>0</v>
      </c>
      <c r="U406" s="71">
        <v>1011</v>
      </c>
      <c r="V406" s="71">
        <v>730</v>
      </c>
      <c r="W406" s="71">
        <f>A406</f>
        <v>2004001</v>
      </c>
      <c r="X406" s="71">
        <f t="shared" si="58"/>
        <v>500</v>
      </c>
      <c r="Y406" s="71">
        <f t="shared" si="58"/>
        <v>250</v>
      </c>
      <c r="Z406" s="71">
        <v>0</v>
      </c>
      <c r="AA406" s="100"/>
    </row>
    <row r="407" ht="17.25" spans="1:27">
      <c r="A407" s="71">
        <f t="shared" si="53"/>
        <v>2004002</v>
      </c>
      <c r="B407" s="93" t="s">
        <v>916</v>
      </c>
      <c r="C407" s="93" t="s">
        <v>917</v>
      </c>
      <c r="D407" s="71">
        <f t="shared" si="54"/>
        <v>2</v>
      </c>
      <c r="E407" s="71">
        <v>3</v>
      </c>
      <c r="F407" s="71">
        <f t="shared" si="55"/>
        <v>2001</v>
      </c>
      <c r="G407" s="71">
        <v>325</v>
      </c>
      <c r="H407" s="71">
        <v>10000</v>
      </c>
      <c r="I407" s="76" t="s">
        <v>806</v>
      </c>
      <c r="J407" s="71">
        <v>140000</v>
      </c>
      <c r="K407" s="71">
        <f>A407</f>
        <v>2004002</v>
      </c>
      <c r="L407" s="93" t="s">
        <v>918</v>
      </c>
      <c r="M407" t="s">
        <v>919</v>
      </c>
      <c r="N407" s="71" t="str">
        <f t="shared" si="56"/>
        <v>魔法萝莉</v>
      </c>
      <c r="O407" s="71"/>
      <c r="P407" s="71"/>
      <c r="Q407" s="71" t="str">
        <f t="shared" si="57"/>
        <v>skill</v>
      </c>
      <c r="R407" s="71">
        <v>0</v>
      </c>
      <c r="S407" s="74">
        <f>A407</f>
        <v>2004002</v>
      </c>
      <c r="T407" s="71">
        <v>0</v>
      </c>
      <c r="U407" s="71">
        <v>1011</v>
      </c>
      <c r="V407" s="100" t="s">
        <v>920</v>
      </c>
      <c r="W407" s="71">
        <v>0</v>
      </c>
      <c r="X407" s="71">
        <f t="shared" si="58"/>
        <v>0</v>
      </c>
      <c r="Y407" s="71">
        <f t="shared" si="58"/>
        <v>0</v>
      </c>
      <c r="Z407" s="71">
        <f>Z405+1</f>
        <v>20040</v>
      </c>
      <c r="AA407" s="100"/>
    </row>
    <row r="408" ht="17.25" spans="1:27">
      <c r="A408" s="71">
        <f t="shared" si="53"/>
        <v>2004101</v>
      </c>
      <c r="B408" s="93" t="s">
        <v>921</v>
      </c>
      <c r="C408" s="93"/>
      <c r="D408" s="71">
        <f t="shared" si="54"/>
        <v>1</v>
      </c>
      <c r="E408" s="71">
        <v>3</v>
      </c>
      <c r="F408" s="71">
        <f t="shared" si="55"/>
        <v>1001</v>
      </c>
      <c r="G408" s="71">
        <v>350</v>
      </c>
      <c r="H408" s="71">
        <v>10000</v>
      </c>
      <c r="I408" s="76" t="s">
        <v>806</v>
      </c>
      <c r="J408" s="71">
        <v>10000</v>
      </c>
      <c r="K408" s="71">
        <v>0</v>
      </c>
      <c r="L408" s="93" t="s">
        <v>921</v>
      </c>
      <c r="M408" t="s">
        <v>922</v>
      </c>
      <c r="N408" s="71" t="str">
        <f t="shared" si="56"/>
        <v>厄运玫瑰普攻</v>
      </c>
      <c r="O408" s="71"/>
      <c r="P408" s="71"/>
      <c r="Q408" s="71" t="str">
        <f t="shared" si="57"/>
        <v>attack</v>
      </c>
      <c r="R408" s="71">
        <v>0</v>
      </c>
      <c r="S408" s="74">
        <f t="shared" si="59"/>
        <v>0</v>
      </c>
      <c r="T408" s="71">
        <v>0</v>
      </c>
      <c r="U408" s="71">
        <v>1011</v>
      </c>
      <c r="V408" s="71">
        <v>730</v>
      </c>
      <c r="W408" s="71">
        <f>A408</f>
        <v>2004101</v>
      </c>
      <c r="X408" s="71">
        <f t="shared" si="58"/>
        <v>500</v>
      </c>
      <c r="Y408" s="71">
        <f t="shared" si="58"/>
        <v>250</v>
      </c>
      <c r="Z408" s="71">
        <v>0</v>
      </c>
      <c r="AA408" s="100"/>
    </row>
    <row r="409" ht="17.25" spans="1:27">
      <c r="A409" s="71">
        <f t="shared" si="53"/>
        <v>2004102</v>
      </c>
      <c r="B409" s="93" t="s">
        <v>923</v>
      </c>
      <c r="C409" s="93" t="s">
        <v>924</v>
      </c>
      <c r="D409" s="71">
        <f t="shared" si="54"/>
        <v>2</v>
      </c>
      <c r="E409" s="71">
        <v>3</v>
      </c>
      <c r="F409" s="71">
        <f t="shared" si="55"/>
        <v>2001</v>
      </c>
      <c r="G409" s="71">
        <v>325</v>
      </c>
      <c r="H409" s="71">
        <v>10000</v>
      </c>
      <c r="I409" s="76" t="s">
        <v>806</v>
      </c>
      <c r="J409" s="71">
        <v>150000</v>
      </c>
      <c r="K409" s="71">
        <f>A409</f>
        <v>2004102</v>
      </c>
      <c r="L409" s="93" t="s">
        <v>925</v>
      </c>
      <c r="M409" t="s">
        <v>926</v>
      </c>
      <c r="N409" s="71" t="str">
        <f t="shared" si="56"/>
        <v>厄运玫瑰</v>
      </c>
      <c r="O409" s="71"/>
      <c r="P409" s="71"/>
      <c r="Q409" s="71" t="str">
        <f t="shared" si="57"/>
        <v>skill</v>
      </c>
      <c r="R409" s="71">
        <v>0</v>
      </c>
      <c r="S409" s="74">
        <f>A409</f>
        <v>2004102</v>
      </c>
      <c r="T409" s="71">
        <v>0</v>
      </c>
      <c r="U409" s="71">
        <v>1011</v>
      </c>
      <c r="V409" s="100" t="s">
        <v>927</v>
      </c>
      <c r="W409" s="71">
        <v>0</v>
      </c>
      <c r="X409" s="71">
        <f t="shared" si="58"/>
        <v>0</v>
      </c>
      <c r="Y409" s="71">
        <f t="shared" si="58"/>
        <v>0</v>
      </c>
      <c r="Z409" s="71">
        <f>Z407+1</f>
        <v>20041</v>
      </c>
      <c r="AA409" s="100"/>
    </row>
    <row r="410" ht="17.25" spans="1:27">
      <c r="A410" s="71">
        <f t="shared" si="53"/>
        <v>2004201</v>
      </c>
      <c r="B410" s="93" t="s">
        <v>928</v>
      </c>
      <c r="C410" s="93"/>
      <c r="D410" s="71">
        <f t="shared" si="54"/>
        <v>1</v>
      </c>
      <c r="E410" s="71">
        <v>3</v>
      </c>
      <c r="F410" s="71">
        <f t="shared" si="55"/>
        <v>1001</v>
      </c>
      <c r="G410" s="71">
        <v>350</v>
      </c>
      <c r="H410" s="71">
        <v>10000</v>
      </c>
      <c r="I410" s="76" t="s">
        <v>806</v>
      </c>
      <c r="J410" s="71">
        <v>10000</v>
      </c>
      <c r="K410" s="71">
        <v>0</v>
      </c>
      <c r="L410" s="93" t="s">
        <v>928</v>
      </c>
      <c r="M410" t="s">
        <v>929</v>
      </c>
      <c r="N410" s="71" t="str">
        <f t="shared" si="56"/>
        <v>扑克王普攻</v>
      </c>
      <c r="O410" s="71"/>
      <c r="P410" s="71"/>
      <c r="Q410" s="71" t="str">
        <f t="shared" si="57"/>
        <v>attack</v>
      </c>
      <c r="R410" s="71">
        <v>0</v>
      </c>
      <c r="S410" s="74">
        <f t="shared" si="59"/>
        <v>0</v>
      </c>
      <c r="T410" s="71">
        <v>0</v>
      </c>
      <c r="U410" s="71">
        <v>1011</v>
      </c>
      <c r="V410" s="71">
        <v>730</v>
      </c>
      <c r="W410" s="71">
        <f>A410</f>
        <v>2004201</v>
      </c>
      <c r="X410" s="71">
        <f t="shared" si="58"/>
        <v>500</v>
      </c>
      <c r="Y410" s="71">
        <f t="shared" si="58"/>
        <v>250</v>
      </c>
      <c r="Z410" s="71">
        <v>0</v>
      </c>
      <c r="AA410" s="100"/>
    </row>
    <row r="411" ht="17.25" spans="1:26">
      <c r="A411" s="71">
        <f t="shared" si="53"/>
        <v>2004202</v>
      </c>
      <c r="B411" s="93" t="s">
        <v>930</v>
      </c>
      <c r="C411" s="93" t="s">
        <v>931</v>
      </c>
      <c r="D411" s="71">
        <f t="shared" si="54"/>
        <v>2</v>
      </c>
      <c r="E411" s="71">
        <v>3</v>
      </c>
      <c r="F411" s="71">
        <f t="shared" si="55"/>
        <v>2001</v>
      </c>
      <c r="G411" s="71">
        <v>325</v>
      </c>
      <c r="H411" s="71">
        <v>10000</v>
      </c>
      <c r="I411" s="76" t="s">
        <v>806</v>
      </c>
      <c r="J411" s="71">
        <v>80000</v>
      </c>
      <c r="K411" s="71">
        <f>A411</f>
        <v>2004202</v>
      </c>
      <c r="L411" s="93" t="s">
        <v>932</v>
      </c>
      <c r="M411" t="s">
        <v>933</v>
      </c>
      <c r="N411" s="71" t="str">
        <f t="shared" si="56"/>
        <v>扑克王</v>
      </c>
      <c r="O411" s="71"/>
      <c r="P411" s="71"/>
      <c r="Q411" s="71" t="str">
        <f t="shared" si="57"/>
        <v>skill</v>
      </c>
      <c r="R411" s="71">
        <v>0</v>
      </c>
      <c r="S411" s="74">
        <f>A411</f>
        <v>2004202</v>
      </c>
      <c r="T411" s="71">
        <v>0</v>
      </c>
      <c r="U411" s="71">
        <v>1011</v>
      </c>
      <c r="V411" s="100">
        <v>1000</v>
      </c>
      <c r="W411" s="71">
        <v>0</v>
      </c>
      <c r="X411" s="71">
        <f t="shared" si="58"/>
        <v>0</v>
      </c>
      <c r="Y411" s="71">
        <f t="shared" si="58"/>
        <v>0</v>
      </c>
      <c r="Z411" s="71">
        <f>Z409+1</f>
        <v>20042</v>
      </c>
    </row>
    <row r="412" ht="17.25" spans="1:26">
      <c r="A412" s="71">
        <f t="shared" si="53"/>
        <v>2004301</v>
      </c>
      <c r="B412" s="93" t="s">
        <v>934</v>
      </c>
      <c r="C412" s="93"/>
      <c r="D412" s="71">
        <f t="shared" si="54"/>
        <v>1</v>
      </c>
      <c r="E412" s="71">
        <v>3</v>
      </c>
      <c r="F412" s="71">
        <f t="shared" si="55"/>
        <v>1001</v>
      </c>
      <c r="G412" s="71">
        <v>350</v>
      </c>
      <c r="H412" s="71">
        <v>10000</v>
      </c>
      <c r="I412" s="76" t="s">
        <v>806</v>
      </c>
      <c r="J412" s="71">
        <v>10000</v>
      </c>
      <c r="K412" s="71">
        <v>0</v>
      </c>
      <c r="L412" s="93" t="s">
        <v>934</v>
      </c>
      <c r="M412" t="s">
        <v>935</v>
      </c>
      <c r="N412" s="71" t="str">
        <f t="shared" si="56"/>
        <v>哪吒普攻</v>
      </c>
      <c r="O412" s="71"/>
      <c r="P412" s="71"/>
      <c r="Q412" s="71" t="str">
        <f t="shared" si="57"/>
        <v>attack</v>
      </c>
      <c r="R412" s="71">
        <v>0</v>
      </c>
      <c r="S412" s="74">
        <f t="shared" si="59"/>
        <v>0</v>
      </c>
      <c r="T412" s="71">
        <v>0</v>
      </c>
      <c r="U412" s="71">
        <v>1011</v>
      </c>
      <c r="V412" s="71">
        <v>730</v>
      </c>
      <c r="W412" s="71">
        <f>A412</f>
        <v>2004301</v>
      </c>
      <c r="X412" s="71">
        <f t="shared" si="58"/>
        <v>500</v>
      </c>
      <c r="Y412" s="71">
        <f t="shared" si="58"/>
        <v>250</v>
      </c>
      <c r="Z412" s="71">
        <v>0</v>
      </c>
    </row>
    <row r="413" ht="17.25" spans="1:26">
      <c r="A413" s="71">
        <f t="shared" si="53"/>
        <v>2004302</v>
      </c>
      <c r="B413" s="93" t="s">
        <v>936</v>
      </c>
      <c r="C413" s="93" t="s">
        <v>937</v>
      </c>
      <c r="D413" s="71">
        <f t="shared" si="54"/>
        <v>2</v>
      </c>
      <c r="E413" s="71">
        <v>3</v>
      </c>
      <c r="F413" s="71">
        <f t="shared" si="55"/>
        <v>2001</v>
      </c>
      <c r="G413" s="71">
        <v>325</v>
      </c>
      <c r="H413" s="71">
        <v>10000</v>
      </c>
      <c r="I413" s="76" t="s">
        <v>806</v>
      </c>
      <c r="J413" s="71">
        <v>120000</v>
      </c>
      <c r="K413" s="71">
        <f>A413</f>
        <v>2004302</v>
      </c>
      <c r="L413" s="93" t="s">
        <v>938</v>
      </c>
      <c r="M413" t="s">
        <v>939</v>
      </c>
      <c r="N413" s="71" t="str">
        <f t="shared" si="56"/>
        <v>哪吒</v>
      </c>
      <c r="O413" s="71"/>
      <c r="P413" s="71"/>
      <c r="Q413" s="71" t="str">
        <f t="shared" si="57"/>
        <v>skill</v>
      </c>
      <c r="R413" s="71">
        <v>0</v>
      </c>
      <c r="S413" s="74">
        <f>A413</f>
        <v>2004302</v>
      </c>
      <c r="T413" s="71">
        <v>0</v>
      </c>
      <c r="U413" s="71">
        <v>1011</v>
      </c>
      <c r="V413" s="100">
        <v>2050</v>
      </c>
      <c r="W413" s="71">
        <v>0</v>
      </c>
      <c r="X413" s="71">
        <f t="shared" si="58"/>
        <v>0</v>
      </c>
      <c r="Y413" s="71">
        <f t="shared" si="58"/>
        <v>0</v>
      </c>
      <c r="Z413" s="71">
        <f>Z411+1</f>
        <v>20043</v>
      </c>
    </row>
    <row r="414" ht="17.25" spans="1:26">
      <c r="A414" s="71">
        <f t="shared" si="53"/>
        <v>2004401</v>
      </c>
      <c r="B414" s="93" t="s">
        <v>940</v>
      </c>
      <c r="C414" s="93"/>
      <c r="D414" s="71">
        <f t="shared" si="54"/>
        <v>1</v>
      </c>
      <c r="E414" s="71">
        <v>3</v>
      </c>
      <c r="F414" s="71">
        <f t="shared" si="55"/>
        <v>1001</v>
      </c>
      <c r="G414" s="71">
        <v>350</v>
      </c>
      <c r="H414" s="71">
        <v>10000</v>
      </c>
      <c r="I414" s="76" t="s">
        <v>806</v>
      </c>
      <c r="J414" s="71">
        <v>10000</v>
      </c>
      <c r="K414" s="71">
        <v>0</v>
      </c>
      <c r="L414" s="93" t="s">
        <v>940</v>
      </c>
      <c r="M414" t="s">
        <v>941</v>
      </c>
      <c r="N414" s="71" t="str">
        <f t="shared" si="56"/>
        <v>碧光游侠普攻</v>
      </c>
      <c r="O414" s="71"/>
      <c r="P414" s="71"/>
      <c r="Q414" s="71" t="str">
        <f t="shared" si="57"/>
        <v>attack</v>
      </c>
      <c r="R414" s="71">
        <v>0</v>
      </c>
      <c r="S414" s="74">
        <f t="shared" si="59"/>
        <v>0</v>
      </c>
      <c r="T414" s="71">
        <v>0</v>
      </c>
      <c r="U414" s="71">
        <v>1011</v>
      </c>
      <c r="V414" s="71">
        <v>730</v>
      </c>
      <c r="W414" s="71">
        <f t="shared" ref="W414:W419" si="60">A414</f>
        <v>2004401</v>
      </c>
      <c r="X414" s="71">
        <f t="shared" si="58"/>
        <v>500</v>
      </c>
      <c r="Y414" s="71">
        <f t="shared" si="58"/>
        <v>250</v>
      </c>
      <c r="Z414" s="71">
        <v>0</v>
      </c>
    </row>
    <row r="415" ht="17.25" spans="1:26">
      <c r="A415" s="71">
        <f t="shared" si="53"/>
        <v>2004402</v>
      </c>
      <c r="B415" s="93" t="s">
        <v>942</v>
      </c>
      <c r="C415" s="93" t="s">
        <v>943</v>
      </c>
      <c r="D415" s="71">
        <f t="shared" si="54"/>
        <v>2</v>
      </c>
      <c r="E415" s="71">
        <v>3</v>
      </c>
      <c r="F415" s="71">
        <f t="shared" si="55"/>
        <v>2001</v>
      </c>
      <c r="G415" s="71">
        <v>325</v>
      </c>
      <c r="H415" s="71">
        <v>10000</v>
      </c>
      <c r="I415" s="76" t="s">
        <v>806</v>
      </c>
      <c r="J415" s="71">
        <v>90000</v>
      </c>
      <c r="K415" s="71">
        <f>A415</f>
        <v>2004402</v>
      </c>
      <c r="L415" s="93" t="s">
        <v>944</v>
      </c>
      <c r="M415" t="s">
        <v>945</v>
      </c>
      <c r="N415" s="71" t="str">
        <f t="shared" si="56"/>
        <v>碧光游侠</v>
      </c>
      <c r="O415" s="71"/>
      <c r="P415" s="71"/>
      <c r="Q415" s="71" t="str">
        <f t="shared" si="57"/>
        <v>skill</v>
      </c>
      <c r="R415" s="71">
        <v>0</v>
      </c>
      <c r="S415" s="74">
        <f>A415</f>
        <v>2004402</v>
      </c>
      <c r="T415" s="71">
        <v>0</v>
      </c>
      <c r="U415" s="71">
        <v>1011</v>
      </c>
      <c r="V415" s="100" t="s">
        <v>946</v>
      </c>
      <c r="W415" s="71">
        <v>0</v>
      </c>
      <c r="X415" s="71">
        <f t="shared" si="58"/>
        <v>0</v>
      </c>
      <c r="Y415" s="71">
        <f t="shared" si="58"/>
        <v>0</v>
      </c>
      <c r="Z415" s="71">
        <f t="shared" ref="Z415:Z419" si="61">Z413+1</f>
        <v>20044</v>
      </c>
    </row>
    <row r="416" ht="17.25" spans="1:26">
      <c r="A416" s="71">
        <f t="shared" si="53"/>
        <v>2004501</v>
      </c>
      <c r="B416" s="93" t="s">
        <v>947</v>
      </c>
      <c r="C416" s="93"/>
      <c r="D416" s="71">
        <f t="shared" si="54"/>
        <v>1</v>
      </c>
      <c r="E416" s="71">
        <v>3</v>
      </c>
      <c r="F416" s="71">
        <v>1002</v>
      </c>
      <c r="G416" s="71">
        <v>350</v>
      </c>
      <c r="H416" s="71">
        <v>10000</v>
      </c>
      <c r="I416" s="76" t="s">
        <v>806</v>
      </c>
      <c r="J416" s="71">
        <v>10000</v>
      </c>
      <c r="K416" s="71">
        <v>0</v>
      </c>
      <c r="L416" s="93" t="s">
        <v>947</v>
      </c>
      <c r="M416" t="s">
        <v>948</v>
      </c>
      <c r="N416" s="71" t="str">
        <f t="shared" si="56"/>
        <v>阿拉丁普攻</v>
      </c>
      <c r="O416" s="71"/>
      <c r="P416" s="71"/>
      <c r="Q416" s="71" t="str">
        <f t="shared" si="57"/>
        <v>attack</v>
      </c>
      <c r="R416" s="71">
        <v>0</v>
      </c>
      <c r="S416" s="74">
        <f t="shared" si="59"/>
        <v>0</v>
      </c>
      <c r="T416" s="71">
        <v>0</v>
      </c>
      <c r="U416" s="71">
        <v>1011</v>
      </c>
      <c r="V416" s="71">
        <v>730</v>
      </c>
      <c r="W416" s="71">
        <f t="shared" si="60"/>
        <v>2004501</v>
      </c>
      <c r="X416" s="71">
        <f t="shared" si="58"/>
        <v>500</v>
      </c>
      <c r="Y416" s="71">
        <f t="shared" si="58"/>
        <v>250</v>
      </c>
      <c r="Z416" s="71">
        <v>0</v>
      </c>
    </row>
    <row r="417" ht="17.25" spans="1:26">
      <c r="A417" s="71">
        <f t="shared" si="53"/>
        <v>2004502</v>
      </c>
      <c r="B417" s="93" t="s">
        <v>949</v>
      </c>
      <c r="C417" s="93" t="s">
        <v>950</v>
      </c>
      <c r="D417" s="71">
        <f t="shared" si="54"/>
        <v>2</v>
      </c>
      <c r="E417" s="71">
        <v>3</v>
      </c>
      <c r="F417" s="71">
        <f t="shared" si="55"/>
        <v>2001</v>
      </c>
      <c r="G417" s="71">
        <v>325</v>
      </c>
      <c r="H417" s="71">
        <v>10000</v>
      </c>
      <c r="I417" s="76" t="s">
        <v>806</v>
      </c>
      <c r="J417" s="71">
        <v>200000</v>
      </c>
      <c r="K417" s="71">
        <f>A417</f>
        <v>2004502</v>
      </c>
      <c r="L417" s="93" t="s">
        <v>951</v>
      </c>
      <c r="M417" t="s">
        <v>952</v>
      </c>
      <c r="N417" s="71" t="str">
        <f t="shared" si="56"/>
        <v>阿拉丁</v>
      </c>
      <c r="O417" s="71"/>
      <c r="P417" s="71"/>
      <c r="Q417" s="71" t="str">
        <f t="shared" si="57"/>
        <v>skill</v>
      </c>
      <c r="R417" s="71">
        <v>0</v>
      </c>
      <c r="S417" s="74">
        <f>A417</f>
        <v>2004502</v>
      </c>
      <c r="T417" s="71">
        <v>0</v>
      </c>
      <c r="U417" s="71">
        <v>1011</v>
      </c>
      <c r="V417" s="100">
        <v>2200</v>
      </c>
      <c r="W417" s="71">
        <v>0</v>
      </c>
      <c r="X417" s="71">
        <f t="shared" si="58"/>
        <v>0</v>
      </c>
      <c r="Y417" s="71">
        <f t="shared" si="58"/>
        <v>0</v>
      </c>
      <c r="Z417" s="71">
        <f t="shared" si="61"/>
        <v>20045</v>
      </c>
    </row>
    <row r="418" ht="17.25" spans="1:26">
      <c r="A418" s="94">
        <v>2004601</v>
      </c>
      <c r="B418" s="93" t="s">
        <v>953</v>
      </c>
      <c r="C418" s="93"/>
      <c r="D418" s="71">
        <f t="shared" si="54"/>
        <v>1</v>
      </c>
      <c r="E418" s="71">
        <v>3</v>
      </c>
      <c r="F418" s="71">
        <f t="shared" si="55"/>
        <v>1002</v>
      </c>
      <c r="G418" s="71">
        <v>150</v>
      </c>
      <c r="H418" s="71">
        <v>5000</v>
      </c>
      <c r="I418" s="76" t="s">
        <v>806</v>
      </c>
      <c r="J418" s="71">
        <v>10000</v>
      </c>
      <c r="K418" s="71">
        <v>0</v>
      </c>
      <c r="L418" s="97" t="s">
        <v>953</v>
      </c>
      <c r="M418" t="s">
        <v>954</v>
      </c>
      <c r="N418" s="71" t="str">
        <f t="shared" si="56"/>
        <v>杰洛特普攻</v>
      </c>
      <c r="O418" s="71"/>
      <c r="P418" s="71"/>
      <c r="Q418" s="71" t="str">
        <f t="shared" si="57"/>
        <v>attack</v>
      </c>
      <c r="R418" s="71">
        <v>0</v>
      </c>
      <c r="S418" s="74">
        <f>S416</f>
        <v>0</v>
      </c>
      <c r="T418" s="71">
        <v>0</v>
      </c>
      <c r="U418" s="71">
        <v>1011</v>
      </c>
      <c r="V418" s="71" t="s">
        <v>955</v>
      </c>
      <c r="W418" s="71">
        <v>0</v>
      </c>
      <c r="X418" s="71">
        <v>0</v>
      </c>
      <c r="Y418" s="71">
        <v>0</v>
      </c>
      <c r="Z418" s="71">
        <v>0</v>
      </c>
    </row>
    <row r="419" ht="17.25" spans="1:26">
      <c r="A419" s="94">
        <v>2004602</v>
      </c>
      <c r="B419" s="93" t="s">
        <v>956</v>
      </c>
      <c r="C419" s="93" t="s">
        <v>957</v>
      </c>
      <c r="D419" s="71">
        <v>2</v>
      </c>
      <c r="E419" s="71">
        <v>3</v>
      </c>
      <c r="F419" s="71">
        <v>2002</v>
      </c>
      <c r="G419" s="71">
        <v>350</v>
      </c>
      <c r="H419" s="71">
        <v>10000</v>
      </c>
      <c r="I419" s="76" t="s">
        <v>806</v>
      </c>
      <c r="J419" s="71">
        <v>200000</v>
      </c>
      <c r="K419" s="71">
        <f>A419</f>
        <v>2004602</v>
      </c>
      <c r="L419" s="97" t="s">
        <v>958</v>
      </c>
      <c r="M419" t="s">
        <v>959</v>
      </c>
      <c r="N419" s="71" t="str">
        <f t="shared" si="56"/>
        <v>杰洛特</v>
      </c>
      <c r="O419" s="71"/>
      <c r="P419" s="71"/>
      <c r="Q419" s="71" t="str">
        <f t="shared" si="57"/>
        <v>skill</v>
      </c>
      <c r="R419" s="71">
        <v>0</v>
      </c>
      <c r="S419" s="74">
        <f>A419</f>
        <v>2004602</v>
      </c>
      <c r="T419" s="71">
        <v>0</v>
      </c>
      <c r="U419" s="71">
        <v>1011</v>
      </c>
      <c r="V419" s="101" t="s">
        <v>960</v>
      </c>
      <c r="W419" s="71">
        <f t="shared" si="60"/>
        <v>2004602</v>
      </c>
      <c r="X419" s="71">
        <v>0</v>
      </c>
      <c r="Y419" s="71">
        <v>0</v>
      </c>
      <c r="Z419" s="71">
        <f t="shared" si="61"/>
        <v>20046</v>
      </c>
    </row>
    <row r="420" spans="1:26">
      <c r="A420" s="71">
        <v>3000401</v>
      </c>
      <c r="B420" s="71" t="s">
        <v>961</v>
      </c>
      <c r="C420" s="71"/>
      <c r="D420" s="71">
        <v>1</v>
      </c>
      <c r="E420" s="71">
        <v>3</v>
      </c>
      <c r="F420" s="71">
        <v>1002</v>
      </c>
      <c r="G420" s="71">
        <v>125</v>
      </c>
      <c r="H420" s="71">
        <v>10000</v>
      </c>
      <c r="I420" s="76" t="s">
        <v>724</v>
      </c>
      <c r="J420" s="71">
        <v>1000</v>
      </c>
      <c r="K420" s="71">
        <v>0</v>
      </c>
      <c r="L420" s="71" t="s">
        <v>961</v>
      </c>
      <c r="M420" s="71"/>
      <c r="N420" s="71" t="s">
        <v>961</v>
      </c>
      <c r="O420" s="71"/>
      <c r="P420" s="71"/>
      <c r="Q420" s="71" t="s">
        <v>227</v>
      </c>
      <c r="R420" s="71">
        <v>0</v>
      </c>
      <c r="S420" s="74">
        <v>0</v>
      </c>
      <c r="T420" s="71">
        <v>0</v>
      </c>
      <c r="U420" s="71">
        <v>1011</v>
      </c>
      <c r="V420" s="71">
        <v>300</v>
      </c>
      <c r="W420" s="71">
        <v>0</v>
      </c>
      <c r="X420" s="71">
        <v>0</v>
      </c>
      <c r="Y420" s="71">
        <v>0</v>
      </c>
      <c r="Z420" s="71">
        <v>0</v>
      </c>
    </row>
    <row r="421" spans="1:26">
      <c r="A421" s="71">
        <v>3000501</v>
      </c>
      <c r="B421" s="71" t="s">
        <v>962</v>
      </c>
      <c r="C421" s="71"/>
      <c r="D421" s="71">
        <v>1</v>
      </c>
      <c r="E421" s="71">
        <v>3</v>
      </c>
      <c r="F421" s="71">
        <v>1001</v>
      </c>
      <c r="G421" s="71">
        <v>325</v>
      </c>
      <c r="H421" s="71">
        <v>10000</v>
      </c>
      <c r="I421" s="76" t="s">
        <v>724</v>
      </c>
      <c r="J421" s="71">
        <v>1000</v>
      </c>
      <c r="K421" s="71">
        <v>0</v>
      </c>
      <c r="L421" s="71" t="s">
        <v>962</v>
      </c>
      <c r="M421" s="71"/>
      <c r="N421" s="71" t="s">
        <v>962</v>
      </c>
      <c r="O421" s="71"/>
      <c r="P421" s="71"/>
      <c r="Q421" s="71" t="s">
        <v>227</v>
      </c>
      <c r="R421" s="71">
        <v>0</v>
      </c>
      <c r="S421" s="74">
        <v>0</v>
      </c>
      <c r="T421" s="71">
        <v>0</v>
      </c>
      <c r="U421" s="71">
        <v>1011</v>
      </c>
      <c r="V421" s="71">
        <v>850</v>
      </c>
      <c r="W421" s="71">
        <v>3000502</v>
      </c>
      <c r="X421" s="71">
        <v>300</v>
      </c>
      <c r="Y421" s="71">
        <v>600</v>
      </c>
      <c r="Z421" s="71">
        <v>0</v>
      </c>
    </row>
    <row r="422" spans="1:26">
      <c r="A422" s="71">
        <v>3000601</v>
      </c>
      <c r="B422" s="71" t="s">
        <v>963</v>
      </c>
      <c r="C422" s="71"/>
      <c r="D422" s="71">
        <v>1</v>
      </c>
      <c r="E422" s="71">
        <v>3</v>
      </c>
      <c r="F422" s="71">
        <v>1001</v>
      </c>
      <c r="G422" s="71">
        <v>350</v>
      </c>
      <c r="H422" s="71">
        <v>10000</v>
      </c>
      <c r="I422" s="76" t="s">
        <v>724</v>
      </c>
      <c r="J422" s="71">
        <v>1000</v>
      </c>
      <c r="K422" s="71">
        <v>0</v>
      </c>
      <c r="L422" s="71" t="s">
        <v>963</v>
      </c>
      <c r="M422" s="71"/>
      <c r="N422" s="71" t="s">
        <v>963</v>
      </c>
      <c r="O422" s="71"/>
      <c r="P422" s="71"/>
      <c r="Q422" s="71" t="s">
        <v>227</v>
      </c>
      <c r="R422" s="71">
        <v>0</v>
      </c>
      <c r="S422" s="74">
        <v>0</v>
      </c>
      <c r="T422" s="71">
        <v>0</v>
      </c>
      <c r="U422" s="71">
        <v>1011</v>
      </c>
      <c r="V422" s="71">
        <v>850</v>
      </c>
      <c r="W422" s="71">
        <v>3000602</v>
      </c>
      <c r="X422" s="71">
        <v>300</v>
      </c>
      <c r="Y422" s="71">
        <v>600</v>
      </c>
      <c r="Z422" s="71">
        <v>0</v>
      </c>
    </row>
    <row r="423" spans="1:26">
      <c r="A423" s="71">
        <v>3000701</v>
      </c>
      <c r="B423" s="71" t="s">
        <v>964</v>
      </c>
      <c r="C423" s="71"/>
      <c r="D423" s="71">
        <v>1</v>
      </c>
      <c r="E423" s="71">
        <v>3</v>
      </c>
      <c r="F423" s="71">
        <v>1002</v>
      </c>
      <c r="G423" s="71">
        <v>150</v>
      </c>
      <c r="H423" s="71">
        <v>10000</v>
      </c>
      <c r="I423" s="76" t="s">
        <v>724</v>
      </c>
      <c r="J423" s="71">
        <v>1000</v>
      </c>
      <c r="K423" s="71">
        <v>0</v>
      </c>
      <c r="L423" s="71" t="s">
        <v>964</v>
      </c>
      <c r="M423" s="71"/>
      <c r="N423" s="71" t="s">
        <v>964</v>
      </c>
      <c r="O423" s="71"/>
      <c r="P423" s="71"/>
      <c r="Q423" s="71" t="s">
        <v>227</v>
      </c>
      <c r="R423" s="71">
        <v>0</v>
      </c>
      <c r="S423" s="74">
        <v>0</v>
      </c>
      <c r="T423" s="71">
        <v>0</v>
      </c>
      <c r="U423" s="71">
        <v>1011</v>
      </c>
      <c r="V423" s="71">
        <v>300</v>
      </c>
      <c r="W423" s="71">
        <v>0</v>
      </c>
      <c r="X423" s="71">
        <v>0</v>
      </c>
      <c r="Y423" s="71">
        <v>0</v>
      </c>
      <c r="Z423" s="71">
        <v>0</v>
      </c>
    </row>
    <row r="424" spans="1:26">
      <c r="A424" s="71">
        <v>3000801</v>
      </c>
      <c r="B424" s="71" t="s">
        <v>965</v>
      </c>
      <c r="C424" s="71"/>
      <c r="D424" s="71">
        <v>1</v>
      </c>
      <c r="E424" s="71">
        <v>3</v>
      </c>
      <c r="F424" s="71">
        <v>1001</v>
      </c>
      <c r="G424" s="71">
        <v>300</v>
      </c>
      <c r="H424" s="71">
        <v>10000</v>
      </c>
      <c r="I424" s="76">
        <v>0</v>
      </c>
      <c r="J424" s="71">
        <v>1000</v>
      </c>
      <c r="K424" s="71">
        <v>0</v>
      </c>
      <c r="L424" s="71" t="s">
        <v>965</v>
      </c>
      <c r="M424" s="71"/>
      <c r="N424" s="71" t="s">
        <v>965</v>
      </c>
      <c r="O424" s="71"/>
      <c r="P424" s="71"/>
      <c r="Q424" s="71" t="s">
        <v>227</v>
      </c>
      <c r="R424" s="71">
        <v>0</v>
      </c>
      <c r="S424" s="74">
        <v>0</v>
      </c>
      <c r="T424" s="71">
        <v>0</v>
      </c>
      <c r="U424" s="71">
        <v>1011</v>
      </c>
      <c r="V424" s="71">
        <v>850</v>
      </c>
      <c r="W424" s="71">
        <v>3000802</v>
      </c>
      <c r="X424" s="71">
        <v>300</v>
      </c>
      <c r="Y424" s="71">
        <v>600</v>
      </c>
      <c r="Z424" s="71">
        <v>0</v>
      </c>
    </row>
    <row r="425" spans="1:26">
      <c r="A425" s="71">
        <v>3000901</v>
      </c>
      <c r="B425" s="71" t="s">
        <v>966</v>
      </c>
      <c r="C425" s="71"/>
      <c r="D425" s="71">
        <v>1</v>
      </c>
      <c r="E425" s="71">
        <v>3</v>
      </c>
      <c r="F425" s="71">
        <v>1001</v>
      </c>
      <c r="G425" s="71">
        <v>275</v>
      </c>
      <c r="H425" s="71">
        <v>10000</v>
      </c>
      <c r="I425" s="76">
        <v>0</v>
      </c>
      <c r="J425" s="71">
        <v>1000</v>
      </c>
      <c r="K425" s="71">
        <v>0</v>
      </c>
      <c r="L425" s="71" t="s">
        <v>966</v>
      </c>
      <c r="M425" s="71"/>
      <c r="N425" s="71" t="s">
        <v>966</v>
      </c>
      <c r="O425" s="71"/>
      <c r="P425" s="71"/>
      <c r="Q425" s="71" t="s">
        <v>227</v>
      </c>
      <c r="R425" s="71">
        <v>0</v>
      </c>
      <c r="S425" s="74">
        <v>0</v>
      </c>
      <c r="T425" s="71">
        <v>0</v>
      </c>
      <c r="U425" s="71">
        <v>1011</v>
      </c>
      <c r="V425" s="71">
        <v>850</v>
      </c>
      <c r="W425" s="71">
        <v>3000902</v>
      </c>
      <c r="X425" s="71">
        <v>300</v>
      </c>
      <c r="Y425" s="71">
        <v>600</v>
      </c>
      <c r="Z425" s="71">
        <v>0</v>
      </c>
    </row>
    <row r="426" spans="1:26">
      <c r="A426" s="71">
        <v>3001001</v>
      </c>
      <c r="B426" s="71" t="s">
        <v>967</v>
      </c>
      <c r="C426" s="71"/>
      <c r="D426" s="71">
        <v>1</v>
      </c>
      <c r="E426" s="71">
        <v>3</v>
      </c>
      <c r="F426" s="71">
        <v>1002</v>
      </c>
      <c r="G426" s="71">
        <v>150</v>
      </c>
      <c r="H426" s="71">
        <v>10000</v>
      </c>
      <c r="I426" s="76" t="s">
        <v>724</v>
      </c>
      <c r="J426" s="96">
        <v>10000</v>
      </c>
      <c r="K426" s="71">
        <v>25004004</v>
      </c>
      <c r="L426" s="71" t="s">
        <v>967</v>
      </c>
      <c r="M426" s="71"/>
      <c r="N426" s="71" t="s">
        <v>967</v>
      </c>
      <c r="O426" s="71"/>
      <c r="P426" s="71"/>
      <c r="Q426" s="96" t="s">
        <v>60</v>
      </c>
      <c r="R426" s="71">
        <v>0</v>
      </c>
      <c r="S426" s="74">
        <v>3001001</v>
      </c>
      <c r="T426" s="74">
        <v>0</v>
      </c>
      <c r="U426" s="71">
        <v>1015</v>
      </c>
      <c r="V426" s="74" t="s">
        <v>147</v>
      </c>
      <c r="W426" s="74">
        <v>0</v>
      </c>
      <c r="X426" s="74">
        <v>0</v>
      </c>
      <c r="Y426" s="74">
        <v>0</v>
      </c>
      <c r="Z426" s="71">
        <v>3001001</v>
      </c>
    </row>
    <row r="427" spans="1:26">
      <c r="A427" s="71">
        <v>3001002</v>
      </c>
      <c r="B427" s="71" t="s">
        <v>968</v>
      </c>
      <c r="C427" s="71"/>
      <c r="D427" s="71">
        <v>1</v>
      </c>
      <c r="E427" s="71">
        <v>3</v>
      </c>
      <c r="F427" s="71">
        <v>1002</v>
      </c>
      <c r="G427" s="71">
        <v>150</v>
      </c>
      <c r="H427" s="71">
        <v>10000</v>
      </c>
      <c r="I427" s="76" t="s">
        <v>724</v>
      </c>
      <c r="J427" s="96">
        <v>10000</v>
      </c>
      <c r="K427" s="71">
        <v>25004004</v>
      </c>
      <c r="L427" s="71" t="s">
        <v>968</v>
      </c>
      <c r="M427" s="71"/>
      <c r="N427" s="71" t="s">
        <v>968</v>
      </c>
      <c r="O427" s="71"/>
      <c r="P427" s="71"/>
      <c r="Q427" s="96" t="s">
        <v>60</v>
      </c>
      <c r="R427" s="71">
        <v>0</v>
      </c>
      <c r="S427" s="74">
        <v>3001001</v>
      </c>
      <c r="T427" s="74">
        <v>0</v>
      </c>
      <c r="U427" s="71">
        <v>1015</v>
      </c>
      <c r="V427" s="74" t="s">
        <v>147</v>
      </c>
      <c r="W427" s="74">
        <v>0</v>
      </c>
      <c r="X427" s="74">
        <v>0</v>
      </c>
      <c r="Y427" s="74">
        <v>0</v>
      </c>
      <c r="Z427" s="71">
        <v>3001001</v>
      </c>
    </row>
    <row r="428" spans="1:26">
      <c r="A428" s="71">
        <v>6006001</v>
      </c>
      <c r="B428" s="95" t="s">
        <v>235</v>
      </c>
      <c r="C428" s="95"/>
      <c r="D428" s="95">
        <v>1</v>
      </c>
      <c r="E428" s="71">
        <v>3</v>
      </c>
      <c r="F428" s="95">
        <v>1001</v>
      </c>
      <c r="G428" s="71">
        <v>350</v>
      </c>
      <c r="H428" s="95">
        <v>10000</v>
      </c>
      <c r="I428" s="98">
        <v>0</v>
      </c>
      <c r="J428" s="95">
        <v>10000</v>
      </c>
      <c r="K428" s="95">
        <v>0</v>
      </c>
      <c r="L428" s="95" t="s">
        <v>235</v>
      </c>
      <c r="M428" s="95"/>
      <c r="N428" s="95" t="s">
        <v>235</v>
      </c>
      <c r="O428" s="95"/>
      <c r="P428" s="95"/>
      <c r="Q428" s="95" t="s">
        <v>227</v>
      </c>
      <c r="R428" s="95">
        <v>0</v>
      </c>
      <c r="S428" s="102">
        <v>0</v>
      </c>
      <c r="T428" s="95">
        <v>0</v>
      </c>
      <c r="U428" s="95">
        <v>1016</v>
      </c>
      <c r="V428" s="95">
        <v>650</v>
      </c>
      <c r="W428" s="95">
        <v>6006001</v>
      </c>
      <c r="X428" s="95">
        <v>330</v>
      </c>
      <c r="Y428" s="95">
        <v>350</v>
      </c>
      <c r="Z428" s="71">
        <v>0</v>
      </c>
    </row>
    <row r="429" spans="1:26">
      <c r="A429" s="71">
        <v>6006002</v>
      </c>
      <c r="B429" s="96" t="s">
        <v>236</v>
      </c>
      <c r="C429" s="96"/>
      <c r="D429" s="96">
        <v>2</v>
      </c>
      <c r="E429" s="71">
        <v>3</v>
      </c>
      <c r="F429" s="96">
        <v>3001</v>
      </c>
      <c r="G429" s="71">
        <v>350</v>
      </c>
      <c r="H429" s="96">
        <v>10000</v>
      </c>
      <c r="I429" s="98">
        <v>0</v>
      </c>
      <c r="J429" s="96">
        <v>10000</v>
      </c>
      <c r="K429" s="96">
        <v>1006002</v>
      </c>
      <c r="L429" s="96" t="s">
        <v>238</v>
      </c>
      <c r="M429" s="25" t="s">
        <v>237</v>
      </c>
      <c r="N429" s="96" t="s">
        <v>236</v>
      </c>
      <c r="O429" s="96"/>
      <c r="P429" s="96"/>
      <c r="Q429" s="96" t="s">
        <v>60</v>
      </c>
      <c r="R429" s="95">
        <v>0</v>
      </c>
      <c r="S429" s="103">
        <v>6006002</v>
      </c>
      <c r="T429" s="96">
        <v>600</v>
      </c>
      <c r="U429" s="96">
        <v>1016</v>
      </c>
      <c r="V429" s="96">
        <v>1150</v>
      </c>
      <c r="W429" s="96">
        <v>0</v>
      </c>
      <c r="X429" s="96">
        <v>0</v>
      </c>
      <c r="Y429" s="96">
        <v>0</v>
      </c>
      <c r="Z429" s="71">
        <v>0</v>
      </c>
    </row>
    <row r="430" spans="1:26">
      <c r="A430" s="71">
        <v>6006101</v>
      </c>
      <c r="B430" s="96" t="s">
        <v>240</v>
      </c>
      <c r="C430" s="96"/>
      <c r="D430" s="96">
        <v>1</v>
      </c>
      <c r="E430" s="71">
        <v>3</v>
      </c>
      <c r="F430" s="96">
        <v>1001</v>
      </c>
      <c r="G430" s="71">
        <v>350</v>
      </c>
      <c r="H430" s="95">
        <v>10000</v>
      </c>
      <c r="I430" s="98">
        <v>0</v>
      </c>
      <c r="J430" s="95">
        <v>10000</v>
      </c>
      <c r="K430" s="96">
        <v>0</v>
      </c>
      <c r="L430" s="96" t="s">
        <v>240</v>
      </c>
      <c r="M430" s="71"/>
      <c r="N430" s="96" t="s">
        <v>240</v>
      </c>
      <c r="O430" s="96"/>
      <c r="P430" s="96"/>
      <c r="Q430" s="96" t="s">
        <v>227</v>
      </c>
      <c r="R430" s="95">
        <v>0</v>
      </c>
      <c r="S430" s="103">
        <v>0</v>
      </c>
      <c r="T430" s="96">
        <v>0</v>
      </c>
      <c r="U430" s="96">
        <v>1016</v>
      </c>
      <c r="V430" s="96">
        <v>700</v>
      </c>
      <c r="W430" s="96">
        <v>6006001</v>
      </c>
      <c r="X430" s="96">
        <v>400</v>
      </c>
      <c r="Y430" s="96">
        <v>350</v>
      </c>
      <c r="Z430" s="71">
        <v>0</v>
      </c>
    </row>
    <row r="431" spans="1:26">
      <c r="A431" s="71">
        <v>6006102</v>
      </c>
      <c r="B431" s="96" t="s">
        <v>241</v>
      </c>
      <c r="C431" s="96"/>
      <c r="D431" s="96">
        <v>2</v>
      </c>
      <c r="E431" s="71">
        <v>3</v>
      </c>
      <c r="F431" s="96">
        <v>3001</v>
      </c>
      <c r="G431" s="71">
        <v>350</v>
      </c>
      <c r="H431" s="96">
        <v>10000</v>
      </c>
      <c r="I431" s="98" t="s">
        <v>724</v>
      </c>
      <c r="J431" s="96">
        <v>10000</v>
      </c>
      <c r="K431" s="96">
        <v>1006002</v>
      </c>
      <c r="L431" s="96" t="s">
        <v>243</v>
      </c>
      <c r="M431" s="25" t="s">
        <v>242</v>
      </c>
      <c r="N431" s="96" t="s">
        <v>241</v>
      </c>
      <c r="O431" s="96"/>
      <c r="P431" s="96"/>
      <c r="Q431" s="96" t="s">
        <v>60</v>
      </c>
      <c r="R431" s="95">
        <v>0</v>
      </c>
      <c r="S431" s="103">
        <v>6006102</v>
      </c>
      <c r="T431" s="96">
        <v>500</v>
      </c>
      <c r="U431" s="96">
        <v>1016</v>
      </c>
      <c r="V431" s="96">
        <v>1500</v>
      </c>
      <c r="W431" s="96">
        <v>0</v>
      </c>
      <c r="X431" s="96">
        <v>0</v>
      </c>
      <c r="Y431" s="96">
        <v>0</v>
      </c>
      <c r="Z431" s="71">
        <v>0</v>
      </c>
    </row>
    <row r="432" spans="1:26">
      <c r="A432" s="71">
        <v>6006201</v>
      </c>
      <c r="B432" s="96" t="s">
        <v>245</v>
      </c>
      <c r="C432" s="96"/>
      <c r="D432" s="96">
        <v>1</v>
      </c>
      <c r="E432" s="71">
        <v>3</v>
      </c>
      <c r="F432" s="96">
        <v>1001</v>
      </c>
      <c r="G432" s="71">
        <v>350</v>
      </c>
      <c r="H432" s="95">
        <v>10000</v>
      </c>
      <c r="I432" s="98" t="s">
        <v>724</v>
      </c>
      <c r="J432" s="95">
        <v>10000</v>
      </c>
      <c r="K432" s="96">
        <v>0</v>
      </c>
      <c r="L432" s="96" t="s">
        <v>245</v>
      </c>
      <c r="M432" s="71"/>
      <c r="N432" s="96" t="s">
        <v>245</v>
      </c>
      <c r="O432" s="96"/>
      <c r="P432" s="96"/>
      <c r="Q432" s="96" t="s">
        <v>227</v>
      </c>
      <c r="R432" s="95">
        <v>0</v>
      </c>
      <c r="S432" s="103">
        <v>0</v>
      </c>
      <c r="T432" s="96">
        <v>0</v>
      </c>
      <c r="U432" s="96">
        <v>1016</v>
      </c>
      <c r="V432" s="96">
        <v>700</v>
      </c>
      <c r="W432" s="96">
        <v>6006001</v>
      </c>
      <c r="X432" s="96">
        <v>500</v>
      </c>
      <c r="Y432" s="96">
        <v>350</v>
      </c>
      <c r="Z432" s="71">
        <v>0</v>
      </c>
    </row>
    <row r="433" spans="1:26">
      <c r="A433" s="71">
        <v>6006202</v>
      </c>
      <c r="B433" s="96" t="s">
        <v>203</v>
      </c>
      <c r="C433" s="96"/>
      <c r="D433" s="96">
        <v>2</v>
      </c>
      <c r="E433" s="71">
        <v>3</v>
      </c>
      <c r="F433" s="96">
        <v>3001</v>
      </c>
      <c r="G433" s="71">
        <v>350</v>
      </c>
      <c r="H433" s="96">
        <v>2500</v>
      </c>
      <c r="I433" s="98">
        <v>0</v>
      </c>
      <c r="J433" s="96">
        <v>10000</v>
      </c>
      <c r="K433" s="96">
        <v>1006002</v>
      </c>
      <c r="L433" s="96" t="s">
        <v>247</v>
      </c>
      <c r="M433" s="25" t="s">
        <v>246</v>
      </c>
      <c r="N433" s="96" t="s">
        <v>203</v>
      </c>
      <c r="O433" s="96"/>
      <c r="P433" s="96"/>
      <c r="Q433" s="96" t="s">
        <v>60</v>
      </c>
      <c r="R433" s="95">
        <v>0</v>
      </c>
      <c r="S433" s="103">
        <v>6006202</v>
      </c>
      <c r="T433" s="96">
        <v>600</v>
      </c>
      <c r="U433" s="96">
        <v>1016</v>
      </c>
      <c r="V433" s="96" t="s">
        <v>249</v>
      </c>
      <c r="W433" s="96">
        <v>0</v>
      </c>
      <c r="X433" s="96">
        <v>0</v>
      </c>
      <c r="Y433" s="96">
        <v>0</v>
      </c>
      <c r="Z433" s="71">
        <v>5007001</v>
      </c>
    </row>
    <row r="434" spans="1:26">
      <c r="A434" s="71">
        <v>6007001</v>
      </c>
      <c r="B434" s="96" t="s">
        <v>250</v>
      </c>
      <c r="C434" s="96"/>
      <c r="D434" s="96">
        <v>1</v>
      </c>
      <c r="E434" s="71">
        <v>3</v>
      </c>
      <c r="F434" s="96">
        <v>1001</v>
      </c>
      <c r="G434" s="71">
        <v>350</v>
      </c>
      <c r="H434" s="95">
        <v>10000</v>
      </c>
      <c r="I434" s="98">
        <v>0</v>
      </c>
      <c r="J434" s="95">
        <v>10000</v>
      </c>
      <c r="K434" s="96">
        <v>0</v>
      </c>
      <c r="L434" s="96" t="s">
        <v>250</v>
      </c>
      <c r="M434" s="71"/>
      <c r="N434" s="96" t="s">
        <v>250</v>
      </c>
      <c r="O434" s="96"/>
      <c r="P434" s="96"/>
      <c r="Q434" s="96" t="s">
        <v>227</v>
      </c>
      <c r="R434" s="95">
        <v>0</v>
      </c>
      <c r="S434" s="103">
        <v>0</v>
      </c>
      <c r="T434" s="96">
        <v>0</v>
      </c>
      <c r="U434" s="96">
        <v>1011</v>
      </c>
      <c r="V434" s="96">
        <v>600</v>
      </c>
      <c r="W434" s="96">
        <v>6007001</v>
      </c>
      <c r="X434" s="96">
        <v>300</v>
      </c>
      <c r="Y434" s="96">
        <v>350</v>
      </c>
      <c r="Z434" s="71">
        <v>0</v>
      </c>
    </row>
    <row r="435" spans="1:26">
      <c r="A435" s="71">
        <v>6007002</v>
      </c>
      <c r="B435" s="96" t="s">
        <v>82</v>
      </c>
      <c r="C435" s="96"/>
      <c r="D435" s="96">
        <v>2</v>
      </c>
      <c r="E435" s="71">
        <v>3</v>
      </c>
      <c r="F435" s="96">
        <v>3001</v>
      </c>
      <c r="G435" s="71">
        <v>350</v>
      </c>
      <c r="H435" s="95">
        <v>10000</v>
      </c>
      <c r="I435" s="98">
        <v>0</v>
      </c>
      <c r="J435" s="96">
        <v>10000</v>
      </c>
      <c r="K435" s="96">
        <v>1007002</v>
      </c>
      <c r="L435" s="96" t="s">
        <v>252</v>
      </c>
      <c r="M435" s="25" t="s">
        <v>251</v>
      </c>
      <c r="N435" s="96" t="s">
        <v>82</v>
      </c>
      <c r="O435" s="96"/>
      <c r="P435" s="96"/>
      <c r="Q435" s="96" t="s">
        <v>60</v>
      </c>
      <c r="R435" s="95">
        <v>0</v>
      </c>
      <c r="S435" s="103">
        <v>6007002</v>
      </c>
      <c r="T435" s="96">
        <v>900</v>
      </c>
      <c r="U435" s="96">
        <v>1011</v>
      </c>
      <c r="V435" s="96">
        <v>1400</v>
      </c>
      <c r="W435" s="96">
        <v>0</v>
      </c>
      <c r="X435" s="96">
        <v>0</v>
      </c>
      <c r="Y435" s="96">
        <v>0</v>
      </c>
      <c r="Z435" s="71">
        <v>5002001</v>
      </c>
    </row>
    <row r="436" spans="1:26">
      <c r="A436" s="71">
        <v>6007101</v>
      </c>
      <c r="B436" s="96" t="s">
        <v>254</v>
      </c>
      <c r="C436" s="96"/>
      <c r="D436" s="96">
        <v>1</v>
      </c>
      <c r="E436" s="71">
        <v>3</v>
      </c>
      <c r="F436" s="96">
        <v>1001</v>
      </c>
      <c r="G436" s="71">
        <v>350</v>
      </c>
      <c r="H436" s="95">
        <v>10000</v>
      </c>
      <c r="I436" s="98">
        <v>0</v>
      </c>
      <c r="J436" s="95">
        <v>10000</v>
      </c>
      <c r="K436" s="96">
        <v>0</v>
      </c>
      <c r="L436" s="96" t="s">
        <v>254</v>
      </c>
      <c r="M436" s="71"/>
      <c r="N436" s="96" t="s">
        <v>254</v>
      </c>
      <c r="O436" s="96"/>
      <c r="P436" s="96"/>
      <c r="Q436" s="96" t="s">
        <v>227</v>
      </c>
      <c r="R436" s="95">
        <v>0</v>
      </c>
      <c r="S436" s="103">
        <v>0</v>
      </c>
      <c r="T436" s="96">
        <v>0</v>
      </c>
      <c r="U436" s="96">
        <v>1011</v>
      </c>
      <c r="V436" s="96">
        <v>700</v>
      </c>
      <c r="W436" s="96">
        <v>6007001</v>
      </c>
      <c r="X436" s="96">
        <v>400</v>
      </c>
      <c r="Y436" s="96">
        <v>350</v>
      </c>
      <c r="Z436" s="71">
        <v>0</v>
      </c>
    </row>
    <row r="437" spans="1:26">
      <c r="A437" s="71">
        <v>6007102</v>
      </c>
      <c r="B437" s="96" t="s">
        <v>255</v>
      </c>
      <c r="C437" s="96"/>
      <c r="D437" s="96">
        <v>2</v>
      </c>
      <c r="E437" s="71">
        <v>3</v>
      </c>
      <c r="F437" s="96">
        <v>3001</v>
      </c>
      <c r="G437" s="71">
        <v>350</v>
      </c>
      <c r="H437" s="95">
        <v>10000</v>
      </c>
      <c r="I437" s="98">
        <v>0</v>
      </c>
      <c r="J437" s="96">
        <v>10000</v>
      </c>
      <c r="K437" s="96">
        <v>1007002</v>
      </c>
      <c r="L437" s="96" t="s">
        <v>257</v>
      </c>
      <c r="M437" s="25" t="s">
        <v>256</v>
      </c>
      <c r="N437" s="96" t="s">
        <v>255</v>
      </c>
      <c r="O437" s="96"/>
      <c r="P437" s="96"/>
      <c r="Q437" s="96" t="s">
        <v>60</v>
      </c>
      <c r="R437" s="95">
        <v>0</v>
      </c>
      <c r="S437" s="103">
        <v>6007102</v>
      </c>
      <c r="T437" s="96">
        <v>1000</v>
      </c>
      <c r="U437" s="96">
        <v>1011</v>
      </c>
      <c r="V437" s="96">
        <v>1500</v>
      </c>
      <c r="W437" s="96">
        <v>0</v>
      </c>
      <c r="X437" s="96">
        <v>0</v>
      </c>
      <c r="Y437" s="96">
        <v>0</v>
      </c>
      <c r="Z437" s="71">
        <v>0</v>
      </c>
    </row>
    <row r="438" spans="1:26">
      <c r="A438" s="71">
        <v>6009001</v>
      </c>
      <c r="B438" s="96" t="s">
        <v>259</v>
      </c>
      <c r="C438" s="96"/>
      <c r="D438" s="96">
        <v>1</v>
      </c>
      <c r="E438" s="71">
        <v>3</v>
      </c>
      <c r="F438" s="96">
        <v>1001</v>
      </c>
      <c r="G438" s="71">
        <v>350</v>
      </c>
      <c r="H438" s="95">
        <v>10000</v>
      </c>
      <c r="I438" s="98">
        <v>0</v>
      </c>
      <c r="J438" s="95">
        <v>10000</v>
      </c>
      <c r="K438" s="96">
        <v>0</v>
      </c>
      <c r="L438" s="96" t="s">
        <v>259</v>
      </c>
      <c r="M438" s="71"/>
      <c r="N438" s="96" t="s">
        <v>259</v>
      </c>
      <c r="O438" s="96"/>
      <c r="P438" s="96"/>
      <c r="Q438" s="96" t="s">
        <v>227</v>
      </c>
      <c r="R438" s="95">
        <v>0</v>
      </c>
      <c r="S438" s="103">
        <v>0</v>
      </c>
      <c r="T438" s="96">
        <v>0</v>
      </c>
      <c r="U438" s="96">
        <v>1011</v>
      </c>
      <c r="V438" s="96">
        <v>700</v>
      </c>
      <c r="W438" s="96">
        <v>6009001</v>
      </c>
      <c r="X438" s="96">
        <v>400</v>
      </c>
      <c r="Y438" s="96">
        <v>350</v>
      </c>
      <c r="Z438" s="71">
        <v>0</v>
      </c>
    </row>
    <row r="439" spans="1:26">
      <c r="A439" s="71">
        <v>6009002</v>
      </c>
      <c r="B439" s="96" t="s">
        <v>154</v>
      </c>
      <c r="C439" s="96"/>
      <c r="D439" s="96">
        <v>2</v>
      </c>
      <c r="E439" s="71">
        <v>3</v>
      </c>
      <c r="F439" s="96">
        <v>3001</v>
      </c>
      <c r="G439" s="71">
        <v>350</v>
      </c>
      <c r="H439" s="96">
        <v>1430</v>
      </c>
      <c r="I439" s="98">
        <v>0</v>
      </c>
      <c r="J439" s="96">
        <v>10000</v>
      </c>
      <c r="K439" s="96">
        <v>1009002</v>
      </c>
      <c r="L439" s="96" t="s">
        <v>261</v>
      </c>
      <c r="M439" s="25" t="s">
        <v>260</v>
      </c>
      <c r="N439" s="96" t="s">
        <v>154</v>
      </c>
      <c r="O439" s="96"/>
      <c r="P439" s="96"/>
      <c r="Q439" s="96" t="s">
        <v>60</v>
      </c>
      <c r="R439" s="95">
        <v>0</v>
      </c>
      <c r="S439" s="103">
        <v>6009002</v>
      </c>
      <c r="T439" s="96">
        <v>500</v>
      </c>
      <c r="U439" s="96">
        <v>1011</v>
      </c>
      <c r="V439" s="96" t="s">
        <v>263</v>
      </c>
      <c r="W439" s="96">
        <v>0</v>
      </c>
      <c r="X439" s="96">
        <v>0</v>
      </c>
      <c r="Y439" s="96">
        <v>0</v>
      </c>
      <c r="Z439" s="71">
        <v>5005001</v>
      </c>
    </row>
    <row r="440" spans="1:26">
      <c r="A440" s="71">
        <v>6009101</v>
      </c>
      <c r="B440" s="96" t="s">
        <v>264</v>
      </c>
      <c r="C440" s="96"/>
      <c r="D440" s="96">
        <v>1</v>
      </c>
      <c r="E440" s="71">
        <v>3</v>
      </c>
      <c r="F440" s="96">
        <v>1001</v>
      </c>
      <c r="G440" s="71">
        <v>350</v>
      </c>
      <c r="H440" s="95">
        <v>10000</v>
      </c>
      <c r="I440" s="98">
        <v>0</v>
      </c>
      <c r="J440" s="95">
        <v>10000</v>
      </c>
      <c r="K440" s="96">
        <v>0</v>
      </c>
      <c r="L440" s="96" t="s">
        <v>264</v>
      </c>
      <c r="M440" s="71"/>
      <c r="N440" s="96" t="s">
        <v>264</v>
      </c>
      <c r="O440" s="96"/>
      <c r="P440" s="96"/>
      <c r="Q440" s="96" t="s">
        <v>227</v>
      </c>
      <c r="R440" s="95">
        <v>0</v>
      </c>
      <c r="S440" s="103">
        <v>0</v>
      </c>
      <c r="T440" s="96">
        <v>0</v>
      </c>
      <c r="U440" s="96">
        <v>1011</v>
      </c>
      <c r="V440" s="96">
        <v>800</v>
      </c>
      <c r="W440" s="96">
        <v>6009001</v>
      </c>
      <c r="X440" s="96">
        <v>500</v>
      </c>
      <c r="Y440" s="96">
        <v>350</v>
      </c>
      <c r="Z440" s="71">
        <v>0</v>
      </c>
    </row>
    <row r="441" spans="1:26">
      <c r="A441" s="71">
        <v>6009102</v>
      </c>
      <c r="B441" s="96" t="s">
        <v>265</v>
      </c>
      <c r="C441" s="96"/>
      <c r="D441" s="96">
        <v>2</v>
      </c>
      <c r="E441" s="71">
        <v>3</v>
      </c>
      <c r="F441" s="96">
        <v>3001</v>
      </c>
      <c r="G441" s="71">
        <v>350</v>
      </c>
      <c r="H441" s="96">
        <v>1430</v>
      </c>
      <c r="I441" s="98">
        <v>0</v>
      </c>
      <c r="J441" s="96">
        <v>10000</v>
      </c>
      <c r="K441" s="96">
        <v>1009002</v>
      </c>
      <c r="L441" s="96" t="s">
        <v>267</v>
      </c>
      <c r="M441" s="25" t="s">
        <v>266</v>
      </c>
      <c r="N441" s="96" t="s">
        <v>265</v>
      </c>
      <c r="O441" s="96"/>
      <c r="P441" s="96"/>
      <c r="Q441" s="96" t="s">
        <v>60</v>
      </c>
      <c r="R441" s="95">
        <v>0</v>
      </c>
      <c r="S441" s="103">
        <v>6009002</v>
      </c>
      <c r="T441" s="96">
        <v>700</v>
      </c>
      <c r="U441" s="96">
        <v>1011</v>
      </c>
      <c r="V441" s="96" t="s">
        <v>269</v>
      </c>
      <c r="W441" s="96">
        <v>0</v>
      </c>
      <c r="X441" s="96">
        <v>0</v>
      </c>
      <c r="Y441" s="96">
        <v>0</v>
      </c>
      <c r="Z441" s="71">
        <v>0</v>
      </c>
    </row>
    <row r="442" spans="1:26">
      <c r="A442" s="71">
        <v>6010001</v>
      </c>
      <c r="B442" s="96" t="s">
        <v>270</v>
      </c>
      <c r="C442" s="96"/>
      <c r="D442" s="96">
        <v>1</v>
      </c>
      <c r="E442" s="71">
        <v>3</v>
      </c>
      <c r="F442" s="96">
        <v>1001</v>
      </c>
      <c r="G442" s="71">
        <v>350</v>
      </c>
      <c r="H442" s="95">
        <v>10000</v>
      </c>
      <c r="I442" s="98">
        <v>0</v>
      </c>
      <c r="J442" s="95">
        <v>10000</v>
      </c>
      <c r="K442" s="96">
        <v>0</v>
      </c>
      <c r="L442" s="96" t="s">
        <v>270</v>
      </c>
      <c r="M442" s="71"/>
      <c r="N442" s="96" t="s">
        <v>270</v>
      </c>
      <c r="O442" s="96"/>
      <c r="P442" s="96"/>
      <c r="Q442" s="96" t="s">
        <v>227</v>
      </c>
      <c r="R442" s="95">
        <v>0</v>
      </c>
      <c r="S442" s="103">
        <v>0</v>
      </c>
      <c r="T442" s="96">
        <v>0</v>
      </c>
      <c r="U442" s="96">
        <v>1013</v>
      </c>
      <c r="V442" s="96">
        <v>800</v>
      </c>
      <c r="W442" s="96">
        <v>6010001</v>
      </c>
      <c r="X442" s="96">
        <v>500</v>
      </c>
      <c r="Y442" s="96">
        <v>350</v>
      </c>
      <c r="Z442" s="71">
        <v>0</v>
      </c>
    </row>
    <row r="443" spans="1:26">
      <c r="A443" s="71">
        <v>6010002</v>
      </c>
      <c r="B443" s="96" t="s">
        <v>271</v>
      </c>
      <c r="C443" s="96"/>
      <c r="D443" s="96">
        <v>2</v>
      </c>
      <c r="E443" s="71">
        <v>3</v>
      </c>
      <c r="F443" s="96">
        <v>3001</v>
      </c>
      <c r="G443" s="71">
        <v>350</v>
      </c>
      <c r="H443" s="95">
        <v>10000</v>
      </c>
      <c r="I443" s="98">
        <v>0</v>
      </c>
      <c r="J443" s="96">
        <v>10000</v>
      </c>
      <c r="K443" s="96">
        <v>1010002</v>
      </c>
      <c r="L443" s="96" t="s">
        <v>273</v>
      </c>
      <c r="M443" s="25" t="s">
        <v>272</v>
      </c>
      <c r="N443" s="96" t="s">
        <v>271</v>
      </c>
      <c r="O443" s="96"/>
      <c r="P443" s="96"/>
      <c r="Q443" s="96" t="s">
        <v>60</v>
      </c>
      <c r="R443" s="95">
        <v>0</v>
      </c>
      <c r="S443" s="103">
        <v>6010002</v>
      </c>
      <c r="T443" s="96">
        <v>600</v>
      </c>
      <c r="U443" s="96">
        <v>1013</v>
      </c>
      <c r="V443" s="96">
        <v>1200</v>
      </c>
      <c r="W443" s="96">
        <v>0</v>
      </c>
      <c r="X443" s="96">
        <v>0</v>
      </c>
      <c r="Y443" s="96">
        <v>0</v>
      </c>
      <c r="Z443" s="71">
        <v>0</v>
      </c>
    </row>
    <row r="444" spans="1:26">
      <c r="A444" s="71">
        <v>6010101</v>
      </c>
      <c r="B444" s="96" t="s">
        <v>275</v>
      </c>
      <c r="C444" s="96"/>
      <c r="D444" s="96">
        <v>1</v>
      </c>
      <c r="E444" s="71">
        <v>3</v>
      </c>
      <c r="F444" s="96">
        <v>1001</v>
      </c>
      <c r="G444" s="71">
        <v>350</v>
      </c>
      <c r="H444" s="95">
        <v>10000</v>
      </c>
      <c r="I444" s="98">
        <v>0</v>
      </c>
      <c r="J444" s="95">
        <v>10000</v>
      </c>
      <c r="K444" s="96">
        <v>0</v>
      </c>
      <c r="L444" s="96" t="s">
        <v>275</v>
      </c>
      <c r="M444" s="71"/>
      <c r="N444" s="96" t="s">
        <v>275</v>
      </c>
      <c r="O444" s="96"/>
      <c r="P444" s="96"/>
      <c r="Q444" s="96" t="s">
        <v>227</v>
      </c>
      <c r="R444" s="95">
        <v>0</v>
      </c>
      <c r="S444" s="103">
        <v>0</v>
      </c>
      <c r="T444" s="96">
        <v>0</v>
      </c>
      <c r="U444" s="96">
        <v>1013</v>
      </c>
      <c r="V444" s="96">
        <v>700</v>
      </c>
      <c r="W444" s="96">
        <v>6010001</v>
      </c>
      <c r="X444" s="96">
        <v>400</v>
      </c>
      <c r="Y444" s="96">
        <v>350</v>
      </c>
      <c r="Z444" s="71">
        <v>0</v>
      </c>
    </row>
    <row r="445" spans="1:26">
      <c r="A445" s="71">
        <v>6010102</v>
      </c>
      <c r="B445" s="96" t="s">
        <v>56</v>
      </c>
      <c r="C445" s="96"/>
      <c r="D445" s="96">
        <v>2</v>
      </c>
      <c r="E445" s="71">
        <v>3</v>
      </c>
      <c r="F445" s="96">
        <v>3001</v>
      </c>
      <c r="G445" s="71">
        <v>350</v>
      </c>
      <c r="H445" s="95">
        <v>5000</v>
      </c>
      <c r="I445" s="98">
        <v>0</v>
      </c>
      <c r="J445" s="96">
        <v>10000</v>
      </c>
      <c r="K445" s="96">
        <v>1010002</v>
      </c>
      <c r="L445" s="96" t="s">
        <v>277</v>
      </c>
      <c r="M445" s="25" t="s">
        <v>276</v>
      </c>
      <c r="N445" s="96" t="s">
        <v>56</v>
      </c>
      <c r="O445" s="96"/>
      <c r="P445" s="96"/>
      <c r="Q445" s="96" t="s">
        <v>60</v>
      </c>
      <c r="R445" s="95">
        <v>0</v>
      </c>
      <c r="S445" s="103">
        <v>6010102</v>
      </c>
      <c r="T445" s="96">
        <v>500</v>
      </c>
      <c r="U445" s="96">
        <v>1013</v>
      </c>
      <c r="V445" s="96" t="s">
        <v>279</v>
      </c>
      <c r="W445" s="96">
        <v>0</v>
      </c>
      <c r="X445" s="96">
        <v>0</v>
      </c>
      <c r="Y445" s="96">
        <v>0</v>
      </c>
      <c r="Z445" s="71">
        <v>5001001</v>
      </c>
    </row>
    <row r="446" spans="1:26">
      <c r="A446" s="71">
        <v>6010201</v>
      </c>
      <c r="B446" s="96" t="s">
        <v>280</v>
      </c>
      <c r="C446" s="96"/>
      <c r="D446" s="96">
        <v>1</v>
      </c>
      <c r="E446" s="71">
        <v>3</v>
      </c>
      <c r="F446" s="96">
        <v>1001</v>
      </c>
      <c r="G446" s="71">
        <v>350</v>
      </c>
      <c r="H446" s="95">
        <v>10000</v>
      </c>
      <c r="I446" s="98">
        <v>0</v>
      </c>
      <c r="J446" s="95">
        <v>10000</v>
      </c>
      <c r="K446" s="96">
        <v>0</v>
      </c>
      <c r="L446" s="96" t="s">
        <v>280</v>
      </c>
      <c r="M446" s="71"/>
      <c r="N446" s="96" t="s">
        <v>280</v>
      </c>
      <c r="O446" s="96"/>
      <c r="P446" s="96"/>
      <c r="Q446" s="96" t="s">
        <v>227</v>
      </c>
      <c r="R446" s="95">
        <v>0</v>
      </c>
      <c r="S446" s="103">
        <v>0</v>
      </c>
      <c r="T446" s="96">
        <v>0</v>
      </c>
      <c r="U446" s="96">
        <v>1013</v>
      </c>
      <c r="V446" s="96">
        <v>700</v>
      </c>
      <c r="W446" s="96">
        <v>6010001</v>
      </c>
      <c r="X446" s="96">
        <v>400</v>
      </c>
      <c r="Y446" s="96">
        <v>350</v>
      </c>
      <c r="Z446" s="71">
        <v>0</v>
      </c>
    </row>
    <row r="447" spans="1:26">
      <c r="A447" s="71">
        <v>6010202</v>
      </c>
      <c r="B447" s="96" t="s">
        <v>208</v>
      </c>
      <c r="C447" s="96"/>
      <c r="D447" s="96">
        <v>2</v>
      </c>
      <c r="E447" s="71">
        <v>3</v>
      </c>
      <c r="F447" s="96">
        <v>3001</v>
      </c>
      <c r="G447" s="71">
        <v>350</v>
      </c>
      <c r="H447" s="96">
        <v>1430</v>
      </c>
      <c r="I447" s="98">
        <v>0</v>
      </c>
      <c r="J447" s="96">
        <v>10000</v>
      </c>
      <c r="K447" s="96">
        <v>1010202</v>
      </c>
      <c r="L447" s="96" t="s">
        <v>282</v>
      </c>
      <c r="M447" s="25" t="s">
        <v>281</v>
      </c>
      <c r="N447" s="96" t="s">
        <v>208</v>
      </c>
      <c r="O447" s="96"/>
      <c r="P447" s="96"/>
      <c r="Q447" s="96" t="s">
        <v>60</v>
      </c>
      <c r="R447" s="95">
        <v>0</v>
      </c>
      <c r="S447" s="103">
        <v>6010202</v>
      </c>
      <c r="T447" s="96">
        <v>1100</v>
      </c>
      <c r="U447" s="96">
        <v>1013</v>
      </c>
      <c r="V447" s="96" t="s">
        <v>284</v>
      </c>
      <c r="W447" s="96">
        <v>0</v>
      </c>
      <c r="X447" s="96">
        <v>0</v>
      </c>
      <c r="Y447" s="96">
        <v>0</v>
      </c>
      <c r="Z447" s="71">
        <v>5007002</v>
      </c>
    </row>
    <row r="448" spans="1:26">
      <c r="A448" s="71">
        <v>6011001</v>
      </c>
      <c r="B448" s="96" t="s">
        <v>285</v>
      </c>
      <c r="C448" s="96"/>
      <c r="D448" s="96">
        <v>1</v>
      </c>
      <c r="E448" s="71">
        <v>3</v>
      </c>
      <c r="F448" s="96">
        <v>1001</v>
      </c>
      <c r="G448" s="71">
        <v>350</v>
      </c>
      <c r="H448" s="95">
        <v>10000</v>
      </c>
      <c r="I448" s="98">
        <v>0</v>
      </c>
      <c r="J448" s="95">
        <v>10000</v>
      </c>
      <c r="K448" s="96">
        <v>0</v>
      </c>
      <c r="L448" s="96" t="s">
        <v>285</v>
      </c>
      <c r="M448" s="71"/>
      <c r="N448" s="96" t="s">
        <v>285</v>
      </c>
      <c r="O448" s="96"/>
      <c r="P448" s="96"/>
      <c r="Q448" s="96" t="s">
        <v>227</v>
      </c>
      <c r="R448" s="95">
        <v>0</v>
      </c>
      <c r="S448" s="103">
        <v>0</v>
      </c>
      <c r="T448" s="96">
        <v>0</v>
      </c>
      <c r="U448" s="96">
        <v>1013</v>
      </c>
      <c r="V448" s="96">
        <v>700</v>
      </c>
      <c r="W448" s="96">
        <v>6011001</v>
      </c>
      <c r="X448" s="96">
        <v>400</v>
      </c>
      <c r="Y448" s="96">
        <v>350</v>
      </c>
      <c r="Z448" s="71">
        <v>0</v>
      </c>
    </row>
    <row r="449" spans="1:26">
      <c r="A449" s="71">
        <v>6011002</v>
      </c>
      <c r="B449" s="96" t="s">
        <v>286</v>
      </c>
      <c r="C449" s="96"/>
      <c r="D449" s="96">
        <v>2</v>
      </c>
      <c r="E449" s="71">
        <v>3</v>
      </c>
      <c r="F449" s="96">
        <v>3001</v>
      </c>
      <c r="G449" s="71">
        <v>350</v>
      </c>
      <c r="H449" s="96">
        <v>2500</v>
      </c>
      <c r="I449" s="98">
        <v>0</v>
      </c>
      <c r="J449" s="96">
        <v>10000</v>
      </c>
      <c r="K449" s="96">
        <v>1011002</v>
      </c>
      <c r="L449" s="96" t="s">
        <v>288</v>
      </c>
      <c r="M449" s="25" t="s">
        <v>287</v>
      </c>
      <c r="N449" s="96" t="s">
        <v>286</v>
      </c>
      <c r="O449" s="96"/>
      <c r="P449" s="96"/>
      <c r="Q449" s="96" t="s">
        <v>60</v>
      </c>
      <c r="R449" s="95">
        <v>0</v>
      </c>
      <c r="S449" s="103">
        <v>6011002</v>
      </c>
      <c r="T449" s="96">
        <v>300</v>
      </c>
      <c r="U449" s="96">
        <v>1013</v>
      </c>
      <c r="V449" s="96" t="s">
        <v>969</v>
      </c>
      <c r="W449" s="96">
        <v>0</v>
      </c>
      <c r="X449" s="96">
        <v>0</v>
      </c>
      <c r="Y449" s="96">
        <v>0</v>
      </c>
      <c r="Z449" s="71">
        <v>0</v>
      </c>
    </row>
    <row r="450" spans="1:26">
      <c r="A450" s="71">
        <v>6011101</v>
      </c>
      <c r="B450" s="96" t="s">
        <v>291</v>
      </c>
      <c r="C450" s="96"/>
      <c r="D450" s="96">
        <v>1</v>
      </c>
      <c r="E450" s="71">
        <v>3</v>
      </c>
      <c r="F450" s="96">
        <v>1001</v>
      </c>
      <c r="G450" s="71">
        <v>350</v>
      </c>
      <c r="H450" s="95">
        <v>10000</v>
      </c>
      <c r="I450" s="98">
        <v>0</v>
      </c>
      <c r="J450" s="95">
        <v>10000</v>
      </c>
      <c r="K450" s="96">
        <v>0</v>
      </c>
      <c r="L450" s="96" t="s">
        <v>291</v>
      </c>
      <c r="M450" s="71"/>
      <c r="N450" s="96" t="s">
        <v>291</v>
      </c>
      <c r="O450" s="96"/>
      <c r="P450" s="96"/>
      <c r="Q450" s="96" t="s">
        <v>227</v>
      </c>
      <c r="R450" s="95">
        <v>0</v>
      </c>
      <c r="S450" s="103">
        <v>0</v>
      </c>
      <c r="T450" s="96">
        <v>0</v>
      </c>
      <c r="U450" s="96">
        <v>1013</v>
      </c>
      <c r="V450" s="96">
        <v>700</v>
      </c>
      <c r="W450" s="96">
        <v>6011001</v>
      </c>
      <c r="X450" s="96">
        <v>400</v>
      </c>
      <c r="Y450" s="96">
        <v>350</v>
      </c>
      <c r="Z450" s="71">
        <v>0</v>
      </c>
    </row>
    <row r="451" spans="1:26">
      <c r="A451" s="71">
        <v>6011102</v>
      </c>
      <c r="B451" s="96" t="s">
        <v>116</v>
      </c>
      <c r="C451" s="96"/>
      <c r="D451" s="96">
        <v>2</v>
      </c>
      <c r="E451" s="71">
        <v>3</v>
      </c>
      <c r="F451" s="96">
        <v>3001</v>
      </c>
      <c r="G451" s="71">
        <v>350</v>
      </c>
      <c r="H451" s="96">
        <v>2500</v>
      </c>
      <c r="I451" s="98">
        <v>0</v>
      </c>
      <c r="J451" s="96">
        <v>10000</v>
      </c>
      <c r="K451" s="96">
        <v>1011002</v>
      </c>
      <c r="L451" s="96" t="s">
        <v>293</v>
      </c>
      <c r="M451" s="25" t="s">
        <v>292</v>
      </c>
      <c r="N451" s="96" t="s">
        <v>116</v>
      </c>
      <c r="O451" s="96"/>
      <c r="P451" s="96"/>
      <c r="Q451" s="96" t="s">
        <v>60</v>
      </c>
      <c r="R451" s="95">
        <v>0</v>
      </c>
      <c r="S451" s="103">
        <v>6011002</v>
      </c>
      <c r="T451" s="96">
        <v>500</v>
      </c>
      <c r="U451" s="96">
        <v>1013</v>
      </c>
      <c r="V451" s="96" t="s">
        <v>970</v>
      </c>
      <c r="W451" s="96">
        <v>0</v>
      </c>
      <c r="X451" s="96">
        <v>0</v>
      </c>
      <c r="Y451" s="96">
        <v>0</v>
      </c>
      <c r="Z451" s="71">
        <v>5003003</v>
      </c>
    </row>
    <row r="452" spans="1:26">
      <c r="A452" s="71">
        <v>6012001</v>
      </c>
      <c r="B452" s="96" t="s">
        <v>295</v>
      </c>
      <c r="C452" s="96"/>
      <c r="D452" s="96">
        <v>1</v>
      </c>
      <c r="E452" s="71">
        <v>3</v>
      </c>
      <c r="F452" s="96">
        <v>1001</v>
      </c>
      <c r="G452" s="71">
        <v>350</v>
      </c>
      <c r="H452" s="95">
        <v>10000</v>
      </c>
      <c r="I452" s="98">
        <v>0</v>
      </c>
      <c r="J452" s="95">
        <v>10000</v>
      </c>
      <c r="K452" s="96">
        <v>0</v>
      </c>
      <c r="L452" s="96" t="s">
        <v>295</v>
      </c>
      <c r="M452" s="71"/>
      <c r="N452" s="96" t="s">
        <v>295</v>
      </c>
      <c r="O452" s="96"/>
      <c r="P452" s="96"/>
      <c r="Q452" s="96" t="s">
        <v>227</v>
      </c>
      <c r="R452" s="95">
        <v>0</v>
      </c>
      <c r="S452" s="103">
        <v>0</v>
      </c>
      <c r="T452" s="96">
        <v>0</v>
      </c>
      <c r="U452" s="96">
        <v>1013</v>
      </c>
      <c r="V452" s="96">
        <v>600</v>
      </c>
      <c r="W452" s="96">
        <v>6012001</v>
      </c>
      <c r="X452" s="96">
        <v>300</v>
      </c>
      <c r="Y452" s="96">
        <v>350</v>
      </c>
      <c r="Z452" s="71">
        <v>0</v>
      </c>
    </row>
    <row r="453" spans="1:26">
      <c r="A453" s="71">
        <v>6012002</v>
      </c>
      <c r="B453" s="96" t="s">
        <v>296</v>
      </c>
      <c r="C453" s="96"/>
      <c r="D453" s="96">
        <v>2</v>
      </c>
      <c r="E453" s="71">
        <v>3</v>
      </c>
      <c r="F453" s="96">
        <v>3001</v>
      </c>
      <c r="G453" s="71">
        <v>350</v>
      </c>
      <c r="H453" s="96">
        <v>2000</v>
      </c>
      <c r="I453" s="98">
        <v>0</v>
      </c>
      <c r="J453" s="96">
        <v>10000</v>
      </c>
      <c r="K453" s="96">
        <v>1012002</v>
      </c>
      <c r="L453" s="96" t="s">
        <v>298</v>
      </c>
      <c r="M453" s="25" t="s">
        <v>297</v>
      </c>
      <c r="N453" s="96" t="s">
        <v>296</v>
      </c>
      <c r="O453" s="96"/>
      <c r="P453" s="96"/>
      <c r="Q453" s="96" t="s">
        <v>60</v>
      </c>
      <c r="R453" s="95">
        <v>0</v>
      </c>
      <c r="S453" s="103">
        <v>6012002</v>
      </c>
      <c r="T453" s="96">
        <v>700</v>
      </c>
      <c r="U453" s="96">
        <v>1013</v>
      </c>
      <c r="V453" s="96" t="s">
        <v>971</v>
      </c>
      <c r="W453" s="96">
        <v>0</v>
      </c>
      <c r="X453" s="96">
        <v>0</v>
      </c>
      <c r="Y453" s="96">
        <v>0</v>
      </c>
      <c r="Z453" s="71">
        <v>0</v>
      </c>
    </row>
    <row r="454" spans="1:26">
      <c r="A454" s="71">
        <v>6012101</v>
      </c>
      <c r="B454" s="96" t="s">
        <v>301</v>
      </c>
      <c r="C454" s="96"/>
      <c r="D454" s="96">
        <v>1</v>
      </c>
      <c r="E454" s="71">
        <v>3</v>
      </c>
      <c r="F454" s="96">
        <v>1001</v>
      </c>
      <c r="G454" s="71">
        <v>350</v>
      </c>
      <c r="H454" s="95">
        <v>10000</v>
      </c>
      <c r="I454" s="98">
        <v>0</v>
      </c>
      <c r="J454" s="95">
        <v>10000</v>
      </c>
      <c r="K454" s="96">
        <v>0</v>
      </c>
      <c r="L454" s="96" t="s">
        <v>301</v>
      </c>
      <c r="M454" s="71"/>
      <c r="N454" s="96" t="s">
        <v>301</v>
      </c>
      <c r="O454" s="96"/>
      <c r="P454" s="96"/>
      <c r="Q454" s="96" t="s">
        <v>227</v>
      </c>
      <c r="R454" s="95">
        <v>0</v>
      </c>
      <c r="S454" s="103">
        <v>0</v>
      </c>
      <c r="T454" s="96">
        <v>0</v>
      </c>
      <c r="U454" s="96">
        <v>1013</v>
      </c>
      <c r="V454" s="96">
        <v>600</v>
      </c>
      <c r="W454" s="96">
        <v>6012001</v>
      </c>
      <c r="X454" s="96">
        <v>300</v>
      </c>
      <c r="Y454" s="96">
        <v>350</v>
      </c>
      <c r="Z454" s="71">
        <v>0</v>
      </c>
    </row>
    <row r="455" spans="1:26">
      <c r="A455" s="71">
        <v>6012102</v>
      </c>
      <c r="B455" s="96" t="s">
        <v>130</v>
      </c>
      <c r="C455" s="96"/>
      <c r="D455" s="96">
        <v>2</v>
      </c>
      <c r="E455" s="71">
        <v>3</v>
      </c>
      <c r="F455" s="96">
        <v>3001</v>
      </c>
      <c r="G455" s="71">
        <v>350</v>
      </c>
      <c r="H455" s="96">
        <v>2000</v>
      </c>
      <c r="I455" s="98">
        <v>0</v>
      </c>
      <c r="J455" s="96">
        <v>10000</v>
      </c>
      <c r="K455" s="96">
        <v>1012002</v>
      </c>
      <c r="L455" s="96" t="s">
        <v>303</v>
      </c>
      <c r="M455" s="25" t="s">
        <v>302</v>
      </c>
      <c r="N455" s="96" t="s">
        <v>130</v>
      </c>
      <c r="O455" s="96"/>
      <c r="P455" s="96"/>
      <c r="Q455" s="96" t="s">
        <v>60</v>
      </c>
      <c r="R455" s="95">
        <v>0</v>
      </c>
      <c r="S455" s="103">
        <v>6012002</v>
      </c>
      <c r="T455" s="96">
        <v>700</v>
      </c>
      <c r="U455" s="96">
        <v>1013</v>
      </c>
      <c r="V455" s="96" t="s">
        <v>971</v>
      </c>
      <c r="W455" s="96">
        <v>0</v>
      </c>
      <c r="X455" s="96">
        <v>0</v>
      </c>
      <c r="Y455" s="96">
        <v>0</v>
      </c>
      <c r="Z455" s="71">
        <v>5004001</v>
      </c>
    </row>
    <row r="456" spans="1:26">
      <c r="A456" s="71">
        <v>6012201</v>
      </c>
      <c r="B456" s="96" t="s">
        <v>305</v>
      </c>
      <c r="C456" s="96"/>
      <c r="D456" s="96">
        <v>1</v>
      </c>
      <c r="E456" s="71">
        <v>3</v>
      </c>
      <c r="F456" s="96">
        <v>1001</v>
      </c>
      <c r="G456" s="71">
        <v>350</v>
      </c>
      <c r="H456" s="95">
        <v>10000</v>
      </c>
      <c r="I456" s="98">
        <v>0</v>
      </c>
      <c r="J456" s="95">
        <v>10000</v>
      </c>
      <c r="K456" s="96">
        <v>0</v>
      </c>
      <c r="L456" s="96" t="s">
        <v>305</v>
      </c>
      <c r="M456" s="71"/>
      <c r="N456" s="96" t="s">
        <v>305</v>
      </c>
      <c r="O456" s="96"/>
      <c r="P456" s="96"/>
      <c r="Q456" s="96" t="s">
        <v>227</v>
      </c>
      <c r="R456" s="95">
        <v>0</v>
      </c>
      <c r="S456" s="103">
        <v>0</v>
      </c>
      <c r="T456" s="96">
        <v>0</v>
      </c>
      <c r="U456" s="96">
        <v>1013</v>
      </c>
      <c r="V456" s="96">
        <v>600</v>
      </c>
      <c r="W456" s="96">
        <v>6012001</v>
      </c>
      <c r="X456" s="96">
        <v>300</v>
      </c>
      <c r="Y456" s="96">
        <v>350</v>
      </c>
      <c r="Z456" s="71">
        <v>0</v>
      </c>
    </row>
    <row r="457" spans="1:26">
      <c r="A457" s="71">
        <v>6012202</v>
      </c>
      <c r="B457" s="96" t="s">
        <v>178</v>
      </c>
      <c r="C457" s="96"/>
      <c r="D457" s="96">
        <v>2</v>
      </c>
      <c r="E457" s="71">
        <v>3</v>
      </c>
      <c r="F457" s="96">
        <v>3001</v>
      </c>
      <c r="G457" s="71">
        <v>350</v>
      </c>
      <c r="H457" s="96">
        <v>1670</v>
      </c>
      <c r="I457" s="98">
        <v>0</v>
      </c>
      <c r="J457" s="96">
        <v>10000</v>
      </c>
      <c r="K457" s="96">
        <v>1012202</v>
      </c>
      <c r="L457" s="96" t="s">
        <v>307</v>
      </c>
      <c r="M457" s="25" t="s">
        <v>306</v>
      </c>
      <c r="N457" s="96" t="s">
        <v>178</v>
      </c>
      <c r="O457" s="96"/>
      <c r="P457" s="96"/>
      <c r="Q457" s="96" t="s">
        <v>60</v>
      </c>
      <c r="R457" s="95">
        <v>0</v>
      </c>
      <c r="S457" s="103">
        <v>6012202</v>
      </c>
      <c r="T457" s="96">
        <v>0</v>
      </c>
      <c r="U457" s="96">
        <v>1013</v>
      </c>
      <c r="V457" s="96" t="s">
        <v>182</v>
      </c>
      <c r="W457" s="96">
        <v>0</v>
      </c>
      <c r="X457" s="96">
        <v>0</v>
      </c>
      <c r="Y457" s="96">
        <v>0</v>
      </c>
      <c r="Z457" s="71">
        <v>5006001</v>
      </c>
    </row>
    <row r="458" spans="1:26">
      <c r="A458" s="71">
        <v>6013001</v>
      </c>
      <c r="B458" s="96" t="s">
        <v>309</v>
      </c>
      <c r="C458" s="96"/>
      <c r="D458" s="96">
        <v>1</v>
      </c>
      <c r="E458" s="71">
        <v>3</v>
      </c>
      <c r="F458" s="96">
        <v>1001</v>
      </c>
      <c r="G458" s="71">
        <v>350</v>
      </c>
      <c r="H458" s="95">
        <v>10000</v>
      </c>
      <c r="I458" s="98">
        <v>0</v>
      </c>
      <c r="J458" s="95">
        <v>10000</v>
      </c>
      <c r="K458" s="96">
        <v>0</v>
      </c>
      <c r="L458" s="96" t="s">
        <v>309</v>
      </c>
      <c r="M458" s="71"/>
      <c r="N458" s="96" t="s">
        <v>309</v>
      </c>
      <c r="O458" s="96"/>
      <c r="P458" s="96"/>
      <c r="Q458" s="96" t="s">
        <v>227</v>
      </c>
      <c r="R458" s="95">
        <v>0</v>
      </c>
      <c r="S458" s="103">
        <v>0</v>
      </c>
      <c r="T458" s="96">
        <v>0</v>
      </c>
      <c r="U458" s="96">
        <v>1013</v>
      </c>
      <c r="V458" s="96">
        <v>800</v>
      </c>
      <c r="W458" s="96">
        <v>6013001</v>
      </c>
      <c r="X458" s="96">
        <v>500</v>
      </c>
      <c r="Y458" s="96">
        <v>350</v>
      </c>
      <c r="Z458" s="71">
        <v>0</v>
      </c>
    </row>
    <row r="459" spans="1:26">
      <c r="A459" s="71">
        <v>6013002</v>
      </c>
      <c r="B459" s="96" t="s">
        <v>310</v>
      </c>
      <c r="C459" s="96"/>
      <c r="D459" s="96">
        <v>2</v>
      </c>
      <c r="E459" s="71">
        <v>3</v>
      </c>
      <c r="F459" s="96">
        <v>3001</v>
      </c>
      <c r="G459" s="71">
        <v>350</v>
      </c>
      <c r="H459" s="96">
        <v>1250</v>
      </c>
      <c r="I459" s="98">
        <v>0</v>
      </c>
      <c r="J459" s="96">
        <v>10000</v>
      </c>
      <c r="K459" s="96">
        <v>1013002</v>
      </c>
      <c r="L459" s="96" t="s">
        <v>312</v>
      </c>
      <c r="M459" s="25" t="s">
        <v>311</v>
      </c>
      <c r="N459" s="96" t="s">
        <v>310</v>
      </c>
      <c r="O459" s="96"/>
      <c r="P459" s="96"/>
      <c r="Q459" s="96" t="s">
        <v>60</v>
      </c>
      <c r="R459" s="95">
        <v>0</v>
      </c>
      <c r="S459" s="103">
        <v>6013002</v>
      </c>
      <c r="T459" s="96">
        <v>500</v>
      </c>
      <c r="U459" s="96">
        <v>1013</v>
      </c>
      <c r="V459" s="96" t="s">
        <v>314</v>
      </c>
      <c r="W459" s="96">
        <v>0</v>
      </c>
      <c r="X459" s="96">
        <v>0</v>
      </c>
      <c r="Y459" s="96">
        <v>0</v>
      </c>
      <c r="Z459" s="71">
        <v>0</v>
      </c>
    </row>
    <row r="460" spans="1:26">
      <c r="A460" s="71">
        <v>6013101</v>
      </c>
      <c r="B460" s="96" t="s">
        <v>315</v>
      </c>
      <c r="C460" s="96"/>
      <c r="D460" s="96">
        <v>1</v>
      </c>
      <c r="E460" s="71">
        <v>3</v>
      </c>
      <c r="F460" s="96">
        <v>1001</v>
      </c>
      <c r="G460" s="71">
        <v>350</v>
      </c>
      <c r="H460" s="95">
        <v>10000</v>
      </c>
      <c r="I460" s="98">
        <v>0</v>
      </c>
      <c r="J460" s="95">
        <v>10000</v>
      </c>
      <c r="K460" s="96">
        <v>0</v>
      </c>
      <c r="L460" s="96" t="s">
        <v>315</v>
      </c>
      <c r="M460" s="71"/>
      <c r="N460" s="96" t="s">
        <v>315</v>
      </c>
      <c r="O460" s="96"/>
      <c r="P460" s="96"/>
      <c r="Q460" s="96" t="s">
        <v>227</v>
      </c>
      <c r="R460" s="95">
        <v>0</v>
      </c>
      <c r="S460" s="103">
        <v>0</v>
      </c>
      <c r="T460" s="96">
        <v>0</v>
      </c>
      <c r="U460" s="96">
        <v>1013</v>
      </c>
      <c r="V460" s="96">
        <v>700</v>
      </c>
      <c r="W460" s="96">
        <v>6013001</v>
      </c>
      <c r="X460" s="96">
        <v>400</v>
      </c>
      <c r="Y460" s="96">
        <v>350</v>
      </c>
      <c r="Z460" s="71">
        <v>0</v>
      </c>
    </row>
    <row r="461" spans="1:26">
      <c r="A461" s="71">
        <v>6013102</v>
      </c>
      <c r="B461" s="96" t="s">
        <v>87</v>
      </c>
      <c r="C461" s="96"/>
      <c r="D461" s="96">
        <v>2</v>
      </c>
      <c r="E461" s="71">
        <v>3</v>
      </c>
      <c r="F461" s="96">
        <v>3001</v>
      </c>
      <c r="G461" s="71">
        <v>350</v>
      </c>
      <c r="H461" s="96">
        <v>1250</v>
      </c>
      <c r="I461" s="98">
        <v>0</v>
      </c>
      <c r="J461" s="96">
        <v>10000</v>
      </c>
      <c r="K461" s="96">
        <v>1013002</v>
      </c>
      <c r="L461" s="96" t="s">
        <v>317</v>
      </c>
      <c r="M461" s="25" t="s">
        <v>316</v>
      </c>
      <c r="N461" s="96" t="s">
        <v>87</v>
      </c>
      <c r="O461" s="96"/>
      <c r="P461" s="96"/>
      <c r="Q461" s="96" t="s">
        <v>60</v>
      </c>
      <c r="R461" s="95">
        <v>0</v>
      </c>
      <c r="S461" s="103">
        <v>6013002</v>
      </c>
      <c r="T461" s="96">
        <v>600</v>
      </c>
      <c r="U461" s="96">
        <v>1013</v>
      </c>
      <c r="V461" s="96" t="s">
        <v>319</v>
      </c>
      <c r="W461" s="96">
        <v>0</v>
      </c>
      <c r="X461" s="96">
        <v>0</v>
      </c>
      <c r="Y461" s="96">
        <v>0</v>
      </c>
      <c r="Z461" s="71">
        <v>5002002</v>
      </c>
    </row>
    <row r="462" spans="1:26">
      <c r="A462" s="71">
        <v>6014001</v>
      </c>
      <c r="B462" s="96" t="s">
        <v>320</v>
      </c>
      <c r="C462" s="96"/>
      <c r="D462" s="96">
        <v>1</v>
      </c>
      <c r="E462" s="71">
        <v>3</v>
      </c>
      <c r="F462" s="96">
        <v>1001</v>
      </c>
      <c r="G462" s="71">
        <v>350</v>
      </c>
      <c r="H462" s="95">
        <v>10000</v>
      </c>
      <c r="I462" s="98">
        <v>0</v>
      </c>
      <c r="J462" s="95">
        <v>10000</v>
      </c>
      <c r="K462" s="96">
        <v>0</v>
      </c>
      <c r="L462" s="96" t="s">
        <v>320</v>
      </c>
      <c r="M462" s="71"/>
      <c r="N462" s="96" t="s">
        <v>320</v>
      </c>
      <c r="O462" s="96"/>
      <c r="P462" s="96"/>
      <c r="Q462" s="96" t="s">
        <v>227</v>
      </c>
      <c r="R462" s="95">
        <v>0</v>
      </c>
      <c r="S462" s="103">
        <v>0</v>
      </c>
      <c r="T462" s="96">
        <v>0</v>
      </c>
      <c r="U462" s="96">
        <v>1014</v>
      </c>
      <c r="V462" s="96">
        <v>700</v>
      </c>
      <c r="W462" s="96">
        <v>6014001</v>
      </c>
      <c r="X462" s="96">
        <v>400</v>
      </c>
      <c r="Y462" s="96">
        <v>350</v>
      </c>
      <c r="Z462" s="71">
        <v>0</v>
      </c>
    </row>
    <row r="463" spans="1:26">
      <c r="A463" s="71">
        <v>6014002</v>
      </c>
      <c r="B463" s="96" t="s">
        <v>321</v>
      </c>
      <c r="C463" s="96"/>
      <c r="D463" s="96">
        <v>2</v>
      </c>
      <c r="E463" s="71">
        <v>3</v>
      </c>
      <c r="F463" s="96">
        <v>3001</v>
      </c>
      <c r="G463" s="71">
        <v>350</v>
      </c>
      <c r="H463" s="95">
        <v>10000</v>
      </c>
      <c r="I463" s="98">
        <v>0</v>
      </c>
      <c r="J463" s="96">
        <v>10000</v>
      </c>
      <c r="K463" s="96">
        <v>1014002</v>
      </c>
      <c r="L463" s="96" t="s">
        <v>323</v>
      </c>
      <c r="M463" s="25" t="s">
        <v>322</v>
      </c>
      <c r="N463" s="96" t="s">
        <v>321</v>
      </c>
      <c r="O463" s="96"/>
      <c r="P463" s="96"/>
      <c r="Q463" s="96" t="s">
        <v>60</v>
      </c>
      <c r="R463" s="95">
        <v>0</v>
      </c>
      <c r="S463" s="103">
        <v>6014002</v>
      </c>
      <c r="T463" s="96">
        <v>600</v>
      </c>
      <c r="U463" s="96">
        <v>1014</v>
      </c>
      <c r="V463" s="96">
        <v>1050</v>
      </c>
      <c r="W463" s="96">
        <v>0</v>
      </c>
      <c r="X463" s="96">
        <v>0</v>
      </c>
      <c r="Y463" s="96">
        <v>0</v>
      </c>
      <c r="Z463" s="71">
        <v>0</v>
      </c>
    </row>
    <row r="464" spans="1:26">
      <c r="A464" s="71">
        <v>6014101</v>
      </c>
      <c r="B464" s="96" t="s">
        <v>325</v>
      </c>
      <c r="C464" s="96"/>
      <c r="D464" s="96">
        <v>1</v>
      </c>
      <c r="E464" s="71">
        <v>3</v>
      </c>
      <c r="F464" s="96">
        <v>1001</v>
      </c>
      <c r="G464" s="71">
        <v>350</v>
      </c>
      <c r="H464" s="95">
        <v>10000</v>
      </c>
      <c r="I464" s="98">
        <v>0</v>
      </c>
      <c r="J464" s="95">
        <v>10000</v>
      </c>
      <c r="K464" s="96">
        <v>0</v>
      </c>
      <c r="L464" s="96" t="s">
        <v>325</v>
      </c>
      <c r="M464" s="71"/>
      <c r="N464" s="96" t="s">
        <v>325</v>
      </c>
      <c r="O464" s="96"/>
      <c r="P464" s="96"/>
      <c r="Q464" s="96" t="s">
        <v>227</v>
      </c>
      <c r="R464" s="95">
        <v>0</v>
      </c>
      <c r="S464" s="103">
        <v>0</v>
      </c>
      <c r="T464" s="96">
        <v>0</v>
      </c>
      <c r="U464" s="96">
        <v>1014</v>
      </c>
      <c r="V464" s="96">
        <v>700</v>
      </c>
      <c r="W464" s="96">
        <v>6014001</v>
      </c>
      <c r="X464" s="96">
        <v>400</v>
      </c>
      <c r="Y464" s="96">
        <v>350</v>
      </c>
      <c r="Z464" s="71">
        <v>0</v>
      </c>
    </row>
    <row r="465" spans="1:26">
      <c r="A465" s="71">
        <v>6014102</v>
      </c>
      <c r="B465" s="96" t="s">
        <v>326</v>
      </c>
      <c r="C465" s="96"/>
      <c r="D465" s="96">
        <v>2</v>
      </c>
      <c r="E465" s="71">
        <v>3</v>
      </c>
      <c r="F465" s="96">
        <v>3001</v>
      </c>
      <c r="G465" s="71">
        <v>350</v>
      </c>
      <c r="H465" s="95">
        <v>10000</v>
      </c>
      <c r="I465" s="98">
        <v>0</v>
      </c>
      <c r="J465" s="96">
        <v>10000</v>
      </c>
      <c r="K465" s="96">
        <v>1014002</v>
      </c>
      <c r="L465" s="96" t="s">
        <v>328</v>
      </c>
      <c r="M465" s="25" t="s">
        <v>327</v>
      </c>
      <c r="N465" s="96" t="s">
        <v>326</v>
      </c>
      <c r="O465" s="96"/>
      <c r="P465" s="96"/>
      <c r="Q465" s="96" t="s">
        <v>60</v>
      </c>
      <c r="R465" s="95">
        <v>0</v>
      </c>
      <c r="S465" s="103">
        <v>6014102</v>
      </c>
      <c r="T465" s="96">
        <v>700</v>
      </c>
      <c r="U465" s="96">
        <v>1014</v>
      </c>
      <c r="V465" s="96">
        <v>1700</v>
      </c>
      <c r="W465" s="96">
        <v>0</v>
      </c>
      <c r="X465" s="96">
        <v>0</v>
      </c>
      <c r="Y465" s="96">
        <v>0</v>
      </c>
      <c r="Z465" s="71">
        <v>0</v>
      </c>
    </row>
    <row r="466" spans="1:26">
      <c r="A466" s="71">
        <v>6015001</v>
      </c>
      <c r="B466" s="96" t="s">
        <v>330</v>
      </c>
      <c r="C466" s="96"/>
      <c r="D466" s="96">
        <v>1</v>
      </c>
      <c r="E466" s="71">
        <v>3</v>
      </c>
      <c r="F466" s="96">
        <v>1001</v>
      </c>
      <c r="G466" s="71">
        <v>350</v>
      </c>
      <c r="H466" s="95">
        <v>10000</v>
      </c>
      <c r="I466" s="98">
        <v>0</v>
      </c>
      <c r="J466" s="95">
        <v>10000</v>
      </c>
      <c r="K466" s="96">
        <v>0</v>
      </c>
      <c r="L466" s="96" t="s">
        <v>330</v>
      </c>
      <c r="M466" s="71"/>
      <c r="N466" s="96" t="s">
        <v>330</v>
      </c>
      <c r="O466" s="96"/>
      <c r="P466" s="96"/>
      <c r="Q466" s="96" t="s">
        <v>227</v>
      </c>
      <c r="R466" s="95">
        <v>0</v>
      </c>
      <c r="S466" s="103">
        <v>0</v>
      </c>
      <c r="T466" s="96">
        <v>0</v>
      </c>
      <c r="U466" s="96">
        <v>1014</v>
      </c>
      <c r="V466" s="96">
        <v>700</v>
      </c>
      <c r="W466" s="96">
        <v>6015001</v>
      </c>
      <c r="X466" s="96">
        <v>400</v>
      </c>
      <c r="Y466" s="96">
        <v>350</v>
      </c>
      <c r="Z466" s="71">
        <v>0</v>
      </c>
    </row>
    <row r="467" spans="1:26">
      <c r="A467" s="71">
        <v>6015002</v>
      </c>
      <c r="B467" s="96" t="s">
        <v>106</v>
      </c>
      <c r="C467" s="96"/>
      <c r="D467" s="96">
        <v>2</v>
      </c>
      <c r="E467" s="71">
        <v>3</v>
      </c>
      <c r="F467" s="96">
        <v>3001</v>
      </c>
      <c r="G467" s="71">
        <v>350</v>
      </c>
      <c r="H467" s="95">
        <v>10000</v>
      </c>
      <c r="I467" s="98">
        <v>0</v>
      </c>
      <c r="J467" s="96">
        <v>10000</v>
      </c>
      <c r="K467" s="96">
        <v>1015002</v>
      </c>
      <c r="L467" s="96" t="s">
        <v>332</v>
      </c>
      <c r="M467" s="25" t="s">
        <v>331</v>
      </c>
      <c r="N467" s="96" t="s">
        <v>106</v>
      </c>
      <c r="O467" s="96"/>
      <c r="P467" s="96"/>
      <c r="Q467" s="96" t="s">
        <v>60</v>
      </c>
      <c r="R467" s="95">
        <v>0</v>
      </c>
      <c r="S467" s="103">
        <v>6015002</v>
      </c>
      <c r="T467" s="96">
        <v>300</v>
      </c>
      <c r="U467" s="96">
        <v>1014</v>
      </c>
      <c r="V467" s="96">
        <v>1150</v>
      </c>
      <c r="W467" s="96">
        <v>0</v>
      </c>
      <c r="X467" s="96">
        <v>0</v>
      </c>
      <c r="Y467" s="96">
        <v>0</v>
      </c>
      <c r="Z467" s="71">
        <v>5003001</v>
      </c>
    </row>
    <row r="468" spans="1:26">
      <c r="A468" s="71">
        <v>6015101</v>
      </c>
      <c r="B468" s="96" t="s">
        <v>334</v>
      </c>
      <c r="C468" s="96"/>
      <c r="D468" s="96">
        <v>1</v>
      </c>
      <c r="E468" s="71">
        <v>3</v>
      </c>
      <c r="F468" s="96">
        <v>1001</v>
      </c>
      <c r="G468" s="71">
        <v>350</v>
      </c>
      <c r="H468" s="95">
        <v>10000</v>
      </c>
      <c r="I468" s="98">
        <v>0</v>
      </c>
      <c r="J468" s="95">
        <v>10000</v>
      </c>
      <c r="K468" s="96">
        <v>0</v>
      </c>
      <c r="L468" s="96" t="s">
        <v>334</v>
      </c>
      <c r="M468" s="71"/>
      <c r="N468" s="96" t="s">
        <v>334</v>
      </c>
      <c r="O468" s="96"/>
      <c r="P468" s="96"/>
      <c r="Q468" s="96" t="s">
        <v>227</v>
      </c>
      <c r="R468" s="95">
        <v>0</v>
      </c>
      <c r="S468" s="103">
        <v>0</v>
      </c>
      <c r="T468" s="96">
        <v>0</v>
      </c>
      <c r="U468" s="96">
        <v>1014</v>
      </c>
      <c r="V468" s="96">
        <v>700</v>
      </c>
      <c r="W468" s="96">
        <v>6015001</v>
      </c>
      <c r="X468" s="96">
        <v>400</v>
      </c>
      <c r="Y468" s="96">
        <v>350</v>
      </c>
      <c r="Z468" s="71">
        <v>0</v>
      </c>
    </row>
    <row r="469" spans="1:26">
      <c r="A469" s="71">
        <v>6015102</v>
      </c>
      <c r="B469" s="96" t="s">
        <v>335</v>
      </c>
      <c r="C469" s="96"/>
      <c r="D469" s="96">
        <v>2</v>
      </c>
      <c r="E469" s="71">
        <v>3</v>
      </c>
      <c r="F469" s="96">
        <v>3001</v>
      </c>
      <c r="G469" s="71">
        <v>350</v>
      </c>
      <c r="H469" s="95">
        <v>10000</v>
      </c>
      <c r="I469" s="98">
        <v>0</v>
      </c>
      <c r="J469" s="96">
        <v>10000</v>
      </c>
      <c r="K469" s="96">
        <v>1015002</v>
      </c>
      <c r="L469" s="96" t="s">
        <v>337</v>
      </c>
      <c r="M469" s="25" t="s">
        <v>336</v>
      </c>
      <c r="N469" s="96" t="s">
        <v>335</v>
      </c>
      <c r="O469" s="96"/>
      <c r="P469" s="96"/>
      <c r="Q469" s="96" t="s">
        <v>60</v>
      </c>
      <c r="R469" s="95">
        <v>0</v>
      </c>
      <c r="S469" s="103">
        <v>6015002</v>
      </c>
      <c r="T469" s="96">
        <v>1100</v>
      </c>
      <c r="U469" s="96">
        <v>1014</v>
      </c>
      <c r="V469" s="96">
        <v>1950</v>
      </c>
      <c r="W469" s="96">
        <v>0</v>
      </c>
      <c r="X469" s="96">
        <v>0</v>
      </c>
      <c r="Y469" s="96">
        <v>0</v>
      </c>
      <c r="Z469" s="71">
        <v>0</v>
      </c>
    </row>
    <row r="470" spans="1:26">
      <c r="A470" s="71">
        <v>6016001</v>
      </c>
      <c r="B470" s="96" t="s">
        <v>339</v>
      </c>
      <c r="C470" s="96"/>
      <c r="D470" s="96">
        <v>1</v>
      </c>
      <c r="E470" s="71">
        <v>3</v>
      </c>
      <c r="F470" s="96">
        <v>1001</v>
      </c>
      <c r="G470" s="71">
        <v>350</v>
      </c>
      <c r="H470" s="95">
        <v>10000</v>
      </c>
      <c r="I470" s="98">
        <v>0</v>
      </c>
      <c r="J470" s="95">
        <v>10000</v>
      </c>
      <c r="K470" s="96">
        <v>0</v>
      </c>
      <c r="L470" s="96" t="s">
        <v>339</v>
      </c>
      <c r="M470" s="71"/>
      <c r="N470" s="96" t="s">
        <v>339</v>
      </c>
      <c r="O470" s="96"/>
      <c r="P470" s="96"/>
      <c r="Q470" s="96" t="s">
        <v>227</v>
      </c>
      <c r="R470" s="95">
        <v>0</v>
      </c>
      <c r="S470" s="103">
        <v>0</v>
      </c>
      <c r="T470" s="96">
        <v>0</v>
      </c>
      <c r="U470" s="96">
        <v>1014</v>
      </c>
      <c r="V470" s="96">
        <v>700</v>
      </c>
      <c r="W470" s="96">
        <v>6016001</v>
      </c>
      <c r="X470" s="96">
        <v>400</v>
      </c>
      <c r="Y470" s="96">
        <v>350</v>
      </c>
      <c r="Z470" s="71">
        <v>0</v>
      </c>
    </row>
    <row r="471" spans="1:26">
      <c r="A471" s="71">
        <v>6016002</v>
      </c>
      <c r="B471" s="96" t="s">
        <v>340</v>
      </c>
      <c r="C471" s="96"/>
      <c r="D471" s="96">
        <v>2</v>
      </c>
      <c r="E471" s="71">
        <v>3</v>
      </c>
      <c r="F471" s="96">
        <v>2002</v>
      </c>
      <c r="G471" s="71">
        <v>350</v>
      </c>
      <c r="H471" s="95">
        <v>10000</v>
      </c>
      <c r="I471" s="98">
        <v>0</v>
      </c>
      <c r="J471" s="96">
        <v>10000</v>
      </c>
      <c r="K471" s="96">
        <v>1016002</v>
      </c>
      <c r="L471" s="96" t="s">
        <v>342</v>
      </c>
      <c r="M471" s="25" t="s">
        <v>341</v>
      </c>
      <c r="N471" s="96" t="s">
        <v>340</v>
      </c>
      <c r="O471" s="96"/>
      <c r="P471" s="96"/>
      <c r="Q471" s="96" t="s">
        <v>60</v>
      </c>
      <c r="R471" s="95">
        <v>0</v>
      </c>
      <c r="S471" s="103">
        <v>6016002</v>
      </c>
      <c r="T471" s="96">
        <v>700</v>
      </c>
      <c r="U471" s="96">
        <v>1014</v>
      </c>
      <c r="V471" s="96">
        <v>1350</v>
      </c>
      <c r="W471" s="96">
        <v>0</v>
      </c>
      <c r="X471" s="96">
        <v>0</v>
      </c>
      <c r="Y471" s="96">
        <v>0</v>
      </c>
      <c r="Z471" s="71">
        <v>0</v>
      </c>
    </row>
    <row r="472" spans="1:26">
      <c r="A472" s="71">
        <v>6016101</v>
      </c>
      <c r="B472" s="96" t="s">
        <v>344</v>
      </c>
      <c r="C472" s="96"/>
      <c r="D472" s="96">
        <v>1</v>
      </c>
      <c r="E472" s="71">
        <v>3</v>
      </c>
      <c r="F472" s="96">
        <v>1001</v>
      </c>
      <c r="G472" s="71">
        <v>350</v>
      </c>
      <c r="H472" s="95">
        <v>10000</v>
      </c>
      <c r="I472" s="98">
        <v>0</v>
      </c>
      <c r="J472" s="95">
        <v>10000</v>
      </c>
      <c r="K472" s="96">
        <v>0</v>
      </c>
      <c r="L472" s="96" t="s">
        <v>344</v>
      </c>
      <c r="M472" s="71"/>
      <c r="N472" s="96" t="s">
        <v>344</v>
      </c>
      <c r="O472" s="96"/>
      <c r="P472" s="96"/>
      <c r="Q472" s="96" t="s">
        <v>227</v>
      </c>
      <c r="R472" s="95">
        <v>0</v>
      </c>
      <c r="S472" s="103">
        <v>0</v>
      </c>
      <c r="T472" s="96">
        <v>0</v>
      </c>
      <c r="U472" s="96">
        <v>1014</v>
      </c>
      <c r="V472" s="96">
        <v>700</v>
      </c>
      <c r="W472" s="96">
        <v>6016001</v>
      </c>
      <c r="X472" s="96">
        <v>400</v>
      </c>
      <c r="Y472" s="96">
        <v>350</v>
      </c>
      <c r="Z472" s="71">
        <v>0</v>
      </c>
    </row>
    <row r="473" spans="1:26">
      <c r="A473" s="71">
        <v>6016102</v>
      </c>
      <c r="B473" s="96" t="s">
        <v>345</v>
      </c>
      <c r="C473" s="96"/>
      <c r="D473" s="96">
        <v>2</v>
      </c>
      <c r="E473" s="71">
        <v>3</v>
      </c>
      <c r="F473" s="96">
        <v>3001</v>
      </c>
      <c r="G473" s="71">
        <v>350</v>
      </c>
      <c r="H473" s="95">
        <v>10000</v>
      </c>
      <c r="I473" s="98">
        <v>0</v>
      </c>
      <c r="J473" s="96">
        <v>10000</v>
      </c>
      <c r="K473" s="96">
        <v>1016102</v>
      </c>
      <c r="L473" s="96" t="s">
        <v>347</v>
      </c>
      <c r="M473" s="25" t="s">
        <v>346</v>
      </c>
      <c r="N473" s="96" t="s">
        <v>345</v>
      </c>
      <c r="O473" s="96"/>
      <c r="P473" s="96"/>
      <c r="Q473" s="96" t="s">
        <v>60</v>
      </c>
      <c r="R473" s="95">
        <v>0</v>
      </c>
      <c r="S473" s="103">
        <v>6016102</v>
      </c>
      <c r="T473" s="96">
        <v>600</v>
      </c>
      <c r="U473" s="96">
        <v>1014</v>
      </c>
      <c r="V473" s="96">
        <v>1250</v>
      </c>
      <c r="W473" s="96">
        <v>0</v>
      </c>
      <c r="X473" s="96">
        <v>0</v>
      </c>
      <c r="Y473" s="96">
        <v>0</v>
      </c>
      <c r="Z473" s="71">
        <v>0</v>
      </c>
    </row>
    <row r="474" spans="1:26">
      <c r="A474" s="71">
        <v>6017001</v>
      </c>
      <c r="B474" s="96" t="s">
        <v>349</v>
      </c>
      <c r="C474" s="96"/>
      <c r="D474" s="96">
        <v>1</v>
      </c>
      <c r="E474" s="71">
        <v>3</v>
      </c>
      <c r="F474" s="96">
        <v>1001</v>
      </c>
      <c r="G474" s="71">
        <v>350</v>
      </c>
      <c r="H474" s="95">
        <v>10000</v>
      </c>
      <c r="I474" s="98">
        <v>0</v>
      </c>
      <c r="J474" s="95">
        <v>10000</v>
      </c>
      <c r="K474" s="96">
        <v>0</v>
      </c>
      <c r="L474" s="96" t="s">
        <v>349</v>
      </c>
      <c r="M474" s="71"/>
      <c r="N474" s="96" t="s">
        <v>349</v>
      </c>
      <c r="O474" s="96"/>
      <c r="P474" s="96"/>
      <c r="Q474" s="96" t="s">
        <v>227</v>
      </c>
      <c r="R474" s="95">
        <v>0</v>
      </c>
      <c r="S474" s="103">
        <v>0</v>
      </c>
      <c r="T474" s="96">
        <v>0</v>
      </c>
      <c r="U474" s="96">
        <v>1014</v>
      </c>
      <c r="V474" s="96">
        <v>700</v>
      </c>
      <c r="W474" s="96">
        <v>6017001</v>
      </c>
      <c r="X474" s="96">
        <v>400</v>
      </c>
      <c r="Y474" s="96">
        <v>350</v>
      </c>
      <c r="Z474" s="71">
        <v>0</v>
      </c>
    </row>
    <row r="475" spans="1:26">
      <c r="A475" s="71">
        <v>6017002</v>
      </c>
      <c r="B475" s="96" t="s">
        <v>350</v>
      </c>
      <c r="C475" s="96"/>
      <c r="D475" s="96">
        <v>2</v>
      </c>
      <c r="E475" s="71">
        <v>3</v>
      </c>
      <c r="F475" s="96">
        <v>2002</v>
      </c>
      <c r="G475" s="71">
        <v>350</v>
      </c>
      <c r="H475" s="96">
        <v>10000</v>
      </c>
      <c r="I475" s="98">
        <v>0</v>
      </c>
      <c r="J475" s="96">
        <v>10000</v>
      </c>
      <c r="K475" s="96">
        <v>1017002</v>
      </c>
      <c r="L475" s="96" t="s">
        <v>352</v>
      </c>
      <c r="M475" s="25" t="s">
        <v>351</v>
      </c>
      <c r="N475" s="96" t="s">
        <v>350</v>
      </c>
      <c r="O475" s="96"/>
      <c r="P475" s="96"/>
      <c r="Q475" s="96" t="s">
        <v>60</v>
      </c>
      <c r="R475" s="95">
        <v>0</v>
      </c>
      <c r="S475" s="103">
        <v>6017002</v>
      </c>
      <c r="T475" s="96">
        <v>2000</v>
      </c>
      <c r="U475" s="96">
        <v>1014</v>
      </c>
      <c r="V475" s="96">
        <v>2100</v>
      </c>
      <c r="W475" s="96">
        <v>0</v>
      </c>
      <c r="X475" s="96">
        <v>0</v>
      </c>
      <c r="Y475" s="96">
        <v>0</v>
      </c>
      <c r="Z475" s="71">
        <v>0</v>
      </c>
    </row>
    <row r="476" spans="1:26">
      <c r="A476" s="71">
        <v>6017101</v>
      </c>
      <c r="B476" s="96" t="s">
        <v>354</v>
      </c>
      <c r="C476" s="96"/>
      <c r="D476" s="96">
        <v>1</v>
      </c>
      <c r="E476" s="71">
        <v>3</v>
      </c>
      <c r="F476" s="96">
        <v>1001</v>
      </c>
      <c r="G476" s="71">
        <v>350</v>
      </c>
      <c r="H476" s="95">
        <v>10000</v>
      </c>
      <c r="I476" s="98">
        <v>0</v>
      </c>
      <c r="J476" s="95">
        <v>10000</v>
      </c>
      <c r="K476" s="96">
        <v>0</v>
      </c>
      <c r="L476" s="96" t="s">
        <v>354</v>
      </c>
      <c r="M476" s="71"/>
      <c r="N476" s="96" t="s">
        <v>354</v>
      </c>
      <c r="O476" s="96"/>
      <c r="P476" s="96"/>
      <c r="Q476" s="96" t="s">
        <v>227</v>
      </c>
      <c r="R476" s="95">
        <v>0</v>
      </c>
      <c r="S476" s="103">
        <v>0</v>
      </c>
      <c r="T476" s="96">
        <v>0</v>
      </c>
      <c r="U476" s="96">
        <v>1014</v>
      </c>
      <c r="V476" s="96">
        <v>700</v>
      </c>
      <c r="W476" s="96">
        <v>6017001</v>
      </c>
      <c r="X476" s="96">
        <v>400</v>
      </c>
      <c r="Y476" s="96">
        <v>350</v>
      </c>
      <c r="Z476" s="71">
        <v>0</v>
      </c>
    </row>
    <row r="477" spans="1:26">
      <c r="A477" s="71">
        <v>6017102</v>
      </c>
      <c r="B477" s="96" t="s">
        <v>355</v>
      </c>
      <c r="C477" s="96"/>
      <c r="D477" s="96">
        <v>2</v>
      </c>
      <c r="E477" s="71">
        <v>3</v>
      </c>
      <c r="F477" s="96">
        <v>3001</v>
      </c>
      <c r="G477" s="71">
        <v>350</v>
      </c>
      <c r="H477" s="95">
        <v>10000</v>
      </c>
      <c r="I477" s="98">
        <v>0</v>
      </c>
      <c r="J477" s="96">
        <v>10000</v>
      </c>
      <c r="K477" s="96">
        <v>1017002</v>
      </c>
      <c r="L477" s="96" t="s">
        <v>357</v>
      </c>
      <c r="M477" s="25" t="s">
        <v>356</v>
      </c>
      <c r="N477" s="96" t="s">
        <v>355</v>
      </c>
      <c r="O477" s="96"/>
      <c r="P477" s="96"/>
      <c r="Q477" s="96" t="s">
        <v>60</v>
      </c>
      <c r="R477" s="95">
        <v>0</v>
      </c>
      <c r="S477" s="103">
        <v>6017102</v>
      </c>
      <c r="T477" s="96">
        <v>2000</v>
      </c>
      <c r="U477" s="96">
        <v>1014</v>
      </c>
      <c r="V477" s="96">
        <v>2100</v>
      </c>
      <c r="W477" s="96">
        <v>0</v>
      </c>
      <c r="X477" s="96">
        <v>0</v>
      </c>
      <c r="Y477" s="96">
        <v>0</v>
      </c>
      <c r="Z477" s="71">
        <v>0</v>
      </c>
    </row>
    <row r="478" spans="1:26">
      <c r="A478" s="71">
        <v>6018001</v>
      </c>
      <c r="B478" s="96" t="s">
        <v>359</v>
      </c>
      <c r="C478" s="96"/>
      <c r="D478" s="96">
        <v>1</v>
      </c>
      <c r="E478" s="71">
        <v>3</v>
      </c>
      <c r="F478" s="96">
        <v>1001</v>
      </c>
      <c r="G478" s="71">
        <v>350</v>
      </c>
      <c r="H478" s="95">
        <v>10000</v>
      </c>
      <c r="I478" s="98">
        <v>0</v>
      </c>
      <c r="J478" s="95">
        <v>10000</v>
      </c>
      <c r="K478" s="96">
        <v>0</v>
      </c>
      <c r="L478" s="96" t="s">
        <v>359</v>
      </c>
      <c r="M478" s="71"/>
      <c r="N478" s="96" t="s">
        <v>359</v>
      </c>
      <c r="O478" s="96"/>
      <c r="P478" s="96"/>
      <c r="Q478" s="96" t="s">
        <v>227</v>
      </c>
      <c r="R478" s="95">
        <v>0</v>
      </c>
      <c r="S478" s="103">
        <v>0</v>
      </c>
      <c r="T478" s="96">
        <v>0</v>
      </c>
      <c r="U478" s="96">
        <v>1014</v>
      </c>
      <c r="V478" s="96">
        <v>700</v>
      </c>
      <c r="W478" s="96">
        <v>6018001</v>
      </c>
      <c r="X478" s="96">
        <v>400</v>
      </c>
      <c r="Y478" s="96">
        <v>350</v>
      </c>
      <c r="Z478" s="71">
        <v>0</v>
      </c>
    </row>
    <row r="479" spans="1:26">
      <c r="A479" s="71">
        <v>6018002</v>
      </c>
      <c r="B479" s="96" t="s">
        <v>360</v>
      </c>
      <c r="C479" s="96"/>
      <c r="D479" s="96">
        <v>2</v>
      </c>
      <c r="E479" s="71">
        <v>3</v>
      </c>
      <c r="F479" s="96">
        <v>3001</v>
      </c>
      <c r="G479" s="71">
        <v>350</v>
      </c>
      <c r="H479" s="95">
        <v>1670</v>
      </c>
      <c r="I479" s="98">
        <v>0</v>
      </c>
      <c r="J479" s="96">
        <v>10000</v>
      </c>
      <c r="K479" s="96">
        <v>1018002</v>
      </c>
      <c r="L479" s="96" t="s">
        <v>362</v>
      </c>
      <c r="M479" s="25" t="s">
        <v>361</v>
      </c>
      <c r="N479" s="96" t="s">
        <v>360</v>
      </c>
      <c r="O479" s="96"/>
      <c r="P479" s="96"/>
      <c r="Q479" s="96" t="s">
        <v>60</v>
      </c>
      <c r="R479" s="95">
        <v>0</v>
      </c>
      <c r="S479" s="103">
        <v>6018002</v>
      </c>
      <c r="T479" s="96">
        <v>700</v>
      </c>
      <c r="U479" s="96">
        <v>1014</v>
      </c>
      <c r="V479" s="96" t="s">
        <v>364</v>
      </c>
      <c r="W479" s="96">
        <v>0</v>
      </c>
      <c r="X479" s="96">
        <v>0</v>
      </c>
      <c r="Y479" s="96">
        <v>0</v>
      </c>
      <c r="Z479" s="71">
        <v>0</v>
      </c>
    </row>
    <row r="480" spans="1:26">
      <c r="A480" s="71">
        <v>6018101</v>
      </c>
      <c r="B480" s="96" t="s">
        <v>365</v>
      </c>
      <c r="C480" s="96"/>
      <c r="D480" s="96">
        <v>1</v>
      </c>
      <c r="E480" s="71">
        <v>3</v>
      </c>
      <c r="F480" s="96">
        <v>1001</v>
      </c>
      <c r="G480" s="71">
        <v>350</v>
      </c>
      <c r="H480" s="95">
        <v>10000</v>
      </c>
      <c r="I480" s="98">
        <v>0</v>
      </c>
      <c r="J480" s="95">
        <v>10000</v>
      </c>
      <c r="K480" s="96">
        <v>0</v>
      </c>
      <c r="L480" s="96" t="s">
        <v>365</v>
      </c>
      <c r="M480" s="71"/>
      <c r="N480" s="96" t="s">
        <v>365</v>
      </c>
      <c r="O480" s="96"/>
      <c r="P480" s="96"/>
      <c r="Q480" s="96" t="s">
        <v>227</v>
      </c>
      <c r="R480" s="95">
        <v>0</v>
      </c>
      <c r="S480" s="103">
        <v>0</v>
      </c>
      <c r="T480" s="96">
        <v>0</v>
      </c>
      <c r="U480" s="96">
        <v>1014</v>
      </c>
      <c r="V480" s="96">
        <v>700</v>
      </c>
      <c r="W480" s="96">
        <v>6018001</v>
      </c>
      <c r="X480" s="96">
        <v>400</v>
      </c>
      <c r="Y480" s="96">
        <v>350</v>
      </c>
      <c r="Z480" s="71">
        <v>0</v>
      </c>
    </row>
    <row r="481" spans="1:26">
      <c r="A481" s="71">
        <v>6018102</v>
      </c>
      <c r="B481" s="96" t="s">
        <v>366</v>
      </c>
      <c r="C481" s="96"/>
      <c r="D481" s="96">
        <v>2</v>
      </c>
      <c r="E481" s="71">
        <v>3</v>
      </c>
      <c r="F481" s="96">
        <v>3001</v>
      </c>
      <c r="G481" s="71">
        <v>350</v>
      </c>
      <c r="H481" s="95">
        <v>1430</v>
      </c>
      <c r="I481" s="98">
        <v>0</v>
      </c>
      <c r="J481" s="96">
        <v>10000</v>
      </c>
      <c r="K481" s="96">
        <v>1018102</v>
      </c>
      <c r="L481" s="96" t="s">
        <v>368</v>
      </c>
      <c r="M481" s="25" t="s">
        <v>367</v>
      </c>
      <c r="N481" s="96" t="s">
        <v>366</v>
      </c>
      <c r="O481" s="96"/>
      <c r="P481" s="96"/>
      <c r="Q481" s="96" t="s">
        <v>60</v>
      </c>
      <c r="R481" s="95">
        <v>0</v>
      </c>
      <c r="S481" s="103">
        <v>6018102</v>
      </c>
      <c r="T481" s="96">
        <v>900</v>
      </c>
      <c r="U481" s="96">
        <v>1014</v>
      </c>
      <c r="V481" s="96" t="s">
        <v>370</v>
      </c>
      <c r="W481" s="96">
        <v>0</v>
      </c>
      <c r="X481" s="96">
        <v>0</v>
      </c>
      <c r="Y481" s="96">
        <v>0</v>
      </c>
      <c r="Z481" s="71">
        <v>0</v>
      </c>
    </row>
    <row r="482" spans="1:26">
      <c r="A482" s="71">
        <v>6019001</v>
      </c>
      <c r="B482" s="96" t="s">
        <v>371</v>
      </c>
      <c r="C482" s="96"/>
      <c r="D482" s="96">
        <v>1</v>
      </c>
      <c r="E482" s="71">
        <v>3</v>
      </c>
      <c r="F482" s="96">
        <v>1001</v>
      </c>
      <c r="G482" s="71">
        <v>350</v>
      </c>
      <c r="H482" s="95">
        <v>10000</v>
      </c>
      <c r="I482" s="98">
        <v>0</v>
      </c>
      <c r="J482" s="95">
        <v>10000</v>
      </c>
      <c r="K482" s="96">
        <v>0</v>
      </c>
      <c r="L482" s="96" t="s">
        <v>371</v>
      </c>
      <c r="M482" s="71"/>
      <c r="N482" s="96" t="s">
        <v>371</v>
      </c>
      <c r="O482" s="96"/>
      <c r="P482" s="96"/>
      <c r="Q482" s="96" t="s">
        <v>227</v>
      </c>
      <c r="R482" s="95">
        <v>0</v>
      </c>
      <c r="S482" s="103">
        <v>0</v>
      </c>
      <c r="T482" s="96">
        <v>0</v>
      </c>
      <c r="U482" s="96">
        <v>1014</v>
      </c>
      <c r="V482" s="96">
        <v>700</v>
      </c>
      <c r="W482" s="96">
        <v>6019001</v>
      </c>
      <c r="X482" s="96">
        <v>400</v>
      </c>
      <c r="Y482" s="96">
        <v>350</v>
      </c>
      <c r="Z482" s="71">
        <v>0</v>
      </c>
    </row>
    <row r="483" spans="1:26">
      <c r="A483" s="71">
        <v>6019002</v>
      </c>
      <c r="B483" s="96" t="s">
        <v>372</v>
      </c>
      <c r="C483" s="96"/>
      <c r="D483" s="96">
        <v>2</v>
      </c>
      <c r="E483" s="71">
        <v>3</v>
      </c>
      <c r="F483" s="96">
        <v>3001</v>
      </c>
      <c r="G483" s="71">
        <v>350</v>
      </c>
      <c r="H483" s="96">
        <v>2500</v>
      </c>
      <c r="I483" s="98">
        <v>0</v>
      </c>
      <c r="J483" s="96">
        <v>10000</v>
      </c>
      <c r="K483" s="96">
        <v>1019002</v>
      </c>
      <c r="L483" s="96" t="s">
        <v>374</v>
      </c>
      <c r="M483" s="25" t="s">
        <v>373</v>
      </c>
      <c r="N483" s="96" t="s">
        <v>372</v>
      </c>
      <c r="O483" s="96"/>
      <c r="P483" s="96"/>
      <c r="Q483" s="96" t="s">
        <v>60</v>
      </c>
      <c r="R483" s="95">
        <v>0</v>
      </c>
      <c r="S483" s="103">
        <v>6019002</v>
      </c>
      <c r="T483" s="96">
        <v>0</v>
      </c>
      <c r="U483" s="96">
        <v>1014</v>
      </c>
      <c r="V483" s="96" t="s">
        <v>376</v>
      </c>
      <c r="W483" s="96">
        <v>0</v>
      </c>
      <c r="X483" s="96">
        <v>0</v>
      </c>
      <c r="Y483" s="96">
        <v>0</v>
      </c>
      <c r="Z483" s="71">
        <v>0</v>
      </c>
    </row>
    <row r="484" spans="1:26">
      <c r="A484" s="71">
        <v>6019101</v>
      </c>
      <c r="B484" s="96" t="s">
        <v>377</v>
      </c>
      <c r="C484" s="96"/>
      <c r="D484" s="96">
        <v>1</v>
      </c>
      <c r="E484" s="71">
        <v>3</v>
      </c>
      <c r="F484" s="96">
        <v>1001</v>
      </c>
      <c r="G484" s="71">
        <v>350</v>
      </c>
      <c r="H484" s="95">
        <v>10000</v>
      </c>
      <c r="I484" s="98">
        <v>0</v>
      </c>
      <c r="J484" s="95">
        <v>10000</v>
      </c>
      <c r="K484" s="96">
        <v>0</v>
      </c>
      <c r="L484" s="96" t="s">
        <v>377</v>
      </c>
      <c r="M484" s="71"/>
      <c r="N484" s="96" t="s">
        <v>377</v>
      </c>
      <c r="O484" s="96"/>
      <c r="P484" s="96"/>
      <c r="Q484" s="96" t="s">
        <v>227</v>
      </c>
      <c r="R484" s="95">
        <v>0</v>
      </c>
      <c r="S484" s="103">
        <v>0</v>
      </c>
      <c r="T484" s="96">
        <v>0</v>
      </c>
      <c r="U484" s="96">
        <v>1014</v>
      </c>
      <c r="V484" s="96">
        <v>700</v>
      </c>
      <c r="W484" s="96">
        <v>6019001</v>
      </c>
      <c r="X484" s="96">
        <v>400</v>
      </c>
      <c r="Y484" s="96">
        <v>350</v>
      </c>
      <c r="Z484" s="71">
        <v>0</v>
      </c>
    </row>
    <row r="485" spans="1:26">
      <c r="A485" s="71">
        <v>6019102</v>
      </c>
      <c r="B485" s="96" t="s">
        <v>111</v>
      </c>
      <c r="C485" s="96"/>
      <c r="D485" s="96">
        <v>2</v>
      </c>
      <c r="E485" s="71">
        <v>3</v>
      </c>
      <c r="F485" s="96">
        <v>3001</v>
      </c>
      <c r="G485" s="71">
        <v>350</v>
      </c>
      <c r="H485" s="96">
        <v>1250</v>
      </c>
      <c r="I485" s="98">
        <v>0</v>
      </c>
      <c r="J485" s="96">
        <v>10000</v>
      </c>
      <c r="K485" s="96">
        <v>1019102</v>
      </c>
      <c r="L485" s="96" t="s">
        <v>379</v>
      </c>
      <c r="M485" s="25" t="s">
        <v>378</v>
      </c>
      <c r="N485" s="96" t="s">
        <v>111</v>
      </c>
      <c r="O485" s="96"/>
      <c r="P485" s="96"/>
      <c r="Q485" s="96" t="s">
        <v>60</v>
      </c>
      <c r="R485" s="95">
        <v>0</v>
      </c>
      <c r="S485" s="103">
        <v>6019102</v>
      </c>
      <c r="T485" s="96">
        <v>500</v>
      </c>
      <c r="U485" s="96">
        <v>1014</v>
      </c>
      <c r="V485" s="96" t="s">
        <v>381</v>
      </c>
      <c r="W485" s="96">
        <v>0</v>
      </c>
      <c r="X485" s="96">
        <v>0</v>
      </c>
      <c r="Y485" s="96">
        <v>0</v>
      </c>
      <c r="Z485" s="71">
        <v>5003002</v>
      </c>
    </row>
    <row r="486" spans="1:26">
      <c r="A486" s="71">
        <v>6019201</v>
      </c>
      <c r="B486" s="96" t="s">
        <v>382</v>
      </c>
      <c r="C486" s="96"/>
      <c r="D486" s="96">
        <v>1</v>
      </c>
      <c r="E486" s="71">
        <v>3</v>
      </c>
      <c r="F486" s="96">
        <v>1001</v>
      </c>
      <c r="G486" s="71">
        <v>350</v>
      </c>
      <c r="H486" s="95">
        <v>10000</v>
      </c>
      <c r="I486" s="98">
        <v>0</v>
      </c>
      <c r="J486" s="95">
        <v>10000</v>
      </c>
      <c r="K486" s="96">
        <v>0</v>
      </c>
      <c r="L486" s="96" t="s">
        <v>382</v>
      </c>
      <c r="M486" s="71"/>
      <c r="N486" s="96" t="s">
        <v>382</v>
      </c>
      <c r="O486" s="96"/>
      <c r="P486" s="96"/>
      <c r="Q486" s="96" t="s">
        <v>227</v>
      </c>
      <c r="R486" s="95">
        <v>0</v>
      </c>
      <c r="S486" s="103">
        <v>0</v>
      </c>
      <c r="T486" s="96">
        <v>0</v>
      </c>
      <c r="U486" s="96">
        <v>1014</v>
      </c>
      <c r="V486" s="96">
        <v>700</v>
      </c>
      <c r="W486" s="96">
        <v>6019001</v>
      </c>
      <c r="X486" s="96">
        <v>400</v>
      </c>
      <c r="Y486" s="96">
        <v>350</v>
      </c>
      <c r="Z486" s="71">
        <v>0</v>
      </c>
    </row>
    <row r="487" spans="1:26">
      <c r="A487" s="71">
        <v>6019202</v>
      </c>
      <c r="B487" s="96" t="s">
        <v>383</v>
      </c>
      <c r="C487" s="96"/>
      <c r="D487" s="96">
        <v>2</v>
      </c>
      <c r="E487" s="71">
        <v>3</v>
      </c>
      <c r="F487" s="96">
        <v>2002</v>
      </c>
      <c r="G487" s="71">
        <v>350</v>
      </c>
      <c r="H487" s="96">
        <v>10000</v>
      </c>
      <c r="I487" s="98">
        <v>0</v>
      </c>
      <c r="J487" s="96">
        <v>10000</v>
      </c>
      <c r="K487" s="96">
        <v>1019202</v>
      </c>
      <c r="L487" s="96" t="s">
        <v>385</v>
      </c>
      <c r="M487" s="25" t="s">
        <v>384</v>
      </c>
      <c r="N487" s="96" t="s">
        <v>383</v>
      </c>
      <c r="O487" s="96"/>
      <c r="P487" s="96"/>
      <c r="Q487" s="96" t="s">
        <v>60</v>
      </c>
      <c r="R487" s="95">
        <v>0</v>
      </c>
      <c r="S487" s="103">
        <v>6019202</v>
      </c>
      <c r="T487" s="96">
        <v>1700</v>
      </c>
      <c r="U487" s="96">
        <v>1014</v>
      </c>
      <c r="V487" s="96">
        <v>1850</v>
      </c>
      <c r="W487" s="96">
        <v>0</v>
      </c>
      <c r="X487" s="96">
        <v>0</v>
      </c>
      <c r="Y487" s="96">
        <v>0</v>
      </c>
      <c r="Z487" s="71">
        <v>0</v>
      </c>
    </row>
    <row r="488" spans="1:26">
      <c r="A488" s="71">
        <v>6021001</v>
      </c>
      <c r="B488" s="96" t="s">
        <v>387</v>
      </c>
      <c r="C488" s="96"/>
      <c r="D488" s="96">
        <v>1</v>
      </c>
      <c r="E488" s="71">
        <v>3</v>
      </c>
      <c r="F488" s="96">
        <v>1001</v>
      </c>
      <c r="G488" s="71">
        <v>350</v>
      </c>
      <c r="H488" s="95">
        <v>10000</v>
      </c>
      <c r="I488" s="98">
        <v>0</v>
      </c>
      <c r="J488" s="95">
        <v>10000</v>
      </c>
      <c r="K488" s="96">
        <v>0</v>
      </c>
      <c r="L488" s="96" t="s">
        <v>387</v>
      </c>
      <c r="M488" s="71"/>
      <c r="N488" s="96" t="s">
        <v>387</v>
      </c>
      <c r="O488" s="96"/>
      <c r="P488" s="96"/>
      <c r="Q488" s="96" t="s">
        <v>227</v>
      </c>
      <c r="R488" s="95">
        <v>0</v>
      </c>
      <c r="S488" s="103">
        <v>0</v>
      </c>
      <c r="T488" s="96">
        <v>0</v>
      </c>
      <c r="U488" s="96">
        <v>1014</v>
      </c>
      <c r="V488" s="96">
        <v>700</v>
      </c>
      <c r="W488" s="96">
        <v>6021001</v>
      </c>
      <c r="X488" s="96">
        <v>400</v>
      </c>
      <c r="Y488" s="96">
        <v>350</v>
      </c>
      <c r="Z488" s="71">
        <v>0</v>
      </c>
    </row>
    <row r="489" spans="1:26">
      <c r="A489" s="71">
        <v>6021002</v>
      </c>
      <c r="B489" s="96" t="s">
        <v>388</v>
      </c>
      <c r="C489" s="96"/>
      <c r="D489" s="96">
        <v>2</v>
      </c>
      <c r="E489" s="71">
        <v>3</v>
      </c>
      <c r="F489" s="96">
        <v>3001</v>
      </c>
      <c r="G489" s="71">
        <v>350</v>
      </c>
      <c r="H489" s="96">
        <v>2500</v>
      </c>
      <c r="I489" s="98">
        <v>0</v>
      </c>
      <c r="J489" s="96">
        <v>10000</v>
      </c>
      <c r="K489" s="96">
        <v>1021002</v>
      </c>
      <c r="L489" s="96" t="s">
        <v>390</v>
      </c>
      <c r="M489" s="25" t="s">
        <v>389</v>
      </c>
      <c r="N489" s="96" t="s">
        <v>388</v>
      </c>
      <c r="O489" s="96"/>
      <c r="P489" s="96"/>
      <c r="Q489" s="96" t="s">
        <v>60</v>
      </c>
      <c r="R489" s="95">
        <v>0</v>
      </c>
      <c r="S489" s="103">
        <v>6021002</v>
      </c>
      <c r="T489" s="96">
        <v>1100</v>
      </c>
      <c r="U489" s="96">
        <v>1014</v>
      </c>
      <c r="V489" s="96" t="s">
        <v>392</v>
      </c>
      <c r="W489" s="96">
        <v>0</v>
      </c>
      <c r="X489" s="96">
        <v>0</v>
      </c>
      <c r="Y489" s="96">
        <v>0</v>
      </c>
      <c r="Z489" s="71">
        <v>0</v>
      </c>
    </row>
    <row r="490" spans="1:26">
      <c r="A490" s="71">
        <v>6021101</v>
      </c>
      <c r="B490" s="96" t="s">
        <v>393</v>
      </c>
      <c r="C490" s="96"/>
      <c r="D490" s="96">
        <v>1</v>
      </c>
      <c r="E490" s="71">
        <v>3</v>
      </c>
      <c r="F490" s="96">
        <v>1001</v>
      </c>
      <c r="G490" s="71">
        <v>350</v>
      </c>
      <c r="H490" s="95">
        <v>10000</v>
      </c>
      <c r="I490" s="98">
        <v>0</v>
      </c>
      <c r="J490" s="95">
        <v>10000</v>
      </c>
      <c r="K490" s="96">
        <v>0</v>
      </c>
      <c r="L490" s="96" t="s">
        <v>393</v>
      </c>
      <c r="M490" s="71"/>
      <c r="N490" s="96" t="s">
        <v>393</v>
      </c>
      <c r="O490" s="96"/>
      <c r="P490" s="96"/>
      <c r="Q490" s="96" t="s">
        <v>227</v>
      </c>
      <c r="R490" s="95">
        <v>0</v>
      </c>
      <c r="S490" s="103">
        <v>0</v>
      </c>
      <c r="T490" s="96">
        <v>0</v>
      </c>
      <c r="U490" s="96">
        <v>1014</v>
      </c>
      <c r="V490" s="96">
        <v>700</v>
      </c>
      <c r="W490" s="96">
        <v>6021001</v>
      </c>
      <c r="X490" s="96">
        <v>400</v>
      </c>
      <c r="Y490" s="96">
        <v>350</v>
      </c>
      <c r="Z490" s="71">
        <v>0</v>
      </c>
    </row>
    <row r="491" spans="1:26">
      <c r="A491" s="71">
        <v>6021102</v>
      </c>
      <c r="B491" s="96" t="s">
        <v>165</v>
      </c>
      <c r="C491" s="96"/>
      <c r="D491" s="96">
        <v>2</v>
      </c>
      <c r="E491" s="71">
        <v>3</v>
      </c>
      <c r="F491" s="96">
        <v>3001</v>
      </c>
      <c r="G491" s="71">
        <v>350</v>
      </c>
      <c r="H491" s="96">
        <v>2500</v>
      </c>
      <c r="I491" s="98">
        <v>0</v>
      </c>
      <c r="J491" s="96">
        <v>10000</v>
      </c>
      <c r="K491" s="96">
        <v>1021002</v>
      </c>
      <c r="L491" s="96" t="s">
        <v>395</v>
      </c>
      <c r="M491" s="25" t="s">
        <v>394</v>
      </c>
      <c r="N491" s="96" t="s">
        <v>165</v>
      </c>
      <c r="O491" s="96"/>
      <c r="P491" s="96"/>
      <c r="Q491" s="96" t="s">
        <v>60</v>
      </c>
      <c r="R491" s="95">
        <v>0</v>
      </c>
      <c r="S491" s="103">
        <v>6021102</v>
      </c>
      <c r="T491" s="96">
        <v>400</v>
      </c>
      <c r="U491" s="96">
        <v>1014</v>
      </c>
      <c r="V491" s="96" t="s">
        <v>397</v>
      </c>
      <c r="W491" s="96">
        <v>0</v>
      </c>
      <c r="X491" s="96">
        <v>0</v>
      </c>
      <c r="Y491" s="96">
        <v>0</v>
      </c>
      <c r="Z491" s="71">
        <v>5005003</v>
      </c>
    </row>
    <row r="492" spans="1:26">
      <c r="A492" s="71">
        <v>6022001</v>
      </c>
      <c r="B492" s="96" t="s">
        <v>398</v>
      </c>
      <c r="C492" s="96"/>
      <c r="D492" s="96">
        <v>1</v>
      </c>
      <c r="E492" s="71">
        <v>3</v>
      </c>
      <c r="F492" s="96">
        <v>1001</v>
      </c>
      <c r="G492" s="71">
        <v>350</v>
      </c>
      <c r="H492" s="95">
        <v>10000</v>
      </c>
      <c r="I492" s="98">
        <v>0</v>
      </c>
      <c r="J492" s="95">
        <v>10000</v>
      </c>
      <c r="K492" s="96">
        <v>0</v>
      </c>
      <c r="L492" s="96" t="s">
        <v>398</v>
      </c>
      <c r="M492" s="71"/>
      <c r="N492" s="96" t="s">
        <v>398</v>
      </c>
      <c r="O492" s="96"/>
      <c r="P492" s="96"/>
      <c r="Q492" s="96" t="s">
        <v>227</v>
      </c>
      <c r="R492" s="95">
        <v>0</v>
      </c>
      <c r="S492" s="103">
        <v>0</v>
      </c>
      <c r="T492" s="96">
        <v>0</v>
      </c>
      <c r="U492" s="96">
        <v>1014</v>
      </c>
      <c r="V492" s="96">
        <v>700</v>
      </c>
      <c r="W492" s="96">
        <v>6022001</v>
      </c>
      <c r="X492" s="96">
        <v>400</v>
      </c>
      <c r="Y492" s="96">
        <v>350</v>
      </c>
      <c r="Z492" s="71">
        <v>0</v>
      </c>
    </row>
    <row r="493" spans="1:26">
      <c r="A493" s="71">
        <v>6022002</v>
      </c>
      <c r="B493" s="96" t="s">
        <v>399</v>
      </c>
      <c r="C493" s="96"/>
      <c r="D493" s="96">
        <v>2</v>
      </c>
      <c r="E493" s="71">
        <v>3</v>
      </c>
      <c r="F493" s="96">
        <v>3001</v>
      </c>
      <c r="G493" s="71">
        <v>350</v>
      </c>
      <c r="H493" s="95">
        <v>10000</v>
      </c>
      <c r="I493" s="98">
        <v>0</v>
      </c>
      <c r="J493" s="96">
        <v>10000</v>
      </c>
      <c r="K493" s="96">
        <v>1022002</v>
      </c>
      <c r="L493" s="96" t="s">
        <v>401</v>
      </c>
      <c r="M493" s="25" t="s">
        <v>400</v>
      </c>
      <c r="N493" s="96" t="s">
        <v>399</v>
      </c>
      <c r="O493" s="96"/>
      <c r="P493" s="96"/>
      <c r="Q493" s="96" t="s">
        <v>60</v>
      </c>
      <c r="R493" s="95">
        <v>0</v>
      </c>
      <c r="S493" s="103">
        <v>6022002</v>
      </c>
      <c r="T493" s="96">
        <v>600</v>
      </c>
      <c r="U493" s="96">
        <v>1014</v>
      </c>
      <c r="V493" s="96">
        <v>700</v>
      </c>
      <c r="W493" s="96">
        <v>0</v>
      </c>
      <c r="X493" s="96">
        <v>0</v>
      </c>
      <c r="Y493" s="96">
        <v>0</v>
      </c>
      <c r="Z493" s="71">
        <v>0</v>
      </c>
    </row>
    <row r="494" spans="1:26">
      <c r="A494" s="71">
        <v>6022101</v>
      </c>
      <c r="B494" s="96" t="s">
        <v>403</v>
      </c>
      <c r="C494" s="96"/>
      <c r="D494" s="96">
        <v>1</v>
      </c>
      <c r="E494" s="71">
        <v>3</v>
      </c>
      <c r="F494" s="96">
        <v>1001</v>
      </c>
      <c r="G494" s="71">
        <v>350</v>
      </c>
      <c r="H494" s="95">
        <v>10000</v>
      </c>
      <c r="I494" s="98">
        <v>0</v>
      </c>
      <c r="J494" s="95">
        <v>10000</v>
      </c>
      <c r="K494" s="96">
        <v>0</v>
      </c>
      <c r="L494" s="96" t="s">
        <v>403</v>
      </c>
      <c r="M494" s="71"/>
      <c r="N494" s="96" t="s">
        <v>403</v>
      </c>
      <c r="O494" s="96"/>
      <c r="P494" s="96"/>
      <c r="Q494" s="96" t="s">
        <v>227</v>
      </c>
      <c r="R494" s="95">
        <v>0</v>
      </c>
      <c r="S494" s="103">
        <v>0</v>
      </c>
      <c r="T494" s="96">
        <v>0</v>
      </c>
      <c r="U494" s="96">
        <v>1014</v>
      </c>
      <c r="V494" s="96">
        <v>600</v>
      </c>
      <c r="W494" s="96">
        <v>6022001</v>
      </c>
      <c r="X494" s="96">
        <v>300</v>
      </c>
      <c r="Y494" s="96">
        <v>350</v>
      </c>
      <c r="Z494" s="71">
        <v>0</v>
      </c>
    </row>
    <row r="495" spans="1:26">
      <c r="A495" s="71">
        <v>6022102</v>
      </c>
      <c r="B495" s="96" t="s">
        <v>404</v>
      </c>
      <c r="C495" s="96"/>
      <c r="D495" s="96">
        <v>2</v>
      </c>
      <c r="E495" s="71">
        <v>3</v>
      </c>
      <c r="F495" s="96">
        <v>3001</v>
      </c>
      <c r="G495" s="71">
        <v>350</v>
      </c>
      <c r="H495" s="96">
        <v>1670</v>
      </c>
      <c r="I495" s="98">
        <v>0</v>
      </c>
      <c r="J495" s="96">
        <v>10000</v>
      </c>
      <c r="K495" s="96">
        <v>1022002</v>
      </c>
      <c r="L495" s="96" t="s">
        <v>406</v>
      </c>
      <c r="M495" s="25" t="s">
        <v>405</v>
      </c>
      <c r="N495" s="96" t="s">
        <v>404</v>
      </c>
      <c r="O495" s="96"/>
      <c r="P495" s="96"/>
      <c r="Q495" s="96" t="s">
        <v>60</v>
      </c>
      <c r="R495" s="95">
        <v>0</v>
      </c>
      <c r="S495" s="103">
        <v>6022002</v>
      </c>
      <c r="T495" s="96">
        <v>700</v>
      </c>
      <c r="U495" s="96">
        <v>1014</v>
      </c>
      <c r="V495" s="96" t="s">
        <v>408</v>
      </c>
      <c r="W495" s="96">
        <v>0</v>
      </c>
      <c r="X495" s="96">
        <v>0</v>
      </c>
      <c r="Y495" s="96">
        <v>0</v>
      </c>
      <c r="Z495" s="71">
        <v>0</v>
      </c>
    </row>
    <row r="496" spans="1:26">
      <c r="A496" s="71">
        <v>6023001</v>
      </c>
      <c r="B496" s="96" t="s">
        <v>409</v>
      </c>
      <c r="C496" s="96"/>
      <c r="D496" s="96">
        <v>1</v>
      </c>
      <c r="E496" s="71">
        <v>3</v>
      </c>
      <c r="F496" s="96">
        <v>1001</v>
      </c>
      <c r="G496" s="71">
        <v>350</v>
      </c>
      <c r="H496" s="95">
        <v>10000</v>
      </c>
      <c r="I496" s="98">
        <v>0</v>
      </c>
      <c r="J496" s="95">
        <v>10000</v>
      </c>
      <c r="K496" s="96">
        <v>0</v>
      </c>
      <c r="L496" s="96" t="s">
        <v>409</v>
      </c>
      <c r="M496" s="71"/>
      <c r="N496" s="96" t="s">
        <v>409</v>
      </c>
      <c r="O496" s="96"/>
      <c r="P496" s="96"/>
      <c r="Q496" s="96" t="s">
        <v>227</v>
      </c>
      <c r="R496" s="95">
        <v>0</v>
      </c>
      <c r="S496" s="103">
        <v>0</v>
      </c>
      <c r="T496" s="96">
        <v>0</v>
      </c>
      <c r="U496" s="96">
        <v>1012</v>
      </c>
      <c r="V496" s="96">
        <v>700</v>
      </c>
      <c r="W496" s="96">
        <v>6023001</v>
      </c>
      <c r="X496" s="96">
        <v>400</v>
      </c>
      <c r="Y496" s="96">
        <v>350</v>
      </c>
      <c r="Z496" s="71">
        <v>0</v>
      </c>
    </row>
    <row r="497" spans="1:26">
      <c r="A497" s="71">
        <v>6023002</v>
      </c>
      <c r="B497" s="96" t="s">
        <v>410</v>
      </c>
      <c r="C497" s="96"/>
      <c r="D497" s="96">
        <v>2</v>
      </c>
      <c r="E497" s="71">
        <v>3</v>
      </c>
      <c r="F497" s="96">
        <v>3001</v>
      </c>
      <c r="G497" s="71">
        <v>350</v>
      </c>
      <c r="H497" s="96">
        <v>1430</v>
      </c>
      <c r="I497" s="98">
        <v>0</v>
      </c>
      <c r="J497" s="96">
        <v>10000</v>
      </c>
      <c r="K497" s="96">
        <v>1023002</v>
      </c>
      <c r="L497" s="96" t="s">
        <v>412</v>
      </c>
      <c r="M497" s="25" t="s">
        <v>411</v>
      </c>
      <c r="N497" s="96" t="s">
        <v>410</v>
      </c>
      <c r="O497" s="96"/>
      <c r="P497" s="96"/>
      <c r="Q497" s="96" t="s">
        <v>60</v>
      </c>
      <c r="R497" s="95">
        <v>0</v>
      </c>
      <c r="S497" s="103">
        <v>6023002</v>
      </c>
      <c r="T497" s="96">
        <v>800</v>
      </c>
      <c r="U497" s="96">
        <v>1012</v>
      </c>
      <c r="V497" s="96" t="s">
        <v>414</v>
      </c>
      <c r="W497" s="96">
        <v>0</v>
      </c>
      <c r="X497" s="96">
        <v>0</v>
      </c>
      <c r="Y497" s="96">
        <v>0</v>
      </c>
      <c r="Z497" s="71">
        <v>0</v>
      </c>
    </row>
    <row r="498" spans="1:26">
      <c r="A498" s="71">
        <v>6023101</v>
      </c>
      <c r="B498" s="96" t="s">
        <v>415</v>
      </c>
      <c r="C498" s="96"/>
      <c r="D498" s="96">
        <v>1</v>
      </c>
      <c r="E498" s="71">
        <v>3</v>
      </c>
      <c r="F498" s="96">
        <v>1001</v>
      </c>
      <c r="G498" s="71">
        <v>350</v>
      </c>
      <c r="H498" s="95">
        <v>10000</v>
      </c>
      <c r="I498" s="98">
        <v>0</v>
      </c>
      <c r="J498" s="95">
        <v>10000</v>
      </c>
      <c r="K498" s="96">
        <v>0</v>
      </c>
      <c r="L498" s="96" t="s">
        <v>415</v>
      </c>
      <c r="M498" s="71"/>
      <c r="N498" s="96" t="s">
        <v>415</v>
      </c>
      <c r="O498" s="96"/>
      <c r="P498" s="96"/>
      <c r="Q498" s="96" t="s">
        <v>227</v>
      </c>
      <c r="R498" s="95">
        <v>0</v>
      </c>
      <c r="S498" s="103">
        <v>0</v>
      </c>
      <c r="T498" s="96">
        <v>0</v>
      </c>
      <c r="U498" s="96">
        <v>1012</v>
      </c>
      <c r="V498" s="96">
        <v>600</v>
      </c>
      <c r="W498" s="96">
        <v>6023001</v>
      </c>
      <c r="X498" s="96">
        <v>300</v>
      </c>
      <c r="Y498" s="96">
        <v>350</v>
      </c>
      <c r="Z498" s="71">
        <v>0</v>
      </c>
    </row>
    <row r="499" spans="1:26">
      <c r="A499" s="71">
        <v>6023102</v>
      </c>
      <c r="B499" s="96" t="s">
        <v>169</v>
      </c>
      <c r="C499" s="96"/>
      <c r="D499" s="96">
        <v>2</v>
      </c>
      <c r="E499" s="71">
        <v>3</v>
      </c>
      <c r="F499" s="96">
        <v>3001</v>
      </c>
      <c r="G499" s="71">
        <v>350</v>
      </c>
      <c r="H499" s="96">
        <v>1430</v>
      </c>
      <c r="I499" s="98">
        <v>0</v>
      </c>
      <c r="J499" s="96">
        <v>10000</v>
      </c>
      <c r="K499" s="96">
        <v>1023002</v>
      </c>
      <c r="L499" s="96" t="s">
        <v>417</v>
      </c>
      <c r="M499" s="25" t="s">
        <v>416</v>
      </c>
      <c r="N499" s="96" t="s">
        <v>169</v>
      </c>
      <c r="O499" s="96"/>
      <c r="P499" s="96"/>
      <c r="Q499" s="96" t="s">
        <v>60</v>
      </c>
      <c r="R499" s="95">
        <v>0</v>
      </c>
      <c r="S499" s="103">
        <v>6023102</v>
      </c>
      <c r="T499" s="96">
        <v>0</v>
      </c>
      <c r="U499" s="96">
        <v>1012</v>
      </c>
      <c r="V499" s="96" t="s">
        <v>419</v>
      </c>
      <c r="W499" s="96">
        <v>0</v>
      </c>
      <c r="X499" s="96">
        <v>0</v>
      </c>
      <c r="Y499" s="96">
        <v>0</v>
      </c>
      <c r="Z499" s="71">
        <v>5005004</v>
      </c>
    </row>
    <row r="500" spans="1:26">
      <c r="A500" s="71">
        <v>6025001</v>
      </c>
      <c r="B500" s="96" t="s">
        <v>420</v>
      </c>
      <c r="C500" s="96"/>
      <c r="D500" s="96">
        <v>1</v>
      </c>
      <c r="E500" s="71">
        <v>3</v>
      </c>
      <c r="F500" s="96">
        <v>1001</v>
      </c>
      <c r="G500" s="71">
        <v>350</v>
      </c>
      <c r="H500" s="95">
        <v>10000</v>
      </c>
      <c r="I500" s="98">
        <v>0</v>
      </c>
      <c r="J500" s="95">
        <v>10000</v>
      </c>
      <c r="K500" s="96">
        <v>0</v>
      </c>
      <c r="L500" s="96" t="s">
        <v>420</v>
      </c>
      <c r="M500" s="71"/>
      <c r="N500" s="96" t="s">
        <v>420</v>
      </c>
      <c r="O500" s="96"/>
      <c r="P500" s="96"/>
      <c r="Q500" s="96" t="s">
        <v>227</v>
      </c>
      <c r="R500" s="95">
        <v>0</v>
      </c>
      <c r="S500" s="103">
        <v>0</v>
      </c>
      <c r="T500" s="96">
        <v>0</v>
      </c>
      <c r="U500" s="96">
        <v>1012</v>
      </c>
      <c r="V500" s="96">
        <v>700</v>
      </c>
      <c r="W500" s="96">
        <v>6025001</v>
      </c>
      <c r="X500" s="96">
        <v>400</v>
      </c>
      <c r="Y500" s="96">
        <v>350</v>
      </c>
      <c r="Z500" s="71">
        <v>0</v>
      </c>
    </row>
    <row r="501" spans="1:26">
      <c r="A501" s="71">
        <v>6025002</v>
      </c>
      <c r="B501" s="96" t="s">
        <v>421</v>
      </c>
      <c r="C501" s="96"/>
      <c r="D501" s="96">
        <v>2</v>
      </c>
      <c r="E501" s="71">
        <v>3</v>
      </c>
      <c r="F501" s="96">
        <v>3001</v>
      </c>
      <c r="G501" s="71">
        <v>350</v>
      </c>
      <c r="H501" s="95">
        <v>10000</v>
      </c>
      <c r="I501" s="98">
        <v>0</v>
      </c>
      <c r="J501" s="96">
        <v>10000</v>
      </c>
      <c r="K501" s="96">
        <v>1025002</v>
      </c>
      <c r="L501" s="96" t="s">
        <v>423</v>
      </c>
      <c r="M501" s="25" t="s">
        <v>422</v>
      </c>
      <c r="N501" s="96" t="s">
        <v>421</v>
      </c>
      <c r="O501" s="96"/>
      <c r="P501" s="96"/>
      <c r="Q501" s="96" t="s">
        <v>60</v>
      </c>
      <c r="R501" s="95">
        <v>0</v>
      </c>
      <c r="S501" s="103">
        <v>6025002</v>
      </c>
      <c r="T501" s="96">
        <v>400</v>
      </c>
      <c r="U501" s="96">
        <v>1012</v>
      </c>
      <c r="V501" s="96">
        <v>1000</v>
      </c>
      <c r="W501" s="96">
        <v>0</v>
      </c>
      <c r="X501" s="96">
        <v>0</v>
      </c>
      <c r="Y501" s="96">
        <v>0</v>
      </c>
      <c r="Z501" s="71">
        <v>0</v>
      </c>
    </row>
    <row r="502" spans="1:26">
      <c r="A502" s="71">
        <v>6025101</v>
      </c>
      <c r="B502" s="96" t="s">
        <v>425</v>
      </c>
      <c r="C502" s="96"/>
      <c r="D502" s="96">
        <v>1</v>
      </c>
      <c r="E502" s="71">
        <v>3</v>
      </c>
      <c r="F502" s="96">
        <v>1001</v>
      </c>
      <c r="G502" s="71">
        <v>350</v>
      </c>
      <c r="H502" s="95">
        <v>10000</v>
      </c>
      <c r="I502" s="98">
        <v>0</v>
      </c>
      <c r="J502" s="95">
        <v>10000</v>
      </c>
      <c r="K502" s="96">
        <v>0</v>
      </c>
      <c r="L502" s="96" t="s">
        <v>425</v>
      </c>
      <c r="M502" s="71"/>
      <c r="N502" s="96" t="s">
        <v>425</v>
      </c>
      <c r="O502" s="96"/>
      <c r="P502" s="96"/>
      <c r="Q502" s="96" t="s">
        <v>227</v>
      </c>
      <c r="R502" s="95">
        <v>0</v>
      </c>
      <c r="S502" s="103">
        <v>0</v>
      </c>
      <c r="T502" s="96">
        <v>0</v>
      </c>
      <c r="U502" s="96">
        <v>1012</v>
      </c>
      <c r="V502" s="96">
        <v>700</v>
      </c>
      <c r="W502" s="96">
        <v>6025001</v>
      </c>
      <c r="X502" s="96">
        <v>400</v>
      </c>
      <c r="Y502" s="96">
        <v>350</v>
      </c>
      <c r="Z502" s="71">
        <v>0</v>
      </c>
    </row>
    <row r="503" spans="1:26">
      <c r="A503" s="71">
        <v>6025102</v>
      </c>
      <c r="B503" s="96" t="s">
        <v>149</v>
      </c>
      <c r="C503" s="96"/>
      <c r="D503" s="96">
        <v>2</v>
      </c>
      <c r="E503" s="71">
        <v>3</v>
      </c>
      <c r="F503" s="96">
        <v>3001</v>
      </c>
      <c r="G503" s="71">
        <v>350</v>
      </c>
      <c r="H503" s="96">
        <v>2500</v>
      </c>
      <c r="I503" s="98">
        <v>0</v>
      </c>
      <c r="J503" s="96">
        <v>10000</v>
      </c>
      <c r="K503" s="96">
        <v>1025102</v>
      </c>
      <c r="L503" s="96" t="s">
        <v>427</v>
      </c>
      <c r="M503" s="25" t="s">
        <v>426</v>
      </c>
      <c r="N503" s="96" t="s">
        <v>149</v>
      </c>
      <c r="O503" s="96"/>
      <c r="P503" s="96"/>
      <c r="Q503" s="96" t="s">
        <v>60</v>
      </c>
      <c r="R503" s="95">
        <v>0</v>
      </c>
      <c r="S503" s="103">
        <v>6025102</v>
      </c>
      <c r="T503" s="96">
        <v>0</v>
      </c>
      <c r="U503" s="96">
        <v>1012</v>
      </c>
      <c r="V503" s="96" t="s">
        <v>429</v>
      </c>
      <c r="W503" s="96">
        <v>0</v>
      </c>
      <c r="X503" s="96">
        <v>0</v>
      </c>
      <c r="Y503" s="96">
        <v>0</v>
      </c>
      <c r="Z503" s="71">
        <v>5004005</v>
      </c>
    </row>
    <row r="504" spans="1:26">
      <c r="A504" s="71">
        <v>6026001</v>
      </c>
      <c r="B504" s="96" t="s">
        <v>430</v>
      </c>
      <c r="C504" s="96"/>
      <c r="D504" s="96">
        <v>1</v>
      </c>
      <c r="E504" s="71">
        <v>3</v>
      </c>
      <c r="F504" s="96">
        <v>1001</v>
      </c>
      <c r="G504" s="71">
        <v>350</v>
      </c>
      <c r="H504" s="95">
        <v>10000</v>
      </c>
      <c r="I504" s="98">
        <v>0</v>
      </c>
      <c r="J504" s="95">
        <v>10000</v>
      </c>
      <c r="K504" s="96">
        <v>0</v>
      </c>
      <c r="L504" s="96" t="s">
        <v>430</v>
      </c>
      <c r="M504" s="71"/>
      <c r="N504" s="96" t="s">
        <v>430</v>
      </c>
      <c r="O504" s="96"/>
      <c r="P504" s="96"/>
      <c r="Q504" s="96" t="s">
        <v>227</v>
      </c>
      <c r="R504" s="95">
        <v>0</v>
      </c>
      <c r="S504" s="103">
        <v>0</v>
      </c>
      <c r="T504" s="96">
        <v>0</v>
      </c>
      <c r="U504" s="96">
        <v>1012</v>
      </c>
      <c r="V504" s="96">
        <v>800</v>
      </c>
      <c r="W504" s="96">
        <v>6026001</v>
      </c>
      <c r="X504" s="96">
        <v>500</v>
      </c>
      <c r="Y504" s="96">
        <v>350</v>
      </c>
      <c r="Z504" s="71">
        <v>0</v>
      </c>
    </row>
    <row r="505" spans="1:26">
      <c r="A505" s="71">
        <v>6026002</v>
      </c>
      <c r="B505" s="96" t="s">
        <v>431</v>
      </c>
      <c r="C505" s="96"/>
      <c r="D505" s="96">
        <v>2</v>
      </c>
      <c r="E505" s="71">
        <v>3</v>
      </c>
      <c r="F505" s="96">
        <v>3001</v>
      </c>
      <c r="G505" s="71">
        <v>350</v>
      </c>
      <c r="H505" s="95">
        <v>10000</v>
      </c>
      <c r="I505" s="98">
        <v>0</v>
      </c>
      <c r="J505" s="96">
        <v>10000</v>
      </c>
      <c r="K505" s="96">
        <v>1026002</v>
      </c>
      <c r="L505" s="96" t="s">
        <v>433</v>
      </c>
      <c r="M505" s="25" t="s">
        <v>432</v>
      </c>
      <c r="N505" s="96" t="s">
        <v>431</v>
      </c>
      <c r="O505" s="96"/>
      <c r="P505" s="96"/>
      <c r="Q505" s="96" t="s">
        <v>60</v>
      </c>
      <c r="R505" s="95">
        <v>0</v>
      </c>
      <c r="S505" s="103">
        <v>6026002</v>
      </c>
      <c r="T505" s="96">
        <v>500</v>
      </c>
      <c r="U505" s="96">
        <v>1012</v>
      </c>
      <c r="V505" s="96">
        <v>1450</v>
      </c>
      <c r="W505" s="96">
        <v>0</v>
      </c>
      <c r="X505" s="96">
        <v>0</v>
      </c>
      <c r="Y505" s="96">
        <v>0</v>
      </c>
      <c r="Z505" s="71">
        <v>0</v>
      </c>
    </row>
    <row r="506" spans="1:26">
      <c r="A506" s="71">
        <v>6027001</v>
      </c>
      <c r="B506" s="96" t="s">
        <v>435</v>
      </c>
      <c r="C506" s="96"/>
      <c r="D506" s="96">
        <v>1</v>
      </c>
      <c r="E506" s="71">
        <v>3</v>
      </c>
      <c r="F506" s="96">
        <v>1001</v>
      </c>
      <c r="G506" s="71">
        <v>350</v>
      </c>
      <c r="H506" s="95">
        <v>10000</v>
      </c>
      <c r="I506" s="98">
        <v>0</v>
      </c>
      <c r="J506" s="95">
        <v>10000</v>
      </c>
      <c r="K506" s="96">
        <v>0</v>
      </c>
      <c r="L506" s="96" t="s">
        <v>435</v>
      </c>
      <c r="M506" s="71"/>
      <c r="N506" s="96" t="s">
        <v>435</v>
      </c>
      <c r="O506" s="96"/>
      <c r="P506" s="96"/>
      <c r="Q506" s="96" t="s">
        <v>227</v>
      </c>
      <c r="R506" s="95">
        <v>0</v>
      </c>
      <c r="S506" s="103">
        <v>0</v>
      </c>
      <c r="T506" s="96">
        <v>0</v>
      </c>
      <c r="U506" s="96">
        <v>1012</v>
      </c>
      <c r="V506" s="96">
        <v>700</v>
      </c>
      <c r="W506" s="96">
        <v>6027001</v>
      </c>
      <c r="X506" s="96">
        <v>400</v>
      </c>
      <c r="Y506" s="96">
        <v>350</v>
      </c>
      <c r="Z506" s="71">
        <v>0</v>
      </c>
    </row>
    <row r="507" spans="1:26">
      <c r="A507" s="71">
        <v>6027002</v>
      </c>
      <c r="B507" s="96" t="s">
        <v>436</v>
      </c>
      <c r="C507" s="96"/>
      <c r="D507" s="96">
        <v>2</v>
      </c>
      <c r="E507" s="71">
        <v>3</v>
      </c>
      <c r="F507" s="96">
        <v>3001</v>
      </c>
      <c r="G507" s="71">
        <v>350</v>
      </c>
      <c r="H507" s="95">
        <v>10000</v>
      </c>
      <c r="I507" s="98">
        <v>0</v>
      </c>
      <c r="J507" s="96">
        <v>10000</v>
      </c>
      <c r="K507" s="96">
        <v>1027002</v>
      </c>
      <c r="L507" s="96" t="s">
        <v>438</v>
      </c>
      <c r="M507" s="25" t="s">
        <v>437</v>
      </c>
      <c r="N507" s="96" t="s">
        <v>436</v>
      </c>
      <c r="O507" s="96"/>
      <c r="P507" s="96"/>
      <c r="Q507" s="96" t="s">
        <v>60</v>
      </c>
      <c r="R507" s="95">
        <v>0</v>
      </c>
      <c r="S507" s="103">
        <v>6027002</v>
      </c>
      <c r="T507" s="96">
        <v>500</v>
      </c>
      <c r="U507" s="96">
        <v>1012</v>
      </c>
      <c r="V507" s="96">
        <v>1300</v>
      </c>
      <c r="W507" s="96">
        <v>0</v>
      </c>
      <c r="X507" s="96">
        <v>0</v>
      </c>
      <c r="Y507" s="96">
        <v>0</v>
      </c>
      <c r="Z507" s="71">
        <v>0</v>
      </c>
    </row>
    <row r="508" spans="1:26">
      <c r="A508" s="71">
        <v>6027101</v>
      </c>
      <c r="B508" s="96" t="s">
        <v>440</v>
      </c>
      <c r="C508" s="96"/>
      <c r="D508" s="96">
        <v>1</v>
      </c>
      <c r="E508" s="71">
        <v>3</v>
      </c>
      <c r="F508" s="96">
        <v>1001</v>
      </c>
      <c r="G508" s="71">
        <v>350</v>
      </c>
      <c r="H508" s="95">
        <v>10000</v>
      </c>
      <c r="I508" s="98">
        <v>0</v>
      </c>
      <c r="J508" s="95">
        <v>10000</v>
      </c>
      <c r="K508" s="96">
        <v>0</v>
      </c>
      <c r="L508" s="96" t="s">
        <v>440</v>
      </c>
      <c r="M508" s="71"/>
      <c r="N508" s="96" t="s">
        <v>440</v>
      </c>
      <c r="O508" s="96"/>
      <c r="P508" s="96"/>
      <c r="Q508" s="96" t="s">
        <v>227</v>
      </c>
      <c r="R508" s="95">
        <v>0</v>
      </c>
      <c r="S508" s="103">
        <v>0</v>
      </c>
      <c r="T508" s="96">
        <v>0</v>
      </c>
      <c r="U508" s="96">
        <v>1012</v>
      </c>
      <c r="V508" s="96">
        <v>700</v>
      </c>
      <c r="W508" s="96">
        <v>6027001</v>
      </c>
      <c r="X508" s="96">
        <v>400</v>
      </c>
      <c r="Y508" s="96">
        <v>350</v>
      </c>
      <c r="Z508" s="71">
        <v>0</v>
      </c>
    </row>
    <row r="509" spans="1:26">
      <c r="A509" s="71">
        <v>6027102</v>
      </c>
      <c r="B509" s="96" t="s">
        <v>441</v>
      </c>
      <c r="C509" s="96"/>
      <c r="D509" s="96">
        <v>2</v>
      </c>
      <c r="E509" s="71">
        <v>3</v>
      </c>
      <c r="F509" s="96">
        <v>3001</v>
      </c>
      <c r="G509" s="71">
        <v>350</v>
      </c>
      <c r="H509" s="95">
        <v>10000</v>
      </c>
      <c r="I509" s="98">
        <v>0</v>
      </c>
      <c r="J509" s="96">
        <v>10000</v>
      </c>
      <c r="K509" s="96">
        <v>1027002</v>
      </c>
      <c r="L509" s="96" t="s">
        <v>443</v>
      </c>
      <c r="M509" s="25" t="s">
        <v>442</v>
      </c>
      <c r="N509" s="96" t="s">
        <v>441</v>
      </c>
      <c r="O509" s="96"/>
      <c r="P509" s="96"/>
      <c r="Q509" s="96" t="s">
        <v>60</v>
      </c>
      <c r="R509" s="95">
        <v>0</v>
      </c>
      <c r="S509" s="103">
        <v>6027002</v>
      </c>
      <c r="T509" s="96">
        <v>500</v>
      </c>
      <c r="U509" s="96">
        <v>1012</v>
      </c>
      <c r="V509" s="96">
        <v>1300</v>
      </c>
      <c r="W509" s="96">
        <v>0</v>
      </c>
      <c r="X509" s="96">
        <v>0</v>
      </c>
      <c r="Y509" s="96">
        <v>0</v>
      </c>
      <c r="Z509" s="71">
        <v>0</v>
      </c>
    </row>
    <row r="510" spans="1:26">
      <c r="A510" s="71">
        <v>6030001</v>
      </c>
      <c r="B510" s="96" t="s">
        <v>445</v>
      </c>
      <c r="C510" s="96"/>
      <c r="D510" s="96">
        <v>1</v>
      </c>
      <c r="E510" s="71">
        <v>3</v>
      </c>
      <c r="F510" s="96">
        <v>1001</v>
      </c>
      <c r="G510" s="71">
        <v>350</v>
      </c>
      <c r="H510" s="95">
        <v>10000</v>
      </c>
      <c r="I510" s="98">
        <v>0</v>
      </c>
      <c r="J510" s="95">
        <v>10000</v>
      </c>
      <c r="K510" s="96">
        <v>0</v>
      </c>
      <c r="L510" s="96" t="s">
        <v>445</v>
      </c>
      <c r="M510" s="71"/>
      <c r="N510" s="96" t="s">
        <v>445</v>
      </c>
      <c r="O510" s="96"/>
      <c r="P510" s="96"/>
      <c r="Q510" s="96" t="s">
        <v>227</v>
      </c>
      <c r="R510" s="95">
        <v>0</v>
      </c>
      <c r="S510" s="103">
        <v>0</v>
      </c>
      <c r="T510" s="96">
        <v>0</v>
      </c>
      <c r="U510" s="96">
        <v>1012</v>
      </c>
      <c r="V510" s="96">
        <v>800</v>
      </c>
      <c r="W510" s="96">
        <v>6030001</v>
      </c>
      <c r="X510" s="96">
        <v>500</v>
      </c>
      <c r="Y510" s="96">
        <v>350</v>
      </c>
      <c r="Z510" s="71">
        <v>0</v>
      </c>
    </row>
    <row r="511" spans="1:26">
      <c r="A511" s="71">
        <v>6030002</v>
      </c>
      <c r="B511" s="96" t="s">
        <v>446</v>
      </c>
      <c r="C511" s="96"/>
      <c r="D511" s="96">
        <v>2</v>
      </c>
      <c r="E511" s="71">
        <v>3</v>
      </c>
      <c r="F511" s="96">
        <v>3001</v>
      </c>
      <c r="G511" s="71">
        <v>350</v>
      </c>
      <c r="H511" s="95">
        <v>10000</v>
      </c>
      <c r="I511" s="98">
        <v>0</v>
      </c>
      <c r="J511" s="96">
        <v>10000</v>
      </c>
      <c r="K511" s="96">
        <v>1030002</v>
      </c>
      <c r="L511" s="96" t="s">
        <v>448</v>
      </c>
      <c r="M511" s="25" t="s">
        <v>447</v>
      </c>
      <c r="N511" s="96" t="s">
        <v>446</v>
      </c>
      <c r="O511" s="96"/>
      <c r="P511" s="96"/>
      <c r="Q511" s="96" t="s">
        <v>60</v>
      </c>
      <c r="R511" s="95">
        <v>0</v>
      </c>
      <c r="S511" s="103">
        <v>6030002</v>
      </c>
      <c r="T511" s="96">
        <v>700</v>
      </c>
      <c r="U511" s="96">
        <v>1012</v>
      </c>
      <c r="V511" s="96">
        <v>2150</v>
      </c>
      <c r="W511" s="96">
        <v>0</v>
      </c>
      <c r="X511" s="96">
        <v>0</v>
      </c>
      <c r="Y511" s="96">
        <v>0</v>
      </c>
      <c r="Z511" s="71">
        <v>0</v>
      </c>
    </row>
    <row r="512" spans="1:26">
      <c r="A512" s="71">
        <v>6030101</v>
      </c>
      <c r="B512" s="96" t="s">
        <v>450</v>
      </c>
      <c r="C512" s="96"/>
      <c r="D512" s="96">
        <v>1</v>
      </c>
      <c r="E512" s="71">
        <v>3</v>
      </c>
      <c r="F512" s="96">
        <v>1001</v>
      </c>
      <c r="G512" s="71">
        <v>350</v>
      </c>
      <c r="H512" s="95">
        <v>10000</v>
      </c>
      <c r="I512" s="98">
        <v>0</v>
      </c>
      <c r="J512" s="95">
        <v>10000</v>
      </c>
      <c r="K512" s="96">
        <v>0</v>
      </c>
      <c r="L512" s="96" t="s">
        <v>450</v>
      </c>
      <c r="M512" s="71"/>
      <c r="N512" s="96" t="s">
        <v>450</v>
      </c>
      <c r="O512" s="96"/>
      <c r="P512" s="96"/>
      <c r="Q512" s="96" t="s">
        <v>227</v>
      </c>
      <c r="R512" s="95">
        <v>0</v>
      </c>
      <c r="S512" s="103">
        <v>0</v>
      </c>
      <c r="T512" s="96">
        <v>0</v>
      </c>
      <c r="U512" s="96">
        <v>1012</v>
      </c>
      <c r="V512" s="96">
        <v>700</v>
      </c>
      <c r="W512" s="96">
        <v>6030001</v>
      </c>
      <c r="X512" s="96">
        <v>400</v>
      </c>
      <c r="Y512" s="96">
        <v>350</v>
      </c>
      <c r="Z512" s="71">
        <v>0</v>
      </c>
    </row>
    <row r="513" spans="1:26">
      <c r="A513" s="71">
        <v>6030102</v>
      </c>
      <c r="B513" s="96" t="s">
        <v>121</v>
      </c>
      <c r="C513" s="96"/>
      <c r="D513" s="96">
        <v>2</v>
      </c>
      <c r="E513" s="71">
        <v>3</v>
      </c>
      <c r="F513" s="96">
        <v>3001</v>
      </c>
      <c r="G513" s="71">
        <v>350</v>
      </c>
      <c r="H513" s="95">
        <v>10000</v>
      </c>
      <c r="I513" s="98">
        <v>0</v>
      </c>
      <c r="J513" s="96">
        <v>10000</v>
      </c>
      <c r="K513" s="96">
        <v>1030002</v>
      </c>
      <c r="L513" s="96" t="s">
        <v>452</v>
      </c>
      <c r="M513" s="25" t="s">
        <v>451</v>
      </c>
      <c r="N513" s="96" t="s">
        <v>121</v>
      </c>
      <c r="O513" s="96"/>
      <c r="P513" s="96"/>
      <c r="Q513" s="96" t="s">
        <v>60</v>
      </c>
      <c r="R513" s="95">
        <v>0</v>
      </c>
      <c r="S513" s="103">
        <v>6030002</v>
      </c>
      <c r="T513" s="96">
        <v>600</v>
      </c>
      <c r="U513" s="96">
        <v>1012</v>
      </c>
      <c r="V513" s="96">
        <v>2050</v>
      </c>
      <c r="W513" s="96">
        <v>0</v>
      </c>
      <c r="X513" s="96">
        <v>0</v>
      </c>
      <c r="Y513" s="96">
        <v>0</v>
      </c>
      <c r="Z513" s="71">
        <v>5003004</v>
      </c>
    </row>
    <row r="514" spans="1:26">
      <c r="A514" s="71">
        <v>6032001</v>
      </c>
      <c r="B514" s="96" t="s">
        <v>454</v>
      </c>
      <c r="C514" s="96"/>
      <c r="D514" s="96">
        <v>1</v>
      </c>
      <c r="E514" s="71">
        <v>3</v>
      </c>
      <c r="F514" s="96">
        <v>1001</v>
      </c>
      <c r="G514" s="71">
        <v>350</v>
      </c>
      <c r="H514" s="95">
        <v>10000</v>
      </c>
      <c r="I514" s="98">
        <v>0</v>
      </c>
      <c r="J514" s="95">
        <v>10000</v>
      </c>
      <c r="K514" s="96">
        <v>0</v>
      </c>
      <c r="L514" s="96" t="s">
        <v>454</v>
      </c>
      <c r="M514" s="71"/>
      <c r="N514" s="96" t="s">
        <v>454</v>
      </c>
      <c r="O514" s="96"/>
      <c r="P514" s="96"/>
      <c r="Q514" s="96" t="s">
        <v>227</v>
      </c>
      <c r="R514" s="95">
        <v>0</v>
      </c>
      <c r="S514" s="103">
        <v>0</v>
      </c>
      <c r="T514" s="96">
        <v>0</v>
      </c>
      <c r="U514" s="96">
        <v>1014</v>
      </c>
      <c r="V514" s="96">
        <v>700</v>
      </c>
      <c r="W514" s="96">
        <v>6032001</v>
      </c>
      <c r="X514" s="96">
        <v>400</v>
      </c>
      <c r="Y514" s="96">
        <v>350</v>
      </c>
      <c r="Z514" s="71">
        <v>0</v>
      </c>
    </row>
    <row r="515" spans="1:26">
      <c r="A515" s="71">
        <v>6032002</v>
      </c>
      <c r="B515" s="96" t="s">
        <v>455</v>
      </c>
      <c r="C515" s="96"/>
      <c r="D515" s="96">
        <v>2</v>
      </c>
      <c r="E515" s="71">
        <v>3</v>
      </c>
      <c r="F515" s="96">
        <v>3001</v>
      </c>
      <c r="G515" s="71">
        <v>350</v>
      </c>
      <c r="H515" s="95">
        <v>5000</v>
      </c>
      <c r="I515" s="98">
        <v>0</v>
      </c>
      <c r="J515" s="96">
        <v>10000</v>
      </c>
      <c r="K515" s="96">
        <v>1032002</v>
      </c>
      <c r="L515" s="96" t="s">
        <v>457</v>
      </c>
      <c r="M515" s="25" t="s">
        <v>456</v>
      </c>
      <c r="N515" s="96" t="s">
        <v>455</v>
      </c>
      <c r="O515" s="96"/>
      <c r="P515" s="96"/>
      <c r="Q515" s="96" t="s">
        <v>60</v>
      </c>
      <c r="R515" s="95">
        <v>0</v>
      </c>
      <c r="S515" s="103">
        <v>6032002</v>
      </c>
      <c r="T515" s="96">
        <v>400</v>
      </c>
      <c r="U515" s="96">
        <v>1014</v>
      </c>
      <c r="V515" s="96" t="s">
        <v>972</v>
      </c>
      <c r="W515" s="96">
        <v>0</v>
      </c>
      <c r="X515" s="96">
        <v>0</v>
      </c>
      <c r="Y515" s="96">
        <v>0</v>
      </c>
      <c r="Z515" s="71">
        <v>0</v>
      </c>
    </row>
    <row r="516" spans="1:26">
      <c r="A516" s="71">
        <v>6032101</v>
      </c>
      <c r="B516" s="96" t="s">
        <v>460</v>
      </c>
      <c r="C516" s="96"/>
      <c r="D516" s="96">
        <v>1</v>
      </c>
      <c r="E516" s="71">
        <v>3</v>
      </c>
      <c r="F516" s="96">
        <v>1001</v>
      </c>
      <c r="G516" s="71">
        <v>350</v>
      </c>
      <c r="H516" s="95">
        <v>10000</v>
      </c>
      <c r="I516" s="98">
        <v>0</v>
      </c>
      <c r="J516" s="95">
        <v>10000</v>
      </c>
      <c r="K516" s="96">
        <v>0</v>
      </c>
      <c r="L516" s="96" t="s">
        <v>460</v>
      </c>
      <c r="M516" s="71"/>
      <c r="N516" s="96" t="s">
        <v>460</v>
      </c>
      <c r="O516" s="96"/>
      <c r="P516" s="96"/>
      <c r="Q516" s="96" t="s">
        <v>227</v>
      </c>
      <c r="R516" s="95">
        <v>0</v>
      </c>
      <c r="S516" s="103">
        <v>0</v>
      </c>
      <c r="T516" s="96">
        <v>0</v>
      </c>
      <c r="U516" s="96">
        <v>1014</v>
      </c>
      <c r="V516" s="96">
        <v>700</v>
      </c>
      <c r="W516" s="96">
        <v>6032001</v>
      </c>
      <c r="X516" s="96">
        <v>400</v>
      </c>
      <c r="Y516" s="96">
        <v>350</v>
      </c>
      <c r="Z516" s="71">
        <v>0</v>
      </c>
    </row>
    <row r="517" spans="1:26">
      <c r="A517" s="71">
        <v>6032102</v>
      </c>
      <c r="B517" s="96" t="s">
        <v>461</v>
      </c>
      <c r="C517" s="96"/>
      <c r="D517" s="96">
        <v>2</v>
      </c>
      <c r="E517" s="71">
        <v>3</v>
      </c>
      <c r="F517" s="96">
        <v>3001</v>
      </c>
      <c r="G517" s="71">
        <v>350</v>
      </c>
      <c r="H517" s="96">
        <v>5000</v>
      </c>
      <c r="I517" s="98">
        <v>0</v>
      </c>
      <c r="J517" s="96">
        <v>10000</v>
      </c>
      <c r="K517" s="96">
        <v>1032002</v>
      </c>
      <c r="L517" s="96" t="s">
        <v>463</v>
      </c>
      <c r="M517" s="25" t="s">
        <v>462</v>
      </c>
      <c r="N517" s="96" t="s">
        <v>461</v>
      </c>
      <c r="O517" s="96"/>
      <c r="P517" s="96"/>
      <c r="Q517" s="96" t="s">
        <v>60</v>
      </c>
      <c r="R517" s="95">
        <v>0</v>
      </c>
      <c r="S517" s="103">
        <v>6032002</v>
      </c>
      <c r="T517" s="96">
        <v>400</v>
      </c>
      <c r="U517" s="96">
        <v>1014</v>
      </c>
      <c r="V517" s="96" t="s">
        <v>972</v>
      </c>
      <c r="W517" s="96">
        <v>0</v>
      </c>
      <c r="X517" s="96">
        <v>0</v>
      </c>
      <c r="Y517" s="96">
        <v>0</v>
      </c>
      <c r="Z517" s="71">
        <v>0</v>
      </c>
    </row>
    <row r="518" spans="1:26">
      <c r="A518" s="71">
        <v>6033001</v>
      </c>
      <c r="B518" s="96" t="s">
        <v>465</v>
      </c>
      <c r="C518" s="96"/>
      <c r="D518" s="96">
        <v>1</v>
      </c>
      <c r="E518" s="71">
        <v>3</v>
      </c>
      <c r="F518" s="96">
        <v>1001</v>
      </c>
      <c r="G518" s="71">
        <v>350</v>
      </c>
      <c r="H518" s="95">
        <v>10000</v>
      </c>
      <c r="I518" s="98">
        <v>0</v>
      </c>
      <c r="J518" s="95">
        <v>10000</v>
      </c>
      <c r="K518" s="96">
        <v>0</v>
      </c>
      <c r="L518" s="96" t="s">
        <v>465</v>
      </c>
      <c r="M518" s="71"/>
      <c r="N518" s="96" t="s">
        <v>465</v>
      </c>
      <c r="O518" s="96"/>
      <c r="P518" s="96"/>
      <c r="Q518" s="96" t="s">
        <v>227</v>
      </c>
      <c r="R518" s="95">
        <v>0</v>
      </c>
      <c r="S518" s="103">
        <v>0</v>
      </c>
      <c r="T518" s="96">
        <v>0</v>
      </c>
      <c r="U518" s="96">
        <v>1012</v>
      </c>
      <c r="V518" s="96">
        <v>700</v>
      </c>
      <c r="W518" s="96">
        <v>6033001</v>
      </c>
      <c r="X518" s="96">
        <v>400</v>
      </c>
      <c r="Y518" s="96">
        <v>350</v>
      </c>
      <c r="Z518" s="71">
        <v>0</v>
      </c>
    </row>
    <row r="519" spans="1:26">
      <c r="A519" s="71">
        <v>6033002</v>
      </c>
      <c r="B519" s="96" t="s">
        <v>466</v>
      </c>
      <c r="C519" s="96"/>
      <c r="D519" s="96">
        <v>2</v>
      </c>
      <c r="E519" s="71">
        <v>3</v>
      </c>
      <c r="F519" s="96">
        <v>3001</v>
      </c>
      <c r="G519" s="71">
        <v>350</v>
      </c>
      <c r="H519" s="96">
        <v>2000</v>
      </c>
      <c r="I519" s="98">
        <v>0</v>
      </c>
      <c r="J519" s="96">
        <v>10000</v>
      </c>
      <c r="K519" s="96">
        <v>1033002</v>
      </c>
      <c r="L519" s="96" t="s">
        <v>468</v>
      </c>
      <c r="M519" s="25" t="s">
        <v>467</v>
      </c>
      <c r="N519" s="96" t="s">
        <v>466</v>
      </c>
      <c r="O519" s="96"/>
      <c r="P519" s="96"/>
      <c r="Q519" s="96" t="s">
        <v>60</v>
      </c>
      <c r="R519" s="95">
        <v>0</v>
      </c>
      <c r="S519" s="103">
        <v>6033002</v>
      </c>
      <c r="T519" s="96">
        <v>1300</v>
      </c>
      <c r="U519" s="96">
        <v>1012</v>
      </c>
      <c r="V519" s="96" t="s">
        <v>470</v>
      </c>
      <c r="W519" s="96">
        <v>0</v>
      </c>
      <c r="X519" s="96">
        <v>0</v>
      </c>
      <c r="Y519" s="96">
        <v>0</v>
      </c>
      <c r="Z519" s="71">
        <v>0</v>
      </c>
    </row>
    <row r="520" spans="1:26">
      <c r="A520" s="71">
        <v>6033101</v>
      </c>
      <c r="B520" s="96" t="s">
        <v>471</v>
      </c>
      <c r="C520" s="96"/>
      <c r="D520" s="96">
        <v>1</v>
      </c>
      <c r="E520" s="71">
        <v>3</v>
      </c>
      <c r="F520" s="96">
        <v>1001</v>
      </c>
      <c r="G520" s="71">
        <v>350</v>
      </c>
      <c r="H520" s="95">
        <v>10000</v>
      </c>
      <c r="I520" s="98">
        <v>0</v>
      </c>
      <c r="J520" s="95">
        <v>10000</v>
      </c>
      <c r="K520" s="96">
        <v>0</v>
      </c>
      <c r="L520" s="96" t="s">
        <v>471</v>
      </c>
      <c r="M520" s="71"/>
      <c r="N520" s="96" t="s">
        <v>471</v>
      </c>
      <c r="O520" s="96"/>
      <c r="P520" s="96"/>
      <c r="Q520" s="96" t="s">
        <v>227</v>
      </c>
      <c r="R520" s="95">
        <v>0</v>
      </c>
      <c r="S520" s="103">
        <v>0</v>
      </c>
      <c r="T520" s="96">
        <v>0</v>
      </c>
      <c r="U520" s="96">
        <v>1012</v>
      </c>
      <c r="V520" s="96">
        <v>600</v>
      </c>
      <c r="W520" s="96">
        <v>6033001</v>
      </c>
      <c r="X520" s="96">
        <v>300</v>
      </c>
      <c r="Y520" s="96">
        <v>350</v>
      </c>
      <c r="Z520" s="71">
        <v>0</v>
      </c>
    </row>
    <row r="521" spans="1:26">
      <c r="A521" s="71">
        <v>6033102</v>
      </c>
      <c r="B521" s="96" t="s">
        <v>472</v>
      </c>
      <c r="C521" s="96"/>
      <c r="D521" s="96">
        <v>2</v>
      </c>
      <c r="E521" s="71">
        <v>3</v>
      </c>
      <c r="F521" s="96">
        <v>3001</v>
      </c>
      <c r="G521" s="71">
        <v>350</v>
      </c>
      <c r="H521" s="96">
        <v>2000</v>
      </c>
      <c r="I521" s="98">
        <v>0</v>
      </c>
      <c r="J521" s="96">
        <v>10000</v>
      </c>
      <c r="K521" s="96">
        <v>1033002</v>
      </c>
      <c r="L521" s="96" t="s">
        <v>474</v>
      </c>
      <c r="M521" s="25" t="s">
        <v>473</v>
      </c>
      <c r="N521" s="96" t="s">
        <v>472</v>
      </c>
      <c r="O521" s="96"/>
      <c r="P521" s="96"/>
      <c r="Q521" s="96" t="s">
        <v>60</v>
      </c>
      <c r="R521" s="95">
        <v>0</v>
      </c>
      <c r="S521" s="103">
        <v>6033002</v>
      </c>
      <c r="T521" s="96">
        <v>500</v>
      </c>
      <c r="U521" s="96">
        <v>1012</v>
      </c>
      <c r="V521" s="96" t="s">
        <v>476</v>
      </c>
      <c r="W521" s="96">
        <v>0</v>
      </c>
      <c r="X521" s="96">
        <v>0</v>
      </c>
      <c r="Y521" s="96">
        <v>0</v>
      </c>
      <c r="Z521" s="71">
        <v>0</v>
      </c>
    </row>
    <row r="522" spans="1:26">
      <c r="A522" s="71">
        <v>6033201</v>
      </c>
      <c r="B522" s="96" t="s">
        <v>477</v>
      </c>
      <c r="C522" s="96"/>
      <c r="D522" s="96">
        <v>1</v>
      </c>
      <c r="E522" s="71">
        <v>3</v>
      </c>
      <c r="F522" s="96">
        <v>1001</v>
      </c>
      <c r="G522" s="71">
        <v>350</v>
      </c>
      <c r="H522" s="95">
        <v>10000</v>
      </c>
      <c r="I522" s="98">
        <v>0</v>
      </c>
      <c r="J522" s="95">
        <v>10000</v>
      </c>
      <c r="K522" s="96">
        <v>0</v>
      </c>
      <c r="L522" s="96" t="s">
        <v>477</v>
      </c>
      <c r="M522" s="71"/>
      <c r="N522" s="96" t="s">
        <v>477</v>
      </c>
      <c r="O522" s="96"/>
      <c r="P522" s="96"/>
      <c r="Q522" s="96" t="s">
        <v>227</v>
      </c>
      <c r="R522" s="95">
        <v>0</v>
      </c>
      <c r="S522" s="103">
        <v>0</v>
      </c>
      <c r="T522" s="96">
        <v>0</v>
      </c>
      <c r="U522" s="96">
        <v>1012</v>
      </c>
      <c r="V522" s="96">
        <v>700</v>
      </c>
      <c r="W522" s="96">
        <v>6033001</v>
      </c>
      <c r="X522" s="96">
        <v>400</v>
      </c>
      <c r="Y522" s="96">
        <v>350</v>
      </c>
      <c r="Z522" s="71">
        <v>0</v>
      </c>
    </row>
    <row r="523" spans="1:26">
      <c r="A523" s="71">
        <v>6033202</v>
      </c>
      <c r="B523" s="96" t="s">
        <v>478</v>
      </c>
      <c r="C523" s="96"/>
      <c r="D523" s="96">
        <v>2</v>
      </c>
      <c r="E523" s="71">
        <v>3</v>
      </c>
      <c r="F523" s="96">
        <v>3001</v>
      </c>
      <c r="G523" s="71">
        <v>350</v>
      </c>
      <c r="H523" s="96">
        <v>1670</v>
      </c>
      <c r="I523" s="98">
        <v>0</v>
      </c>
      <c r="J523" s="96">
        <v>10000</v>
      </c>
      <c r="K523" s="96">
        <v>1033202</v>
      </c>
      <c r="L523" s="96" t="s">
        <v>480</v>
      </c>
      <c r="M523" s="25" t="s">
        <v>479</v>
      </c>
      <c r="N523" s="96" t="s">
        <v>478</v>
      </c>
      <c r="O523" s="96"/>
      <c r="P523" s="96"/>
      <c r="Q523" s="96" t="s">
        <v>60</v>
      </c>
      <c r="R523" s="95">
        <v>0</v>
      </c>
      <c r="S523" s="103">
        <v>6033202</v>
      </c>
      <c r="T523" s="96">
        <v>1400</v>
      </c>
      <c r="U523" s="96">
        <v>1012</v>
      </c>
      <c r="V523" s="96" t="s">
        <v>482</v>
      </c>
      <c r="W523" s="96">
        <v>0</v>
      </c>
      <c r="X523" s="96">
        <v>0</v>
      </c>
      <c r="Y523" s="96">
        <v>0</v>
      </c>
      <c r="Z523" s="71">
        <v>0</v>
      </c>
    </row>
    <row r="524" spans="1:26">
      <c r="A524" s="71">
        <v>6035001</v>
      </c>
      <c r="B524" s="96" t="s">
        <v>483</v>
      </c>
      <c r="C524" s="96"/>
      <c r="D524" s="96">
        <v>1</v>
      </c>
      <c r="E524" s="71">
        <v>3</v>
      </c>
      <c r="F524" s="96">
        <v>1001</v>
      </c>
      <c r="G524" s="71">
        <v>350</v>
      </c>
      <c r="H524" s="95">
        <v>10000</v>
      </c>
      <c r="I524" s="98">
        <v>0</v>
      </c>
      <c r="J524" s="95">
        <v>10000</v>
      </c>
      <c r="K524" s="96">
        <v>0</v>
      </c>
      <c r="L524" s="96" t="s">
        <v>483</v>
      </c>
      <c r="M524" s="71"/>
      <c r="N524" s="96" t="s">
        <v>483</v>
      </c>
      <c r="O524" s="96"/>
      <c r="P524" s="96"/>
      <c r="Q524" s="96" t="s">
        <v>227</v>
      </c>
      <c r="R524" s="95">
        <v>0</v>
      </c>
      <c r="S524" s="103">
        <v>0</v>
      </c>
      <c r="T524" s="96">
        <v>0</v>
      </c>
      <c r="U524" s="96">
        <v>1016</v>
      </c>
      <c r="V524" s="96">
        <v>700</v>
      </c>
      <c r="W524" s="96">
        <v>6035001</v>
      </c>
      <c r="X524" s="96">
        <v>400</v>
      </c>
      <c r="Y524" s="96">
        <v>350</v>
      </c>
      <c r="Z524" s="71">
        <v>0</v>
      </c>
    </row>
    <row r="525" spans="1:26">
      <c r="A525" s="71">
        <v>6035002</v>
      </c>
      <c r="B525" s="96" t="s">
        <v>135</v>
      </c>
      <c r="C525" s="96"/>
      <c r="D525" s="96">
        <v>2</v>
      </c>
      <c r="E525" s="71">
        <v>3</v>
      </c>
      <c r="F525" s="96">
        <v>3001</v>
      </c>
      <c r="G525" s="71">
        <v>350</v>
      </c>
      <c r="H525" s="96">
        <v>1000</v>
      </c>
      <c r="I525" s="98">
        <v>0</v>
      </c>
      <c r="J525" s="96">
        <v>10000</v>
      </c>
      <c r="K525" s="96">
        <v>1035002</v>
      </c>
      <c r="L525" s="96" t="s">
        <v>485</v>
      </c>
      <c r="M525" s="25" t="s">
        <v>484</v>
      </c>
      <c r="N525" s="96" t="s">
        <v>135</v>
      </c>
      <c r="O525" s="96"/>
      <c r="P525" s="96"/>
      <c r="Q525" s="96" t="s">
        <v>60</v>
      </c>
      <c r="R525" s="95">
        <v>0</v>
      </c>
      <c r="S525" s="103">
        <v>6035002</v>
      </c>
      <c r="T525" s="96">
        <v>600</v>
      </c>
      <c r="U525" s="96">
        <v>1016</v>
      </c>
      <c r="V525" s="96" t="s">
        <v>487</v>
      </c>
      <c r="W525" s="96">
        <v>0</v>
      </c>
      <c r="X525" s="96">
        <v>0</v>
      </c>
      <c r="Y525" s="96">
        <v>0</v>
      </c>
      <c r="Z525" s="71">
        <v>5004002</v>
      </c>
    </row>
    <row r="526" spans="1:26">
      <c r="A526" s="71">
        <v>6035101</v>
      </c>
      <c r="B526" s="96" t="s">
        <v>488</v>
      </c>
      <c r="C526" s="96"/>
      <c r="D526" s="96">
        <v>1</v>
      </c>
      <c r="E526" s="71">
        <v>3</v>
      </c>
      <c r="F526" s="96">
        <v>1001</v>
      </c>
      <c r="G526" s="71">
        <v>350</v>
      </c>
      <c r="H526" s="95">
        <v>10000</v>
      </c>
      <c r="I526" s="98">
        <v>0</v>
      </c>
      <c r="J526" s="95">
        <v>10000</v>
      </c>
      <c r="K526" s="96">
        <v>0</v>
      </c>
      <c r="L526" s="96" t="s">
        <v>488</v>
      </c>
      <c r="M526" s="71"/>
      <c r="N526" s="96" t="s">
        <v>488</v>
      </c>
      <c r="O526" s="96"/>
      <c r="P526" s="96"/>
      <c r="Q526" s="96" t="s">
        <v>227</v>
      </c>
      <c r="R526" s="95">
        <v>0</v>
      </c>
      <c r="S526" s="103">
        <v>0</v>
      </c>
      <c r="T526" s="96">
        <v>0</v>
      </c>
      <c r="U526" s="96">
        <v>1016</v>
      </c>
      <c r="V526" s="96">
        <v>800</v>
      </c>
      <c r="W526" s="96">
        <v>6035001</v>
      </c>
      <c r="X526" s="96">
        <v>500</v>
      </c>
      <c r="Y526" s="96">
        <v>350</v>
      </c>
      <c r="Z526" s="71">
        <v>0</v>
      </c>
    </row>
    <row r="527" spans="1:26">
      <c r="A527" s="71">
        <v>6035102</v>
      </c>
      <c r="B527" s="96" t="s">
        <v>489</v>
      </c>
      <c r="C527" s="96"/>
      <c r="D527" s="96">
        <v>2</v>
      </c>
      <c r="E527" s="71">
        <v>3</v>
      </c>
      <c r="F527" s="96">
        <v>3001</v>
      </c>
      <c r="G527" s="71">
        <v>350</v>
      </c>
      <c r="H527" s="96">
        <v>1000</v>
      </c>
      <c r="I527" s="98">
        <v>0</v>
      </c>
      <c r="J527" s="96">
        <v>10000</v>
      </c>
      <c r="K527" s="96">
        <v>1035002</v>
      </c>
      <c r="L527" s="96" t="s">
        <v>491</v>
      </c>
      <c r="M527" s="25" t="s">
        <v>490</v>
      </c>
      <c r="N527" s="96" t="s">
        <v>489</v>
      </c>
      <c r="O527" s="96"/>
      <c r="P527" s="96"/>
      <c r="Q527" s="96" t="s">
        <v>60</v>
      </c>
      <c r="R527" s="95">
        <v>0</v>
      </c>
      <c r="S527" s="103">
        <v>6035002</v>
      </c>
      <c r="T527" s="96">
        <v>700</v>
      </c>
      <c r="U527" s="96">
        <v>1016</v>
      </c>
      <c r="V527" s="96" t="s">
        <v>493</v>
      </c>
      <c r="W527" s="96">
        <v>0</v>
      </c>
      <c r="X527" s="96">
        <v>0</v>
      </c>
      <c r="Y527" s="96">
        <v>0</v>
      </c>
      <c r="Z527" s="71">
        <v>0</v>
      </c>
    </row>
    <row r="528" spans="1:26">
      <c r="A528" s="71">
        <v>6035201</v>
      </c>
      <c r="B528" s="96" t="s">
        <v>494</v>
      </c>
      <c r="C528" s="96"/>
      <c r="D528" s="96">
        <v>1</v>
      </c>
      <c r="E528" s="71">
        <v>3</v>
      </c>
      <c r="F528" s="96">
        <v>1001</v>
      </c>
      <c r="G528" s="71">
        <v>350</v>
      </c>
      <c r="H528" s="95">
        <v>10000</v>
      </c>
      <c r="I528" s="98">
        <v>0</v>
      </c>
      <c r="J528" s="95">
        <v>10000</v>
      </c>
      <c r="K528" s="96">
        <v>0</v>
      </c>
      <c r="L528" s="96" t="s">
        <v>494</v>
      </c>
      <c r="M528" s="71"/>
      <c r="N528" s="96" t="s">
        <v>494</v>
      </c>
      <c r="O528" s="96"/>
      <c r="P528" s="96"/>
      <c r="Q528" s="96" t="s">
        <v>227</v>
      </c>
      <c r="R528" s="95">
        <v>0</v>
      </c>
      <c r="S528" s="103">
        <v>0</v>
      </c>
      <c r="T528" s="96">
        <v>0</v>
      </c>
      <c r="U528" s="96">
        <v>1016</v>
      </c>
      <c r="V528" s="96">
        <v>800</v>
      </c>
      <c r="W528" s="96">
        <v>6035001</v>
      </c>
      <c r="X528" s="96">
        <v>500</v>
      </c>
      <c r="Y528" s="96">
        <v>350</v>
      </c>
      <c r="Z528" s="71">
        <v>0</v>
      </c>
    </row>
    <row r="529" spans="1:26">
      <c r="A529" s="71">
        <v>6035202</v>
      </c>
      <c r="B529" s="96" t="s">
        <v>184</v>
      </c>
      <c r="C529" s="96"/>
      <c r="D529" s="96">
        <v>2</v>
      </c>
      <c r="E529" s="71">
        <v>3</v>
      </c>
      <c r="F529" s="96">
        <v>3001</v>
      </c>
      <c r="G529" s="71">
        <v>350</v>
      </c>
      <c r="H529" s="96">
        <v>1250</v>
      </c>
      <c r="I529" s="98">
        <v>0</v>
      </c>
      <c r="J529" s="96">
        <v>10000</v>
      </c>
      <c r="K529" s="96">
        <v>1035202</v>
      </c>
      <c r="L529" s="96" t="s">
        <v>496</v>
      </c>
      <c r="M529" s="25" t="s">
        <v>495</v>
      </c>
      <c r="N529" s="96" t="s">
        <v>184</v>
      </c>
      <c r="O529" s="96"/>
      <c r="P529" s="96"/>
      <c r="Q529" s="96" t="s">
        <v>60</v>
      </c>
      <c r="R529" s="95">
        <v>0</v>
      </c>
      <c r="S529" s="103">
        <v>6035202</v>
      </c>
      <c r="T529" s="96">
        <v>1500</v>
      </c>
      <c r="U529" s="96">
        <v>1016</v>
      </c>
      <c r="V529" s="96" t="s">
        <v>498</v>
      </c>
      <c r="W529" s="96">
        <v>0</v>
      </c>
      <c r="X529" s="96">
        <v>0</v>
      </c>
      <c r="Y529" s="96">
        <v>0</v>
      </c>
      <c r="Z529" s="71">
        <v>5006002</v>
      </c>
    </row>
    <row r="530" spans="1:26">
      <c r="A530" s="71">
        <v>6036001</v>
      </c>
      <c r="B530" s="96" t="s">
        <v>499</v>
      </c>
      <c r="C530" s="96"/>
      <c r="D530" s="96">
        <v>1</v>
      </c>
      <c r="E530" s="71">
        <v>3</v>
      </c>
      <c r="F530" s="96">
        <v>1001</v>
      </c>
      <c r="G530" s="71">
        <v>350</v>
      </c>
      <c r="H530" s="95">
        <v>10000</v>
      </c>
      <c r="I530" s="98">
        <v>0</v>
      </c>
      <c r="J530" s="95">
        <v>10000</v>
      </c>
      <c r="K530" s="96">
        <v>0</v>
      </c>
      <c r="L530" s="96" t="s">
        <v>499</v>
      </c>
      <c r="M530" s="71"/>
      <c r="N530" s="96" t="s">
        <v>499</v>
      </c>
      <c r="O530" s="96"/>
      <c r="P530" s="96"/>
      <c r="Q530" s="96" t="s">
        <v>227</v>
      </c>
      <c r="R530" s="95">
        <v>0</v>
      </c>
      <c r="S530" s="103">
        <v>0</v>
      </c>
      <c r="T530" s="96">
        <v>0</v>
      </c>
      <c r="U530" s="96">
        <v>1016</v>
      </c>
      <c r="V530" s="96">
        <v>700</v>
      </c>
      <c r="W530" s="96">
        <v>6036001</v>
      </c>
      <c r="X530" s="96">
        <v>400</v>
      </c>
      <c r="Y530" s="96">
        <v>350</v>
      </c>
      <c r="Z530" s="71">
        <v>0</v>
      </c>
    </row>
    <row r="531" spans="1:26">
      <c r="A531" s="71">
        <v>6036002</v>
      </c>
      <c r="B531" s="96" t="s">
        <v>500</v>
      </c>
      <c r="C531" s="96"/>
      <c r="D531" s="96">
        <v>2</v>
      </c>
      <c r="E531" s="71">
        <v>3</v>
      </c>
      <c r="F531" s="96">
        <v>3001</v>
      </c>
      <c r="G531" s="71">
        <v>350</v>
      </c>
      <c r="H531" s="96">
        <v>2000</v>
      </c>
      <c r="I531" s="98">
        <v>0</v>
      </c>
      <c r="J531" s="96">
        <v>10000</v>
      </c>
      <c r="K531" s="96">
        <v>1036002</v>
      </c>
      <c r="L531" s="96" t="s">
        <v>502</v>
      </c>
      <c r="M531" s="25" t="s">
        <v>501</v>
      </c>
      <c r="N531" s="96" t="s">
        <v>504</v>
      </c>
      <c r="O531" s="96"/>
      <c r="P531" s="96"/>
      <c r="Q531" s="96" t="s">
        <v>60</v>
      </c>
      <c r="R531" s="95">
        <v>0</v>
      </c>
      <c r="S531" s="103">
        <v>6036002</v>
      </c>
      <c r="T531" s="96">
        <v>300</v>
      </c>
      <c r="U531" s="96">
        <v>1016</v>
      </c>
      <c r="V531" s="96" t="s">
        <v>505</v>
      </c>
      <c r="W531" s="96">
        <v>0</v>
      </c>
      <c r="X531" s="96">
        <v>0</v>
      </c>
      <c r="Y531" s="96">
        <v>0</v>
      </c>
      <c r="Z531" s="71">
        <v>0</v>
      </c>
    </row>
    <row r="532" spans="1:26">
      <c r="A532" s="71">
        <v>6036101</v>
      </c>
      <c r="B532" s="96" t="s">
        <v>506</v>
      </c>
      <c r="C532" s="96"/>
      <c r="D532" s="96">
        <v>1</v>
      </c>
      <c r="E532" s="71">
        <v>3</v>
      </c>
      <c r="F532" s="96">
        <v>1001</v>
      </c>
      <c r="G532" s="71">
        <v>350</v>
      </c>
      <c r="H532" s="95">
        <v>10000</v>
      </c>
      <c r="I532" s="98">
        <v>0</v>
      </c>
      <c r="J532" s="95">
        <v>10000</v>
      </c>
      <c r="K532" s="96">
        <v>0</v>
      </c>
      <c r="L532" s="96" t="s">
        <v>506</v>
      </c>
      <c r="M532" s="71"/>
      <c r="N532" s="96" t="s">
        <v>506</v>
      </c>
      <c r="O532" s="96"/>
      <c r="P532" s="96"/>
      <c r="Q532" s="96" t="s">
        <v>227</v>
      </c>
      <c r="R532" s="95">
        <v>0</v>
      </c>
      <c r="S532" s="103">
        <v>0</v>
      </c>
      <c r="T532" s="96">
        <v>0</v>
      </c>
      <c r="U532" s="96">
        <v>1016</v>
      </c>
      <c r="V532" s="96">
        <v>700</v>
      </c>
      <c r="W532" s="96">
        <v>6036001</v>
      </c>
      <c r="X532" s="96">
        <v>400</v>
      </c>
      <c r="Y532" s="96">
        <v>350</v>
      </c>
      <c r="Z532" s="71">
        <v>0</v>
      </c>
    </row>
    <row r="533" spans="1:26">
      <c r="A533" s="71">
        <v>6036102</v>
      </c>
      <c r="B533" s="96" t="s">
        <v>507</v>
      </c>
      <c r="C533" s="96"/>
      <c r="D533" s="96">
        <v>2</v>
      </c>
      <c r="E533" s="71">
        <v>3</v>
      </c>
      <c r="F533" s="96">
        <v>3001</v>
      </c>
      <c r="G533" s="71">
        <v>350</v>
      </c>
      <c r="H533" s="96">
        <v>2000</v>
      </c>
      <c r="I533" s="98">
        <v>0</v>
      </c>
      <c r="J533" s="96">
        <v>10000</v>
      </c>
      <c r="K533" s="96">
        <v>1036102</v>
      </c>
      <c r="L533" s="96" t="s">
        <v>509</v>
      </c>
      <c r="M533" s="25" t="s">
        <v>508</v>
      </c>
      <c r="N533" s="96" t="s">
        <v>511</v>
      </c>
      <c r="O533" s="96"/>
      <c r="P533" s="96"/>
      <c r="Q533" s="96" t="s">
        <v>60</v>
      </c>
      <c r="R533" s="95">
        <v>0</v>
      </c>
      <c r="S533" s="103">
        <v>6036102</v>
      </c>
      <c r="T533" s="96">
        <v>300</v>
      </c>
      <c r="U533" s="96">
        <v>1016</v>
      </c>
      <c r="V533" s="96" t="s">
        <v>505</v>
      </c>
      <c r="W533" s="96">
        <v>0</v>
      </c>
      <c r="X533" s="96">
        <v>0</v>
      </c>
      <c r="Y533" s="96">
        <v>0</v>
      </c>
      <c r="Z533" s="71">
        <v>0</v>
      </c>
    </row>
    <row r="534" spans="1:26">
      <c r="A534" s="71">
        <v>6038001</v>
      </c>
      <c r="B534" s="96" t="s">
        <v>512</v>
      </c>
      <c r="C534" s="96"/>
      <c r="D534" s="96">
        <v>1</v>
      </c>
      <c r="E534" s="71">
        <v>3</v>
      </c>
      <c r="F534" s="96">
        <v>1001</v>
      </c>
      <c r="G534" s="71">
        <v>350</v>
      </c>
      <c r="H534" s="95">
        <v>10000</v>
      </c>
      <c r="I534" s="98">
        <v>0</v>
      </c>
      <c r="J534" s="95">
        <v>10000</v>
      </c>
      <c r="K534" s="96">
        <v>0</v>
      </c>
      <c r="L534" s="96" t="s">
        <v>512</v>
      </c>
      <c r="M534" s="71"/>
      <c r="N534" s="96" t="s">
        <v>512</v>
      </c>
      <c r="O534" s="96"/>
      <c r="P534" s="96"/>
      <c r="Q534" s="96" t="s">
        <v>227</v>
      </c>
      <c r="R534" s="95">
        <v>0</v>
      </c>
      <c r="S534" s="103">
        <v>0</v>
      </c>
      <c r="T534" s="96">
        <v>0</v>
      </c>
      <c r="U534" s="96">
        <v>1016</v>
      </c>
      <c r="V534" s="96">
        <v>700</v>
      </c>
      <c r="W534" s="96">
        <v>6038001</v>
      </c>
      <c r="X534" s="96">
        <v>400</v>
      </c>
      <c r="Y534" s="96">
        <v>350</v>
      </c>
      <c r="Z534" s="71">
        <v>0</v>
      </c>
    </row>
    <row r="535" spans="1:26">
      <c r="A535" s="71">
        <v>6038002</v>
      </c>
      <c r="B535" s="96" t="s">
        <v>513</v>
      </c>
      <c r="C535" s="96"/>
      <c r="D535" s="96">
        <v>2</v>
      </c>
      <c r="E535" s="71">
        <v>3</v>
      </c>
      <c r="F535" s="96">
        <v>3001</v>
      </c>
      <c r="G535" s="71">
        <v>350</v>
      </c>
      <c r="H535" s="96">
        <v>2000</v>
      </c>
      <c r="I535" s="98">
        <v>0</v>
      </c>
      <c r="J535" s="96">
        <v>10000</v>
      </c>
      <c r="K535" s="96">
        <v>1038002</v>
      </c>
      <c r="L535" s="96" t="s">
        <v>515</v>
      </c>
      <c r="M535" s="25" t="s">
        <v>514</v>
      </c>
      <c r="N535" s="96" t="s">
        <v>513</v>
      </c>
      <c r="O535" s="96"/>
      <c r="P535" s="96"/>
      <c r="Q535" s="96" t="s">
        <v>60</v>
      </c>
      <c r="R535" s="95">
        <v>0</v>
      </c>
      <c r="S535" s="103">
        <v>6038002</v>
      </c>
      <c r="T535" s="96">
        <v>700</v>
      </c>
      <c r="U535" s="96">
        <v>1016</v>
      </c>
      <c r="V535" s="96" t="s">
        <v>517</v>
      </c>
      <c r="W535" s="96">
        <v>0</v>
      </c>
      <c r="X535" s="96">
        <v>0</v>
      </c>
      <c r="Y535" s="96">
        <v>0</v>
      </c>
      <c r="Z535" s="71">
        <v>5005006</v>
      </c>
    </row>
    <row r="536" spans="1:26">
      <c r="A536" s="71">
        <v>6038101</v>
      </c>
      <c r="B536" s="96" t="s">
        <v>518</v>
      </c>
      <c r="C536" s="96"/>
      <c r="D536" s="96">
        <v>1</v>
      </c>
      <c r="E536" s="71">
        <v>3</v>
      </c>
      <c r="F536" s="96">
        <v>1001</v>
      </c>
      <c r="G536" s="71">
        <v>350</v>
      </c>
      <c r="H536" s="95">
        <v>10000</v>
      </c>
      <c r="I536" s="98">
        <v>0</v>
      </c>
      <c r="J536" s="95">
        <v>10000</v>
      </c>
      <c r="K536" s="96">
        <v>0</v>
      </c>
      <c r="L536" s="96" t="s">
        <v>518</v>
      </c>
      <c r="M536" s="71"/>
      <c r="N536" s="96" t="s">
        <v>518</v>
      </c>
      <c r="O536" s="96"/>
      <c r="P536" s="96"/>
      <c r="Q536" s="96" t="s">
        <v>227</v>
      </c>
      <c r="R536" s="95">
        <v>0</v>
      </c>
      <c r="S536" s="103">
        <v>0</v>
      </c>
      <c r="T536" s="96">
        <v>0</v>
      </c>
      <c r="U536" s="96">
        <v>1014</v>
      </c>
      <c r="V536" s="96">
        <v>600</v>
      </c>
      <c r="W536" s="96">
        <v>6038001</v>
      </c>
      <c r="X536" s="96">
        <v>300</v>
      </c>
      <c r="Y536" s="96">
        <v>350</v>
      </c>
      <c r="Z536" s="71">
        <v>0</v>
      </c>
    </row>
    <row r="537" spans="1:26">
      <c r="A537" s="71">
        <v>6038102</v>
      </c>
      <c r="B537" s="96" t="s">
        <v>519</v>
      </c>
      <c r="C537" s="96"/>
      <c r="D537" s="96">
        <v>2</v>
      </c>
      <c r="E537" s="71">
        <v>3</v>
      </c>
      <c r="F537" s="96">
        <v>3001</v>
      </c>
      <c r="G537" s="71">
        <v>350</v>
      </c>
      <c r="H537" s="96">
        <v>2000</v>
      </c>
      <c r="I537" s="98">
        <v>0</v>
      </c>
      <c r="J537" s="96">
        <v>10000</v>
      </c>
      <c r="K537" s="96">
        <v>1038002</v>
      </c>
      <c r="L537" s="96" t="s">
        <v>521</v>
      </c>
      <c r="M537" s="25" t="s">
        <v>520</v>
      </c>
      <c r="N537" s="96" t="s">
        <v>519</v>
      </c>
      <c r="O537" s="96"/>
      <c r="P537" s="96"/>
      <c r="Q537" s="96" t="s">
        <v>60</v>
      </c>
      <c r="R537" s="95">
        <v>0</v>
      </c>
      <c r="S537" s="103">
        <v>6038002</v>
      </c>
      <c r="T537" s="96">
        <v>700</v>
      </c>
      <c r="U537" s="96">
        <v>1014</v>
      </c>
      <c r="V537" s="96" t="s">
        <v>517</v>
      </c>
      <c r="W537" s="96">
        <v>0</v>
      </c>
      <c r="X537" s="96">
        <v>0</v>
      </c>
      <c r="Y537" s="96">
        <v>0</v>
      </c>
      <c r="Z537" s="71">
        <v>0</v>
      </c>
    </row>
    <row r="538" spans="1:26">
      <c r="A538" s="71">
        <v>6039001</v>
      </c>
      <c r="B538" s="96" t="s">
        <v>523</v>
      </c>
      <c r="C538" s="96"/>
      <c r="D538" s="96">
        <v>1</v>
      </c>
      <c r="E538" s="71">
        <v>3</v>
      </c>
      <c r="F538" s="96">
        <v>1001</v>
      </c>
      <c r="G538" s="71">
        <v>350</v>
      </c>
      <c r="H538" s="95">
        <v>10000</v>
      </c>
      <c r="I538" s="98">
        <v>0</v>
      </c>
      <c r="J538" s="95">
        <v>10000</v>
      </c>
      <c r="K538" s="96">
        <v>0</v>
      </c>
      <c r="L538" s="96" t="s">
        <v>523</v>
      </c>
      <c r="M538" s="71"/>
      <c r="N538" s="96" t="s">
        <v>523</v>
      </c>
      <c r="O538" s="96"/>
      <c r="P538" s="96"/>
      <c r="Q538" s="96" t="s">
        <v>227</v>
      </c>
      <c r="R538" s="95">
        <v>0</v>
      </c>
      <c r="S538" s="103">
        <v>0</v>
      </c>
      <c r="T538" s="96">
        <v>0</v>
      </c>
      <c r="U538" s="96">
        <v>1011</v>
      </c>
      <c r="V538" s="96">
        <v>700</v>
      </c>
      <c r="W538" s="96">
        <v>6039001</v>
      </c>
      <c r="X538" s="96">
        <v>400</v>
      </c>
      <c r="Y538" s="96">
        <v>350</v>
      </c>
      <c r="Z538" s="71">
        <v>0</v>
      </c>
    </row>
    <row r="539" spans="1:26">
      <c r="A539" s="71">
        <v>6039002</v>
      </c>
      <c r="B539" s="96" t="s">
        <v>63</v>
      </c>
      <c r="C539" s="96"/>
      <c r="D539" s="96">
        <v>2</v>
      </c>
      <c r="E539" s="71">
        <v>3</v>
      </c>
      <c r="F539" s="96">
        <v>3001</v>
      </c>
      <c r="G539" s="71">
        <v>350</v>
      </c>
      <c r="H539" s="96">
        <v>1430</v>
      </c>
      <c r="I539" s="98">
        <v>0</v>
      </c>
      <c r="J539" s="96">
        <v>10000</v>
      </c>
      <c r="K539" s="96">
        <v>1039002</v>
      </c>
      <c r="L539" s="96" t="s">
        <v>525</v>
      </c>
      <c r="M539" s="25" t="s">
        <v>524</v>
      </c>
      <c r="N539" s="96" t="s">
        <v>63</v>
      </c>
      <c r="O539" s="96"/>
      <c r="P539" s="96"/>
      <c r="Q539" s="96" t="s">
        <v>60</v>
      </c>
      <c r="R539" s="95">
        <v>0</v>
      </c>
      <c r="S539" s="103">
        <v>6039002</v>
      </c>
      <c r="T539" s="96">
        <v>600</v>
      </c>
      <c r="U539" s="96">
        <v>1011</v>
      </c>
      <c r="V539" s="96" t="s">
        <v>527</v>
      </c>
      <c r="W539" s="96">
        <v>0</v>
      </c>
      <c r="X539" s="96">
        <v>0</v>
      </c>
      <c r="Y539" s="96">
        <v>0</v>
      </c>
      <c r="Z539" s="71">
        <v>5001002</v>
      </c>
    </row>
    <row r="540" spans="1:26">
      <c r="A540" s="71">
        <v>6039101</v>
      </c>
      <c r="B540" s="96" t="s">
        <v>528</v>
      </c>
      <c r="C540" s="96"/>
      <c r="D540" s="96">
        <v>1</v>
      </c>
      <c r="E540" s="71">
        <v>3</v>
      </c>
      <c r="F540" s="96">
        <v>1001</v>
      </c>
      <c r="G540" s="71">
        <v>350</v>
      </c>
      <c r="H540" s="95">
        <v>10000</v>
      </c>
      <c r="I540" s="98">
        <v>0</v>
      </c>
      <c r="J540" s="95">
        <v>10000</v>
      </c>
      <c r="K540" s="96">
        <v>0</v>
      </c>
      <c r="L540" s="96" t="s">
        <v>528</v>
      </c>
      <c r="M540" s="71"/>
      <c r="N540" s="96" t="s">
        <v>528</v>
      </c>
      <c r="O540" s="96"/>
      <c r="P540" s="96"/>
      <c r="Q540" s="96" t="s">
        <v>227</v>
      </c>
      <c r="R540" s="95">
        <v>0</v>
      </c>
      <c r="S540" s="103">
        <v>0</v>
      </c>
      <c r="T540" s="96">
        <v>0</v>
      </c>
      <c r="U540" s="96">
        <v>1011</v>
      </c>
      <c r="V540" s="96">
        <v>700</v>
      </c>
      <c r="W540" s="96">
        <v>6039001</v>
      </c>
      <c r="X540" s="96">
        <v>400</v>
      </c>
      <c r="Y540" s="96">
        <v>350</v>
      </c>
      <c r="Z540" s="71">
        <v>0</v>
      </c>
    </row>
    <row r="541" spans="1:26">
      <c r="A541" s="71">
        <v>6039102</v>
      </c>
      <c r="B541" s="96" t="s">
        <v>529</v>
      </c>
      <c r="C541" s="96"/>
      <c r="D541" s="96">
        <v>2</v>
      </c>
      <c r="E541" s="71">
        <v>3</v>
      </c>
      <c r="F541" s="96">
        <v>3001</v>
      </c>
      <c r="G541" s="71">
        <v>350</v>
      </c>
      <c r="H541" s="96">
        <v>1670</v>
      </c>
      <c r="I541" s="98">
        <v>0</v>
      </c>
      <c r="J541" s="96">
        <v>10000</v>
      </c>
      <c r="K541" s="96">
        <v>1039102</v>
      </c>
      <c r="L541" s="96" t="s">
        <v>531</v>
      </c>
      <c r="M541" s="25" t="s">
        <v>530</v>
      </c>
      <c r="N541" s="96" t="s">
        <v>529</v>
      </c>
      <c r="O541" s="96"/>
      <c r="P541" s="96"/>
      <c r="Q541" s="96" t="s">
        <v>60</v>
      </c>
      <c r="R541" s="95">
        <v>0</v>
      </c>
      <c r="S541" s="103">
        <v>6039102</v>
      </c>
      <c r="T541" s="96">
        <v>700</v>
      </c>
      <c r="U541" s="96">
        <v>1011</v>
      </c>
      <c r="V541" s="96" t="s">
        <v>533</v>
      </c>
      <c r="W541" s="96">
        <v>0</v>
      </c>
      <c r="X541" s="96">
        <v>0</v>
      </c>
      <c r="Y541" s="96">
        <v>0</v>
      </c>
      <c r="Z541" s="71">
        <v>0</v>
      </c>
    </row>
    <row r="542" spans="1:26">
      <c r="A542" s="71">
        <v>6039201</v>
      </c>
      <c r="B542" s="96" t="s">
        <v>534</v>
      </c>
      <c r="C542" s="96"/>
      <c r="D542" s="96">
        <v>1</v>
      </c>
      <c r="E542" s="71">
        <v>3</v>
      </c>
      <c r="F542" s="96">
        <v>1001</v>
      </c>
      <c r="G542" s="71">
        <v>350</v>
      </c>
      <c r="H542" s="95">
        <v>10000</v>
      </c>
      <c r="I542" s="98">
        <v>0</v>
      </c>
      <c r="J542" s="95">
        <v>10000</v>
      </c>
      <c r="K542" s="96">
        <v>0</v>
      </c>
      <c r="L542" s="96" t="s">
        <v>534</v>
      </c>
      <c r="M542" s="71"/>
      <c r="N542" s="96" t="s">
        <v>534</v>
      </c>
      <c r="O542" s="96"/>
      <c r="P542" s="96"/>
      <c r="Q542" s="96" t="s">
        <v>227</v>
      </c>
      <c r="R542" s="95">
        <v>0</v>
      </c>
      <c r="S542" s="103">
        <v>0</v>
      </c>
      <c r="T542" s="96">
        <v>0</v>
      </c>
      <c r="U542" s="96">
        <v>1011</v>
      </c>
      <c r="V542" s="96">
        <v>700</v>
      </c>
      <c r="W542" s="96">
        <v>6039201</v>
      </c>
      <c r="X542" s="96">
        <v>400</v>
      </c>
      <c r="Y542" s="96">
        <v>350</v>
      </c>
      <c r="Z542" s="71">
        <v>0</v>
      </c>
    </row>
    <row r="543" spans="1:26">
      <c r="A543" s="71">
        <v>6039202</v>
      </c>
      <c r="B543" s="96" t="s">
        <v>535</v>
      </c>
      <c r="C543" s="96"/>
      <c r="D543" s="96">
        <v>2</v>
      </c>
      <c r="E543" s="71">
        <v>3</v>
      </c>
      <c r="F543" s="96">
        <v>3001</v>
      </c>
      <c r="G543" s="71">
        <v>350</v>
      </c>
      <c r="H543" s="96">
        <v>1430</v>
      </c>
      <c r="I543" s="98">
        <v>0</v>
      </c>
      <c r="J543" s="96">
        <v>10000</v>
      </c>
      <c r="K543" s="96">
        <v>1039202</v>
      </c>
      <c r="L543" s="96" t="s">
        <v>537</v>
      </c>
      <c r="M543" s="25" t="s">
        <v>536</v>
      </c>
      <c r="N543" s="96" t="s">
        <v>535</v>
      </c>
      <c r="O543" s="96"/>
      <c r="P543" s="96"/>
      <c r="Q543" s="96" t="s">
        <v>60</v>
      </c>
      <c r="R543" s="95">
        <v>0</v>
      </c>
      <c r="S543" s="103">
        <v>6039202</v>
      </c>
      <c r="T543" s="96">
        <v>600</v>
      </c>
      <c r="U543" s="96">
        <v>1011</v>
      </c>
      <c r="V543" s="96" t="s">
        <v>527</v>
      </c>
      <c r="W543" s="96">
        <v>0</v>
      </c>
      <c r="X543" s="96">
        <v>0</v>
      </c>
      <c r="Y543" s="96">
        <v>0</v>
      </c>
      <c r="Z543" s="71">
        <v>0</v>
      </c>
    </row>
    <row r="544" spans="1:26">
      <c r="A544" s="71">
        <v>6041001</v>
      </c>
      <c r="B544" s="96" t="s">
        <v>539</v>
      </c>
      <c r="C544" s="96"/>
      <c r="D544" s="96">
        <v>1</v>
      </c>
      <c r="E544" s="71">
        <v>3</v>
      </c>
      <c r="F544" s="96">
        <v>1001</v>
      </c>
      <c r="G544" s="71">
        <v>350</v>
      </c>
      <c r="H544" s="95">
        <v>10000</v>
      </c>
      <c r="I544" s="98">
        <v>0</v>
      </c>
      <c r="J544" s="95">
        <v>10000</v>
      </c>
      <c r="K544" s="96">
        <v>0</v>
      </c>
      <c r="L544" s="96" t="s">
        <v>539</v>
      </c>
      <c r="M544" s="71"/>
      <c r="N544" s="96" t="s">
        <v>539</v>
      </c>
      <c r="O544" s="96"/>
      <c r="P544" s="96"/>
      <c r="Q544" s="96" t="s">
        <v>227</v>
      </c>
      <c r="R544" s="95">
        <v>0</v>
      </c>
      <c r="S544" s="103">
        <v>0</v>
      </c>
      <c r="T544" s="96">
        <v>0</v>
      </c>
      <c r="U544" s="96">
        <v>1016</v>
      </c>
      <c r="V544" s="96">
        <v>800</v>
      </c>
      <c r="W544" s="96">
        <v>6041001</v>
      </c>
      <c r="X544" s="96">
        <v>500</v>
      </c>
      <c r="Y544" s="96">
        <v>350</v>
      </c>
      <c r="Z544" s="71">
        <v>0</v>
      </c>
    </row>
    <row r="545" spans="1:26">
      <c r="A545" s="71">
        <v>6041002</v>
      </c>
      <c r="B545" s="96" t="s">
        <v>92</v>
      </c>
      <c r="C545" s="96"/>
      <c r="D545" s="96">
        <v>2</v>
      </c>
      <c r="E545" s="71">
        <v>3</v>
      </c>
      <c r="F545" s="96">
        <v>3001</v>
      </c>
      <c r="G545" s="71">
        <v>350</v>
      </c>
      <c r="H545" s="96">
        <v>1670</v>
      </c>
      <c r="I545" s="98">
        <v>0</v>
      </c>
      <c r="J545" s="96">
        <v>10000</v>
      </c>
      <c r="K545" s="96">
        <v>1041002</v>
      </c>
      <c r="L545" s="96" t="s">
        <v>541</v>
      </c>
      <c r="M545" s="25" t="s">
        <v>540</v>
      </c>
      <c r="N545" s="96" t="s">
        <v>92</v>
      </c>
      <c r="O545" s="96"/>
      <c r="P545" s="96"/>
      <c r="Q545" s="96" t="s">
        <v>60</v>
      </c>
      <c r="R545" s="95">
        <v>0</v>
      </c>
      <c r="S545" s="103">
        <v>6041002</v>
      </c>
      <c r="T545" s="96">
        <v>700</v>
      </c>
      <c r="U545" s="96">
        <v>1016</v>
      </c>
      <c r="V545" s="96" t="s">
        <v>543</v>
      </c>
      <c r="W545" s="96">
        <v>0</v>
      </c>
      <c r="X545" s="96">
        <v>0</v>
      </c>
      <c r="Y545" s="96">
        <v>0</v>
      </c>
      <c r="Z545" s="71">
        <v>5002003</v>
      </c>
    </row>
    <row r="546" spans="1:26">
      <c r="A546" s="71">
        <v>6041101</v>
      </c>
      <c r="B546" s="96" t="s">
        <v>544</v>
      </c>
      <c r="C546" s="96"/>
      <c r="D546" s="96">
        <v>1</v>
      </c>
      <c r="E546" s="71">
        <v>3</v>
      </c>
      <c r="F546" s="96">
        <v>1001</v>
      </c>
      <c r="G546" s="71">
        <v>350</v>
      </c>
      <c r="H546" s="95">
        <v>10000</v>
      </c>
      <c r="I546" s="98">
        <v>0</v>
      </c>
      <c r="J546" s="95">
        <v>10000</v>
      </c>
      <c r="K546" s="96">
        <v>0</v>
      </c>
      <c r="L546" s="96" t="s">
        <v>544</v>
      </c>
      <c r="M546" s="71"/>
      <c r="N546" s="96" t="s">
        <v>544</v>
      </c>
      <c r="O546" s="96"/>
      <c r="P546" s="96"/>
      <c r="Q546" s="96" t="s">
        <v>227</v>
      </c>
      <c r="R546" s="95">
        <v>0</v>
      </c>
      <c r="S546" s="103">
        <v>0</v>
      </c>
      <c r="T546" s="96">
        <v>0</v>
      </c>
      <c r="U546" s="96">
        <v>1016</v>
      </c>
      <c r="V546" s="96">
        <v>700</v>
      </c>
      <c r="W546" s="96">
        <v>6041001</v>
      </c>
      <c r="X546" s="96">
        <v>400</v>
      </c>
      <c r="Y546" s="96">
        <v>350</v>
      </c>
      <c r="Z546" s="71">
        <v>0</v>
      </c>
    </row>
    <row r="547" spans="1:26">
      <c r="A547" s="71">
        <v>6041102</v>
      </c>
      <c r="B547" s="96" t="s">
        <v>545</v>
      </c>
      <c r="C547" s="96"/>
      <c r="D547" s="96">
        <v>2</v>
      </c>
      <c r="E547" s="71">
        <v>3</v>
      </c>
      <c r="F547" s="96">
        <v>3001</v>
      </c>
      <c r="G547" s="71">
        <v>350</v>
      </c>
      <c r="H547" s="96">
        <v>1670</v>
      </c>
      <c r="I547" s="98">
        <v>0</v>
      </c>
      <c r="J547" s="96">
        <v>10000</v>
      </c>
      <c r="K547" s="96">
        <v>1041002</v>
      </c>
      <c r="L547" s="96" t="s">
        <v>547</v>
      </c>
      <c r="M547" s="25" t="s">
        <v>546</v>
      </c>
      <c r="N547" s="96" t="s">
        <v>545</v>
      </c>
      <c r="O547" s="96"/>
      <c r="P547" s="96"/>
      <c r="Q547" s="96" t="s">
        <v>60</v>
      </c>
      <c r="R547" s="95">
        <v>0</v>
      </c>
      <c r="S547" s="103">
        <v>6041002</v>
      </c>
      <c r="T547" s="96">
        <v>700</v>
      </c>
      <c r="U547" s="96">
        <v>1016</v>
      </c>
      <c r="V547" s="96" t="s">
        <v>543</v>
      </c>
      <c r="W547" s="96">
        <v>0</v>
      </c>
      <c r="X547" s="96">
        <v>0</v>
      </c>
      <c r="Y547" s="96">
        <v>0</v>
      </c>
      <c r="Z547" s="71">
        <v>0</v>
      </c>
    </row>
    <row r="548" spans="1:26">
      <c r="A548" s="71">
        <v>6042001</v>
      </c>
      <c r="B548" s="96" t="s">
        <v>549</v>
      </c>
      <c r="C548" s="96"/>
      <c r="D548" s="96">
        <v>1</v>
      </c>
      <c r="E548" s="71">
        <v>3</v>
      </c>
      <c r="F548" s="96">
        <v>1001</v>
      </c>
      <c r="G548" s="71">
        <v>350</v>
      </c>
      <c r="H548" s="95">
        <v>10000</v>
      </c>
      <c r="I548" s="98">
        <v>0</v>
      </c>
      <c r="J548" s="95">
        <v>10000</v>
      </c>
      <c r="K548" s="96">
        <v>0</v>
      </c>
      <c r="L548" s="96" t="s">
        <v>549</v>
      </c>
      <c r="M548" s="71"/>
      <c r="N548" s="96" t="s">
        <v>549</v>
      </c>
      <c r="O548" s="96"/>
      <c r="P548" s="96"/>
      <c r="Q548" s="96" t="s">
        <v>227</v>
      </c>
      <c r="R548" s="95">
        <v>0</v>
      </c>
      <c r="S548" s="103">
        <v>0</v>
      </c>
      <c r="T548" s="96">
        <v>0</v>
      </c>
      <c r="U548" s="96">
        <v>1016</v>
      </c>
      <c r="V548" s="96">
        <v>700</v>
      </c>
      <c r="W548" s="96">
        <v>6042001</v>
      </c>
      <c r="X548" s="96">
        <v>400</v>
      </c>
      <c r="Y548" s="96">
        <v>350</v>
      </c>
      <c r="Z548" s="71">
        <v>0</v>
      </c>
    </row>
    <row r="549" spans="1:26">
      <c r="A549" s="71">
        <v>6042002</v>
      </c>
      <c r="B549" s="96" t="s">
        <v>550</v>
      </c>
      <c r="C549" s="96"/>
      <c r="D549" s="96">
        <v>2</v>
      </c>
      <c r="E549" s="71">
        <v>3</v>
      </c>
      <c r="F549" s="96">
        <v>3001</v>
      </c>
      <c r="G549" s="71">
        <v>350</v>
      </c>
      <c r="H549" s="96">
        <v>3330</v>
      </c>
      <c r="I549" s="98">
        <v>0</v>
      </c>
      <c r="J549" s="96">
        <v>10000</v>
      </c>
      <c r="K549" s="96">
        <v>1042002</v>
      </c>
      <c r="L549" s="96" t="s">
        <v>552</v>
      </c>
      <c r="M549" s="25" t="s">
        <v>551</v>
      </c>
      <c r="N549" s="96" t="s">
        <v>550</v>
      </c>
      <c r="O549" s="96"/>
      <c r="P549" s="96"/>
      <c r="Q549" s="96" t="s">
        <v>60</v>
      </c>
      <c r="R549" s="95">
        <v>0</v>
      </c>
      <c r="S549" s="103">
        <v>6042002</v>
      </c>
      <c r="T549" s="96">
        <v>900</v>
      </c>
      <c r="U549" s="96">
        <v>1016</v>
      </c>
      <c r="V549" s="96" t="s">
        <v>973</v>
      </c>
      <c r="W549" s="96">
        <v>0</v>
      </c>
      <c r="X549" s="96">
        <v>0</v>
      </c>
      <c r="Y549" s="96">
        <v>0</v>
      </c>
      <c r="Z549" s="71">
        <v>0</v>
      </c>
    </row>
    <row r="550" spans="1:26">
      <c r="A550" s="71">
        <v>6042101</v>
      </c>
      <c r="B550" s="96" t="s">
        <v>554</v>
      </c>
      <c r="C550" s="96"/>
      <c r="D550" s="96">
        <v>1</v>
      </c>
      <c r="E550" s="71">
        <v>3</v>
      </c>
      <c r="F550" s="96">
        <v>1001</v>
      </c>
      <c r="G550" s="71">
        <v>350</v>
      </c>
      <c r="H550" s="95">
        <v>10000</v>
      </c>
      <c r="I550" s="98">
        <v>0</v>
      </c>
      <c r="J550" s="95">
        <v>10000</v>
      </c>
      <c r="K550" s="96">
        <v>0</v>
      </c>
      <c r="L550" s="96" t="s">
        <v>554</v>
      </c>
      <c r="M550" s="71"/>
      <c r="N550" s="96" t="s">
        <v>554</v>
      </c>
      <c r="O550" s="96"/>
      <c r="P550" s="96"/>
      <c r="Q550" s="96" t="s">
        <v>227</v>
      </c>
      <c r="R550" s="95">
        <v>0</v>
      </c>
      <c r="S550" s="103">
        <v>0</v>
      </c>
      <c r="T550" s="96">
        <v>0</v>
      </c>
      <c r="U550" s="96">
        <v>1016</v>
      </c>
      <c r="V550" s="96">
        <v>700</v>
      </c>
      <c r="W550" s="96">
        <v>6042001</v>
      </c>
      <c r="X550" s="96">
        <v>400</v>
      </c>
      <c r="Y550" s="96">
        <v>350</v>
      </c>
      <c r="Z550" s="71">
        <v>0</v>
      </c>
    </row>
    <row r="551" spans="1:26">
      <c r="A551" s="71">
        <v>6042102</v>
      </c>
      <c r="B551" s="96" t="s">
        <v>555</v>
      </c>
      <c r="C551" s="96"/>
      <c r="D551" s="96">
        <v>2</v>
      </c>
      <c r="E551" s="71">
        <v>3</v>
      </c>
      <c r="F551" s="96">
        <v>3001</v>
      </c>
      <c r="G551" s="71">
        <v>350</v>
      </c>
      <c r="H551" s="96">
        <v>3330</v>
      </c>
      <c r="I551" s="98">
        <v>0</v>
      </c>
      <c r="J551" s="96">
        <v>10000</v>
      </c>
      <c r="K551" s="96">
        <v>1042002</v>
      </c>
      <c r="L551" s="96" t="s">
        <v>557</v>
      </c>
      <c r="M551" s="25" t="s">
        <v>556</v>
      </c>
      <c r="N551" s="96" t="s">
        <v>555</v>
      </c>
      <c r="O551" s="96"/>
      <c r="P551" s="96"/>
      <c r="Q551" s="96" t="s">
        <v>60</v>
      </c>
      <c r="R551" s="95">
        <v>0</v>
      </c>
      <c r="S551" s="103">
        <v>6042002</v>
      </c>
      <c r="T551" s="96">
        <v>500</v>
      </c>
      <c r="U551" s="96">
        <v>1016</v>
      </c>
      <c r="V551" s="96" t="s">
        <v>559</v>
      </c>
      <c r="W551" s="96">
        <v>0</v>
      </c>
      <c r="X551" s="96">
        <v>0</v>
      </c>
      <c r="Y551" s="96">
        <v>0</v>
      </c>
      <c r="Z551" s="71">
        <v>0</v>
      </c>
    </row>
    <row r="552" spans="1:26">
      <c r="A552" s="71">
        <v>6045001</v>
      </c>
      <c r="B552" s="96" t="s">
        <v>560</v>
      </c>
      <c r="C552" s="96"/>
      <c r="D552" s="96">
        <v>1</v>
      </c>
      <c r="E552" s="71">
        <v>3</v>
      </c>
      <c r="F552" s="96">
        <v>1001</v>
      </c>
      <c r="G552" s="71">
        <v>350</v>
      </c>
      <c r="H552" s="95">
        <v>10000</v>
      </c>
      <c r="I552" s="98">
        <v>0</v>
      </c>
      <c r="J552" s="95">
        <v>10000</v>
      </c>
      <c r="K552" s="96">
        <v>0</v>
      </c>
      <c r="L552" s="96" t="s">
        <v>560</v>
      </c>
      <c r="M552" s="71"/>
      <c r="N552" s="96" t="s">
        <v>560</v>
      </c>
      <c r="O552" s="96"/>
      <c r="P552" s="96"/>
      <c r="Q552" s="96" t="s">
        <v>227</v>
      </c>
      <c r="R552" s="95">
        <v>0</v>
      </c>
      <c r="S552" s="103">
        <v>0</v>
      </c>
      <c r="T552" s="96">
        <v>0</v>
      </c>
      <c r="U552" s="96">
        <v>1015</v>
      </c>
      <c r="V552" s="96">
        <v>700</v>
      </c>
      <c r="W552" s="96">
        <v>6045001</v>
      </c>
      <c r="X552" s="96">
        <v>400</v>
      </c>
      <c r="Y552" s="96">
        <v>350</v>
      </c>
      <c r="Z552" s="71">
        <v>0</v>
      </c>
    </row>
    <row r="553" spans="1:26">
      <c r="A553" s="71">
        <v>6045002</v>
      </c>
      <c r="B553" s="96" t="s">
        <v>561</v>
      </c>
      <c r="C553" s="96"/>
      <c r="D553" s="96">
        <v>2</v>
      </c>
      <c r="E553" s="71">
        <v>3</v>
      </c>
      <c r="F553" s="96">
        <v>3001</v>
      </c>
      <c r="G553" s="71">
        <v>350</v>
      </c>
      <c r="H553" s="95">
        <v>10000</v>
      </c>
      <c r="I553" s="98">
        <v>0</v>
      </c>
      <c r="J553" s="96">
        <v>10000</v>
      </c>
      <c r="K553" s="96">
        <v>1045002</v>
      </c>
      <c r="L553" s="96" t="s">
        <v>563</v>
      </c>
      <c r="M553" s="25" t="s">
        <v>562</v>
      </c>
      <c r="N553" s="96" t="s">
        <v>561</v>
      </c>
      <c r="O553" s="96"/>
      <c r="P553" s="96"/>
      <c r="Q553" s="96" t="s">
        <v>60</v>
      </c>
      <c r="R553" s="95">
        <v>0</v>
      </c>
      <c r="S553" s="103">
        <v>6045002</v>
      </c>
      <c r="T553" s="96">
        <v>2000</v>
      </c>
      <c r="U553" s="96">
        <v>1015</v>
      </c>
      <c r="V553" s="96">
        <v>2650</v>
      </c>
      <c r="W553" s="96">
        <v>0</v>
      </c>
      <c r="X553" s="96">
        <v>0</v>
      </c>
      <c r="Y553" s="96">
        <v>0</v>
      </c>
      <c r="Z553" s="71">
        <v>0</v>
      </c>
    </row>
    <row r="554" spans="1:26">
      <c r="A554" s="71">
        <v>6045101</v>
      </c>
      <c r="B554" s="96" t="s">
        <v>565</v>
      </c>
      <c r="C554" s="96"/>
      <c r="D554" s="96">
        <v>1</v>
      </c>
      <c r="E554" s="71">
        <v>3</v>
      </c>
      <c r="F554" s="96">
        <v>1001</v>
      </c>
      <c r="G554" s="71">
        <v>350</v>
      </c>
      <c r="H554" s="95">
        <v>10000</v>
      </c>
      <c r="I554" s="98">
        <v>0</v>
      </c>
      <c r="J554" s="95">
        <v>10000</v>
      </c>
      <c r="K554" s="96">
        <v>0</v>
      </c>
      <c r="L554" s="96" t="s">
        <v>565</v>
      </c>
      <c r="M554" s="71"/>
      <c r="N554" s="96" t="s">
        <v>565</v>
      </c>
      <c r="O554" s="96"/>
      <c r="P554" s="96"/>
      <c r="Q554" s="96" t="s">
        <v>227</v>
      </c>
      <c r="R554" s="95">
        <v>0</v>
      </c>
      <c r="S554" s="103">
        <v>0</v>
      </c>
      <c r="T554" s="96">
        <v>0</v>
      </c>
      <c r="U554" s="96">
        <v>1015</v>
      </c>
      <c r="V554" s="96">
        <v>700</v>
      </c>
      <c r="W554" s="96">
        <v>6045001</v>
      </c>
      <c r="X554" s="96">
        <v>400</v>
      </c>
      <c r="Y554" s="96">
        <v>350</v>
      </c>
      <c r="Z554" s="71">
        <v>0</v>
      </c>
    </row>
    <row r="555" spans="1:26">
      <c r="A555" s="71">
        <v>6045102</v>
      </c>
      <c r="B555" s="96" t="s">
        <v>213</v>
      </c>
      <c r="C555" s="96"/>
      <c r="D555" s="96">
        <v>2</v>
      </c>
      <c r="E555" s="71">
        <v>3</v>
      </c>
      <c r="F555" s="96">
        <v>3001</v>
      </c>
      <c r="G555" s="71">
        <v>350</v>
      </c>
      <c r="H555" s="96">
        <v>1670</v>
      </c>
      <c r="I555" s="98">
        <v>0</v>
      </c>
      <c r="J555" s="96">
        <v>10000</v>
      </c>
      <c r="K555" s="96">
        <v>1045102</v>
      </c>
      <c r="L555" s="96" t="s">
        <v>567</v>
      </c>
      <c r="M555" s="25" t="s">
        <v>566</v>
      </c>
      <c r="N555" s="96" t="s">
        <v>213</v>
      </c>
      <c r="O555" s="96"/>
      <c r="P555" s="96"/>
      <c r="Q555" s="96" t="s">
        <v>60</v>
      </c>
      <c r="R555" s="95">
        <v>0</v>
      </c>
      <c r="S555" s="103">
        <v>6045102</v>
      </c>
      <c r="T555" s="96">
        <v>800</v>
      </c>
      <c r="U555" s="96">
        <v>1015</v>
      </c>
      <c r="V555" s="96" t="s">
        <v>569</v>
      </c>
      <c r="W555" s="96">
        <v>0</v>
      </c>
      <c r="X555" s="96">
        <v>0</v>
      </c>
      <c r="Y555" s="96">
        <v>0</v>
      </c>
      <c r="Z555" s="71">
        <v>5007003</v>
      </c>
    </row>
    <row r="556" spans="1:26">
      <c r="A556" s="71">
        <v>6046001</v>
      </c>
      <c r="B556" s="96" t="s">
        <v>570</v>
      </c>
      <c r="C556" s="96"/>
      <c r="D556" s="96">
        <v>1</v>
      </c>
      <c r="E556" s="71">
        <v>3</v>
      </c>
      <c r="F556" s="96">
        <v>1001</v>
      </c>
      <c r="G556" s="71">
        <v>350</v>
      </c>
      <c r="H556" s="95">
        <v>10000</v>
      </c>
      <c r="I556" s="98">
        <v>0</v>
      </c>
      <c r="J556" s="95">
        <v>10000</v>
      </c>
      <c r="K556" s="96">
        <v>0</v>
      </c>
      <c r="L556" s="96" t="s">
        <v>570</v>
      </c>
      <c r="M556" s="71"/>
      <c r="N556" s="96" t="s">
        <v>570</v>
      </c>
      <c r="O556" s="96"/>
      <c r="P556" s="96"/>
      <c r="Q556" s="96" t="s">
        <v>227</v>
      </c>
      <c r="R556" s="95">
        <v>0</v>
      </c>
      <c r="S556" s="103">
        <v>0</v>
      </c>
      <c r="T556" s="96">
        <v>0</v>
      </c>
      <c r="U556" s="96">
        <v>1015</v>
      </c>
      <c r="V556" s="96">
        <v>800</v>
      </c>
      <c r="W556" s="96">
        <v>6046001</v>
      </c>
      <c r="X556" s="96">
        <v>500</v>
      </c>
      <c r="Y556" s="96">
        <v>350</v>
      </c>
      <c r="Z556" s="71">
        <v>0</v>
      </c>
    </row>
    <row r="557" spans="1:26">
      <c r="A557" s="71">
        <v>6046002</v>
      </c>
      <c r="B557" s="96" t="s">
        <v>571</v>
      </c>
      <c r="C557" s="96"/>
      <c r="D557" s="96">
        <v>2</v>
      </c>
      <c r="E557" s="71">
        <v>3</v>
      </c>
      <c r="F557" s="96">
        <v>3001</v>
      </c>
      <c r="G557" s="71">
        <v>350</v>
      </c>
      <c r="H557" s="96">
        <v>2000</v>
      </c>
      <c r="I557" s="98">
        <v>0</v>
      </c>
      <c r="J557" s="96">
        <v>10000</v>
      </c>
      <c r="K557" s="96">
        <v>1046002</v>
      </c>
      <c r="L557" s="96" t="s">
        <v>573</v>
      </c>
      <c r="M557" s="25" t="s">
        <v>572</v>
      </c>
      <c r="N557" s="96" t="s">
        <v>571</v>
      </c>
      <c r="O557" s="96"/>
      <c r="P557" s="96"/>
      <c r="Q557" s="96" t="s">
        <v>60</v>
      </c>
      <c r="R557" s="95">
        <v>0</v>
      </c>
      <c r="S557" s="103">
        <v>6046002</v>
      </c>
      <c r="T557" s="96">
        <v>1000</v>
      </c>
      <c r="U557" s="96">
        <v>1015</v>
      </c>
      <c r="V557" s="96" t="s">
        <v>974</v>
      </c>
      <c r="W557" s="96">
        <v>0</v>
      </c>
      <c r="X557" s="96">
        <v>0</v>
      </c>
      <c r="Y557" s="96">
        <v>0</v>
      </c>
      <c r="Z557" s="71">
        <v>0</v>
      </c>
    </row>
    <row r="558" spans="1:26">
      <c r="A558" s="71">
        <v>6046101</v>
      </c>
      <c r="B558" s="96" t="s">
        <v>576</v>
      </c>
      <c r="C558" s="96"/>
      <c r="D558" s="96">
        <v>1</v>
      </c>
      <c r="E558" s="71">
        <v>3</v>
      </c>
      <c r="F558" s="96">
        <v>1001</v>
      </c>
      <c r="G558" s="71">
        <v>350</v>
      </c>
      <c r="H558" s="95">
        <v>10000</v>
      </c>
      <c r="I558" s="98">
        <v>0</v>
      </c>
      <c r="J558" s="95">
        <v>10000</v>
      </c>
      <c r="K558" s="96">
        <v>0</v>
      </c>
      <c r="L558" s="96" t="s">
        <v>576</v>
      </c>
      <c r="M558" s="71"/>
      <c r="N558" s="96" t="s">
        <v>576</v>
      </c>
      <c r="O558" s="96"/>
      <c r="P558" s="96"/>
      <c r="Q558" s="96" t="s">
        <v>227</v>
      </c>
      <c r="R558" s="95">
        <v>0</v>
      </c>
      <c r="S558" s="103">
        <v>0</v>
      </c>
      <c r="T558" s="96">
        <v>0</v>
      </c>
      <c r="U558" s="96">
        <v>1015</v>
      </c>
      <c r="V558" s="96">
        <v>700</v>
      </c>
      <c r="W558" s="96">
        <v>6046001</v>
      </c>
      <c r="X558" s="96">
        <v>400</v>
      </c>
      <c r="Y558" s="96">
        <v>350</v>
      </c>
      <c r="Z558" s="71">
        <v>0</v>
      </c>
    </row>
    <row r="559" spans="1:26">
      <c r="A559" s="71">
        <v>6046102</v>
      </c>
      <c r="B559" s="96" t="s">
        <v>68</v>
      </c>
      <c r="C559" s="96"/>
      <c r="D559" s="96">
        <v>2</v>
      </c>
      <c r="E559" s="71">
        <v>3</v>
      </c>
      <c r="F559" s="96">
        <v>3001</v>
      </c>
      <c r="G559" s="71">
        <v>350</v>
      </c>
      <c r="H559" s="96">
        <v>2000</v>
      </c>
      <c r="I559" s="98">
        <v>0</v>
      </c>
      <c r="J559" s="96">
        <v>10000</v>
      </c>
      <c r="K559" s="96">
        <v>1046002</v>
      </c>
      <c r="L559" s="96" t="s">
        <v>578</v>
      </c>
      <c r="M559" s="25" t="s">
        <v>577</v>
      </c>
      <c r="N559" s="96" t="s">
        <v>68</v>
      </c>
      <c r="O559" s="96"/>
      <c r="P559" s="96"/>
      <c r="Q559" s="96" t="s">
        <v>60</v>
      </c>
      <c r="R559" s="95">
        <v>0</v>
      </c>
      <c r="S559" s="103">
        <v>6046002</v>
      </c>
      <c r="T559" s="96">
        <v>800</v>
      </c>
      <c r="U559" s="96">
        <v>1015</v>
      </c>
      <c r="V559" s="96" t="s">
        <v>974</v>
      </c>
      <c r="W559" s="96">
        <v>0</v>
      </c>
      <c r="X559" s="96">
        <v>0</v>
      </c>
      <c r="Y559" s="96">
        <v>0</v>
      </c>
      <c r="Z559" s="71">
        <v>5001003</v>
      </c>
    </row>
    <row r="560" spans="1:26">
      <c r="A560" s="71">
        <v>6047001</v>
      </c>
      <c r="B560" s="96" t="s">
        <v>581</v>
      </c>
      <c r="C560" s="96"/>
      <c r="D560" s="96">
        <v>1</v>
      </c>
      <c r="E560" s="71">
        <v>3</v>
      </c>
      <c r="F560" s="96">
        <v>1001</v>
      </c>
      <c r="G560" s="71">
        <v>350</v>
      </c>
      <c r="H560" s="95">
        <v>10000</v>
      </c>
      <c r="I560" s="98">
        <v>0</v>
      </c>
      <c r="J560" s="95">
        <v>10000</v>
      </c>
      <c r="K560" s="96">
        <v>0</v>
      </c>
      <c r="L560" s="96" t="s">
        <v>581</v>
      </c>
      <c r="M560" s="71"/>
      <c r="N560" s="96" t="s">
        <v>581</v>
      </c>
      <c r="O560" s="96"/>
      <c r="P560" s="96"/>
      <c r="Q560" s="96" t="s">
        <v>227</v>
      </c>
      <c r="R560" s="95">
        <v>0</v>
      </c>
      <c r="S560" s="103">
        <v>0</v>
      </c>
      <c r="T560" s="96">
        <v>0</v>
      </c>
      <c r="U560" s="96">
        <v>1015</v>
      </c>
      <c r="V560" s="96">
        <v>700</v>
      </c>
      <c r="W560" s="96">
        <v>6047001</v>
      </c>
      <c r="X560" s="96">
        <v>400</v>
      </c>
      <c r="Y560" s="96">
        <v>350</v>
      </c>
      <c r="Z560" s="71">
        <v>0</v>
      </c>
    </row>
    <row r="561" spans="1:26">
      <c r="A561" s="71">
        <v>6047002</v>
      </c>
      <c r="B561" s="96" t="s">
        <v>582</v>
      </c>
      <c r="C561" s="96"/>
      <c r="D561" s="96">
        <v>2</v>
      </c>
      <c r="E561" s="71">
        <v>3</v>
      </c>
      <c r="F561" s="96">
        <v>3001</v>
      </c>
      <c r="G561" s="71">
        <v>350</v>
      </c>
      <c r="H561" s="96">
        <v>2500</v>
      </c>
      <c r="I561" s="98">
        <v>0</v>
      </c>
      <c r="J561" s="96">
        <v>10000</v>
      </c>
      <c r="K561" s="96">
        <v>1047002</v>
      </c>
      <c r="L561" s="96" t="s">
        <v>584</v>
      </c>
      <c r="M561" s="25" t="s">
        <v>583</v>
      </c>
      <c r="N561" s="96" t="s">
        <v>582</v>
      </c>
      <c r="O561" s="96"/>
      <c r="P561" s="96"/>
      <c r="Q561" s="96" t="s">
        <v>60</v>
      </c>
      <c r="R561" s="95">
        <v>0</v>
      </c>
      <c r="S561" s="103">
        <v>6047002</v>
      </c>
      <c r="T561" s="96">
        <v>500</v>
      </c>
      <c r="U561" s="96">
        <v>1015</v>
      </c>
      <c r="V561" s="96" t="s">
        <v>586</v>
      </c>
      <c r="W561" s="96">
        <v>0</v>
      </c>
      <c r="X561" s="96">
        <v>0</v>
      </c>
      <c r="Y561" s="96">
        <v>0</v>
      </c>
      <c r="Z561" s="71">
        <v>0</v>
      </c>
    </row>
    <row r="562" spans="1:26">
      <c r="A562" s="71">
        <v>6047101</v>
      </c>
      <c r="B562" s="96" t="s">
        <v>587</v>
      </c>
      <c r="C562" s="96"/>
      <c r="D562" s="96">
        <v>1</v>
      </c>
      <c r="E562" s="71">
        <v>3</v>
      </c>
      <c r="F562" s="96">
        <v>1001</v>
      </c>
      <c r="G562" s="71">
        <v>350</v>
      </c>
      <c r="H562" s="95">
        <v>10000</v>
      </c>
      <c r="I562" s="98">
        <v>0</v>
      </c>
      <c r="J562" s="95">
        <v>10000</v>
      </c>
      <c r="K562" s="96">
        <v>0</v>
      </c>
      <c r="L562" s="96" t="s">
        <v>587</v>
      </c>
      <c r="M562" s="71"/>
      <c r="N562" s="96" t="s">
        <v>587</v>
      </c>
      <c r="O562" s="96"/>
      <c r="P562" s="96"/>
      <c r="Q562" s="96" t="s">
        <v>227</v>
      </c>
      <c r="R562" s="95">
        <v>0</v>
      </c>
      <c r="S562" s="103">
        <v>0</v>
      </c>
      <c r="T562" s="96">
        <v>0</v>
      </c>
      <c r="U562" s="96">
        <v>1015</v>
      </c>
      <c r="V562" s="96">
        <v>700</v>
      </c>
      <c r="W562" s="96">
        <v>6047001</v>
      </c>
      <c r="X562" s="96">
        <v>400</v>
      </c>
      <c r="Y562" s="96">
        <v>350</v>
      </c>
      <c r="Z562" s="71">
        <v>0</v>
      </c>
    </row>
    <row r="563" spans="1:26">
      <c r="A563" s="71">
        <v>6047102</v>
      </c>
      <c r="B563" s="96" t="s">
        <v>588</v>
      </c>
      <c r="C563" s="96"/>
      <c r="D563" s="96">
        <v>2</v>
      </c>
      <c r="E563" s="71">
        <v>3</v>
      </c>
      <c r="F563" s="96">
        <v>3001</v>
      </c>
      <c r="G563" s="71">
        <v>350</v>
      </c>
      <c r="H563" s="96">
        <v>2500</v>
      </c>
      <c r="I563" s="98">
        <v>0</v>
      </c>
      <c r="J563" s="96">
        <v>10000</v>
      </c>
      <c r="K563" s="96">
        <v>1047002</v>
      </c>
      <c r="L563" s="96" t="s">
        <v>590</v>
      </c>
      <c r="M563" s="25" t="s">
        <v>589</v>
      </c>
      <c r="N563" s="96" t="s">
        <v>588</v>
      </c>
      <c r="O563" s="96"/>
      <c r="P563" s="96"/>
      <c r="Q563" s="96" t="s">
        <v>60</v>
      </c>
      <c r="R563" s="95">
        <v>0</v>
      </c>
      <c r="S563" s="103">
        <v>6047002</v>
      </c>
      <c r="T563" s="96">
        <v>900</v>
      </c>
      <c r="U563" s="96">
        <v>1015</v>
      </c>
      <c r="V563" s="96" t="s">
        <v>592</v>
      </c>
      <c r="W563" s="96">
        <v>0</v>
      </c>
      <c r="X563" s="96">
        <v>0</v>
      </c>
      <c r="Y563" s="96">
        <v>0</v>
      </c>
      <c r="Z563" s="71">
        <v>0</v>
      </c>
    </row>
    <row r="564" spans="1:26">
      <c r="A564" s="71">
        <v>6050001</v>
      </c>
      <c r="B564" s="96" t="s">
        <v>593</v>
      </c>
      <c r="C564" s="96"/>
      <c r="D564" s="96">
        <v>1</v>
      </c>
      <c r="E564" s="71">
        <v>3</v>
      </c>
      <c r="F564" s="96">
        <v>1001</v>
      </c>
      <c r="G564" s="71">
        <v>350</v>
      </c>
      <c r="H564" s="95">
        <v>10000</v>
      </c>
      <c r="I564" s="98">
        <v>0</v>
      </c>
      <c r="J564" s="95">
        <v>10000</v>
      </c>
      <c r="K564" s="96">
        <v>0</v>
      </c>
      <c r="L564" s="96" t="s">
        <v>593</v>
      </c>
      <c r="M564" s="71"/>
      <c r="N564" s="96" t="s">
        <v>593</v>
      </c>
      <c r="O564" s="96"/>
      <c r="P564" s="96"/>
      <c r="Q564" s="96" t="s">
        <v>227</v>
      </c>
      <c r="R564" s="95">
        <v>0</v>
      </c>
      <c r="S564" s="103">
        <v>0</v>
      </c>
      <c r="T564" s="96">
        <v>0</v>
      </c>
      <c r="U564" s="96">
        <v>1012</v>
      </c>
      <c r="V564" s="96">
        <v>700</v>
      </c>
      <c r="W564" s="96">
        <v>6050001</v>
      </c>
      <c r="X564" s="96">
        <v>400</v>
      </c>
      <c r="Y564" s="96">
        <v>350</v>
      </c>
      <c r="Z564" s="71">
        <v>0</v>
      </c>
    </row>
    <row r="565" spans="1:26">
      <c r="A565" s="71">
        <v>6050002</v>
      </c>
      <c r="B565" s="96" t="s">
        <v>594</v>
      </c>
      <c r="C565" s="96"/>
      <c r="D565" s="96">
        <v>2</v>
      </c>
      <c r="E565" s="71">
        <v>3</v>
      </c>
      <c r="F565" s="96">
        <v>3001</v>
      </c>
      <c r="G565" s="71">
        <v>350</v>
      </c>
      <c r="H565" s="96">
        <v>1110</v>
      </c>
      <c r="I565" s="98">
        <v>0</v>
      </c>
      <c r="J565" s="96">
        <v>10000</v>
      </c>
      <c r="K565" s="96">
        <v>1050002</v>
      </c>
      <c r="L565" s="96" t="s">
        <v>596</v>
      </c>
      <c r="M565" s="25" t="s">
        <v>595</v>
      </c>
      <c r="N565" s="96" t="s">
        <v>594</v>
      </c>
      <c r="O565" s="96"/>
      <c r="P565" s="96"/>
      <c r="Q565" s="96" t="s">
        <v>60</v>
      </c>
      <c r="R565" s="95">
        <v>0</v>
      </c>
      <c r="S565" s="103">
        <v>6050002</v>
      </c>
      <c r="T565" s="96">
        <v>1000</v>
      </c>
      <c r="U565" s="96">
        <v>1012</v>
      </c>
      <c r="V565" s="96" t="s">
        <v>598</v>
      </c>
      <c r="W565" s="96">
        <v>0</v>
      </c>
      <c r="X565" s="96">
        <v>0</v>
      </c>
      <c r="Y565" s="96">
        <v>0</v>
      </c>
      <c r="Z565" s="71">
        <v>0</v>
      </c>
    </row>
    <row r="566" spans="1:26">
      <c r="A566" s="71">
        <v>6050101</v>
      </c>
      <c r="B566" s="96" t="s">
        <v>599</v>
      </c>
      <c r="C566" s="96"/>
      <c r="D566" s="96">
        <v>1</v>
      </c>
      <c r="E566" s="71">
        <v>3</v>
      </c>
      <c r="F566" s="96">
        <v>1001</v>
      </c>
      <c r="G566" s="71">
        <v>350</v>
      </c>
      <c r="H566" s="95">
        <v>10000</v>
      </c>
      <c r="I566" s="98">
        <v>0</v>
      </c>
      <c r="J566" s="95">
        <v>10000</v>
      </c>
      <c r="K566" s="96">
        <v>0</v>
      </c>
      <c r="L566" s="96" t="s">
        <v>599</v>
      </c>
      <c r="M566" s="71"/>
      <c r="N566" s="96" t="s">
        <v>599</v>
      </c>
      <c r="O566" s="96"/>
      <c r="P566" s="96"/>
      <c r="Q566" s="96" t="s">
        <v>227</v>
      </c>
      <c r="R566" s="95">
        <v>0</v>
      </c>
      <c r="S566" s="103">
        <v>0</v>
      </c>
      <c r="T566" s="96">
        <v>0</v>
      </c>
      <c r="U566" s="96">
        <v>1012</v>
      </c>
      <c r="V566" s="96">
        <v>700</v>
      </c>
      <c r="W566" s="96">
        <v>6050001</v>
      </c>
      <c r="X566" s="96">
        <v>400</v>
      </c>
      <c r="Y566" s="96">
        <v>350</v>
      </c>
      <c r="Z566" s="71">
        <v>0</v>
      </c>
    </row>
    <row r="567" spans="1:26">
      <c r="A567" s="71">
        <v>6050102</v>
      </c>
      <c r="B567" s="96" t="s">
        <v>600</v>
      </c>
      <c r="C567" s="96"/>
      <c r="D567" s="96">
        <v>2</v>
      </c>
      <c r="E567" s="71">
        <v>3</v>
      </c>
      <c r="F567" s="96">
        <v>3001</v>
      </c>
      <c r="G567" s="71">
        <v>350</v>
      </c>
      <c r="H567" s="96">
        <v>1110</v>
      </c>
      <c r="I567" s="98">
        <v>0</v>
      </c>
      <c r="J567" s="96">
        <v>10000</v>
      </c>
      <c r="K567" s="96">
        <v>1050002</v>
      </c>
      <c r="L567" s="96" t="s">
        <v>602</v>
      </c>
      <c r="M567" s="25" t="s">
        <v>601</v>
      </c>
      <c r="N567" s="96" t="s">
        <v>600</v>
      </c>
      <c r="O567" s="96"/>
      <c r="P567" s="96"/>
      <c r="Q567" s="96" t="s">
        <v>60</v>
      </c>
      <c r="R567" s="95">
        <v>0</v>
      </c>
      <c r="S567" s="103">
        <v>6050002</v>
      </c>
      <c r="T567" s="96">
        <v>400</v>
      </c>
      <c r="U567" s="96">
        <v>1012</v>
      </c>
      <c r="V567" s="96" t="s">
        <v>604</v>
      </c>
      <c r="W567" s="96">
        <v>0</v>
      </c>
      <c r="X567" s="96">
        <v>0</v>
      </c>
      <c r="Y567" s="96">
        <v>0</v>
      </c>
      <c r="Z567" s="71">
        <v>0</v>
      </c>
    </row>
    <row r="568" spans="1:26">
      <c r="A568" s="71">
        <v>6051001</v>
      </c>
      <c r="B568" s="96" t="s">
        <v>605</v>
      </c>
      <c r="C568" s="96"/>
      <c r="D568" s="96">
        <v>1</v>
      </c>
      <c r="E568" s="71">
        <v>3</v>
      </c>
      <c r="F568" s="96">
        <v>1001</v>
      </c>
      <c r="G568" s="71">
        <v>350</v>
      </c>
      <c r="H568" s="95">
        <v>10000</v>
      </c>
      <c r="I568" s="98">
        <v>0</v>
      </c>
      <c r="J568" s="95">
        <v>10000</v>
      </c>
      <c r="K568" s="96">
        <v>0</v>
      </c>
      <c r="L568" s="96" t="s">
        <v>605</v>
      </c>
      <c r="M568" s="71"/>
      <c r="N568" s="96" t="s">
        <v>605</v>
      </c>
      <c r="O568" s="96"/>
      <c r="P568" s="96"/>
      <c r="Q568" s="96" t="s">
        <v>227</v>
      </c>
      <c r="R568" s="95">
        <v>0</v>
      </c>
      <c r="S568" s="103">
        <v>0</v>
      </c>
      <c r="T568" s="96">
        <v>0</v>
      </c>
      <c r="U568" s="96">
        <v>1015</v>
      </c>
      <c r="V568" s="96">
        <v>700</v>
      </c>
      <c r="W568" s="96">
        <v>6051001</v>
      </c>
      <c r="X568" s="96">
        <v>400</v>
      </c>
      <c r="Y568" s="96">
        <v>350</v>
      </c>
      <c r="Z568" s="71">
        <v>0</v>
      </c>
    </row>
    <row r="569" spans="1:26">
      <c r="A569" s="71">
        <v>6051002</v>
      </c>
      <c r="B569" s="96" t="s">
        <v>606</v>
      </c>
      <c r="C569" s="96"/>
      <c r="D569" s="96">
        <v>2</v>
      </c>
      <c r="E569" s="71">
        <v>3</v>
      </c>
      <c r="F569" s="96">
        <v>3001</v>
      </c>
      <c r="G569" s="71">
        <v>350</v>
      </c>
      <c r="H569" s="96">
        <v>1430</v>
      </c>
      <c r="I569" s="98">
        <v>0</v>
      </c>
      <c r="J569" s="96">
        <v>10000</v>
      </c>
      <c r="K569" s="96">
        <v>1051002</v>
      </c>
      <c r="L569" s="96" t="s">
        <v>608</v>
      </c>
      <c r="M569" s="25" t="s">
        <v>607</v>
      </c>
      <c r="N569" s="96" t="s">
        <v>606</v>
      </c>
      <c r="O569" s="96"/>
      <c r="P569" s="96"/>
      <c r="Q569" s="96" t="s">
        <v>60</v>
      </c>
      <c r="R569" s="95">
        <v>0</v>
      </c>
      <c r="S569" s="103">
        <v>6051002</v>
      </c>
      <c r="T569" s="96">
        <v>700</v>
      </c>
      <c r="U569" s="96">
        <v>1015</v>
      </c>
      <c r="V569" s="96" t="s">
        <v>610</v>
      </c>
      <c r="W569" s="96">
        <v>0</v>
      </c>
      <c r="X569" s="96">
        <v>0</v>
      </c>
      <c r="Y569" s="96">
        <v>0</v>
      </c>
      <c r="Z569" s="71">
        <v>0</v>
      </c>
    </row>
    <row r="570" spans="1:26">
      <c r="A570" s="71">
        <v>6051101</v>
      </c>
      <c r="B570" s="96" t="s">
        <v>611</v>
      </c>
      <c r="C570" s="96"/>
      <c r="D570" s="96">
        <v>1</v>
      </c>
      <c r="E570" s="71">
        <v>3</v>
      </c>
      <c r="F570" s="96">
        <v>1001</v>
      </c>
      <c r="G570" s="71">
        <v>350</v>
      </c>
      <c r="H570" s="95">
        <v>10000</v>
      </c>
      <c r="I570" s="98">
        <v>0</v>
      </c>
      <c r="J570" s="95">
        <v>10000</v>
      </c>
      <c r="K570" s="96">
        <v>0</v>
      </c>
      <c r="L570" s="96" t="s">
        <v>611</v>
      </c>
      <c r="M570" s="71"/>
      <c r="N570" s="96" t="s">
        <v>611</v>
      </c>
      <c r="O570" s="96"/>
      <c r="P570" s="96"/>
      <c r="Q570" s="96" t="s">
        <v>227</v>
      </c>
      <c r="R570" s="95">
        <v>0</v>
      </c>
      <c r="S570" s="103">
        <v>0</v>
      </c>
      <c r="T570" s="96">
        <v>0</v>
      </c>
      <c r="U570" s="96">
        <v>1015</v>
      </c>
      <c r="V570" s="96">
        <v>700</v>
      </c>
      <c r="W570" s="96">
        <v>6051001</v>
      </c>
      <c r="X570" s="96">
        <v>400</v>
      </c>
      <c r="Y570" s="96">
        <v>350</v>
      </c>
      <c r="Z570" s="71">
        <v>0</v>
      </c>
    </row>
    <row r="571" spans="1:26">
      <c r="A571" s="71">
        <v>6051102</v>
      </c>
      <c r="B571" s="96" t="s">
        <v>97</v>
      </c>
      <c r="C571" s="96"/>
      <c r="D571" s="96">
        <v>2</v>
      </c>
      <c r="E571" s="71">
        <v>3</v>
      </c>
      <c r="F571" s="96">
        <v>3001</v>
      </c>
      <c r="G571" s="71">
        <v>350</v>
      </c>
      <c r="H571" s="96">
        <v>1430</v>
      </c>
      <c r="I571" s="98">
        <v>0</v>
      </c>
      <c r="J571" s="96">
        <v>10000</v>
      </c>
      <c r="K571" s="96">
        <v>1051002</v>
      </c>
      <c r="L571" s="96" t="s">
        <v>613</v>
      </c>
      <c r="M571" s="25" t="s">
        <v>612</v>
      </c>
      <c r="N571" s="96" t="s">
        <v>97</v>
      </c>
      <c r="O571" s="96"/>
      <c r="P571" s="96"/>
      <c r="Q571" s="96" t="s">
        <v>60</v>
      </c>
      <c r="R571" s="95">
        <v>0</v>
      </c>
      <c r="S571" s="103">
        <v>6051002</v>
      </c>
      <c r="T571" s="96">
        <v>700</v>
      </c>
      <c r="U571" s="96">
        <v>1015</v>
      </c>
      <c r="V571" s="96" t="s">
        <v>610</v>
      </c>
      <c r="W571" s="96">
        <v>0</v>
      </c>
      <c r="X571" s="96">
        <v>0</v>
      </c>
      <c r="Y571" s="96">
        <v>0</v>
      </c>
      <c r="Z571" s="71">
        <v>5002004</v>
      </c>
    </row>
    <row r="572" spans="1:26">
      <c r="A572" s="71">
        <v>6051201</v>
      </c>
      <c r="B572" s="96" t="s">
        <v>615</v>
      </c>
      <c r="C572" s="96"/>
      <c r="D572" s="96">
        <v>1</v>
      </c>
      <c r="E572" s="71">
        <v>3</v>
      </c>
      <c r="F572" s="96">
        <v>1001</v>
      </c>
      <c r="G572" s="71">
        <v>350</v>
      </c>
      <c r="H572" s="95">
        <v>10000</v>
      </c>
      <c r="I572" s="98">
        <v>0</v>
      </c>
      <c r="J572" s="95">
        <v>10000</v>
      </c>
      <c r="K572" s="96">
        <v>0</v>
      </c>
      <c r="L572" s="96" t="s">
        <v>615</v>
      </c>
      <c r="M572" s="71"/>
      <c r="N572" s="96" t="s">
        <v>615</v>
      </c>
      <c r="O572" s="96"/>
      <c r="P572" s="96"/>
      <c r="Q572" s="96" t="s">
        <v>227</v>
      </c>
      <c r="R572" s="95">
        <v>0</v>
      </c>
      <c r="S572" s="103">
        <v>0</v>
      </c>
      <c r="T572" s="96">
        <v>0</v>
      </c>
      <c r="U572" s="96">
        <v>1015</v>
      </c>
      <c r="V572" s="96">
        <v>700</v>
      </c>
      <c r="W572" s="96">
        <v>6051001</v>
      </c>
      <c r="X572" s="96">
        <v>400</v>
      </c>
      <c r="Y572" s="96">
        <v>350</v>
      </c>
      <c r="Z572" s="71">
        <v>0</v>
      </c>
    </row>
    <row r="573" spans="1:26">
      <c r="A573" s="71">
        <v>6051202</v>
      </c>
      <c r="B573" s="96" t="s">
        <v>616</v>
      </c>
      <c r="C573" s="96"/>
      <c r="D573" s="96">
        <v>2</v>
      </c>
      <c r="E573" s="71">
        <v>3</v>
      </c>
      <c r="F573" s="96">
        <v>3001</v>
      </c>
      <c r="G573" s="71">
        <v>350</v>
      </c>
      <c r="H573" s="96">
        <v>1430</v>
      </c>
      <c r="I573" s="98">
        <v>0</v>
      </c>
      <c r="J573" s="96">
        <v>10000</v>
      </c>
      <c r="K573" s="96">
        <v>1051202</v>
      </c>
      <c r="L573" s="96" t="s">
        <v>618</v>
      </c>
      <c r="M573" s="25" t="s">
        <v>617</v>
      </c>
      <c r="N573" s="96" t="s">
        <v>616</v>
      </c>
      <c r="O573" s="96"/>
      <c r="P573" s="96"/>
      <c r="Q573" s="96" t="s">
        <v>60</v>
      </c>
      <c r="R573" s="95">
        <v>0</v>
      </c>
      <c r="S573" s="103">
        <v>6051202</v>
      </c>
      <c r="T573" s="96">
        <v>500</v>
      </c>
      <c r="U573" s="96">
        <v>1015</v>
      </c>
      <c r="V573" s="96" t="s">
        <v>620</v>
      </c>
      <c r="W573" s="96">
        <v>0</v>
      </c>
      <c r="X573" s="96">
        <v>0</v>
      </c>
      <c r="Y573" s="96">
        <v>0</v>
      </c>
      <c r="Z573" s="71">
        <v>0</v>
      </c>
    </row>
    <row r="574" spans="1:26">
      <c r="A574" s="71">
        <v>6052001</v>
      </c>
      <c r="B574" s="96" t="s">
        <v>621</v>
      </c>
      <c r="C574" s="96"/>
      <c r="D574" s="96">
        <v>1</v>
      </c>
      <c r="E574" s="71">
        <v>3</v>
      </c>
      <c r="F574" s="96">
        <v>1001</v>
      </c>
      <c r="G574" s="71">
        <v>350</v>
      </c>
      <c r="H574" s="95">
        <v>10000</v>
      </c>
      <c r="I574" s="98">
        <v>0</v>
      </c>
      <c r="J574" s="95">
        <v>10000</v>
      </c>
      <c r="K574" s="96">
        <v>0</v>
      </c>
      <c r="L574" s="96" t="s">
        <v>621</v>
      </c>
      <c r="M574" s="71"/>
      <c r="N574" s="96" t="s">
        <v>621</v>
      </c>
      <c r="O574" s="96"/>
      <c r="P574" s="96"/>
      <c r="Q574" s="96" t="s">
        <v>227</v>
      </c>
      <c r="R574" s="95">
        <v>0</v>
      </c>
      <c r="S574" s="103">
        <v>0</v>
      </c>
      <c r="T574" s="96">
        <v>0</v>
      </c>
      <c r="U574" s="96">
        <v>1015</v>
      </c>
      <c r="V574" s="96">
        <v>700</v>
      </c>
      <c r="W574" s="96">
        <v>6052001</v>
      </c>
      <c r="X574" s="96">
        <v>400</v>
      </c>
      <c r="Y574" s="96">
        <v>350</v>
      </c>
      <c r="Z574" s="71">
        <v>0</v>
      </c>
    </row>
    <row r="575" spans="1:26">
      <c r="A575" s="71">
        <v>6052002</v>
      </c>
      <c r="B575" s="96" t="s">
        <v>622</v>
      </c>
      <c r="C575" s="96"/>
      <c r="D575" s="96">
        <v>2</v>
      </c>
      <c r="E575" s="71">
        <v>3</v>
      </c>
      <c r="F575" s="96">
        <v>3001</v>
      </c>
      <c r="G575" s="71">
        <v>350</v>
      </c>
      <c r="H575" s="95">
        <v>10000</v>
      </c>
      <c r="I575" s="98">
        <v>0</v>
      </c>
      <c r="J575" s="96">
        <v>10000</v>
      </c>
      <c r="K575" s="96">
        <v>1052002</v>
      </c>
      <c r="L575" s="96" t="s">
        <v>624</v>
      </c>
      <c r="M575" s="25" t="s">
        <v>623</v>
      </c>
      <c r="N575" s="96" t="s">
        <v>622</v>
      </c>
      <c r="O575" s="96"/>
      <c r="P575" s="96"/>
      <c r="Q575" s="96" t="s">
        <v>60</v>
      </c>
      <c r="R575" s="95">
        <v>0</v>
      </c>
      <c r="S575" s="103">
        <v>6052002</v>
      </c>
      <c r="T575" s="96">
        <v>0</v>
      </c>
      <c r="U575" s="96">
        <v>1015</v>
      </c>
      <c r="V575" s="96">
        <v>700</v>
      </c>
      <c r="W575" s="96">
        <v>0</v>
      </c>
      <c r="X575" s="96">
        <v>0</v>
      </c>
      <c r="Y575" s="96">
        <v>0</v>
      </c>
      <c r="Z575" s="71">
        <v>0</v>
      </c>
    </row>
    <row r="576" spans="1:26">
      <c r="A576" s="71">
        <v>6052101</v>
      </c>
      <c r="B576" s="96" t="s">
        <v>626</v>
      </c>
      <c r="C576" s="96"/>
      <c r="D576" s="96">
        <v>1</v>
      </c>
      <c r="E576" s="71">
        <v>3</v>
      </c>
      <c r="F576" s="96">
        <v>1001</v>
      </c>
      <c r="G576" s="71">
        <v>350</v>
      </c>
      <c r="H576" s="95">
        <v>10000</v>
      </c>
      <c r="I576" s="98">
        <v>0</v>
      </c>
      <c r="J576" s="95">
        <v>10000</v>
      </c>
      <c r="K576" s="96">
        <v>0</v>
      </c>
      <c r="L576" s="96" t="s">
        <v>626</v>
      </c>
      <c r="M576" s="71"/>
      <c r="N576" s="96" t="s">
        <v>626</v>
      </c>
      <c r="O576" s="96"/>
      <c r="P576" s="96"/>
      <c r="Q576" s="96" t="s">
        <v>227</v>
      </c>
      <c r="R576" s="95">
        <v>0</v>
      </c>
      <c r="S576" s="103">
        <v>0</v>
      </c>
      <c r="T576" s="96">
        <v>0</v>
      </c>
      <c r="U576" s="96">
        <v>1015</v>
      </c>
      <c r="V576" s="96">
        <v>700</v>
      </c>
      <c r="W576" s="96">
        <v>6052001</v>
      </c>
      <c r="X576" s="96">
        <v>400</v>
      </c>
      <c r="Y576" s="96">
        <v>350</v>
      </c>
      <c r="Z576" s="71">
        <v>0</v>
      </c>
    </row>
    <row r="577" spans="1:26">
      <c r="A577" s="71">
        <v>6052102</v>
      </c>
      <c r="B577" s="96" t="s">
        <v>173</v>
      </c>
      <c r="C577" s="96"/>
      <c r="D577" s="96">
        <v>2</v>
      </c>
      <c r="E577" s="71">
        <v>3</v>
      </c>
      <c r="F577" s="96">
        <v>3001</v>
      </c>
      <c r="G577" s="71">
        <v>350</v>
      </c>
      <c r="H577" s="96">
        <v>2500</v>
      </c>
      <c r="I577" s="98">
        <v>0</v>
      </c>
      <c r="J577" s="96">
        <v>10000</v>
      </c>
      <c r="K577" s="96">
        <v>1052102</v>
      </c>
      <c r="L577" s="96" t="s">
        <v>628</v>
      </c>
      <c r="M577" s="25" t="s">
        <v>627</v>
      </c>
      <c r="N577" s="96" t="s">
        <v>173</v>
      </c>
      <c r="O577" s="96"/>
      <c r="P577" s="96"/>
      <c r="Q577" s="96" t="s">
        <v>60</v>
      </c>
      <c r="R577" s="95">
        <v>0</v>
      </c>
      <c r="S577" s="103">
        <v>6052102</v>
      </c>
      <c r="T577" s="96">
        <v>0</v>
      </c>
      <c r="U577" s="96">
        <v>1015</v>
      </c>
      <c r="V577" s="96" t="s">
        <v>630</v>
      </c>
      <c r="W577" s="96">
        <v>0</v>
      </c>
      <c r="X577" s="96">
        <v>0</v>
      </c>
      <c r="Y577" s="96">
        <v>0</v>
      </c>
      <c r="Z577" s="71">
        <v>5005005</v>
      </c>
    </row>
    <row r="578" spans="1:26">
      <c r="A578" s="71">
        <v>6052201</v>
      </c>
      <c r="B578" s="96" t="s">
        <v>631</v>
      </c>
      <c r="C578" s="96"/>
      <c r="D578" s="96">
        <v>1</v>
      </c>
      <c r="E578" s="71">
        <v>3</v>
      </c>
      <c r="F578" s="96">
        <v>1001</v>
      </c>
      <c r="G578" s="71">
        <v>350</v>
      </c>
      <c r="H578" s="95">
        <v>10000</v>
      </c>
      <c r="I578" s="98">
        <v>0</v>
      </c>
      <c r="J578" s="95">
        <v>10000</v>
      </c>
      <c r="K578" s="96">
        <v>0</v>
      </c>
      <c r="L578" s="96" t="s">
        <v>631</v>
      </c>
      <c r="M578" s="71"/>
      <c r="N578" s="96" t="s">
        <v>631</v>
      </c>
      <c r="O578" s="96"/>
      <c r="P578" s="96"/>
      <c r="Q578" s="96" t="s">
        <v>227</v>
      </c>
      <c r="R578" s="95">
        <v>0</v>
      </c>
      <c r="S578" s="103">
        <v>0</v>
      </c>
      <c r="T578" s="96">
        <v>0</v>
      </c>
      <c r="U578" s="96">
        <v>1015</v>
      </c>
      <c r="V578" s="96">
        <v>700</v>
      </c>
      <c r="W578" s="96">
        <v>6052001</v>
      </c>
      <c r="X578" s="96">
        <v>400</v>
      </c>
      <c r="Y578" s="96">
        <v>350</v>
      </c>
      <c r="Z578" s="71">
        <v>0</v>
      </c>
    </row>
    <row r="579" spans="1:26">
      <c r="A579" s="71">
        <v>6052202</v>
      </c>
      <c r="B579" s="96" t="s">
        <v>223</v>
      </c>
      <c r="C579" s="96"/>
      <c r="D579" s="96">
        <v>2</v>
      </c>
      <c r="E579" s="71">
        <v>3</v>
      </c>
      <c r="F579" s="96">
        <v>3001</v>
      </c>
      <c r="G579" s="71">
        <v>350</v>
      </c>
      <c r="H579" s="95">
        <v>10000</v>
      </c>
      <c r="I579" s="98">
        <v>0</v>
      </c>
      <c r="J579" s="96">
        <v>10000</v>
      </c>
      <c r="K579" s="96">
        <v>1052202</v>
      </c>
      <c r="L579" s="96" t="s">
        <v>633</v>
      </c>
      <c r="M579" s="25" t="s">
        <v>632</v>
      </c>
      <c r="N579" s="96" t="s">
        <v>223</v>
      </c>
      <c r="O579" s="96"/>
      <c r="P579" s="96"/>
      <c r="Q579" s="96" t="s">
        <v>60</v>
      </c>
      <c r="R579" s="95">
        <v>0</v>
      </c>
      <c r="S579" s="103">
        <v>6052202</v>
      </c>
      <c r="T579" s="96">
        <v>100</v>
      </c>
      <c r="U579" s="96">
        <v>1015</v>
      </c>
      <c r="V579" s="96">
        <v>1000</v>
      </c>
      <c r="W579" s="96">
        <v>0</v>
      </c>
      <c r="X579" s="96">
        <v>0</v>
      </c>
      <c r="Y579" s="96">
        <v>0</v>
      </c>
      <c r="Z579" s="71">
        <v>5007005</v>
      </c>
    </row>
    <row r="580" spans="1:26">
      <c r="A580" s="71">
        <v>6053001</v>
      </c>
      <c r="B580" s="96" t="s">
        <v>635</v>
      </c>
      <c r="C580" s="96"/>
      <c r="D580" s="96">
        <v>1</v>
      </c>
      <c r="E580" s="71">
        <v>3</v>
      </c>
      <c r="F580" s="96">
        <v>1001</v>
      </c>
      <c r="G580" s="71">
        <v>350</v>
      </c>
      <c r="H580" s="95">
        <v>10000</v>
      </c>
      <c r="I580" s="98">
        <v>0</v>
      </c>
      <c r="J580" s="95">
        <v>10000</v>
      </c>
      <c r="K580" s="96">
        <v>0</v>
      </c>
      <c r="L580" s="96" t="s">
        <v>635</v>
      </c>
      <c r="M580" s="71"/>
      <c r="N580" s="96" t="s">
        <v>635</v>
      </c>
      <c r="O580" s="96"/>
      <c r="P580" s="96"/>
      <c r="Q580" s="96" t="s">
        <v>227</v>
      </c>
      <c r="R580" s="95">
        <v>0</v>
      </c>
      <c r="S580" s="103">
        <v>0</v>
      </c>
      <c r="T580" s="96">
        <v>0</v>
      </c>
      <c r="U580" s="96">
        <v>1015</v>
      </c>
      <c r="V580" s="96">
        <v>700</v>
      </c>
      <c r="W580" s="96">
        <v>6053001</v>
      </c>
      <c r="X580" s="96">
        <v>400</v>
      </c>
      <c r="Y580" s="96">
        <v>350</v>
      </c>
      <c r="Z580" s="71">
        <v>0</v>
      </c>
    </row>
    <row r="581" spans="1:26">
      <c r="A581" s="71">
        <v>6053002</v>
      </c>
      <c r="B581" s="96" t="s">
        <v>144</v>
      </c>
      <c r="C581" s="96"/>
      <c r="D581" s="96">
        <v>2</v>
      </c>
      <c r="E581" s="71">
        <v>3</v>
      </c>
      <c r="F581" s="96">
        <v>3001</v>
      </c>
      <c r="G581" s="71">
        <v>350</v>
      </c>
      <c r="H581" s="96">
        <v>1670</v>
      </c>
      <c r="I581" s="98">
        <v>0</v>
      </c>
      <c r="J581" s="96">
        <v>10000</v>
      </c>
      <c r="K581" s="96">
        <v>1053002</v>
      </c>
      <c r="L581" s="96" t="s">
        <v>637</v>
      </c>
      <c r="M581" s="25" t="s">
        <v>636</v>
      </c>
      <c r="N581" s="96" t="s">
        <v>144</v>
      </c>
      <c r="O581" s="96"/>
      <c r="P581" s="96"/>
      <c r="Q581" s="96" t="s">
        <v>60</v>
      </c>
      <c r="R581" s="95">
        <v>0</v>
      </c>
      <c r="S581" s="103">
        <f>A581</f>
        <v>6053002</v>
      </c>
      <c r="T581" s="96">
        <v>1000</v>
      </c>
      <c r="U581" s="96">
        <v>1015</v>
      </c>
      <c r="V581" s="96" t="s">
        <v>639</v>
      </c>
      <c r="W581" s="96">
        <v>0</v>
      </c>
      <c r="X581" s="96">
        <v>0</v>
      </c>
      <c r="Y581" s="96">
        <v>0</v>
      </c>
      <c r="Z581" s="71">
        <v>5004004</v>
      </c>
    </row>
    <row r="582" spans="1:26">
      <c r="A582" s="71">
        <v>6053101</v>
      </c>
      <c r="B582" s="96" t="s">
        <v>640</v>
      </c>
      <c r="C582" s="96"/>
      <c r="D582" s="96">
        <v>1</v>
      </c>
      <c r="E582" s="71">
        <v>3</v>
      </c>
      <c r="F582" s="96">
        <v>1001</v>
      </c>
      <c r="G582" s="71">
        <v>350</v>
      </c>
      <c r="H582" s="95">
        <v>10000</v>
      </c>
      <c r="I582" s="98">
        <v>0</v>
      </c>
      <c r="J582" s="95">
        <v>10000</v>
      </c>
      <c r="K582" s="96">
        <v>0</v>
      </c>
      <c r="L582" s="96" t="s">
        <v>640</v>
      </c>
      <c r="M582" s="71"/>
      <c r="N582" s="96" t="s">
        <v>640</v>
      </c>
      <c r="O582" s="96"/>
      <c r="P582" s="96"/>
      <c r="Q582" s="96" t="s">
        <v>227</v>
      </c>
      <c r="R582" s="95">
        <v>0</v>
      </c>
      <c r="S582" s="103">
        <v>0</v>
      </c>
      <c r="T582" s="96">
        <v>0</v>
      </c>
      <c r="U582" s="96">
        <v>1015</v>
      </c>
      <c r="V582" s="96">
        <v>700</v>
      </c>
      <c r="W582" s="96">
        <v>6053001</v>
      </c>
      <c r="X582" s="96">
        <v>400</v>
      </c>
      <c r="Y582" s="96">
        <v>350</v>
      </c>
      <c r="Z582" s="71">
        <v>0</v>
      </c>
    </row>
    <row r="583" spans="1:26">
      <c r="A583" s="71">
        <v>6053102</v>
      </c>
      <c r="B583" s="96" t="s">
        <v>641</v>
      </c>
      <c r="C583" s="96"/>
      <c r="D583" s="96">
        <v>2</v>
      </c>
      <c r="E583" s="71">
        <v>3</v>
      </c>
      <c r="F583" s="96">
        <v>3001</v>
      </c>
      <c r="G583" s="71">
        <v>350</v>
      </c>
      <c r="H583" s="96">
        <v>1670</v>
      </c>
      <c r="I583" s="98">
        <v>0</v>
      </c>
      <c r="J583" s="96">
        <v>10000</v>
      </c>
      <c r="K583" s="96">
        <v>1053002</v>
      </c>
      <c r="L583" s="96" t="s">
        <v>643</v>
      </c>
      <c r="M583" s="25" t="s">
        <v>642</v>
      </c>
      <c r="N583" s="96" t="s">
        <v>641</v>
      </c>
      <c r="O583" s="96"/>
      <c r="P583" s="96"/>
      <c r="Q583" s="96" t="s">
        <v>60</v>
      </c>
      <c r="R583" s="95">
        <v>0</v>
      </c>
      <c r="S583" s="103">
        <f>A583</f>
        <v>6053102</v>
      </c>
      <c r="T583" s="96">
        <v>1000</v>
      </c>
      <c r="U583" s="96">
        <v>1015</v>
      </c>
      <c r="V583" s="96" t="s">
        <v>639</v>
      </c>
      <c r="W583" s="96">
        <v>0</v>
      </c>
      <c r="X583" s="96">
        <v>0</v>
      </c>
      <c r="Y583" s="96">
        <v>0</v>
      </c>
      <c r="Z583" s="71">
        <v>0</v>
      </c>
    </row>
    <row r="584" spans="1:26">
      <c r="A584" s="71">
        <v>6056001</v>
      </c>
      <c r="B584" s="96" t="s">
        <v>645</v>
      </c>
      <c r="C584" s="96"/>
      <c r="D584" s="96">
        <v>1</v>
      </c>
      <c r="E584" s="71">
        <v>3</v>
      </c>
      <c r="F584" s="96">
        <v>1001</v>
      </c>
      <c r="G584" s="71">
        <v>350</v>
      </c>
      <c r="H584" s="95">
        <v>10000</v>
      </c>
      <c r="I584" s="98">
        <v>0</v>
      </c>
      <c r="J584" s="95">
        <v>10000</v>
      </c>
      <c r="K584" s="96">
        <v>0</v>
      </c>
      <c r="L584" s="96" t="s">
        <v>645</v>
      </c>
      <c r="M584" s="71"/>
      <c r="N584" s="96" t="s">
        <v>645</v>
      </c>
      <c r="O584" s="96"/>
      <c r="P584" s="96"/>
      <c r="Q584" s="96" t="s">
        <v>227</v>
      </c>
      <c r="R584" s="95">
        <v>0</v>
      </c>
      <c r="S584" s="103">
        <v>0</v>
      </c>
      <c r="T584" s="96">
        <v>0</v>
      </c>
      <c r="U584" s="96">
        <v>1011</v>
      </c>
      <c r="V584" s="96">
        <v>700</v>
      </c>
      <c r="W584" s="96">
        <v>6056001</v>
      </c>
      <c r="X584" s="96">
        <v>400</v>
      </c>
      <c r="Y584" s="96">
        <v>350</v>
      </c>
      <c r="Z584" s="71">
        <v>0</v>
      </c>
    </row>
    <row r="585" spans="1:26">
      <c r="A585" s="71">
        <v>6056002</v>
      </c>
      <c r="B585" s="96" t="s">
        <v>646</v>
      </c>
      <c r="C585" s="96"/>
      <c r="D585" s="96">
        <v>2</v>
      </c>
      <c r="E585" s="71">
        <v>3</v>
      </c>
      <c r="F585" s="96">
        <v>3001</v>
      </c>
      <c r="G585" s="71">
        <v>350</v>
      </c>
      <c r="H585" s="96">
        <v>2500</v>
      </c>
      <c r="I585" s="98">
        <v>0</v>
      </c>
      <c r="J585" s="96">
        <v>10000</v>
      </c>
      <c r="K585" s="96">
        <v>1056002</v>
      </c>
      <c r="L585" s="96" t="s">
        <v>648</v>
      </c>
      <c r="M585" s="25" t="s">
        <v>647</v>
      </c>
      <c r="N585" s="96" t="s">
        <v>646</v>
      </c>
      <c r="O585" s="96"/>
      <c r="P585" s="96"/>
      <c r="Q585" s="96" t="s">
        <v>60</v>
      </c>
      <c r="R585" s="95">
        <v>0</v>
      </c>
      <c r="S585" s="103">
        <f>A585</f>
        <v>6056002</v>
      </c>
      <c r="T585" s="96">
        <v>700</v>
      </c>
      <c r="U585" s="96">
        <v>1011</v>
      </c>
      <c r="V585" s="96" t="s">
        <v>586</v>
      </c>
      <c r="W585" s="96">
        <v>0</v>
      </c>
      <c r="X585" s="96">
        <v>0</v>
      </c>
      <c r="Y585" s="96">
        <v>0</v>
      </c>
      <c r="Z585" s="71">
        <v>0</v>
      </c>
    </row>
    <row r="586" spans="1:26">
      <c r="A586" s="71">
        <v>6056101</v>
      </c>
      <c r="B586" s="96" t="s">
        <v>651</v>
      </c>
      <c r="C586" s="96"/>
      <c r="D586" s="96">
        <v>1</v>
      </c>
      <c r="E586" s="71">
        <v>3</v>
      </c>
      <c r="F586" s="96">
        <v>1001</v>
      </c>
      <c r="G586" s="71">
        <v>350</v>
      </c>
      <c r="H586" s="95">
        <v>10000</v>
      </c>
      <c r="I586" s="98">
        <v>0</v>
      </c>
      <c r="J586" s="95">
        <v>10000</v>
      </c>
      <c r="K586" s="96">
        <v>0</v>
      </c>
      <c r="L586" s="96" t="s">
        <v>651</v>
      </c>
      <c r="M586" s="71"/>
      <c r="N586" s="96" t="s">
        <v>651</v>
      </c>
      <c r="O586" s="96"/>
      <c r="P586" s="96"/>
      <c r="Q586" s="96" t="s">
        <v>227</v>
      </c>
      <c r="R586" s="95">
        <v>0</v>
      </c>
      <c r="S586" s="103">
        <v>0</v>
      </c>
      <c r="T586" s="96">
        <v>0</v>
      </c>
      <c r="U586" s="96">
        <v>1011</v>
      </c>
      <c r="V586" s="96">
        <v>600</v>
      </c>
      <c r="W586" s="96">
        <v>6056001</v>
      </c>
      <c r="X586" s="96">
        <v>300</v>
      </c>
      <c r="Y586" s="96">
        <v>350</v>
      </c>
      <c r="Z586" s="71">
        <v>0</v>
      </c>
    </row>
    <row r="587" spans="1:26">
      <c r="A587" s="71">
        <v>6056102</v>
      </c>
      <c r="B587" s="96" t="s">
        <v>652</v>
      </c>
      <c r="C587" s="96"/>
      <c r="D587" s="96">
        <v>2</v>
      </c>
      <c r="E587" s="71">
        <v>3</v>
      </c>
      <c r="F587" s="96">
        <v>3001</v>
      </c>
      <c r="G587" s="71">
        <v>350</v>
      </c>
      <c r="H587" s="96">
        <v>2500</v>
      </c>
      <c r="I587" s="98">
        <v>0</v>
      </c>
      <c r="J587" s="96">
        <v>10000</v>
      </c>
      <c r="K587" s="96">
        <v>1056002</v>
      </c>
      <c r="L587" s="96" t="s">
        <v>654</v>
      </c>
      <c r="M587" s="25" t="s">
        <v>653</v>
      </c>
      <c r="N587" s="96" t="s">
        <v>652</v>
      </c>
      <c r="O587" s="96"/>
      <c r="P587" s="96"/>
      <c r="Q587" s="96" t="s">
        <v>60</v>
      </c>
      <c r="R587" s="95">
        <v>0</v>
      </c>
      <c r="S587" s="103">
        <f>A587</f>
        <v>6056102</v>
      </c>
      <c r="T587" s="96">
        <v>600</v>
      </c>
      <c r="U587" s="96">
        <v>1011</v>
      </c>
      <c r="V587" s="96" t="s">
        <v>586</v>
      </c>
      <c r="W587" s="96">
        <v>0</v>
      </c>
      <c r="X587" s="96">
        <v>0</v>
      </c>
      <c r="Y587" s="96">
        <v>0</v>
      </c>
      <c r="Z587" s="71">
        <v>0</v>
      </c>
    </row>
    <row r="588" spans="1:26">
      <c r="A588" s="71">
        <v>6056201</v>
      </c>
      <c r="B588" s="96" t="s">
        <v>656</v>
      </c>
      <c r="C588" s="96"/>
      <c r="D588" s="96">
        <v>1</v>
      </c>
      <c r="E588" s="71">
        <v>3</v>
      </c>
      <c r="F588" s="96">
        <v>1001</v>
      </c>
      <c r="G588" s="71">
        <v>350</v>
      </c>
      <c r="H588" s="95">
        <v>10000</v>
      </c>
      <c r="I588" s="98">
        <v>0</v>
      </c>
      <c r="J588" s="95">
        <v>10000</v>
      </c>
      <c r="K588" s="96">
        <v>0</v>
      </c>
      <c r="L588" s="96" t="s">
        <v>656</v>
      </c>
      <c r="M588" s="71"/>
      <c r="N588" s="96" t="s">
        <v>656</v>
      </c>
      <c r="O588" s="96"/>
      <c r="P588" s="96"/>
      <c r="Q588" s="96" t="s">
        <v>227</v>
      </c>
      <c r="R588" s="95">
        <v>0</v>
      </c>
      <c r="S588" s="103">
        <v>0</v>
      </c>
      <c r="T588" s="96">
        <v>0</v>
      </c>
      <c r="U588" s="96">
        <v>1011</v>
      </c>
      <c r="V588" s="96">
        <v>700</v>
      </c>
      <c r="W588" s="96">
        <v>6056201</v>
      </c>
      <c r="X588" s="96">
        <v>400</v>
      </c>
      <c r="Y588" s="96">
        <v>350</v>
      </c>
      <c r="Z588" s="71">
        <v>0</v>
      </c>
    </row>
    <row r="589" spans="1:26">
      <c r="A589" s="71">
        <v>6056202</v>
      </c>
      <c r="B589" s="96" t="s">
        <v>189</v>
      </c>
      <c r="C589" s="96"/>
      <c r="D589" s="96">
        <v>2</v>
      </c>
      <c r="E589" s="71">
        <v>3</v>
      </c>
      <c r="F589" s="96">
        <v>3001</v>
      </c>
      <c r="G589" s="71">
        <v>350</v>
      </c>
      <c r="H589" s="96">
        <v>2500</v>
      </c>
      <c r="I589" s="98">
        <v>0</v>
      </c>
      <c r="J589" s="96">
        <v>10000</v>
      </c>
      <c r="K589" s="96">
        <v>1056202</v>
      </c>
      <c r="L589" s="96" t="s">
        <v>658</v>
      </c>
      <c r="M589" s="25" t="s">
        <v>657</v>
      </c>
      <c r="N589" s="96" t="s">
        <v>189</v>
      </c>
      <c r="O589" s="96"/>
      <c r="P589" s="96"/>
      <c r="Q589" s="96" t="s">
        <v>60</v>
      </c>
      <c r="R589" s="95">
        <v>0</v>
      </c>
      <c r="S589" s="103">
        <f>A589</f>
        <v>6056202</v>
      </c>
      <c r="T589" s="96">
        <v>700</v>
      </c>
      <c r="U589" s="96">
        <v>1011</v>
      </c>
      <c r="V589" s="96" t="s">
        <v>660</v>
      </c>
      <c r="W589" s="96">
        <v>0</v>
      </c>
      <c r="X589" s="96">
        <v>0</v>
      </c>
      <c r="Y589" s="96">
        <v>0</v>
      </c>
      <c r="Z589" s="71">
        <v>5006003</v>
      </c>
    </row>
    <row r="590" spans="1:26">
      <c r="A590" s="71">
        <v>6057001</v>
      </c>
      <c r="B590" s="96" t="s">
        <v>661</v>
      </c>
      <c r="C590" s="96"/>
      <c r="D590" s="96">
        <v>1</v>
      </c>
      <c r="E590" s="71">
        <v>3</v>
      </c>
      <c r="F590" s="96">
        <v>1001</v>
      </c>
      <c r="G590" s="71">
        <v>350</v>
      </c>
      <c r="H590" s="95">
        <v>10000</v>
      </c>
      <c r="I590" s="98">
        <v>0</v>
      </c>
      <c r="J590" s="95">
        <v>10000</v>
      </c>
      <c r="K590" s="96">
        <v>0</v>
      </c>
      <c r="L590" s="96" t="s">
        <v>661</v>
      </c>
      <c r="M590" s="71"/>
      <c r="N590" s="96" t="s">
        <v>661</v>
      </c>
      <c r="O590" s="96"/>
      <c r="P590" s="96"/>
      <c r="Q590" s="96" t="s">
        <v>227</v>
      </c>
      <c r="R590" s="95">
        <v>0</v>
      </c>
      <c r="S590" s="103">
        <v>0</v>
      </c>
      <c r="T590" s="96">
        <v>0</v>
      </c>
      <c r="U590" s="96">
        <v>1011</v>
      </c>
      <c r="V590" s="96">
        <v>700</v>
      </c>
      <c r="W590" s="96">
        <v>6057001</v>
      </c>
      <c r="X590" s="96">
        <v>400</v>
      </c>
      <c r="Y590" s="96">
        <v>350</v>
      </c>
      <c r="Z590" s="71">
        <v>0</v>
      </c>
    </row>
    <row r="591" spans="1:26">
      <c r="A591" s="71">
        <v>6057002</v>
      </c>
      <c r="B591" s="96" t="s">
        <v>662</v>
      </c>
      <c r="C591" s="96"/>
      <c r="D591" s="96">
        <v>2</v>
      </c>
      <c r="E591" s="71">
        <v>3</v>
      </c>
      <c r="F591" s="96">
        <v>3001</v>
      </c>
      <c r="G591" s="71">
        <v>350</v>
      </c>
      <c r="H591" s="95">
        <v>10000</v>
      </c>
      <c r="I591" s="98">
        <v>0</v>
      </c>
      <c r="J591" s="96">
        <v>10000</v>
      </c>
      <c r="K591" s="96">
        <v>1057002</v>
      </c>
      <c r="L591" s="96" t="s">
        <v>664</v>
      </c>
      <c r="M591" s="25" t="s">
        <v>663</v>
      </c>
      <c r="N591" s="96" t="s">
        <v>662</v>
      </c>
      <c r="O591" s="96"/>
      <c r="P591" s="96"/>
      <c r="Q591" s="96" t="s">
        <v>60</v>
      </c>
      <c r="R591" s="95">
        <v>0</v>
      </c>
      <c r="S591" s="103">
        <f>A591</f>
        <v>6057002</v>
      </c>
      <c r="T591" s="96">
        <v>500</v>
      </c>
      <c r="U591" s="96">
        <v>1011</v>
      </c>
      <c r="V591" s="96">
        <v>1000</v>
      </c>
      <c r="W591" s="96">
        <v>0</v>
      </c>
      <c r="X591" s="96">
        <v>0</v>
      </c>
      <c r="Y591" s="96">
        <v>0</v>
      </c>
      <c r="Z591" s="71">
        <v>0</v>
      </c>
    </row>
    <row r="592" spans="1:26">
      <c r="A592" s="71">
        <v>6057101</v>
      </c>
      <c r="B592" s="96" t="s">
        <v>666</v>
      </c>
      <c r="C592" s="96"/>
      <c r="D592" s="96">
        <v>1</v>
      </c>
      <c r="E592" s="71">
        <v>3</v>
      </c>
      <c r="F592" s="96">
        <v>1001</v>
      </c>
      <c r="G592" s="71">
        <v>350</v>
      </c>
      <c r="H592" s="95">
        <v>10000</v>
      </c>
      <c r="I592" s="98">
        <v>0</v>
      </c>
      <c r="J592" s="95">
        <v>10000</v>
      </c>
      <c r="K592" s="96">
        <v>0</v>
      </c>
      <c r="L592" s="96" t="s">
        <v>666</v>
      </c>
      <c r="M592" s="71"/>
      <c r="N592" s="96" t="s">
        <v>666</v>
      </c>
      <c r="O592" s="96"/>
      <c r="P592" s="96"/>
      <c r="Q592" s="96" t="s">
        <v>227</v>
      </c>
      <c r="R592" s="95">
        <v>0</v>
      </c>
      <c r="S592" s="103">
        <v>0</v>
      </c>
      <c r="T592" s="96">
        <v>0</v>
      </c>
      <c r="U592" s="96">
        <v>1011</v>
      </c>
      <c r="V592" s="96">
        <v>700</v>
      </c>
      <c r="W592" s="96">
        <v>6057001</v>
      </c>
      <c r="X592" s="96">
        <v>400</v>
      </c>
      <c r="Y592" s="96">
        <v>350</v>
      </c>
      <c r="Z592" s="71">
        <v>0</v>
      </c>
    </row>
    <row r="593" spans="1:26">
      <c r="A593" s="71">
        <v>6057102</v>
      </c>
      <c r="B593" s="96" t="s">
        <v>667</v>
      </c>
      <c r="C593" s="96"/>
      <c r="D593" s="96">
        <v>2</v>
      </c>
      <c r="E593" s="71">
        <v>3</v>
      </c>
      <c r="F593" s="96">
        <v>3001</v>
      </c>
      <c r="G593" s="71">
        <v>350</v>
      </c>
      <c r="H593" s="95">
        <v>10000</v>
      </c>
      <c r="I593" s="98">
        <v>0</v>
      </c>
      <c r="J593" s="96">
        <v>10000</v>
      </c>
      <c r="K593" s="96">
        <v>1057002</v>
      </c>
      <c r="L593" s="96" t="s">
        <v>669</v>
      </c>
      <c r="M593" s="25" t="s">
        <v>668</v>
      </c>
      <c r="N593" s="96" t="s">
        <v>667</v>
      </c>
      <c r="O593" s="96"/>
      <c r="P593" s="96"/>
      <c r="Q593" s="96" t="s">
        <v>60</v>
      </c>
      <c r="R593" s="95">
        <v>0</v>
      </c>
      <c r="S593" s="103">
        <f>A593</f>
        <v>6057102</v>
      </c>
      <c r="T593" s="96">
        <v>500</v>
      </c>
      <c r="U593" s="96">
        <v>1011</v>
      </c>
      <c r="V593" s="96">
        <v>1100</v>
      </c>
      <c r="W593" s="96">
        <v>0</v>
      </c>
      <c r="X593" s="96">
        <v>0</v>
      </c>
      <c r="Y593" s="96">
        <v>0</v>
      </c>
      <c r="Z593" s="71">
        <v>0</v>
      </c>
    </row>
    <row r="594" spans="1:26">
      <c r="A594" s="71">
        <v>6058001</v>
      </c>
      <c r="B594" s="96" t="s">
        <v>671</v>
      </c>
      <c r="C594" s="96"/>
      <c r="D594" s="96">
        <v>1</v>
      </c>
      <c r="E594" s="71">
        <v>3</v>
      </c>
      <c r="F594" s="96">
        <v>1001</v>
      </c>
      <c r="G594" s="71">
        <v>350</v>
      </c>
      <c r="H594" s="95">
        <v>10000</v>
      </c>
      <c r="I594" s="98">
        <v>0</v>
      </c>
      <c r="J594" s="95">
        <v>10000</v>
      </c>
      <c r="K594" s="96">
        <v>0</v>
      </c>
      <c r="L594" s="96" t="s">
        <v>671</v>
      </c>
      <c r="M594" s="71"/>
      <c r="N594" s="96" t="s">
        <v>671</v>
      </c>
      <c r="O594" s="96"/>
      <c r="P594" s="96"/>
      <c r="Q594" s="96" t="s">
        <v>227</v>
      </c>
      <c r="R594" s="95">
        <v>0</v>
      </c>
      <c r="S594" s="103">
        <v>0</v>
      </c>
      <c r="T594" s="96">
        <v>0</v>
      </c>
      <c r="U594" s="96">
        <v>1013</v>
      </c>
      <c r="V594" s="96">
        <v>700</v>
      </c>
      <c r="W594" s="96">
        <v>6058001</v>
      </c>
      <c r="X594" s="96">
        <v>400</v>
      </c>
      <c r="Y594" s="96">
        <v>350</v>
      </c>
      <c r="Z594" s="71">
        <v>0</v>
      </c>
    </row>
    <row r="595" spans="1:26">
      <c r="A595" s="71">
        <v>6058002</v>
      </c>
      <c r="B595" s="96" t="s">
        <v>73</v>
      </c>
      <c r="C595" s="96"/>
      <c r="D595" s="96">
        <v>2</v>
      </c>
      <c r="E595" s="71">
        <v>3</v>
      </c>
      <c r="F595" s="96">
        <v>3001</v>
      </c>
      <c r="G595" s="71">
        <v>350</v>
      </c>
      <c r="H595" s="95">
        <v>10000</v>
      </c>
      <c r="I595" s="98">
        <v>0</v>
      </c>
      <c r="J595" s="96">
        <v>10000</v>
      </c>
      <c r="K595" s="96">
        <v>1058002</v>
      </c>
      <c r="L595" s="96" t="s">
        <v>673</v>
      </c>
      <c r="M595" s="25" t="s">
        <v>672</v>
      </c>
      <c r="N595" s="96" t="s">
        <v>73</v>
      </c>
      <c r="O595" s="96"/>
      <c r="P595" s="96"/>
      <c r="Q595" s="96" t="s">
        <v>60</v>
      </c>
      <c r="R595" s="95">
        <v>0</v>
      </c>
      <c r="S595" s="103">
        <f>A595</f>
        <v>6058002</v>
      </c>
      <c r="T595" s="96">
        <v>400</v>
      </c>
      <c r="U595" s="96">
        <v>1013</v>
      </c>
      <c r="V595" s="96">
        <v>2000</v>
      </c>
      <c r="W595" s="96">
        <v>0</v>
      </c>
      <c r="X595" s="96">
        <v>0</v>
      </c>
      <c r="Y595" s="96">
        <v>0</v>
      </c>
      <c r="Z595" s="71">
        <v>5001004</v>
      </c>
    </row>
    <row r="596" spans="1:26">
      <c r="A596" s="71">
        <v>6058101</v>
      </c>
      <c r="B596" s="96" t="s">
        <v>675</v>
      </c>
      <c r="C596" s="96"/>
      <c r="D596" s="96">
        <v>1</v>
      </c>
      <c r="E596" s="71">
        <v>3</v>
      </c>
      <c r="F596" s="96">
        <v>1001</v>
      </c>
      <c r="G596" s="71">
        <v>350</v>
      </c>
      <c r="H596" s="95">
        <v>10000</v>
      </c>
      <c r="I596" s="98">
        <v>0</v>
      </c>
      <c r="J596" s="95">
        <v>10000</v>
      </c>
      <c r="K596" s="96">
        <v>0</v>
      </c>
      <c r="L596" s="96" t="s">
        <v>675</v>
      </c>
      <c r="M596" s="71"/>
      <c r="N596" s="96" t="s">
        <v>675</v>
      </c>
      <c r="O596" s="96"/>
      <c r="P596" s="96"/>
      <c r="Q596" s="96" t="s">
        <v>227</v>
      </c>
      <c r="R596" s="95">
        <v>0</v>
      </c>
      <c r="S596" s="103">
        <v>0</v>
      </c>
      <c r="T596" s="96">
        <v>0</v>
      </c>
      <c r="U596" s="96">
        <v>1013</v>
      </c>
      <c r="V596" s="96">
        <v>700</v>
      </c>
      <c r="W596" s="96">
        <v>6058001</v>
      </c>
      <c r="X596" s="96">
        <v>400</v>
      </c>
      <c r="Y596" s="96">
        <v>350</v>
      </c>
      <c r="Z596" s="71">
        <v>0</v>
      </c>
    </row>
    <row r="597" spans="1:26">
      <c r="A597" s="71">
        <v>6058102</v>
      </c>
      <c r="B597" s="96" t="s">
        <v>676</v>
      </c>
      <c r="C597" s="96"/>
      <c r="D597" s="96">
        <v>2</v>
      </c>
      <c r="E597" s="71">
        <v>3</v>
      </c>
      <c r="F597" s="96">
        <v>3001</v>
      </c>
      <c r="G597" s="71">
        <v>350</v>
      </c>
      <c r="H597" s="95">
        <v>10000</v>
      </c>
      <c r="I597" s="98">
        <v>0</v>
      </c>
      <c r="J597" s="96">
        <v>10000</v>
      </c>
      <c r="K597" s="96">
        <v>1058002</v>
      </c>
      <c r="L597" s="96" t="s">
        <v>678</v>
      </c>
      <c r="M597" s="25" t="s">
        <v>677</v>
      </c>
      <c r="N597" s="96" t="s">
        <v>676</v>
      </c>
      <c r="O597" s="96"/>
      <c r="P597" s="96"/>
      <c r="Q597" s="96" t="s">
        <v>60</v>
      </c>
      <c r="R597" s="95">
        <v>0</v>
      </c>
      <c r="S597" s="103">
        <f>A597</f>
        <v>6058102</v>
      </c>
      <c r="T597" s="96">
        <v>400</v>
      </c>
      <c r="U597" s="96">
        <v>1013</v>
      </c>
      <c r="V597" s="96">
        <v>2000</v>
      </c>
      <c r="W597" s="96">
        <v>0</v>
      </c>
      <c r="X597" s="96">
        <v>0</v>
      </c>
      <c r="Y597" s="96">
        <v>0</v>
      </c>
      <c r="Z597" s="71">
        <v>0</v>
      </c>
    </row>
    <row r="598" spans="1:26">
      <c r="A598" s="71">
        <v>6058201</v>
      </c>
      <c r="B598" s="96" t="s">
        <v>681</v>
      </c>
      <c r="C598" s="96"/>
      <c r="D598" s="96">
        <v>1</v>
      </c>
      <c r="E598" s="71">
        <v>3</v>
      </c>
      <c r="F598" s="96">
        <v>1001</v>
      </c>
      <c r="G598" s="71">
        <v>350</v>
      </c>
      <c r="H598" s="95">
        <v>10000</v>
      </c>
      <c r="I598" s="98">
        <v>0</v>
      </c>
      <c r="J598" s="95">
        <v>10000</v>
      </c>
      <c r="K598" s="96">
        <v>0</v>
      </c>
      <c r="L598" s="96" t="s">
        <v>681</v>
      </c>
      <c r="M598" s="71"/>
      <c r="N598" s="96" t="s">
        <v>681</v>
      </c>
      <c r="O598" s="96"/>
      <c r="P598" s="96"/>
      <c r="Q598" s="96" t="s">
        <v>227</v>
      </c>
      <c r="R598" s="95">
        <v>0</v>
      </c>
      <c r="S598" s="103">
        <v>0</v>
      </c>
      <c r="T598" s="96">
        <v>0</v>
      </c>
      <c r="U598" s="96">
        <v>1013</v>
      </c>
      <c r="V598" s="96">
        <v>700</v>
      </c>
      <c r="W598" s="96">
        <v>6058001</v>
      </c>
      <c r="X598" s="96">
        <v>400</v>
      </c>
      <c r="Y598" s="96">
        <v>350</v>
      </c>
      <c r="Z598" s="71">
        <v>0</v>
      </c>
    </row>
    <row r="599" spans="1:26">
      <c r="A599" s="71">
        <v>6058202</v>
      </c>
      <c r="B599" s="96" t="s">
        <v>682</v>
      </c>
      <c r="C599" s="96"/>
      <c r="D599" s="96">
        <v>2</v>
      </c>
      <c r="E599" s="71">
        <v>3</v>
      </c>
      <c r="F599" s="96">
        <v>3001</v>
      </c>
      <c r="G599" s="71">
        <v>350</v>
      </c>
      <c r="H599" s="96">
        <v>1670</v>
      </c>
      <c r="I599" s="98">
        <v>0</v>
      </c>
      <c r="J599" s="96">
        <v>10000</v>
      </c>
      <c r="K599" s="96">
        <v>1058202</v>
      </c>
      <c r="L599" s="96" t="s">
        <v>684</v>
      </c>
      <c r="M599" s="25" t="s">
        <v>683</v>
      </c>
      <c r="N599" s="96" t="s">
        <v>682</v>
      </c>
      <c r="O599" s="96"/>
      <c r="P599" s="96"/>
      <c r="Q599" s="96" t="s">
        <v>60</v>
      </c>
      <c r="R599" s="95">
        <v>0</v>
      </c>
      <c r="S599" s="103">
        <f>A599</f>
        <v>6058202</v>
      </c>
      <c r="T599" s="96">
        <v>700</v>
      </c>
      <c r="U599" s="96">
        <v>1013</v>
      </c>
      <c r="V599" s="96" t="s">
        <v>686</v>
      </c>
      <c r="W599" s="96">
        <v>0</v>
      </c>
      <c r="X599" s="96">
        <v>0</v>
      </c>
      <c r="Y599" s="96">
        <v>0</v>
      </c>
      <c r="Z599" s="71">
        <v>5007006</v>
      </c>
    </row>
    <row r="600" spans="1:26">
      <c r="A600" s="71">
        <v>6059001</v>
      </c>
      <c r="B600" s="96" t="s">
        <v>687</v>
      </c>
      <c r="C600" s="96"/>
      <c r="D600" s="96">
        <v>1</v>
      </c>
      <c r="E600" s="71">
        <v>3</v>
      </c>
      <c r="F600" s="96">
        <v>1001</v>
      </c>
      <c r="G600" s="71">
        <v>350</v>
      </c>
      <c r="H600" s="95">
        <v>10000</v>
      </c>
      <c r="I600" s="98">
        <v>0</v>
      </c>
      <c r="J600" s="95">
        <v>10000</v>
      </c>
      <c r="K600" s="96">
        <v>0</v>
      </c>
      <c r="L600" s="96" t="s">
        <v>687</v>
      </c>
      <c r="M600" s="71"/>
      <c r="N600" s="96" t="s">
        <v>687</v>
      </c>
      <c r="O600" s="96"/>
      <c r="P600" s="96"/>
      <c r="Q600" s="96" t="s">
        <v>227</v>
      </c>
      <c r="R600" s="95">
        <v>0</v>
      </c>
      <c r="S600" s="103">
        <v>0</v>
      </c>
      <c r="T600" s="96">
        <v>0</v>
      </c>
      <c r="U600" s="96">
        <v>1011</v>
      </c>
      <c r="V600" s="96">
        <v>600</v>
      </c>
      <c r="W600" s="96">
        <v>6059001</v>
      </c>
      <c r="X600" s="96">
        <v>300</v>
      </c>
      <c r="Y600" s="96">
        <v>350</v>
      </c>
      <c r="Z600" s="71">
        <v>0</v>
      </c>
    </row>
    <row r="601" spans="1:26">
      <c r="A601" s="71">
        <v>6059002</v>
      </c>
      <c r="B601" s="96" t="s">
        <v>688</v>
      </c>
      <c r="C601" s="96"/>
      <c r="D601" s="96">
        <v>2</v>
      </c>
      <c r="E601" s="71">
        <v>3</v>
      </c>
      <c r="F601" s="96">
        <v>3001</v>
      </c>
      <c r="G601" s="71">
        <v>350</v>
      </c>
      <c r="H601" s="96">
        <v>1430</v>
      </c>
      <c r="I601" s="98">
        <v>0</v>
      </c>
      <c r="J601" s="96">
        <v>10000</v>
      </c>
      <c r="K601" s="96">
        <v>1059002</v>
      </c>
      <c r="L601" s="96" t="s">
        <v>690</v>
      </c>
      <c r="M601" s="25" t="s">
        <v>689</v>
      </c>
      <c r="N601" s="96" t="s">
        <v>688</v>
      </c>
      <c r="O601" s="96"/>
      <c r="P601" s="96"/>
      <c r="Q601" s="96" t="s">
        <v>60</v>
      </c>
      <c r="R601" s="95">
        <v>0</v>
      </c>
      <c r="S601" s="103">
        <f>A601</f>
        <v>6059002</v>
      </c>
      <c r="T601" s="96">
        <v>1400</v>
      </c>
      <c r="U601" s="96">
        <v>1011</v>
      </c>
      <c r="V601" s="96" t="s">
        <v>975</v>
      </c>
      <c r="W601" s="96">
        <v>0</v>
      </c>
      <c r="X601" s="96">
        <v>0</v>
      </c>
      <c r="Y601" s="96">
        <v>0</v>
      </c>
      <c r="Z601" s="71">
        <v>0</v>
      </c>
    </row>
    <row r="602" spans="1:26">
      <c r="A602" s="71">
        <v>6059101</v>
      </c>
      <c r="B602" s="96" t="s">
        <v>692</v>
      </c>
      <c r="C602" s="96"/>
      <c r="D602" s="96">
        <v>1</v>
      </c>
      <c r="E602" s="71">
        <v>3</v>
      </c>
      <c r="F602" s="96">
        <v>1001</v>
      </c>
      <c r="G602" s="71">
        <v>350</v>
      </c>
      <c r="H602" s="95">
        <v>10000</v>
      </c>
      <c r="I602" s="98">
        <v>0</v>
      </c>
      <c r="J602" s="95">
        <v>10000</v>
      </c>
      <c r="K602" s="96">
        <v>0</v>
      </c>
      <c r="L602" s="96" t="s">
        <v>692</v>
      </c>
      <c r="M602" s="71"/>
      <c r="N602" s="96" t="s">
        <v>692</v>
      </c>
      <c r="O602" s="96"/>
      <c r="P602" s="96"/>
      <c r="Q602" s="96" t="s">
        <v>227</v>
      </c>
      <c r="R602" s="95">
        <v>0</v>
      </c>
      <c r="S602" s="103">
        <v>0</v>
      </c>
      <c r="T602" s="96">
        <v>0</v>
      </c>
      <c r="U602" s="96">
        <v>1011</v>
      </c>
      <c r="V602" s="96">
        <v>700</v>
      </c>
      <c r="W602" s="96">
        <v>6059001</v>
      </c>
      <c r="X602" s="96">
        <v>400</v>
      </c>
      <c r="Y602" s="96">
        <v>350</v>
      </c>
      <c r="Z602" s="71">
        <v>0</v>
      </c>
    </row>
    <row r="603" spans="1:26">
      <c r="A603" s="71">
        <v>6059102</v>
      </c>
      <c r="B603" s="96" t="s">
        <v>693</v>
      </c>
      <c r="C603" s="96"/>
      <c r="D603" s="96">
        <v>2</v>
      </c>
      <c r="E603" s="71">
        <v>3</v>
      </c>
      <c r="F603" s="96">
        <v>3001</v>
      </c>
      <c r="G603" s="71">
        <v>350</v>
      </c>
      <c r="H603" s="96">
        <v>1430</v>
      </c>
      <c r="I603" s="98">
        <v>0</v>
      </c>
      <c r="J603" s="96">
        <v>10000</v>
      </c>
      <c r="K603" s="96">
        <v>1059002</v>
      </c>
      <c r="L603" s="96" t="s">
        <v>695</v>
      </c>
      <c r="M603" s="25" t="s">
        <v>694</v>
      </c>
      <c r="N603" s="96" t="s">
        <v>693</v>
      </c>
      <c r="O603" s="96"/>
      <c r="P603" s="96"/>
      <c r="Q603" s="96" t="s">
        <v>60</v>
      </c>
      <c r="R603" s="95">
        <v>0</v>
      </c>
      <c r="S603" s="103">
        <f>A603</f>
        <v>6059102</v>
      </c>
      <c r="T603" s="96">
        <v>800</v>
      </c>
      <c r="U603" s="96">
        <v>1011</v>
      </c>
      <c r="V603" s="96" t="s">
        <v>975</v>
      </c>
      <c r="W603" s="96">
        <v>0</v>
      </c>
      <c r="X603" s="96">
        <v>0</v>
      </c>
      <c r="Y603" s="96">
        <v>0</v>
      </c>
      <c r="Z603" s="71">
        <v>0</v>
      </c>
    </row>
    <row r="604" spans="1:26">
      <c r="A604" s="71">
        <v>6060001</v>
      </c>
      <c r="B604" s="96" t="s">
        <v>698</v>
      </c>
      <c r="C604" s="96"/>
      <c r="D604" s="96">
        <v>1</v>
      </c>
      <c r="E604" s="71">
        <v>3</v>
      </c>
      <c r="F604" s="96">
        <v>1001</v>
      </c>
      <c r="G604" s="71">
        <v>350</v>
      </c>
      <c r="H604" s="95">
        <v>10000</v>
      </c>
      <c r="I604" s="98">
        <v>0</v>
      </c>
      <c r="J604" s="95">
        <v>10000</v>
      </c>
      <c r="K604" s="96">
        <v>0</v>
      </c>
      <c r="L604" s="96" t="s">
        <v>698</v>
      </c>
      <c r="M604" s="71"/>
      <c r="N604" s="96" t="s">
        <v>698</v>
      </c>
      <c r="O604" s="96"/>
      <c r="P604" s="96"/>
      <c r="Q604" s="96" t="s">
        <v>227</v>
      </c>
      <c r="R604" s="95">
        <v>0</v>
      </c>
      <c r="S604" s="103">
        <v>0</v>
      </c>
      <c r="T604" s="96">
        <v>0</v>
      </c>
      <c r="U604" s="96">
        <v>1011</v>
      </c>
      <c r="V604" s="96">
        <v>700</v>
      </c>
      <c r="W604" s="96">
        <v>6060001</v>
      </c>
      <c r="X604" s="96">
        <v>400</v>
      </c>
      <c r="Y604" s="96">
        <v>350</v>
      </c>
      <c r="Z604" s="71">
        <v>0</v>
      </c>
    </row>
    <row r="605" spans="1:26">
      <c r="A605" s="71">
        <v>6060002</v>
      </c>
      <c r="B605" s="96" t="s">
        <v>699</v>
      </c>
      <c r="C605" s="96"/>
      <c r="D605" s="96">
        <v>2</v>
      </c>
      <c r="E605" s="71">
        <v>3</v>
      </c>
      <c r="F605" s="96">
        <v>3001</v>
      </c>
      <c r="G605" s="71">
        <v>350</v>
      </c>
      <c r="H605" s="96">
        <v>2000</v>
      </c>
      <c r="I605" s="98">
        <v>0</v>
      </c>
      <c r="J605" s="96">
        <v>10000</v>
      </c>
      <c r="K605" s="96">
        <v>1060002</v>
      </c>
      <c r="L605" s="96" t="s">
        <v>701</v>
      </c>
      <c r="M605" s="25" t="s">
        <v>700</v>
      </c>
      <c r="N605" s="96" t="s">
        <v>699</v>
      </c>
      <c r="O605" s="96"/>
      <c r="P605" s="96"/>
      <c r="Q605" s="96" t="s">
        <v>60</v>
      </c>
      <c r="R605" s="95">
        <v>0</v>
      </c>
      <c r="S605" s="103">
        <f>A605</f>
        <v>6060002</v>
      </c>
      <c r="T605" s="96">
        <v>1400</v>
      </c>
      <c r="U605" s="96">
        <v>1011</v>
      </c>
      <c r="V605" s="96" t="s">
        <v>976</v>
      </c>
      <c r="W605" s="96">
        <v>0</v>
      </c>
      <c r="X605" s="96">
        <v>0</v>
      </c>
      <c r="Y605" s="96">
        <v>0</v>
      </c>
      <c r="Z605" s="71">
        <v>0</v>
      </c>
    </row>
    <row r="606" spans="1:26">
      <c r="A606" s="71">
        <v>6060101</v>
      </c>
      <c r="B606" s="96" t="s">
        <v>704</v>
      </c>
      <c r="C606" s="96"/>
      <c r="D606" s="96">
        <v>1</v>
      </c>
      <c r="E606" s="71">
        <v>3</v>
      </c>
      <c r="F606" s="96">
        <v>1001</v>
      </c>
      <c r="G606" s="71">
        <v>350</v>
      </c>
      <c r="H606" s="95">
        <v>10000</v>
      </c>
      <c r="I606" s="98">
        <v>0</v>
      </c>
      <c r="J606" s="95">
        <v>10000</v>
      </c>
      <c r="K606" s="96">
        <v>0</v>
      </c>
      <c r="L606" s="96" t="s">
        <v>704</v>
      </c>
      <c r="M606" s="71"/>
      <c r="N606" s="96" t="s">
        <v>704</v>
      </c>
      <c r="O606" s="96"/>
      <c r="P606" s="96"/>
      <c r="Q606" s="96" t="s">
        <v>227</v>
      </c>
      <c r="R606" s="95">
        <v>0</v>
      </c>
      <c r="S606" s="103">
        <v>0</v>
      </c>
      <c r="T606" s="96">
        <v>0</v>
      </c>
      <c r="U606" s="96">
        <v>1011</v>
      </c>
      <c r="V606" s="96">
        <v>700</v>
      </c>
      <c r="W606" s="96">
        <v>6060001</v>
      </c>
      <c r="X606" s="96">
        <v>400</v>
      </c>
      <c r="Y606" s="96">
        <v>350</v>
      </c>
      <c r="Z606" s="71">
        <v>0</v>
      </c>
    </row>
    <row r="607" spans="1:26">
      <c r="A607" s="71">
        <v>6060102</v>
      </c>
      <c r="B607" s="96" t="s">
        <v>705</v>
      </c>
      <c r="C607" s="96"/>
      <c r="D607" s="96">
        <v>2</v>
      </c>
      <c r="E607" s="71">
        <v>3</v>
      </c>
      <c r="F607" s="96">
        <v>3001</v>
      </c>
      <c r="G607" s="71">
        <v>350</v>
      </c>
      <c r="H607" s="96">
        <v>2000</v>
      </c>
      <c r="I607" s="98">
        <v>0</v>
      </c>
      <c r="J607" s="96">
        <v>10000</v>
      </c>
      <c r="K607" s="96">
        <v>1060002</v>
      </c>
      <c r="L607" s="96" t="s">
        <v>707</v>
      </c>
      <c r="M607" s="25" t="s">
        <v>706</v>
      </c>
      <c r="N607" s="96" t="s">
        <v>705</v>
      </c>
      <c r="O607" s="96"/>
      <c r="P607" s="96"/>
      <c r="Q607" s="96" t="s">
        <v>60</v>
      </c>
      <c r="R607" s="95">
        <v>0</v>
      </c>
      <c r="S607" s="103">
        <f>A607</f>
        <v>6060102</v>
      </c>
      <c r="T607" s="96">
        <v>1400</v>
      </c>
      <c r="U607" s="96">
        <v>1011</v>
      </c>
      <c r="V607" s="96" t="s">
        <v>976</v>
      </c>
      <c r="W607" s="96">
        <v>0</v>
      </c>
      <c r="X607" s="96">
        <v>0</v>
      </c>
      <c r="Y607" s="96">
        <v>0</v>
      </c>
      <c r="Z607" s="71">
        <v>0</v>
      </c>
    </row>
    <row r="608" spans="1:26">
      <c r="A608" s="71">
        <v>6062001</v>
      </c>
      <c r="B608" s="96" t="s">
        <v>710</v>
      </c>
      <c r="C608" s="96"/>
      <c r="D608" s="96">
        <v>1</v>
      </c>
      <c r="E608" s="71">
        <v>3</v>
      </c>
      <c r="F608" s="96">
        <v>1001</v>
      </c>
      <c r="G608" s="71">
        <v>350</v>
      </c>
      <c r="H608" s="95">
        <v>10000</v>
      </c>
      <c r="I608" s="98">
        <v>0</v>
      </c>
      <c r="J608" s="95">
        <v>10000</v>
      </c>
      <c r="K608" s="96">
        <v>0</v>
      </c>
      <c r="L608" s="96" t="s">
        <v>710</v>
      </c>
      <c r="M608" s="71"/>
      <c r="N608" s="96" t="s">
        <v>710</v>
      </c>
      <c r="O608" s="96"/>
      <c r="P608" s="96"/>
      <c r="Q608" s="96" t="s">
        <v>227</v>
      </c>
      <c r="R608" s="95">
        <v>0</v>
      </c>
      <c r="S608" s="103">
        <v>0</v>
      </c>
      <c r="T608" s="96">
        <v>0</v>
      </c>
      <c r="U608" s="96">
        <v>1011</v>
      </c>
      <c r="V608" s="96">
        <v>700</v>
      </c>
      <c r="W608" s="96">
        <v>6060001</v>
      </c>
      <c r="X608" s="96">
        <v>400</v>
      </c>
      <c r="Y608" s="96">
        <v>350</v>
      </c>
      <c r="Z608" s="71">
        <v>0</v>
      </c>
    </row>
    <row r="609" spans="1:26">
      <c r="A609" s="71">
        <v>6062002</v>
      </c>
      <c r="B609" s="96" t="s">
        <v>711</v>
      </c>
      <c r="C609" s="96"/>
      <c r="D609" s="96">
        <v>2</v>
      </c>
      <c r="E609" s="71">
        <v>3</v>
      </c>
      <c r="F609" s="96">
        <v>3001</v>
      </c>
      <c r="G609" s="71">
        <v>350</v>
      </c>
      <c r="H609" s="96">
        <v>5000</v>
      </c>
      <c r="I609" s="98">
        <v>0</v>
      </c>
      <c r="J609" s="96">
        <v>10000</v>
      </c>
      <c r="K609" s="96">
        <v>1062002</v>
      </c>
      <c r="L609" s="96" t="s">
        <v>713</v>
      </c>
      <c r="M609" s="25" t="s">
        <v>712</v>
      </c>
      <c r="N609" s="96" t="s">
        <v>711</v>
      </c>
      <c r="O609" s="96"/>
      <c r="P609" s="96"/>
      <c r="Q609" s="96" t="s">
        <v>60</v>
      </c>
      <c r="R609" s="95">
        <v>0</v>
      </c>
      <c r="S609" s="103">
        <f>A609</f>
        <v>6062002</v>
      </c>
      <c r="T609" s="96">
        <v>1000</v>
      </c>
      <c r="U609" s="96">
        <v>1011</v>
      </c>
      <c r="V609" s="96" t="s">
        <v>715</v>
      </c>
      <c r="W609" s="96">
        <v>0</v>
      </c>
      <c r="X609" s="96">
        <v>0</v>
      </c>
      <c r="Y609" s="96">
        <v>0</v>
      </c>
      <c r="Z609" s="71">
        <v>0</v>
      </c>
    </row>
    <row r="610" spans="1:26">
      <c r="A610" s="71">
        <v>6062101</v>
      </c>
      <c r="B610" s="96" t="s">
        <v>716</v>
      </c>
      <c r="C610" s="96"/>
      <c r="D610" s="96">
        <v>1</v>
      </c>
      <c r="E610" s="71">
        <v>3</v>
      </c>
      <c r="F610" s="96">
        <v>1001</v>
      </c>
      <c r="G610" s="71">
        <v>350</v>
      </c>
      <c r="H610" s="95">
        <v>10000</v>
      </c>
      <c r="I610" s="98">
        <v>0</v>
      </c>
      <c r="J610" s="95">
        <v>10000</v>
      </c>
      <c r="K610" s="96">
        <v>0</v>
      </c>
      <c r="L610" s="96" t="s">
        <v>716</v>
      </c>
      <c r="M610" s="71"/>
      <c r="N610" s="96" t="s">
        <v>716</v>
      </c>
      <c r="O610" s="96"/>
      <c r="P610" s="96"/>
      <c r="Q610" s="96" t="s">
        <v>227</v>
      </c>
      <c r="R610" s="95">
        <v>0</v>
      </c>
      <c r="S610" s="103">
        <v>0</v>
      </c>
      <c r="T610" s="96">
        <v>0</v>
      </c>
      <c r="U610" s="96">
        <v>1011</v>
      </c>
      <c r="V610" s="96">
        <v>700</v>
      </c>
      <c r="W610" s="96">
        <v>6060001</v>
      </c>
      <c r="X610" s="96">
        <v>400</v>
      </c>
      <c r="Y610" s="96">
        <v>350</v>
      </c>
      <c r="Z610" s="71">
        <v>0</v>
      </c>
    </row>
    <row r="611" spans="1:26">
      <c r="A611" s="71">
        <v>6062102</v>
      </c>
      <c r="B611" s="96" t="s">
        <v>717</v>
      </c>
      <c r="C611" s="96"/>
      <c r="D611" s="96">
        <v>2</v>
      </c>
      <c r="E611" s="71">
        <v>3</v>
      </c>
      <c r="F611" s="96">
        <v>3001</v>
      </c>
      <c r="G611" s="71">
        <v>350</v>
      </c>
      <c r="H611" s="96">
        <v>5000</v>
      </c>
      <c r="I611" s="98">
        <v>0</v>
      </c>
      <c r="J611" s="96">
        <v>10000</v>
      </c>
      <c r="K611" s="96">
        <v>1062002</v>
      </c>
      <c r="L611" s="96" t="s">
        <v>719</v>
      </c>
      <c r="M611" s="25" t="s">
        <v>718</v>
      </c>
      <c r="N611" s="96" t="s">
        <v>717</v>
      </c>
      <c r="O611" s="96"/>
      <c r="P611" s="96"/>
      <c r="Q611" s="96" t="s">
        <v>60</v>
      </c>
      <c r="R611" s="95">
        <v>0</v>
      </c>
      <c r="S611" s="103">
        <f>A611</f>
        <v>6062102</v>
      </c>
      <c r="T611" s="96">
        <v>1000</v>
      </c>
      <c r="U611" s="96">
        <v>1011</v>
      </c>
      <c r="V611" s="96" t="s">
        <v>715</v>
      </c>
      <c r="W611" s="96">
        <v>0</v>
      </c>
      <c r="X611" s="96">
        <v>0</v>
      </c>
      <c r="Y611" s="96">
        <v>0</v>
      </c>
      <c r="Z611" s="71">
        <v>0</v>
      </c>
    </row>
    <row r="612" ht="17.25" spans="9:13">
      <c r="I612" s="76"/>
      <c r="M612" s="86"/>
    </row>
    <row r="613" spans="13:13">
      <c r="M613" s="25"/>
    </row>
  </sheetData>
  <autoFilter xmlns:etc="http://www.wps.cn/officeDocument/2017/etCustomData" ref="D1:D613" etc:filterBottomFollowUsedRange="0">
    <extLst/>
  </autoFilter>
  <conditionalFormatting sqref="AA3">
    <cfRule type="duplicateValues" dxfId="0" priority="47"/>
  </conditionalFormatting>
  <conditionalFormatting sqref="I39">
    <cfRule type="duplicateValues" dxfId="0" priority="873"/>
  </conditionalFormatting>
  <conditionalFormatting sqref="S42">
    <cfRule type="duplicateValues" dxfId="0" priority="993"/>
  </conditionalFormatting>
  <conditionalFormatting sqref="W51">
    <cfRule type="duplicateValues" dxfId="0" priority="537"/>
  </conditionalFormatting>
  <conditionalFormatting sqref="S52">
    <cfRule type="duplicateValues" dxfId="0" priority="534"/>
  </conditionalFormatting>
  <conditionalFormatting sqref="L53:M53">
    <cfRule type="duplicateValues" dxfId="0" priority="415"/>
  </conditionalFormatting>
  <conditionalFormatting sqref="N53:P53">
    <cfRule type="duplicateValues" dxfId="0" priority="413"/>
  </conditionalFormatting>
  <conditionalFormatting sqref="W53">
    <cfRule type="duplicateValues" dxfId="0" priority="420"/>
  </conditionalFormatting>
  <conditionalFormatting sqref="N54:P54">
    <cfRule type="duplicateValues" dxfId="0" priority="411"/>
  </conditionalFormatting>
  <conditionalFormatting sqref="S54">
    <cfRule type="duplicateValues" dxfId="0" priority="417"/>
  </conditionalFormatting>
  <conditionalFormatting sqref="W79">
    <cfRule type="duplicateValues" dxfId="0" priority="625"/>
  </conditionalFormatting>
  <conditionalFormatting sqref="S80">
    <cfRule type="duplicateValues" dxfId="0" priority="623"/>
  </conditionalFormatting>
  <conditionalFormatting sqref="W81">
    <cfRule type="duplicateValues" dxfId="0" priority="624"/>
  </conditionalFormatting>
  <conditionalFormatting sqref="S82">
    <cfRule type="duplicateValues" dxfId="0" priority="622"/>
  </conditionalFormatting>
  <conditionalFormatting sqref="W91">
    <cfRule type="duplicateValues" dxfId="0" priority="614"/>
  </conditionalFormatting>
  <conditionalFormatting sqref="S92">
    <cfRule type="duplicateValues" dxfId="0" priority="608"/>
  </conditionalFormatting>
  <conditionalFormatting sqref="W93">
    <cfRule type="duplicateValues" dxfId="0" priority="611"/>
  </conditionalFormatting>
  <conditionalFormatting sqref="S94">
    <cfRule type="duplicateValues" dxfId="0" priority="605"/>
  </conditionalFormatting>
  <conditionalFormatting sqref="B106:C106">
    <cfRule type="duplicateValues" dxfId="0" priority="514"/>
  </conditionalFormatting>
  <conditionalFormatting sqref="B110:C110">
    <cfRule type="duplicateValues" dxfId="0" priority="959"/>
  </conditionalFormatting>
  <conditionalFormatting sqref="L117:M117">
    <cfRule type="duplicateValues" dxfId="0" priority="397"/>
  </conditionalFormatting>
  <conditionalFormatting sqref="K118">
    <cfRule type="duplicateValues" dxfId="0" priority="1695"/>
  </conditionalFormatting>
  <conditionalFormatting sqref="K120">
    <cfRule type="duplicateValues" dxfId="0" priority="1698"/>
  </conditionalFormatting>
  <conditionalFormatting sqref="K146">
    <cfRule type="duplicateValues" dxfId="0" priority="1680"/>
  </conditionalFormatting>
  <conditionalFormatting sqref="W147">
    <cfRule type="duplicateValues" dxfId="0" priority="470"/>
  </conditionalFormatting>
  <conditionalFormatting sqref="K148">
    <cfRule type="duplicateValues" dxfId="0" priority="1683"/>
  </conditionalFormatting>
  <conditionalFormatting sqref="S148">
    <cfRule type="duplicateValues" dxfId="0" priority="464"/>
  </conditionalFormatting>
  <conditionalFormatting sqref="W149">
    <cfRule type="duplicateValues" dxfId="0" priority="467"/>
  </conditionalFormatting>
  <conditionalFormatting sqref="K150">
    <cfRule type="duplicateValues" dxfId="0" priority="1686"/>
  </conditionalFormatting>
  <conditionalFormatting sqref="S150">
    <cfRule type="duplicateValues" dxfId="0" priority="461"/>
  </conditionalFormatting>
  <conditionalFormatting sqref="B183:C183">
    <cfRule type="duplicateValues" dxfId="0" priority="831"/>
  </conditionalFormatting>
  <conditionalFormatting sqref="W185">
    <cfRule type="duplicateValues" dxfId="0" priority="591"/>
  </conditionalFormatting>
  <conditionalFormatting sqref="S186">
    <cfRule type="duplicateValues" dxfId="0" priority="585"/>
  </conditionalFormatting>
  <conditionalFormatting sqref="W187">
    <cfRule type="duplicateValues" dxfId="0" priority="588"/>
  </conditionalFormatting>
  <conditionalFormatting sqref="S188">
    <cfRule type="duplicateValues" dxfId="0" priority="582"/>
  </conditionalFormatting>
  <conditionalFormatting sqref="W189">
    <cfRule type="duplicateValues" dxfId="0" priority="451"/>
  </conditionalFormatting>
  <conditionalFormatting sqref="K190">
    <cfRule type="duplicateValues" dxfId="0" priority="1689"/>
  </conditionalFormatting>
  <conditionalFormatting sqref="S190">
    <cfRule type="duplicateValues" dxfId="0" priority="448"/>
  </conditionalFormatting>
  <conditionalFormatting sqref="W197">
    <cfRule type="duplicateValues" dxfId="0" priority="556"/>
  </conditionalFormatting>
  <conditionalFormatting sqref="S198">
    <cfRule type="duplicateValues" dxfId="0" priority="550"/>
  </conditionalFormatting>
  <conditionalFormatting sqref="W199">
    <cfRule type="duplicateValues" dxfId="0" priority="553"/>
  </conditionalFormatting>
  <conditionalFormatting sqref="B201:C201">
    <cfRule type="duplicateValues" dxfId="0" priority="829"/>
  </conditionalFormatting>
  <conditionalFormatting sqref="B203:C203">
    <cfRule type="duplicateValues" dxfId="0" priority="827"/>
  </conditionalFormatting>
  <conditionalFormatting sqref="B205:C205">
    <cfRule type="duplicateValues" dxfId="0" priority="825"/>
  </conditionalFormatting>
  <conditionalFormatting sqref="B207:C207">
    <cfRule type="duplicateValues" dxfId="0" priority="797"/>
  </conditionalFormatting>
  <conditionalFormatting sqref="W208">
    <cfRule type="duplicateValues" dxfId="0" priority="812"/>
  </conditionalFormatting>
  <conditionalFormatting sqref="W210">
    <cfRule type="duplicateValues" dxfId="0" priority="776"/>
  </conditionalFormatting>
  <conditionalFormatting sqref="W211">
    <cfRule type="duplicateValues" dxfId="0" priority="630"/>
  </conditionalFormatting>
  <conditionalFormatting sqref="W213">
    <cfRule type="duplicateValues" dxfId="0" priority="433"/>
  </conditionalFormatting>
  <conditionalFormatting sqref="W215">
    <cfRule type="duplicateValues" dxfId="0" priority="442"/>
  </conditionalFormatting>
  <conditionalFormatting sqref="K216">
    <cfRule type="duplicateValues" dxfId="0" priority="1692"/>
  </conditionalFormatting>
  <conditionalFormatting sqref="B223:C223">
    <cfRule type="duplicateValues" dxfId="0" priority="772"/>
  </conditionalFormatting>
  <conditionalFormatting sqref="W224">
    <cfRule type="duplicateValues" dxfId="0" priority="769"/>
  </conditionalFormatting>
  <conditionalFormatting sqref="B225:C225">
    <cfRule type="duplicateValues" dxfId="0" priority="499"/>
  </conditionalFormatting>
  <conditionalFormatting sqref="B227:C227">
    <cfRule type="duplicateValues" dxfId="0" priority="495"/>
  </conditionalFormatting>
  <conditionalFormatting sqref="B228:C228">
    <cfRule type="duplicateValues" dxfId="0" priority="493"/>
  </conditionalFormatting>
  <conditionalFormatting sqref="B230:C230">
    <cfRule type="duplicateValues" dxfId="0" priority="52"/>
  </conditionalFormatting>
  <conditionalFormatting sqref="L230:M230">
    <cfRule type="duplicateValues" dxfId="0" priority="50"/>
  </conditionalFormatting>
  <conditionalFormatting sqref="S234">
    <cfRule type="duplicateValues" dxfId="0" priority="38"/>
  </conditionalFormatting>
  <conditionalFormatting sqref="S255">
    <cfRule type="duplicateValues" dxfId="0" priority="36"/>
  </conditionalFormatting>
  <conditionalFormatting sqref="S257">
    <cfRule type="duplicateValues" dxfId="0" priority="37"/>
  </conditionalFormatting>
  <conditionalFormatting sqref="S276">
    <cfRule type="duplicateValues" dxfId="0" priority="34"/>
  </conditionalFormatting>
  <conditionalFormatting sqref="S278">
    <cfRule type="duplicateValues" dxfId="0" priority="35"/>
  </conditionalFormatting>
  <conditionalFormatting sqref="S297">
    <cfRule type="duplicateValues" dxfId="0" priority="32"/>
  </conditionalFormatting>
  <conditionalFormatting sqref="S299">
    <cfRule type="duplicateValues" dxfId="0" priority="33"/>
  </conditionalFormatting>
  <conditionalFormatting sqref="S318">
    <cfRule type="duplicateValues" dxfId="0" priority="30"/>
  </conditionalFormatting>
  <conditionalFormatting sqref="S320">
    <cfRule type="duplicateValues" dxfId="0" priority="31"/>
  </conditionalFormatting>
  <conditionalFormatting sqref="S339">
    <cfRule type="duplicateValues" dxfId="0" priority="28"/>
  </conditionalFormatting>
  <conditionalFormatting sqref="S341">
    <cfRule type="duplicateValues" dxfId="0" priority="29"/>
  </conditionalFormatting>
  <conditionalFormatting sqref="S360">
    <cfRule type="duplicateValues" dxfId="0" priority="26"/>
  </conditionalFormatting>
  <conditionalFormatting sqref="S362">
    <cfRule type="duplicateValues" dxfId="0" priority="27"/>
  </conditionalFormatting>
  <conditionalFormatting sqref="B379:C379">
    <cfRule type="duplicateValues" dxfId="0" priority="1705"/>
  </conditionalFormatting>
  <conditionalFormatting sqref="B380:C380">
    <cfRule type="duplicateValues" dxfId="0" priority="57"/>
  </conditionalFormatting>
  <conditionalFormatting sqref="B381:C381">
    <cfRule type="duplicateValues" dxfId="0" priority="793"/>
  </conditionalFormatting>
  <conditionalFormatting sqref="L381:M381">
    <cfRule type="duplicateValues" dxfId="0" priority="65"/>
  </conditionalFormatting>
  <conditionalFormatting sqref="B383:C383">
    <cfRule type="duplicateValues" dxfId="0" priority="789"/>
  </conditionalFormatting>
  <conditionalFormatting sqref="B384:C384">
    <cfRule type="duplicateValues" dxfId="0" priority="55"/>
  </conditionalFormatting>
  <conditionalFormatting sqref="B385:C385">
    <cfRule type="duplicateValues" dxfId="0" priority="1703"/>
  </conditionalFormatting>
  <conditionalFormatting sqref="L385:M385">
    <cfRule type="duplicateValues" dxfId="0" priority="63"/>
  </conditionalFormatting>
  <conditionalFormatting sqref="B386:C386">
    <cfRule type="duplicateValues" dxfId="0" priority="53"/>
  </conditionalFormatting>
  <conditionalFormatting sqref="B387:C387">
    <cfRule type="duplicateValues" dxfId="0" priority="761"/>
  </conditionalFormatting>
  <conditionalFormatting sqref="L387:M387">
    <cfRule type="duplicateValues" dxfId="0" priority="59"/>
  </conditionalFormatting>
  <conditionalFormatting sqref="B231:B251">
    <cfRule type="duplicateValues" dxfId="0" priority="13"/>
  </conditionalFormatting>
  <conditionalFormatting sqref="B252:B257">
    <cfRule type="duplicateValues" dxfId="0" priority="6"/>
  </conditionalFormatting>
  <conditionalFormatting sqref="B258:B272">
    <cfRule type="duplicateValues" dxfId="0" priority="12"/>
  </conditionalFormatting>
  <conditionalFormatting sqref="B273:B278">
    <cfRule type="duplicateValues" dxfId="0" priority="5"/>
  </conditionalFormatting>
  <conditionalFormatting sqref="B279:B293">
    <cfRule type="duplicateValues" dxfId="0" priority="11"/>
  </conditionalFormatting>
  <conditionalFormatting sqref="B294:B299">
    <cfRule type="duplicateValues" dxfId="0" priority="4"/>
  </conditionalFormatting>
  <conditionalFormatting sqref="B300:B314">
    <cfRule type="duplicateValues" dxfId="0" priority="10"/>
  </conditionalFormatting>
  <conditionalFormatting sqref="B315:B320">
    <cfRule type="duplicateValues" dxfId="0" priority="3"/>
  </conditionalFormatting>
  <conditionalFormatting sqref="B321:B335">
    <cfRule type="duplicateValues" dxfId="0" priority="9"/>
  </conditionalFormatting>
  <conditionalFormatting sqref="B336:B341">
    <cfRule type="duplicateValues" dxfId="0" priority="2"/>
  </conditionalFormatting>
  <conditionalFormatting sqref="B342:B356">
    <cfRule type="duplicateValues" dxfId="0" priority="8"/>
  </conditionalFormatting>
  <conditionalFormatting sqref="B357:B362">
    <cfRule type="duplicateValues" dxfId="0" priority="1"/>
  </conditionalFormatting>
  <conditionalFormatting sqref="B363:B377">
    <cfRule type="duplicateValues" dxfId="0" priority="7"/>
  </conditionalFormatting>
  <conditionalFormatting sqref="M231:M377">
    <cfRule type="duplicateValues" dxfId="0" priority="46"/>
  </conditionalFormatting>
  <conditionalFormatting sqref="S236:S251">
    <cfRule type="duplicateValues" dxfId="0" priority="45"/>
  </conditionalFormatting>
  <conditionalFormatting sqref="S258:S272">
    <cfRule type="duplicateValues" dxfId="0" priority="24"/>
  </conditionalFormatting>
  <conditionalFormatting sqref="S279:S293">
    <cfRule type="duplicateValues" dxfId="0" priority="22"/>
  </conditionalFormatting>
  <conditionalFormatting sqref="S300:S314">
    <cfRule type="duplicateValues" dxfId="0" priority="20"/>
  </conditionalFormatting>
  <conditionalFormatting sqref="S321:S335">
    <cfRule type="duplicateValues" dxfId="0" priority="18"/>
  </conditionalFormatting>
  <conditionalFormatting sqref="S342:S356">
    <cfRule type="duplicateValues" dxfId="0" priority="16"/>
  </conditionalFormatting>
  <conditionalFormatting sqref="S363:S377">
    <cfRule type="duplicateValues" dxfId="0" priority="14"/>
  </conditionalFormatting>
  <conditionalFormatting sqref="B109:C109 B111:C112 B43:C50 B127:C128 B55:C62">
    <cfRule type="duplicateValues" dxfId="0" priority="1428"/>
  </conditionalFormatting>
  <conditionalFormatting sqref="B51:C52">
    <cfRule type="duplicateValues" dxfId="0" priority="545"/>
  </conditionalFormatting>
  <conditionalFormatting sqref="B53:C54">
    <cfRule type="duplicateValues" dxfId="0" priority="428"/>
  </conditionalFormatting>
  <conditionalFormatting sqref="B63:C64">
    <cfRule type="duplicateValues" dxfId="0" priority="532"/>
  </conditionalFormatting>
  <conditionalFormatting sqref="B65:C66">
    <cfRule type="duplicateValues" dxfId="0" priority="658"/>
  </conditionalFormatting>
  <conditionalFormatting sqref="B67:C68">
    <cfRule type="duplicateValues" dxfId="0" priority="655"/>
  </conditionalFormatting>
  <conditionalFormatting sqref="B69:C70">
    <cfRule type="duplicateValues" dxfId="0" priority="969"/>
  </conditionalFormatting>
  <conditionalFormatting sqref="B71:C72">
    <cfRule type="duplicateValues" dxfId="0" priority="1380"/>
  </conditionalFormatting>
  <conditionalFormatting sqref="B73:C74">
    <cfRule type="duplicateValues" dxfId="0" priority="751"/>
  </conditionalFormatting>
  <conditionalFormatting sqref="B75:C78">
    <cfRule type="duplicateValues" dxfId="0" priority="1404"/>
  </conditionalFormatting>
  <conditionalFormatting sqref="B87:C88">
    <cfRule type="duplicateValues" dxfId="0" priority="749"/>
  </conditionalFormatting>
  <conditionalFormatting sqref="B89:C90">
    <cfRule type="duplicateValues" dxfId="0" priority="946"/>
  </conditionalFormatting>
  <conditionalFormatting sqref="B91:C92">
    <cfRule type="duplicateValues" dxfId="0" priority="618"/>
  </conditionalFormatting>
  <conditionalFormatting sqref="B93:C94">
    <cfRule type="duplicateValues" dxfId="0" priority="620"/>
  </conditionalFormatting>
  <conditionalFormatting sqref="B95:C96">
    <cfRule type="duplicateValues" dxfId="0" priority="943"/>
  </conditionalFormatting>
  <conditionalFormatting sqref="B97:C98">
    <cfRule type="duplicateValues" dxfId="0" priority="529"/>
  </conditionalFormatting>
  <conditionalFormatting sqref="B105:C105 B107:C108">
    <cfRule type="duplicateValues" dxfId="0" priority="520"/>
  </conditionalFormatting>
  <conditionalFormatting sqref="B113:C114">
    <cfRule type="duplicateValues" dxfId="0" priority="509"/>
  </conditionalFormatting>
  <conditionalFormatting sqref="B115:C116">
    <cfRule type="duplicateValues" dxfId="0" priority="741"/>
  </conditionalFormatting>
  <conditionalFormatting sqref="B117:C118">
    <cfRule type="duplicateValues" dxfId="0" priority="406"/>
  </conditionalFormatting>
  <conditionalFormatting sqref="N117:P118">
    <cfRule type="duplicateValues" dxfId="0" priority="401"/>
  </conditionalFormatting>
  <conditionalFormatting sqref="L118:M120">
    <cfRule type="duplicateValues" dxfId="0" priority="395"/>
  </conditionalFormatting>
  <conditionalFormatting sqref="B119:C120">
    <cfRule type="duplicateValues" dxfId="0" priority="409"/>
  </conditionalFormatting>
  <conditionalFormatting sqref="N119:P120">
    <cfRule type="duplicateValues" dxfId="0" priority="403"/>
  </conditionalFormatting>
  <conditionalFormatting sqref="B121:C122">
    <cfRule type="duplicateValues" dxfId="0" priority="713"/>
  </conditionalFormatting>
  <conditionalFormatting sqref="B123:C124">
    <cfRule type="duplicateValues" dxfId="0" priority="707"/>
  </conditionalFormatting>
  <conditionalFormatting sqref="B125:C126">
    <cfRule type="duplicateValues" dxfId="0" priority="701"/>
  </conditionalFormatting>
  <conditionalFormatting sqref="B182:C184 B208:C209 B201:C205">
    <cfRule type="duplicateValues" dxfId="0" priority="1701"/>
  </conditionalFormatting>
  <conditionalFormatting sqref="S200 S216 S218 S214 S220 S212 S222 S210 S224 S208 S226 S206 S228 S204 S202 S230">
    <cfRule type="duplicateValues" dxfId="0" priority="547"/>
  </conditionalFormatting>
  <conditionalFormatting sqref="B206:C207">
    <cfRule type="duplicateValues" dxfId="0" priority="799"/>
  </conditionalFormatting>
  <conditionalFormatting sqref="B210:C210 B221:C221">
    <cfRule type="duplicateValues" dxfId="0" priority="777"/>
  </conditionalFormatting>
  <conditionalFormatting sqref="B211:C212">
    <cfRule type="duplicateValues" dxfId="0" priority="634"/>
  </conditionalFormatting>
  <conditionalFormatting sqref="B213:C214">
    <cfRule type="duplicateValues" dxfId="0" priority="437"/>
  </conditionalFormatting>
  <conditionalFormatting sqref="B215:C216">
    <cfRule type="duplicateValues" dxfId="0" priority="446"/>
  </conditionalFormatting>
  <conditionalFormatting sqref="B217:C220">
    <cfRule type="duplicateValues" dxfId="0" priority="757"/>
  </conditionalFormatting>
  <conditionalFormatting sqref="B222:C223">
    <cfRule type="duplicateValues" dxfId="0" priority="774"/>
  </conditionalFormatting>
  <conditionalFormatting sqref="B224:C224 B378:C378">
    <cfRule type="duplicateValues" dxfId="0" priority="770"/>
  </conditionalFormatting>
  <conditionalFormatting sqref="B226:C227">
    <cfRule type="duplicateValues" dxfId="0" priority="497"/>
  </conditionalFormatting>
  <conditionalFormatting sqref="W228 W230">
    <cfRule type="duplicateValues" dxfId="0" priority="492"/>
  </conditionalFormatting>
  <conditionalFormatting sqref="B229:C229 C231:C377">
    <cfRule type="duplicateValues" dxfId="0" priority="51"/>
  </conditionalFormatting>
  <conditionalFormatting sqref="L229:M229 L231:L377">
    <cfRule type="duplicateValues" dxfId="0" priority="49"/>
  </conditionalFormatting>
  <conditionalFormatting sqref="B380:C381">
    <cfRule type="duplicateValues" dxfId="0" priority="795"/>
  </conditionalFormatting>
  <conditionalFormatting sqref="B382:C383">
    <cfRule type="duplicateValues" dxfId="0" priority="791"/>
  </conditionalFormatting>
  <conditionalFormatting sqref="B386:C387">
    <cfRule type="duplicateValues" dxfId="0" priority="763"/>
  </conditionalFormatting>
  <conditionalFormatting sqref="B520:C521">
    <cfRule type="duplicateValues" dxfId="0" priority="75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9"/>
  <sheetViews>
    <sheetView workbookViewId="0">
      <selection activeCell="C132" sqref="C132"/>
    </sheetView>
  </sheetViews>
  <sheetFormatPr defaultColWidth="9" defaultRowHeight="16.5" outlineLevelCol="6"/>
  <cols>
    <col min="1" max="1" width="9" style="48"/>
    <col min="2" max="2" width="9" style="49"/>
    <col min="3" max="3" width="9" style="48"/>
    <col min="4" max="4" width="9" style="50"/>
    <col min="5" max="5" width="19" style="50" customWidth="1"/>
    <col min="6" max="6" width="93.25" style="51" customWidth="1"/>
    <col min="7" max="7" width="106.625" style="52" customWidth="1"/>
  </cols>
  <sheetData>
    <row r="1" spans="1:7">
      <c r="A1" s="53" t="s">
        <v>977</v>
      </c>
      <c r="B1" s="49" t="s">
        <v>31</v>
      </c>
      <c r="C1" s="53" t="s">
        <v>978</v>
      </c>
      <c r="D1" s="53"/>
      <c r="E1" s="53" t="s">
        <v>33</v>
      </c>
      <c r="F1" s="54" t="s">
        <v>979</v>
      </c>
      <c r="G1" s="54" t="s">
        <v>980</v>
      </c>
    </row>
    <row r="2" spans="1:7">
      <c r="A2" s="49">
        <v>10010</v>
      </c>
      <c r="C2" s="49" t="s">
        <v>981</v>
      </c>
      <c r="D2" s="49"/>
      <c r="E2" s="49"/>
      <c r="F2" s="55"/>
      <c r="G2" s="56"/>
    </row>
    <row r="3" spans="1:7">
      <c r="A3" s="49">
        <v>10011</v>
      </c>
      <c r="C3" s="49" t="s">
        <v>982</v>
      </c>
      <c r="D3" s="49"/>
      <c r="E3" s="49"/>
      <c r="F3" s="55"/>
      <c r="G3" s="56"/>
    </row>
    <row r="4" spans="1:7">
      <c r="A4" s="49">
        <v>10012</v>
      </c>
      <c r="C4" s="49" t="s">
        <v>983</v>
      </c>
      <c r="D4" s="49"/>
      <c r="E4" s="49"/>
      <c r="F4" s="55"/>
      <c r="G4" s="56"/>
    </row>
    <row r="5" spans="1:7">
      <c r="A5" s="49">
        <v>10020</v>
      </c>
      <c r="C5" s="49" t="s">
        <v>984</v>
      </c>
      <c r="D5" s="49"/>
      <c r="E5" s="49"/>
      <c r="F5" s="55"/>
      <c r="G5" s="56"/>
    </row>
    <row r="6" spans="1:7">
      <c r="A6" s="49">
        <v>10021</v>
      </c>
      <c r="C6" s="49" t="s">
        <v>985</v>
      </c>
      <c r="D6" s="49"/>
      <c r="E6" s="49"/>
      <c r="F6" s="55"/>
      <c r="G6" s="56"/>
    </row>
    <row r="7" spans="1:7">
      <c r="A7" s="49">
        <v>10022</v>
      </c>
      <c r="C7" s="49" t="s">
        <v>986</v>
      </c>
      <c r="D7" s="49"/>
      <c r="E7" s="49"/>
      <c r="F7" s="55"/>
      <c r="G7" s="56"/>
    </row>
    <row r="8" spans="1:7">
      <c r="A8" s="49">
        <v>10030</v>
      </c>
      <c r="C8" s="49" t="s">
        <v>987</v>
      </c>
      <c r="D8" s="49"/>
      <c r="E8" s="49"/>
      <c r="F8" s="55"/>
      <c r="G8" s="56"/>
    </row>
    <row r="9" spans="1:7">
      <c r="A9" s="49">
        <v>10031</v>
      </c>
      <c r="C9" s="49" t="s">
        <v>988</v>
      </c>
      <c r="D9" s="49"/>
      <c r="E9" s="49"/>
      <c r="F9" s="55"/>
      <c r="G9" s="56"/>
    </row>
    <row r="10" spans="1:7">
      <c r="A10" s="49">
        <v>10032</v>
      </c>
      <c r="C10" s="49" t="s">
        <v>989</v>
      </c>
      <c r="D10" s="49"/>
      <c r="E10" s="49"/>
      <c r="F10" s="55"/>
      <c r="G10" s="56"/>
    </row>
    <row r="11" spans="1:7">
      <c r="A11" s="49">
        <v>10040</v>
      </c>
      <c r="C11" s="49" t="s">
        <v>990</v>
      </c>
      <c r="D11" s="49"/>
      <c r="E11" s="49"/>
      <c r="F11" s="55"/>
      <c r="G11" s="56"/>
    </row>
    <row r="12" spans="1:7">
      <c r="A12" s="49">
        <v>10041</v>
      </c>
      <c r="C12" s="49" t="s">
        <v>991</v>
      </c>
      <c r="D12" s="49"/>
      <c r="E12" s="49"/>
      <c r="F12" s="55"/>
      <c r="G12" s="56"/>
    </row>
    <row r="13" spans="1:7">
      <c r="A13" s="49">
        <v>10042</v>
      </c>
      <c r="C13" s="49" t="s">
        <v>992</v>
      </c>
      <c r="D13" s="49"/>
      <c r="E13" s="49"/>
      <c r="F13" s="55"/>
      <c r="G13" s="56"/>
    </row>
    <row r="14" spans="1:7">
      <c r="A14" s="49">
        <v>10050</v>
      </c>
      <c r="C14" s="49" t="s">
        <v>993</v>
      </c>
      <c r="D14" s="49"/>
      <c r="E14" s="49"/>
      <c r="F14" s="55"/>
      <c r="G14" s="56"/>
    </row>
    <row r="15" spans="1:7">
      <c r="A15" s="49">
        <v>10051</v>
      </c>
      <c r="C15" s="49" t="s">
        <v>994</v>
      </c>
      <c r="D15" s="49"/>
      <c r="E15" s="49"/>
      <c r="F15" s="55"/>
      <c r="G15" s="56"/>
    </row>
    <row r="16" spans="1:7">
      <c r="A16" s="49">
        <v>10052</v>
      </c>
      <c r="C16" s="49" t="s">
        <v>995</v>
      </c>
      <c r="D16" s="49"/>
      <c r="E16" s="49"/>
      <c r="F16" s="55"/>
      <c r="G16" s="56"/>
    </row>
    <row r="17" spans="1:7">
      <c r="A17" s="49">
        <v>10060</v>
      </c>
      <c r="B17" s="49">
        <v>1006002</v>
      </c>
      <c r="C17" s="49" t="s">
        <v>996</v>
      </c>
      <c r="D17" s="49"/>
      <c r="E17" s="49" t="s">
        <v>236</v>
      </c>
      <c r="F17" s="55" t="s">
        <v>238</v>
      </c>
      <c r="G17" s="56" t="s">
        <v>997</v>
      </c>
    </row>
    <row r="18" spans="1:7">
      <c r="A18" s="49">
        <v>10061</v>
      </c>
      <c r="B18" s="49">
        <v>1006102</v>
      </c>
      <c r="C18" s="49" t="s">
        <v>998</v>
      </c>
      <c r="D18" s="49"/>
      <c r="E18" s="49" t="s">
        <v>241</v>
      </c>
      <c r="F18" s="55" t="s">
        <v>243</v>
      </c>
      <c r="G18" s="56" t="s">
        <v>999</v>
      </c>
    </row>
    <row r="19" spans="1:7">
      <c r="A19" s="49">
        <v>10062</v>
      </c>
      <c r="B19" s="49">
        <v>1006202</v>
      </c>
      <c r="C19" s="49" t="s">
        <v>1000</v>
      </c>
      <c r="D19" s="49"/>
      <c r="E19" s="49" t="s">
        <v>203</v>
      </c>
      <c r="F19" s="55" t="s">
        <v>247</v>
      </c>
      <c r="G19" s="56" t="s">
        <v>1001</v>
      </c>
    </row>
    <row r="20" spans="1:7">
      <c r="A20" s="57">
        <v>10070</v>
      </c>
      <c r="B20" s="49">
        <v>1007002</v>
      </c>
      <c r="C20" s="49" t="s">
        <v>1002</v>
      </c>
      <c r="D20" s="49"/>
      <c r="E20" s="49" t="s">
        <v>82</v>
      </c>
      <c r="F20" s="55" t="s">
        <v>252</v>
      </c>
      <c r="G20" s="56" t="s">
        <v>1003</v>
      </c>
    </row>
    <row r="21" spans="1:7">
      <c r="A21" s="57">
        <v>10071</v>
      </c>
      <c r="C21" s="58"/>
      <c r="D21" s="58"/>
      <c r="E21" s="49"/>
      <c r="F21" s="55"/>
      <c r="G21" s="56"/>
    </row>
    <row r="22" spans="1:7">
      <c r="A22" s="57">
        <v>10072</v>
      </c>
      <c r="C22" s="58"/>
      <c r="D22" s="58"/>
      <c r="E22" s="49"/>
      <c r="F22" s="55"/>
      <c r="G22" s="56"/>
    </row>
    <row r="23" spans="1:7">
      <c r="A23" s="49">
        <v>10090</v>
      </c>
      <c r="B23" s="49">
        <v>1009002</v>
      </c>
      <c r="C23" s="49" t="s">
        <v>1004</v>
      </c>
      <c r="D23" s="49"/>
      <c r="E23" s="59" t="s">
        <v>154</v>
      </c>
      <c r="F23" s="55" t="s">
        <v>261</v>
      </c>
      <c r="G23" s="55" t="s">
        <v>261</v>
      </c>
    </row>
    <row r="24" spans="1:7">
      <c r="A24" s="49">
        <v>10091</v>
      </c>
      <c r="B24" s="49">
        <v>1009102</v>
      </c>
      <c r="C24" s="49" t="s">
        <v>1005</v>
      </c>
      <c r="D24" s="49"/>
      <c r="E24" s="59" t="s">
        <v>265</v>
      </c>
      <c r="F24" s="55" t="s">
        <v>267</v>
      </c>
      <c r="G24" s="55" t="s">
        <v>267</v>
      </c>
    </row>
    <row r="25" spans="1:7">
      <c r="A25" s="49">
        <v>10092</v>
      </c>
      <c r="C25" s="58"/>
      <c r="D25" s="58"/>
      <c r="E25" s="49"/>
      <c r="F25" s="55"/>
      <c r="G25" s="56"/>
    </row>
    <row r="26" spans="1:7">
      <c r="A26" s="49">
        <v>10100</v>
      </c>
      <c r="B26" s="49">
        <v>1010002</v>
      </c>
      <c r="C26" s="49" t="s">
        <v>1006</v>
      </c>
      <c r="D26" s="49"/>
      <c r="E26" s="59" t="s">
        <v>271</v>
      </c>
      <c r="F26" s="55" t="s">
        <v>273</v>
      </c>
      <c r="G26" s="55" t="s">
        <v>273</v>
      </c>
    </row>
    <row r="27" spans="1:7">
      <c r="A27" s="49">
        <v>10101</v>
      </c>
      <c r="B27" s="49">
        <v>1010102</v>
      </c>
      <c r="C27" s="49" t="s">
        <v>1007</v>
      </c>
      <c r="D27" s="49"/>
      <c r="E27" s="59" t="s">
        <v>56</v>
      </c>
      <c r="F27" s="60" t="s">
        <v>277</v>
      </c>
      <c r="G27" s="60" t="s">
        <v>277</v>
      </c>
    </row>
    <row r="28" spans="1:7">
      <c r="A28" s="49">
        <v>10102</v>
      </c>
      <c r="B28" s="49">
        <v>1010202</v>
      </c>
      <c r="C28" s="49" t="s">
        <v>1008</v>
      </c>
      <c r="D28" s="49"/>
      <c r="E28" s="59" t="s">
        <v>208</v>
      </c>
      <c r="F28" s="60" t="s">
        <v>282</v>
      </c>
      <c r="G28" s="60" t="s">
        <v>282</v>
      </c>
    </row>
    <row r="29" spans="1:7">
      <c r="A29" s="49">
        <v>10110</v>
      </c>
      <c r="B29" s="49">
        <v>1011002</v>
      </c>
      <c r="C29" s="49" t="s">
        <v>1009</v>
      </c>
      <c r="D29" s="49"/>
      <c r="E29" s="49" t="s">
        <v>286</v>
      </c>
      <c r="F29" s="55" t="s">
        <v>288</v>
      </c>
      <c r="G29" s="56" t="s">
        <v>1010</v>
      </c>
    </row>
    <row r="30" spans="1:7">
      <c r="A30" s="49">
        <v>10111</v>
      </c>
      <c r="B30" s="49">
        <v>1011102</v>
      </c>
      <c r="C30" s="49" t="s">
        <v>1011</v>
      </c>
      <c r="D30" s="49"/>
      <c r="E30" s="49" t="s">
        <v>116</v>
      </c>
      <c r="F30" s="55" t="s">
        <v>293</v>
      </c>
      <c r="G30" s="56" t="s">
        <v>1012</v>
      </c>
    </row>
    <row r="31" spans="1:7">
      <c r="A31" s="49">
        <v>10112</v>
      </c>
      <c r="C31" s="58"/>
      <c r="D31" s="58"/>
      <c r="E31" s="49"/>
      <c r="F31" s="55"/>
      <c r="G31" s="56"/>
    </row>
    <row r="32" spans="1:7">
      <c r="A32" s="57">
        <v>10120</v>
      </c>
      <c r="B32" s="49">
        <v>1012002</v>
      </c>
      <c r="C32" s="49" t="s">
        <v>1013</v>
      </c>
      <c r="D32" s="49"/>
      <c r="E32" s="59" t="s">
        <v>296</v>
      </c>
      <c r="F32" s="55" t="s">
        <v>298</v>
      </c>
      <c r="G32" s="55" t="s">
        <v>298</v>
      </c>
    </row>
    <row r="33" spans="1:7">
      <c r="A33" s="57">
        <v>10121</v>
      </c>
      <c r="B33" s="49">
        <v>1012102</v>
      </c>
      <c r="C33" s="49" t="s">
        <v>1014</v>
      </c>
      <c r="D33" s="49"/>
      <c r="E33" s="59" t="s">
        <v>130</v>
      </c>
      <c r="F33" s="55" t="s">
        <v>303</v>
      </c>
      <c r="G33" s="55" t="s">
        <v>303</v>
      </c>
    </row>
    <row r="34" spans="1:7">
      <c r="A34" s="57">
        <v>10122</v>
      </c>
      <c r="B34" s="49">
        <v>1012202</v>
      </c>
      <c r="C34" s="49" t="s">
        <v>1015</v>
      </c>
      <c r="D34" s="49"/>
      <c r="E34" s="59" t="s">
        <v>178</v>
      </c>
      <c r="F34" s="55" t="s">
        <v>307</v>
      </c>
      <c r="G34" s="55" t="s">
        <v>307</v>
      </c>
    </row>
    <row r="35" spans="1:7">
      <c r="A35" s="49">
        <v>10130</v>
      </c>
      <c r="B35" s="49">
        <v>1013002</v>
      </c>
      <c r="C35" s="49" t="s">
        <v>1016</v>
      </c>
      <c r="D35" s="49"/>
      <c r="E35" s="59" t="s">
        <v>310</v>
      </c>
      <c r="F35" s="55" t="s">
        <v>312</v>
      </c>
      <c r="G35" s="55" t="s">
        <v>312</v>
      </c>
    </row>
    <row r="36" spans="1:7">
      <c r="A36" s="49">
        <v>10131</v>
      </c>
      <c r="B36" s="49">
        <v>1013102</v>
      </c>
      <c r="C36" s="49" t="s">
        <v>1017</v>
      </c>
      <c r="D36" s="49"/>
      <c r="E36" s="59" t="s">
        <v>87</v>
      </c>
      <c r="F36" s="55" t="s">
        <v>317</v>
      </c>
      <c r="G36" s="55" t="s">
        <v>317</v>
      </c>
    </row>
    <row r="37" spans="1:7">
      <c r="A37" s="49">
        <v>10132</v>
      </c>
      <c r="C37" s="58"/>
      <c r="D37" s="58"/>
      <c r="E37" s="49"/>
      <c r="F37" s="55"/>
      <c r="G37" s="56"/>
    </row>
    <row r="38" spans="1:7">
      <c r="A38" s="57">
        <v>10140</v>
      </c>
      <c r="B38" s="49">
        <v>1014002</v>
      </c>
      <c r="C38" s="49" t="s">
        <v>1018</v>
      </c>
      <c r="D38" s="49"/>
      <c r="E38" s="49" t="s">
        <v>321</v>
      </c>
      <c r="F38" s="55" t="s">
        <v>323</v>
      </c>
      <c r="G38" s="56" t="s">
        <v>1019</v>
      </c>
    </row>
    <row r="39" spans="1:7">
      <c r="A39" s="57">
        <v>10141</v>
      </c>
      <c r="B39" s="49">
        <v>1014102</v>
      </c>
      <c r="C39" s="49" t="s">
        <v>1020</v>
      </c>
      <c r="D39" s="49"/>
      <c r="E39" s="49" t="s">
        <v>326</v>
      </c>
      <c r="F39" s="55" t="s">
        <v>328</v>
      </c>
      <c r="G39" s="56" t="s">
        <v>1021</v>
      </c>
    </row>
    <row r="40" spans="1:7">
      <c r="A40" s="57">
        <v>10142</v>
      </c>
      <c r="C40" s="58"/>
      <c r="D40" s="58"/>
      <c r="E40" s="49"/>
      <c r="F40" s="55"/>
      <c r="G40" s="56"/>
    </row>
    <row r="41" spans="1:7">
      <c r="A41" s="57">
        <v>10150</v>
      </c>
      <c r="B41" s="49">
        <v>1015002</v>
      </c>
      <c r="C41" s="49" t="s">
        <v>1022</v>
      </c>
      <c r="D41" s="49"/>
      <c r="E41" s="49" t="s">
        <v>106</v>
      </c>
      <c r="F41" s="55" t="s">
        <v>332</v>
      </c>
      <c r="G41" s="56" t="s">
        <v>1023</v>
      </c>
    </row>
    <row r="42" spans="1:7">
      <c r="A42" s="57">
        <v>10151</v>
      </c>
      <c r="B42" s="49">
        <v>1015102</v>
      </c>
      <c r="C42" s="49" t="s">
        <v>1024</v>
      </c>
      <c r="D42" s="49"/>
      <c r="E42" s="49" t="s">
        <v>335</v>
      </c>
      <c r="F42" s="55" t="s">
        <v>337</v>
      </c>
      <c r="G42" s="56" t="s">
        <v>1025</v>
      </c>
    </row>
    <row r="43" spans="1:7">
      <c r="A43" s="57">
        <v>10152</v>
      </c>
      <c r="C43" s="58"/>
      <c r="D43" s="58"/>
      <c r="E43" s="49"/>
      <c r="F43" s="55"/>
      <c r="G43" s="56"/>
    </row>
    <row r="44" spans="1:7">
      <c r="A44" s="49">
        <v>10160</v>
      </c>
      <c r="B44" s="49">
        <v>1016002</v>
      </c>
      <c r="C44" s="49" t="s">
        <v>1026</v>
      </c>
      <c r="D44" s="49"/>
      <c r="E44" s="49" t="s">
        <v>340</v>
      </c>
      <c r="F44" s="55" t="s">
        <v>342</v>
      </c>
      <c r="G44" s="56" t="s">
        <v>1027</v>
      </c>
    </row>
    <row r="45" spans="1:7">
      <c r="A45" s="49">
        <v>10161</v>
      </c>
      <c r="B45" s="49">
        <v>1016102</v>
      </c>
      <c r="C45" s="49" t="s">
        <v>1028</v>
      </c>
      <c r="D45" s="49"/>
      <c r="E45" s="49" t="s">
        <v>345</v>
      </c>
      <c r="F45" s="55" t="s">
        <v>347</v>
      </c>
      <c r="G45" s="56" t="s">
        <v>1029</v>
      </c>
    </row>
    <row r="46" spans="1:7">
      <c r="A46" s="49">
        <v>10162</v>
      </c>
      <c r="B46" s="49">
        <v>1016202</v>
      </c>
      <c r="C46" s="61" t="s">
        <v>1030</v>
      </c>
      <c r="D46" s="49"/>
      <c r="E46" s="49"/>
      <c r="F46" s="55"/>
      <c r="G46" s="56"/>
    </row>
    <row r="47" spans="1:7">
      <c r="A47" s="57">
        <v>10170</v>
      </c>
      <c r="B47" s="49">
        <v>1017002</v>
      </c>
      <c r="C47" s="49" t="s">
        <v>1031</v>
      </c>
      <c r="D47" s="49"/>
      <c r="E47" s="49" t="s">
        <v>350</v>
      </c>
      <c r="F47" s="55" t="s">
        <v>352</v>
      </c>
      <c r="G47" s="56" t="s">
        <v>1032</v>
      </c>
    </row>
    <row r="48" spans="1:7">
      <c r="A48" s="57">
        <v>10171</v>
      </c>
      <c r="B48" s="49">
        <v>1017102</v>
      </c>
      <c r="C48" s="49" t="s">
        <v>1033</v>
      </c>
      <c r="D48" s="49"/>
      <c r="E48" s="49" t="s">
        <v>355</v>
      </c>
      <c r="F48" s="55" t="s">
        <v>357</v>
      </c>
      <c r="G48" s="56" t="s">
        <v>1034</v>
      </c>
    </row>
    <row r="49" spans="1:7">
      <c r="A49" s="57">
        <v>10172</v>
      </c>
      <c r="C49" s="58"/>
      <c r="D49" s="58"/>
      <c r="E49" s="49"/>
      <c r="F49" s="55"/>
      <c r="G49" s="56"/>
    </row>
    <row r="50" spans="1:7">
      <c r="A50" s="57">
        <v>10180</v>
      </c>
      <c r="B50" s="49">
        <v>1018002</v>
      </c>
      <c r="C50" s="49" t="s">
        <v>1035</v>
      </c>
      <c r="D50" s="49"/>
      <c r="E50" s="49" t="s">
        <v>360</v>
      </c>
      <c r="F50" s="55" t="s">
        <v>362</v>
      </c>
      <c r="G50" s="56" t="s">
        <v>1036</v>
      </c>
    </row>
    <row r="51" spans="1:7">
      <c r="A51" s="57">
        <v>10181</v>
      </c>
      <c r="B51" s="49">
        <v>1018102</v>
      </c>
      <c r="C51" s="49" t="s">
        <v>1037</v>
      </c>
      <c r="D51" s="49"/>
      <c r="E51" s="49" t="s">
        <v>366</v>
      </c>
      <c r="F51" s="55" t="s">
        <v>368</v>
      </c>
      <c r="G51" s="56" t="s">
        <v>1038</v>
      </c>
    </row>
    <row r="52" spans="1:7">
      <c r="A52" s="57">
        <v>10182</v>
      </c>
      <c r="C52" s="58"/>
      <c r="D52" s="58"/>
      <c r="E52" s="49"/>
      <c r="F52" s="55"/>
      <c r="G52" s="56"/>
    </row>
    <row r="53" spans="1:7">
      <c r="A53" s="57">
        <v>10190</v>
      </c>
      <c r="B53" s="49">
        <v>1019002</v>
      </c>
      <c r="C53" s="49" t="s">
        <v>1039</v>
      </c>
      <c r="D53" s="49"/>
      <c r="E53" s="49" t="s">
        <v>372</v>
      </c>
      <c r="F53" s="55" t="s">
        <v>374</v>
      </c>
      <c r="G53" s="56" t="s">
        <v>1040</v>
      </c>
    </row>
    <row r="54" spans="1:7">
      <c r="A54" s="57">
        <v>10191</v>
      </c>
      <c r="B54" s="49">
        <v>1019102</v>
      </c>
      <c r="C54" s="49" t="s">
        <v>1041</v>
      </c>
      <c r="D54" s="49"/>
      <c r="E54" s="49" t="s">
        <v>111</v>
      </c>
      <c r="F54" s="55" t="s">
        <v>379</v>
      </c>
      <c r="G54" s="56" t="s">
        <v>1042</v>
      </c>
    </row>
    <row r="55" spans="1:7">
      <c r="A55" s="57">
        <v>10192</v>
      </c>
      <c r="B55" s="49">
        <v>1019202</v>
      </c>
      <c r="C55" s="49" t="s">
        <v>1043</v>
      </c>
      <c r="D55" s="49"/>
      <c r="E55" s="49" t="s">
        <v>383</v>
      </c>
      <c r="F55" s="55" t="s">
        <v>385</v>
      </c>
      <c r="G55" s="56" t="s">
        <v>1044</v>
      </c>
    </row>
    <row r="56" spans="1:7">
      <c r="A56" s="57">
        <v>10210</v>
      </c>
      <c r="B56" s="49">
        <v>1021002</v>
      </c>
      <c r="C56" s="49" t="s">
        <v>1045</v>
      </c>
      <c r="D56" s="49"/>
      <c r="E56" s="49" t="s">
        <v>388</v>
      </c>
      <c r="F56" s="55" t="s">
        <v>390</v>
      </c>
      <c r="G56" s="56" t="s">
        <v>1046</v>
      </c>
    </row>
    <row r="57" spans="1:7">
      <c r="A57" s="57">
        <v>10211</v>
      </c>
      <c r="B57" s="49">
        <v>1021102</v>
      </c>
      <c r="C57" s="49" t="s">
        <v>1047</v>
      </c>
      <c r="D57" s="49"/>
      <c r="E57" s="49" t="s">
        <v>165</v>
      </c>
      <c r="F57" s="55" t="s">
        <v>395</v>
      </c>
      <c r="G57" s="56" t="s">
        <v>1048</v>
      </c>
    </row>
    <row r="58" spans="1:7">
      <c r="A58" s="57">
        <v>10212</v>
      </c>
      <c r="C58" s="58"/>
      <c r="D58" s="58"/>
      <c r="E58" s="49"/>
      <c r="F58" s="55"/>
      <c r="G58" s="56"/>
    </row>
    <row r="59" spans="1:7">
      <c r="A59" s="49">
        <v>10220</v>
      </c>
      <c r="B59" s="49">
        <v>1022002</v>
      </c>
      <c r="C59" s="49" t="s">
        <v>1049</v>
      </c>
      <c r="D59" s="49"/>
      <c r="E59" s="49" t="s">
        <v>399</v>
      </c>
      <c r="F59" s="55" t="s">
        <v>401</v>
      </c>
      <c r="G59" s="56" t="s">
        <v>1050</v>
      </c>
    </row>
    <row r="60" spans="1:7">
      <c r="A60" s="49">
        <v>10221</v>
      </c>
      <c r="B60" s="49">
        <v>1022102</v>
      </c>
      <c r="C60" s="49" t="s">
        <v>1051</v>
      </c>
      <c r="D60" s="49"/>
      <c r="E60" s="49" t="s">
        <v>404</v>
      </c>
      <c r="F60" s="55" t="s">
        <v>406</v>
      </c>
      <c r="G60" s="56" t="s">
        <v>1052</v>
      </c>
    </row>
    <row r="61" spans="1:7">
      <c r="A61" s="49">
        <v>10222</v>
      </c>
      <c r="C61" s="58"/>
      <c r="D61" s="58"/>
      <c r="E61" s="49"/>
      <c r="F61" s="55"/>
      <c r="G61" s="56"/>
    </row>
    <row r="62" spans="1:7">
      <c r="A62" s="49">
        <v>10230</v>
      </c>
      <c r="B62" s="49">
        <v>1023002</v>
      </c>
      <c r="C62" s="49" t="s">
        <v>1053</v>
      </c>
      <c r="D62" s="49"/>
      <c r="E62" s="49" t="s">
        <v>410</v>
      </c>
      <c r="F62" s="55" t="s">
        <v>412</v>
      </c>
      <c r="G62" s="56" t="s">
        <v>1054</v>
      </c>
    </row>
    <row r="63" spans="1:7">
      <c r="A63" s="49">
        <v>10231</v>
      </c>
      <c r="B63" s="49">
        <v>1023102</v>
      </c>
      <c r="C63" s="49" t="s">
        <v>1055</v>
      </c>
      <c r="D63" s="49"/>
      <c r="E63" s="49" t="s">
        <v>169</v>
      </c>
      <c r="F63" s="55" t="s">
        <v>417</v>
      </c>
      <c r="G63" s="56" t="s">
        <v>1056</v>
      </c>
    </row>
    <row r="64" spans="1:7">
      <c r="A64" s="49">
        <v>10232</v>
      </c>
      <c r="C64" s="58"/>
      <c r="D64" s="58"/>
      <c r="E64" s="49"/>
      <c r="F64" s="55"/>
      <c r="G64" s="56"/>
    </row>
    <row r="65" spans="1:7">
      <c r="A65" s="57">
        <v>10250</v>
      </c>
      <c r="C65" s="49" t="s">
        <v>1057</v>
      </c>
      <c r="D65" s="49"/>
      <c r="E65" s="49"/>
      <c r="F65" s="55"/>
      <c r="G65" s="56"/>
    </row>
    <row r="66" spans="1:7">
      <c r="A66" s="57">
        <v>10251</v>
      </c>
      <c r="C66" s="49" t="s">
        <v>1058</v>
      </c>
      <c r="D66" s="49"/>
      <c r="E66" s="49"/>
      <c r="F66" s="55"/>
      <c r="G66" s="56"/>
    </row>
    <row r="67" spans="1:7">
      <c r="A67" s="57">
        <v>10252</v>
      </c>
      <c r="C67" s="58"/>
      <c r="D67" s="58"/>
      <c r="E67" s="49"/>
      <c r="F67" s="55"/>
      <c r="G67" s="56"/>
    </row>
    <row r="68" spans="1:7">
      <c r="A68" s="57">
        <v>10260</v>
      </c>
      <c r="B68" s="49">
        <v>1026002</v>
      </c>
      <c r="C68" s="49" t="s">
        <v>1059</v>
      </c>
      <c r="D68" s="49"/>
      <c r="E68" s="49" t="s">
        <v>431</v>
      </c>
      <c r="F68" s="55" t="s">
        <v>433</v>
      </c>
      <c r="G68" s="56" t="s">
        <v>1060</v>
      </c>
    </row>
    <row r="69" spans="1:7">
      <c r="A69" s="57">
        <v>10261</v>
      </c>
      <c r="B69" s="49">
        <v>1026102</v>
      </c>
      <c r="C69" s="49" t="s">
        <v>1061</v>
      </c>
      <c r="D69" s="49"/>
      <c r="E69" s="49"/>
      <c r="F69" s="55"/>
      <c r="G69" s="56"/>
    </row>
    <row r="70" spans="1:7">
      <c r="A70" s="57">
        <v>10262</v>
      </c>
      <c r="B70" s="49">
        <v>1026202</v>
      </c>
      <c r="C70" s="49" t="s">
        <v>1062</v>
      </c>
      <c r="D70" s="49"/>
      <c r="E70" s="49"/>
      <c r="F70" s="55"/>
      <c r="G70" s="56"/>
    </row>
    <row r="71" spans="1:7">
      <c r="A71" s="57">
        <v>10270</v>
      </c>
      <c r="B71" s="49">
        <v>1027002</v>
      </c>
      <c r="C71" s="49" t="s">
        <v>1063</v>
      </c>
      <c r="D71" s="49"/>
      <c r="E71" s="49" t="s">
        <v>436</v>
      </c>
      <c r="F71" s="55" t="s">
        <v>438</v>
      </c>
      <c r="G71" s="56" t="s">
        <v>1064</v>
      </c>
    </row>
    <row r="72" spans="1:7">
      <c r="A72" s="57">
        <v>10271</v>
      </c>
      <c r="B72" s="49">
        <v>1027102</v>
      </c>
      <c r="C72" s="49" t="s">
        <v>1065</v>
      </c>
      <c r="D72" s="49"/>
      <c r="E72" s="49" t="s">
        <v>441</v>
      </c>
      <c r="F72" s="55" t="s">
        <v>443</v>
      </c>
      <c r="G72" s="56" t="s">
        <v>1066</v>
      </c>
    </row>
    <row r="73" spans="1:7">
      <c r="A73" s="57">
        <v>10272</v>
      </c>
      <c r="C73" s="58"/>
      <c r="D73" s="58"/>
      <c r="E73" s="49"/>
      <c r="F73" s="55"/>
      <c r="G73" s="56"/>
    </row>
    <row r="74" spans="1:7">
      <c r="A74" s="49">
        <v>10300</v>
      </c>
      <c r="B74" s="49">
        <v>1030002</v>
      </c>
      <c r="C74" s="49" t="s">
        <v>1067</v>
      </c>
      <c r="D74" s="49"/>
      <c r="E74" s="49" t="s">
        <v>446</v>
      </c>
      <c r="F74" s="55" t="s">
        <v>448</v>
      </c>
      <c r="G74" s="56" t="s">
        <v>1068</v>
      </c>
    </row>
    <row r="75" spans="1:7">
      <c r="A75" s="49">
        <v>10301</v>
      </c>
      <c r="B75" s="49">
        <v>1030102</v>
      </c>
      <c r="C75" s="49" t="s">
        <v>1069</v>
      </c>
      <c r="D75" s="49"/>
      <c r="E75" s="49" t="s">
        <v>121</v>
      </c>
      <c r="F75" s="55" t="s">
        <v>452</v>
      </c>
      <c r="G75" s="56" t="s">
        <v>1070</v>
      </c>
    </row>
    <row r="76" spans="1:7">
      <c r="A76" s="49">
        <v>10302</v>
      </c>
      <c r="C76" s="58"/>
      <c r="D76" s="58"/>
      <c r="E76" s="49"/>
      <c r="F76" s="55"/>
      <c r="G76" s="56"/>
    </row>
    <row r="77" spans="1:7">
      <c r="A77" s="57">
        <v>10320</v>
      </c>
      <c r="B77" s="49">
        <v>1032002</v>
      </c>
      <c r="C77" s="49" t="s">
        <v>1071</v>
      </c>
      <c r="D77" s="49"/>
      <c r="E77" s="49" t="s">
        <v>455</v>
      </c>
      <c r="F77" s="55" t="s">
        <v>457</v>
      </c>
      <c r="G77" s="56" t="s">
        <v>1072</v>
      </c>
    </row>
    <row r="78" spans="1:7">
      <c r="A78" s="57">
        <v>10321</v>
      </c>
      <c r="B78" s="49">
        <v>1032102</v>
      </c>
      <c r="C78" s="49" t="s">
        <v>1073</v>
      </c>
      <c r="D78" s="49"/>
      <c r="E78" s="49" t="s">
        <v>461</v>
      </c>
      <c r="F78" s="55" t="s">
        <v>463</v>
      </c>
      <c r="G78" s="56" t="s">
        <v>1074</v>
      </c>
    </row>
    <row r="79" spans="1:7">
      <c r="A79" s="57">
        <v>10322</v>
      </c>
      <c r="C79" s="58"/>
      <c r="D79" s="58"/>
      <c r="E79" s="49"/>
      <c r="F79" s="55"/>
      <c r="G79" s="56"/>
    </row>
    <row r="80" spans="1:7">
      <c r="A80" s="49">
        <v>10330</v>
      </c>
      <c r="B80" s="49">
        <v>1033002</v>
      </c>
      <c r="C80" s="49" t="s">
        <v>1075</v>
      </c>
      <c r="D80" s="49"/>
      <c r="E80" s="49" t="s">
        <v>466</v>
      </c>
      <c r="F80" s="55" t="s">
        <v>468</v>
      </c>
      <c r="G80" s="56" t="s">
        <v>1076</v>
      </c>
    </row>
    <row r="81" spans="1:7">
      <c r="A81" s="49">
        <v>10331</v>
      </c>
      <c r="B81" s="49">
        <v>1033102</v>
      </c>
      <c r="C81" s="49" t="s">
        <v>1077</v>
      </c>
      <c r="D81" s="49"/>
      <c r="E81" s="49" t="s">
        <v>472</v>
      </c>
      <c r="F81" s="55" t="s">
        <v>474</v>
      </c>
      <c r="G81" s="56" t="s">
        <v>1078</v>
      </c>
    </row>
    <row r="82" spans="1:7">
      <c r="A82" s="49">
        <v>10332</v>
      </c>
      <c r="B82" s="49">
        <v>1033202</v>
      </c>
      <c r="C82" s="49" t="s">
        <v>1079</v>
      </c>
      <c r="D82" s="49"/>
      <c r="E82" s="49" t="s">
        <v>478</v>
      </c>
      <c r="F82" s="55" t="s">
        <v>480</v>
      </c>
      <c r="G82" s="56" t="s">
        <v>1080</v>
      </c>
    </row>
    <row r="83" spans="1:7">
      <c r="A83" s="57">
        <v>10350</v>
      </c>
      <c r="B83" s="49">
        <v>1035002</v>
      </c>
      <c r="C83" s="49" t="s">
        <v>1081</v>
      </c>
      <c r="D83" s="49"/>
      <c r="E83" s="49" t="s">
        <v>135</v>
      </c>
      <c r="F83" s="55" t="s">
        <v>485</v>
      </c>
      <c r="G83" s="56" t="s">
        <v>1082</v>
      </c>
    </row>
    <row r="84" spans="1:7">
      <c r="A84" s="57">
        <v>10351</v>
      </c>
      <c r="B84" s="49">
        <v>1035102</v>
      </c>
      <c r="C84" s="49" t="s">
        <v>1083</v>
      </c>
      <c r="D84" s="49"/>
      <c r="E84" s="49" t="s">
        <v>489</v>
      </c>
      <c r="F84" s="55" t="s">
        <v>491</v>
      </c>
      <c r="G84" s="56" t="s">
        <v>1084</v>
      </c>
    </row>
    <row r="85" spans="1:7">
      <c r="A85" s="57">
        <v>10352</v>
      </c>
      <c r="B85" s="49">
        <v>1035202</v>
      </c>
      <c r="C85" s="49" t="s">
        <v>1085</v>
      </c>
      <c r="D85" s="49"/>
      <c r="E85" s="49" t="s">
        <v>184</v>
      </c>
      <c r="F85" s="55" t="s">
        <v>496</v>
      </c>
      <c r="G85" s="56" t="s">
        <v>1086</v>
      </c>
    </row>
    <row r="86" spans="1:7">
      <c r="A86" s="57">
        <v>10360</v>
      </c>
      <c r="C86" s="49" t="s">
        <v>1087</v>
      </c>
      <c r="D86" s="49"/>
      <c r="E86" s="49"/>
      <c r="F86" s="55"/>
      <c r="G86" s="56"/>
    </row>
    <row r="87" spans="1:7">
      <c r="A87" s="57">
        <v>10361</v>
      </c>
      <c r="C87" s="49" t="s">
        <v>140</v>
      </c>
      <c r="D87" s="49"/>
      <c r="E87" s="49"/>
      <c r="F87" s="55"/>
      <c r="G87" s="56"/>
    </row>
    <row r="88" spans="1:7">
      <c r="A88" s="57">
        <v>10362</v>
      </c>
      <c r="C88" s="58"/>
      <c r="D88" s="58"/>
      <c r="E88" s="49"/>
      <c r="F88" s="55"/>
      <c r="G88" s="56"/>
    </row>
    <row r="89" spans="1:7">
      <c r="A89" s="57">
        <v>10380</v>
      </c>
      <c r="B89" s="49">
        <v>1038002</v>
      </c>
      <c r="C89" s="49" t="s">
        <v>1088</v>
      </c>
      <c r="D89" s="49"/>
      <c r="E89" s="49" t="s">
        <v>513</v>
      </c>
      <c r="F89" s="55" t="s">
        <v>515</v>
      </c>
      <c r="G89" s="56" t="s">
        <v>1089</v>
      </c>
    </row>
    <row r="90" spans="1:7">
      <c r="A90" s="57">
        <v>10381</v>
      </c>
      <c r="B90" s="49">
        <v>1038102</v>
      </c>
      <c r="C90" s="49" t="s">
        <v>1090</v>
      </c>
      <c r="D90" s="49"/>
      <c r="E90" s="49" t="s">
        <v>519</v>
      </c>
      <c r="F90" s="55" t="s">
        <v>521</v>
      </c>
      <c r="G90" s="56" t="s">
        <v>1091</v>
      </c>
    </row>
    <row r="91" spans="1:7">
      <c r="A91" s="57">
        <v>10382</v>
      </c>
      <c r="C91" s="58"/>
      <c r="D91" s="58"/>
      <c r="E91" s="49"/>
      <c r="F91" s="55"/>
      <c r="G91" s="56"/>
    </row>
    <row r="92" spans="1:7">
      <c r="A92" s="57">
        <v>10390</v>
      </c>
      <c r="B92" s="49">
        <v>1039002</v>
      </c>
      <c r="C92" s="49" t="s">
        <v>1092</v>
      </c>
      <c r="D92" s="49"/>
      <c r="E92" s="49" t="s">
        <v>63</v>
      </c>
      <c r="F92" s="55" t="s">
        <v>525</v>
      </c>
      <c r="G92" s="56" t="s">
        <v>1093</v>
      </c>
    </row>
    <row r="93" spans="1:7">
      <c r="A93" s="57">
        <v>10391</v>
      </c>
      <c r="B93" s="49">
        <v>1039102</v>
      </c>
      <c r="C93" s="49" t="s">
        <v>1094</v>
      </c>
      <c r="D93" s="49"/>
      <c r="E93" s="49" t="s">
        <v>529</v>
      </c>
      <c r="F93" s="55" t="s">
        <v>1095</v>
      </c>
      <c r="G93" s="56" t="s">
        <v>1096</v>
      </c>
    </row>
    <row r="94" spans="1:7">
      <c r="A94" s="49">
        <v>10392</v>
      </c>
      <c r="B94" s="49">
        <v>1039202</v>
      </c>
      <c r="C94" s="49" t="s">
        <v>1097</v>
      </c>
      <c r="D94" s="49"/>
      <c r="E94" s="49" t="s">
        <v>535</v>
      </c>
      <c r="F94" s="55" t="s">
        <v>537</v>
      </c>
      <c r="G94" s="56" t="s">
        <v>1098</v>
      </c>
    </row>
    <row r="95" spans="1:7">
      <c r="A95" s="49">
        <v>10410</v>
      </c>
      <c r="B95" s="49">
        <v>1041002</v>
      </c>
      <c r="C95" s="49" t="s">
        <v>1099</v>
      </c>
      <c r="D95" s="49"/>
      <c r="E95" s="49" t="s">
        <v>92</v>
      </c>
      <c r="F95" s="55" t="s">
        <v>541</v>
      </c>
      <c r="G95" s="56" t="s">
        <v>1100</v>
      </c>
    </row>
    <row r="96" spans="1:7">
      <c r="A96" s="49">
        <v>10411</v>
      </c>
      <c r="B96" s="49">
        <v>1041102</v>
      </c>
      <c r="C96" s="49" t="s">
        <v>1101</v>
      </c>
      <c r="D96" s="49"/>
      <c r="E96" s="49" t="s">
        <v>545</v>
      </c>
      <c r="F96" s="55" t="s">
        <v>547</v>
      </c>
      <c r="G96" s="56" t="s">
        <v>1102</v>
      </c>
    </row>
    <row r="97" spans="1:7">
      <c r="A97" s="49">
        <v>10412</v>
      </c>
      <c r="C97" s="58"/>
      <c r="D97" s="58"/>
      <c r="E97" s="49"/>
      <c r="F97" s="55"/>
      <c r="G97" s="56"/>
    </row>
    <row r="98" spans="1:7">
      <c r="A98" s="57">
        <v>10420</v>
      </c>
      <c r="B98" s="49">
        <v>1042002</v>
      </c>
      <c r="C98" s="49" t="s">
        <v>1103</v>
      </c>
      <c r="D98" s="49"/>
      <c r="E98" s="49" t="s">
        <v>550</v>
      </c>
      <c r="F98" s="55" t="s">
        <v>552</v>
      </c>
      <c r="G98" s="56" t="s">
        <v>1104</v>
      </c>
    </row>
    <row r="99" spans="1:7">
      <c r="A99" s="57">
        <v>10421</v>
      </c>
      <c r="B99" s="49">
        <v>1042102</v>
      </c>
      <c r="C99" s="49" t="s">
        <v>1105</v>
      </c>
      <c r="D99" s="49"/>
      <c r="E99" s="49" t="s">
        <v>555</v>
      </c>
      <c r="F99" s="55" t="s">
        <v>557</v>
      </c>
      <c r="G99" s="56" t="s">
        <v>1106</v>
      </c>
    </row>
    <row r="100" spans="1:7">
      <c r="A100" s="57">
        <v>10422</v>
      </c>
      <c r="C100" s="58"/>
      <c r="D100" s="58"/>
      <c r="E100" s="49"/>
      <c r="F100" s="55"/>
      <c r="G100" s="56"/>
    </row>
    <row r="101" spans="1:7">
      <c r="A101" s="57">
        <v>10430</v>
      </c>
      <c r="C101" s="49" t="s">
        <v>1107</v>
      </c>
      <c r="D101" s="49"/>
      <c r="E101" s="49"/>
      <c r="F101" s="55"/>
      <c r="G101" s="56"/>
    </row>
    <row r="102" spans="1:7">
      <c r="A102" s="57">
        <v>10431</v>
      </c>
      <c r="C102" s="49" t="s">
        <v>1108</v>
      </c>
      <c r="D102" s="49"/>
      <c r="E102" s="49"/>
      <c r="F102" s="55"/>
      <c r="G102" s="56"/>
    </row>
    <row r="103" spans="1:7">
      <c r="A103" s="57">
        <v>10432</v>
      </c>
      <c r="C103" s="58"/>
      <c r="D103" s="58"/>
      <c r="E103" s="49"/>
      <c r="F103" s="55"/>
      <c r="G103" s="56"/>
    </row>
    <row r="104" spans="1:7">
      <c r="A104" s="57">
        <v>10450</v>
      </c>
      <c r="B104" s="49">
        <v>1045002</v>
      </c>
      <c r="C104" s="49" t="s">
        <v>1109</v>
      </c>
      <c r="D104" s="49"/>
      <c r="E104" s="49" t="s">
        <v>561</v>
      </c>
      <c r="F104" s="55" t="s">
        <v>563</v>
      </c>
      <c r="G104" s="56" t="s">
        <v>1110</v>
      </c>
    </row>
    <row r="105" spans="1:7">
      <c r="A105" s="57">
        <v>10451</v>
      </c>
      <c r="B105" s="49">
        <v>1045102</v>
      </c>
      <c r="C105" s="49" t="s">
        <v>1111</v>
      </c>
      <c r="D105" s="49"/>
      <c r="E105" s="49" t="s">
        <v>213</v>
      </c>
      <c r="F105" s="55" t="s">
        <v>567</v>
      </c>
      <c r="G105" s="56" t="s">
        <v>1112</v>
      </c>
    </row>
    <row r="106" spans="1:7">
      <c r="A106" s="57">
        <v>10452</v>
      </c>
      <c r="C106" s="58"/>
      <c r="D106" s="58"/>
      <c r="E106" s="49"/>
      <c r="F106" s="55"/>
      <c r="G106" s="56"/>
    </row>
    <row r="107" spans="1:7">
      <c r="A107" s="49">
        <v>10460</v>
      </c>
      <c r="B107" s="49">
        <v>1046002</v>
      </c>
      <c r="C107" s="49" t="s">
        <v>1113</v>
      </c>
      <c r="D107" s="49"/>
      <c r="E107" s="49" t="s">
        <v>571</v>
      </c>
      <c r="F107" s="55" t="s">
        <v>573</v>
      </c>
      <c r="G107" s="56" t="s">
        <v>1114</v>
      </c>
    </row>
    <row r="108" spans="1:7">
      <c r="A108" s="49">
        <v>10461</v>
      </c>
      <c r="B108" s="49">
        <v>1046102</v>
      </c>
      <c r="C108" s="49" t="s">
        <v>1115</v>
      </c>
      <c r="D108" s="49"/>
      <c r="E108" s="49" t="s">
        <v>68</v>
      </c>
      <c r="F108" s="55" t="s">
        <v>578</v>
      </c>
      <c r="G108" s="56" t="s">
        <v>1116</v>
      </c>
    </row>
    <row r="109" spans="1:7">
      <c r="A109" s="49">
        <v>10462</v>
      </c>
      <c r="C109" s="58"/>
      <c r="D109" s="58"/>
      <c r="E109" s="49"/>
      <c r="F109" s="55"/>
      <c r="G109" s="56"/>
    </row>
    <row r="110" spans="1:7">
      <c r="A110" s="57">
        <v>10470</v>
      </c>
      <c r="B110" s="49">
        <v>1047002</v>
      </c>
      <c r="C110" s="49" t="s">
        <v>1117</v>
      </c>
      <c r="D110" s="49"/>
      <c r="E110" s="49" t="s">
        <v>582</v>
      </c>
      <c r="F110" s="55" t="s">
        <v>1118</v>
      </c>
      <c r="G110" s="56" t="s">
        <v>584</v>
      </c>
    </row>
    <row r="111" spans="1:7">
      <c r="A111" s="57">
        <v>10471</v>
      </c>
      <c r="B111" s="49">
        <v>1047102</v>
      </c>
      <c r="C111" s="49" t="s">
        <v>1119</v>
      </c>
      <c r="D111" s="49"/>
      <c r="E111" s="49" t="s">
        <v>588</v>
      </c>
      <c r="F111" s="55" t="s">
        <v>1120</v>
      </c>
      <c r="G111" s="56" t="s">
        <v>590</v>
      </c>
    </row>
    <row r="112" spans="1:7">
      <c r="A112" s="57">
        <v>10472</v>
      </c>
      <c r="C112" s="58"/>
      <c r="D112" s="58"/>
      <c r="E112" s="49"/>
      <c r="F112" s="55"/>
      <c r="G112" s="56"/>
    </row>
    <row r="113" spans="1:7">
      <c r="A113" s="49">
        <v>10500</v>
      </c>
      <c r="B113" s="49">
        <v>1050002</v>
      </c>
      <c r="C113" s="49" t="s">
        <v>1121</v>
      </c>
      <c r="D113" s="49"/>
      <c r="E113" s="49" t="s">
        <v>594</v>
      </c>
      <c r="F113" s="55" t="s">
        <v>596</v>
      </c>
      <c r="G113" s="56" t="s">
        <v>1122</v>
      </c>
    </row>
    <row r="114" spans="1:7">
      <c r="A114" s="49">
        <v>10501</v>
      </c>
      <c r="B114" s="49">
        <v>1050102</v>
      </c>
      <c r="C114" s="49" t="s">
        <v>1123</v>
      </c>
      <c r="D114" s="49"/>
      <c r="E114" s="49" t="s">
        <v>600</v>
      </c>
      <c r="F114" s="55" t="s">
        <v>602</v>
      </c>
      <c r="G114" s="56" t="s">
        <v>1124</v>
      </c>
    </row>
    <row r="115" spans="1:7">
      <c r="A115" s="49">
        <v>10502</v>
      </c>
      <c r="C115" s="58"/>
      <c r="D115" s="58"/>
      <c r="E115" s="49"/>
      <c r="F115" s="55"/>
      <c r="G115" s="56"/>
    </row>
    <row r="116" spans="1:7">
      <c r="A116" s="57">
        <v>10510</v>
      </c>
      <c r="B116" s="49">
        <v>1051002</v>
      </c>
      <c r="C116" s="49" t="s">
        <v>1125</v>
      </c>
      <c r="D116" s="49"/>
      <c r="E116" s="49" t="s">
        <v>606</v>
      </c>
      <c r="F116" s="55" t="s">
        <v>608</v>
      </c>
      <c r="G116" s="56" t="s">
        <v>1126</v>
      </c>
    </row>
    <row r="117" spans="1:7">
      <c r="A117" s="57">
        <v>10511</v>
      </c>
      <c r="B117" s="49">
        <v>1051102</v>
      </c>
      <c r="C117" s="49" t="s">
        <v>1127</v>
      </c>
      <c r="D117" s="49"/>
      <c r="E117" s="49" t="s">
        <v>97</v>
      </c>
      <c r="F117" s="55" t="s">
        <v>613</v>
      </c>
      <c r="G117" s="56" t="s">
        <v>1128</v>
      </c>
    </row>
    <row r="118" spans="1:7">
      <c r="A118" s="57">
        <v>10512</v>
      </c>
      <c r="B118" s="49">
        <v>1051202</v>
      </c>
      <c r="C118" s="49" t="s">
        <v>1129</v>
      </c>
      <c r="D118" s="49"/>
      <c r="E118" s="49" t="s">
        <v>616</v>
      </c>
      <c r="F118" s="55" t="s">
        <v>618</v>
      </c>
      <c r="G118" s="56" t="s">
        <v>1130</v>
      </c>
    </row>
    <row r="119" spans="1:7">
      <c r="A119" s="49">
        <v>10520</v>
      </c>
      <c r="B119" s="49">
        <v>1052002</v>
      </c>
      <c r="C119" s="49" t="s">
        <v>1131</v>
      </c>
      <c r="D119" s="49"/>
      <c r="E119" s="49" t="s">
        <v>622</v>
      </c>
      <c r="F119" s="55" t="s">
        <v>624</v>
      </c>
      <c r="G119" s="56" t="s">
        <v>1132</v>
      </c>
    </row>
    <row r="120" spans="1:7">
      <c r="A120" s="49">
        <v>10521</v>
      </c>
      <c r="B120" s="49">
        <v>1052102</v>
      </c>
      <c r="C120" s="49" t="s">
        <v>1133</v>
      </c>
      <c r="D120" s="49"/>
      <c r="E120" s="49" t="s">
        <v>173</v>
      </c>
      <c r="F120" s="55" t="s">
        <v>628</v>
      </c>
      <c r="G120" s="56" t="s">
        <v>1134</v>
      </c>
    </row>
    <row r="121" spans="1:7">
      <c r="A121" s="49">
        <v>10522</v>
      </c>
      <c r="B121" s="49">
        <v>1052202</v>
      </c>
      <c r="C121" s="49" t="s">
        <v>1135</v>
      </c>
      <c r="D121" s="49"/>
      <c r="E121" s="49" t="s">
        <v>223</v>
      </c>
      <c r="F121" s="55" t="s">
        <v>633</v>
      </c>
      <c r="G121" s="56" t="s">
        <v>1136</v>
      </c>
    </row>
    <row r="122" spans="1:7">
      <c r="A122" s="57">
        <v>10530</v>
      </c>
      <c r="B122" s="49">
        <v>1053002</v>
      </c>
      <c r="C122" s="49" t="s">
        <v>1137</v>
      </c>
      <c r="D122" s="49"/>
      <c r="E122" s="49" t="s">
        <v>144</v>
      </c>
      <c r="F122" s="55" t="s">
        <v>637</v>
      </c>
      <c r="G122" s="56" t="s">
        <v>1138</v>
      </c>
    </row>
    <row r="123" spans="1:7">
      <c r="A123" s="57">
        <v>10531</v>
      </c>
      <c r="B123" s="49">
        <v>1053102</v>
      </c>
      <c r="C123" s="49" t="s">
        <v>1139</v>
      </c>
      <c r="D123" s="49"/>
      <c r="E123" s="49" t="s">
        <v>641</v>
      </c>
      <c r="F123" s="55" t="s">
        <v>643</v>
      </c>
      <c r="G123" s="56" t="s">
        <v>1140</v>
      </c>
    </row>
    <row r="124" spans="1:7">
      <c r="A124" s="57">
        <v>10532</v>
      </c>
      <c r="C124" s="58"/>
      <c r="D124" s="58"/>
      <c r="E124" s="49"/>
      <c r="F124" s="55"/>
      <c r="G124" s="56"/>
    </row>
    <row r="125" spans="1:7">
      <c r="A125" s="49">
        <v>10560</v>
      </c>
      <c r="B125" s="49">
        <v>1056002</v>
      </c>
      <c r="C125" s="49" t="s">
        <v>1141</v>
      </c>
      <c r="D125" s="49"/>
      <c r="E125" s="49" t="s">
        <v>646</v>
      </c>
      <c r="F125" s="55" t="s">
        <v>648</v>
      </c>
      <c r="G125" s="56" t="s">
        <v>1142</v>
      </c>
    </row>
    <row r="126" spans="1:7">
      <c r="A126" s="49">
        <v>10561</v>
      </c>
      <c r="B126" s="49">
        <v>1056102</v>
      </c>
      <c r="C126" s="49" t="s">
        <v>1143</v>
      </c>
      <c r="D126" s="49"/>
      <c r="E126" s="49" t="s">
        <v>652</v>
      </c>
      <c r="F126" s="55" t="s">
        <v>654</v>
      </c>
      <c r="G126" s="56" t="s">
        <v>1144</v>
      </c>
    </row>
    <row r="127" spans="1:7">
      <c r="A127" s="49">
        <v>10562</v>
      </c>
      <c r="B127" s="49">
        <v>1056202</v>
      </c>
      <c r="C127" s="49" t="s">
        <v>1145</v>
      </c>
      <c r="D127" s="49"/>
      <c r="E127" s="49" t="s">
        <v>189</v>
      </c>
      <c r="F127" s="55" t="s">
        <v>658</v>
      </c>
      <c r="G127" s="56" t="s">
        <v>1146</v>
      </c>
    </row>
    <row r="128" spans="1:7">
      <c r="A128" s="49">
        <v>10570</v>
      </c>
      <c r="B128" s="49">
        <v>1057002</v>
      </c>
      <c r="C128" s="49" t="s">
        <v>1147</v>
      </c>
      <c r="D128" s="49"/>
      <c r="E128" s="49" t="s">
        <v>662</v>
      </c>
      <c r="F128" s="55" t="s">
        <v>664</v>
      </c>
      <c r="G128" s="56" t="s">
        <v>1148</v>
      </c>
    </row>
    <row r="129" spans="1:7">
      <c r="A129" s="49">
        <v>10571</v>
      </c>
      <c r="B129" s="49">
        <v>1057102</v>
      </c>
      <c r="C129" s="49" t="s">
        <v>1149</v>
      </c>
      <c r="D129" s="49"/>
      <c r="E129" s="49" t="s">
        <v>667</v>
      </c>
      <c r="F129" s="55" t="s">
        <v>669</v>
      </c>
      <c r="G129" s="56" t="s">
        <v>1150</v>
      </c>
    </row>
    <row r="130" spans="1:7">
      <c r="A130" s="49">
        <v>10572</v>
      </c>
      <c r="C130" s="58"/>
      <c r="D130" s="58"/>
      <c r="E130" s="49"/>
      <c r="F130" s="55"/>
      <c r="G130" s="56"/>
    </row>
    <row r="131" spans="1:7">
      <c r="A131" s="57">
        <v>10580</v>
      </c>
      <c r="B131" s="49">
        <v>1058002</v>
      </c>
      <c r="C131" s="49" t="s">
        <v>1151</v>
      </c>
      <c r="D131" s="49"/>
      <c r="E131" s="49" t="s">
        <v>73</v>
      </c>
      <c r="F131" s="55" t="s">
        <v>1152</v>
      </c>
      <c r="G131" s="56" t="s">
        <v>673</v>
      </c>
    </row>
    <row r="132" spans="1:7">
      <c r="A132" s="57">
        <v>10581</v>
      </c>
      <c r="B132" s="49">
        <v>1058102</v>
      </c>
      <c r="C132" s="49" t="s">
        <v>1153</v>
      </c>
      <c r="D132" s="49"/>
      <c r="E132" s="49" t="s">
        <v>676</v>
      </c>
      <c r="F132" s="55" t="s">
        <v>1154</v>
      </c>
      <c r="G132" s="56" t="s">
        <v>678</v>
      </c>
    </row>
    <row r="133" spans="1:7">
      <c r="A133" s="57">
        <v>10582</v>
      </c>
      <c r="B133" s="49">
        <v>1058202</v>
      </c>
      <c r="C133" s="49" t="s">
        <v>1155</v>
      </c>
      <c r="D133" s="49"/>
      <c r="E133" s="49" t="s">
        <v>682</v>
      </c>
      <c r="F133" s="55" t="s">
        <v>1156</v>
      </c>
      <c r="G133" s="56" t="s">
        <v>684</v>
      </c>
    </row>
    <row r="134" spans="1:7">
      <c r="A134" s="57">
        <v>10590</v>
      </c>
      <c r="B134" s="49">
        <v>1059002</v>
      </c>
      <c r="C134" s="49" t="s">
        <v>1157</v>
      </c>
      <c r="D134" s="49"/>
      <c r="E134" s="49" t="s">
        <v>688</v>
      </c>
      <c r="F134" s="55" t="s">
        <v>1158</v>
      </c>
      <c r="G134" s="56" t="s">
        <v>690</v>
      </c>
    </row>
    <row r="135" spans="1:7">
      <c r="A135" s="57">
        <v>10591</v>
      </c>
      <c r="B135" s="49">
        <v>1059102</v>
      </c>
      <c r="C135" s="49" t="s">
        <v>1159</v>
      </c>
      <c r="D135" s="49"/>
      <c r="E135" s="49" t="s">
        <v>693</v>
      </c>
      <c r="F135" s="55" t="s">
        <v>1160</v>
      </c>
      <c r="G135" s="56" t="s">
        <v>1161</v>
      </c>
    </row>
    <row r="136" spans="1:7">
      <c r="A136" s="57">
        <v>10592</v>
      </c>
      <c r="C136" s="58"/>
      <c r="D136" s="58"/>
      <c r="E136" s="49"/>
      <c r="F136" s="55"/>
      <c r="G136" s="56" t="s">
        <v>1162</v>
      </c>
    </row>
    <row r="137" spans="1:7">
      <c r="A137" s="57">
        <v>10600</v>
      </c>
      <c r="B137" s="49">
        <v>1060002</v>
      </c>
      <c r="C137" s="49" t="s">
        <v>1163</v>
      </c>
      <c r="D137" s="49"/>
      <c r="E137" s="49" t="s">
        <v>699</v>
      </c>
      <c r="F137" s="55" t="s">
        <v>701</v>
      </c>
      <c r="G137" s="56" t="s">
        <v>1164</v>
      </c>
    </row>
    <row r="138" spans="1:7">
      <c r="A138" s="57">
        <v>10601</v>
      </c>
      <c r="B138" s="49">
        <v>1060102</v>
      </c>
      <c r="C138" s="49" t="s">
        <v>1165</v>
      </c>
      <c r="D138" s="49"/>
      <c r="E138" s="49" t="s">
        <v>705</v>
      </c>
      <c r="F138" s="55" t="s">
        <v>707</v>
      </c>
      <c r="G138" s="56" t="s">
        <v>1166</v>
      </c>
    </row>
    <row r="139" spans="1:7">
      <c r="A139" s="57">
        <v>10602</v>
      </c>
      <c r="C139" s="58"/>
      <c r="D139" s="58"/>
      <c r="E139" s="49"/>
      <c r="F139" s="55"/>
      <c r="G139" s="56"/>
    </row>
    <row r="140" spans="1:7">
      <c r="A140" s="57">
        <v>10620</v>
      </c>
      <c r="B140" s="49">
        <v>1062002</v>
      </c>
      <c r="C140" s="49" t="s">
        <v>1167</v>
      </c>
      <c r="D140" s="49"/>
      <c r="E140" s="49" t="s">
        <v>711</v>
      </c>
      <c r="F140" s="55" t="s">
        <v>713</v>
      </c>
      <c r="G140" s="56" t="s">
        <v>1168</v>
      </c>
    </row>
    <row r="141" spans="1:7">
      <c r="A141" s="57">
        <v>10621</v>
      </c>
      <c r="B141" s="49">
        <v>1062102</v>
      </c>
      <c r="C141" s="49" t="s">
        <v>1169</v>
      </c>
      <c r="D141" s="49"/>
      <c r="E141" s="49" t="s">
        <v>717</v>
      </c>
      <c r="F141" s="55" t="s">
        <v>719</v>
      </c>
      <c r="G141" s="56" t="s">
        <v>1170</v>
      </c>
    </row>
    <row r="142" spans="1:7">
      <c r="A142" s="57">
        <v>10622</v>
      </c>
      <c r="C142" s="58"/>
      <c r="D142" s="58"/>
      <c r="E142" s="49"/>
      <c r="F142" s="55"/>
      <c r="G142" s="56"/>
    </row>
    <row r="143" spans="1:5">
      <c r="A143" s="62"/>
      <c r="C143" s="63"/>
      <c r="D143" s="64"/>
      <c r="E143" s="64"/>
    </row>
    <row r="144" spans="3:5">
      <c r="C144" s="49"/>
      <c r="D144" s="64"/>
      <c r="E144" s="64"/>
    </row>
    <row r="145" spans="3:5">
      <c r="C145" s="49"/>
      <c r="D145" s="64"/>
      <c r="E145" s="64"/>
    </row>
    <row r="146" spans="3:5">
      <c r="C146" s="49"/>
      <c r="D146" s="64"/>
      <c r="E146" s="64"/>
    </row>
    <row r="147" spans="3:5">
      <c r="C147" s="49"/>
      <c r="D147" s="64"/>
      <c r="E147" s="64"/>
    </row>
    <row r="148" spans="3:5">
      <c r="C148" s="49"/>
      <c r="D148" s="64"/>
      <c r="E148" s="64"/>
    </row>
    <row r="149" spans="3:5">
      <c r="C149" s="49"/>
      <c r="D149" s="64"/>
      <c r="E149" s="64"/>
    </row>
    <row r="150" spans="3:5">
      <c r="C150" s="49"/>
      <c r="D150" s="64"/>
      <c r="E150" s="64"/>
    </row>
    <row r="151" spans="3:5">
      <c r="C151" s="49"/>
      <c r="D151" s="64"/>
      <c r="E151" s="64"/>
    </row>
    <row r="152" spans="3:5">
      <c r="C152" s="49"/>
      <c r="D152" s="64"/>
      <c r="E152" s="64"/>
    </row>
    <row r="153" spans="3:5">
      <c r="C153" s="49"/>
      <c r="D153" s="64"/>
      <c r="E153" s="64"/>
    </row>
    <row r="154" spans="3:5">
      <c r="C154" s="49"/>
      <c r="D154" s="64"/>
      <c r="E154" s="64"/>
    </row>
    <row r="155" spans="3:5">
      <c r="C155" s="49"/>
      <c r="D155" s="64"/>
      <c r="E155" s="64"/>
    </row>
    <row r="156" spans="3:5">
      <c r="C156" s="49"/>
      <c r="D156" s="64"/>
      <c r="E156" s="64"/>
    </row>
    <row r="157" spans="3:5">
      <c r="C157" s="49"/>
      <c r="D157" s="64"/>
      <c r="E157" s="64"/>
    </row>
    <row r="158" spans="3:5">
      <c r="C158" s="49"/>
      <c r="D158" s="64"/>
      <c r="E158" s="64"/>
    </row>
    <row r="159" spans="3:5">
      <c r="C159" s="49"/>
      <c r="D159" s="64"/>
      <c r="E159" s="64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67"/>
  <sheetViews>
    <sheetView workbookViewId="0">
      <selection activeCell="F9" sqref="F9"/>
    </sheetView>
  </sheetViews>
  <sheetFormatPr defaultColWidth="7.375" defaultRowHeight="14.25"/>
  <cols>
    <col min="1" max="1" width="8.5" style="30" customWidth="1"/>
    <col min="2" max="2" width="26.625" style="30" customWidth="1"/>
    <col min="3" max="3" width="9.25" style="30" customWidth="1"/>
    <col min="4" max="4" width="12.75" style="30" customWidth="1"/>
    <col min="5" max="5" width="8.75" style="30" customWidth="1"/>
    <col min="6" max="6" width="12.75" style="30" customWidth="1"/>
    <col min="7" max="7" width="8.75" style="30" customWidth="1"/>
    <col min="8" max="8" width="13.625" style="30" customWidth="1"/>
    <col min="9" max="10" width="8.75" style="30" customWidth="1"/>
    <col min="11" max="11" width="10.5" style="30" customWidth="1"/>
    <col min="12" max="12" width="11.5" style="30" customWidth="1"/>
    <col min="13" max="13" width="9.375" style="30" customWidth="1"/>
    <col min="14" max="14" width="10.875" style="30" customWidth="1"/>
    <col min="15" max="15" width="8.75" style="30" customWidth="1"/>
    <col min="16" max="16" width="9.875" style="30" customWidth="1"/>
    <col min="17" max="17" width="10.75" style="30" customWidth="1"/>
    <col min="18" max="18" width="14.625" style="30" customWidth="1"/>
    <col min="19" max="19" width="16.25" style="30" customWidth="1"/>
    <col min="20" max="20" width="14.25" style="30" customWidth="1"/>
    <col min="21" max="21" width="20.125" style="30" customWidth="1"/>
    <col min="22" max="22" width="14.25" style="30" customWidth="1"/>
    <col min="23" max="23" width="9.375" style="30" customWidth="1"/>
    <col min="24" max="24" width="14.25" style="30" customWidth="1"/>
    <col min="25" max="25" width="27.625" style="30" customWidth="1"/>
    <col min="26" max="26" width="16.5" style="30" customWidth="1"/>
    <col min="27" max="16384" width="7.375" style="30"/>
  </cols>
  <sheetData>
    <row r="1" s="29" customFormat="1" ht="33.75" spans="1:21">
      <c r="A1" s="18" t="s">
        <v>0</v>
      </c>
      <c r="B1" s="19" t="s">
        <v>2</v>
      </c>
      <c r="C1" s="19" t="s">
        <v>3</v>
      </c>
      <c r="D1" s="20" t="s">
        <v>4</v>
      </c>
      <c r="E1" s="19" t="s">
        <v>5</v>
      </c>
      <c r="F1" s="19" t="s">
        <v>6</v>
      </c>
      <c r="G1" s="19" t="s">
        <v>7</v>
      </c>
      <c r="H1" s="19" t="s">
        <v>1171</v>
      </c>
      <c r="I1" s="19" t="s">
        <v>9</v>
      </c>
      <c r="J1" s="19" t="s">
        <v>10</v>
      </c>
      <c r="K1" s="19" t="s">
        <v>12</v>
      </c>
      <c r="L1" s="19" t="s">
        <v>14</v>
      </c>
      <c r="M1" s="33" t="s">
        <v>16</v>
      </c>
      <c r="N1" s="33" t="s">
        <v>17</v>
      </c>
      <c r="O1" s="34" t="s">
        <v>18</v>
      </c>
      <c r="P1" s="33" t="s">
        <v>19</v>
      </c>
      <c r="Q1" s="33" t="s">
        <v>20</v>
      </c>
      <c r="R1" s="33" t="s">
        <v>21</v>
      </c>
      <c r="S1" s="33" t="s">
        <v>22</v>
      </c>
      <c r="T1" s="33" t="s">
        <v>23</v>
      </c>
      <c r="U1" s="33" t="s">
        <v>24</v>
      </c>
    </row>
    <row r="2" s="29" customFormat="1" ht="18" spans="1:21">
      <c r="A2" s="18" t="s">
        <v>26</v>
      </c>
      <c r="B2" s="21" t="s">
        <v>27</v>
      </c>
      <c r="C2" s="21" t="s">
        <v>26</v>
      </c>
      <c r="D2" s="22" t="s">
        <v>26</v>
      </c>
      <c r="E2" s="21" t="s">
        <v>26</v>
      </c>
      <c r="F2" s="21" t="s">
        <v>26</v>
      </c>
      <c r="G2" s="21" t="s">
        <v>26</v>
      </c>
      <c r="H2" s="21" t="s">
        <v>26</v>
      </c>
      <c r="I2" s="21" t="s">
        <v>26</v>
      </c>
      <c r="J2" s="21" t="s">
        <v>27</v>
      </c>
      <c r="K2" s="21" t="s">
        <v>27</v>
      </c>
      <c r="L2" s="21" t="s">
        <v>27</v>
      </c>
      <c r="M2" s="33" t="s">
        <v>28</v>
      </c>
      <c r="N2" s="33" t="s">
        <v>29</v>
      </c>
      <c r="O2" s="34" t="s">
        <v>30</v>
      </c>
      <c r="P2" s="33" t="s">
        <v>30</v>
      </c>
      <c r="Q2" s="33" t="s">
        <v>30</v>
      </c>
      <c r="R2" s="33" t="s">
        <v>29</v>
      </c>
      <c r="S2" s="33" t="s">
        <v>30</v>
      </c>
      <c r="T2" s="33" t="s">
        <v>30</v>
      </c>
      <c r="U2" s="33" t="s">
        <v>30</v>
      </c>
    </row>
    <row r="3" s="29" customFormat="1" ht="33.75" spans="1:25">
      <c r="A3" s="18" t="s">
        <v>31</v>
      </c>
      <c r="B3" s="21" t="s">
        <v>33</v>
      </c>
      <c r="C3" s="23" t="s">
        <v>34</v>
      </c>
      <c r="D3" s="24" t="s">
        <v>35</v>
      </c>
      <c r="E3" s="21" t="s">
        <v>36</v>
      </c>
      <c r="F3" s="21" t="s">
        <v>37</v>
      </c>
      <c r="G3" s="21" t="s">
        <v>38</v>
      </c>
      <c r="H3" s="21" t="s">
        <v>39</v>
      </c>
      <c r="I3" s="21" t="s">
        <v>40</v>
      </c>
      <c r="J3" s="21" t="s">
        <v>41</v>
      </c>
      <c r="K3" s="23" t="s">
        <v>42</v>
      </c>
      <c r="L3" s="23" t="s">
        <v>44</v>
      </c>
      <c r="M3" s="35" t="s">
        <v>46</v>
      </c>
      <c r="N3" s="35" t="s">
        <v>47</v>
      </c>
      <c r="O3" s="36" t="s">
        <v>1172</v>
      </c>
      <c r="P3" s="35" t="s">
        <v>49</v>
      </c>
      <c r="Q3" s="35" t="s">
        <v>1173</v>
      </c>
      <c r="R3" s="35" t="s">
        <v>51</v>
      </c>
      <c r="S3" s="35" t="s">
        <v>1174</v>
      </c>
      <c r="T3" s="35" t="s">
        <v>53</v>
      </c>
      <c r="U3" s="35" t="s">
        <v>54</v>
      </c>
      <c r="Y3" s="29"/>
    </row>
    <row r="4" ht="16.5" spans="1:21">
      <c r="A4" s="18">
        <v>5001001</v>
      </c>
      <c r="B4" s="31" t="s">
        <v>58</v>
      </c>
      <c r="C4" s="31">
        <v>5</v>
      </c>
      <c r="D4" s="32">
        <v>1</v>
      </c>
      <c r="E4" s="25">
        <v>2001</v>
      </c>
      <c r="F4" s="25">
        <v>350</v>
      </c>
      <c r="G4" s="25">
        <v>10000</v>
      </c>
      <c r="H4" s="25">
        <v>0</v>
      </c>
      <c r="I4" s="25">
        <v>7000</v>
      </c>
      <c r="J4" s="25">
        <v>1011002</v>
      </c>
      <c r="K4" s="25" t="s">
        <v>293</v>
      </c>
      <c r="L4" s="25" t="s">
        <v>116</v>
      </c>
      <c r="M4" s="25" t="s">
        <v>60</v>
      </c>
      <c r="N4" s="25">
        <v>0</v>
      </c>
      <c r="O4" s="37">
        <v>1011002</v>
      </c>
      <c r="P4" s="26">
        <v>500</v>
      </c>
      <c r="Q4" s="26">
        <v>1013</v>
      </c>
      <c r="R4" s="26" t="s">
        <v>1175</v>
      </c>
      <c r="S4" s="25">
        <v>0</v>
      </c>
      <c r="T4" s="25">
        <v>0</v>
      </c>
      <c r="U4" s="25">
        <v>0</v>
      </c>
    </row>
    <row r="5" ht="16.5" spans="1:21">
      <c r="A5" s="18">
        <v>5001002</v>
      </c>
      <c r="B5" s="31" t="s">
        <v>65</v>
      </c>
      <c r="C5" s="31">
        <v>5</v>
      </c>
      <c r="D5" s="32">
        <v>1</v>
      </c>
      <c r="E5" s="25">
        <v>2001</v>
      </c>
      <c r="F5" s="25">
        <v>350</v>
      </c>
      <c r="G5" s="25">
        <v>21000</v>
      </c>
      <c r="H5" s="25">
        <v>0</v>
      </c>
      <c r="I5" s="25">
        <v>7000</v>
      </c>
      <c r="J5" s="25">
        <v>1010002</v>
      </c>
      <c r="K5" s="25" t="s">
        <v>277</v>
      </c>
      <c r="L5" s="25" t="s">
        <v>56</v>
      </c>
      <c r="M5" s="25" t="s">
        <v>60</v>
      </c>
      <c r="N5" s="25">
        <v>0</v>
      </c>
      <c r="O5" s="37">
        <v>1010102</v>
      </c>
      <c r="P5" s="26">
        <v>500</v>
      </c>
      <c r="Q5" s="26">
        <v>1013</v>
      </c>
      <c r="R5" s="26" t="s">
        <v>279</v>
      </c>
      <c r="S5" s="26">
        <v>0</v>
      </c>
      <c r="T5" s="26">
        <v>0</v>
      </c>
      <c r="U5" s="25">
        <v>0</v>
      </c>
    </row>
    <row r="6" ht="16.5" spans="1:21">
      <c r="A6" s="18">
        <v>5001003</v>
      </c>
      <c r="B6" s="31" t="s">
        <v>70</v>
      </c>
      <c r="C6" s="31">
        <v>5</v>
      </c>
      <c r="D6" s="32">
        <v>1</v>
      </c>
      <c r="E6" s="25">
        <v>2001</v>
      </c>
      <c r="F6" s="25">
        <v>350</v>
      </c>
      <c r="G6" s="25">
        <v>6000</v>
      </c>
      <c r="H6" s="25">
        <v>0</v>
      </c>
      <c r="I6" s="25">
        <v>7000</v>
      </c>
      <c r="J6" s="25">
        <v>1009002</v>
      </c>
      <c r="K6" s="25" t="s">
        <v>267</v>
      </c>
      <c r="L6" s="25" t="s">
        <v>265</v>
      </c>
      <c r="M6" s="25" t="s">
        <v>60</v>
      </c>
      <c r="N6" s="25">
        <v>0</v>
      </c>
      <c r="O6" s="38">
        <v>1009002</v>
      </c>
      <c r="P6" s="25">
        <v>700</v>
      </c>
      <c r="Q6" s="25">
        <v>1011</v>
      </c>
      <c r="R6" s="25" t="s">
        <v>269</v>
      </c>
      <c r="S6" s="25">
        <v>0</v>
      </c>
      <c r="T6" s="25">
        <v>0</v>
      </c>
      <c r="U6" s="25">
        <v>0</v>
      </c>
    </row>
    <row r="7" ht="16.5" spans="1:21">
      <c r="A7" s="18">
        <v>5001004</v>
      </c>
      <c r="B7" s="31" t="s">
        <v>75</v>
      </c>
      <c r="C7" s="31">
        <v>5</v>
      </c>
      <c r="D7" s="32">
        <v>1</v>
      </c>
      <c r="E7" s="25">
        <v>2001</v>
      </c>
      <c r="F7" s="25">
        <v>350</v>
      </c>
      <c r="G7" s="25">
        <v>21000</v>
      </c>
      <c r="H7" s="25">
        <v>0</v>
      </c>
      <c r="I7" s="25">
        <v>18000</v>
      </c>
      <c r="J7" s="25">
        <v>1014002</v>
      </c>
      <c r="K7" s="25" t="s">
        <v>323</v>
      </c>
      <c r="L7" s="25" t="s">
        <v>321</v>
      </c>
      <c r="M7" s="25" t="s">
        <v>60</v>
      </c>
      <c r="N7" s="25">
        <v>0</v>
      </c>
      <c r="O7" s="38">
        <v>1014002</v>
      </c>
      <c r="P7" s="26">
        <v>600</v>
      </c>
      <c r="Q7" s="26">
        <v>1014</v>
      </c>
      <c r="R7" s="26">
        <v>1050</v>
      </c>
      <c r="S7" s="25">
        <v>0</v>
      </c>
      <c r="T7" s="25">
        <v>0</v>
      </c>
      <c r="U7" s="25">
        <v>0</v>
      </c>
    </row>
    <row r="8" ht="99" spans="1:21">
      <c r="A8" s="18">
        <v>5001005</v>
      </c>
      <c r="B8" s="31" t="s">
        <v>79</v>
      </c>
      <c r="C8" s="31">
        <v>5</v>
      </c>
      <c r="D8" s="32">
        <v>1</v>
      </c>
      <c r="E8" s="31">
        <f>E4</f>
        <v>2001</v>
      </c>
      <c r="F8" s="31">
        <f t="shared" ref="F8:U8" si="0">F4</f>
        <v>350</v>
      </c>
      <c r="G8" s="31">
        <f t="shared" si="0"/>
        <v>10000</v>
      </c>
      <c r="H8" s="31">
        <f t="shared" si="0"/>
        <v>0</v>
      </c>
      <c r="I8" s="31">
        <f t="shared" si="0"/>
        <v>7000</v>
      </c>
      <c r="J8" s="31">
        <f t="shared" si="0"/>
        <v>1011002</v>
      </c>
      <c r="K8" s="31" t="str">
        <f t="shared" si="0"/>
        <v>树桩战士使用元素之力召唤更强大的树灵，对前方敌人造成大量伤害</v>
      </c>
      <c r="L8" s="31" t="str">
        <f t="shared" si="0"/>
        <v>巨树灵降临</v>
      </c>
      <c r="M8" s="31" t="str">
        <f t="shared" si="0"/>
        <v>skill</v>
      </c>
      <c r="N8" s="31">
        <f t="shared" si="0"/>
        <v>0</v>
      </c>
      <c r="O8" s="31">
        <f t="shared" si="0"/>
        <v>1011002</v>
      </c>
      <c r="P8" s="31">
        <f t="shared" si="0"/>
        <v>500</v>
      </c>
      <c r="Q8" s="31">
        <f t="shared" si="0"/>
        <v>1013</v>
      </c>
      <c r="R8" s="31" t="str">
        <f t="shared" si="0"/>
        <v>2200|2400|3200|3411</v>
      </c>
      <c r="S8" s="31">
        <f t="shared" si="0"/>
        <v>0</v>
      </c>
      <c r="T8" s="31">
        <f t="shared" si="0"/>
        <v>0</v>
      </c>
      <c r="U8" s="31">
        <f t="shared" si="0"/>
        <v>0</v>
      </c>
    </row>
    <row r="9" ht="115.5" spans="1:21">
      <c r="A9" s="18">
        <f>A4+1000</f>
        <v>5002001</v>
      </c>
      <c r="B9" s="31" t="s">
        <v>84</v>
      </c>
      <c r="C9" s="31">
        <v>5</v>
      </c>
      <c r="D9" s="32">
        <f>D4+1</f>
        <v>2</v>
      </c>
      <c r="E9" s="31">
        <f t="shared" ref="E9:U23" si="1">E5</f>
        <v>2001</v>
      </c>
      <c r="F9" s="31">
        <f t="shared" si="1"/>
        <v>350</v>
      </c>
      <c r="G9" s="31">
        <f t="shared" si="1"/>
        <v>21000</v>
      </c>
      <c r="H9" s="31">
        <f t="shared" si="1"/>
        <v>0</v>
      </c>
      <c r="I9" s="31">
        <f t="shared" si="1"/>
        <v>7000</v>
      </c>
      <c r="J9" s="31">
        <f t="shared" si="1"/>
        <v>1010002</v>
      </c>
      <c r="K9" s="31" t="str">
        <f t="shared" si="1"/>
        <v>上忍菇释放多个毒蘑菇制造大范围的毒气，对周围的敌人造成较大的毒气伤害。</v>
      </c>
      <c r="L9" s="31" t="str">
        <f t="shared" si="1"/>
        <v>毒菇风暴</v>
      </c>
      <c r="M9" s="31" t="str">
        <f t="shared" si="1"/>
        <v>skill</v>
      </c>
      <c r="N9" s="31">
        <f t="shared" si="1"/>
        <v>0</v>
      </c>
      <c r="O9" s="31">
        <f t="shared" si="1"/>
        <v>1010102</v>
      </c>
      <c r="P9" s="31">
        <f t="shared" si="1"/>
        <v>500</v>
      </c>
      <c r="Q9" s="31">
        <f t="shared" si="1"/>
        <v>1013</v>
      </c>
      <c r="R9" s="31" t="str">
        <f t="shared" si="1"/>
        <v>1800|1930</v>
      </c>
      <c r="S9" s="31">
        <f t="shared" si="1"/>
        <v>0</v>
      </c>
      <c r="T9" s="31">
        <f t="shared" si="1"/>
        <v>0</v>
      </c>
      <c r="U9" s="31">
        <f t="shared" si="1"/>
        <v>0</v>
      </c>
    </row>
    <row r="10" ht="99" spans="1:21">
      <c r="A10" s="18">
        <f t="shared" ref="A10:A28" si="2">A5+1000</f>
        <v>5002002</v>
      </c>
      <c r="B10" s="31" t="s">
        <v>89</v>
      </c>
      <c r="C10" s="31">
        <v>5</v>
      </c>
      <c r="D10" s="32">
        <f t="shared" ref="D10:D28" si="3">D5+1</f>
        <v>2</v>
      </c>
      <c r="E10" s="31">
        <f t="shared" si="1"/>
        <v>2001</v>
      </c>
      <c r="F10" s="31">
        <f t="shared" si="1"/>
        <v>350</v>
      </c>
      <c r="G10" s="31">
        <f t="shared" si="1"/>
        <v>6000</v>
      </c>
      <c r="H10" s="31">
        <f t="shared" si="1"/>
        <v>0</v>
      </c>
      <c r="I10" s="31">
        <f t="shared" si="1"/>
        <v>7000</v>
      </c>
      <c r="J10" s="31">
        <f t="shared" si="1"/>
        <v>1009002</v>
      </c>
      <c r="K10" s="31" t="str">
        <f t="shared" si="1"/>
        <v>霜角鹿利用冰冷的冰角召唤冰锥，向前方区域发射冰锥攻击</v>
      </c>
      <c r="L10" s="31" t="str">
        <f t="shared" si="1"/>
        <v>极寒冰锥</v>
      </c>
      <c r="M10" s="31" t="str">
        <f t="shared" si="1"/>
        <v>skill</v>
      </c>
      <c r="N10" s="31">
        <f t="shared" si="1"/>
        <v>0</v>
      </c>
      <c r="O10" s="31">
        <f t="shared" si="1"/>
        <v>1009002</v>
      </c>
      <c r="P10" s="31">
        <f t="shared" si="1"/>
        <v>700</v>
      </c>
      <c r="Q10" s="31">
        <f t="shared" si="1"/>
        <v>1011</v>
      </c>
      <c r="R10" s="31" t="str">
        <f t="shared" si="1"/>
        <v>1120|1320|1520|1720|1920|2120|2320</v>
      </c>
      <c r="S10" s="31">
        <f t="shared" si="1"/>
        <v>0</v>
      </c>
      <c r="T10" s="31">
        <f t="shared" si="1"/>
        <v>0</v>
      </c>
      <c r="U10" s="31">
        <f t="shared" si="1"/>
        <v>0</v>
      </c>
    </row>
    <row r="11" ht="82.5" spans="1:21">
      <c r="A11" s="18">
        <f t="shared" si="2"/>
        <v>5002003</v>
      </c>
      <c r="B11" s="31" t="s">
        <v>94</v>
      </c>
      <c r="C11" s="31">
        <v>5</v>
      </c>
      <c r="D11" s="32">
        <f t="shared" si="3"/>
        <v>2</v>
      </c>
      <c r="E11" s="31">
        <f t="shared" si="1"/>
        <v>2001</v>
      </c>
      <c r="F11" s="31">
        <f t="shared" si="1"/>
        <v>350</v>
      </c>
      <c r="G11" s="31">
        <f t="shared" si="1"/>
        <v>21000</v>
      </c>
      <c r="H11" s="31">
        <f t="shared" si="1"/>
        <v>0</v>
      </c>
      <c r="I11" s="31">
        <f t="shared" si="1"/>
        <v>18000</v>
      </c>
      <c r="J11" s="31">
        <f t="shared" si="1"/>
        <v>1014002</v>
      </c>
      <c r="K11" s="31" t="str">
        <f t="shared" si="1"/>
        <v>炽焰幼虎向前跃出使用爪击，对周围敌人造成伤害</v>
      </c>
      <c r="L11" s="31" t="str">
        <f t="shared" si="1"/>
        <v>炽焰利爪</v>
      </c>
      <c r="M11" s="31" t="str">
        <f t="shared" si="1"/>
        <v>skill</v>
      </c>
      <c r="N11" s="31">
        <f t="shared" si="1"/>
        <v>0</v>
      </c>
      <c r="O11" s="31">
        <f t="shared" si="1"/>
        <v>1014002</v>
      </c>
      <c r="P11" s="31">
        <f t="shared" si="1"/>
        <v>600</v>
      </c>
      <c r="Q11" s="31">
        <f t="shared" si="1"/>
        <v>1014</v>
      </c>
      <c r="R11" s="31">
        <f t="shared" si="1"/>
        <v>1050</v>
      </c>
      <c r="S11" s="31">
        <f t="shared" si="1"/>
        <v>0</v>
      </c>
      <c r="T11" s="31">
        <f t="shared" si="1"/>
        <v>0</v>
      </c>
      <c r="U11" s="31">
        <f t="shared" si="1"/>
        <v>0</v>
      </c>
    </row>
    <row r="12" ht="99" spans="1:21">
      <c r="A12" s="18">
        <f t="shared" si="2"/>
        <v>5002004</v>
      </c>
      <c r="B12" s="31" t="s">
        <v>99</v>
      </c>
      <c r="C12" s="31">
        <v>5</v>
      </c>
      <c r="D12" s="32">
        <f t="shared" si="3"/>
        <v>2</v>
      </c>
      <c r="E12" s="31">
        <f t="shared" si="1"/>
        <v>2001</v>
      </c>
      <c r="F12" s="31">
        <f t="shared" si="1"/>
        <v>350</v>
      </c>
      <c r="G12" s="31">
        <f t="shared" si="1"/>
        <v>10000</v>
      </c>
      <c r="H12" s="31">
        <f t="shared" si="1"/>
        <v>0</v>
      </c>
      <c r="I12" s="31">
        <f t="shared" si="1"/>
        <v>7000</v>
      </c>
      <c r="J12" s="31">
        <f t="shared" si="1"/>
        <v>1011002</v>
      </c>
      <c r="K12" s="31" t="str">
        <f t="shared" si="1"/>
        <v>树桩战士使用元素之力召唤更强大的树灵，对前方敌人造成大量伤害</v>
      </c>
      <c r="L12" s="31" t="str">
        <f t="shared" si="1"/>
        <v>巨树灵降临</v>
      </c>
      <c r="M12" s="31" t="str">
        <f t="shared" si="1"/>
        <v>skill</v>
      </c>
      <c r="N12" s="31">
        <f t="shared" si="1"/>
        <v>0</v>
      </c>
      <c r="O12" s="31">
        <f t="shared" si="1"/>
        <v>1011002</v>
      </c>
      <c r="P12" s="31">
        <f t="shared" si="1"/>
        <v>500</v>
      </c>
      <c r="Q12" s="31">
        <f t="shared" si="1"/>
        <v>1013</v>
      </c>
      <c r="R12" s="31" t="str">
        <f t="shared" si="1"/>
        <v>2200|2400|3200|3411</v>
      </c>
      <c r="S12" s="31">
        <f t="shared" si="1"/>
        <v>0</v>
      </c>
      <c r="T12" s="31">
        <f t="shared" si="1"/>
        <v>0</v>
      </c>
      <c r="U12" s="31">
        <f t="shared" si="1"/>
        <v>0</v>
      </c>
    </row>
    <row r="13" ht="115.5" spans="1:21">
      <c r="A13" s="18">
        <f t="shared" si="2"/>
        <v>5002005</v>
      </c>
      <c r="B13" s="31" t="s">
        <v>104</v>
      </c>
      <c r="C13" s="31">
        <v>5</v>
      </c>
      <c r="D13" s="32">
        <f t="shared" si="3"/>
        <v>2</v>
      </c>
      <c r="E13" s="31">
        <f t="shared" si="1"/>
        <v>2001</v>
      </c>
      <c r="F13" s="31">
        <f t="shared" si="1"/>
        <v>350</v>
      </c>
      <c r="G13" s="31">
        <f t="shared" si="1"/>
        <v>21000</v>
      </c>
      <c r="H13" s="31">
        <f t="shared" si="1"/>
        <v>0</v>
      </c>
      <c r="I13" s="31">
        <f t="shared" si="1"/>
        <v>7000</v>
      </c>
      <c r="J13" s="31">
        <f t="shared" si="1"/>
        <v>1010002</v>
      </c>
      <c r="K13" s="31" t="str">
        <f t="shared" si="1"/>
        <v>上忍菇释放多个毒蘑菇制造大范围的毒气，对周围的敌人造成较大的毒气伤害。</v>
      </c>
      <c r="L13" s="31" t="str">
        <f t="shared" si="1"/>
        <v>毒菇风暴</v>
      </c>
      <c r="M13" s="31" t="str">
        <f t="shared" si="1"/>
        <v>skill</v>
      </c>
      <c r="N13" s="31">
        <f t="shared" si="1"/>
        <v>0</v>
      </c>
      <c r="O13" s="31">
        <f t="shared" si="1"/>
        <v>1010102</v>
      </c>
      <c r="P13" s="31">
        <f t="shared" si="1"/>
        <v>500</v>
      </c>
      <c r="Q13" s="31">
        <f t="shared" si="1"/>
        <v>1013</v>
      </c>
      <c r="R13" s="31" t="str">
        <f t="shared" si="1"/>
        <v>1800|1930</v>
      </c>
      <c r="S13" s="31">
        <f t="shared" si="1"/>
        <v>0</v>
      </c>
      <c r="T13" s="31">
        <f t="shared" si="1"/>
        <v>0</v>
      </c>
      <c r="U13" s="31">
        <f t="shared" si="1"/>
        <v>0</v>
      </c>
    </row>
    <row r="14" ht="99" spans="1:21">
      <c r="A14" s="18">
        <f t="shared" si="2"/>
        <v>5003001</v>
      </c>
      <c r="B14" s="31" t="s">
        <v>108</v>
      </c>
      <c r="C14" s="31">
        <v>5</v>
      </c>
      <c r="D14" s="32">
        <f t="shared" si="3"/>
        <v>3</v>
      </c>
      <c r="E14" s="31">
        <f t="shared" si="1"/>
        <v>2001</v>
      </c>
      <c r="F14" s="31">
        <f t="shared" si="1"/>
        <v>350</v>
      </c>
      <c r="G14" s="31">
        <f t="shared" si="1"/>
        <v>6000</v>
      </c>
      <c r="H14" s="31">
        <f t="shared" si="1"/>
        <v>0</v>
      </c>
      <c r="I14" s="31">
        <f t="shared" si="1"/>
        <v>7000</v>
      </c>
      <c r="J14" s="31">
        <f t="shared" si="1"/>
        <v>1009002</v>
      </c>
      <c r="K14" s="31" t="str">
        <f t="shared" si="1"/>
        <v>霜角鹿利用冰冷的冰角召唤冰锥，向前方区域发射冰锥攻击</v>
      </c>
      <c r="L14" s="31" t="str">
        <f t="shared" si="1"/>
        <v>极寒冰锥</v>
      </c>
      <c r="M14" s="31" t="str">
        <f t="shared" si="1"/>
        <v>skill</v>
      </c>
      <c r="N14" s="31">
        <f t="shared" si="1"/>
        <v>0</v>
      </c>
      <c r="O14" s="31">
        <f t="shared" si="1"/>
        <v>1009002</v>
      </c>
      <c r="P14" s="31">
        <f t="shared" si="1"/>
        <v>700</v>
      </c>
      <c r="Q14" s="31">
        <f t="shared" si="1"/>
        <v>1011</v>
      </c>
      <c r="R14" s="31" t="str">
        <f t="shared" si="1"/>
        <v>1120|1320|1520|1720|1920|2120|2320</v>
      </c>
      <c r="S14" s="31">
        <f t="shared" si="1"/>
        <v>0</v>
      </c>
      <c r="T14" s="31">
        <f t="shared" si="1"/>
        <v>0</v>
      </c>
      <c r="U14" s="31">
        <f t="shared" si="1"/>
        <v>0</v>
      </c>
    </row>
    <row r="15" ht="82.5" spans="1:21">
      <c r="A15" s="18">
        <f t="shared" si="2"/>
        <v>5003002</v>
      </c>
      <c r="B15" s="31" t="s">
        <v>113</v>
      </c>
      <c r="C15" s="31">
        <v>5</v>
      </c>
      <c r="D15" s="32">
        <f t="shared" si="3"/>
        <v>3</v>
      </c>
      <c r="E15" s="31">
        <f t="shared" si="1"/>
        <v>2001</v>
      </c>
      <c r="F15" s="31">
        <f t="shared" si="1"/>
        <v>350</v>
      </c>
      <c r="G15" s="31">
        <f t="shared" si="1"/>
        <v>21000</v>
      </c>
      <c r="H15" s="31">
        <f t="shared" si="1"/>
        <v>0</v>
      </c>
      <c r="I15" s="31">
        <f t="shared" si="1"/>
        <v>18000</v>
      </c>
      <c r="J15" s="31">
        <f t="shared" si="1"/>
        <v>1014002</v>
      </c>
      <c r="K15" s="31" t="str">
        <f t="shared" si="1"/>
        <v>炽焰幼虎向前跃出使用爪击，对周围敌人造成伤害</v>
      </c>
      <c r="L15" s="31" t="str">
        <f t="shared" si="1"/>
        <v>炽焰利爪</v>
      </c>
      <c r="M15" s="31" t="str">
        <f t="shared" si="1"/>
        <v>skill</v>
      </c>
      <c r="N15" s="31">
        <f t="shared" si="1"/>
        <v>0</v>
      </c>
      <c r="O15" s="31">
        <f t="shared" si="1"/>
        <v>1014002</v>
      </c>
      <c r="P15" s="31">
        <f t="shared" si="1"/>
        <v>600</v>
      </c>
      <c r="Q15" s="31">
        <f t="shared" si="1"/>
        <v>1014</v>
      </c>
      <c r="R15" s="31">
        <f t="shared" si="1"/>
        <v>1050</v>
      </c>
      <c r="S15" s="31">
        <f t="shared" si="1"/>
        <v>0</v>
      </c>
      <c r="T15" s="31">
        <f t="shared" si="1"/>
        <v>0</v>
      </c>
      <c r="U15" s="31">
        <f t="shared" si="1"/>
        <v>0</v>
      </c>
    </row>
    <row r="16" ht="99" spans="1:21">
      <c r="A16" s="18">
        <f t="shared" si="2"/>
        <v>5003003</v>
      </c>
      <c r="B16" s="31" t="s">
        <v>118</v>
      </c>
      <c r="C16" s="31">
        <v>5</v>
      </c>
      <c r="D16" s="32">
        <f t="shared" si="3"/>
        <v>3</v>
      </c>
      <c r="E16" s="31">
        <f t="shared" si="1"/>
        <v>2001</v>
      </c>
      <c r="F16" s="31">
        <f t="shared" si="1"/>
        <v>350</v>
      </c>
      <c r="G16" s="31">
        <f t="shared" si="1"/>
        <v>10000</v>
      </c>
      <c r="H16" s="31">
        <f t="shared" si="1"/>
        <v>0</v>
      </c>
      <c r="I16" s="31">
        <f t="shared" si="1"/>
        <v>7000</v>
      </c>
      <c r="J16" s="31">
        <f t="shared" si="1"/>
        <v>1011002</v>
      </c>
      <c r="K16" s="31" t="str">
        <f t="shared" si="1"/>
        <v>树桩战士使用元素之力召唤更强大的树灵，对前方敌人造成大量伤害</v>
      </c>
      <c r="L16" s="31" t="str">
        <f t="shared" si="1"/>
        <v>巨树灵降临</v>
      </c>
      <c r="M16" s="31" t="str">
        <f t="shared" si="1"/>
        <v>skill</v>
      </c>
      <c r="N16" s="31">
        <f t="shared" si="1"/>
        <v>0</v>
      </c>
      <c r="O16" s="31">
        <f t="shared" si="1"/>
        <v>1011002</v>
      </c>
      <c r="P16" s="31">
        <f t="shared" si="1"/>
        <v>500</v>
      </c>
      <c r="Q16" s="31">
        <f t="shared" si="1"/>
        <v>1013</v>
      </c>
      <c r="R16" s="31" t="str">
        <f t="shared" si="1"/>
        <v>2200|2400|3200|3411</v>
      </c>
      <c r="S16" s="31">
        <f t="shared" si="1"/>
        <v>0</v>
      </c>
      <c r="T16" s="31">
        <f t="shared" si="1"/>
        <v>0</v>
      </c>
      <c r="U16" s="31">
        <f t="shared" si="1"/>
        <v>0</v>
      </c>
    </row>
    <row r="17" ht="115.5" spans="1:21">
      <c r="A17" s="18">
        <f t="shared" si="2"/>
        <v>5003004</v>
      </c>
      <c r="B17" s="31" t="s">
        <v>123</v>
      </c>
      <c r="C17" s="31">
        <v>5</v>
      </c>
      <c r="D17" s="32">
        <f t="shared" si="3"/>
        <v>3</v>
      </c>
      <c r="E17" s="31">
        <f t="shared" si="1"/>
        <v>2001</v>
      </c>
      <c r="F17" s="31">
        <f t="shared" si="1"/>
        <v>350</v>
      </c>
      <c r="G17" s="31">
        <f t="shared" si="1"/>
        <v>21000</v>
      </c>
      <c r="H17" s="31">
        <f t="shared" si="1"/>
        <v>0</v>
      </c>
      <c r="I17" s="31">
        <f t="shared" si="1"/>
        <v>7000</v>
      </c>
      <c r="J17" s="31">
        <f t="shared" si="1"/>
        <v>1010002</v>
      </c>
      <c r="K17" s="31" t="str">
        <f t="shared" si="1"/>
        <v>上忍菇释放多个毒蘑菇制造大范围的毒气，对周围的敌人造成较大的毒气伤害。</v>
      </c>
      <c r="L17" s="31" t="str">
        <f t="shared" si="1"/>
        <v>毒菇风暴</v>
      </c>
      <c r="M17" s="31" t="str">
        <f t="shared" si="1"/>
        <v>skill</v>
      </c>
      <c r="N17" s="31">
        <f t="shared" si="1"/>
        <v>0</v>
      </c>
      <c r="O17" s="31">
        <f t="shared" si="1"/>
        <v>1010102</v>
      </c>
      <c r="P17" s="31">
        <f t="shared" si="1"/>
        <v>500</v>
      </c>
      <c r="Q17" s="31">
        <f t="shared" si="1"/>
        <v>1013</v>
      </c>
      <c r="R17" s="31" t="str">
        <f t="shared" si="1"/>
        <v>1800|1930</v>
      </c>
      <c r="S17" s="31">
        <f t="shared" si="1"/>
        <v>0</v>
      </c>
      <c r="T17" s="31">
        <f t="shared" si="1"/>
        <v>0</v>
      </c>
      <c r="U17" s="31">
        <f t="shared" si="1"/>
        <v>0</v>
      </c>
    </row>
    <row r="18" ht="99" spans="1:21">
      <c r="A18" s="18">
        <f t="shared" si="2"/>
        <v>5003005</v>
      </c>
      <c r="B18" s="31" t="s">
        <v>127</v>
      </c>
      <c r="C18" s="31">
        <v>5</v>
      </c>
      <c r="D18" s="32">
        <f t="shared" si="3"/>
        <v>3</v>
      </c>
      <c r="E18" s="31">
        <f t="shared" si="1"/>
        <v>2001</v>
      </c>
      <c r="F18" s="31">
        <f t="shared" si="1"/>
        <v>350</v>
      </c>
      <c r="G18" s="31">
        <f t="shared" si="1"/>
        <v>6000</v>
      </c>
      <c r="H18" s="31">
        <f t="shared" si="1"/>
        <v>0</v>
      </c>
      <c r="I18" s="31">
        <f t="shared" si="1"/>
        <v>7000</v>
      </c>
      <c r="J18" s="31">
        <f t="shared" si="1"/>
        <v>1009002</v>
      </c>
      <c r="K18" s="31" t="str">
        <f t="shared" si="1"/>
        <v>霜角鹿利用冰冷的冰角召唤冰锥，向前方区域发射冰锥攻击</v>
      </c>
      <c r="L18" s="31" t="str">
        <f t="shared" si="1"/>
        <v>极寒冰锥</v>
      </c>
      <c r="M18" s="31" t="str">
        <f t="shared" si="1"/>
        <v>skill</v>
      </c>
      <c r="N18" s="31">
        <f t="shared" si="1"/>
        <v>0</v>
      </c>
      <c r="O18" s="31">
        <f t="shared" si="1"/>
        <v>1009002</v>
      </c>
      <c r="P18" s="31">
        <f t="shared" si="1"/>
        <v>700</v>
      </c>
      <c r="Q18" s="31">
        <f t="shared" si="1"/>
        <v>1011</v>
      </c>
      <c r="R18" s="31" t="str">
        <f t="shared" si="1"/>
        <v>1120|1320|1520|1720|1920|2120|2320</v>
      </c>
      <c r="S18" s="31">
        <f t="shared" si="1"/>
        <v>0</v>
      </c>
      <c r="T18" s="31">
        <f t="shared" si="1"/>
        <v>0</v>
      </c>
      <c r="U18" s="31">
        <f t="shared" si="1"/>
        <v>0</v>
      </c>
    </row>
    <row r="19" ht="82.5" spans="1:21">
      <c r="A19" s="18">
        <f t="shared" si="2"/>
        <v>5004001</v>
      </c>
      <c r="B19" s="31" t="s">
        <v>132</v>
      </c>
      <c r="C19" s="31">
        <v>5</v>
      </c>
      <c r="D19" s="32">
        <f t="shared" si="3"/>
        <v>4</v>
      </c>
      <c r="E19" s="31">
        <f t="shared" si="1"/>
        <v>2001</v>
      </c>
      <c r="F19" s="31">
        <f t="shared" si="1"/>
        <v>350</v>
      </c>
      <c r="G19" s="31">
        <f t="shared" si="1"/>
        <v>21000</v>
      </c>
      <c r="H19" s="31">
        <f t="shared" si="1"/>
        <v>0</v>
      </c>
      <c r="I19" s="31">
        <f t="shared" si="1"/>
        <v>18000</v>
      </c>
      <c r="J19" s="31">
        <f t="shared" si="1"/>
        <v>1014002</v>
      </c>
      <c r="K19" s="31" t="str">
        <f t="shared" si="1"/>
        <v>炽焰幼虎向前跃出使用爪击，对周围敌人造成伤害</v>
      </c>
      <c r="L19" s="31" t="str">
        <f t="shared" si="1"/>
        <v>炽焰利爪</v>
      </c>
      <c r="M19" s="31" t="str">
        <f t="shared" si="1"/>
        <v>skill</v>
      </c>
      <c r="N19" s="31">
        <f t="shared" si="1"/>
        <v>0</v>
      </c>
      <c r="O19" s="31">
        <f t="shared" si="1"/>
        <v>1014002</v>
      </c>
      <c r="P19" s="31">
        <f t="shared" si="1"/>
        <v>600</v>
      </c>
      <c r="Q19" s="31">
        <f t="shared" si="1"/>
        <v>1014</v>
      </c>
      <c r="R19" s="31">
        <f t="shared" si="1"/>
        <v>1050</v>
      </c>
      <c r="S19" s="31">
        <f t="shared" si="1"/>
        <v>0</v>
      </c>
      <c r="T19" s="31">
        <f t="shared" si="1"/>
        <v>0</v>
      </c>
      <c r="U19" s="31">
        <f t="shared" si="1"/>
        <v>0</v>
      </c>
    </row>
    <row r="20" ht="99" spans="1:21">
      <c r="A20" s="18">
        <f t="shared" si="2"/>
        <v>5004002</v>
      </c>
      <c r="B20" s="31" t="s">
        <v>137</v>
      </c>
      <c r="C20" s="31">
        <v>5</v>
      </c>
      <c r="D20" s="32">
        <f t="shared" si="3"/>
        <v>4</v>
      </c>
      <c r="E20" s="31">
        <f t="shared" si="1"/>
        <v>2001</v>
      </c>
      <c r="F20" s="31">
        <f t="shared" si="1"/>
        <v>350</v>
      </c>
      <c r="G20" s="31">
        <f t="shared" si="1"/>
        <v>10000</v>
      </c>
      <c r="H20" s="31">
        <f t="shared" si="1"/>
        <v>0</v>
      </c>
      <c r="I20" s="31">
        <f t="shared" si="1"/>
        <v>7000</v>
      </c>
      <c r="J20" s="31">
        <f t="shared" si="1"/>
        <v>1011002</v>
      </c>
      <c r="K20" s="31" t="str">
        <f t="shared" si="1"/>
        <v>树桩战士使用元素之力召唤更强大的树灵，对前方敌人造成大量伤害</v>
      </c>
      <c r="L20" s="31" t="str">
        <f t="shared" si="1"/>
        <v>巨树灵降临</v>
      </c>
      <c r="M20" s="31" t="str">
        <f t="shared" si="1"/>
        <v>skill</v>
      </c>
      <c r="N20" s="31">
        <f t="shared" si="1"/>
        <v>0</v>
      </c>
      <c r="O20" s="31">
        <f t="shared" si="1"/>
        <v>1011002</v>
      </c>
      <c r="P20" s="31">
        <f t="shared" si="1"/>
        <v>500</v>
      </c>
      <c r="Q20" s="31">
        <f t="shared" si="1"/>
        <v>1013</v>
      </c>
      <c r="R20" s="31" t="str">
        <f t="shared" si="1"/>
        <v>2200|2400|3200|3411</v>
      </c>
      <c r="S20" s="31">
        <f t="shared" si="1"/>
        <v>0</v>
      </c>
      <c r="T20" s="31">
        <f t="shared" si="1"/>
        <v>0</v>
      </c>
      <c r="U20" s="31">
        <f t="shared" si="1"/>
        <v>0</v>
      </c>
    </row>
    <row r="21" ht="115.5" spans="1:21">
      <c r="A21" s="18">
        <f t="shared" si="2"/>
        <v>5004003</v>
      </c>
      <c r="B21" s="31" t="s">
        <v>142</v>
      </c>
      <c r="C21" s="31">
        <v>5</v>
      </c>
      <c r="D21" s="32">
        <f t="shared" si="3"/>
        <v>4</v>
      </c>
      <c r="E21" s="31">
        <f t="shared" si="1"/>
        <v>2001</v>
      </c>
      <c r="F21" s="31">
        <f t="shared" si="1"/>
        <v>350</v>
      </c>
      <c r="G21" s="31">
        <f t="shared" si="1"/>
        <v>21000</v>
      </c>
      <c r="H21" s="31">
        <f t="shared" si="1"/>
        <v>0</v>
      </c>
      <c r="I21" s="31">
        <f t="shared" si="1"/>
        <v>7000</v>
      </c>
      <c r="J21" s="31">
        <f t="shared" si="1"/>
        <v>1010002</v>
      </c>
      <c r="K21" s="31" t="str">
        <f t="shared" si="1"/>
        <v>上忍菇释放多个毒蘑菇制造大范围的毒气，对周围的敌人造成较大的毒气伤害。</v>
      </c>
      <c r="L21" s="31" t="str">
        <f t="shared" si="1"/>
        <v>毒菇风暴</v>
      </c>
      <c r="M21" s="31" t="str">
        <f t="shared" si="1"/>
        <v>skill</v>
      </c>
      <c r="N21" s="31">
        <f t="shared" si="1"/>
        <v>0</v>
      </c>
      <c r="O21" s="31">
        <f t="shared" si="1"/>
        <v>1010102</v>
      </c>
      <c r="P21" s="31">
        <f t="shared" si="1"/>
        <v>500</v>
      </c>
      <c r="Q21" s="31">
        <f t="shared" si="1"/>
        <v>1013</v>
      </c>
      <c r="R21" s="31" t="str">
        <f t="shared" si="1"/>
        <v>1800|1930</v>
      </c>
      <c r="S21" s="31">
        <f t="shared" si="1"/>
        <v>0</v>
      </c>
      <c r="T21" s="31">
        <f t="shared" si="1"/>
        <v>0</v>
      </c>
      <c r="U21" s="31">
        <f t="shared" si="1"/>
        <v>0</v>
      </c>
    </row>
    <row r="22" ht="99" spans="1:21">
      <c r="A22" s="18">
        <f t="shared" si="2"/>
        <v>5004004</v>
      </c>
      <c r="B22" s="31" t="s">
        <v>146</v>
      </c>
      <c r="C22" s="31">
        <v>5</v>
      </c>
      <c r="D22" s="32">
        <f t="shared" si="3"/>
        <v>4</v>
      </c>
      <c r="E22" s="31">
        <f t="shared" si="1"/>
        <v>2001</v>
      </c>
      <c r="F22" s="31">
        <f t="shared" si="1"/>
        <v>350</v>
      </c>
      <c r="G22" s="31">
        <f t="shared" si="1"/>
        <v>6000</v>
      </c>
      <c r="H22" s="31">
        <f t="shared" si="1"/>
        <v>0</v>
      </c>
      <c r="I22" s="31">
        <f t="shared" si="1"/>
        <v>7000</v>
      </c>
      <c r="J22" s="31">
        <f t="shared" si="1"/>
        <v>1009002</v>
      </c>
      <c r="K22" s="31" t="str">
        <f t="shared" si="1"/>
        <v>霜角鹿利用冰冷的冰角召唤冰锥，向前方区域发射冰锥攻击</v>
      </c>
      <c r="L22" s="31" t="str">
        <f t="shared" si="1"/>
        <v>极寒冰锥</v>
      </c>
      <c r="M22" s="31" t="str">
        <f t="shared" si="1"/>
        <v>skill</v>
      </c>
      <c r="N22" s="31">
        <f t="shared" si="1"/>
        <v>0</v>
      </c>
      <c r="O22" s="31">
        <f t="shared" si="1"/>
        <v>1009002</v>
      </c>
      <c r="P22" s="31">
        <f t="shared" si="1"/>
        <v>700</v>
      </c>
      <c r="Q22" s="31">
        <f t="shared" si="1"/>
        <v>1011</v>
      </c>
      <c r="R22" s="31" t="str">
        <f t="shared" si="1"/>
        <v>1120|1320|1520|1720|1920|2120|2320</v>
      </c>
      <c r="S22" s="31">
        <f t="shared" si="1"/>
        <v>0</v>
      </c>
      <c r="T22" s="31">
        <f t="shared" si="1"/>
        <v>0</v>
      </c>
      <c r="U22" s="31">
        <f t="shared" si="1"/>
        <v>0</v>
      </c>
    </row>
    <row r="23" ht="82.5" spans="1:21">
      <c r="A23" s="18">
        <f t="shared" si="2"/>
        <v>5004005</v>
      </c>
      <c r="B23" s="31" t="s">
        <v>151</v>
      </c>
      <c r="C23" s="31">
        <v>5</v>
      </c>
      <c r="D23" s="32">
        <f t="shared" si="3"/>
        <v>4</v>
      </c>
      <c r="E23" s="31">
        <f t="shared" si="1"/>
        <v>2001</v>
      </c>
      <c r="F23" s="31">
        <f t="shared" si="1"/>
        <v>350</v>
      </c>
      <c r="G23" s="31">
        <f t="shared" si="1"/>
        <v>21000</v>
      </c>
      <c r="H23" s="31">
        <f t="shared" si="1"/>
        <v>0</v>
      </c>
      <c r="I23" s="31">
        <f t="shared" si="1"/>
        <v>18000</v>
      </c>
      <c r="J23" s="31">
        <f t="shared" si="1"/>
        <v>1014002</v>
      </c>
      <c r="K23" s="31" t="str">
        <f t="shared" si="1"/>
        <v>炽焰幼虎向前跃出使用爪击，对周围敌人造成伤害</v>
      </c>
      <c r="L23" s="31" t="str">
        <f t="shared" si="1"/>
        <v>炽焰利爪</v>
      </c>
      <c r="M23" s="31" t="str">
        <f t="shared" si="1"/>
        <v>skill</v>
      </c>
      <c r="N23" s="31">
        <f t="shared" si="1"/>
        <v>0</v>
      </c>
      <c r="O23" s="31">
        <f t="shared" si="1"/>
        <v>1014002</v>
      </c>
      <c r="P23" s="31">
        <f t="shared" si="1"/>
        <v>600</v>
      </c>
      <c r="Q23" s="31">
        <f t="shared" si="1"/>
        <v>1014</v>
      </c>
      <c r="R23" s="31">
        <f t="shared" si="1"/>
        <v>1050</v>
      </c>
      <c r="S23" s="31">
        <f t="shared" si="1"/>
        <v>0</v>
      </c>
      <c r="T23" s="31">
        <f t="shared" si="1"/>
        <v>0</v>
      </c>
      <c r="U23" s="31">
        <f t="shared" si="1"/>
        <v>0</v>
      </c>
    </row>
    <row r="24" ht="99" spans="1:21">
      <c r="A24" s="18">
        <f t="shared" si="2"/>
        <v>5005001</v>
      </c>
      <c r="B24" s="31" t="s">
        <v>156</v>
      </c>
      <c r="C24" s="31">
        <v>5</v>
      </c>
      <c r="D24" s="32">
        <f t="shared" si="3"/>
        <v>5</v>
      </c>
      <c r="E24" s="31">
        <f t="shared" ref="E24:U38" si="4">E20</f>
        <v>2001</v>
      </c>
      <c r="F24" s="31">
        <f t="shared" si="4"/>
        <v>350</v>
      </c>
      <c r="G24" s="31">
        <f t="shared" si="4"/>
        <v>10000</v>
      </c>
      <c r="H24" s="31">
        <f t="shared" si="4"/>
        <v>0</v>
      </c>
      <c r="I24" s="31">
        <f t="shared" si="4"/>
        <v>7000</v>
      </c>
      <c r="J24" s="31">
        <f t="shared" si="4"/>
        <v>1011002</v>
      </c>
      <c r="K24" s="31" t="str">
        <f t="shared" si="4"/>
        <v>树桩战士使用元素之力召唤更强大的树灵，对前方敌人造成大量伤害</v>
      </c>
      <c r="L24" s="31" t="str">
        <f t="shared" si="4"/>
        <v>巨树灵降临</v>
      </c>
      <c r="M24" s="31" t="str">
        <f t="shared" si="4"/>
        <v>skill</v>
      </c>
      <c r="N24" s="31">
        <f t="shared" si="4"/>
        <v>0</v>
      </c>
      <c r="O24" s="31">
        <f t="shared" si="4"/>
        <v>1011002</v>
      </c>
      <c r="P24" s="31">
        <f t="shared" si="4"/>
        <v>500</v>
      </c>
      <c r="Q24" s="31">
        <f t="shared" si="4"/>
        <v>1013</v>
      </c>
      <c r="R24" s="31" t="str">
        <f t="shared" si="4"/>
        <v>2200|2400|3200|3411</v>
      </c>
      <c r="S24" s="31">
        <f t="shared" si="4"/>
        <v>0</v>
      </c>
      <c r="T24" s="31">
        <f t="shared" si="4"/>
        <v>0</v>
      </c>
      <c r="U24" s="31">
        <f t="shared" si="4"/>
        <v>0</v>
      </c>
    </row>
    <row r="25" ht="115.5" spans="1:21">
      <c r="A25" s="18">
        <f t="shared" si="2"/>
        <v>5005002</v>
      </c>
      <c r="B25" s="31" t="s">
        <v>162</v>
      </c>
      <c r="C25" s="31">
        <v>5</v>
      </c>
      <c r="D25" s="32">
        <f t="shared" si="3"/>
        <v>5</v>
      </c>
      <c r="E25" s="31">
        <f t="shared" si="4"/>
        <v>2001</v>
      </c>
      <c r="F25" s="31">
        <f t="shared" si="4"/>
        <v>350</v>
      </c>
      <c r="G25" s="31">
        <f t="shared" si="4"/>
        <v>21000</v>
      </c>
      <c r="H25" s="31">
        <f t="shared" si="4"/>
        <v>0</v>
      </c>
      <c r="I25" s="31">
        <f t="shared" si="4"/>
        <v>7000</v>
      </c>
      <c r="J25" s="31">
        <f t="shared" si="4"/>
        <v>1010002</v>
      </c>
      <c r="K25" s="31" t="str">
        <f t="shared" si="4"/>
        <v>上忍菇释放多个毒蘑菇制造大范围的毒气，对周围的敌人造成较大的毒气伤害。</v>
      </c>
      <c r="L25" s="31" t="str">
        <f t="shared" si="4"/>
        <v>毒菇风暴</v>
      </c>
      <c r="M25" s="31" t="str">
        <f t="shared" si="4"/>
        <v>skill</v>
      </c>
      <c r="N25" s="31">
        <f t="shared" si="4"/>
        <v>0</v>
      </c>
      <c r="O25" s="31">
        <f t="shared" si="4"/>
        <v>1010102</v>
      </c>
      <c r="P25" s="31">
        <f t="shared" si="4"/>
        <v>500</v>
      </c>
      <c r="Q25" s="31">
        <f t="shared" si="4"/>
        <v>1013</v>
      </c>
      <c r="R25" s="31" t="str">
        <f t="shared" si="4"/>
        <v>1800|1930</v>
      </c>
      <c r="S25" s="31">
        <f t="shared" si="4"/>
        <v>0</v>
      </c>
      <c r="T25" s="31">
        <f t="shared" si="4"/>
        <v>0</v>
      </c>
      <c r="U25" s="31">
        <f t="shared" si="4"/>
        <v>0</v>
      </c>
    </row>
    <row r="26" ht="99" spans="1:21">
      <c r="A26" s="18">
        <f t="shared" si="2"/>
        <v>5005003</v>
      </c>
      <c r="B26" s="31" t="s">
        <v>167</v>
      </c>
      <c r="C26" s="31">
        <v>5</v>
      </c>
      <c r="D26" s="32">
        <f t="shared" si="3"/>
        <v>5</v>
      </c>
      <c r="E26" s="31">
        <f t="shared" si="4"/>
        <v>2001</v>
      </c>
      <c r="F26" s="31">
        <f t="shared" si="4"/>
        <v>350</v>
      </c>
      <c r="G26" s="31">
        <f t="shared" si="4"/>
        <v>6000</v>
      </c>
      <c r="H26" s="31">
        <f t="shared" si="4"/>
        <v>0</v>
      </c>
      <c r="I26" s="31">
        <f t="shared" si="4"/>
        <v>7000</v>
      </c>
      <c r="J26" s="31">
        <f t="shared" si="4"/>
        <v>1009002</v>
      </c>
      <c r="K26" s="31" t="str">
        <f t="shared" si="4"/>
        <v>霜角鹿利用冰冷的冰角召唤冰锥，向前方区域发射冰锥攻击</v>
      </c>
      <c r="L26" s="31" t="str">
        <f t="shared" si="4"/>
        <v>极寒冰锥</v>
      </c>
      <c r="M26" s="31" t="str">
        <f t="shared" si="4"/>
        <v>skill</v>
      </c>
      <c r="N26" s="31">
        <f t="shared" si="4"/>
        <v>0</v>
      </c>
      <c r="O26" s="31">
        <f t="shared" si="4"/>
        <v>1009002</v>
      </c>
      <c r="P26" s="31">
        <f t="shared" si="4"/>
        <v>700</v>
      </c>
      <c r="Q26" s="31">
        <f t="shared" si="4"/>
        <v>1011</v>
      </c>
      <c r="R26" s="31" t="str">
        <f t="shared" si="4"/>
        <v>1120|1320|1520|1720|1920|2120|2320</v>
      </c>
      <c r="S26" s="31">
        <f t="shared" si="4"/>
        <v>0</v>
      </c>
      <c r="T26" s="31">
        <f t="shared" si="4"/>
        <v>0</v>
      </c>
      <c r="U26" s="31">
        <f t="shared" si="4"/>
        <v>0</v>
      </c>
    </row>
    <row r="27" ht="82.5" spans="1:21">
      <c r="A27" s="18">
        <f t="shared" si="2"/>
        <v>5005004</v>
      </c>
      <c r="B27" s="31" t="s">
        <v>171</v>
      </c>
      <c r="C27" s="31">
        <v>5</v>
      </c>
      <c r="D27" s="32">
        <f t="shared" si="3"/>
        <v>5</v>
      </c>
      <c r="E27" s="31">
        <f t="shared" si="4"/>
        <v>2001</v>
      </c>
      <c r="F27" s="31">
        <f t="shared" si="4"/>
        <v>350</v>
      </c>
      <c r="G27" s="31">
        <f t="shared" si="4"/>
        <v>21000</v>
      </c>
      <c r="H27" s="31">
        <f t="shared" si="4"/>
        <v>0</v>
      </c>
      <c r="I27" s="31">
        <f t="shared" si="4"/>
        <v>18000</v>
      </c>
      <c r="J27" s="31">
        <f t="shared" si="4"/>
        <v>1014002</v>
      </c>
      <c r="K27" s="31" t="str">
        <f t="shared" si="4"/>
        <v>炽焰幼虎向前跃出使用爪击，对周围敌人造成伤害</v>
      </c>
      <c r="L27" s="31" t="str">
        <f t="shared" si="4"/>
        <v>炽焰利爪</v>
      </c>
      <c r="M27" s="31" t="str">
        <f t="shared" si="4"/>
        <v>skill</v>
      </c>
      <c r="N27" s="31">
        <f t="shared" si="4"/>
        <v>0</v>
      </c>
      <c r="O27" s="31">
        <f t="shared" si="4"/>
        <v>1014002</v>
      </c>
      <c r="P27" s="31">
        <f t="shared" si="4"/>
        <v>600</v>
      </c>
      <c r="Q27" s="31">
        <f t="shared" si="4"/>
        <v>1014</v>
      </c>
      <c r="R27" s="31">
        <f t="shared" si="4"/>
        <v>1050</v>
      </c>
      <c r="S27" s="31">
        <f t="shared" si="4"/>
        <v>0</v>
      </c>
      <c r="T27" s="31">
        <f t="shared" si="4"/>
        <v>0</v>
      </c>
      <c r="U27" s="31">
        <f t="shared" si="4"/>
        <v>0</v>
      </c>
    </row>
    <row r="28" ht="99" spans="1:21">
      <c r="A28" s="18">
        <f t="shared" si="2"/>
        <v>5005005</v>
      </c>
      <c r="B28" s="31" t="s">
        <v>175</v>
      </c>
      <c r="C28" s="31">
        <v>5</v>
      </c>
      <c r="D28" s="32">
        <f t="shared" si="3"/>
        <v>5</v>
      </c>
      <c r="E28" s="31">
        <f t="shared" si="4"/>
        <v>2001</v>
      </c>
      <c r="F28" s="31">
        <f t="shared" si="4"/>
        <v>350</v>
      </c>
      <c r="G28" s="31">
        <f t="shared" si="4"/>
        <v>10000</v>
      </c>
      <c r="H28" s="31">
        <f t="shared" si="4"/>
        <v>0</v>
      </c>
      <c r="I28" s="31">
        <f t="shared" si="4"/>
        <v>7000</v>
      </c>
      <c r="J28" s="31">
        <f t="shared" si="4"/>
        <v>1011002</v>
      </c>
      <c r="K28" s="31" t="str">
        <f t="shared" si="4"/>
        <v>树桩战士使用元素之力召唤更强大的树灵，对前方敌人造成大量伤害</v>
      </c>
      <c r="L28" s="31" t="str">
        <f t="shared" si="4"/>
        <v>巨树灵降临</v>
      </c>
      <c r="M28" s="31" t="str">
        <f t="shared" si="4"/>
        <v>skill</v>
      </c>
      <c r="N28" s="31">
        <f t="shared" si="4"/>
        <v>0</v>
      </c>
      <c r="O28" s="31">
        <f t="shared" si="4"/>
        <v>1011002</v>
      </c>
      <c r="P28" s="31">
        <f t="shared" si="4"/>
        <v>500</v>
      </c>
      <c r="Q28" s="31">
        <f t="shared" si="4"/>
        <v>1013</v>
      </c>
      <c r="R28" s="31" t="str">
        <f t="shared" si="4"/>
        <v>2200|2400|3200|3411</v>
      </c>
      <c r="S28" s="31">
        <f t="shared" si="4"/>
        <v>0</v>
      </c>
      <c r="T28" s="31">
        <f t="shared" si="4"/>
        <v>0</v>
      </c>
      <c r="U28" s="31">
        <f t="shared" si="4"/>
        <v>0</v>
      </c>
    </row>
    <row r="29" ht="115.5" spans="1:21">
      <c r="A29" s="18">
        <f>A28+1</f>
        <v>5005006</v>
      </c>
      <c r="B29" s="31" t="s">
        <v>1176</v>
      </c>
      <c r="C29" s="31">
        <v>5</v>
      </c>
      <c r="D29" s="32">
        <f>D24</f>
        <v>5</v>
      </c>
      <c r="E29" s="31">
        <f t="shared" si="4"/>
        <v>2001</v>
      </c>
      <c r="F29" s="31">
        <f t="shared" si="4"/>
        <v>350</v>
      </c>
      <c r="G29" s="31">
        <f t="shared" si="4"/>
        <v>21000</v>
      </c>
      <c r="H29" s="31">
        <f t="shared" si="4"/>
        <v>0</v>
      </c>
      <c r="I29" s="31">
        <f t="shared" si="4"/>
        <v>7000</v>
      </c>
      <c r="J29" s="31">
        <f t="shared" si="4"/>
        <v>1010002</v>
      </c>
      <c r="K29" s="31" t="str">
        <f t="shared" si="4"/>
        <v>上忍菇释放多个毒蘑菇制造大范围的毒气，对周围的敌人造成较大的毒气伤害。</v>
      </c>
      <c r="L29" s="31" t="str">
        <f t="shared" si="4"/>
        <v>毒菇风暴</v>
      </c>
      <c r="M29" s="31" t="str">
        <f t="shared" si="4"/>
        <v>skill</v>
      </c>
      <c r="N29" s="31">
        <f t="shared" si="4"/>
        <v>0</v>
      </c>
      <c r="O29" s="31">
        <f t="shared" si="4"/>
        <v>1010102</v>
      </c>
      <c r="P29" s="31">
        <f t="shared" si="4"/>
        <v>500</v>
      </c>
      <c r="Q29" s="31">
        <f t="shared" si="4"/>
        <v>1013</v>
      </c>
      <c r="R29" s="31" t="str">
        <f t="shared" si="4"/>
        <v>1800|1930</v>
      </c>
      <c r="S29" s="31">
        <f t="shared" si="4"/>
        <v>0</v>
      </c>
      <c r="T29" s="31">
        <f t="shared" si="4"/>
        <v>0</v>
      </c>
      <c r="U29" s="31">
        <f t="shared" si="4"/>
        <v>0</v>
      </c>
    </row>
    <row r="30" ht="99" spans="1:21">
      <c r="A30" s="18">
        <f>A24+1000</f>
        <v>5006001</v>
      </c>
      <c r="B30" s="31" t="s">
        <v>180</v>
      </c>
      <c r="C30" s="31">
        <v>5</v>
      </c>
      <c r="D30" s="32">
        <f>D24+1</f>
        <v>6</v>
      </c>
      <c r="E30" s="31">
        <f t="shared" si="4"/>
        <v>2001</v>
      </c>
      <c r="F30" s="31">
        <f t="shared" si="4"/>
        <v>350</v>
      </c>
      <c r="G30" s="31">
        <f t="shared" si="4"/>
        <v>6000</v>
      </c>
      <c r="H30" s="31">
        <f t="shared" si="4"/>
        <v>0</v>
      </c>
      <c r="I30" s="31">
        <f t="shared" si="4"/>
        <v>7000</v>
      </c>
      <c r="J30" s="31">
        <f t="shared" si="4"/>
        <v>1009002</v>
      </c>
      <c r="K30" s="31" t="str">
        <f t="shared" si="4"/>
        <v>霜角鹿利用冰冷的冰角召唤冰锥，向前方区域发射冰锥攻击</v>
      </c>
      <c r="L30" s="31" t="str">
        <f t="shared" si="4"/>
        <v>极寒冰锥</v>
      </c>
      <c r="M30" s="31" t="str">
        <f t="shared" si="4"/>
        <v>skill</v>
      </c>
      <c r="N30" s="31">
        <f t="shared" si="4"/>
        <v>0</v>
      </c>
      <c r="O30" s="31">
        <f t="shared" si="4"/>
        <v>1009002</v>
      </c>
      <c r="P30" s="31">
        <f t="shared" si="4"/>
        <v>700</v>
      </c>
      <c r="Q30" s="31">
        <f t="shared" si="4"/>
        <v>1011</v>
      </c>
      <c r="R30" s="31" t="str">
        <f t="shared" si="4"/>
        <v>1120|1320|1520|1720|1920|2120|2320</v>
      </c>
      <c r="S30" s="31">
        <f t="shared" si="4"/>
        <v>0</v>
      </c>
      <c r="T30" s="31">
        <f t="shared" si="4"/>
        <v>0</v>
      </c>
      <c r="U30" s="31">
        <f t="shared" si="4"/>
        <v>0</v>
      </c>
    </row>
    <row r="31" ht="82.5" spans="1:21">
      <c r="A31" s="18">
        <f t="shared" ref="A31:A41" si="5">A25+1000</f>
        <v>5006002</v>
      </c>
      <c r="B31" s="31" t="s">
        <v>186</v>
      </c>
      <c r="C31" s="31">
        <v>5</v>
      </c>
      <c r="D31" s="32">
        <f t="shared" ref="D31:D41" si="6">D25+1</f>
        <v>6</v>
      </c>
      <c r="E31" s="31">
        <f t="shared" si="4"/>
        <v>2001</v>
      </c>
      <c r="F31" s="31">
        <f t="shared" si="4"/>
        <v>350</v>
      </c>
      <c r="G31" s="31">
        <f t="shared" si="4"/>
        <v>21000</v>
      </c>
      <c r="H31" s="31">
        <f t="shared" si="4"/>
        <v>0</v>
      </c>
      <c r="I31" s="31">
        <f t="shared" si="4"/>
        <v>18000</v>
      </c>
      <c r="J31" s="31">
        <f t="shared" si="4"/>
        <v>1014002</v>
      </c>
      <c r="K31" s="31" t="str">
        <f t="shared" si="4"/>
        <v>炽焰幼虎向前跃出使用爪击，对周围敌人造成伤害</v>
      </c>
      <c r="L31" s="31" t="str">
        <f t="shared" si="4"/>
        <v>炽焰利爪</v>
      </c>
      <c r="M31" s="31" t="str">
        <f t="shared" si="4"/>
        <v>skill</v>
      </c>
      <c r="N31" s="31">
        <f t="shared" si="4"/>
        <v>0</v>
      </c>
      <c r="O31" s="31">
        <f t="shared" si="4"/>
        <v>1014002</v>
      </c>
      <c r="P31" s="31">
        <f t="shared" si="4"/>
        <v>600</v>
      </c>
      <c r="Q31" s="31">
        <f t="shared" si="4"/>
        <v>1014</v>
      </c>
      <c r="R31" s="31">
        <f t="shared" si="4"/>
        <v>1050</v>
      </c>
      <c r="S31" s="31">
        <f t="shared" si="4"/>
        <v>0</v>
      </c>
      <c r="T31" s="31">
        <f t="shared" si="4"/>
        <v>0</v>
      </c>
      <c r="U31" s="31">
        <f t="shared" si="4"/>
        <v>0</v>
      </c>
    </row>
    <row r="32" ht="99" spans="1:21">
      <c r="A32" s="18">
        <f t="shared" si="5"/>
        <v>5006003</v>
      </c>
      <c r="B32" s="31" t="s">
        <v>191</v>
      </c>
      <c r="C32" s="31">
        <v>5</v>
      </c>
      <c r="D32" s="32">
        <f t="shared" si="6"/>
        <v>6</v>
      </c>
      <c r="E32" s="31">
        <f t="shared" si="4"/>
        <v>2001</v>
      </c>
      <c r="F32" s="31">
        <f t="shared" si="4"/>
        <v>350</v>
      </c>
      <c r="G32" s="31">
        <f t="shared" si="4"/>
        <v>10000</v>
      </c>
      <c r="H32" s="31">
        <f t="shared" si="4"/>
        <v>0</v>
      </c>
      <c r="I32" s="31">
        <f t="shared" si="4"/>
        <v>7000</v>
      </c>
      <c r="J32" s="31">
        <f t="shared" si="4"/>
        <v>1011002</v>
      </c>
      <c r="K32" s="31" t="str">
        <f t="shared" si="4"/>
        <v>树桩战士使用元素之力召唤更强大的树灵，对前方敌人造成大量伤害</v>
      </c>
      <c r="L32" s="31" t="str">
        <f t="shared" si="4"/>
        <v>巨树灵降临</v>
      </c>
      <c r="M32" s="31" t="str">
        <f t="shared" si="4"/>
        <v>skill</v>
      </c>
      <c r="N32" s="31">
        <f t="shared" si="4"/>
        <v>0</v>
      </c>
      <c r="O32" s="31">
        <f t="shared" si="4"/>
        <v>1011002</v>
      </c>
      <c r="P32" s="31">
        <f t="shared" si="4"/>
        <v>500</v>
      </c>
      <c r="Q32" s="31">
        <f t="shared" si="4"/>
        <v>1013</v>
      </c>
      <c r="R32" s="31" t="str">
        <f t="shared" si="4"/>
        <v>2200|2400|3200|3411</v>
      </c>
      <c r="S32" s="31">
        <f t="shared" si="4"/>
        <v>0</v>
      </c>
      <c r="T32" s="31">
        <f t="shared" si="4"/>
        <v>0</v>
      </c>
      <c r="U32" s="31">
        <f t="shared" si="4"/>
        <v>0</v>
      </c>
    </row>
    <row r="33" ht="115.5" spans="1:21">
      <c r="A33" s="18">
        <f t="shared" si="5"/>
        <v>5006004</v>
      </c>
      <c r="B33" s="31" t="s">
        <v>196</v>
      </c>
      <c r="C33" s="31">
        <v>5</v>
      </c>
      <c r="D33" s="32">
        <f t="shared" si="6"/>
        <v>6</v>
      </c>
      <c r="E33" s="31">
        <f t="shared" si="4"/>
        <v>2001</v>
      </c>
      <c r="F33" s="31">
        <f t="shared" si="4"/>
        <v>350</v>
      </c>
      <c r="G33" s="31">
        <f t="shared" si="4"/>
        <v>21000</v>
      </c>
      <c r="H33" s="31">
        <f t="shared" si="4"/>
        <v>0</v>
      </c>
      <c r="I33" s="31">
        <f t="shared" si="4"/>
        <v>7000</v>
      </c>
      <c r="J33" s="31">
        <f t="shared" si="4"/>
        <v>1010002</v>
      </c>
      <c r="K33" s="31" t="str">
        <f t="shared" si="4"/>
        <v>上忍菇释放多个毒蘑菇制造大范围的毒气，对周围的敌人造成较大的毒气伤害。</v>
      </c>
      <c r="L33" s="31" t="str">
        <f t="shared" si="4"/>
        <v>毒菇风暴</v>
      </c>
      <c r="M33" s="31" t="str">
        <f t="shared" si="4"/>
        <v>skill</v>
      </c>
      <c r="N33" s="31">
        <f t="shared" si="4"/>
        <v>0</v>
      </c>
      <c r="O33" s="31">
        <f t="shared" si="4"/>
        <v>1010102</v>
      </c>
      <c r="P33" s="31">
        <f t="shared" si="4"/>
        <v>500</v>
      </c>
      <c r="Q33" s="31">
        <f t="shared" si="4"/>
        <v>1013</v>
      </c>
      <c r="R33" s="31" t="str">
        <f t="shared" si="4"/>
        <v>1800|1930</v>
      </c>
      <c r="S33" s="31">
        <f t="shared" si="4"/>
        <v>0</v>
      </c>
      <c r="T33" s="31">
        <f t="shared" si="4"/>
        <v>0</v>
      </c>
      <c r="U33" s="31">
        <f t="shared" si="4"/>
        <v>0</v>
      </c>
    </row>
    <row r="34" ht="99" spans="1:21">
      <c r="A34" s="18">
        <f t="shared" si="5"/>
        <v>5006005</v>
      </c>
      <c r="B34" s="31" t="s">
        <v>201</v>
      </c>
      <c r="C34" s="31">
        <v>5</v>
      </c>
      <c r="D34" s="32">
        <f t="shared" si="6"/>
        <v>6</v>
      </c>
      <c r="E34" s="31">
        <f t="shared" si="4"/>
        <v>2001</v>
      </c>
      <c r="F34" s="31">
        <f t="shared" si="4"/>
        <v>350</v>
      </c>
      <c r="G34" s="31">
        <f t="shared" si="4"/>
        <v>6000</v>
      </c>
      <c r="H34" s="31">
        <f t="shared" si="4"/>
        <v>0</v>
      </c>
      <c r="I34" s="31">
        <f t="shared" si="4"/>
        <v>7000</v>
      </c>
      <c r="J34" s="31">
        <f t="shared" si="4"/>
        <v>1009002</v>
      </c>
      <c r="K34" s="31" t="str">
        <f t="shared" si="4"/>
        <v>霜角鹿利用冰冷的冰角召唤冰锥，向前方区域发射冰锥攻击</v>
      </c>
      <c r="L34" s="31" t="str">
        <f t="shared" si="4"/>
        <v>极寒冰锥</v>
      </c>
      <c r="M34" s="31" t="str">
        <f t="shared" si="4"/>
        <v>skill</v>
      </c>
      <c r="N34" s="31">
        <f t="shared" si="4"/>
        <v>0</v>
      </c>
      <c r="O34" s="31">
        <f t="shared" si="4"/>
        <v>1009002</v>
      </c>
      <c r="P34" s="31">
        <f t="shared" si="4"/>
        <v>700</v>
      </c>
      <c r="Q34" s="31">
        <f t="shared" si="4"/>
        <v>1011</v>
      </c>
      <c r="R34" s="31" t="str">
        <f t="shared" si="4"/>
        <v>1120|1320|1520|1720|1920|2120|2320</v>
      </c>
      <c r="S34" s="31">
        <f t="shared" si="4"/>
        <v>0</v>
      </c>
      <c r="T34" s="31">
        <f t="shared" si="4"/>
        <v>0</v>
      </c>
      <c r="U34" s="31">
        <f t="shared" si="4"/>
        <v>0</v>
      </c>
    </row>
    <row r="35" ht="82.5" spans="1:21">
      <c r="A35" s="18">
        <f t="shared" si="5"/>
        <v>5006006</v>
      </c>
      <c r="B35" s="31" t="s">
        <v>1177</v>
      </c>
      <c r="C35" s="31">
        <v>5</v>
      </c>
      <c r="D35" s="32">
        <f t="shared" si="6"/>
        <v>6</v>
      </c>
      <c r="E35" s="31">
        <f t="shared" si="4"/>
        <v>2001</v>
      </c>
      <c r="F35" s="31">
        <f t="shared" si="4"/>
        <v>350</v>
      </c>
      <c r="G35" s="31">
        <f t="shared" si="4"/>
        <v>21000</v>
      </c>
      <c r="H35" s="31">
        <f t="shared" si="4"/>
        <v>0</v>
      </c>
      <c r="I35" s="31">
        <f t="shared" si="4"/>
        <v>18000</v>
      </c>
      <c r="J35" s="31">
        <f t="shared" si="4"/>
        <v>1014002</v>
      </c>
      <c r="K35" s="31" t="str">
        <f t="shared" si="4"/>
        <v>炽焰幼虎向前跃出使用爪击，对周围敌人造成伤害</v>
      </c>
      <c r="L35" s="31" t="str">
        <f t="shared" si="4"/>
        <v>炽焰利爪</v>
      </c>
      <c r="M35" s="31" t="str">
        <f t="shared" si="4"/>
        <v>skill</v>
      </c>
      <c r="N35" s="31">
        <f t="shared" si="4"/>
        <v>0</v>
      </c>
      <c r="O35" s="31">
        <f t="shared" si="4"/>
        <v>1014002</v>
      </c>
      <c r="P35" s="31">
        <f t="shared" si="4"/>
        <v>600</v>
      </c>
      <c r="Q35" s="31">
        <f t="shared" si="4"/>
        <v>1014</v>
      </c>
      <c r="R35" s="31">
        <f t="shared" si="4"/>
        <v>1050</v>
      </c>
      <c r="S35" s="31">
        <f t="shared" si="4"/>
        <v>0</v>
      </c>
      <c r="T35" s="31">
        <f t="shared" si="4"/>
        <v>0</v>
      </c>
      <c r="U35" s="31">
        <f t="shared" si="4"/>
        <v>0</v>
      </c>
    </row>
    <row r="36" ht="99" spans="1:21">
      <c r="A36" s="18">
        <f t="shared" si="5"/>
        <v>5007001</v>
      </c>
      <c r="B36" s="31" t="s">
        <v>205</v>
      </c>
      <c r="C36" s="31">
        <v>5</v>
      </c>
      <c r="D36" s="32">
        <f t="shared" si="6"/>
        <v>7</v>
      </c>
      <c r="E36" s="31">
        <f t="shared" si="4"/>
        <v>2001</v>
      </c>
      <c r="F36" s="31">
        <f t="shared" si="4"/>
        <v>350</v>
      </c>
      <c r="G36" s="31">
        <f t="shared" si="4"/>
        <v>10000</v>
      </c>
      <c r="H36" s="31">
        <f t="shared" si="4"/>
        <v>0</v>
      </c>
      <c r="I36" s="31">
        <f t="shared" si="4"/>
        <v>7000</v>
      </c>
      <c r="J36" s="31">
        <f t="shared" si="4"/>
        <v>1011002</v>
      </c>
      <c r="K36" s="31" t="str">
        <f t="shared" si="4"/>
        <v>树桩战士使用元素之力召唤更强大的树灵，对前方敌人造成大量伤害</v>
      </c>
      <c r="L36" s="31" t="str">
        <f t="shared" si="4"/>
        <v>巨树灵降临</v>
      </c>
      <c r="M36" s="31" t="str">
        <f t="shared" si="4"/>
        <v>skill</v>
      </c>
      <c r="N36" s="31">
        <f t="shared" si="4"/>
        <v>0</v>
      </c>
      <c r="O36" s="31">
        <f t="shared" si="4"/>
        <v>1011002</v>
      </c>
      <c r="P36" s="31">
        <f t="shared" si="4"/>
        <v>500</v>
      </c>
      <c r="Q36" s="31">
        <f t="shared" si="4"/>
        <v>1013</v>
      </c>
      <c r="R36" s="31" t="str">
        <f t="shared" si="4"/>
        <v>2200|2400|3200|3411</v>
      </c>
      <c r="S36" s="31">
        <f t="shared" si="4"/>
        <v>0</v>
      </c>
      <c r="T36" s="31">
        <f t="shared" si="4"/>
        <v>0</v>
      </c>
      <c r="U36" s="31">
        <f t="shared" si="4"/>
        <v>0</v>
      </c>
    </row>
    <row r="37" ht="115.5" spans="1:21">
      <c r="A37" s="18">
        <f t="shared" si="5"/>
        <v>5007002</v>
      </c>
      <c r="B37" s="31" t="s">
        <v>210</v>
      </c>
      <c r="C37" s="31">
        <v>5</v>
      </c>
      <c r="D37" s="32">
        <f t="shared" si="6"/>
        <v>7</v>
      </c>
      <c r="E37" s="31">
        <f t="shared" si="4"/>
        <v>2001</v>
      </c>
      <c r="F37" s="31">
        <f t="shared" si="4"/>
        <v>350</v>
      </c>
      <c r="G37" s="31">
        <f t="shared" si="4"/>
        <v>21000</v>
      </c>
      <c r="H37" s="31">
        <f t="shared" si="4"/>
        <v>0</v>
      </c>
      <c r="I37" s="31">
        <f t="shared" si="4"/>
        <v>7000</v>
      </c>
      <c r="J37" s="31">
        <f t="shared" si="4"/>
        <v>1010002</v>
      </c>
      <c r="K37" s="31" t="str">
        <f t="shared" si="4"/>
        <v>上忍菇释放多个毒蘑菇制造大范围的毒气，对周围的敌人造成较大的毒气伤害。</v>
      </c>
      <c r="L37" s="31" t="str">
        <f t="shared" si="4"/>
        <v>毒菇风暴</v>
      </c>
      <c r="M37" s="31" t="str">
        <f t="shared" si="4"/>
        <v>skill</v>
      </c>
      <c r="N37" s="31">
        <f t="shared" si="4"/>
        <v>0</v>
      </c>
      <c r="O37" s="31">
        <f t="shared" si="4"/>
        <v>1010102</v>
      </c>
      <c r="P37" s="31">
        <f t="shared" si="4"/>
        <v>500</v>
      </c>
      <c r="Q37" s="31">
        <f t="shared" si="4"/>
        <v>1013</v>
      </c>
      <c r="R37" s="31" t="str">
        <f t="shared" si="4"/>
        <v>1800|1930</v>
      </c>
      <c r="S37" s="31">
        <f t="shared" si="4"/>
        <v>0</v>
      </c>
      <c r="T37" s="31">
        <f t="shared" si="4"/>
        <v>0</v>
      </c>
      <c r="U37" s="31">
        <f t="shared" si="4"/>
        <v>0</v>
      </c>
    </row>
    <row r="38" ht="99" spans="1:21">
      <c r="A38" s="18">
        <f t="shared" si="5"/>
        <v>5007003</v>
      </c>
      <c r="B38" s="31" t="s">
        <v>215</v>
      </c>
      <c r="C38" s="31">
        <v>5</v>
      </c>
      <c r="D38" s="32">
        <f t="shared" si="6"/>
        <v>7</v>
      </c>
      <c r="E38" s="31">
        <f t="shared" si="4"/>
        <v>2001</v>
      </c>
      <c r="F38" s="31">
        <f t="shared" si="4"/>
        <v>350</v>
      </c>
      <c r="G38" s="31">
        <f t="shared" si="4"/>
        <v>6000</v>
      </c>
      <c r="H38" s="31">
        <f t="shared" si="4"/>
        <v>0</v>
      </c>
      <c r="I38" s="31">
        <f t="shared" si="4"/>
        <v>7000</v>
      </c>
      <c r="J38" s="31">
        <f t="shared" si="4"/>
        <v>1009002</v>
      </c>
      <c r="K38" s="31" t="str">
        <f t="shared" si="4"/>
        <v>霜角鹿利用冰冷的冰角召唤冰锥，向前方区域发射冰锥攻击</v>
      </c>
      <c r="L38" s="31" t="str">
        <f t="shared" si="4"/>
        <v>极寒冰锥</v>
      </c>
      <c r="M38" s="31" t="str">
        <f t="shared" si="4"/>
        <v>skill</v>
      </c>
      <c r="N38" s="31">
        <f t="shared" si="4"/>
        <v>0</v>
      </c>
      <c r="O38" s="31">
        <f t="shared" si="4"/>
        <v>1009002</v>
      </c>
      <c r="P38" s="31">
        <f t="shared" si="4"/>
        <v>700</v>
      </c>
      <c r="Q38" s="31">
        <f t="shared" si="4"/>
        <v>1011</v>
      </c>
      <c r="R38" s="31" t="str">
        <f t="shared" si="4"/>
        <v>1120|1320|1520|1720|1920|2120|2320</v>
      </c>
      <c r="S38" s="31">
        <f t="shared" si="4"/>
        <v>0</v>
      </c>
      <c r="T38" s="31">
        <f t="shared" si="4"/>
        <v>0</v>
      </c>
      <c r="U38" s="31">
        <f t="shared" si="4"/>
        <v>0</v>
      </c>
    </row>
    <row r="39" ht="82.5" spans="1:21">
      <c r="A39" s="18">
        <f t="shared" si="5"/>
        <v>5007004</v>
      </c>
      <c r="B39" s="31" t="s">
        <v>220</v>
      </c>
      <c r="C39" s="31">
        <v>5</v>
      </c>
      <c r="D39" s="32">
        <f t="shared" si="6"/>
        <v>7</v>
      </c>
      <c r="E39" s="31">
        <f t="shared" ref="E39:U41" si="7">E35</f>
        <v>2001</v>
      </c>
      <c r="F39" s="31">
        <f t="shared" si="7"/>
        <v>350</v>
      </c>
      <c r="G39" s="31">
        <f t="shared" si="7"/>
        <v>21000</v>
      </c>
      <c r="H39" s="31">
        <f t="shared" si="7"/>
        <v>0</v>
      </c>
      <c r="I39" s="31">
        <f t="shared" si="7"/>
        <v>18000</v>
      </c>
      <c r="J39" s="31">
        <f t="shared" si="7"/>
        <v>1014002</v>
      </c>
      <c r="K39" s="31" t="str">
        <f t="shared" si="7"/>
        <v>炽焰幼虎向前跃出使用爪击，对周围敌人造成伤害</v>
      </c>
      <c r="L39" s="31" t="str">
        <f t="shared" si="7"/>
        <v>炽焰利爪</v>
      </c>
      <c r="M39" s="31" t="str">
        <f t="shared" si="7"/>
        <v>skill</v>
      </c>
      <c r="N39" s="31">
        <f t="shared" si="7"/>
        <v>0</v>
      </c>
      <c r="O39" s="31">
        <f t="shared" si="7"/>
        <v>1014002</v>
      </c>
      <c r="P39" s="31">
        <f t="shared" si="7"/>
        <v>600</v>
      </c>
      <c r="Q39" s="31">
        <f t="shared" si="7"/>
        <v>1014</v>
      </c>
      <c r="R39" s="31">
        <f t="shared" si="7"/>
        <v>1050</v>
      </c>
      <c r="S39" s="31">
        <f t="shared" si="7"/>
        <v>0</v>
      </c>
      <c r="T39" s="31">
        <f t="shared" si="7"/>
        <v>0</v>
      </c>
      <c r="U39" s="31">
        <f t="shared" si="7"/>
        <v>0</v>
      </c>
    </row>
    <row r="40" ht="99" spans="1:21">
      <c r="A40" s="18">
        <f t="shared" si="5"/>
        <v>5007005</v>
      </c>
      <c r="B40" s="31" t="s">
        <v>225</v>
      </c>
      <c r="C40" s="31">
        <v>5</v>
      </c>
      <c r="D40" s="32">
        <f t="shared" si="6"/>
        <v>7</v>
      </c>
      <c r="E40" s="31">
        <f t="shared" si="7"/>
        <v>2001</v>
      </c>
      <c r="F40" s="31">
        <f t="shared" si="7"/>
        <v>350</v>
      </c>
      <c r="G40" s="31">
        <f t="shared" si="7"/>
        <v>10000</v>
      </c>
      <c r="H40" s="31">
        <f t="shared" si="7"/>
        <v>0</v>
      </c>
      <c r="I40" s="31">
        <f t="shared" si="7"/>
        <v>7000</v>
      </c>
      <c r="J40" s="31">
        <f t="shared" si="7"/>
        <v>1011002</v>
      </c>
      <c r="K40" s="31" t="str">
        <f t="shared" si="7"/>
        <v>树桩战士使用元素之力召唤更强大的树灵，对前方敌人造成大量伤害</v>
      </c>
      <c r="L40" s="31" t="str">
        <f t="shared" si="7"/>
        <v>巨树灵降临</v>
      </c>
      <c r="M40" s="31" t="str">
        <f t="shared" si="7"/>
        <v>skill</v>
      </c>
      <c r="N40" s="31">
        <f t="shared" si="7"/>
        <v>0</v>
      </c>
      <c r="O40" s="31">
        <f t="shared" si="7"/>
        <v>1011002</v>
      </c>
      <c r="P40" s="31">
        <f t="shared" si="7"/>
        <v>500</v>
      </c>
      <c r="Q40" s="31">
        <f t="shared" si="7"/>
        <v>1013</v>
      </c>
      <c r="R40" s="31" t="str">
        <f t="shared" si="7"/>
        <v>2200|2400|3200|3411</v>
      </c>
      <c r="S40" s="31">
        <f t="shared" si="7"/>
        <v>0</v>
      </c>
      <c r="T40" s="31">
        <f t="shared" si="7"/>
        <v>0</v>
      </c>
      <c r="U40" s="31">
        <f t="shared" si="7"/>
        <v>0</v>
      </c>
    </row>
    <row r="41" ht="115.5" spans="1:21">
      <c r="A41" s="18">
        <f t="shared" si="5"/>
        <v>5007006</v>
      </c>
      <c r="B41" s="31" t="s">
        <v>1178</v>
      </c>
      <c r="C41" s="31">
        <v>5</v>
      </c>
      <c r="D41" s="32">
        <f t="shared" si="6"/>
        <v>7</v>
      </c>
      <c r="E41" s="31">
        <f t="shared" si="7"/>
        <v>2001</v>
      </c>
      <c r="F41" s="31">
        <f t="shared" si="7"/>
        <v>350</v>
      </c>
      <c r="G41" s="31">
        <f t="shared" si="7"/>
        <v>21000</v>
      </c>
      <c r="H41" s="31">
        <f t="shared" si="7"/>
        <v>0</v>
      </c>
      <c r="I41" s="31">
        <f t="shared" si="7"/>
        <v>7000</v>
      </c>
      <c r="J41" s="31">
        <f t="shared" si="7"/>
        <v>1010002</v>
      </c>
      <c r="K41" s="31" t="str">
        <f t="shared" si="7"/>
        <v>上忍菇释放多个毒蘑菇制造大范围的毒气，对周围的敌人造成较大的毒气伤害。</v>
      </c>
      <c r="L41" s="31" t="str">
        <f t="shared" si="7"/>
        <v>毒菇风暴</v>
      </c>
      <c r="M41" s="31" t="str">
        <f t="shared" si="7"/>
        <v>skill</v>
      </c>
      <c r="N41" s="31">
        <f t="shared" si="7"/>
        <v>0</v>
      </c>
      <c r="O41" s="31">
        <f t="shared" si="7"/>
        <v>1010102</v>
      </c>
      <c r="P41" s="31">
        <f t="shared" si="7"/>
        <v>500</v>
      </c>
      <c r="Q41" s="31">
        <f t="shared" si="7"/>
        <v>1013</v>
      </c>
      <c r="R41" s="31" t="str">
        <f t="shared" si="7"/>
        <v>1800|1930</v>
      </c>
      <c r="S41" s="31">
        <f t="shared" si="7"/>
        <v>0</v>
      </c>
      <c r="T41" s="31">
        <f t="shared" si="7"/>
        <v>0</v>
      </c>
      <c r="U41" s="31">
        <f t="shared" si="7"/>
        <v>0</v>
      </c>
    </row>
    <row r="42" spans="1:21">
      <c r="A42" s="18">
        <v>210010</v>
      </c>
      <c r="B42" s="25" t="s">
        <v>1179</v>
      </c>
      <c r="C42" s="25">
        <v>3</v>
      </c>
      <c r="D42" s="25">
        <v>3</v>
      </c>
      <c r="E42" s="25">
        <v>101</v>
      </c>
      <c r="F42" s="25">
        <v>350</v>
      </c>
      <c r="G42" s="25">
        <v>0</v>
      </c>
      <c r="H42" s="25">
        <f>A42</f>
        <v>210010</v>
      </c>
      <c r="I42" s="25">
        <v>0</v>
      </c>
      <c r="J42" s="25">
        <v>0</v>
      </c>
      <c r="K42" s="25" t="s">
        <v>1179</v>
      </c>
      <c r="L42" s="25" t="s">
        <v>1179</v>
      </c>
      <c r="M42" s="25" t="s">
        <v>227</v>
      </c>
      <c r="N42" s="25">
        <v>0</v>
      </c>
      <c r="O42" s="38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</row>
    <row r="43" spans="1:21">
      <c r="A43" s="18">
        <v>210020</v>
      </c>
      <c r="B43" s="25" t="s">
        <v>1180</v>
      </c>
      <c r="C43" s="25">
        <v>3</v>
      </c>
      <c r="D43" s="25">
        <v>3</v>
      </c>
      <c r="E43" s="25">
        <v>101</v>
      </c>
      <c r="F43" s="25">
        <v>350</v>
      </c>
      <c r="G43" s="25">
        <v>0</v>
      </c>
      <c r="H43" s="25">
        <f>A43</f>
        <v>210020</v>
      </c>
      <c r="I43" s="25">
        <v>0</v>
      </c>
      <c r="J43" s="25">
        <v>0</v>
      </c>
      <c r="K43" s="25" t="s">
        <v>1180</v>
      </c>
      <c r="L43" s="25" t="s">
        <v>1180</v>
      </c>
      <c r="M43" s="25" t="s">
        <v>227</v>
      </c>
      <c r="N43" s="25">
        <v>0</v>
      </c>
      <c r="O43" s="38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</row>
    <row r="44" spans="1:21">
      <c r="A44" s="18">
        <v>1001201</v>
      </c>
      <c r="B44" s="25" t="s">
        <v>226</v>
      </c>
      <c r="C44" s="25">
        <v>1</v>
      </c>
      <c r="D44" s="25">
        <v>3</v>
      </c>
      <c r="E44" s="25">
        <v>1001</v>
      </c>
      <c r="F44" s="25">
        <v>350</v>
      </c>
      <c r="G44" s="25">
        <v>13000</v>
      </c>
      <c r="H44" s="25"/>
      <c r="I44" s="25">
        <v>1000</v>
      </c>
      <c r="J44" s="25">
        <v>0</v>
      </c>
      <c r="K44" s="25" t="s">
        <v>226</v>
      </c>
      <c r="L44" s="25" t="s">
        <v>226</v>
      </c>
      <c r="M44" s="25" t="s">
        <v>227</v>
      </c>
      <c r="N44" s="25">
        <v>0</v>
      </c>
      <c r="O44" s="38">
        <v>0</v>
      </c>
      <c r="P44" s="25">
        <v>0</v>
      </c>
      <c r="Q44" s="25">
        <v>1011</v>
      </c>
      <c r="R44" s="25">
        <v>750</v>
      </c>
      <c r="S44" s="25">
        <v>1001001</v>
      </c>
      <c r="T44" s="25">
        <v>500</v>
      </c>
      <c r="U44" s="25">
        <v>350</v>
      </c>
    </row>
    <row r="45" spans="1:21">
      <c r="A45" s="18">
        <v>1001202</v>
      </c>
      <c r="B45" s="25" t="s">
        <v>228</v>
      </c>
      <c r="C45" s="25">
        <v>2</v>
      </c>
      <c r="D45" s="25">
        <v>3</v>
      </c>
      <c r="E45" s="25">
        <v>2001</v>
      </c>
      <c r="F45" s="25">
        <v>350</v>
      </c>
      <c r="G45" s="25">
        <v>77000</v>
      </c>
      <c r="H45" s="25"/>
      <c r="I45" s="25">
        <v>7000</v>
      </c>
      <c r="J45" s="25">
        <v>3100101</v>
      </c>
      <c r="K45" s="25" t="s">
        <v>228</v>
      </c>
      <c r="L45" s="25" t="s">
        <v>228</v>
      </c>
      <c r="M45" s="25" t="s">
        <v>60</v>
      </c>
      <c r="N45" s="25">
        <v>0</v>
      </c>
      <c r="O45" s="38">
        <v>1001002</v>
      </c>
      <c r="P45" s="25">
        <v>400</v>
      </c>
      <c r="Q45" s="25">
        <v>1011</v>
      </c>
      <c r="R45" s="25">
        <v>450</v>
      </c>
      <c r="S45" s="25">
        <v>0</v>
      </c>
      <c r="T45" s="25">
        <v>0</v>
      </c>
      <c r="U45" s="25">
        <v>0</v>
      </c>
    </row>
    <row r="46" spans="1:21">
      <c r="A46" s="18">
        <v>1003201</v>
      </c>
      <c r="B46" s="25" t="s">
        <v>229</v>
      </c>
      <c r="C46" s="25">
        <v>1</v>
      </c>
      <c r="D46" s="25">
        <v>3</v>
      </c>
      <c r="E46" s="25">
        <v>1001</v>
      </c>
      <c r="F46" s="25">
        <v>350</v>
      </c>
      <c r="G46" s="25">
        <v>13000</v>
      </c>
      <c r="H46" s="25"/>
      <c r="I46" s="25">
        <v>1000</v>
      </c>
      <c r="J46" s="25">
        <v>0</v>
      </c>
      <c r="K46" s="25" t="s">
        <v>229</v>
      </c>
      <c r="L46" s="25" t="s">
        <v>229</v>
      </c>
      <c r="M46" s="25" t="s">
        <v>227</v>
      </c>
      <c r="N46" s="25">
        <v>0</v>
      </c>
      <c r="O46" s="38">
        <v>0</v>
      </c>
      <c r="P46" s="25">
        <v>0</v>
      </c>
      <c r="Q46" s="25">
        <v>1014</v>
      </c>
      <c r="R46" s="25">
        <v>700</v>
      </c>
      <c r="S46" s="25">
        <v>1003001</v>
      </c>
      <c r="T46" s="25">
        <v>400</v>
      </c>
      <c r="U46" s="25">
        <v>350</v>
      </c>
    </row>
    <row r="47" spans="1:21">
      <c r="A47" s="18">
        <v>1003202</v>
      </c>
      <c r="B47" s="25" t="s">
        <v>230</v>
      </c>
      <c r="C47" s="25">
        <v>2</v>
      </c>
      <c r="D47" s="25">
        <v>3</v>
      </c>
      <c r="E47" s="25">
        <v>120</v>
      </c>
      <c r="F47" s="25">
        <v>350</v>
      </c>
      <c r="G47" s="25">
        <v>11000</v>
      </c>
      <c r="H47" s="25"/>
      <c r="I47" s="25">
        <v>11000</v>
      </c>
      <c r="J47" s="25">
        <v>3100111</v>
      </c>
      <c r="K47" s="25" t="s">
        <v>230</v>
      </c>
      <c r="L47" s="25" t="s">
        <v>230</v>
      </c>
      <c r="M47" s="25" t="s">
        <v>60</v>
      </c>
      <c r="N47" s="25">
        <v>0</v>
      </c>
      <c r="O47" s="38">
        <v>1003002</v>
      </c>
      <c r="P47" s="25">
        <v>500</v>
      </c>
      <c r="Q47" s="25">
        <v>1014</v>
      </c>
      <c r="R47" s="25" t="s">
        <v>231</v>
      </c>
      <c r="S47" s="25">
        <v>0</v>
      </c>
      <c r="T47" s="25">
        <v>0</v>
      </c>
      <c r="U47" s="25">
        <v>0</v>
      </c>
    </row>
    <row r="48" spans="1:21">
      <c r="A48" s="18">
        <v>1004201</v>
      </c>
      <c r="B48" s="25" t="s">
        <v>232</v>
      </c>
      <c r="C48" s="25">
        <v>1</v>
      </c>
      <c r="D48" s="25">
        <v>3</v>
      </c>
      <c r="E48" s="25">
        <v>1001</v>
      </c>
      <c r="F48" s="25">
        <v>350</v>
      </c>
      <c r="G48" s="25">
        <v>13000</v>
      </c>
      <c r="H48" s="25"/>
      <c r="I48" s="25">
        <v>1000</v>
      </c>
      <c r="J48" s="25">
        <v>0</v>
      </c>
      <c r="K48" s="25" t="s">
        <v>232</v>
      </c>
      <c r="L48" s="25" t="s">
        <v>232</v>
      </c>
      <c r="M48" s="25" t="s">
        <v>227</v>
      </c>
      <c r="N48" s="25">
        <v>0</v>
      </c>
      <c r="O48" s="38">
        <v>0</v>
      </c>
      <c r="P48" s="25">
        <v>0</v>
      </c>
      <c r="Q48" s="25">
        <v>1015</v>
      </c>
      <c r="R48" s="25">
        <v>700</v>
      </c>
      <c r="S48" s="25">
        <v>1004001</v>
      </c>
      <c r="T48" s="25">
        <v>400</v>
      </c>
      <c r="U48" s="25">
        <v>350</v>
      </c>
    </row>
    <row r="49" spans="1:21">
      <c r="A49" s="18">
        <v>1004202</v>
      </c>
      <c r="B49" s="25" t="s">
        <v>233</v>
      </c>
      <c r="C49" s="25">
        <v>2</v>
      </c>
      <c r="D49" s="25">
        <v>3</v>
      </c>
      <c r="E49" s="25">
        <v>2001</v>
      </c>
      <c r="F49" s="25">
        <v>350</v>
      </c>
      <c r="G49" s="25">
        <v>11000</v>
      </c>
      <c r="H49" s="25"/>
      <c r="I49" s="25">
        <v>13000</v>
      </c>
      <c r="J49" s="25">
        <v>3100201</v>
      </c>
      <c r="K49" s="25" t="s">
        <v>233</v>
      </c>
      <c r="L49" s="25" t="s">
        <v>233</v>
      </c>
      <c r="M49" s="25" t="s">
        <v>60</v>
      </c>
      <c r="N49" s="25">
        <v>0</v>
      </c>
      <c r="O49" s="38">
        <v>1004002</v>
      </c>
      <c r="P49" s="25">
        <v>400</v>
      </c>
      <c r="Q49" s="25">
        <v>1015</v>
      </c>
      <c r="R49" s="25" t="s">
        <v>234</v>
      </c>
      <c r="S49" s="25">
        <v>0</v>
      </c>
      <c r="T49" s="25">
        <v>0</v>
      </c>
      <c r="U49" s="25">
        <v>0</v>
      </c>
    </row>
    <row r="50" spans="1:21">
      <c r="A50" s="18">
        <v>1006001</v>
      </c>
      <c r="B50" s="25" t="s">
        <v>235</v>
      </c>
      <c r="C50" s="25">
        <v>1</v>
      </c>
      <c r="D50" s="25">
        <v>3</v>
      </c>
      <c r="E50" s="25">
        <v>1001</v>
      </c>
      <c r="F50" s="25">
        <v>350</v>
      </c>
      <c r="G50" s="25">
        <v>10000</v>
      </c>
      <c r="H50" s="25"/>
      <c r="I50" s="25">
        <v>1000</v>
      </c>
      <c r="J50" s="25">
        <v>0</v>
      </c>
      <c r="K50" s="25" t="s">
        <v>235</v>
      </c>
      <c r="L50" s="25" t="s">
        <v>235</v>
      </c>
      <c r="M50" s="25" t="s">
        <v>227</v>
      </c>
      <c r="N50" s="25">
        <v>0</v>
      </c>
      <c r="O50" s="38">
        <v>0</v>
      </c>
      <c r="P50" s="25">
        <v>0</v>
      </c>
      <c r="Q50" s="25">
        <v>1016</v>
      </c>
      <c r="R50" s="25">
        <v>650</v>
      </c>
      <c r="S50" s="25">
        <v>1006001</v>
      </c>
      <c r="T50" s="25">
        <v>330</v>
      </c>
      <c r="U50" s="25">
        <v>350</v>
      </c>
    </row>
    <row r="51" spans="1:21">
      <c r="A51" s="18">
        <v>1006002</v>
      </c>
      <c r="B51" s="25" t="s">
        <v>236</v>
      </c>
      <c r="C51" s="25">
        <v>2</v>
      </c>
      <c r="D51" s="25">
        <v>3</v>
      </c>
      <c r="E51" s="25">
        <v>2001</v>
      </c>
      <c r="F51" s="25">
        <v>350</v>
      </c>
      <c r="G51" s="25">
        <v>22000</v>
      </c>
      <c r="H51" s="25"/>
      <c r="I51" s="25">
        <v>22000</v>
      </c>
      <c r="J51" s="25">
        <v>1006002</v>
      </c>
      <c r="K51" s="25" t="s">
        <v>238</v>
      </c>
      <c r="L51" s="25" t="s">
        <v>236</v>
      </c>
      <c r="M51" s="25" t="s">
        <v>60</v>
      </c>
      <c r="N51" s="25">
        <v>0</v>
      </c>
      <c r="O51" s="38">
        <v>1006002</v>
      </c>
      <c r="P51" s="25">
        <v>600</v>
      </c>
      <c r="Q51" s="25">
        <v>1016</v>
      </c>
      <c r="R51" s="25">
        <v>1150</v>
      </c>
      <c r="S51" s="25">
        <v>0</v>
      </c>
      <c r="T51" s="25">
        <v>0</v>
      </c>
      <c r="U51" s="25">
        <v>0</v>
      </c>
    </row>
    <row r="52" spans="1:21">
      <c r="A52" s="18">
        <v>1006101</v>
      </c>
      <c r="B52" s="25" t="s">
        <v>240</v>
      </c>
      <c r="C52" s="25">
        <v>1</v>
      </c>
      <c r="D52" s="25">
        <v>3</v>
      </c>
      <c r="E52" s="25">
        <v>1001</v>
      </c>
      <c r="F52" s="25">
        <v>350</v>
      </c>
      <c r="G52" s="25">
        <v>11000</v>
      </c>
      <c r="H52" s="25"/>
      <c r="I52" s="25">
        <v>1000</v>
      </c>
      <c r="J52" s="25">
        <v>0</v>
      </c>
      <c r="K52" s="25" t="s">
        <v>240</v>
      </c>
      <c r="L52" s="25" t="s">
        <v>240</v>
      </c>
      <c r="M52" s="25" t="s">
        <v>227</v>
      </c>
      <c r="N52" s="25">
        <v>0</v>
      </c>
      <c r="O52" s="38">
        <v>0</v>
      </c>
      <c r="P52" s="25">
        <v>0</v>
      </c>
      <c r="Q52" s="25">
        <v>1016</v>
      </c>
      <c r="R52" s="25">
        <v>700</v>
      </c>
      <c r="S52" s="25">
        <v>1006001</v>
      </c>
      <c r="T52" s="25">
        <v>400</v>
      </c>
      <c r="U52" s="25">
        <v>350</v>
      </c>
    </row>
    <row r="53" spans="1:21">
      <c r="A53" s="18">
        <v>1006102</v>
      </c>
      <c r="B53" s="25" t="s">
        <v>241</v>
      </c>
      <c r="C53" s="25">
        <v>2</v>
      </c>
      <c r="D53" s="25">
        <v>3</v>
      </c>
      <c r="E53" s="25">
        <v>2001</v>
      </c>
      <c r="F53" s="25">
        <v>350</v>
      </c>
      <c r="G53" s="25">
        <v>42000</v>
      </c>
      <c r="H53" s="25"/>
      <c r="I53" s="25">
        <v>22000</v>
      </c>
      <c r="J53" s="25">
        <v>1006002</v>
      </c>
      <c r="K53" s="25" t="s">
        <v>243</v>
      </c>
      <c r="L53" s="25" t="s">
        <v>241</v>
      </c>
      <c r="M53" s="25" t="s">
        <v>60</v>
      </c>
      <c r="N53" s="25">
        <v>0</v>
      </c>
      <c r="O53" s="38">
        <v>1006102</v>
      </c>
      <c r="P53" s="25">
        <v>500</v>
      </c>
      <c r="Q53" s="25">
        <v>1016</v>
      </c>
      <c r="R53" s="25">
        <v>1500</v>
      </c>
      <c r="S53" s="25">
        <v>0</v>
      </c>
      <c r="T53" s="25">
        <v>0</v>
      </c>
      <c r="U53" s="25">
        <v>0</v>
      </c>
    </row>
    <row r="54" spans="1:21">
      <c r="A54" s="18">
        <v>1006201</v>
      </c>
      <c r="B54" s="25" t="s">
        <v>245</v>
      </c>
      <c r="C54" s="25">
        <v>1</v>
      </c>
      <c r="D54" s="25">
        <v>3</v>
      </c>
      <c r="E54" s="25">
        <v>1001</v>
      </c>
      <c r="F54" s="25">
        <v>350</v>
      </c>
      <c r="G54" s="25">
        <v>13000</v>
      </c>
      <c r="H54" s="25"/>
      <c r="I54" s="25">
        <v>1000</v>
      </c>
      <c r="J54" s="25">
        <v>0</v>
      </c>
      <c r="K54" s="25" t="s">
        <v>245</v>
      </c>
      <c r="L54" s="25" t="s">
        <v>245</v>
      </c>
      <c r="M54" s="25" t="s">
        <v>227</v>
      </c>
      <c r="N54" s="25">
        <v>0</v>
      </c>
      <c r="O54" s="38">
        <v>0</v>
      </c>
      <c r="P54" s="25">
        <v>0</v>
      </c>
      <c r="Q54" s="25">
        <v>1016</v>
      </c>
      <c r="R54" s="25">
        <v>700</v>
      </c>
      <c r="S54" s="25">
        <v>1006001</v>
      </c>
      <c r="T54" s="25">
        <v>500</v>
      </c>
      <c r="U54" s="25">
        <v>350</v>
      </c>
    </row>
    <row r="55" spans="1:21">
      <c r="A55" s="18">
        <v>1006202</v>
      </c>
      <c r="B55" s="25" t="s">
        <v>203</v>
      </c>
      <c r="C55" s="25">
        <v>2</v>
      </c>
      <c r="D55" s="25">
        <v>3</v>
      </c>
      <c r="E55" s="25">
        <v>2001</v>
      </c>
      <c r="F55" s="25">
        <v>350</v>
      </c>
      <c r="G55" s="25">
        <v>20000</v>
      </c>
      <c r="H55" s="25"/>
      <c r="I55" s="25">
        <v>22000</v>
      </c>
      <c r="J55" s="25">
        <v>1006002</v>
      </c>
      <c r="K55" s="25" t="s">
        <v>247</v>
      </c>
      <c r="L55" s="25" t="s">
        <v>203</v>
      </c>
      <c r="M55" s="25" t="s">
        <v>60</v>
      </c>
      <c r="N55" s="25">
        <v>0</v>
      </c>
      <c r="O55" s="38">
        <v>1006202</v>
      </c>
      <c r="P55" s="25">
        <v>600</v>
      </c>
      <c r="Q55" s="25">
        <v>1016</v>
      </c>
      <c r="R55" s="25" t="s">
        <v>249</v>
      </c>
      <c r="S55" s="25">
        <v>0</v>
      </c>
      <c r="T55" s="25">
        <v>0</v>
      </c>
      <c r="U55" s="25">
        <v>0</v>
      </c>
    </row>
    <row r="56" spans="1:21">
      <c r="A56" s="18">
        <v>1007001</v>
      </c>
      <c r="B56" s="25" t="s">
        <v>250</v>
      </c>
      <c r="C56" s="25">
        <v>1</v>
      </c>
      <c r="D56" s="25">
        <v>3</v>
      </c>
      <c r="E56" s="25">
        <v>1001</v>
      </c>
      <c r="F56" s="25">
        <v>350</v>
      </c>
      <c r="G56" s="25">
        <v>10000</v>
      </c>
      <c r="H56" s="25"/>
      <c r="I56" s="25">
        <v>1000</v>
      </c>
      <c r="J56" s="25">
        <v>0</v>
      </c>
      <c r="K56" s="25" t="s">
        <v>250</v>
      </c>
      <c r="L56" s="25" t="s">
        <v>250</v>
      </c>
      <c r="M56" s="25" t="s">
        <v>227</v>
      </c>
      <c r="N56" s="25">
        <v>0</v>
      </c>
      <c r="O56" s="38">
        <v>0</v>
      </c>
      <c r="P56" s="25">
        <v>0</v>
      </c>
      <c r="Q56" s="25">
        <v>1011</v>
      </c>
      <c r="R56" s="25">
        <v>600</v>
      </c>
      <c r="S56" s="25">
        <v>1007001</v>
      </c>
      <c r="T56" s="25">
        <v>300</v>
      </c>
      <c r="U56" s="25">
        <v>350</v>
      </c>
    </row>
    <row r="57" spans="1:21">
      <c r="A57" s="18">
        <v>1007002</v>
      </c>
      <c r="B57" s="25" t="s">
        <v>82</v>
      </c>
      <c r="C57" s="25">
        <v>2</v>
      </c>
      <c r="D57" s="25">
        <v>3</v>
      </c>
      <c r="E57" s="25">
        <v>2001</v>
      </c>
      <c r="F57" s="25">
        <v>350</v>
      </c>
      <c r="G57" s="25">
        <v>21000</v>
      </c>
      <c r="H57" s="25"/>
      <c r="I57" s="25">
        <v>7000</v>
      </c>
      <c r="J57" s="25">
        <v>1007002</v>
      </c>
      <c r="K57" s="25" t="s">
        <v>252</v>
      </c>
      <c r="L57" s="25" t="s">
        <v>82</v>
      </c>
      <c r="M57" s="25" t="s">
        <v>60</v>
      </c>
      <c r="N57" s="25">
        <v>0</v>
      </c>
      <c r="O57" s="38">
        <v>1007002</v>
      </c>
      <c r="P57" s="25">
        <v>900</v>
      </c>
      <c r="Q57" s="25">
        <v>1011</v>
      </c>
      <c r="R57" s="25">
        <v>1400</v>
      </c>
      <c r="S57" s="25">
        <v>0</v>
      </c>
      <c r="T57" s="25">
        <v>0</v>
      </c>
      <c r="U57" s="25">
        <v>0</v>
      </c>
    </row>
    <row r="58" spans="1:21">
      <c r="A58" s="18">
        <v>1007101</v>
      </c>
      <c r="B58" s="25" t="s">
        <v>254</v>
      </c>
      <c r="C58" s="25">
        <v>1</v>
      </c>
      <c r="D58" s="25">
        <v>3</v>
      </c>
      <c r="E58" s="25">
        <v>1001</v>
      </c>
      <c r="F58" s="25">
        <v>350</v>
      </c>
      <c r="G58" s="25">
        <v>10000</v>
      </c>
      <c r="H58" s="25"/>
      <c r="I58" s="25">
        <v>1000</v>
      </c>
      <c r="J58" s="25">
        <v>0</v>
      </c>
      <c r="K58" s="25" t="s">
        <v>254</v>
      </c>
      <c r="L58" s="25" t="s">
        <v>254</v>
      </c>
      <c r="M58" s="25" t="s">
        <v>227</v>
      </c>
      <c r="N58" s="25">
        <v>0</v>
      </c>
      <c r="O58" s="38">
        <v>0</v>
      </c>
      <c r="P58" s="25">
        <v>0</v>
      </c>
      <c r="Q58" s="25">
        <v>1011</v>
      </c>
      <c r="R58" s="25">
        <v>700</v>
      </c>
      <c r="S58" s="25">
        <v>1007001</v>
      </c>
      <c r="T58" s="25">
        <v>400</v>
      </c>
      <c r="U58" s="25">
        <v>350</v>
      </c>
    </row>
    <row r="59" spans="1:21">
      <c r="A59" s="18">
        <v>1007102</v>
      </c>
      <c r="B59" s="25" t="s">
        <v>255</v>
      </c>
      <c r="C59" s="25">
        <v>2</v>
      </c>
      <c r="D59" s="25">
        <v>3</v>
      </c>
      <c r="E59" s="25">
        <v>2001</v>
      </c>
      <c r="F59" s="25">
        <v>350</v>
      </c>
      <c r="G59" s="25">
        <v>21000</v>
      </c>
      <c r="H59" s="25"/>
      <c r="I59" s="25">
        <v>7000</v>
      </c>
      <c r="J59" s="26">
        <v>1007002</v>
      </c>
      <c r="K59" s="25" t="s">
        <v>257</v>
      </c>
      <c r="L59" s="25" t="s">
        <v>255</v>
      </c>
      <c r="M59" s="25" t="s">
        <v>60</v>
      </c>
      <c r="N59" s="25">
        <v>0</v>
      </c>
      <c r="O59" s="38">
        <v>1007102</v>
      </c>
      <c r="P59" s="25">
        <v>1000</v>
      </c>
      <c r="Q59" s="25">
        <v>1011</v>
      </c>
      <c r="R59" s="25">
        <v>1500</v>
      </c>
      <c r="S59" s="25">
        <v>0</v>
      </c>
      <c r="T59" s="25">
        <v>0</v>
      </c>
      <c r="U59" s="25">
        <v>0</v>
      </c>
    </row>
    <row r="60" spans="1:21">
      <c r="A60" s="18">
        <v>1009001</v>
      </c>
      <c r="B60" s="25" t="s">
        <v>259</v>
      </c>
      <c r="C60" s="25">
        <v>1</v>
      </c>
      <c r="D60" s="25">
        <v>3</v>
      </c>
      <c r="E60" s="25">
        <v>1001</v>
      </c>
      <c r="F60" s="25">
        <v>350</v>
      </c>
      <c r="G60" s="25">
        <v>10000</v>
      </c>
      <c r="H60" s="25"/>
      <c r="I60" s="25">
        <v>1000</v>
      </c>
      <c r="J60" s="25">
        <v>0</v>
      </c>
      <c r="K60" s="25" t="s">
        <v>259</v>
      </c>
      <c r="L60" s="25" t="s">
        <v>259</v>
      </c>
      <c r="M60" s="25" t="s">
        <v>227</v>
      </c>
      <c r="N60" s="25">
        <v>0</v>
      </c>
      <c r="O60" s="38">
        <v>0</v>
      </c>
      <c r="P60" s="25">
        <v>0</v>
      </c>
      <c r="Q60" s="25">
        <v>1011</v>
      </c>
      <c r="R60" s="25">
        <v>700</v>
      </c>
      <c r="S60" s="25">
        <v>1009001</v>
      </c>
      <c r="T60" s="25">
        <v>400</v>
      </c>
      <c r="U60" s="25">
        <v>350</v>
      </c>
    </row>
    <row r="61" spans="1:21">
      <c r="A61" s="18">
        <v>1009002</v>
      </c>
      <c r="B61" s="25" t="s">
        <v>154</v>
      </c>
      <c r="C61" s="25">
        <v>2</v>
      </c>
      <c r="D61" s="25">
        <v>3</v>
      </c>
      <c r="E61" s="25">
        <v>2001</v>
      </c>
      <c r="F61" s="25">
        <v>350</v>
      </c>
      <c r="G61" s="25">
        <v>3500</v>
      </c>
      <c r="H61" s="25"/>
      <c r="I61" s="25">
        <v>7000</v>
      </c>
      <c r="J61" s="25">
        <v>1009002</v>
      </c>
      <c r="K61" s="25" t="s">
        <v>261</v>
      </c>
      <c r="L61" s="25" t="s">
        <v>154</v>
      </c>
      <c r="M61" s="25" t="s">
        <v>60</v>
      </c>
      <c r="N61" s="25">
        <v>0</v>
      </c>
      <c r="O61" s="38">
        <v>1009002</v>
      </c>
      <c r="P61" s="25">
        <v>500</v>
      </c>
      <c r="Q61" s="25">
        <v>1011</v>
      </c>
      <c r="R61" s="25" t="s">
        <v>263</v>
      </c>
      <c r="S61" s="25">
        <v>0</v>
      </c>
      <c r="T61" s="25">
        <v>0</v>
      </c>
      <c r="U61" s="25">
        <v>0</v>
      </c>
    </row>
    <row r="62" spans="1:21">
      <c r="A62" s="18">
        <v>1009101</v>
      </c>
      <c r="B62" s="25" t="s">
        <v>264</v>
      </c>
      <c r="C62" s="25">
        <v>1</v>
      </c>
      <c r="D62" s="25">
        <v>3</v>
      </c>
      <c r="E62" s="25">
        <v>1001</v>
      </c>
      <c r="F62" s="25">
        <v>350</v>
      </c>
      <c r="G62" s="25">
        <v>11000</v>
      </c>
      <c r="H62" s="25"/>
      <c r="I62" s="25">
        <v>1000</v>
      </c>
      <c r="J62" s="25">
        <v>0</v>
      </c>
      <c r="K62" s="25" t="s">
        <v>264</v>
      </c>
      <c r="L62" s="25" t="s">
        <v>264</v>
      </c>
      <c r="M62" s="25" t="s">
        <v>227</v>
      </c>
      <c r="N62" s="25">
        <v>0</v>
      </c>
      <c r="O62" s="38">
        <v>0</v>
      </c>
      <c r="P62" s="25">
        <v>0</v>
      </c>
      <c r="Q62" s="25">
        <v>1011</v>
      </c>
      <c r="R62" s="25">
        <v>800</v>
      </c>
      <c r="S62" s="25">
        <v>1009001</v>
      </c>
      <c r="T62" s="25">
        <v>500</v>
      </c>
      <c r="U62" s="25">
        <v>350</v>
      </c>
    </row>
    <row r="63" spans="1:21">
      <c r="A63" s="18">
        <v>1009102</v>
      </c>
      <c r="B63" s="25" t="s">
        <v>265</v>
      </c>
      <c r="C63" s="25">
        <v>2</v>
      </c>
      <c r="D63" s="25">
        <v>3</v>
      </c>
      <c r="E63" s="25">
        <v>2001</v>
      </c>
      <c r="F63" s="25">
        <v>350</v>
      </c>
      <c r="G63" s="25">
        <v>6000</v>
      </c>
      <c r="H63" s="25"/>
      <c r="I63" s="25">
        <v>7000</v>
      </c>
      <c r="J63" s="25">
        <v>1009002</v>
      </c>
      <c r="K63" s="25" t="s">
        <v>267</v>
      </c>
      <c r="L63" s="25" t="s">
        <v>265</v>
      </c>
      <c r="M63" s="25" t="s">
        <v>60</v>
      </c>
      <c r="N63" s="25">
        <v>0</v>
      </c>
      <c r="O63" s="38">
        <v>1009002</v>
      </c>
      <c r="P63" s="25">
        <v>700</v>
      </c>
      <c r="Q63" s="25">
        <v>1011</v>
      </c>
      <c r="R63" s="25" t="s">
        <v>269</v>
      </c>
      <c r="S63" s="25">
        <v>0</v>
      </c>
      <c r="T63" s="25">
        <v>0</v>
      </c>
      <c r="U63" s="25">
        <v>0</v>
      </c>
    </row>
    <row r="64" spans="1:21">
      <c r="A64" s="18">
        <v>1010001</v>
      </c>
      <c r="B64" s="25" t="s">
        <v>270</v>
      </c>
      <c r="C64" s="25">
        <v>1</v>
      </c>
      <c r="D64" s="25">
        <v>3</v>
      </c>
      <c r="E64" s="25">
        <v>1001</v>
      </c>
      <c r="F64" s="25">
        <v>350</v>
      </c>
      <c r="G64" s="25">
        <v>10000</v>
      </c>
      <c r="H64" s="25"/>
      <c r="I64" s="25">
        <v>1000</v>
      </c>
      <c r="J64" s="25">
        <v>0</v>
      </c>
      <c r="K64" s="25" t="s">
        <v>270</v>
      </c>
      <c r="L64" s="25" t="s">
        <v>270</v>
      </c>
      <c r="M64" s="25" t="s">
        <v>227</v>
      </c>
      <c r="N64" s="25">
        <v>0</v>
      </c>
      <c r="O64" s="37">
        <v>0</v>
      </c>
      <c r="P64" s="26">
        <v>0</v>
      </c>
      <c r="Q64" s="26">
        <v>1013</v>
      </c>
      <c r="R64" s="26">
        <v>800</v>
      </c>
      <c r="S64" s="26">
        <v>1010001</v>
      </c>
      <c r="T64" s="26">
        <v>500</v>
      </c>
      <c r="U64" s="25">
        <v>350</v>
      </c>
    </row>
    <row r="65" spans="1:21">
      <c r="A65" s="18">
        <v>1010002</v>
      </c>
      <c r="B65" s="25" t="s">
        <v>271</v>
      </c>
      <c r="C65" s="25">
        <v>2</v>
      </c>
      <c r="D65" s="25">
        <v>3</v>
      </c>
      <c r="E65" s="25">
        <v>2001</v>
      </c>
      <c r="F65" s="25">
        <v>350</v>
      </c>
      <c r="G65" s="25">
        <v>21000</v>
      </c>
      <c r="H65" s="25"/>
      <c r="I65" s="25">
        <v>7000</v>
      </c>
      <c r="J65" s="25">
        <v>1010002</v>
      </c>
      <c r="K65" s="25" t="s">
        <v>273</v>
      </c>
      <c r="L65" s="25" t="s">
        <v>271</v>
      </c>
      <c r="M65" s="25" t="s">
        <v>60</v>
      </c>
      <c r="N65" s="25">
        <v>0</v>
      </c>
      <c r="O65" s="37">
        <v>1010002</v>
      </c>
      <c r="P65" s="26">
        <v>600</v>
      </c>
      <c r="Q65" s="26">
        <v>1013</v>
      </c>
      <c r="R65" s="26">
        <v>1200</v>
      </c>
      <c r="S65" s="26">
        <v>0</v>
      </c>
      <c r="T65" s="26">
        <v>0</v>
      </c>
      <c r="U65" s="25">
        <v>0</v>
      </c>
    </row>
    <row r="66" spans="1:21">
      <c r="A66" s="18">
        <v>1010101</v>
      </c>
      <c r="B66" s="25" t="s">
        <v>275</v>
      </c>
      <c r="C66" s="25">
        <v>1</v>
      </c>
      <c r="D66" s="25">
        <v>3</v>
      </c>
      <c r="E66" s="25">
        <v>1001</v>
      </c>
      <c r="F66" s="25">
        <v>350</v>
      </c>
      <c r="G66" s="25">
        <v>11000</v>
      </c>
      <c r="H66" s="25"/>
      <c r="I66" s="25">
        <v>1000</v>
      </c>
      <c r="J66" s="25">
        <v>0</v>
      </c>
      <c r="K66" s="25" t="s">
        <v>275</v>
      </c>
      <c r="L66" s="25" t="s">
        <v>275</v>
      </c>
      <c r="M66" s="25" t="s">
        <v>227</v>
      </c>
      <c r="N66" s="25">
        <v>0</v>
      </c>
      <c r="O66" s="37">
        <v>0</v>
      </c>
      <c r="P66" s="26">
        <v>0</v>
      </c>
      <c r="Q66" s="26">
        <v>1013</v>
      </c>
      <c r="R66" s="26">
        <v>700</v>
      </c>
      <c r="S66" s="26">
        <v>1010001</v>
      </c>
      <c r="T66" s="26">
        <v>400</v>
      </c>
      <c r="U66" s="25">
        <v>350</v>
      </c>
    </row>
    <row r="67" spans="1:21">
      <c r="A67" s="18">
        <v>1010102</v>
      </c>
      <c r="B67" s="25" t="s">
        <v>56</v>
      </c>
      <c r="C67" s="25">
        <v>2</v>
      </c>
      <c r="D67" s="25">
        <v>3</v>
      </c>
      <c r="E67" s="25">
        <v>2001</v>
      </c>
      <c r="F67" s="25">
        <v>350</v>
      </c>
      <c r="G67" s="25">
        <v>21000</v>
      </c>
      <c r="H67" s="25"/>
      <c r="I67" s="25">
        <v>7000</v>
      </c>
      <c r="J67" s="25">
        <v>1010002</v>
      </c>
      <c r="K67" s="25" t="s">
        <v>277</v>
      </c>
      <c r="L67" s="25" t="s">
        <v>56</v>
      </c>
      <c r="M67" s="25" t="s">
        <v>60</v>
      </c>
      <c r="N67" s="25">
        <v>0</v>
      </c>
      <c r="O67" s="37">
        <v>1010102</v>
      </c>
      <c r="P67" s="26">
        <v>500</v>
      </c>
      <c r="Q67" s="26">
        <v>1013</v>
      </c>
      <c r="R67" s="26" t="s">
        <v>279</v>
      </c>
      <c r="S67" s="26">
        <v>0</v>
      </c>
      <c r="T67" s="26">
        <v>0</v>
      </c>
      <c r="U67" s="25">
        <v>0</v>
      </c>
    </row>
    <row r="68" spans="1:21">
      <c r="A68" s="18">
        <v>1010201</v>
      </c>
      <c r="B68" s="25" t="s">
        <v>280</v>
      </c>
      <c r="C68" s="25">
        <v>1</v>
      </c>
      <c r="D68" s="25">
        <v>3</v>
      </c>
      <c r="E68" s="25">
        <v>1001</v>
      </c>
      <c r="F68" s="25">
        <v>350</v>
      </c>
      <c r="G68" s="25">
        <v>11000</v>
      </c>
      <c r="H68" s="25"/>
      <c r="I68" s="25">
        <v>1000</v>
      </c>
      <c r="J68" s="25">
        <v>0</v>
      </c>
      <c r="K68" s="25" t="s">
        <v>280</v>
      </c>
      <c r="L68" s="25" t="s">
        <v>280</v>
      </c>
      <c r="M68" s="25" t="s">
        <v>227</v>
      </c>
      <c r="N68" s="25">
        <v>0</v>
      </c>
      <c r="O68" s="37">
        <v>0</v>
      </c>
      <c r="P68" s="26">
        <v>0</v>
      </c>
      <c r="Q68" s="26">
        <v>1013</v>
      </c>
      <c r="R68" s="26">
        <v>700</v>
      </c>
      <c r="S68" s="26">
        <v>1010001</v>
      </c>
      <c r="T68" s="26">
        <v>400</v>
      </c>
      <c r="U68" s="25">
        <v>350</v>
      </c>
    </row>
    <row r="69" spans="1:21">
      <c r="A69" s="18">
        <v>1010202</v>
      </c>
      <c r="B69" s="25" t="s">
        <v>208</v>
      </c>
      <c r="C69" s="25">
        <v>2</v>
      </c>
      <c r="D69" s="25">
        <v>3</v>
      </c>
      <c r="E69" s="25">
        <v>2001</v>
      </c>
      <c r="F69" s="25">
        <v>350</v>
      </c>
      <c r="G69" s="25">
        <v>11000</v>
      </c>
      <c r="H69" s="25"/>
      <c r="I69" s="25">
        <v>7000</v>
      </c>
      <c r="J69" s="25">
        <v>1010202</v>
      </c>
      <c r="K69" s="25" t="s">
        <v>282</v>
      </c>
      <c r="L69" s="25" t="s">
        <v>208</v>
      </c>
      <c r="M69" s="25" t="s">
        <v>60</v>
      </c>
      <c r="N69" s="25">
        <v>0</v>
      </c>
      <c r="O69" s="37">
        <v>1010202</v>
      </c>
      <c r="P69" s="26">
        <v>1100</v>
      </c>
      <c r="Q69" s="26">
        <v>1013</v>
      </c>
      <c r="R69" s="26" t="s">
        <v>284</v>
      </c>
      <c r="S69" s="26">
        <v>0</v>
      </c>
      <c r="T69" s="26">
        <v>0</v>
      </c>
      <c r="U69" s="25">
        <v>0</v>
      </c>
    </row>
    <row r="70" spans="1:21">
      <c r="A70" s="18">
        <v>1011001</v>
      </c>
      <c r="B70" s="25" t="s">
        <v>285</v>
      </c>
      <c r="C70" s="25">
        <v>1</v>
      </c>
      <c r="D70" s="25">
        <v>3</v>
      </c>
      <c r="E70" s="25">
        <v>1001</v>
      </c>
      <c r="F70" s="25">
        <v>350</v>
      </c>
      <c r="G70" s="25">
        <v>10000</v>
      </c>
      <c r="H70" s="25"/>
      <c r="I70" s="25">
        <v>1000</v>
      </c>
      <c r="J70" s="25">
        <v>0</v>
      </c>
      <c r="K70" s="25" t="s">
        <v>285</v>
      </c>
      <c r="L70" s="25" t="s">
        <v>285</v>
      </c>
      <c r="M70" s="25" t="s">
        <v>227</v>
      </c>
      <c r="N70" s="25">
        <v>0</v>
      </c>
      <c r="O70" s="38">
        <v>0</v>
      </c>
      <c r="P70" s="25">
        <v>0</v>
      </c>
      <c r="Q70" s="25">
        <v>1013</v>
      </c>
      <c r="R70" s="25">
        <v>700</v>
      </c>
      <c r="S70" s="25">
        <v>1011001</v>
      </c>
      <c r="T70" s="25">
        <v>400</v>
      </c>
      <c r="U70" s="25">
        <v>350</v>
      </c>
    </row>
    <row r="71" spans="1:21">
      <c r="A71" s="18">
        <v>1011002</v>
      </c>
      <c r="B71" s="25" t="s">
        <v>286</v>
      </c>
      <c r="C71" s="25">
        <v>2</v>
      </c>
      <c r="D71" s="25">
        <v>3</v>
      </c>
      <c r="E71" s="25">
        <v>2001</v>
      </c>
      <c r="F71" s="25">
        <v>350</v>
      </c>
      <c r="G71" s="25">
        <v>5400</v>
      </c>
      <c r="H71" s="25"/>
      <c r="I71" s="25">
        <v>7000</v>
      </c>
      <c r="J71" s="25">
        <v>1011002</v>
      </c>
      <c r="K71" s="25" t="s">
        <v>288</v>
      </c>
      <c r="L71" s="25" t="s">
        <v>286</v>
      </c>
      <c r="M71" s="25" t="s">
        <v>60</v>
      </c>
      <c r="N71" s="25">
        <v>0</v>
      </c>
      <c r="O71" s="37">
        <v>1011002</v>
      </c>
      <c r="P71" s="26">
        <v>300</v>
      </c>
      <c r="Q71" s="26">
        <v>1013</v>
      </c>
      <c r="R71" s="26" t="s">
        <v>969</v>
      </c>
      <c r="S71" s="25">
        <v>0</v>
      </c>
      <c r="T71" s="25">
        <v>0</v>
      </c>
      <c r="U71" s="25">
        <v>0</v>
      </c>
    </row>
    <row r="72" spans="1:21">
      <c r="A72" s="18">
        <v>1011101</v>
      </c>
      <c r="B72" s="25" t="s">
        <v>291</v>
      </c>
      <c r="C72" s="25">
        <v>1</v>
      </c>
      <c r="D72" s="25">
        <v>3</v>
      </c>
      <c r="E72" s="25">
        <v>1001</v>
      </c>
      <c r="F72" s="25">
        <v>350</v>
      </c>
      <c r="G72" s="25">
        <v>11000</v>
      </c>
      <c r="H72" s="25"/>
      <c r="I72" s="25">
        <v>1000</v>
      </c>
      <c r="J72" s="25">
        <v>0</v>
      </c>
      <c r="K72" s="25" t="s">
        <v>291</v>
      </c>
      <c r="L72" s="25" t="s">
        <v>291</v>
      </c>
      <c r="M72" s="25" t="s">
        <v>227</v>
      </c>
      <c r="N72" s="25">
        <v>0</v>
      </c>
      <c r="O72" s="37">
        <v>0</v>
      </c>
      <c r="P72" s="26">
        <v>0</v>
      </c>
      <c r="Q72" s="26">
        <v>1013</v>
      </c>
      <c r="R72" s="26">
        <v>700</v>
      </c>
      <c r="S72" s="25">
        <v>1011001</v>
      </c>
      <c r="T72" s="25">
        <v>400</v>
      </c>
      <c r="U72" s="25">
        <v>350</v>
      </c>
    </row>
    <row r="73" spans="1:21">
      <c r="A73" s="18">
        <v>1011102</v>
      </c>
      <c r="B73" s="25" t="s">
        <v>116</v>
      </c>
      <c r="C73" s="25">
        <v>2</v>
      </c>
      <c r="D73" s="25">
        <v>3</v>
      </c>
      <c r="E73" s="25">
        <v>2001</v>
      </c>
      <c r="F73" s="25">
        <v>350</v>
      </c>
      <c r="G73" s="25">
        <v>10000</v>
      </c>
      <c r="H73" s="25"/>
      <c r="I73" s="25">
        <v>7000</v>
      </c>
      <c r="J73" s="25">
        <v>1011002</v>
      </c>
      <c r="K73" s="25" t="s">
        <v>293</v>
      </c>
      <c r="L73" s="25" t="s">
        <v>116</v>
      </c>
      <c r="M73" s="25" t="s">
        <v>60</v>
      </c>
      <c r="N73" s="25">
        <v>0</v>
      </c>
      <c r="O73" s="37">
        <v>1011002</v>
      </c>
      <c r="P73" s="26">
        <v>500</v>
      </c>
      <c r="Q73" s="26">
        <v>1013</v>
      </c>
      <c r="R73" s="26" t="s">
        <v>970</v>
      </c>
      <c r="S73" s="25">
        <v>0</v>
      </c>
      <c r="T73" s="25">
        <v>0</v>
      </c>
      <c r="U73" s="25">
        <v>0</v>
      </c>
    </row>
    <row r="74" spans="1:21">
      <c r="A74" s="18">
        <v>1012001</v>
      </c>
      <c r="B74" s="25" t="s">
        <v>295</v>
      </c>
      <c r="C74" s="25">
        <v>1</v>
      </c>
      <c r="D74" s="25">
        <v>3</v>
      </c>
      <c r="E74" s="25">
        <v>1001</v>
      </c>
      <c r="F74" s="25">
        <v>350</v>
      </c>
      <c r="G74" s="25">
        <v>10000</v>
      </c>
      <c r="H74" s="25"/>
      <c r="I74" s="25">
        <v>1000</v>
      </c>
      <c r="J74" s="25">
        <v>0</v>
      </c>
      <c r="K74" s="25" t="s">
        <v>295</v>
      </c>
      <c r="L74" s="25" t="s">
        <v>295</v>
      </c>
      <c r="M74" s="25" t="s">
        <v>227</v>
      </c>
      <c r="N74" s="25">
        <v>0</v>
      </c>
      <c r="O74" s="38">
        <v>0</v>
      </c>
      <c r="P74" s="25">
        <v>0</v>
      </c>
      <c r="Q74" s="25">
        <v>1013</v>
      </c>
      <c r="R74" s="25">
        <v>600</v>
      </c>
      <c r="S74" s="25">
        <v>1012001</v>
      </c>
      <c r="T74" s="25">
        <v>300</v>
      </c>
      <c r="U74" s="25">
        <v>350</v>
      </c>
    </row>
    <row r="75" spans="1:21">
      <c r="A75" s="18">
        <v>1012002</v>
      </c>
      <c r="B75" s="25" t="s">
        <v>296</v>
      </c>
      <c r="C75" s="25">
        <v>2</v>
      </c>
      <c r="D75" s="25">
        <v>3</v>
      </c>
      <c r="E75" s="25">
        <v>2001</v>
      </c>
      <c r="F75" s="25">
        <v>350</v>
      </c>
      <c r="G75" s="25">
        <v>4500</v>
      </c>
      <c r="H75" s="25"/>
      <c r="I75" s="25">
        <v>7000</v>
      </c>
      <c r="J75" s="25">
        <v>1012002</v>
      </c>
      <c r="K75" s="25" t="s">
        <v>298</v>
      </c>
      <c r="L75" s="25" t="s">
        <v>296</v>
      </c>
      <c r="M75" s="25" t="s">
        <v>60</v>
      </c>
      <c r="N75" s="25">
        <v>0</v>
      </c>
      <c r="O75" s="37">
        <v>1012002</v>
      </c>
      <c r="P75" s="26">
        <v>700</v>
      </c>
      <c r="Q75" s="26">
        <v>1013</v>
      </c>
      <c r="R75" s="26" t="s">
        <v>971</v>
      </c>
      <c r="S75" s="25">
        <v>0</v>
      </c>
      <c r="T75" s="25">
        <v>0</v>
      </c>
      <c r="U75" s="25">
        <v>0</v>
      </c>
    </row>
    <row r="76" spans="1:21">
      <c r="A76" s="18">
        <v>1012101</v>
      </c>
      <c r="B76" s="25" t="s">
        <v>301</v>
      </c>
      <c r="C76" s="25">
        <v>1</v>
      </c>
      <c r="D76" s="25">
        <v>3</v>
      </c>
      <c r="E76" s="25">
        <v>1001</v>
      </c>
      <c r="F76" s="25">
        <v>350</v>
      </c>
      <c r="G76" s="25">
        <v>11000</v>
      </c>
      <c r="H76" s="25"/>
      <c r="I76" s="25">
        <v>1000</v>
      </c>
      <c r="J76" s="25">
        <v>0</v>
      </c>
      <c r="K76" s="25" t="s">
        <v>301</v>
      </c>
      <c r="L76" s="25" t="s">
        <v>301</v>
      </c>
      <c r="M76" s="25" t="s">
        <v>227</v>
      </c>
      <c r="N76" s="25">
        <v>0</v>
      </c>
      <c r="O76" s="37">
        <v>0</v>
      </c>
      <c r="P76" s="26">
        <v>0</v>
      </c>
      <c r="Q76" s="26">
        <v>1013</v>
      </c>
      <c r="R76" s="26">
        <v>600</v>
      </c>
      <c r="S76" s="25">
        <v>1012001</v>
      </c>
      <c r="T76" s="25">
        <v>300</v>
      </c>
      <c r="U76" s="25">
        <v>350</v>
      </c>
    </row>
    <row r="77" spans="1:21">
      <c r="A77" s="18">
        <v>1012102</v>
      </c>
      <c r="B77" s="25" t="s">
        <v>130</v>
      </c>
      <c r="C77" s="25">
        <v>2</v>
      </c>
      <c r="D77" s="25">
        <v>3</v>
      </c>
      <c r="E77" s="25">
        <v>2001</v>
      </c>
      <c r="F77" s="25">
        <v>350</v>
      </c>
      <c r="G77" s="25">
        <v>8000</v>
      </c>
      <c r="H77" s="25"/>
      <c r="I77" s="25">
        <v>7000</v>
      </c>
      <c r="J77" s="25">
        <v>1012002</v>
      </c>
      <c r="K77" s="25" t="s">
        <v>303</v>
      </c>
      <c r="L77" s="25" t="s">
        <v>130</v>
      </c>
      <c r="M77" s="25" t="s">
        <v>60</v>
      </c>
      <c r="N77" s="25">
        <v>0</v>
      </c>
      <c r="O77" s="37">
        <v>1012002</v>
      </c>
      <c r="P77" s="26">
        <v>700</v>
      </c>
      <c r="Q77" s="26">
        <v>1013</v>
      </c>
      <c r="R77" s="26" t="s">
        <v>971</v>
      </c>
      <c r="S77" s="25">
        <v>0</v>
      </c>
      <c r="T77" s="25">
        <v>0</v>
      </c>
      <c r="U77" s="25">
        <v>0</v>
      </c>
    </row>
    <row r="78" spans="1:21">
      <c r="A78" s="18">
        <v>1012201</v>
      </c>
      <c r="B78" s="25" t="s">
        <v>305</v>
      </c>
      <c r="C78" s="25">
        <v>1</v>
      </c>
      <c r="D78" s="25">
        <v>3</v>
      </c>
      <c r="E78" s="25">
        <v>1001</v>
      </c>
      <c r="F78" s="25">
        <v>350</v>
      </c>
      <c r="G78" s="25">
        <v>11000</v>
      </c>
      <c r="H78" s="25"/>
      <c r="I78" s="25">
        <v>1000</v>
      </c>
      <c r="J78" s="25">
        <v>0</v>
      </c>
      <c r="K78" s="25" t="s">
        <v>305</v>
      </c>
      <c r="L78" s="25" t="s">
        <v>305</v>
      </c>
      <c r="M78" s="25" t="s">
        <v>227</v>
      </c>
      <c r="N78" s="25">
        <v>0</v>
      </c>
      <c r="O78" s="37">
        <v>0</v>
      </c>
      <c r="P78" s="26">
        <v>0</v>
      </c>
      <c r="Q78" s="26">
        <v>1013</v>
      </c>
      <c r="R78" s="26">
        <v>600</v>
      </c>
      <c r="S78" s="25">
        <v>1012001</v>
      </c>
      <c r="T78" s="25">
        <v>300</v>
      </c>
      <c r="U78" s="25">
        <v>350</v>
      </c>
    </row>
    <row r="79" spans="1:21">
      <c r="A79" s="18">
        <v>1012202</v>
      </c>
      <c r="B79" s="25" t="s">
        <v>178</v>
      </c>
      <c r="C79" s="25">
        <v>2</v>
      </c>
      <c r="D79" s="25">
        <v>3</v>
      </c>
      <c r="E79" s="25">
        <v>2001</v>
      </c>
      <c r="F79" s="25">
        <v>350</v>
      </c>
      <c r="G79" s="25">
        <v>16000</v>
      </c>
      <c r="H79" s="25"/>
      <c r="I79" s="25">
        <v>7000</v>
      </c>
      <c r="J79" s="25">
        <v>1012202</v>
      </c>
      <c r="K79" s="25" t="s">
        <v>307</v>
      </c>
      <c r="L79" s="25" t="s">
        <v>178</v>
      </c>
      <c r="M79" s="25" t="s">
        <v>60</v>
      </c>
      <c r="N79" s="25">
        <v>0</v>
      </c>
      <c r="O79" s="37">
        <v>1012202</v>
      </c>
      <c r="P79" s="26">
        <v>0</v>
      </c>
      <c r="Q79" s="26">
        <v>1013</v>
      </c>
      <c r="R79" s="26" t="s">
        <v>182</v>
      </c>
      <c r="S79" s="25">
        <v>0</v>
      </c>
      <c r="T79" s="25">
        <v>0</v>
      </c>
      <c r="U79" s="25">
        <v>0</v>
      </c>
    </row>
    <row r="80" spans="1:21">
      <c r="A80" s="18">
        <v>1013001</v>
      </c>
      <c r="B80" s="25" t="s">
        <v>309</v>
      </c>
      <c r="C80" s="25">
        <v>1</v>
      </c>
      <c r="D80" s="25">
        <v>3</v>
      </c>
      <c r="E80" s="25">
        <v>1001</v>
      </c>
      <c r="F80" s="25">
        <v>350</v>
      </c>
      <c r="G80" s="25">
        <v>10000</v>
      </c>
      <c r="H80" s="25"/>
      <c r="I80" s="25">
        <v>1000</v>
      </c>
      <c r="J80" s="25">
        <v>0</v>
      </c>
      <c r="K80" s="25" t="s">
        <v>309</v>
      </c>
      <c r="L80" s="25" t="s">
        <v>309</v>
      </c>
      <c r="M80" s="25" t="s">
        <v>227</v>
      </c>
      <c r="N80" s="25">
        <v>0</v>
      </c>
      <c r="O80" s="37">
        <v>0</v>
      </c>
      <c r="P80" s="26">
        <v>0</v>
      </c>
      <c r="Q80" s="26">
        <v>1013</v>
      </c>
      <c r="R80" s="26">
        <v>800</v>
      </c>
      <c r="S80" s="26">
        <v>1013001</v>
      </c>
      <c r="T80" s="26">
        <v>500</v>
      </c>
      <c r="U80" s="26">
        <v>350</v>
      </c>
    </row>
    <row r="81" spans="1:21">
      <c r="A81" s="18">
        <v>1013002</v>
      </c>
      <c r="B81" s="25" t="s">
        <v>310</v>
      </c>
      <c r="C81" s="25">
        <v>2</v>
      </c>
      <c r="D81" s="25">
        <v>3</v>
      </c>
      <c r="E81" s="25">
        <v>2001</v>
      </c>
      <c r="F81" s="25">
        <v>350</v>
      </c>
      <c r="G81" s="25">
        <v>3000</v>
      </c>
      <c r="H81" s="25"/>
      <c r="I81" s="25">
        <v>7000</v>
      </c>
      <c r="J81" s="25">
        <v>1013002</v>
      </c>
      <c r="K81" s="25" t="s">
        <v>312</v>
      </c>
      <c r="L81" s="25" t="s">
        <v>310</v>
      </c>
      <c r="M81" s="25" t="s">
        <v>60</v>
      </c>
      <c r="N81" s="25">
        <v>0</v>
      </c>
      <c r="O81" s="37">
        <v>1013002</v>
      </c>
      <c r="P81" s="26">
        <v>500</v>
      </c>
      <c r="Q81" s="26">
        <v>1013</v>
      </c>
      <c r="R81" s="26" t="s">
        <v>314</v>
      </c>
      <c r="S81" s="26">
        <v>0</v>
      </c>
      <c r="T81" s="26">
        <v>0</v>
      </c>
      <c r="U81" s="26">
        <v>0</v>
      </c>
    </row>
    <row r="82" spans="1:21">
      <c r="A82" s="18">
        <v>1013101</v>
      </c>
      <c r="B82" s="25" t="s">
        <v>315</v>
      </c>
      <c r="C82" s="25">
        <v>1</v>
      </c>
      <c r="D82" s="25">
        <v>3</v>
      </c>
      <c r="E82" s="25">
        <v>1001</v>
      </c>
      <c r="F82" s="25">
        <v>350</v>
      </c>
      <c r="G82" s="25">
        <v>11000</v>
      </c>
      <c r="H82" s="25"/>
      <c r="I82" s="25">
        <v>1000</v>
      </c>
      <c r="J82" s="25">
        <v>0</v>
      </c>
      <c r="K82" s="25" t="s">
        <v>315</v>
      </c>
      <c r="L82" s="25" t="s">
        <v>315</v>
      </c>
      <c r="M82" s="25" t="s">
        <v>227</v>
      </c>
      <c r="N82" s="25">
        <v>0</v>
      </c>
      <c r="O82" s="37">
        <v>0</v>
      </c>
      <c r="P82" s="26">
        <v>0</v>
      </c>
      <c r="Q82" s="26">
        <v>1013</v>
      </c>
      <c r="R82" s="26">
        <v>700</v>
      </c>
      <c r="S82" s="26">
        <v>1013001</v>
      </c>
      <c r="T82" s="26">
        <v>400</v>
      </c>
      <c r="U82" s="26">
        <v>350</v>
      </c>
    </row>
    <row r="83" spans="1:21">
      <c r="A83" s="18">
        <v>1013102</v>
      </c>
      <c r="B83" s="25" t="s">
        <v>87</v>
      </c>
      <c r="C83" s="25">
        <v>2</v>
      </c>
      <c r="D83" s="25">
        <v>3</v>
      </c>
      <c r="E83" s="25">
        <v>2001</v>
      </c>
      <c r="F83" s="25">
        <v>350</v>
      </c>
      <c r="G83" s="25">
        <v>3000</v>
      </c>
      <c r="H83" s="25"/>
      <c r="I83" s="25">
        <v>7000</v>
      </c>
      <c r="J83" s="25">
        <v>1013002</v>
      </c>
      <c r="K83" s="25" t="s">
        <v>317</v>
      </c>
      <c r="L83" s="25" t="s">
        <v>87</v>
      </c>
      <c r="M83" s="25" t="s">
        <v>60</v>
      </c>
      <c r="N83" s="25">
        <v>0</v>
      </c>
      <c r="O83" s="37">
        <v>1013002</v>
      </c>
      <c r="P83" s="26">
        <v>600</v>
      </c>
      <c r="Q83" s="26">
        <v>1013</v>
      </c>
      <c r="R83" s="26" t="s">
        <v>319</v>
      </c>
      <c r="S83" s="26">
        <v>0</v>
      </c>
      <c r="T83" s="26">
        <v>0</v>
      </c>
      <c r="U83" s="26">
        <v>0</v>
      </c>
    </row>
    <row r="84" spans="1:21">
      <c r="A84" s="18">
        <v>1014001</v>
      </c>
      <c r="B84" s="25" t="s">
        <v>320</v>
      </c>
      <c r="C84" s="25">
        <v>1</v>
      </c>
      <c r="D84" s="25">
        <v>3</v>
      </c>
      <c r="E84" s="25">
        <v>1001</v>
      </c>
      <c r="F84" s="25">
        <v>350</v>
      </c>
      <c r="G84" s="25">
        <v>10000</v>
      </c>
      <c r="H84" s="25"/>
      <c r="I84" s="25">
        <v>1000</v>
      </c>
      <c r="J84" s="25">
        <v>0</v>
      </c>
      <c r="K84" s="25" t="s">
        <v>320</v>
      </c>
      <c r="L84" s="25" t="s">
        <v>320</v>
      </c>
      <c r="M84" s="25" t="s">
        <v>227</v>
      </c>
      <c r="N84" s="25">
        <v>0</v>
      </c>
      <c r="O84" s="38">
        <v>0</v>
      </c>
      <c r="P84" s="26">
        <v>0</v>
      </c>
      <c r="Q84" s="26">
        <v>1014</v>
      </c>
      <c r="R84" s="26">
        <v>700</v>
      </c>
      <c r="S84" s="25">
        <v>1014001</v>
      </c>
      <c r="T84" s="25">
        <v>400</v>
      </c>
      <c r="U84" s="25">
        <v>350</v>
      </c>
    </row>
    <row r="85" spans="1:21">
      <c r="A85" s="18">
        <v>1014002</v>
      </c>
      <c r="B85" s="25" t="s">
        <v>321</v>
      </c>
      <c r="C85" s="25">
        <v>2</v>
      </c>
      <c r="D85" s="25">
        <v>3</v>
      </c>
      <c r="E85" s="25">
        <v>2001</v>
      </c>
      <c r="F85" s="25">
        <v>350</v>
      </c>
      <c r="G85" s="25">
        <v>21000</v>
      </c>
      <c r="H85" s="25"/>
      <c r="I85" s="25">
        <v>18000</v>
      </c>
      <c r="J85" s="25">
        <v>1014002</v>
      </c>
      <c r="K85" s="25" t="s">
        <v>323</v>
      </c>
      <c r="L85" s="25" t="s">
        <v>321</v>
      </c>
      <c r="M85" s="25" t="s">
        <v>60</v>
      </c>
      <c r="N85" s="25">
        <v>0</v>
      </c>
      <c r="O85" s="38">
        <v>1014002</v>
      </c>
      <c r="P85" s="26">
        <v>600</v>
      </c>
      <c r="Q85" s="26">
        <v>1014</v>
      </c>
      <c r="R85" s="26">
        <v>1050</v>
      </c>
      <c r="S85" s="25">
        <v>0</v>
      </c>
      <c r="T85" s="25">
        <v>0</v>
      </c>
      <c r="U85" s="25">
        <v>0</v>
      </c>
    </row>
    <row r="86" spans="1:21">
      <c r="A86" s="18">
        <v>1014101</v>
      </c>
      <c r="B86" s="25" t="s">
        <v>325</v>
      </c>
      <c r="C86" s="25">
        <v>1</v>
      </c>
      <c r="D86" s="25">
        <v>3</v>
      </c>
      <c r="E86" s="25">
        <v>1001</v>
      </c>
      <c r="F86" s="25">
        <v>350</v>
      </c>
      <c r="G86" s="25">
        <v>11000</v>
      </c>
      <c r="H86" s="25"/>
      <c r="I86" s="25">
        <v>1000</v>
      </c>
      <c r="J86" s="25">
        <v>0</v>
      </c>
      <c r="K86" s="25" t="s">
        <v>325</v>
      </c>
      <c r="L86" s="25" t="s">
        <v>325</v>
      </c>
      <c r="M86" s="25" t="s">
        <v>227</v>
      </c>
      <c r="N86" s="25">
        <v>0</v>
      </c>
      <c r="O86" s="38">
        <v>0</v>
      </c>
      <c r="P86" s="26">
        <v>0</v>
      </c>
      <c r="Q86" s="26">
        <v>1014</v>
      </c>
      <c r="R86" s="26">
        <v>700</v>
      </c>
      <c r="S86" s="25">
        <v>1014001</v>
      </c>
      <c r="T86" s="25">
        <v>400</v>
      </c>
      <c r="U86" s="25">
        <v>350</v>
      </c>
    </row>
    <row r="87" spans="1:21">
      <c r="A87" s="18">
        <v>1014102</v>
      </c>
      <c r="B87" s="25" t="s">
        <v>326</v>
      </c>
      <c r="C87" s="25">
        <v>2</v>
      </c>
      <c r="D87" s="25">
        <v>3</v>
      </c>
      <c r="E87" s="25">
        <v>2001</v>
      </c>
      <c r="F87" s="25">
        <v>350</v>
      </c>
      <c r="G87" s="25">
        <v>42000</v>
      </c>
      <c r="H87" s="25"/>
      <c r="I87" s="25">
        <v>18000</v>
      </c>
      <c r="J87" s="25">
        <v>1014002</v>
      </c>
      <c r="K87" s="25" t="s">
        <v>328</v>
      </c>
      <c r="L87" s="25" t="s">
        <v>326</v>
      </c>
      <c r="M87" s="25" t="s">
        <v>60</v>
      </c>
      <c r="N87" s="25">
        <v>0</v>
      </c>
      <c r="O87" s="38">
        <v>1014102</v>
      </c>
      <c r="P87" s="26">
        <v>700</v>
      </c>
      <c r="Q87" s="26">
        <v>1014</v>
      </c>
      <c r="R87" s="26">
        <v>1700</v>
      </c>
      <c r="S87" s="25">
        <v>0</v>
      </c>
      <c r="T87" s="25">
        <v>0</v>
      </c>
      <c r="U87" s="25">
        <v>0</v>
      </c>
    </row>
    <row r="88" spans="1:21">
      <c r="A88" s="18">
        <v>1015001</v>
      </c>
      <c r="B88" s="25" t="s">
        <v>330</v>
      </c>
      <c r="C88" s="25">
        <v>1</v>
      </c>
      <c r="D88" s="25">
        <v>3</v>
      </c>
      <c r="E88" s="25">
        <v>1001</v>
      </c>
      <c r="F88" s="25">
        <v>350</v>
      </c>
      <c r="G88" s="25">
        <v>10000</v>
      </c>
      <c r="H88" s="25"/>
      <c r="I88" s="25">
        <v>1000</v>
      </c>
      <c r="J88" s="25">
        <v>0</v>
      </c>
      <c r="K88" s="25" t="s">
        <v>330</v>
      </c>
      <c r="L88" s="25" t="s">
        <v>330</v>
      </c>
      <c r="M88" s="25" t="s">
        <v>227</v>
      </c>
      <c r="N88" s="25">
        <v>0</v>
      </c>
      <c r="O88" s="38">
        <v>0</v>
      </c>
      <c r="P88" s="26">
        <v>0</v>
      </c>
      <c r="Q88" s="26">
        <v>1014</v>
      </c>
      <c r="R88" s="26">
        <v>700</v>
      </c>
      <c r="S88" s="25">
        <v>1015001</v>
      </c>
      <c r="T88" s="25">
        <v>400</v>
      </c>
      <c r="U88" s="25">
        <v>350</v>
      </c>
    </row>
    <row r="89" spans="1:21">
      <c r="A89" s="18">
        <v>1015002</v>
      </c>
      <c r="B89" s="25" t="s">
        <v>106</v>
      </c>
      <c r="C89" s="25">
        <v>2</v>
      </c>
      <c r="D89" s="25">
        <v>3</v>
      </c>
      <c r="E89" s="25">
        <v>2001</v>
      </c>
      <c r="F89" s="25">
        <v>350</v>
      </c>
      <c r="G89" s="25">
        <v>21000</v>
      </c>
      <c r="H89" s="25"/>
      <c r="I89" s="25">
        <v>18000</v>
      </c>
      <c r="J89" s="25">
        <v>1015002</v>
      </c>
      <c r="K89" s="25" t="s">
        <v>332</v>
      </c>
      <c r="L89" s="25" t="s">
        <v>106</v>
      </c>
      <c r="M89" s="25" t="s">
        <v>60</v>
      </c>
      <c r="N89" s="25">
        <v>0</v>
      </c>
      <c r="O89" s="38">
        <v>1015002</v>
      </c>
      <c r="P89" s="26">
        <v>300</v>
      </c>
      <c r="Q89" s="26">
        <v>1014</v>
      </c>
      <c r="R89" s="26">
        <v>1150</v>
      </c>
      <c r="S89" s="25">
        <v>0</v>
      </c>
      <c r="T89" s="25">
        <v>0</v>
      </c>
      <c r="U89" s="25">
        <v>0</v>
      </c>
    </row>
    <row r="90" spans="1:21">
      <c r="A90" s="18">
        <v>1015101</v>
      </c>
      <c r="B90" s="25" t="s">
        <v>334</v>
      </c>
      <c r="C90" s="25">
        <v>1</v>
      </c>
      <c r="D90" s="25">
        <v>3</v>
      </c>
      <c r="E90" s="25">
        <v>1001</v>
      </c>
      <c r="F90" s="25">
        <v>350</v>
      </c>
      <c r="G90" s="25">
        <v>11000</v>
      </c>
      <c r="H90" s="25"/>
      <c r="I90" s="25">
        <v>1000</v>
      </c>
      <c r="J90" s="25">
        <v>0</v>
      </c>
      <c r="K90" s="25" t="s">
        <v>334</v>
      </c>
      <c r="L90" s="25" t="s">
        <v>334</v>
      </c>
      <c r="M90" s="25" t="s">
        <v>227</v>
      </c>
      <c r="N90" s="25">
        <v>0</v>
      </c>
      <c r="O90" s="38">
        <v>0</v>
      </c>
      <c r="P90" s="26">
        <v>0</v>
      </c>
      <c r="Q90" s="26">
        <v>1014</v>
      </c>
      <c r="R90" s="26">
        <v>700</v>
      </c>
      <c r="S90" s="25">
        <v>1015001</v>
      </c>
      <c r="T90" s="25">
        <v>400</v>
      </c>
      <c r="U90" s="25">
        <v>350</v>
      </c>
    </row>
    <row r="91" spans="1:21">
      <c r="A91" s="18">
        <v>1015102</v>
      </c>
      <c r="B91" s="25" t="s">
        <v>335</v>
      </c>
      <c r="C91" s="25">
        <v>2</v>
      </c>
      <c r="D91" s="25">
        <v>3</v>
      </c>
      <c r="E91" s="25">
        <v>2001</v>
      </c>
      <c r="F91" s="25">
        <v>350</v>
      </c>
      <c r="G91" s="25">
        <v>42000</v>
      </c>
      <c r="H91" s="25"/>
      <c r="I91" s="25">
        <v>18000</v>
      </c>
      <c r="J91" s="25">
        <v>1015002</v>
      </c>
      <c r="K91" s="25" t="s">
        <v>337</v>
      </c>
      <c r="L91" s="25" t="s">
        <v>335</v>
      </c>
      <c r="M91" s="25" t="s">
        <v>60</v>
      </c>
      <c r="N91" s="25">
        <v>0</v>
      </c>
      <c r="O91" s="38">
        <v>1015002</v>
      </c>
      <c r="P91" s="26">
        <v>1100</v>
      </c>
      <c r="Q91" s="26">
        <v>1014</v>
      </c>
      <c r="R91" s="26">
        <v>1950</v>
      </c>
      <c r="S91" s="25">
        <v>0</v>
      </c>
      <c r="T91" s="25">
        <v>0</v>
      </c>
      <c r="U91" s="25">
        <v>0</v>
      </c>
    </row>
    <row r="92" spans="1:21">
      <c r="A92" s="18">
        <v>1016001</v>
      </c>
      <c r="B92" s="25" t="s">
        <v>339</v>
      </c>
      <c r="C92" s="25">
        <v>1</v>
      </c>
      <c r="D92" s="25">
        <v>3</v>
      </c>
      <c r="E92" s="25">
        <v>1001</v>
      </c>
      <c r="F92" s="25">
        <v>350</v>
      </c>
      <c r="G92" s="25">
        <v>11000</v>
      </c>
      <c r="H92" s="25"/>
      <c r="I92" s="25">
        <v>1000</v>
      </c>
      <c r="J92" s="25">
        <v>0</v>
      </c>
      <c r="K92" s="25" t="s">
        <v>339</v>
      </c>
      <c r="L92" s="25" t="s">
        <v>339</v>
      </c>
      <c r="M92" s="25" t="s">
        <v>227</v>
      </c>
      <c r="N92" s="25">
        <v>0</v>
      </c>
      <c r="O92" s="38">
        <v>0</v>
      </c>
      <c r="P92" s="26">
        <v>0</v>
      </c>
      <c r="Q92" s="26">
        <v>1014</v>
      </c>
      <c r="R92" s="26">
        <v>700</v>
      </c>
      <c r="S92" s="25">
        <v>1016001</v>
      </c>
      <c r="T92" s="25">
        <v>400</v>
      </c>
      <c r="U92" s="25">
        <v>350</v>
      </c>
    </row>
    <row r="93" spans="1:21">
      <c r="A93" s="18">
        <v>1016002</v>
      </c>
      <c r="B93" s="25" t="s">
        <v>340</v>
      </c>
      <c r="C93" s="25">
        <v>2</v>
      </c>
      <c r="D93" s="25">
        <v>3</v>
      </c>
      <c r="E93" s="25">
        <v>2002</v>
      </c>
      <c r="F93" s="25">
        <v>350</v>
      </c>
      <c r="G93" s="25">
        <v>21000</v>
      </c>
      <c r="H93" s="25"/>
      <c r="I93" s="25">
        <v>18000</v>
      </c>
      <c r="J93" s="25">
        <v>1016002</v>
      </c>
      <c r="K93" s="25" t="s">
        <v>342</v>
      </c>
      <c r="L93" s="25" t="s">
        <v>340</v>
      </c>
      <c r="M93" s="25" t="s">
        <v>60</v>
      </c>
      <c r="N93" s="25">
        <v>0</v>
      </c>
      <c r="O93" s="38">
        <v>1016002</v>
      </c>
      <c r="P93" s="26">
        <v>700</v>
      </c>
      <c r="Q93" s="26">
        <v>1014</v>
      </c>
      <c r="R93" s="26">
        <v>1350</v>
      </c>
      <c r="S93" s="25">
        <v>0</v>
      </c>
      <c r="T93" s="25">
        <v>0</v>
      </c>
      <c r="U93" s="25">
        <v>0</v>
      </c>
    </row>
    <row r="94" spans="1:21">
      <c r="A94" s="18">
        <v>1016101</v>
      </c>
      <c r="B94" s="25" t="s">
        <v>344</v>
      </c>
      <c r="C94" s="25">
        <v>1</v>
      </c>
      <c r="D94" s="25">
        <v>3</v>
      </c>
      <c r="E94" s="25">
        <v>1001</v>
      </c>
      <c r="F94" s="25">
        <v>350</v>
      </c>
      <c r="G94" s="25">
        <v>11000</v>
      </c>
      <c r="H94" s="25"/>
      <c r="I94" s="25">
        <v>1000</v>
      </c>
      <c r="J94" s="25">
        <v>0</v>
      </c>
      <c r="K94" s="25" t="s">
        <v>344</v>
      </c>
      <c r="L94" s="25" t="s">
        <v>344</v>
      </c>
      <c r="M94" s="25" t="s">
        <v>227</v>
      </c>
      <c r="N94" s="25">
        <v>0</v>
      </c>
      <c r="O94" s="38">
        <v>0</v>
      </c>
      <c r="P94" s="26">
        <v>0</v>
      </c>
      <c r="Q94" s="26">
        <v>1014</v>
      </c>
      <c r="R94" s="26">
        <v>700</v>
      </c>
      <c r="S94" s="25">
        <v>1016001</v>
      </c>
      <c r="T94" s="25">
        <v>400</v>
      </c>
      <c r="U94" s="25">
        <v>350</v>
      </c>
    </row>
    <row r="95" spans="1:21">
      <c r="A95" s="18">
        <v>1016102</v>
      </c>
      <c r="B95" s="25" t="s">
        <v>345</v>
      </c>
      <c r="C95" s="25">
        <v>2</v>
      </c>
      <c r="D95" s="25">
        <v>3</v>
      </c>
      <c r="E95" s="25">
        <v>2001</v>
      </c>
      <c r="F95" s="25">
        <v>350</v>
      </c>
      <c r="G95" s="25">
        <v>42000</v>
      </c>
      <c r="H95" s="25"/>
      <c r="I95" s="25">
        <v>18000</v>
      </c>
      <c r="J95" s="25">
        <v>1016102</v>
      </c>
      <c r="K95" s="25" t="s">
        <v>347</v>
      </c>
      <c r="L95" s="25" t="s">
        <v>345</v>
      </c>
      <c r="M95" s="25" t="s">
        <v>60</v>
      </c>
      <c r="N95" s="25">
        <v>0</v>
      </c>
      <c r="O95" s="38">
        <v>1016102</v>
      </c>
      <c r="P95" s="26">
        <v>600</v>
      </c>
      <c r="Q95" s="26">
        <v>1014</v>
      </c>
      <c r="R95" s="26">
        <v>1250</v>
      </c>
      <c r="S95" s="25">
        <v>0</v>
      </c>
      <c r="T95" s="25">
        <v>0</v>
      </c>
      <c r="U95" s="25">
        <v>0</v>
      </c>
    </row>
    <row r="96" spans="1:21">
      <c r="A96" s="18">
        <v>1017001</v>
      </c>
      <c r="B96" s="25" t="s">
        <v>349</v>
      </c>
      <c r="C96" s="25">
        <v>1</v>
      </c>
      <c r="D96" s="25">
        <v>3</v>
      </c>
      <c r="E96" s="25">
        <v>1001</v>
      </c>
      <c r="F96" s="25">
        <v>350</v>
      </c>
      <c r="G96" s="25">
        <v>11000</v>
      </c>
      <c r="H96" s="25"/>
      <c r="I96" s="25">
        <v>1000</v>
      </c>
      <c r="J96" s="25">
        <v>0</v>
      </c>
      <c r="K96" s="25" t="s">
        <v>349</v>
      </c>
      <c r="L96" s="25" t="s">
        <v>349</v>
      </c>
      <c r="M96" s="25" t="s">
        <v>227</v>
      </c>
      <c r="N96" s="25">
        <v>0</v>
      </c>
      <c r="O96" s="38">
        <v>0</v>
      </c>
      <c r="P96" s="26">
        <v>0</v>
      </c>
      <c r="Q96" s="26">
        <v>1014</v>
      </c>
      <c r="R96" s="26">
        <v>700</v>
      </c>
      <c r="S96" s="25">
        <v>1017001</v>
      </c>
      <c r="T96" s="25">
        <v>400</v>
      </c>
      <c r="U96" s="25">
        <v>350</v>
      </c>
    </row>
    <row r="97" spans="1:21">
      <c r="A97" s="18">
        <v>1017002</v>
      </c>
      <c r="B97" s="25" t="s">
        <v>350</v>
      </c>
      <c r="C97" s="25">
        <v>2</v>
      </c>
      <c r="D97" s="25">
        <v>3</v>
      </c>
      <c r="E97" s="25">
        <v>2002</v>
      </c>
      <c r="F97" s="25">
        <v>350</v>
      </c>
      <c r="G97" s="25">
        <v>21000</v>
      </c>
      <c r="H97" s="25"/>
      <c r="I97" s="25">
        <v>18000</v>
      </c>
      <c r="J97" s="25">
        <v>1017002</v>
      </c>
      <c r="K97" s="25" t="s">
        <v>352</v>
      </c>
      <c r="L97" s="25" t="s">
        <v>350</v>
      </c>
      <c r="M97" s="25" t="s">
        <v>60</v>
      </c>
      <c r="N97" s="25">
        <v>0</v>
      </c>
      <c r="O97" s="38">
        <v>1017002</v>
      </c>
      <c r="P97" s="26">
        <v>2000</v>
      </c>
      <c r="Q97" s="26">
        <v>1014</v>
      </c>
      <c r="R97" s="26">
        <v>2100</v>
      </c>
      <c r="S97" s="25">
        <v>0</v>
      </c>
      <c r="T97" s="25">
        <v>0</v>
      </c>
      <c r="U97" s="25">
        <v>0</v>
      </c>
    </row>
    <row r="98" spans="1:21">
      <c r="A98" s="18">
        <v>1017101</v>
      </c>
      <c r="B98" s="25" t="s">
        <v>354</v>
      </c>
      <c r="C98" s="25">
        <v>1</v>
      </c>
      <c r="D98" s="25">
        <v>3</v>
      </c>
      <c r="E98" s="25">
        <v>1001</v>
      </c>
      <c r="F98" s="25">
        <v>350</v>
      </c>
      <c r="G98" s="25">
        <v>11000</v>
      </c>
      <c r="H98" s="25"/>
      <c r="I98" s="25">
        <v>1000</v>
      </c>
      <c r="J98" s="25">
        <v>0</v>
      </c>
      <c r="K98" s="25" t="s">
        <v>354</v>
      </c>
      <c r="L98" s="25" t="s">
        <v>354</v>
      </c>
      <c r="M98" s="25" t="s">
        <v>227</v>
      </c>
      <c r="N98" s="25">
        <v>0</v>
      </c>
      <c r="O98" s="38">
        <v>0</v>
      </c>
      <c r="P98" s="26">
        <v>0</v>
      </c>
      <c r="Q98" s="26">
        <v>1014</v>
      </c>
      <c r="R98" s="26">
        <v>700</v>
      </c>
      <c r="S98" s="25">
        <v>1017001</v>
      </c>
      <c r="T98" s="25">
        <v>400</v>
      </c>
      <c r="U98" s="25">
        <v>350</v>
      </c>
    </row>
    <row r="99" spans="1:21">
      <c r="A99" s="18">
        <v>1017102</v>
      </c>
      <c r="B99" s="25" t="s">
        <v>355</v>
      </c>
      <c r="C99" s="25">
        <v>2</v>
      </c>
      <c r="D99" s="25">
        <v>3</v>
      </c>
      <c r="E99" s="25">
        <v>2001</v>
      </c>
      <c r="F99" s="25">
        <v>350</v>
      </c>
      <c r="G99" s="25">
        <v>42000</v>
      </c>
      <c r="H99" s="25"/>
      <c r="I99" s="25">
        <v>18000</v>
      </c>
      <c r="J99" s="25">
        <v>1017002</v>
      </c>
      <c r="K99" s="25" t="s">
        <v>357</v>
      </c>
      <c r="L99" s="25" t="s">
        <v>355</v>
      </c>
      <c r="M99" s="25" t="s">
        <v>60</v>
      </c>
      <c r="N99" s="25">
        <v>0</v>
      </c>
      <c r="O99" s="38">
        <v>1017102</v>
      </c>
      <c r="P99" s="26">
        <v>2000</v>
      </c>
      <c r="Q99" s="26">
        <v>1014</v>
      </c>
      <c r="R99" s="26">
        <v>2100</v>
      </c>
      <c r="S99" s="25">
        <v>0</v>
      </c>
      <c r="T99" s="25">
        <v>0</v>
      </c>
      <c r="U99" s="25">
        <v>0</v>
      </c>
    </row>
    <row r="100" spans="1:21">
      <c r="A100" s="18">
        <v>1018001</v>
      </c>
      <c r="B100" s="25" t="s">
        <v>359</v>
      </c>
      <c r="C100" s="25">
        <v>1</v>
      </c>
      <c r="D100" s="25">
        <v>3</v>
      </c>
      <c r="E100" s="25">
        <v>1001</v>
      </c>
      <c r="F100" s="25">
        <v>350</v>
      </c>
      <c r="G100" s="25">
        <v>10000</v>
      </c>
      <c r="H100" s="25"/>
      <c r="I100" s="25">
        <v>1000</v>
      </c>
      <c r="J100" s="25">
        <v>0</v>
      </c>
      <c r="K100" s="25" t="s">
        <v>359</v>
      </c>
      <c r="L100" s="25" t="s">
        <v>359</v>
      </c>
      <c r="M100" s="25" t="s">
        <v>227</v>
      </c>
      <c r="N100" s="25">
        <v>0</v>
      </c>
      <c r="O100" s="38">
        <v>0</v>
      </c>
      <c r="P100" s="26">
        <v>0</v>
      </c>
      <c r="Q100" s="26">
        <v>1014</v>
      </c>
      <c r="R100" s="26">
        <v>700</v>
      </c>
      <c r="S100" s="25">
        <v>1018001</v>
      </c>
      <c r="T100" s="25">
        <v>400</v>
      </c>
      <c r="U100" s="25">
        <v>350</v>
      </c>
    </row>
    <row r="101" spans="1:21">
      <c r="A101" s="18">
        <v>1018002</v>
      </c>
      <c r="B101" s="25" t="s">
        <v>360</v>
      </c>
      <c r="C101" s="25">
        <v>2</v>
      </c>
      <c r="D101" s="25">
        <v>3</v>
      </c>
      <c r="E101" s="25">
        <v>2001</v>
      </c>
      <c r="F101" s="25">
        <v>350</v>
      </c>
      <c r="G101" s="25">
        <v>3800</v>
      </c>
      <c r="H101" s="25"/>
      <c r="I101" s="25">
        <v>18000</v>
      </c>
      <c r="J101" s="25">
        <v>1018002</v>
      </c>
      <c r="K101" s="25" t="s">
        <v>362</v>
      </c>
      <c r="L101" s="25" t="s">
        <v>360</v>
      </c>
      <c r="M101" s="25" t="s">
        <v>60</v>
      </c>
      <c r="N101" s="25">
        <v>0</v>
      </c>
      <c r="O101" s="38">
        <v>1018002</v>
      </c>
      <c r="P101" s="26">
        <v>700</v>
      </c>
      <c r="Q101" s="26">
        <v>1014</v>
      </c>
      <c r="R101" s="26" t="s">
        <v>364</v>
      </c>
      <c r="S101" s="25">
        <v>0</v>
      </c>
      <c r="T101" s="25">
        <v>0</v>
      </c>
      <c r="U101" s="25">
        <v>0</v>
      </c>
    </row>
    <row r="102" spans="1:21">
      <c r="A102" s="18">
        <v>1018101</v>
      </c>
      <c r="B102" s="25" t="s">
        <v>365</v>
      </c>
      <c r="C102" s="25">
        <v>1</v>
      </c>
      <c r="D102" s="25">
        <v>3</v>
      </c>
      <c r="E102" s="25">
        <v>1001</v>
      </c>
      <c r="F102" s="25">
        <v>350</v>
      </c>
      <c r="G102" s="25">
        <v>10000</v>
      </c>
      <c r="H102" s="25"/>
      <c r="I102" s="25">
        <v>1000</v>
      </c>
      <c r="J102" s="25">
        <v>0</v>
      </c>
      <c r="K102" s="25" t="s">
        <v>365</v>
      </c>
      <c r="L102" s="25" t="s">
        <v>365</v>
      </c>
      <c r="M102" s="25" t="s">
        <v>227</v>
      </c>
      <c r="N102" s="25">
        <v>0</v>
      </c>
      <c r="O102" s="38">
        <v>0</v>
      </c>
      <c r="P102" s="26">
        <v>0</v>
      </c>
      <c r="Q102" s="26">
        <v>1014</v>
      </c>
      <c r="R102" s="26">
        <v>700</v>
      </c>
      <c r="S102" s="25">
        <v>1018001</v>
      </c>
      <c r="T102" s="25">
        <v>400</v>
      </c>
      <c r="U102" s="25">
        <v>350</v>
      </c>
    </row>
    <row r="103" spans="1:21">
      <c r="A103" s="18">
        <v>1018102</v>
      </c>
      <c r="B103" s="25" t="s">
        <v>366</v>
      </c>
      <c r="C103" s="25">
        <v>2</v>
      </c>
      <c r="D103" s="25">
        <v>3</v>
      </c>
      <c r="E103" s="25">
        <v>2001</v>
      </c>
      <c r="F103" s="25">
        <v>350</v>
      </c>
      <c r="G103" s="25">
        <v>8000</v>
      </c>
      <c r="H103" s="25"/>
      <c r="I103" s="25">
        <v>18000</v>
      </c>
      <c r="J103" s="25">
        <v>1018102</v>
      </c>
      <c r="K103" s="25" t="s">
        <v>368</v>
      </c>
      <c r="L103" s="25" t="s">
        <v>366</v>
      </c>
      <c r="M103" s="25" t="s">
        <v>60</v>
      </c>
      <c r="N103" s="25">
        <v>0</v>
      </c>
      <c r="O103" s="38">
        <v>1018102</v>
      </c>
      <c r="P103" s="26">
        <v>900</v>
      </c>
      <c r="Q103" s="26">
        <v>1014</v>
      </c>
      <c r="R103" s="26" t="s">
        <v>370</v>
      </c>
      <c r="S103" s="25">
        <v>0</v>
      </c>
      <c r="T103" s="25">
        <v>0</v>
      </c>
      <c r="U103" s="25">
        <v>0</v>
      </c>
    </row>
    <row r="104" spans="1:21">
      <c r="A104" s="18">
        <v>1019001</v>
      </c>
      <c r="B104" s="25" t="s">
        <v>371</v>
      </c>
      <c r="C104" s="25">
        <v>1</v>
      </c>
      <c r="D104" s="25">
        <v>3</v>
      </c>
      <c r="E104" s="25">
        <v>1001</v>
      </c>
      <c r="F104" s="25">
        <v>350</v>
      </c>
      <c r="G104" s="25">
        <v>11000</v>
      </c>
      <c r="H104" s="25"/>
      <c r="I104" s="25">
        <v>1000</v>
      </c>
      <c r="J104" s="25">
        <v>0</v>
      </c>
      <c r="K104" s="25" t="s">
        <v>371</v>
      </c>
      <c r="L104" s="25" t="s">
        <v>371</v>
      </c>
      <c r="M104" s="25" t="s">
        <v>227</v>
      </c>
      <c r="N104" s="25">
        <v>0</v>
      </c>
      <c r="O104" s="38">
        <v>0</v>
      </c>
      <c r="P104" s="26">
        <v>0</v>
      </c>
      <c r="Q104" s="26">
        <v>1014</v>
      </c>
      <c r="R104" s="26">
        <v>700</v>
      </c>
      <c r="S104" s="25">
        <v>1019001</v>
      </c>
      <c r="T104" s="25">
        <v>400</v>
      </c>
      <c r="U104" s="25">
        <v>350</v>
      </c>
    </row>
    <row r="105" spans="1:21">
      <c r="A105" s="18">
        <v>1019002</v>
      </c>
      <c r="B105" s="25" t="s">
        <v>372</v>
      </c>
      <c r="C105" s="25">
        <v>2</v>
      </c>
      <c r="D105" s="25">
        <v>3</v>
      </c>
      <c r="E105" s="25">
        <v>2001</v>
      </c>
      <c r="F105" s="25">
        <v>350</v>
      </c>
      <c r="G105" s="25">
        <v>5100</v>
      </c>
      <c r="H105" s="25"/>
      <c r="I105" s="25">
        <v>16000</v>
      </c>
      <c r="J105" s="25">
        <v>1019002</v>
      </c>
      <c r="K105" s="25" t="s">
        <v>374</v>
      </c>
      <c r="L105" s="25" t="s">
        <v>372</v>
      </c>
      <c r="M105" s="25" t="s">
        <v>60</v>
      </c>
      <c r="N105" s="25">
        <v>0</v>
      </c>
      <c r="O105" s="38">
        <v>1019002</v>
      </c>
      <c r="P105" s="26">
        <v>0</v>
      </c>
      <c r="Q105" s="26">
        <v>1014</v>
      </c>
      <c r="R105" s="26" t="s">
        <v>376</v>
      </c>
      <c r="S105" s="25">
        <v>0</v>
      </c>
      <c r="T105" s="25">
        <v>0</v>
      </c>
      <c r="U105" s="25">
        <v>0</v>
      </c>
    </row>
    <row r="106" spans="1:21">
      <c r="A106" s="18">
        <v>1019101</v>
      </c>
      <c r="B106" s="25" t="s">
        <v>377</v>
      </c>
      <c r="C106" s="25">
        <v>1</v>
      </c>
      <c r="D106" s="25">
        <v>3</v>
      </c>
      <c r="E106" s="25">
        <v>1001</v>
      </c>
      <c r="F106" s="25">
        <v>350</v>
      </c>
      <c r="G106" s="25">
        <v>11000</v>
      </c>
      <c r="H106" s="25"/>
      <c r="I106" s="25">
        <v>1000</v>
      </c>
      <c r="J106" s="25">
        <v>0</v>
      </c>
      <c r="K106" s="25" t="s">
        <v>377</v>
      </c>
      <c r="L106" s="25" t="s">
        <v>377</v>
      </c>
      <c r="M106" s="25" t="s">
        <v>227</v>
      </c>
      <c r="N106" s="25">
        <v>0</v>
      </c>
      <c r="O106" s="38">
        <v>0</v>
      </c>
      <c r="P106" s="26">
        <v>0</v>
      </c>
      <c r="Q106" s="26">
        <v>1014</v>
      </c>
      <c r="R106" s="26">
        <v>700</v>
      </c>
      <c r="S106" s="25">
        <v>1019001</v>
      </c>
      <c r="T106" s="25">
        <v>400</v>
      </c>
      <c r="U106" s="25">
        <v>350</v>
      </c>
    </row>
    <row r="107" spans="1:21">
      <c r="A107" s="18">
        <v>1019102</v>
      </c>
      <c r="B107" s="25" t="s">
        <v>111</v>
      </c>
      <c r="C107" s="25">
        <v>2</v>
      </c>
      <c r="D107" s="25">
        <v>3</v>
      </c>
      <c r="E107" s="25">
        <v>2001</v>
      </c>
      <c r="F107" s="25">
        <v>350</v>
      </c>
      <c r="G107" s="25">
        <v>5100</v>
      </c>
      <c r="H107" s="25"/>
      <c r="I107" s="25">
        <v>16000</v>
      </c>
      <c r="J107" s="25">
        <v>1019102</v>
      </c>
      <c r="K107" s="25" t="s">
        <v>379</v>
      </c>
      <c r="L107" s="25" t="s">
        <v>111</v>
      </c>
      <c r="M107" s="25" t="s">
        <v>60</v>
      </c>
      <c r="N107" s="25">
        <v>0</v>
      </c>
      <c r="O107" s="38">
        <v>1019102</v>
      </c>
      <c r="P107" s="26">
        <v>500</v>
      </c>
      <c r="Q107" s="26">
        <v>1014</v>
      </c>
      <c r="R107" s="26" t="s">
        <v>381</v>
      </c>
      <c r="S107" s="25">
        <v>0</v>
      </c>
      <c r="T107" s="25">
        <v>0</v>
      </c>
      <c r="U107" s="25">
        <v>0</v>
      </c>
    </row>
    <row r="108" spans="1:21">
      <c r="A108" s="18">
        <v>1019201</v>
      </c>
      <c r="B108" s="25" t="s">
        <v>382</v>
      </c>
      <c r="C108" s="25">
        <v>1</v>
      </c>
      <c r="D108" s="25">
        <v>3</v>
      </c>
      <c r="E108" s="25">
        <v>1001</v>
      </c>
      <c r="F108" s="25">
        <v>350</v>
      </c>
      <c r="G108" s="25">
        <v>13000</v>
      </c>
      <c r="H108" s="25"/>
      <c r="I108" s="25">
        <v>1000</v>
      </c>
      <c r="J108" s="25">
        <v>0</v>
      </c>
      <c r="K108" s="25" t="s">
        <v>382</v>
      </c>
      <c r="L108" s="25" t="s">
        <v>382</v>
      </c>
      <c r="M108" s="25" t="s">
        <v>227</v>
      </c>
      <c r="N108" s="25">
        <v>0</v>
      </c>
      <c r="O108" s="38">
        <v>0</v>
      </c>
      <c r="P108" s="26">
        <v>0</v>
      </c>
      <c r="Q108" s="26">
        <v>1014</v>
      </c>
      <c r="R108" s="26">
        <v>700</v>
      </c>
      <c r="S108" s="25">
        <v>1019001</v>
      </c>
      <c r="T108" s="25">
        <v>400</v>
      </c>
      <c r="U108" s="25">
        <v>350</v>
      </c>
    </row>
    <row r="109" spans="1:21">
      <c r="A109" s="18">
        <v>1019202</v>
      </c>
      <c r="B109" s="25" t="s">
        <v>383</v>
      </c>
      <c r="C109" s="25">
        <v>2</v>
      </c>
      <c r="D109" s="25">
        <v>3</v>
      </c>
      <c r="E109" s="25">
        <v>2002</v>
      </c>
      <c r="F109" s="25">
        <v>350</v>
      </c>
      <c r="G109" s="25">
        <v>88000</v>
      </c>
      <c r="H109" s="25"/>
      <c r="I109" s="25">
        <v>16000</v>
      </c>
      <c r="J109" s="25">
        <v>1019202</v>
      </c>
      <c r="K109" s="25" t="s">
        <v>385</v>
      </c>
      <c r="L109" s="25" t="s">
        <v>383</v>
      </c>
      <c r="M109" s="25" t="s">
        <v>60</v>
      </c>
      <c r="N109" s="25">
        <v>0</v>
      </c>
      <c r="O109" s="38">
        <v>1019202</v>
      </c>
      <c r="P109" s="26">
        <v>1700</v>
      </c>
      <c r="Q109" s="26">
        <v>1014</v>
      </c>
      <c r="R109" s="26">
        <v>1850</v>
      </c>
      <c r="S109" s="25">
        <v>0</v>
      </c>
      <c r="T109" s="25">
        <v>0</v>
      </c>
      <c r="U109" s="25">
        <v>0</v>
      </c>
    </row>
    <row r="110" spans="1:21">
      <c r="A110" s="18">
        <v>1021001</v>
      </c>
      <c r="B110" s="25" t="s">
        <v>387</v>
      </c>
      <c r="C110" s="25">
        <v>1</v>
      </c>
      <c r="D110" s="25">
        <v>3</v>
      </c>
      <c r="E110" s="25">
        <v>1001</v>
      </c>
      <c r="F110" s="25">
        <v>350</v>
      </c>
      <c r="G110" s="25">
        <v>10000</v>
      </c>
      <c r="H110" s="25"/>
      <c r="I110" s="25">
        <v>1000</v>
      </c>
      <c r="J110" s="25">
        <v>0</v>
      </c>
      <c r="K110" s="25" t="s">
        <v>387</v>
      </c>
      <c r="L110" s="25" t="s">
        <v>387</v>
      </c>
      <c r="M110" s="25" t="s">
        <v>227</v>
      </c>
      <c r="N110" s="25">
        <v>0</v>
      </c>
      <c r="O110" s="38">
        <v>0</v>
      </c>
      <c r="P110" s="25">
        <v>0</v>
      </c>
      <c r="Q110" s="25">
        <v>1014</v>
      </c>
      <c r="R110" s="25">
        <v>700</v>
      </c>
      <c r="S110" s="25">
        <v>1021001</v>
      </c>
      <c r="T110" s="25">
        <v>400</v>
      </c>
      <c r="U110" s="25">
        <v>350</v>
      </c>
    </row>
    <row r="111" spans="1:21">
      <c r="A111" s="18">
        <v>1021002</v>
      </c>
      <c r="B111" s="25" t="s">
        <v>388</v>
      </c>
      <c r="C111" s="25">
        <v>2</v>
      </c>
      <c r="D111" s="25">
        <v>3</v>
      </c>
      <c r="E111" s="25">
        <v>2001</v>
      </c>
      <c r="F111" s="25">
        <v>350</v>
      </c>
      <c r="G111" s="25">
        <v>22000</v>
      </c>
      <c r="H111" s="25"/>
      <c r="I111" s="25">
        <v>5500</v>
      </c>
      <c r="J111" s="25">
        <v>1021002</v>
      </c>
      <c r="K111" s="25" t="s">
        <v>390</v>
      </c>
      <c r="L111" s="25" t="s">
        <v>388</v>
      </c>
      <c r="M111" s="25" t="s">
        <v>60</v>
      </c>
      <c r="N111" s="25">
        <v>0</v>
      </c>
      <c r="O111" s="38">
        <v>1021002</v>
      </c>
      <c r="P111" s="25">
        <v>1100</v>
      </c>
      <c r="Q111" s="25">
        <v>1014</v>
      </c>
      <c r="R111" s="25" t="s">
        <v>392</v>
      </c>
      <c r="S111" s="25">
        <v>0</v>
      </c>
      <c r="T111" s="25">
        <v>0</v>
      </c>
      <c r="U111" s="25">
        <v>0</v>
      </c>
    </row>
    <row r="112" spans="1:21">
      <c r="A112" s="18">
        <v>1021101</v>
      </c>
      <c r="B112" s="25" t="s">
        <v>393</v>
      </c>
      <c r="C112" s="25">
        <v>1</v>
      </c>
      <c r="D112" s="25">
        <v>3</v>
      </c>
      <c r="E112" s="25">
        <v>1001</v>
      </c>
      <c r="F112" s="25">
        <v>350</v>
      </c>
      <c r="G112" s="25">
        <v>11000</v>
      </c>
      <c r="H112" s="25"/>
      <c r="I112" s="25">
        <v>1000</v>
      </c>
      <c r="J112" s="25">
        <v>0</v>
      </c>
      <c r="K112" s="25" t="s">
        <v>393</v>
      </c>
      <c r="L112" s="25" t="s">
        <v>393</v>
      </c>
      <c r="M112" s="25" t="s">
        <v>227</v>
      </c>
      <c r="N112" s="25">
        <v>0</v>
      </c>
      <c r="O112" s="38">
        <v>0</v>
      </c>
      <c r="P112" s="25">
        <v>0</v>
      </c>
      <c r="Q112" s="25">
        <v>1014</v>
      </c>
      <c r="R112" s="25">
        <v>700</v>
      </c>
      <c r="S112" s="25">
        <v>1021001</v>
      </c>
      <c r="T112" s="25">
        <v>400</v>
      </c>
      <c r="U112" s="25">
        <v>350</v>
      </c>
    </row>
    <row r="113" spans="1:21">
      <c r="A113" s="18">
        <v>1021102</v>
      </c>
      <c r="B113" s="25" t="s">
        <v>165</v>
      </c>
      <c r="C113" s="25">
        <v>2</v>
      </c>
      <c r="D113" s="25">
        <v>3</v>
      </c>
      <c r="E113" s="25">
        <v>2001</v>
      </c>
      <c r="F113" s="25">
        <v>350</v>
      </c>
      <c r="G113" s="25">
        <v>7000</v>
      </c>
      <c r="H113" s="25"/>
      <c r="I113" s="25">
        <v>11000</v>
      </c>
      <c r="J113" s="25">
        <v>1021002</v>
      </c>
      <c r="K113" s="25" t="s">
        <v>395</v>
      </c>
      <c r="L113" s="25" t="s">
        <v>165</v>
      </c>
      <c r="M113" s="25" t="s">
        <v>60</v>
      </c>
      <c r="N113" s="25">
        <v>0</v>
      </c>
      <c r="O113" s="38">
        <v>1021102</v>
      </c>
      <c r="P113" s="25">
        <v>400</v>
      </c>
      <c r="Q113" s="25">
        <v>1014</v>
      </c>
      <c r="R113" s="25" t="s">
        <v>397</v>
      </c>
      <c r="S113" s="25">
        <v>0</v>
      </c>
      <c r="T113" s="25">
        <v>0</v>
      </c>
      <c r="U113" s="25">
        <v>0</v>
      </c>
    </row>
    <row r="114" spans="1:21">
      <c r="A114" s="18">
        <v>1022001</v>
      </c>
      <c r="B114" s="25" t="s">
        <v>398</v>
      </c>
      <c r="C114" s="25">
        <v>1</v>
      </c>
      <c r="D114" s="25">
        <v>3</v>
      </c>
      <c r="E114" s="25">
        <v>1001</v>
      </c>
      <c r="F114" s="25">
        <v>350</v>
      </c>
      <c r="G114" s="25">
        <v>10000</v>
      </c>
      <c r="H114" s="25"/>
      <c r="I114" s="25">
        <v>1000</v>
      </c>
      <c r="J114" s="25">
        <v>0</v>
      </c>
      <c r="K114" s="25" t="s">
        <v>398</v>
      </c>
      <c r="L114" s="25" t="s">
        <v>398</v>
      </c>
      <c r="M114" s="25" t="s">
        <v>227</v>
      </c>
      <c r="N114" s="25">
        <v>0</v>
      </c>
      <c r="O114" s="38">
        <v>0</v>
      </c>
      <c r="P114" s="25">
        <v>0</v>
      </c>
      <c r="Q114" s="25">
        <v>1014</v>
      </c>
      <c r="R114" s="25">
        <v>700</v>
      </c>
      <c r="S114" s="25">
        <v>1022001</v>
      </c>
      <c r="T114" s="25">
        <v>400</v>
      </c>
      <c r="U114" s="25">
        <v>350</v>
      </c>
    </row>
    <row r="115" spans="1:21">
      <c r="A115" s="18">
        <v>1022002</v>
      </c>
      <c r="B115" s="25" t="s">
        <v>399</v>
      </c>
      <c r="C115" s="25">
        <v>2</v>
      </c>
      <c r="D115" s="25">
        <v>3</v>
      </c>
      <c r="E115" s="25">
        <v>2001</v>
      </c>
      <c r="F115" s="25">
        <v>350</v>
      </c>
      <c r="G115" s="25">
        <v>22000</v>
      </c>
      <c r="H115" s="25"/>
      <c r="I115" s="25">
        <v>22000</v>
      </c>
      <c r="J115" s="25">
        <v>1022002</v>
      </c>
      <c r="K115" s="25" t="s">
        <v>401</v>
      </c>
      <c r="L115" s="25" t="s">
        <v>399</v>
      </c>
      <c r="M115" s="25" t="s">
        <v>60</v>
      </c>
      <c r="N115" s="25">
        <v>0</v>
      </c>
      <c r="O115" s="38">
        <v>1022002</v>
      </c>
      <c r="P115" s="25">
        <v>600</v>
      </c>
      <c r="Q115" s="25">
        <v>1014</v>
      </c>
      <c r="R115" s="25">
        <v>700</v>
      </c>
      <c r="S115" s="25">
        <v>0</v>
      </c>
      <c r="T115" s="25">
        <v>0</v>
      </c>
      <c r="U115" s="25">
        <v>0</v>
      </c>
    </row>
    <row r="116" spans="1:21">
      <c r="A116" s="18">
        <v>1022101</v>
      </c>
      <c r="B116" s="25" t="s">
        <v>403</v>
      </c>
      <c r="C116" s="25">
        <v>1</v>
      </c>
      <c r="D116" s="25">
        <v>3</v>
      </c>
      <c r="E116" s="25">
        <v>1001</v>
      </c>
      <c r="F116" s="25">
        <v>350</v>
      </c>
      <c r="G116" s="25">
        <v>11000</v>
      </c>
      <c r="H116" s="25"/>
      <c r="I116" s="25">
        <v>1000</v>
      </c>
      <c r="J116" s="25">
        <v>0</v>
      </c>
      <c r="K116" s="25" t="s">
        <v>403</v>
      </c>
      <c r="L116" s="25" t="s">
        <v>403</v>
      </c>
      <c r="M116" s="25" t="s">
        <v>227</v>
      </c>
      <c r="N116" s="25">
        <v>0</v>
      </c>
      <c r="O116" s="38">
        <v>0</v>
      </c>
      <c r="P116" s="25">
        <v>0</v>
      </c>
      <c r="Q116" s="25">
        <v>1014</v>
      </c>
      <c r="R116" s="25">
        <v>600</v>
      </c>
      <c r="S116" s="25">
        <v>1022001</v>
      </c>
      <c r="T116" s="25">
        <v>300</v>
      </c>
      <c r="U116" s="25">
        <v>350</v>
      </c>
    </row>
    <row r="117" spans="1:21">
      <c r="A117" s="18">
        <v>1022102</v>
      </c>
      <c r="B117" s="25" t="s">
        <v>404</v>
      </c>
      <c r="C117" s="25">
        <v>2</v>
      </c>
      <c r="D117" s="25">
        <v>3</v>
      </c>
      <c r="E117" s="25">
        <v>2001</v>
      </c>
      <c r="F117" s="25">
        <v>350</v>
      </c>
      <c r="G117" s="25">
        <v>7000</v>
      </c>
      <c r="H117" s="25"/>
      <c r="I117" s="25">
        <v>22000</v>
      </c>
      <c r="J117" s="25">
        <v>1022002</v>
      </c>
      <c r="K117" s="25" t="s">
        <v>406</v>
      </c>
      <c r="L117" s="25" t="s">
        <v>404</v>
      </c>
      <c r="M117" s="25" t="s">
        <v>60</v>
      </c>
      <c r="N117" s="25">
        <v>0</v>
      </c>
      <c r="O117" s="38">
        <v>1022002</v>
      </c>
      <c r="P117" s="25">
        <v>700</v>
      </c>
      <c r="Q117" s="25">
        <v>1014</v>
      </c>
      <c r="R117" s="25" t="s">
        <v>408</v>
      </c>
      <c r="S117" s="25">
        <v>0</v>
      </c>
      <c r="T117" s="25">
        <v>0</v>
      </c>
      <c r="U117" s="25">
        <v>0</v>
      </c>
    </row>
    <row r="118" spans="1:21">
      <c r="A118" s="18">
        <v>1023001</v>
      </c>
      <c r="B118" s="25" t="s">
        <v>409</v>
      </c>
      <c r="C118" s="25">
        <v>1</v>
      </c>
      <c r="D118" s="25">
        <v>3</v>
      </c>
      <c r="E118" s="25">
        <v>1001</v>
      </c>
      <c r="F118" s="25">
        <v>350</v>
      </c>
      <c r="G118" s="25">
        <v>10000</v>
      </c>
      <c r="H118" s="25"/>
      <c r="I118" s="25">
        <v>1000</v>
      </c>
      <c r="J118" s="25">
        <v>0</v>
      </c>
      <c r="K118" s="25" t="s">
        <v>409</v>
      </c>
      <c r="L118" s="25" t="s">
        <v>409</v>
      </c>
      <c r="M118" s="25" t="s">
        <v>227</v>
      </c>
      <c r="N118" s="25">
        <v>0</v>
      </c>
      <c r="O118" s="38">
        <v>0</v>
      </c>
      <c r="P118" s="25">
        <v>0</v>
      </c>
      <c r="Q118" s="25">
        <v>1012</v>
      </c>
      <c r="R118" s="25">
        <v>700</v>
      </c>
      <c r="S118" s="25">
        <v>1023001</v>
      </c>
      <c r="T118" s="25">
        <v>400</v>
      </c>
      <c r="U118" s="25">
        <v>350</v>
      </c>
    </row>
    <row r="119" spans="1:21">
      <c r="A119" s="18">
        <v>1023002</v>
      </c>
      <c r="B119" s="25" t="s">
        <v>410</v>
      </c>
      <c r="C119" s="25">
        <v>2</v>
      </c>
      <c r="D119" s="25">
        <v>3</v>
      </c>
      <c r="E119" s="25">
        <v>2001</v>
      </c>
      <c r="F119" s="25">
        <v>350</v>
      </c>
      <c r="G119" s="25">
        <v>3000</v>
      </c>
      <c r="H119" s="25"/>
      <c r="I119" s="25">
        <v>14000</v>
      </c>
      <c r="J119" s="25">
        <v>1023002</v>
      </c>
      <c r="K119" s="25" t="s">
        <v>412</v>
      </c>
      <c r="L119" s="25" t="s">
        <v>410</v>
      </c>
      <c r="M119" s="25" t="s">
        <v>60</v>
      </c>
      <c r="N119" s="25">
        <v>0</v>
      </c>
      <c r="O119" s="38">
        <v>1023002</v>
      </c>
      <c r="P119" s="25">
        <v>800</v>
      </c>
      <c r="Q119" s="25">
        <v>1012</v>
      </c>
      <c r="R119" s="25" t="s">
        <v>414</v>
      </c>
      <c r="S119" s="25">
        <v>0</v>
      </c>
      <c r="T119" s="25">
        <v>0</v>
      </c>
      <c r="U119" s="25">
        <v>0</v>
      </c>
    </row>
    <row r="120" spans="1:21">
      <c r="A120" s="18">
        <v>1023101</v>
      </c>
      <c r="B120" s="25" t="s">
        <v>415</v>
      </c>
      <c r="C120" s="25">
        <v>1</v>
      </c>
      <c r="D120" s="25">
        <v>3</v>
      </c>
      <c r="E120" s="25">
        <v>1001</v>
      </c>
      <c r="F120" s="25">
        <v>350</v>
      </c>
      <c r="G120" s="25">
        <v>10000</v>
      </c>
      <c r="H120" s="25"/>
      <c r="I120" s="25">
        <v>1000</v>
      </c>
      <c r="J120" s="25">
        <v>0</v>
      </c>
      <c r="K120" s="25" t="s">
        <v>415</v>
      </c>
      <c r="L120" s="25" t="s">
        <v>415</v>
      </c>
      <c r="M120" s="25" t="s">
        <v>227</v>
      </c>
      <c r="N120" s="25">
        <v>0</v>
      </c>
      <c r="O120" s="38">
        <v>0</v>
      </c>
      <c r="P120" s="25">
        <v>0</v>
      </c>
      <c r="Q120" s="25">
        <v>1012</v>
      </c>
      <c r="R120" s="25">
        <v>600</v>
      </c>
      <c r="S120" s="25">
        <v>1023001</v>
      </c>
      <c r="T120" s="25">
        <v>300</v>
      </c>
      <c r="U120" s="25">
        <v>350</v>
      </c>
    </row>
    <row r="121" spans="1:21">
      <c r="A121" s="18">
        <v>1023102</v>
      </c>
      <c r="B121" s="25" t="s">
        <v>169</v>
      </c>
      <c r="C121" s="25">
        <v>2</v>
      </c>
      <c r="D121" s="25">
        <v>3</v>
      </c>
      <c r="E121" s="25">
        <v>2001</v>
      </c>
      <c r="F121" s="25">
        <v>350</v>
      </c>
      <c r="G121" s="25">
        <v>6000</v>
      </c>
      <c r="H121" s="25"/>
      <c r="I121" s="25">
        <v>14000</v>
      </c>
      <c r="J121" s="25">
        <v>1023002</v>
      </c>
      <c r="K121" s="25" t="s">
        <v>417</v>
      </c>
      <c r="L121" s="25" t="s">
        <v>169</v>
      </c>
      <c r="M121" s="25" t="s">
        <v>60</v>
      </c>
      <c r="N121" s="25">
        <v>0</v>
      </c>
      <c r="O121" s="38">
        <v>1023102</v>
      </c>
      <c r="P121" s="25">
        <v>0</v>
      </c>
      <c r="Q121" s="25">
        <v>1012</v>
      </c>
      <c r="R121" s="25" t="s">
        <v>419</v>
      </c>
      <c r="S121" s="25">
        <v>0</v>
      </c>
      <c r="T121" s="25">
        <v>0</v>
      </c>
      <c r="U121" s="25">
        <v>0</v>
      </c>
    </row>
    <row r="122" spans="1:21">
      <c r="A122" s="18">
        <v>1025001</v>
      </c>
      <c r="B122" s="25" t="s">
        <v>420</v>
      </c>
      <c r="C122" s="25">
        <v>1</v>
      </c>
      <c r="D122" s="25">
        <v>3</v>
      </c>
      <c r="E122" s="25">
        <v>1001</v>
      </c>
      <c r="F122" s="25">
        <v>350</v>
      </c>
      <c r="G122" s="25">
        <v>10000</v>
      </c>
      <c r="H122" s="25"/>
      <c r="I122" s="25">
        <v>1000</v>
      </c>
      <c r="J122" s="25">
        <v>0</v>
      </c>
      <c r="K122" s="25" t="s">
        <v>420</v>
      </c>
      <c r="L122" s="25" t="s">
        <v>420</v>
      </c>
      <c r="M122" s="25" t="s">
        <v>227</v>
      </c>
      <c r="N122" s="25">
        <v>0</v>
      </c>
      <c r="O122" s="38">
        <v>0</v>
      </c>
      <c r="P122" s="25">
        <v>0</v>
      </c>
      <c r="Q122" s="25">
        <v>1012</v>
      </c>
      <c r="R122" s="25">
        <v>700</v>
      </c>
      <c r="S122" s="25">
        <v>1025001</v>
      </c>
      <c r="T122" s="25">
        <v>400</v>
      </c>
      <c r="U122" s="25">
        <v>350</v>
      </c>
    </row>
    <row r="123" spans="1:21">
      <c r="A123" s="18">
        <v>1025002</v>
      </c>
      <c r="B123" s="25" t="s">
        <v>421</v>
      </c>
      <c r="C123" s="25">
        <v>2</v>
      </c>
      <c r="D123" s="25">
        <v>3</v>
      </c>
      <c r="E123" s="25">
        <v>2001</v>
      </c>
      <c r="F123" s="25">
        <v>350</v>
      </c>
      <c r="G123" s="25">
        <v>11000</v>
      </c>
      <c r="H123" s="25"/>
      <c r="I123" s="25">
        <v>14000</v>
      </c>
      <c r="J123" s="25">
        <v>1025002</v>
      </c>
      <c r="K123" s="25" t="s">
        <v>423</v>
      </c>
      <c r="L123" s="25" t="s">
        <v>421</v>
      </c>
      <c r="M123" s="25" t="s">
        <v>60</v>
      </c>
      <c r="N123" s="25">
        <v>0</v>
      </c>
      <c r="O123" s="38">
        <v>1025002</v>
      </c>
      <c r="P123" s="25">
        <v>400</v>
      </c>
      <c r="Q123" s="25">
        <v>1012</v>
      </c>
      <c r="R123" s="25">
        <v>1000</v>
      </c>
      <c r="S123" s="25">
        <v>0</v>
      </c>
      <c r="T123" s="25">
        <v>0</v>
      </c>
      <c r="U123" s="25">
        <v>0</v>
      </c>
    </row>
    <row r="124" spans="1:21">
      <c r="A124" s="18">
        <v>1025101</v>
      </c>
      <c r="B124" s="25" t="s">
        <v>425</v>
      </c>
      <c r="C124" s="25">
        <v>1</v>
      </c>
      <c r="D124" s="25">
        <v>3</v>
      </c>
      <c r="E124" s="25">
        <v>1001</v>
      </c>
      <c r="F124" s="25">
        <v>350</v>
      </c>
      <c r="G124" s="25">
        <v>10000</v>
      </c>
      <c r="H124" s="25"/>
      <c r="I124" s="25">
        <v>1000</v>
      </c>
      <c r="J124" s="25">
        <v>0</v>
      </c>
      <c r="K124" s="25" t="s">
        <v>425</v>
      </c>
      <c r="L124" s="25" t="s">
        <v>425</v>
      </c>
      <c r="M124" s="25" t="s">
        <v>227</v>
      </c>
      <c r="N124" s="25">
        <v>0</v>
      </c>
      <c r="O124" s="38">
        <v>0</v>
      </c>
      <c r="P124" s="25">
        <v>0</v>
      </c>
      <c r="Q124" s="25">
        <v>1012</v>
      </c>
      <c r="R124" s="25">
        <v>700</v>
      </c>
      <c r="S124" s="25">
        <v>1025001</v>
      </c>
      <c r="T124" s="25">
        <v>400</v>
      </c>
      <c r="U124" s="25">
        <v>350</v>
      </c>
    </row>
    <row r="125" spans="1:21">
      <c r="A125" s="18">
        <v>1025102</v>
      </c>
      <c r="B125" s="25" t="s">
        <v>149</v>
      </c>
      <c r="C125" s="25">
        <v>2</v>
      </c>
      <c r="D125" s="25">
        <v>3</v>
      </c>
      <c r="E125" s="25">
        <v>2001</v>
      </c>
      <c r="F125" s="25">
        <v>350</v>
      </c>
      <c r="G125" s="25">
        <v>5500</v>
      </c>
      <c r="H125" s="25"/>
      <c r="I125" s="25">
        <v>14000</v>
      </c>
      <c r="J125" s="25">
        <v>1025102</v>
      </c>
      <c r="K125" s="25" t="s">
        <v>427</v>
      </c>
      <c r="L125" s="25" t="s">
        <v>149</v>
      </c>
      <c r="M125" s="25" t="s">
        <v>60</v>
      </c>
      <c r="N125" s="25">
        <v>0</v>
      </c>
      <c r="O125" s="38">
        <v>1025102</v>
      </c>
      <c r="P125" s="25">
        <v>0</v>
      </c>
      <c r="Q125" s="25">
        <v>1012</v>
      </c>
      <c r="R125" s="25" t="s">
        <v>429</v>
      </c>
      <c r="S125" s="25">
        <v>0</v>
      </c>
      <c r="T125" s="25">
        <v>0</v>
      </c>
      <c r="U125" s="25">
        <v>0</v>
      </c>
    </row>
    <row r="126" spans="1:21">
      <c r="A126" s="18">
        <v>1026001</v>
      </c>
      <c r="B126" s="25" t="s">
        <v>430</v>
      </c>
      <c r="C126" s="25">
        <v>1</v>
      </c>
      <c r="D126" s="25">
        <v>3</v>
      </c>
      <c r="E126" s="25">
        <v>1001</v>
      </c>
      <c r="F126" s="25">
        <v>350</v>
      </c>
      <c r="G126" s="25">
        <v>10000</v>
      </c>
      <c r="H126" s="25"/>
      <c r="I126" s="25">
        <v>1000</v>
      </c>
      <c r="J126" s="25">
        <v>0</v>
      </c>
      <c r="K126" s="25" t="s">
        <v>430</v>
      </c>
      <c r="L126" s="25" t="s">
        <v>430</v>
      </c>
      <c r="M126" s="25" t="s">
        <v>227</v>
      </c>
      <c r="N126" s="25">
        <v>0</v>
      </c>
      <c r="O126" s="38">
        <v>0</v>
      </c>
      <c r="P126" s="25">
        <v>0</v>
      </c>
      <c r="Q126" s="25">
        <v>1012</v>
      </c>
      <c r="R126" s="25">
        <v>800</v>
      </c>
      <c r="S126" s="25">
        <v>1026001</v>
      </c>
      <c r="T126" s="25">
        <v>500</v>
      </c>
      <c r="U126" s="25">
        <v>350</v>
      </c>
    </row>
    <row r="127" spans="1:21">
      <c r="A127" s="18">
        <v>1026002</v>
      </c>
      <c r="B127" s="25" t="s">
        <v>431</v>
      </c>
      <c r="C127" s="25">
        <v>2</v>
      </c>
      <c r="D127" s="25">
        <v>3</v>
      </c>
      <c r="E127" s="25">
        <v>2001</v>
      </c>
      <c r="F127" s="25">
        <v>350</v>
      </c>
      <c r="G127" s="25">
        <v>21000</v>
      </c>
      <c r="H127" s="25"/>
      <c r="I127" s="25">
        <v>16000</v>
      </c>
      <c r="J127" s="25">
        <v>1026002</v>
      </c>
      <c r="K127" s="25" t="s">
        <v>433</v>
      </c>
      <c r="L127" s="25" t="s">
        <v>431</v>
      </c>
      <c r="M127" s="25" t="s">
        <v>60</v>
      </c>
      <c r="N127" s="25">
        <v>0</v>
      </c>
      <c r="O127" s="38">
        <v>1026002</v>
      </c>
      <c r="P127" s="25">
        <v>500</v>
      </c>
      <c r="Q127" s="25">
        <v>1012</v>
      </c>
      <c r="R127" s="25">
        <v>1450</v>
      </c>
      <c r="S127" s="25">
        <v>0</v>
      </c>
      <c r="T127" s="25">
        <v>0</v>
      </c>
      <c r="U127" s="25">
        <v>0</v>
      </c>
    </row>
    <row r="128" spans="1:21">
      <c r="A128" s="18">
        <v>1027001</v>
      </c>
      <c r="B128" s="25" t="s">
        <v>435</v>
      </c>
      <c r="C128" s="25">
        <v>1</v>
      </c>
      <c r="D128" s="25">
        <v>3</v>
      </c>
      <c r="E128" s="25">
        <v>1001</v>
      </c>
      <c r="F128" s="25">
        <v>350</v>
      </c>
      <c r="G128" s="25">
        <v>10000</v>
      </c>
      <c r="H128" s="25"/>
      <c r="I128" s="25">
        <v>1000</v>
      </c>
      <c r="J128" s="25">
        <v>0</v>
      </c>
      <c r="K128" s="25" t="s">
        <v>435</v>
      </c>
      <c r="L128" s="25" t="s">
        <v>435</v>
      </c>
      <c r="M128" s="25" t="s">
        <v>227</v>
      </c>
      <c r="N128" s="25">
        <v>0</v>
      </c>
      <c r="O128" s="38">
        <v>0</v>
      </c>
      <c r="P128" s="25">
        <v>0</v>
      </c>
      <c r="Q128" s="25">
        <v>1012</v>
      </c>
      <c r="R128" s="25">
        <v>700</v>
      </c>
      <c r="S128" s="25">
        <v>1027001</v>
      </c>
      <c r="T128" s="25">
        <v>400</v>
      </c>
      <c r="U128" s="25">
        <v>350</v>
      </c>
    </row>
    <row r="129" spans="1:21">
      <c r="A129" s="18">
        <v>1027002</v>
      </c>
      <c r="B129" s="25" t="s">
        <v>436</v>
      </c>
      <c r="C129" s="25">
        <v>2</v>
      </c>
      <c r="D129" s="25">
        <v>3</v>
      </c>
      <c r="E129" s="25">
        <v>2001</v>
      </c>
      <c r="F129" s="25">
        <v>350</v>
      </c>
      <c r="G129" s="25">
        <v>21000</v>
      </c>
      <c r="H129" s="25"/>
      <c r="I129" s="25">
        <v>16000</v>
      </c>
      <c r="J129" s="25">
        <v>1027002</v>
      </c>
      <c r="K129" s="25" t="s">
        <v>438</v>
      </c>
      <c r="L129" s="25" t="s">
        <v>436</v>
      </c>
      <c r="M129" s="25" t="s">
        <v>60</v>
      </c>
      <c r="N129" s="25">
        <v>0</v>
      </c>
      <c r="O129" s="38">
        <v>1027002</v>
      </c>
      <c r="P129" s="25">
        <v>500</v>
      </c>
      <c r="Q129" s="25">
        <v>1012</v>
      </c>
      <c r="R129" s="25">
        <v>1300</v>
      </c>
      <c r="S129" s="25">
        <v>0</v>
      </c>
      <c r="T129" s="25">
        <v>0</v>
      </c>
      <c r="U129" s="25">
        <v>0</v>
      </c>
    </row>
    <row r="130" spans="1:21">
      <c r="A130" s="18">
        <v>1027101</v>
      </c>
      <c r="B130" s="25" t="s">
        <v>440</v>
      </c>
      <c r="C130" s="25">
        <v>1</v>
      </c>
      <c r="D130" s="25">
        <v>3</v>
      </c>
      <c r="E130" s="25">
        <v>1001</v>
      </c>
      <c r="F130" s="25">
        <v>350</v>
      </c>
      <c r="G130" s="25">
        <v>10000</v>
      </c>
      <c r="H130" s="25"/>
      <c r="I130" s="25">
        <v>1000</v>
      </c>
      <c r="J130" s="25">
        <v>0</v>
      </c>
      <c r="K130" s="25" t="s">
        <v>440</v>
      </c>
      <c r="L130" s="25" t="s">
        <v>440</v>
      </c>
      <c r="M130" s="25" t="s">
        <v>227</v>
      </c>
      <c r="N130" s="25">
        <v>0</v>
      </c>
      <c r="O130" s="38">
        <v>0</v>
      </c>
      <c r="P130" s="25">
        <v>0</v>
      </c>
      <c r="Q130" s="25">
        <v>1012</v>
      </c>
      <c r="R130" s="25">
        <v>700</v>
      </c>
      <c r="S130" s="25">
        <v>1027001</v>
      </c>
      <c r="T130" s="25">
        <v>400</v>
      </c>
      <c r="U130" s="25">
        <v>350</v>
      </c>
    </row>
    <row r="131" spans="1:21">
      <c r="A131" s="18">
        <v>1027102</v>
      </c>
      <c r="B131" s="25" t="s">
        <v>441</v>
      </c>
      <c r="C131" s="25">
        <v>2</v>
      </c>
      <c r="D131" s="25">
        <v>3</v>
      </c>
      <c r="E131" s="25">
        <v>2001</v>
      </c>
      <c r="F131" s="25">
        <v>350</v>
      </c>
      <c r="G131" s="25">
        <v>42000</v>
      </c>
      <c r="H131" s="25"/>
      <c r="I131" s="25">
        <v>16000</v>
      </c>
      <c r="J131" s="25">
        <v>1027002</v>
      </c>
      <c r="K131" s="25" t="s">
        <v>443</v>
      </c>
      <c r="L131" s="25" t="s">
        <v>441</v>
      </c>
      <c r="M131" s="25" t="s">
        <v>60</v>
      </c>
      <c r="N131" s="25">
        <v>0</v>
      </c>
      <c r="O131" s="38">
        <v>1027002</v>
      </c>
      <c r="P131" s="25">
        <v>500</v>
      </c>
      <c r="Q131" s="25">
        <v>1012</v>
      </c>
      <c r="R131" s="25">
        <v>1300</v>
      </c>
      <c r="S131" s="25">
        <v>0</v>
      </c>
      <c r="T131" s="25">
        <v>0</v>
      </c>
      <c r="U131" s="25">
        <v>0</v>
      </c>
    </row>
    <row r="132" spans="1:21">
      <c r="A132" s="18">
        <v>1030001</v>
      </c>
      <c r="B132" s="25" t="s">
        <v>445</v>
      </c>
      <c r="C132" s="25">
        <v>1</v>
      </c>
      <c r="D132" s="25">
        <v>3</v>
      </c>
      <c r="E132" s="25">
        <v>1001</v>
      </c>
      <c r="F132" s="25">
        <v>350</v>
      </c>
      <c r="G132" s="25">
        <v>10000</v>
      </c>
      <c r="H132" s="25"/>
      <c r="I132" s="25">
        <v>1000</v>
      </c>
      <c r="J132" s="25">
        <v>0</v>
      </c>
      <c r="K132" s="25" t="s">
        <v>445</v>
      </c>
      <c r="L132" s="25" t="s">
        <v>445</v>
      </c>
      <c r="M132" s="25" t="s">
        <v>227</v>
      </c>
      <c r="N132" s="25">
        <v>0</v>
      </c>
      <c r="O132" s="38">
        <v>0</v>
      </c>
      <c r="P132" s="25">
        <v>0</v>
      </c>
      <c r="Q132" s="25">
        <v>1012</v>
      </c>
      <c r="R132" s="25">
        <v>800</v>
      </c>
      <c r="S132" s="25">
        <v>1030001</v>
      </c>
      <c r="T132" s="25">
        <v>500</v>
      </c>
      <c r="U132" s="25">
        <v>350</v>
      </c>
    </row>
    <row r="133" spans="1:21">
      <c r="A133" s="18">
        <v>1030002</v>
      </c>
      <c r="B133" s="25" t="s">
        <v>446</v>
      </c>
      <c r="C133" s="25">
        <v>2</v>
      </c>
      <c r="D133" s="25">
        <v>3</v>
      </c>
      <c r="E133" s="25">
        <v>2001</v>
      </c>
      <c r="F133" s="25">
        <v>350</v>
      </c>
      <c r="G133" s="25">
        <v>21000</v>
      </c>
      <c r="H133" s="25"/>
      <c r="I133" s="25">
        <v>16000</v>
      </c>
      <c r="J133" s="25">
        <v>1030002</v>
      </c>
      <c r="K133" s="25" t="s">
        <v>448</v>
      </c>
      <c r="L133" s="25" t="s">
        <v>446</v>
      </c>
      <c r="M133" s="25" t="s">
        <v>60</v>
      </c>
      <c r="N133" s="25">
        <v>0</v>
      </c>
      <c r="O133" s="38">
        <v>1030002</v>
      </c>
      <c r="P133" s="25">
        <v>700</v>
      </c>
      <c r="Q133" s="25">
        <v>1012</v>
      </c>
      <c r="R133" s="25">
        <v>2150</v>
      </c>
      <c r="S133" s="25">
        <v>0</v>
      </c>
      <c r="T133" s="25">
        <v>0</v>
      </c>
      <c r="U133" s="25">
        <v>0</v>
      </c>
    </row>
    <row r="134" spans="1:21">
      <c r="A134" s="18">
        <v>1030101</v>
      </c>
      <c r="B134" s="25" t="s">
        <v>450</v>
      </c>
      <c r="C134" s="25">
        <v>1</v>
      </c>
      <c r="D134" s="25">
        <v>3</v>
      </c>
      <c r="E134" s="25">
        <v>1001</v>
      </c>
      <c r="F134" s="25">
        <v>350</v>
      </c>
      <c r="G134" s="25">
        <v>11000</v>
      </c>
      <c r="H134" s="25"/>
      <c r="I134" s="25">
        <v>1000</v>
      </c>
      <c r="J134" s="25">
        <v>0</v>
      </c>
      <c r="K134" s="25" t="s">
        <v>450</v>
      </c>
      <c r="L134" s="25" t="s">
        <v>450</v>
      </c>
      <c r="M134" s="25" t="s">
        <v>227</v>
      </c>
      <c r="N134" s="25">
        <v>0</v>
      </c>
      <c r="O134" s="38">
        <v>0</v>
      </c>
      <c r="P134" s="25">
        <v>0</v>
      </c>
      <c r="Q134" s="25">
        <v>1012</v>
      </c>
      <c r="R134" s="25">
        <v>700</v>
      </c>
      <c r="S134" s="25">
        <v>1030001</v>
      </c>
      <c r="T134" s="25">
        <v>400</v>
      </c>
      <c r="U134" s="25">
        <v>350</v>
      </c>
    </row>
    <row r="135" spans="1:21">
      <c r="A135" s="18">
        <v>1030102</v>
      </c>
      <c r="B135" s="25" t="s">
        <v>121</v>
      </c>
      <c r="C135" s="25">
        <v>2</v>
      </c>
      <c r="D135" s="25">
        <v>3</v>
      </c>
      <c r="E135" s="25">
        <v>2001</v>
      </c>
      <c r="F135" s="25">
        <v>350</v>
      </c>
      <c r="G135" s="25">
        <v>42000</v>
      </c>
      <c r="H135" s="25"/>
      <c r="I135" s="25">
        <v>16000</v>
      </c>
      <c r="J135" s="25">
        <v>1030002</v>
      </c>
      <c r="K135" s="25" t="s">
        <v>452</v>
      </c>
      <c r="L135" s="25" t="s">
        <v>121</v>
      </c>
      <c r="M135" s="25" t="s">
        <v>60</v>
      </c>
      <c r="N135" s="25">
        <v>0</v>
      </c>
      <c r="O135" s="38">
        <v>1030002</v>
      </c>
      <c r="P135" s="25">
        <v>600</v>
      </c>
      <c r="Q135" s="25">
        <v>1012</v>
      </c>
      <c r="R135" s="25">
        <v>2050</v>
      </c>
      <c r="S135" s="25">
        <v>0</v>
      </c>
      <c r="T135" s="25">
        <v>0</v>
      </c>
      <c r="U135" s="25">
        <v>0</v>
      </c>
    </row>
    <row r="136" spans="1:21">
      <c r="A136" s="18">
        <v>1032001</v>
      </c>
      <c r="B136" s="25" t="s">
        <v>454</v>
      </c>
      <c r="C136" s="25">
        <v>1</v>
      </c>
      <c r="D136" s="25">
        <v>3</v>
      </c>
      <c r="E136" s="25">
        <v>1001</v>
      </c>
      <c r="F136" s="25">
        <v>350</v>
      </c>
      <c r="G136" s="25">
        <v>10000</v>
      </c>
      <c r="H136" s="25"/>
      <c r="I136" s="25">
        <v>1000</v>
      </c>
      <c r="J136" s="25">
        <v>0</v>
      </c>
      <c r="K136" s="25" t="s">
        <v>454</v>
      </c>
      <c r="L136" s="25" t="s">
        <v>454</v>
      </c>
      <c r="M136" s="25" t="s">
        <v>227</v>
      </c>
      <c r="N136" s="25">
        <v>0</v>
      </c>
      <c r="O136" s="38">
        <v>0</v>
      </c>
      <c r="P136" s="26">
        <v>0</v>
      </c>
      <c r="Q136" s="26">
        <v>1014</v>
      </c>
      <c r="R136" s="26">
        <v>700</v>
      </c>
      <c r="S136" s="25">
        <v>1032001</v>
      </c>
      <c r="T136" s="25">
        <v>400</v>
      </c>
      <c r="U136" s="25">
        <v>350</v>
      </c>
    </row>
    <row r="137" spans="1:21">
      <c r="A137" s="18">
        <v>1032002</v>
      </c>
      <c r="B137" s="25" t="s">
        <v>455</v>
      </c>
      <c r="C137" s="25">
        <v>2</v>
      </c>
      <c r="D137" s="25">
        <v>3</v>
      </c>
      <c r="E137" s="25">
        <v>2001</v>
      </c>
      <c r="F137" s="25">
        <v>350</v>
      </c>
      <c r="G137" s="25">
        <v>9500</v>
      </c>
      <c r="H137" s="25"/>
      <c r="I137" s="25">
        <v>18000</v>
      </c>
      <c r="J137" s="25">
        <v>1032002</v>
      </c>
      <c r="K137" s="25" t="s">
        <v>457</v>
      </c>
      <c r="L137" s="25" t="s">
        <v>455</v>
      </c>
      <c r="M137" s="25" t="s">
        <v>60</v>
      </c>
      <c r="N137" s="25">
        <v>0</v>
      </c>
      <c r="O137" s="38">
        <v>1032002</v>
      </c>
      <c r="P137" s="26">
        <v>400</v>
      </c>
      <c r="Q137" s="26">
        <v>1014</v>
      </c>
      <c r="R137" s="26" t="s">
        <v>972</v>
      </c>
      <c r="S137" s="25">
        <v>0</v>
      </c>
      <c r="T137" s="25">
        <v>0</v>
      </c>
      <c r="U137" s="25">
        <v>0</v>
      </c>
    </row>
    <row r="138" spans="1:21">
      <c r="A138" s="18">
        <v>1032101</v>
      </c>
      <c r="B138" s="25" t="s">
        <v>460</v>
      </c>
      <c r="C138" s="25">
        <v>1</v>
      </c>
      <c r="D138" s="25">
        <v>3</v>
      </c>
      <c r="E138" s="25">
        <v>1001</v>
      </c>
      <c r="F138" s="25">
        <v>350</v>
      </c>
      <c r="G138" s="25">
        <v>10000</v>
      </c>
      <c r="H138" s="25"/>
      <c r="I138" s="25">
        <v>1000</v>
      </c>
      <c r="J138" s="25">
        <v>0</v>
      </c>
      <c r="K138" s="25" t="s">
        <v>460</v>
      </c>
      <c r="L138" s="25" t="s">
        <v>460</v>
      </c>
      <c r="M138" s="25" t="s">
        <v>227</v>
      </c>
      <c r="N138" s="25">
        <v>0</v>
      </c>
      <c r="O138" s="38">
        <v>0</v>
      </c>
      <c r="P138" s="26">
        <v>0</v>
      </c>
      <c r="Q138" s="26">
        <v>1014</v>
      </c>
      <c r="R138" s="26">
        <v>700</v>
      </c>
      <c r="S138" s="25">
        <v>1032001</v>
      </c>
      <c r="T138" s="25">
        <v>400</v>
      </c>
      <c r="U138" s="25">
        <v>350</v>
      </c>
    </row>
    <row r="139" spans="1:21">
      <c r="A139" s="18">
        <v>1032102</v>
      </c>
      <c r="B139" s="25" t="s">
        <v>461</v>
      </c>
      <c r="C139" s="25">
        <v>2</v>
      </c>
      <c r="D139" s="25">
        <v>3</v>
      </c>
      <c r="E139" s="25">
        <v>2001</v>
      </c>
      <c r="F139" s="25">
        <v>350</v>
      </c>
      <c r="G139" s="25">
        <v>21000</v>
      </c>
      <c r="H139" s="25"/>
      <c r="I139" s="25">
        <v>18000</v>
      </c>
      <c r="J139" s="25">
        <v>1032002</v>
      </c>
      <c r="K139" s="25" t="s">
        <v>463</v>
      </c>
      <c r="L139" s="25" t="s">
        <v>461</v>
      </c>
      <c r="M139" s="25" t="s">
        <v>60</v>
      </c>
      <c r="N139" s="25">
        <v>0</v>
      </c>
      <c r="O139" s="38">
        <v>1032002</v>
      </c>
      <c r="P139" s="26">
        <v>400</v>
      </c>
      <c r="Q139" s="26">
        <v>1014</v>
      </c>
      <c r="R139" s="26" t="s">
        <v>972</v>
      </c>
      <c r="S139" s="25">
        <v>0</v>
      </c>
      <c r="T139" s="25">
        <v>0</v>
      </c>
      <c r="U139" s="25">
        <v>0</v>
      </c>
    </row>
    <row r="140" spans="1:21">
      <c r="A140" s="18">
        <v>1033001</v>
      </c>
      <c r="B140" s="25" t="s">
        <v>465</v>
      </c>
      <c r="C140" s="25">
        <v>1</v>
      </c>
      <c r="D140" s="25">
        <v>3</v>
      </c>
      <c r="E140" s="25">
        <v>1001</v>
      </c>
      <c r="F140" s="25">
        <v>350</v>
      </c>
      <c r="G140" s="25">
        <v>10000</v>
      </c>
      <c r="H140" s="25"/>
      <c r="I140" s="25">
        <v>1000</v>
      </c>
      <c r="J140" s="25">
        <v>0</v>
      </c>
      <c r="K140" s="25" t="s">
        <v>465</v>
      </c>
      <c r="L140" s="25" t="s">
        <v>465</v>
      </c>
      <c r="M140" s="25" t="s">
        <v>227</v>
      </c>
      <c r="N140" s="25">
        <v>0</v>
      </c>
      <c r="O140" s="38">
        <v>0</v>
      </c>
      <c r="P140" s="26">
        <v>0</v>
      </c>
      <c r="Q140" s="26">
        <v>1012</v>
      </c>
      <c r="R140" s="26">
        <v>700</v>
      </c>
      <c r="S140" s="25">
        <v>1033001</v>
      </c>
      <c r="T140" s="25">
        <v>400</v>
      </c>
      <c r="U140" s="25">
        <v>350</v>
      </c>
    </row>
    <row r="141" spans="1:21">
      <c r="A141" s="18">
        <v>1033002</v>
      </c>
      <c r="B141" s="25" t="s">
        <v>466</v>
      </c>
      <c r="C141" s="25">
        <v>2</v>
      </c>
      <c r="D141" s="25">
        <v>3</v>
      </c>
      <c r="E141" s="25">
        <v>2001</v>
      </c>
      <c r="F141" s="25">
        <v>350</v>
      </c>
      <c r="G141" s="25">
        <v>4400</v>
      </c>
      <c r="H141" s="25"/>
      <c r="I141" s="25">
        <v>12000</v>
      </c>
      <c r="J141" s="25">
        <v>1033002</v>
      </c>
      <c r="K141" s="25" t="s">
        <v>468</v>
      </c>
      <c r="L141" s="25" t="s">
        <v>466</v>
      </c>
      <c r="M141" s="25" t="s">
        <v>60</v>
      </c>
      <c r="N141" s="25">
        <v>0</v>
      </c>
      <c r="O141" s="38">
        <v>1033002</v>
      </c>
      <c r="P141" s="26">
        <v>1300</v>
      </c>
      <c r="Q141" s="26">
        <v>1012</v>
      </c>
      <c r="R141" s="26" t="s">
        <v>470</v>
      </c>
      <c r="S141" s="25">
        <v>0</v>
      </c>
      <c r="T141" s="25">
        <v>0</v>
      </c>
      <c r="U141" s="25">
        <v>0</v>
      </c>
    </row>
    <row r="142" spans="1:21">
      <c r="A142" s="18">
        <v>1033101</v>
      </c>
      <c r="B142" s="25" t="s">
        <v>471</v>
      </c>
      <c r="C142" s="25">
        <v>1</v>
      </c>
      <c r="D142" s="25">
        <v>3</v>
      </c>
      <c r="E142" s="25">
        <v>1001</v>
      </c>
      <c r="F142" s="25">
        <v>350</v>
      </c>
      <c r="G142" s="25">
        <v>11000</v>
      </c>
      <c r="H142" s="25"/>
      <c r="I142" s="25">
        <v>1000</v>
      </c>
      <c r="J142" s="25">
        <v>0</v>
      </c>
      <c r="K142" s="25" t="s">
        <v>471</v>
      </c>
      <c r="L142" s="25" t="s">
        <v>471</v>
      </c>
      <c r="M142" s="25" t="s">
        <v>227</v>
      </c>
      <c r="N142" s="25">
        <v>0</v>
      </c>
      <c r="O142" s="38">
        <v>0</v>
      </c>
      <c r="P142" s="26">
        <v>0</v>
      </c>
      <c r="Q142" s="26">
        <v>1012</v>
      </c>
      <c r="R142" s="26">
        <v>600</v>
      </c>
      <c r="S142" s="25">
        <v>1033001</v>
      </c>
      <c r="T142" s="25">
        <v>300</v>
      </c>
      <c r="U142" s="25">
        <v>350</v>
      </c>
    </row>
    <row r="143" spans="1:21">
      <c r="A143" s="18">
        <v>1033102</v>
      </c>
      <c r="B143" s="25" t="s">
        <v>472</v>
      </c>
      <c r="C143" s="25">
        <v>2</v>
      </c>
      <c r="D143" s="25">
        <v>3</v>
      </c>
      <c r="E143" s="25">
        <v>2001</v>
      </c>
      <c r="F143" s="25">
        <v>350</v>
      </c>
      <c r="G143" s="25">
        <v>8200</v>
      </c>
      <c r="H143" s="25"/>
      <c r="I143" s="25">
        <v>12000</v>
      </c>
      <c r="J143" s="25">
        <v>1033002</v>
      </c>
      <c r="K143" s="25" t="s">
        <v>474</v>
      </c>
      <c r="L143" s="25" t="s">
        <v>472</v>
      </c>
      <c r="M143" s="25" t="s">
        <v>60</v>
      </c>
      <c r="N143" s="25">
        <v>0</v>
      </c>
      <c r="O143" s="38">
        <v>1033002</v>
      </c>
      <c r="P143" s="26">
        <v>500</v>
      </c>
      <c r="Q143" s="26">
        <v>1012</v>
      </c>
      <c r="R143" s="26" t="s">
        <v>476</v>
      </c>
      <c r="S143" s="25">
        <v>0</v>
      </c>
      <c r="T143" s="25">
        <v>0</v>
      </c>
      <c r="U143" s="25">
        <v>0</v>
      </c>
    </row>
    <row r="144" spans="1:21">
      <c r="A144" s="18">
        <v>1033201</v>
      </c>
      <c r="B144" s="25" t="s">
        <v>477</v>
      </c>
      <c r="C144" s="25">
        <v>1</v>
      </c>
      <c r="D144" s="25">
        <v>3</v>
      </c>
      <c r="E144" s="25">
        <v>1001</v>
      </c>
      <c r="F144" s="25">
        <v>350</v>
      </c>
      <c r="G144" s="25">
        <v>11000</v>
      </c>
      <c r="H144" s="25"/>
      <c r="I144" s="25">
        <v>1000</v>
      </c>
      <c r="J144" s="25">
        <v>0</v>
      </c>
      <c r="K144" s="25" t="s">
        <v>477</v>
      </c>
      <c r="L144" s="25" t="s">
        <v>477</v>
      </c>
      <c r="M144" s="25" t="s">
        <v>227</v>
      </c>
      <c r="N144" s="25">
        <v>0</v>
      </c>
      <c r="O144" s="38">
        <v>0</v>
      </c>
      <c r="P144" s="26">
        <v>0</v>
      </c>
      <c r="Q144" s="26">
        <v>1012</v>
      </c>
      <c r="R144" s="26">
        <v>700</v>
      </c>
      <c r="S144" s="25">
        <v>1033001</v>
      </c>
      <c r="T144" s="25">
        <v>400</v>
      </c>
      <c r="U144" s="25">
        <v>350</v>
      </c>
    </row>
    <row r="145" spans="1:21">
      <c r="A145" s="18">
        <v>1033202</v>
      </c>
      <c r="B145" s="25" t="s">
        <v>478</v>
      </c>
      <c r="C145" s="25">
        <v>2</v>
      </c>
      <c r="D145" s="25">
        <v>3</v>
      </c>
      <c r="E145" s="25">
        <v>2001</v>
      </c>
      <c r="F145" s="25">
        <v>350</v>
      </c>
      <c r="G145" s="25">
        <v>8200</v>
      </c>
      <c r="H145" s="25"/>
      <c r="I145" s="25">
        <v>12000</v>
      </c>
      <c r="J145" s="25">
        <v>1033202</v>
      </c>
      <c r="K145" s="25" t="s">
        <v>480</v>
      </c>
      <c r="L145" s="25" t="s">
        <v>478</v>
      </c>
      <c r="M145" s="25" t="s">
        <v>60</v>
      </c>
      <c r="N145" s="25">
        <v>0</v>
      </c>
      <c r="O145" s="38">
        <v>1033202</v>
      </c>
      <c r="P145" s="26">
        <v>1400</v>
      </c>
      <c r="Q145" s="26">
        <v>1012</v>
      </c>
      <c r="R145" s="26" t="s">
        <v>482</v>
      </c>
      <c r="S145" s="25">
        <v>0</v>
      </c>
      <c r="T145" s="25">
        <v>0</v>
      </c>
      <c r="U145" s="25">
        <v>0</v>
      </c>
    </row>
    <row r="146" spans="1:21">
      <c r="A146" s="18">
        <v>1035001</v>
      </c>
      <c r="B146" s="25" t="s">
        <v>483</v>
      </c>
      <c r="C146" s="25">
        <v>1</v>
      </c>
      <c r="D146" s="25">
        <v>3</v>
      </c>
      <c r="E146" s="25">
        <v>1001</v>
      </c>
      <c r="F146" s="25">
        <v>350</v>
      </c>
      <c r="G146" s="25">
        <v>10000</v>
      </c>
      <c r="H146" s="25"/>
      <c r="I146" s="25">
        <v>1000</v>
      </c>
      <c r="J146" s="25">
        <v>0</v>
      </c>
      <c r="K146" s="25" t="s">
        <v>483</v>
      </c>
      <c r="L146" s="25" t="s">
        <v>483</v>
      </c>
      <c r="M146" s="25" t="s">
        <v>227</v>
      </c>
      <c r="N146" s="25">
        <v>0</v>
      </c>
      <c r="O146" s="38">
        <v>0</v>
      </c>
      <c r="P146" s="25">
        <v>0</v>
      </c>
      <c r="Q146" s="25">
        <v>1016</v>
      </c>
      <c r="R146" s="25">
        <v>700</v>
      </c>
      <c r="S146" s="25">
        <v>1035001</v>
      </c>
      <c r="T146" s="25">
        <v>400</v>
      </c>
      <c r="U146" s="25">
        <v>350</v>
      </c>
    </row>
    <row r="147" spans="1:21">
      <c r="A147" s="18">
        <v>1035002</v>
      </c>
      <c r="B147" s="25" t="s">
        <v>135</v>
      </c>
      <c r="C147" s="25">
        <v>2</v>
      </c>
      <c r="D147" s="25">
        <v>3</v>
      </c>
      <c r="E147" s="25">
        <v>2001</v>
      </c>
      <c r="F147" s="25">
        <v>350</v>
      </c>
      <c r="G147" s="25">
        <v>2100</v>
      </c>
      <c r="H147" s="25"/>
      <c r="I147" s="25">
        <v>18000</v>
      </c>
      <c r="J147" s="25">
        <v>1035002</v>
      </c>
      <c r="K147" s="25" t="s">
        <v>485</v>
      </c>
      <c r="L147" s="25" t="s">
        <v>135</v>
      </c>
      <c r="M147" s="25" t="s">
        <v>60</v>
      </c>
      <c r="N147" s="25">
        <v>0</v>
      </c>
      <c r="O147" s="38">
        <v>1035002</v>
      </c>
      <c r="P147" s="25">
        <v>600</v>
      </c>
      <c r="Q147" s="25">
        <v>1016</v>
      </c>
      <c r="R147" s="25" t="s">
        <v>487</v>
      </c>
      <c r="S147" s="25">
        <v>0</v>
      </c>
      <c r="T147" s="25">
        <v>0</v>
      </c>
      <c r="U147" s="25">
        <v>0</v>
      </c>
    </row>
    <row r="148" spans="1:21">
      <c r="A148" s="18">
        <v>1035101</v>
      </c>
      <c r="B148" s="25" t="s">
        <v>488</v>
      </c>
      <c r="C148" s="25">
        <v>1</v>
      </c>
      <c r="D148" s="25">
        <v>3</v>
      </c>
      <c r="E148" s="25">
        <v>1001</v>
      </c>
      <c r="F148" s="25">
        <v>350</v>
      </c>
      <c r="G148" s="25">
        <v>10000</v>
      </c>
      <c r="H148" s="25"/>
      <c r="I148" s="25">
        <v>1000</v>
      </c>
      <c r="J148" s="25">
        <v>0</v>
      </c>
      <c r="K148" s="25" t="s">
        <v>488</v>
      </c>
      <c r="L148" s="25" t="s">
        <v>488</v>
      </c>
      <c r="M148" s="25" t="s">
        <v>227</v>
      </c>
      <c r="N148" s="25">
        <v>0</v>
      </c>
      <c r="O148" s="38">
        <v>0</v>
      </c>
      <c r="P148" s="25">
        <v>0</v>
      </c>
      <c r="Q148" s="25">
        <v>1016</v>
      </c>
      <c r="R148" s="25">
        <v>800</v>
      </c>
      <c r="S148" s="25">
        <v>1035001</v>
      </c>
      <c r="T148" s="25">
        <v>500</v>
      </c>
      <c r="U148" s="25">
        <v>350</v>
      </c>
    </row>
    <row r="149" spans="1:21">
      <c r="A149" s="18">
        <v>1035102</v>
      </c>
      <c r="B149" s="25" t="s">
        <v>489</v>
      </c>
      <c r="C149" s="25">
        <v>2</v>
      </c>
      <c r="D149" s="25">
        <v>3</v>
      </c>
      <c r="E149" s="25">
        <v>2001</v>
      </c>
      <c r="F149" s="25">
        <v>350</v>
      </c>
      <c r="G149" s="25">
        <v>4200</v>
      </c>
      <c r="H149" s="25"/>
      <c r="I149" s="25">
        <v>18000</v>
      </c>
      <c r="J149" s="25">
        <v>1035002</v>
      </c>
      <c r="K149" s="25" t="s">
        <v>491</v>
      </c>
      <c r="L149" s="25" t="s">
        <v>489</v>
      </c>
      <c r="M149" s="25" t="s">
        <v>60</v>
      </c>
      <c r="N149" s="25">
        <v>0</v>
      </c>
      <c r="O149" s="38">
        <v>1035002</v>
      </c>
      <c r="P149" s="25">
        <v>700</v>
      </c>
      <c r="Q149" s="25">
        <v>1016</v>
      </c>
      <c r="R149" s="25" t="s">
        <v>493</v>
      </c>
      <c r="S149" s="25">
        <v>0</v>
      </c>
      <c r="T149" s="25">
        <v>0</v>
      </c>
      <c r="U149" s="25">
        <v>0</v>
      </c>
    </row>
    <row r="150" spans="1:21">
      <c r="A150" s="18">
        <v>1035201</v>
      </c>
      <c r="B150" s="25" t="s">
        <v>494</v>
      </c>
      <c r="C150" s="25">
        <v>1</v>
      </c>
      <c r="D150" s="25">
        <v>3</v>
      </c>
      <c r="E150" s="25">
        <v>1001</v>
      </c>
      <c r="F150" s="25">
        <v>350</v>
      </c>
      <c r="G150" s="25">
        <v>10000</v>
      </c>
      <c r="H150" s="25"/>
      <c r="I150" s="25">
        <v>1000</v>
      </c>
      <c r="J150" s="25">
        <v>0</v>
      </c>
      <c r="K150" s="25" t="s">
        <v>494</v>
      </c>
      <c r="L150" s="25" t="s">
        <v>494</v>
      </c>
      <c r="M150" s="25" t="s">
        <v>227</v>
      </c>
      <c r="N150" s="25">
        <v>0</v>
      </c>
      <c r="O150" s="38">
        <v>0</v>
      </c>
      <c r="P150" s="25">
        <v>0</v>
      </c>
      <c r="Q150" s="25">
        <v>1016</v>
      </c>
      <c r="R150" s="25">
        <v>800</v>
      </c>
      <c r="S150" s="25">
        <v>1035001</v>
      </c>
      <c r="T150" s="25">
        <v>500</v>
      </c>
      <c r="U150" s="25">
        <v>350</v>
      </c>
    </row>
    <row r="151" spans="1:21">
      <c r="A151" s="18">
        <v>1035202</v>
      </c>
      <c r="B151" s="25" t="s">
        <v>184</v>
      </c>
      <c r="C151" s="25">
        <v>2</v>
      </c>
      <c r="D151" s="25">
        <v>3</v>
      </c>
      <c r="E151" s="25">
        <v>2001</v>
      </c>
      <c r="F151" s="25">
        <v>350</v>
      </c>
      <c r="G151" s="25">
        <v>10000</v>
      </c>
      <c r="H151" s="25"/>
      <c r="I151" s="25">
        <v>18000</v>
      </c>
      <c r="J151" s="25">
        <v>1035202</v>
      </c>
      <c r="K151" s="25" t="s">
        <v>496</v>
      </c>
      <c r="L151" s="25" t="s">
        <v>184</v>
      </c>
      <c r="M151" s="25" t="s">
        <v>60</v>
      </c>
      <c r="N151" s="25">
        <v>0</v>
      </c>
      <c r="O151" s="38">
        <v>1035202</v>
      </c>
      <c r="P151" s="25">
        <v>1500</v>
      </c>
      <c r="Q151" s="25">
        <v>1016</v>
      </c>
      <c r="R151" s="25" t="s">
        <v>498</v>
      </c>
      <c r="S151" s="25">
        <v>0</v>
      </c>
      <c r="T151" s="25">
        <v>0</v>
      </c>
      <c r="U151" s="25">
        <v>0</v>
      </c>
    </row>
    <row r="152" spans="1:21">
      <c r="A152" s="18">
        <v>1036001</v>
      </c>
      <c r="B152" s="25" t="s">
        <v>499</v>
      </c>
      <c r="C152" s="25">
        <v>1</v>
      </c>
      <c r="D152" s="25">
        <v>3</v>
      </c>
      <c r="E152" s="25">
        <v>1001</v>
      </c>
      <c r="F152" s="25">
        <v>350</v>
      </c>
      <c r="G152" s="25">
        <v>10000</v>
      </c>
      <c r="H152" s="25"/>
      <c r="I152" s="25">
        <v>1000</v>
      </c>
      <c r="J152" s="25">
        <v>0</v>
      </c>
      <c r="K152" s="25" t="s">
        <v>499</v>
      </c>
      <c r="L152" s="25" t="s">
        <v>499</v>
      </c>
      <c r="M152" s="25" t="s">
        <v>227</v>
      </c>
      <c r="N152" s="25">
        <v>0</v>
      </c>
      <c r="O152" s="38">
        <v>0</v>
      </c>
      <c r="P152" s="25">
        <v>0</v>
      </c>
      <c r="Q152" s="25">
        <v>1016</v>
      </c>
      <c r="R152" s="25">
        <v>700</v>
      </c>
      <c r="S152" s="25">
        <v>1036001</v>
      </c>
      <c r="T152" s="25">
        <v>400</v>
      </c>
      <c r="U152" s="25">
        <v>350</v>
      </c>
    </row>
    <row r="153" spans="1:21">
      <c r="A153" s="18">
        <v>1036002</v>
      </c>
      <c r="B153" s="25" t="s">
        <v>500</v>
      </c>
      <c r="C153" s="25">
        <v>2</v>
      </c>
      <c r="D153" s="25">
        <v>3</v>
      </c>
      <c r="E153" s="25">
        <v>2001</v>
      </c>
      <c r="F153" s="25">
        <v>350</v>
      </c>
      <c r="G153" s="25">
        <v>4200</v>
      </c>
      <c r="H153" s="25"/>
      <c r="I153" s="25">
        <v>7000</v>
      </c>
      <c r="J153" s="25">
        <v>1036002</v>
      </c>
      <c r="K153" s="25" t="s">
        <v>502</v>
      </c>
      <c r="L153" s="25" t="s">
        <v>504</v>
      </c>
      <c r="M153" s="25" t="s">
        <v>60</v>
      </c>
      <c r="N153" s="25">
        <v>0</v>
      </c>
      <c r="O153" s="38">
        <v>1036002</v>
      </c>
      <c r="P153" s="25">
        <v>300</v>
      </c>
      <c r="Q153" s="25">
        <v>1016</v>
      </c>
      <c r="R153" s="25" t="s">
        <v>505</v>
      </c>
      <c r="S153" s="25">
        <v>0</v>
      </c>
      <c r="T153" s="25">
        <v>0</v>
      </c>
      <c r="U153" s="25">
        <v>0</v>
      </c>
    </row>
    <row r="154" spans="1:21">
      <c r="A154" s="18">
        <v>1036101</v>
      </c>
      <c r="B154" s="25" t="s">
        <v>506</v>
      </c>
      <c r="C154" s="25">
        <v>1</v>
      </c>
      <c r="D154" s="25">
        <v>3</v>
      </c>
      <c r="E154" s="25">
        <v>1001</v>
      </c>
      <c r="F154" s="25">
        <v>350</v>
      </c>
      <c r="G154" s="25">
        <v>11000</v>
      </c>
      <c r="H154" s="25"/>
      <c r="I154" s="25">
        <v>1000</v>
      </c>
      <c r="J154" s="25">
        <v>0</v>
      </c>
      <c r="K154" s="25" t="s">
        <v>506</v>
      </c>
      <c r="L154" s="25" t="s">
        <v>506</v>
      </c>
      <c r="M154" s="25" t="s">
        <v>227</v>
      </c>
      <c r="N154" s="25">
        <v>0</v>
      </c>
      <c r="O154" s="38">
        <v>0</v>
      </c>
      <c r="P154" s="25">
        <v>0</v>
      </c>
      <c r="Q154" s="25">
        <v>1016</v>
      </c>
      <c r="R154" s="25">
        <v>700</v>
      </c>
      <c r="S154" s="25">
        <v>1036001</v>
      </c>
      <c r="T154" s="25">
        <v>400</v>
      </c>
      <c r="U154" s="25">
        <v>350</v>
      </c>
    </row>
    <row r="155" spans="1:21">
      <c r="A155" s="18">
        <v>1036102</v>
      </c>
      <c r="B155" s="25" t="s">
        <v>507</v>
      </c>
      <c r="C155" s="25">
        <v>2</v>
      </c>
      <c r="D155" s="25">
        <v>3</v>
      </c>
      <c r="E155" s="25">
        <v>2001</v>
      </c>
      <c r="F155" s="25">
        <v>350</v>
      </c>
      <c r="G155" s="25">
        <v>8400</v>
      </c>
      <c r="H155" s="25"/>
      <c r="I155" s="25">
        <v>7000</v>
      </c>
      <c r="J155" s="25">
        <v>1036102</v>
      </c>
      <c r="K155" s="25" t="s">
        <v>509</v>
      </c>
      <c r="L155" s="25" t="s">
        <v>511</v>
      </c>
      <c r="M155" s="25" t="s">
        <v>60</v>
      </c>
      <c r="N155" s="25">
        <v>0</v>
      </c>
      <c r="O155" s="38">
        <v>1036102</v>
      </c>
      <c r="P155" s="25">
        <v>300</v>
      </c>
      <c r="Q155" s="25">
        <v>1016</v>
      </c>
      <c r="R155" s="25" t="s">
        <v>505</v>
      </c>
      <c r="S155" s="25">
        <v>0</v>
      </c>
      <c r="T155" s="25">
        <v>0</v>
      </c>
      <c r="U155" s="25">
        <v>0</v>
      </c>
    </row>
    <row r="156" spans="1:21">
      <c r="A156" s="18">
        <v>1038001</v>
      </c>
      <c r="B156" s="25" t="s">
        <v>512</v>
      </c>
      <c r="C156" s="25">
        <v>1</v>
      </c>
      <c r="D156" s="25">
        <v>3</v>
      </c>
      <c r="E156" s="25">
        <v>1001</v>
      </c>
      <c r="F156" s="25">
        <v>350</v>
      </c>
      <c r="G156" s="25">
        <v>10000</v>
      </c>
      <c r="H156" s="25"/>
      <c r="I156" s="25">
        <v>1000</v>
      </c>
      <c r="J156" s="25">
        <v>0</v>
      </c>
      <c r="K156" s="25" t="s">
        <v>512</v>
      </c>
      <c r="L156" s="25" t="s">
        <v>512</v>
      </c>
      <c r="M156" s="25" t="s">
        <v>227</v>
      </c>
      <c r="N156" s="25">
        <v>0</v>
      </c>
      <c r="O156" s="38">
        <v>0</v>
      </c>
      <c r="P156" s="25">
        <v>0</v>
      </c>
      <c r="Q156" s="25">
        <v>1016</v>
      </c>
      <c r="R156" s="25">
        <v>700</v>
      </c>
      <c r="S156" s="25">
        <v>1038001</v>
      </c>
      <c r="T156" s="25">
        <v>400</v>
      </c>
      <c r="U156" s="25">
        <v>350</v>
      </c>
    </row>
    <row r="157" spans="1:21">
      <c r="A157" s="18">
        <v>1038002</v>
      </c>
      <c r="B157" s="25" t="s">
        <v>513</v>
      </c>
      <c r="C157" s="25">
        <v>2</v>
      </c>
      <c r="D157" s="25">
        <v>3</v>
      </c>
      <c r="E157" s="25">
        <v>2001</v>
      </c>
      <c r="F157" s="25">
        <v>350</v>
      </c>
      <c r="G157" s="25">
        <v>3850</v>
      </c>
      <c r="H157" s="25"/>
      <c r="I157" s="25">
        <v>14000</v>
      </c>
      <c r="J157" s="25">
        <v>1038002</v>
      </c>
      <c r="K157" s="25" t="s">
        <v>515</v>
      </c>
      <c r="L157" s="25" t="s">
        <v>513</v>
      </c>
      <c r="M157" s="25" t="s">
        <v>60</v>
      </c>
      <c r="N157" s="25">
        <v>0</v>
      </c>
      <c r="O157" s="38">
        <v>1038002</v>
      </c>
      <c r="P157" s="25">
        <v>700</v>
      </c>
      <c r="Q157" s="25">
        <v>1016</v>
      </c>
      <c r="R157" s="25" t="s">
        <v>517</v>
      </c>
      <c r="S157" s="25">
        <v>0</v>
      </c>
      <c r="T157" s="25">
        <v>0</v>
      </c>
      <c r="U157" s="25">
        <v>0</v>
      </c>
    </row>
    <row r="158" spans="1:21">
      <c r="A158" s="18">
        <v>1038101</v>
      </c>
      <c r="B158" s="25" t="s">
        <v>518</v>
      </c>
      <c r="C158" s="25">
        <v>1</v>
      </c>
      <c r="D158" s="25">
        <v>3</v>
      </c>
      <c r="E158" s="25">
        <v>1001</v>
      </c>
      <c r="F158" s="25">
        <v>350</v>
      </c>
      <c r="G158" s="25">
        <v>10000</v>
      </c>
      <c r="H158" s="25"/>
      <c r="I158" s="25">
        <v>1000</v>
      </c>
      <c r="J158" s="25">
        <v>0</v>
      </c>
      <c r="K158" s="25" t="s">
        <v>518</v>
      </c>
      <c r="L158" s="25" t="s">
        <v>518</v>
      </c>
      <c r="M158" s="25" t="s">
        <v>227</v>
      </c>
      <c r="N158" s="25">
        <v>0</v>
      </c>
      <c r="O158" s="38">
        <v>0</v>
      </c>
      <c r="P158" s="26">
        <v>0</v>
      </c>
      <c r="Q158" s="26">
        <v>1014</v>
      </c>
      <c r="R158" s="26">
        <v>600</v>
      </c>
      <c r="S158" s="25">
        <v>1038001</v>
      </c>
      <c r="T158" s="25">
        <v>300</v>
      </c>
      <c r="U158" s="25">
        <v>350</v>
      </c>
    </row>
    <row r="159" spans="1:21">
      <c r="A159" s="18">
        <v>1038102</v>
      </c>
      <c r="B159" s="25" t="s">
        <v>519</v>
      </c>
      <c r="C159" s="25">
        <v>2</v>
      </c>
      <c r="D159" s="25">
        <v>3</v>
      </c>
      <c r="E159" s="25">
        <v>2001</v>
      </c>
      <c r="F159" s="25">
        <v>350</v>
      </c>
      <c r="G159" s="25">
        <v>8500</v>
      </c>
      <c r="H159" s="25"/>
      <c r="I159" s="25">
        <v>14000</v>
      </c>
      <c r="J159" s="25">
        <v>1038002</v>
      </c>
      <c r="K159" s="25" t="s">
        <v>521</v>
      </c>
      <c r="L159" s="25" t="s">
        <v>519</v>
      </c>
      <c r="M159" s="25" t="s">
        <v>60</v>
      </c>
      <c r="N159" s="25">
        <v>0</v>
      </c>
      <c r="O159" s="38">
        <v>1038002</v>
      </c>
      <c r="P159" s="26">
        <v>700</v>
      </c>
      <c r="Q159" s="26">
        <v>1014</v>
      </c>
      <c r="R159" s="25" t="s">
        <v>517</v>
      </c>
      <c r="S159" s="25">
        <v>0</v>
      </c>
      <c r="T159" s="25">
        <v>0</v>
      </c>
      <c r="U159" s="25">
        <v>0</v>
      </c>
    </row>
    <row r="160" spans="1:21">
      <c r="A160" s="18">
        <v>1039001</v>
      </c>
      <c r="B160" s="25" t="s">
        <v>523</v>
      </c>
      <c r="C160" s="25">
        <v>1</v>
      </c>
      <c r="D160" s="25">
        <v>3</v>
      </c>
      <c r="E160" s="25">
        <v>1001</v>
      </c>
      <c r="F160" s="25">
        <v>350</v>
      </c>
      <c r="G160" s="25">
        <v>10000</v>
      </c>
      <c r="H160" s="25"/>
      <c r="I160" s="25">
        <v>1000</v>
      </c>
      <c r="J160" s="25">
        <v>0</v>
      </c>
      <c r="K160" s="25" t="s">
        <v>523</v>
      </c>
      <c r="L160" s="25" t="s">
        <v>523</v>
      </c>
      <c r="M160" s="25" t="s">
        <v>227</v>
      </c>
      <c r="N160" s="25">
        <v>0</v>
      </c>
      <c r="O160" s="38">
        <v>0</v>
      </c>
      <c r="P160" s="26">
        <v>0</v>
      </c>
      <c r="Q160" s="26">
        <v>1011</v>
      </c>
      <c r="R160" s="26">
        <v>700</v>
      </c>
      <c r="S160" s="25">
        <v>1039001</v>
      </c>
      <c r="T160" s="25">
        <v>400</v>
      </c>
      <c r="U160" s="25">
        <v>350</v>
      </c>
    </row>
    <row r="161" spans="1:21">
      <c r="A161" s="18">
        <v>1039002</v>
      </c>
      <c r="B161" s="25" t="s">
        <v>63</v>
      </c>
      <c r="C161" s="25">
        <v>2</v>
      </c>
      <c r="D161" s="25">
        <v>3</v>
      </c>
      <c r="E161" s="25">
        <v>2001</v>
      </c>
      <c r="F161" s="25">
        <v>350</v>
      </c>
      <c r="G161" s="25">
        <v>3000</v>
      </c>
      <c r="H161" s="25"/>
      <c r="I161" s="25">
        <v>18000</v>
      </c>
      <c r="J161" s="25">
        <v>1039002</v>
      </c>
      <c r="K161" s="25" t="s">
        <v>525</v>
      </c>
      <c r="L161" s="25" t="s">
        <v>63</v>
      </c>
      <c r="M161" s="25" t="s">
        <v>60</v>
      </c>
      <c r="N161" s="25">
        <v>0</v>
      </c>
      <c r="O161" s="38">
        <v>1039002</v>
      </c>
      <c r="P161" s="26">
        <v>600</v>
      </c>
      <c r="Q161" s="26">
        <v>1011</v>
      </c>
      <c r="R161" s="26" t="s">
        <v>527</v>
      </c>
      <c r="S161" s="25">
        <v>0</v>
      </c>
      <c r="T161" s="25">
        <v>0</v>
      </c>
      <c r="U161" s="25">
        <v>0</v>
      </c>
    </row>
    <row r="162" spans="1:21">
      <c r="A162" s="18">
        <v>1039101</v>
      </c>
      <c r="B162" s="25" t="s">
        <v>528</v>
      </c>
      <c r="C162" s="25">
        <v>1</v>
      </c>
      <c r="D162" s="25">
        <v>3</v>
      </c>
      <c r="E162" s="25">
        <v>1001</v>
      </c>
      <c r="F162" s="25">
        <v>350</v>
      </c>
      <c r="G162" s="25">
        <v>10000</v>
      </c>
      <c r="H162" s="25"/>
      <c r="I162" s="25">
        <v>1000</v>
      </c>
      <c r="J162" s="25">
        <v>0</v>
      </c>
      <c r="K162" s="25" t="s">
        <v>528</v>
      </c>
      <c r="L162" s="25" t="s">
        <v>528</v>
      </c>
      <c r="M162" s="25" t="s">
        <v>227</v>
      </c>
      <c r="N162" s="25">
        <v>0</v>
      </c>
      <c r="O162" s="38">
        <v>0</v>
      </c>
      <c r="P162" s="26">
        <v>0</v>
      </c>
      <c r="Q162" s="26">
        <v>1011</v>
      </c>
      <c r="R162" s="26">
        <v>700</v>
      </c>
      <c r="S162" s="25">
        <v>1039001</v>
      </c>
      <c r="T162" s="25">
        <v>400</v>
      </c>
      <c r="U162" s="25">
        <v>350</v>
      </c>
    </row>
    <row r="163" spans="1:21">
      <c r="A163" s="18">
        <v>1039102</v>
      </c>
      <c r="B163" s="25" t="s">
        <v>529</v>
      </c>
      <c r="C163" s="25">
        <v>2</v>
      </c>
      <c r="D163" s="25">
        <v>3</v>
      </c>
      <c r="E163" s="25">
        <v>2001</v>
      </c>
      <c r="F163" s="25">
        <v>350</v>
      </c>
      <c r="G163" s="25">
        <v>6000</v>
      </c>
      <c r="H163" s="25"/>
      <c r="I163" s="25">
        <v>18000</v>
      </c>
      <c r="J163" s="25">
        <v>1039102</v>
      </c>
      <c r="K163" s="25" t="s">
        <v>531</v>
      </c>
      <c r="L163" s="25" t="s">
        <v>529</v>
      </c>
      <c r="M163" s="25" t="s">
        <v>60</v>
      </c>
      <c r="N163" s="25">
        <v>0</v>
      </c>
      <c r="O163" s="38">
        <v>1039102</v>
      </c>
      <c r="P163" s="26">
        <v>700</v>
      </c>
      <c r="Q163" s="26">
        <v>1011</v>
      </c>
      <c r="R163" s="26" t="s">
        <v>533</v>
      </c>
      <c r="S163" s="25">
        <v>0</v>
      </c>
      <c r="T163" s="25">
        <v>0</v>
      </c>
      <c r="U163" s="25">
        <v>0</v>
      </c>
    </row>
    <row r="164" spans="1:21">
      <c r="A164" s="18">
        <v>1039201</v>
      </c>
      <c r="B164" s="25" t="s">
        <v>534</v>
      </c>
      <c r="C164" s="25">
        <v>1</v>
      </c>
      <c r="D164" s="25">
        <v>3</v>
      </c>
      <c r="E164" s="25">
        <v>1001</v>
      </c>
      <c r="F164" s="25">
        <v>350</v>
      </c>
      <c r="G164" s="25">
        <v>10000</v>
      </c>
      <c r="H164" s="25"/>
      <c r="I164" s="25">
        <v>1000</v>
      </c>
      <c r="J164" s="25">
        <v>0</v>
      </c>
      <c r="K164" s="25" t="s">
        <v>534</v>
      </c>
      <c r="L164" s="25" t="s">
        <v>534</v>
      </c>
      <c r="M164" s="25" t="s">
        <v>227</v>
      </c>
      <c r="N164" s="25">
        <v>0</v>
      </c>
      <c r="O164" s="38">
        <v>0</v>
      </c>
      <c r="P164" s="26">
        <v>0</v>
      </c>
      <c r="Q164" s="26">
        <v>1011</v>
      </c>
      <c r="R164" s="26">
        <v>700</v>
      </c>
      <c r="S164" s="25">
        <v>1039201</v>
      </c>
      <c r="T164" s="25">
        <v>400</v>
      </c>
      <c r="U164" s="25">
        <v>350</v>
      </c>
    </row>
    <row r="165" spans="1:21">
      <c r="A165" s="18">
        <v>1039202</v>
      </c>
      <c r="B165" s="25" t="s">
        <v>535</v>
      </c>
      <c r="C165" s="25">
        <v>2</v>
      </c>
      <c r="D165" s="25">
        <v>3</v>
      </c>
      <c r="E165" s="25">
        <v>2001</v>
      </c>
      <c r="F165" s="25">
        <v>350</v>
      </c>
      <c r="G165" s="25">
        <v>12000</v>
      </c>
      <c r="H165" s="25"/>
      <c r="I165" s="25">
        <v>18000</v>
      </c>
      <c r="J165" s="25">
        <v>1039202</v>
      </c>
      <c r="K165" s="25" t="s">
        <v>537</v>
      </c>
      <c r="L165" s="25" t="s">
        <v>535</v>
      </c>
      <c r="M165" s="25" t="s">
        <v>60</v>
      </c>
      <c r="N165" s="25">
        <v>0</v>
      </c>
      <c r="O165" s="38">
        <v>1039202</v>
      </c>
      <c r="P165" s="26">
        <v>600</v>
      </c>
      <c r="Q165" s="26">
        <v>1011</v>
      </c>
      <c r="R165" s="26" t="s">
        <v>527</v>
      </c>
      <c r="S165" s="25">
        <v>0</v>
      </c>
      <c r="T165" s="25">
        <v>0</v>
      </c>
      <c r="U165" s="25">
        <v>0</v>
      </c>
    </row>
    <row r="166" spans="1:21">
      <c r="A166" s="18">
        <v>1041001</v>
      </c>
      <c r="B166" s="25" t="s">
        <v>539</v>
      </c>
      <c r="C166" s="25">
        <v>1</v>
      </c>
      <c r="D166" s="25">
        <v>3</v>
      </c>
      <c r="E166" s="25">
        <v>1001</v>
      </c>
      <c r="F166" s="25">
        <v>350</v>
      </c>
      <c r="G166" s="25">
        <v>10000</v>
      </c>
      <c r="H166" s="25"/>
      <c r="I166" s="25">
        <v>1000</v>
      </c>
      <c r="J166" s="25">
        <v>0</v>
      </c>
      <c r="K166" s="25" t="s">
        <v>539</v>
      </c>
      <c r="L166" s="25" t="s">
        <v>539</v>
      </c>
      <c r="M166" s="25" t="s">
        <v>227</v>
      </c>
      <c r="N166" s="25">
        <v>0</v>
      </c>
      <c r="O166" s="38">
        <v>0</v>
      </c>
      <c r="P166" s="25">
        <v>0</v>
      </c>
      <c r="Q166" s="25">
        <v>1016</v>
      </c>
      <c r="R166" s="25">
        <v>800</v>
      </c>
      <c r="S166" s="25">
        <v>1041001</v>
      </c>
      <c r="T166" s="25">
        <v>500</v>
      </c>
      <c r="U166" s="25">
        <v>350</v>
      </c>
    </row>
    <row r="167" spans="1:21">
      <c r="A167" s="18">
        <v>1041002</v>
      </c>
      <c r="B167" s="25" t="s">
        <v>92</v>
      </c>
      <c r="C167" s="25">
        <v>2</v>
      </c>
      <c r="D167" s="25">
        <v>3</v>
      </c>
      <c r="E167" s="25">
        <v>2001</v>
      </c>
      <c r="F167" s="25">
        <v>350</v>
      </c>
      <c r="G167" s="25">
        <v>3600</v>
      </c>
      <c r="H167" s="25"/>
      <c r="I167" s="25">
        <v>7000</v>
      </c>
      <c r="J167" s="25">
        <v>1041002</v>
      </c>
      <c r="K167" s="25" t="s">
        <v>541</v>
      </c>
      <c r="L167" s="25" t="s">
        <v>92</v>
      </c>
      <c r="M167" s="25" t="s">
        <v>60</v>
      </c>
      <c r="N167" s="25">
        <v>0</v>
      </c>
      <c r="O167" s="38">
        <v>1041002</v>
      </c>
      <c r="P167" s="25">
        <v>700</v>
      </c>
      <c r="Q167" s="25">
        <v>1016</v>
      </c>
      <c r="R167" s="25" t="s">
        <v>543</v>
      </c>
      <c r="S167" s="25">
        <v>0</v>
      </c>
      <c r="T167" s="25">
        <v>0</v>
      </c>
      <c r="U167" s="25">
        <v>0</v>
      </c>
    </row>
    <row r="168" spans="1:21">
      <c r="A168" s="18">
        <v>1041101</v>
      </c>
      <c r="B168" s="25" t="s">
        <v>544</v>
      </c>
      <c r="C168" s="25">
        <v>1</v>
      </c>
      <c r="D168" s="25">
        <v>3</v>
      </c>
      <c r="E168" s="25">
        <v>1001</v>
      </c>
      <c r="F168" s="25">
        <v>350</v>
      </c>
      <c r="G168" s="25">
        <v>11000</v>
      </c>
      <c r="H168" s="25"/>
      <c r="I168" s="25">
        <v>1000</v>
      </c>
      <c r="J168" s="25">
        <v>0</v>
      </c>
      <c r="K168" s="25" t="s">
        <v>544</v>
      </c>
      <c r="L168" s="25" t="s">
        <v>544</v>
      </c>
      <c r="M168" s="25" t="s">
        <v>227</v>
      </c>
      <c r="N168" s="25">
        <v>0</v>
      </c>
      <c r="O168" s="38">
        <v>0</v>
      </c>
      <c r="P168" s="25">
        <v>0</v>
      </c>
      <c r="Q168" s="25">
        <v>1016</v>
      </c>
      <c r="R168" s="25">
        <v>700</v>
      </c>
      <c r="S168" s="25">
        <v>1041001</v>
      </c>
      <c r="T168" s="25">
        <v>400</v>
      </c>
      <c r="U168" s="25">
        <v>350</v>
      </c>
    </row>
    <row r="169" spans="1:21">
      <c r="A169" s="18">
        <v>1041102</v>
      </c>
      <c r="B169" s="25" t="s">
        <v>545</v>
      </c>
      <c r="C169" s="25">
        <v>2</v>
      </c>
      <c r="D169" s="25">
        <v>3</v>
      </c>
      <c r="E169" s="25">
        <v>2001</v>
      </c>
      <c r="F169" s="25">
        <v>350</v>
      </c>
      <c r="G169" s="25">
        <v>7000</v>
      </c>
      <c r="H169" s="25"/>
      <c r="I169" s="25">
        <v>7000</v>
      </c>
      <c r="J169" s="25">
        <v>1041002</v>
      </c>
      <c r="K169" s="25" t="s">
        <v>547</v>
      </c>
      <c r="L169" s="25" t="s">
        <v>545</v>
      </c>
      <c r="M169" s="25" t="s">
        <v>60</v>
      </c>
      <c r="N169" s="25">
        <v>0</v>
      </c>
      <c r="O169" s="38">
        <v>1041002</v>
      </c>
      <c r="P169" s="25">
        <v>700</v>
      </c>
      <c r="Q169" s="25">
        <v>1016</v>
      </c>
      <c r="R169" s="25" t="s">
        <v>543</v>
      </c>
      <c r="S169" s="25">
        <v>0</v>
      </c>
      <c r="T169" s="25">
        <v>0</v>
      </c>
      <c r="U169" s="25">
        <v>0</v>
      </c>
    </row>
    <row r="170" spans="1:21">
      <c r="A170" s="18">
        <v>1042001</v>
      </c>
      <c r="B170" s="25" t="s">
        <v>549</v>
      </c>
      <c r="C170" s="25">
        <v>1</v>
      </c>
      <c r="D170" s="25">
        <v>3</v>
      </c>
      <c r="E170" s="25">
        <v>1001</v>
      </c>
      <c r="F170" s="25">
        <v>350</v>
      </c>
      <c r="G170" s="25">
        <v>10000</v>
      </c>
      <c r="H170" s="25"/>
      <c r="I170" s="25">
        <v>1000</v>
      </c>
      <c r="J170" s="25">
        <v>0</v>
      </c>
      <c r="K170" s="25" t="s">
        <v>549</v>
      </c>
      <c r="L170" s="25" t="s">
        <v>549</v>
      </c>
      <c r="M170" s="25" t="s">
        <v>227</v>
      </c>
      <c r="N170" s="25">
        <v>0</v>
      </c>
      <c r="O170" s="38">
        <v>0</v>
      </c>
      <c r="P170" s="26">
        <v>0</v>
      </c>
      <c r="Q170" s="26">
        <v>1016</v>
      </c>
      <c r="R170" s="26">
        <v>700</v>
      </c>
      <c r="S170" s="25">
        <v>1042001</v>
      </c>
      <c r="T170" s="25">
        <v>400</v>
      </c>
      <c r="U170" s="25">
        <v>350</v>
      </c>
    </row>
    <row r="171" spans="1:21">
      <c r="A171" s="18">
        <v>1042002</v>
      </c>
      <c r="B171" s="25" t="s">
        <v>550</v>
      </c>
      <c r="C171" s="25">
        <v>2</v>
      </c>
      <c r="D171" s="25">
        <v>3</v>
      </c>
      <c r="E171" s="25">
        <v>2001</v>
      </c>
      <c r="F171" s="25">
        <v>350</v>
      </c>
      <c r="G171" s="25">
        <v>7000</v>
      </c>
      <c r="H171" s="25"/>
      <c r="I171" s="25">
        <v>18000</v>
      </c>
      <c r="J171" s="25">
        <v>1042002</v>
      </c>
      <c r="K171" s="25" t="s">
        <v>552</v>
      </c>
      <c r="L171" s="25" t="s">
        <v>550</v>
      </c>
      <c r="M171" s="25" t="s">
        <v>60</v>
      </c>
      <c r="N171" s="25">
        <v>0</v>
      </c>
      <c r="O171" s="38">
        <v>1042002</v>
      </c>
      <c r="P171" s="26">
        <v>900</v>
      </c>
      <c r="Q171" s="26">
        <v>1016</v>
      </c>
      <c r="R171" s="26" t="s">
        <v>973</v>
      </c>
      <c r="S171" s="25">
        <v>0</v>
      </c>
      <c r="T171" s="25">
        <v>0</v>
      </c>
      <c r="U171" s="25">
        <v>0</v>
      </c>
    </row>
    <row r="172" spans="1:21">
      <c r="A172" s="18">
        <v>1042101</v>
      </c>
      <c r="B172" s="25" t="s">
        <v>554</v>
      </c>
      <c r="C172" s="25">
        <v>1</v>
      </c>
      <c r="D172" s="25">
        <v>3</v>
      </c>
      <c r="E172" s="25">
        <v>1001</v>
      </c>
      <c r="F172" s="25">
        <v>350</v>
      </c>
      <c r="G172" s="25">
        <v>11000</v>
      </c>
      <c r="H172" s="25"/>
      <c r="I172" s="25">
        <v>1000</v>
      </c>
      <c r="J172" s="25">
        <v>0</v>
      </c>
      <c r="K172" s="25" t="s">
        <v>554</v>
      </c>
      <c r="L172" s="25" t="s">
        <v>554</v>
      </c>
      <c r="M172" s="25" t="s">
        <v>227</v>
      </c>
      <c r="N172" s="25">
        <v>0</v>
      </c>
      <c r="O172" s="38">
        <v>0</v>
      </c>
      <c r="P172" s="26">
        <v>0</v>
      </c>
      <c r="Q172" s="26">
        <v>1016</v>
      </c>
      <c r="R172" s="26">
        <v>700</v>
      </c>
      <c r="S172" s="25">
        <v>1042001</v>
      </c>
      <c r="T172" s="25">
        <v>400</v>
      </c>
      <c r="U172" s="25">
        <v>350</v>
      </c>
    </row>
    <row r="173" spans="1:21">
      <c r="A173" s="18">
        <v>1042102</v>
      </c>
      <c r="B173" s="25" t="s">
        <v>555</v>
      </c>
      <c r="C173" s="25">
        <v>2</v>
      </c>
      <c r="D173" s="25">
        <v>3</v>
      </c>
      <c r="E173" s="25">
        <v>2001</v>
      </c>
      <c r="F173" s="25">
        <v>350</v>
      </c>
      <c r="G173" s="25">
        <v>14000</v>
      </c>
      <c r="H173" s="25"/>
      <c r="I173" s="25">
        <v>18000</v>
      </c>
      <c r="J173" s="25">
        <v>1042002</v>
      </c>
      <c r="K173" s="25" t="s">
        <v>557</v>
      </c>
      <c r="L173" s="25" t="s">
        <v>555</v>
      </c>
      <c r="M173" s="25" t="s">
        <v>60</v>
      </c>
      <c r="N173" s="25">
        <v>0</v>
      </c>
      <c r="O173" s="38">
        <v>1042002</v>
      </c>
      <c r="P173" s="26">
        <v>500</v>
      </c>
      <c r="Q173" s="26">
        <v>1016</v>
      </c>
      <c r="R173" s="26" t="s">
        <v>559</v>
      </c>
      <c r="S173" s="25">
        <v>0</v>
      </c>
      <c r="T173" s="25">
        <v>0</v>
      </c>
      <c r="U173" s="25">
        <v>0</v>
      </c>
    </row>
    <row r="174" spans="1:21">
      <c r="A174" s="18">
        <v>1045001</v>
      </c>
      <c r="B174" s="25" t="s">
        <v>560</v>
      </c>
      <c r="C174" s="25">
        <v>1</v>
      </c>
      <c r="D174" s="25">
        <v>3</v>
      </c>
      <c r="E174" s="25">
        <v>1001</v>
      </c>
      <c r="F174" s="25">
        <v>350</v>
      </c>
      <c r="G174" s="25">
        <v>10000</v>
      </c>
      <c r="H174" s="25"/>
      <c r="I174" s="25">
        <v>1000</v>
      </c>
      <c r="J174" s="25">
        <v>0</v>
      </c>
      <c r="K174" s="25" t="s">
        <v>560</v>
      </c>
      <c r="L174" s="25" t="s">
        <v>560</v>
      </c>
      <c r="M174" s="25" t="s">
        <v>227</v>
      </c>
      <c r="N174" s="25">
        <v>0</v>
      </c>
      <c r="O174" s="38">
        <v>0</v>
      </c>
      <c r="P174" s="25">
        <v>0</v>
      </c>
      <c r="Q174" s="25">
        <v>1015</v>
      </c>
      <c r="R174" s="25">
        <v>700</v>
      </c>
      <c r="S174" s="25">
        <v>1045001</v>
      </c>
      <c r="T174" s="25">
        <v>400</v>
      </c>
      <c r="U174" s="25">
        <v>350</v>
      </c>
    </row>
    <row r="175" spans="1:21">
      <c r="A175" s="18">
        <v>1045002</v>
      </c>
      <c r="B175" s="25" t="s">
        <v>561</v>
      </c>
      <c r="C175" s="25">
        <v>2</v>
      </c>
      <c r="D175" s="25">
        <v>3</v>
      </c>
      <c r="E175" s="25">
        <v>2001</v>
      </c>
      <c r="F175" s="25">
        <v>350</v>
      </c>
      <c r="G175" s="25">
        <v>21000</v>
      </c>
      <c r="H175" s="25"/>
      <c r="I175" s="25">
        <v>15000</v>
      </c>
      <c r="J175" s="25">
        <v>1045002</v>
      </c>
      <c r="K175" s="25" t="s">
        <v>563</v>
      </c>
      <c r="L175" s="25" t="s">
        <v>561</v>
      </c>
      <c r="M175" s="25" t="s">
        <v>60</v>
      </c>
      <c r="N175" s="25">
        <v>0</v>
      </c>
      <c r="O175" s="38">
        <v>1045002</v>
      </c>
      <c r="P175" s="25">
        <v>2000</v>
      </c>
      <c r="Q175" s="25">
        <v>1015</v>
      </c>
      <c r="R175" s="25">
        <v>2650</v>
      </c>
      <c r="S175" s="25">
        <v>0</v>
      </c>
      <c r="T175" s="25">
        <v>0</v>
      </c>
      <c r="U175" s="25">
        <v>0</v>
      </c>
    </row>
    <row r="176" spans="1:21">
      <c r="A176" s="18">
        <v>1045101</v>
      </c>
      <c r="B176" s="25" t="s">
        <v>565</v>
      </c>
      <c r="C176" s="25">
        <v>1</v>
      </c>
      <c r="D176" s="25">
        <v>3</v>
      </c>
      <c r="E176" s="25">
        <v>1001</v>
      </c>
      <c r="F176" s="25">
        <v>350</v>
      </c>
      <c r="G176" s="25">
        <v>11000</v>
      </c>
      <c r="H176" s="25"/>
      <c r="I176" s="25">
        <v>1000</v>
      </c>
      <c r="J176" s="25">
        <v>0</v>
      </c>
      <c r="K176" s="25" t="s">
        <v>565</v>
      </c>
      <c r="L176" s="25" t="s">
        <v>565</v>
      </c>
      <c r="M176" s="25" t="s">
        <v>227</v>
      </c>
      <c r="N176" s="25">
        <v>0</v>
      </c>
      <c r="O176" s="38">
        <v>0</v>
      </c>
      <c r="P176" s="25">
        <v>0</v>
      </c>
      <c r="Q176" s="25">
        <v>1015</v>
      </c>
      <c r="R176" s="25">
        <v>700</v>
      </c>
      <c r="S176" s="25">
        <v>1045001</v>
      </c>
      <c r="T176" s="25">
        <v>400</v>
      </c>
      <c r="U176" s="25">
        <v>350</v>
      </c>
    </row>
    <row r="177" spans="1:21">
      <c r="A177" s="18">
        <v>1045102</v>
      </c>
      <c r="B177" s="25" t="s">
        <v>213</v>
      </c>
      <c r="C177" s="25">
        <v>2</v>
      </c>
      <c r="D177" s="25">
        <v>3</v>
      </c>
      <c r="E177" s="25">
        <v>2001</v>
      </c>
      <c r="F177" s="25">
        <v>350</v>
      </c>
      <c r="G177" s="25">
        <v>8000</v>
      </c>
      <c r="H177" s="25"/>
      <c r="I177" s="25">
        <v>15000</v>
      </c>
      <c r="J177" s="25">
        <v>1045102</v>
      </c>
      <c r="K177" s="25" t="s">
        <v>567</v>
      </c>
      <c r="L177" s="25" t="s">
        <v>213</v>
      </c>
      <c r="M177" s="25" t="s">
        <v>60</v>
      </c>
      <c r="N177" s="25">
        <v>0</v>
      </c>
      <c r="O177" s="38">
        <v>1045102</v>
      </c>
      <c r="P177" s="25">
        <v>800</v>
      </c>
      <c r="Q177" s="25">
        <v>1015</v>
      </c>
      <c r="R177" s="25" t="s">
        <v>569</v>
      </c>
      <c r="S177" s="25">
        <v>0</v>
      </c>
      <c r="T177" s="25">
        <v>0</v>
      </c>
      <c r="U177" s="25">
        <v>0</v>
      </c>
    </row>
    <row r="178" spans="1:21">
      <c r="A178" s="18">
        <v>1046001</v>
      </c>
      <c r="B178" s="25" t="s">
        <v>570</v>
      </c>
      <c r="C178" s="25">
        <v>1</v>
      </c>
      <c r="D178" s="25">
        <v>3</v>
      </c>
      <c r="E178" s="25">
        <v>1001</v>
      </c>
      <c r="F178" s="25">
        <v>350</v>
      </c>
      <c r="G178" s="25">
        <v>10000</v>
      </c>
      <c r="H178" s="25"/>
      <c r="I178" s="25">
        <v>1000</v>
      </c>
      <c r="J178" s="25">
        <v>0</v>
      </c>
      <c r="K178" s="25" t="s">
        <v>570</v>
      </c>
      <c r="L178" s="25" t="s">
        <v>570</v>
      </c>
      <c r="M178" s="25" t="s">
        <v>227</v>
      </c>
      <c r="N178" s="25">
        <v>0</v>
      </c>
      <c r="O178" s="38">
        <v>0</v>
      </c>
      <c r="P178" s="25">
        <v>0</v>
      </c>
      <c r="Q178" s="25">
        <v>1015</v>
      </c>
      <c r="R178" s="25">
        <v>800</v>
      </c>
      <c r="S178" s="25">
        <v>1046001</v>
      </c>
      <c r="T178" s="25">
        <v>500</v>
      </c>
      <c r="U178" s="25">
        <v>350</v>
      </c>
    </row>
    <row r="179" spans="1:21">
      <c r="A179" s="18">
        <v>1046002</v>
      </c>
      <c r="B179" s="25" t="s">
        <v>571</v>
      </c>
      <c r="C179" s="25">
        <v>2</v>
      </c>
      <c r="D179" s="25">
        <v>3</v>
      </c>
      <c r="E179" s="25">
        <v>2001</v>
      </c>
      <c r="F179" s="25">
        <v>350</v>
      </c>
      <c r="G179" s="25">
        <v>4800</v>
      </c>
      <c r="H179" s="25"/>
      <c r="I179" s="25">
        <v>15000</v>
      </c>
      <c r="J179" s="25">
        <v>1046002</v>
      </c>
      <c r="K179" s="25" t="s">
        <v>573</v>
      </c>
      <c r="L179" s="25" t="s">
        <v>571</v>
      </c>
      <c r="M179" s="25" t="s">
        <v>60</v>
      </c>
      <c r="N179" s="25">
        <v>0</v>
      </c>
      <c r="O179" s="38">
        <v>1046002</v>
      </c>
      <c r="P179" s="25">
        <v>1000</v>
      </c>
      <c r="Q179" s="25">
        <v>1015</v>
      </c>
      <c r="R179" s="25" t="s">
        <v>974</v>
      </c>
      <c r="S179" s="25">
        <v>0</v>
      </c>
      <c r="T179" s="25">
        <v>0</v>
      </c>
      <c r="U179" s="25">
        <v>0</v>
      </c>
    </row>
    <row r="180" spans="1:21">
      <c r="A180" s="18">
        <v>1046101</v>
      </c>
      <c r="B180" s="25" t="s">
        <v>576</v>
      </c>
      <c r="C180" s="25">
        <v>1</v>
      </c>
      <c r="D180" s="25">
        <v>3</v>
      </c>
      <c r="E180" s="25">
        <v>1001</v>
      </c>
      <c r="F180" s="25">
        <v>350</v>
      </c>
      <c r="G180" s="25">
        <v>11000</v>
      </c>
      <c r="H180" s="25"/>
      <c r="I180" s="25">
        <v>1000</v>
      </c>
      <c r="J180" s="25">
        <v>0</v>
      </c>
      <c r="K180" s="25" t="s">
        <v>576</v>
      </c>
      <c r="L180" s="25" t="s">
        <v>576</v>
      </c>
      <c r="M180" s="25" t="s">
        <v>227</v>
      </c>
      <c r="N180" s="25">
        <v>0</v>
      </c>
      <c r="O180" s="38">
        <v>0</v>
      </c>
      <c r="P180" s="25">
        <v>0</v>
      </c>
      <c r="Q180" s="25">
        <v>1015</v>
      </c>
      <c r="R180" s="25">
        <v>700</v>
      </c>
      <c r="S180" s="25">
        <v>1046001</v>
      </c>
      <c r="T180" s="25">
        <v>400</v>
      </c>
      <c r="U180" s="25">
        <v>350</v>
      </c>
    </row>
    <row r="181" spans="1:21">
      <c r="A181" s="18">
        <v>1046102</v>
      </c>
      <c r="B181" s="25" t="s">
        <v>68</v>
      </c>
      <c r="C181" s="25">
        <v>2</v>
      </c>
      <c r="D181" s="25">
        <v>3</v>
      </c>
      <c r="E181" s="25">
        <v>2001</v>
      </c>
      <c r="F181" s="25">
        <v>350</v>
      </c>
      <c r="G181" s="25">
        <v>9600</v>
      </c>
      <c r="H181" s="25"/>
      <c r="I181" s="25">
        <v>15000</v>
      </c>
      <c r="J181" s="25">
        <v>1046002</v>
      </c>
      <c r="K181" s="25" t="s">
        <v>578</v>
      </c>
      <c r="L181" s="25" t="s">
        <v>68</v>
      </c>
      <c r="M181" s="25" t="s">
        <v>60</v>
      </c>
      <c r="N181" s="25">
        <v>0</v>
      </c>
      <c r="O181" s="38">
        <v>1046002</v>
      </c>
      <c r="P181" s="25">
        <v>800</v>
      </c>
      <c r="Q181" s="25">
        <v>1015</v>
      </c>
      <c r="R181" s="25" t="s">
        <v>974</v>
      </c>
      <c r="S181" s="25">
        <v>0</v>
      </c>
      <c r="T181" s="25">
        <v>0</v>
      </c>
      <c r="U181" s="25">
        <v>0</v>
      </c>
    </row>
    <row r="182" spans="1:21">
      <c r="A182" s="18">
        <v>1047001</v>
      </c>
      <c r="B182" s="25" t="s">
        <v>581</v>
      </c>
      <c r="C182" s="25">
        <v>1</v>
      </c>
      <c r="D182" s="25">
        <v>3</v>
      </c>
      <c r="E182" s="25">
        <v>1001</v>
      </c>
      <c r="F182" s="25">
        <v>350</v>
      </c>
      <c r="G182" s="25">
        <v>10000</v>
      </c>
      <c r="H182" s="25"/>
      <c r="I182" s="25">
        <v>1000</v>
      </c>
      <c r="J182" s="25">
        <v>0</v>
      </c>
      <c r="K182" s="25" t="s">
        <v>581</v>
      </c>
      <c r="L182" s="25" t="s">
        <v>581</v>
      </c>
      <c r="M182" s="25" t="s">
        <v>227</v>
      </c>
      <c r="N182" s="25">
        <v>0</v>
      </c>
      <c r="O182" s="38">
        <v>0</v>
      </c>
      <c r="P182" s="25">
        <v>0</v>
      </c>
      <c r="Q182" s="25">
        <v>1015</v>
      </c>
      <c r="R182" s="25">
        <v>700</v>
      </c>
      <c r="S182" s="25">
        <v>1047001</v>
      </c>
      <c r="T182" s="25">
        <v>400</v>
      </c>
      <c r="U182" s="25">
        <v>350</v>
      </c>
    </row>
    <row r="183" spans="1:21">
      <c r="A183" s="18">
        <v>1047002</v>
      </c>
      <c r="B183" s="25" t="s">
        <v>582</v>
      </c>
      <c r="C183" s="25">
        <v>2</v>
      </c>
      <c r="D183" s="25">
        <v>3</v>
      </c>
      <c r="E183" s="25">
        <v>2001</v>
      </c>
      <c r="F183" s="25">
        <v>350</v>
      </c>
      <c r="G183" s="25">
        <v>5200</v>
      </c>
      <c r="H183" s="25"/>
      <c r="I183" s="25">
        <v>15000</v>
      </c>
      <c r="J183" s="25">
        <v>1047002</v>
      </c>
      <c r="K183" s="25" t="s">
        <v>584</v>
      </c>
      <c r="L183" s="25" t="s">
        <v>582</v>
      </c>
      <c r="M183" s="25" t="s">
        <v>60</v>
      </c>
      <c r="N183" s="25">
        <v>0</v>
      </c>
      <c r="O183" s="38">
        <v>1047002</v>
      </c>
      <c r="P183" s="25">
        <v>500</v>
      </c>
      <c r="Q183" s="25">
        <v>1015</v>
      </c>
      <c r="R183" s="25" t="s">
        <v>586</v>
      </c>
      <c r="S183" s="25">
        <v>0</v>
      </c>
      <c r="T183" s="25">
        <v>0</v>
      </c>
      <c r="U183" s="25">
        <v>0</v>
      </c>
    </row>
    <row r="184" spans="1:21">
      <c r="A184" s="18">
        <v>1047101</v>
      </c>
      <c r="B184" s="25" t="s">
        <v>587</v>
      </c>
      <c r="C184" s="25">
        <v>1</v>
      </c>
      <c r="D184" s="25">
        <v>3</v>
      </c>
      <c r="E184" s="25">
        <v>1001</v>
      </c>
      <c r="F184" s="25">
        <v>350</v>
      </c>
      <c r="G184" s="25">
        <v>10000</v>
      </c>
      <c r="H184" s="25"/>
      <c r="I184" s="25">
        <v>1000</v>
      </c>
      <c r="J184" s="25">
        <v>0</v>
      </c>
      <c r="K184" s="25" t="s">
        <v>587</v>
      </c>
      <c r="L184" s="25" t="s">
        <v>587</v>
      </c>
      <c r="M184" s="25" t="s">
        <v>227</v>
      </c>
      <c r="N184" s="25">
        <v>0</v>
      </c>
      <c r="O184" s="38">
        <v>0</v>
      </c>
      <c r="P184" s="25">
        <v>0</v>
      </c>
      <c r="Q184" s="25">
        <v>1015</v>
      </c>
      <c r="R184" s="25">
        <v>700</v>
      </c>
      <c r="S184" s="25">
        <v>1047001</v>
      </c>
      <c r="T184" s="25">
        <v>400</v>
      </c>
      <c r="U184" s="25">
        <v>350</v>
      </c>
    </row>
    <row r="185" spans="1:26">
      <c r="A185" s="18">
        <v>1047102</v>
      </c>
      <c r="B185" s="25" t="s">
        <v>588</v>
      </c>
      <c r="C185" s="25">
        <v>2</v>
      </c>
      <c r="D185" s="25">
        <v>3</v>
      </c>
      <c r="E185" s="25">
        <v>2001</v>
      </c>
      <c r="F185" s="25">
        <v>350</v>
      </c>
      <c r="G185" s="25">
        <v>10400</v>
      </c>
      <c r="H185" s="25"/>
      <c r="I185" s="25">
        <v>15000</v>
      </c>
      <c r="J185" s="25">
        <v>1047002</v>
      </c>
      <c r="K185" s="25" t="s">
        <v>590</v>
      </c>
      <c r="L185" s="25" t="s">
        <v>588</v>
      </c>
      <c r="M185" s="25" t="s">
        <v>60</v>
      </c>
      <c r="N185" s="25">
        <v>0</v>
      </c>
      <c r="O185" s="38">
        <v>1047002</v>
      </c>
      <c r="P185" s="25">
        <v>900</v>
      </c>
      <c r="Q185" s="25">
        <v>1015</v>
      </c>
      <c r="R185" s="25" t="s">
        <v>592</v>
      </c>
      <c r="S185" s="25">
        <v>0</v>
      </c>
      <c r="T185" s="25">
        <v>0</v>
      </c>
      <c r="U185" s="25">
        <v>0</v>
      </c>
      <c r="V185" s="39"/>
      <c r="W185" s="39"/>
      <c r="X185" s="39"/>
      <c r="Y185" s="39"/>
      <c r="Z185" s="39"/>
    </row>
    <row r="186" spans="1:21">
      <c r="A186" s="18">
        <v>1050001</v>
      </c>
      <c r="B186" s="25" t="s">
        <v>593</v>
      </c>
      <c r="C186" s="25">
        <v>1</v>
      </c>
      <c r="D186" s="25">
        <v>3</v>
      </c>
      <c r="E186" s="25">
        <v>1001</v>
      </c>
      <c r="F186" s="25">
        <v>350</v>
      </c>
      <c r="G186" s="25">
        <v>10000</v>
      </c>
      <c r="H186" s="25"/>
      <c r="I186" s="25">
        <v>1000</v>
      </c>
      <c r="J186" s="25">
        <v>0</v>
      </c>
      <c r="K186" s="25" t="s">
        <v>593</v>
      </c>
      <c r="L186" s="25" t="s">
        <v>593</v>
      </c>
      <c r="M186" s="25" t="s">
        <v>227</v>
      </c>
      <c r="N186" s="25">
        <v>0</v>
      </c>
      <c r="O186" s="38">
        <v>0</v>
      </c>
      <c r="P186" s="25">
        <v>0</v>
      </c>
      <c r="Q186" s="25">
        <v>1012</v>
      </c>
      <c r="R186" s="25">
        <v>700</v>
      </c>
      <c r="S186" s="25">
        <v>1050001</v>
      </c>
      <c r="T186" s="25">
        <v>400</v>
      </c>
      <c r="U186" s="25">
        <v>350</v>
      </c>
    </row>
    <row r="187" spans="1:26">
      <c r="A187" s="18">
        <v>1050002</v>
      </c>
      <c r="B187" s="25" t="s">
        <v>594</v>
      </c>
      <c r="C187" s="25">
        <v>2</v>
      </c>
      <c r="D187" s="25">
        <v>3</v>
      </c>
      <c r="E187" s="25">
        <v>2001</v>
      </c>
      <c r="F187" s="25">
        <v>350</v>
      </c>
      <c r="G187" s="25">
        <v>2600</v>
      </c>
      <c r="H187" s="25"/>
      <c r="I187" s="25">
        <v>12000</v>
      </c>
      <c r="J187" s="25">
        <v>1050002</v>
      </c>
      <c r="K187" s="25" t="s">
        <v>596</v>
      </c>
      <c r="L187" s="25" t="s">
        <v>594</v>
      </c>
      <c r="M187" s="25" t="s">
        <v>60</v>
      </c>
      <c r="N187" s="25">
        <v>0</v>
      </c>
      <c r="O187" s="38">
        <v>1050002</v>
      </c>
      <c r="P187" s="25">
        <v>1000</v>
      </c>
      <c r="Q187" s="25">
        <v>1012</v>
      </c>
      <c r="R187" s="25" t="s">
        <v>598</v>
      </c>
      <c r="S187" s="25">
        <v>0</v>
      </c>
      <c r="T187" s="25">
        <v>0</v>
      </c>
      <c r="U187" s="25">
        <v>0</v>
      </c>
      <c r="V187" s="39"/>
      <c r="W187" s="39"/>
      <c r="X187" s="39"/>
      <c r="Y187" s="39"/>
      <c r="Z187" s="39"/>
    </row>
    <row r="188" spans="1:21">
      <c r="A188" s="18">
        <v>1050101</v>
      </c>
      <c r="B188" s="25" t="s">
        <v>599</v>
      </c>
      <c r="C188" s="25">
        <v>1</v>
      </c>
      <c r="D188" s="25">
        <v>3</v>
      </c>
      <c r="E188" s="25">
        <v>1001</v>
      </c>
      <c r="F188" s="25">
        <v>350</v>
      </c>
      <c r="G188" s="25">
        <v>11000</v>
      </c>
      <c r="H188" s="25"/>
      <c r="I188" s="25">
        <v>1000</v>
      </c>
      <c r="J188" s="25">
        <v>0</v>
      </c>
      <c r="K188" s="25" t="s">
        <v>599</v>
      </c>
      <c r="L188" s="25" t="s">
        <v>599</v>
      </c>
      <c r="M188" s="25" t="s">
        <v>227</v>
      </c>
      <c r="N188" s="25">
        <v>0</v>
      </c>
      <c r="O188" s="38">
        <v>0</v>
      </c>
      <c r="P188" s="25">
        <v>0</v>
      </c>
      <c r="Q188" s="25">
        <v>1012</v>
      </c>
      <c r="R188" s="25">
        <v>700</v>
      </c>
      <c r="S188" s="25">
        <v>1050001</v>
      </c>
      <c r="T188" s="25">
        <v>400</v>
      </c>
      <c r="U188" s="25">
        <v>350</v>
      </c>
    </row>
    <row r="189" spans="1:21">
      <c r="A189" s="18">
        <v>1050102</v>
      </c>
      <c r="B189" s="25" t="s">
        <v>600</v>
      </c>
      <c r="C189" s="25">
        <v>2</v>
      </c>
      <c r="D189" s="25">
        <v>3</v>
      </c>
      <c r="E189" s="25">
        <v>2001</v>
      </c>
      <c r="F189" s="25">
        <v>350</v>
      </c>
      <c r="G189" s="25">
        <v>4800</v>
      </c>
      <c r="H189" s="25"/>
      <c r="I189" s="25">
        <v>12000</v>
      </c>
      <c r="J189" s="25">
        <v>1050002</v>
      </c>
      <c r="K189" s="25" t="s">
        <v>602</v>
      </c>
      <c r="L189" s="25" t="s">
        <v>600</v>
      </c>
      <c r="M189" s="25" t="s">
        <v>60</v>
      </c>
      <c r="N189" s="25">
        <v>0</v>
      </c>
      <c r="O189" s="38">
        <v>1050002</v>
      </c>
      <c r="P189" s="25">
        <v>400</v>
      </c>
      <c r="Q189" s="25">
        <v>1012</v>
      </c>
      <c r="R189" s="25" t="s">
        <v>604</v>
      </c>
      <c r="S189" s="25">
        <v>0</v>
      </c>
      <c r="T189" s="25">
        <v>0</v>
      </c>
      <c r="U189" s="25">
        <v>0</v>
      </c>
    </row>
    <row r="190" spans="1:21">
      <c r="A190" s="18">
        <v>1051001</v>
      </c>
      <c r="B190" s="25" t="s">
        <v>605</v>
      </c>
      <c r="C190" s="25">
        <v>1</v>
      </c>
      <c r="D190" s="25">
        <v>3</v>
      </c>
      <c r="E190" s="25">
        <v>1001</v>
      </c>
      <c r="F190" s="25">
        <v>350</v>
      </c>
      <c r="G190" s="25">
        <v>10000</v>
      </c>
      <c r="H190" s="25"/>
      <c r="I190" s="25">
        <v>1000</v>
      </c>
      <c r="J190" s="25">
        <v>0</v>
      </c>
      <c r="K190" s="25" t="s">
        <v>605</v>
      </c>
      <c r="L190" s="25" t="s">
        <v>605</v>
      </c>
      <c r="M190" s="25" t="s">
        <v>227</v>
      </c>
      <c r="N190" s="25">
        <v>0</v>
      </c>
      <c r="O190" s="38">
        <v>0</v>
      </c>
      <c r="P190" s="25">
        <v>0</v>
      </c>
      <c r="Q190" s="25">
        <v>1015</v>
      </c>
      <c r="R190" s="25">
        <v>700</v>
      </c>
      <c r="S190" s="25">
        <v>1051001</v>
      </c>
      <c r="T190" s="25">
        <v>400</v>
      </c>
      <c r="U190" s="25">
        <v>350</v>
      </c>
    </row>
    <row r="191" spans="1:21">
      <c r="A191" s="18">
        <v>1051002</v>
      </c>
      <c r="B191" s="25" t="s">
        <v>606</v>
      </c>
      <c r="C191" s="25">
        <v>2</v>
      </c>
      <c r="D191" s="25">
        <v>3</v>
      </c>
      <c r="E191" s="25">
        <v>2001</v>
      </c>
      <c r="F191" s="25">
        <v>350</v>
      </c>
      <c r="G191" s="25">
        <v>3000</v>
      </c>
      <c r="H191" s="25"/>
      <c r="I191" s="25">
        <v>15000</v>
      </c>
      <c r="J191" s="25">
        <v>1051002</v>
      </c>
      <c r="K191" s="25" t="s">
        <v>608</v>
      </c>
      <c r="L191" s="25" t="s">
        <v>606</v>
      </c>
      <c r="M191" s="25" t="s">
        <v>60</v>
      </c>
      <c r="N191" s="25">
        <v>0</v>
      </c>
      <c r="O191" s="38">
        <v>1051002</v>
      </c>
      <c r="P191" s="25">
        <v>700</v>
      </c>
      <c r="Q191" s="25">
        <v>1015</v>
      </c>
      <c r="R191" s="25" t="s">
        <v>610</v>
      </c>
      <c r="S191" s="25">
        <v>0</v>
      </c>
      <c r="T191" s="25">
        <v>0</v>
      </c>
      <c r="U191" s="25">
        <v>0</v>
      </c>
    </row>
    <row r="192" spans="1:21">
      <c r="A192" s="18">
        <v>1051101</v>
      </c>
      <c r="B192" s="25" t="s">
        <v>611</v>
      </c>
      <c r="C192" s="25">
        <v>1</v>
      </c>
      <c r="D192" s="25">
        <v>3</v>
      </c>
      <c r="E192" s="25">
        <v>1001</v>
      </c>
      <c r="F192" s="25">
        <v>350</v>
      </c>
      <c r="G192" s="25">
        <v>11000</v>
      </c>
      <c r="H192" s="25"/>
      <c r="I192" s="25">
        <v>1000</v>
      </c>
      <c r="J192" s="25">
        <v>0</v>
      </c>
      <c r="K192" s="25" t="s">
        <v>611</v>
      </c>
      <c r="L192" s="25" t="s">
        <v>611</v>
      </c>
      <c r="M192" s="25" t="s">
        <v>227</v>
      </c>
      <c r="N192" s="25">
        <v>0</v>
      </c>
      <c r="O192" s="38">
        <v>0</v>
      </c>
      <c r="P192" s="25">
        <v>0</v>
      </c>
      <c r="Q192" s="25">
        <v>1015</v>
      </c>
      <c r="R192" s="25">
        <v>700</v>
      </c>
      <c r="S192" s="25">
        <v>1051001</v>
      </c>
      <c r="T192" s="25">
        <v>400</v>
      </c>
      <c r="U192" s="25">
        <v>350</v>
      </c>
    </row>
    <row r="193" spans="1:21">
      <c r="A193" s="18">
        <v>1051102</v>
      </c>
      <c r="B193" s="25" t="s">
        <v>97</v>
      </c>
      <c r="C193" s="25">
        <v>2</v>
      </c>
      <c r="D193" s="25">
        <v>3</v>
      </c>
      <c r="E193" s="25">
        <v>2001</v>
      </c>
      <c r="F193" s="25">
        <v>350</v>
      </c>
      <c r="G193" s="25">
        <v>6000</v>
      </c>
      <c r="H193" s="25"/>
      <c r="I193" s="25">
        <v>15000</v>
      </c>
      <c r="J193" s="25">
        <v>1051002</v>
      </c>
      <c r="K193" s="25" t="s">
        <v>613</v>
      </c>
      <c r="L193" s="25" t="s">
        <v>97</v>
      </c>
      <c r="M193" s="25" t="s">
        <v>60</v>
      </c>
      <c r="N193" s="25">
        <v>0</v>
      </c>
      <c r="O193" s="38">
        <v>1051002</v>
      </c>
      <c r="P193" s="25">
        <v>700</v>
      </c>
      <c r="Q193" s="25">
        <v>1015</v>
      </c>
      <c r="R193" s="25" t="s">
        <v>610</v>
      </c>
      <c r="S193" s="25">
        <v>0</v>
      </c>
      <c r="T193" s="25">
        <v>0</v>
      </c>
      <c r="U193" s="25">
        <v>0</v>
      </c>
    </row>
    <row r="194" spans="1:21">
      <c r="A194" s="18">
        <v>1051201</v>
      </c>
      <c r="B194" s="25" t="s">
        <v>615</v>
      </c>
      <c r="C194" s="25">
        <v>1</v>
      </c>
      <c r="D194" s="25">
        <v>3</v>
      </c>
      <c r="E194" s="25">
        <v>1001</v>
      </c>
      <c r="F194" s="25">
        <v>350</v>
      </c>
      <c r="G194" s="25">
        <v>11000</v>
      </c>
      <c r="H194" s="25"/>
      <c r="I194" s="25">
        <v>1000</v>
      </c>
      <c r="J194" s="25">
        <v>0</v>
      </c>
      <c r="K194" s="25" t="s">
        <v>615</v>
      </c>
      <c r="L194" s="25" t="s">
        <v>615</v>
      </c>
      <c r="M194" s="25" t="s">
        <v>227</v>
      </c>
      <c r="N194" s="25">
        <v>0</v>
      </c>
      <c r="O194" s="38">
        <v>0</v>
      </c>
      <c r="P194" s="25">
        <v>0</v>
      </c>
      <c r="Q194" s="25">
        <v>1015</v>
      </c>
      <c r="R194" s="25">
        <v>700</v>
      </c>
      <c r="S194" s="25">
        <v>1051001</v>
      </c>
      <c r="T194" s="25">
        <v>400</v>
      </c>
      <c r="U194" s="25">
        <v>350</v>
      </c>
    </row>
    <row r="195" spans="1:21">
      <c r="A195" s="18">
        <v>1051202</v>
      </c>
      <c r="B195" s="25" t="s">
        <v>616</v>
      </c>
      <c r="C195" s="25">
        <v>2</v>
      </c>
      <c r="D195" s="25">
        <v>3</v>
      </c>
      <c r="E195" s="25">
        <v>2001</v>
      </c>
      <c r="F195" s="25">
        <v>350</v>
      </c>
      <c r="G195" s="25">
        <v>12000</v>
      </c>
      <c r="H195" s="25"/>
      <c r="I195" s="25">
        <v>15000</v>
      </c>
      <c r="J195" s="25">
        <v>1051202</v>
      </c>
      <c r="K195" s="25" t="s">
        <v>618</v>
      </c>
      <c r="L195" s="25" t="s">
        <v>616</v>
      </c>
      <c r="M195" s="25" t="s">
        <v>60</v>
      </c>
      <c r="N195" s="25">
        <v>0</v>
      </c>
      <c r="O195" s="38">
        <v>1051202</v>
      </c>
      <c r="P195" s="25">
        <v>500</v>
      </c>
      <c r="Q195" s="25">
        <v>1015</v>
      </c>
      <c r="R195" s="25" t="s">
        <v>620</v>
      </c>
      <c r="S195" s="25">
        <v>0</v>
      </c>
      <c r="T195" s="25">
        <v>0</v>
      </c>
      <c r="U195" s="25">
        <v>0</v>
      </c>
    </row>
    <row r="196" spans="1:21">
      <c r="A196" s="18">
        <v>1052001</v>
      </c>
      <c r="B196" s="25" t="s">
        <v>621</v>
      </c>
      <c r="C196" s="25">
        <v>1</v>
      </c>
      <c r="D196" s="25">
        <v>3</v>
      </c>
      <c r="E196" s="25">
        <v>1001</v>
      </c>
      <c r="F196" s="25">
        <v>350</v>
      </c>
      <c r="G196" s="25">
        <v>10000</v>
      </c>
      <c r="H196" s="25"/>
      <c r="I196" s="25">
        <v>1000</v>
      </c>
      <c r="J196" s="25">
        <v>0</v>
      </c>
      <c r="K196" s="25" t="s">
        <v>621</v>
      </c>
      <c r="L196" s="25" t="s">
        <v>621</v>
      </c>
      <c r="M196" s="25" t="s">
        <v>227</v>
      </c>
      <c r="N196" s="25">
        <v>0</v>
      </c>
      <c r="O196" s="38">
        <v>0</v>
      </c>
      <c r="P196" s="25">
        <v>0</v>
      </c>
      <c r="Q196" s="25">
        <v>1015</v>
      </c>
      <c r="R196" s="25">
        <v>700</v>
      </c>
      <c r="S196" s="25">
        <v>1052001</v>
      </c>
      <c r="T196" s="25">
        <v>400</v>
      </c>
      <c r="U196" s="25">
        <v>350</v>
      </c>
    </row>
    <row r="197" spans="1:21">
      <c r="A197" s="18">
        <v>1052002</v>
      </c>
      <c r="B197" s="25" t="s">
        <v>622</v>
      </c>
      <c r="C197" s="25">
        <v>2</v>
      </c>
      <c r="D197" s="25">
        <v>3</v>
      </c>
      <c r="E197" s="25">
        <v>2001</v>
      </c>
      <c r="F197" s="25">
        <v>350</v>
      </c>
      <c r="G197" s="25">
        <v>21000</v>
      </c>
      <c r="H197" s="25"/>
      <c r="I197" s="25">
        <v>15000</v>
      </c>
      <c r="J197" s="25">
        <v>1052002</v>
      </c>
      <c r="K197" s="25" t="s">
        <v>624</v>
      </c>
      <c r="L197" s="25" t="s">
        <v>622</v>
      </c>
      <c r="M197" s="25" t="s">
        <v>60</v>
      </c>
      <c r="N197" s="25">
        <v>0</v>
      </c>
      <c r="O197" s="38">
        <v>1052002</v>
      </c>
      <c r="P197" s="25">
        <v>0</v>
      </c>
      <c r="Q197" s="25">
        <v>1015</v>
      </c>
      <c r="R197" s="25">
        <v>700</v>
      </c>
      <c r="S197" s="25">
        <v>0</v>
      </c>
      <c r="T197" s="25">
        <v>0</v>
      </c>
      <c r="U197" s="25">
        <v>0</v>
      </c>
    </row>
    <row r="198" spans="1:21">
      <c r="A198" s="18">
        <v>1052101</v>
      </c>
      <c r="B198" s="25" t="s">
        <v>626</v>
      </c>
      <c r="C198" s="25">
        <v>1</v>
      </c>
      <c r="D198" s="25">
        <v>3</v>
      </c>
      <c r="E198" s="25">
        <v>1001</v>
      </c>
      <c r="F198" s="25">
        <v>350</v>
      </c>
      <c r="G198" s="25">
        <v>11000</v>
      </c>
      <c r="H198" s="25"/>
      <c r="I198" s="25">
        <v>1000</v>
      </c>
      <c r="J198" s="25">
        <v>0</v>
      </c>
      <c r="K198" s="25" t="s">
        <v>626</v>
      </c>
      <c r="L198" s="25" t="s">
        <v>626</v>
      </c>
      <c r="M198" s="25" t="s">
        <v>227</v>
      </c>
      <c r="N198" s="25">
        <v>0</v>
      </c>
      <c r="O198" s="38">
        <v>0</v>
      </c>
      <c r="P198" s="25">
        <v>0</v>
      </c>
      <c r="Q198" s="25">
        <v>1015</v>
      </c>
      <c r="R198" s="25">
        <v>700</v>
      </c>
      <c r="S198" s="25">
        <v>1052001</v>
      </c>
      <c r="T198" s="25">
        <v>400</v>
      </c>
      <c r="U198" s="25">
        <v>350</v>
      </c>
    </row>
    <row r="199" spans="1:21">
      <c r="A199" s="18">
        <v>1052102</v>
      </c>
      <c r="B199" s="25" t="s">
        <v>173</v>
      </c>
      <c r="C199" s="25">
        <v>2</v>
      </c>
      <c r="D199" s="25">
        <v>3</v>
      </c>
      <c r="E199" s="25">
        <v>2001</v>
      </c>
      <c r="F199" s="25">
        <v>350</v>
      </c>
      <c r="G199" s="25">
        <v>11000</v>
      </c>
      <c r="H199" s="25"/>
      <c r="I199" s="25">
        <v>15000</v>
      </c>
      <c r="J199" s="25">
        <v>1052102</v>
      </c>
      <c r="K199" s="25" t="s">
        <v>628</v>
      </c>
      <c r="L199" s="25" t="s">
        <v>173</v>
      </c>
      <c r="M199" s="25" t="s">
        <v>60</v>
      </c>
      <c r="N199" s="25">
        <v>0</v>
      </c>
      <c r="O199" s="38">
        <v>1052102</v>
      </c>
      <c r="P199" s="25">
        <v>0</v>
      </c>
      <c r="Q199" s="25">
        <v>1015</v>
      </c>
      <c r="R199" s="25" t="s">
        <v>630</v>
      </c>
      <c r="S199" s="25">
        <v>0</v>
      </c>
      <c r="T199" s="25">
        <v>0</v>
      </c>
      <c r="U199" s="25">
        <v>0</v>
      </c>
    </row>
    <row r="200" spans="1:21">
      <c r="A200" s="18">
        <v>1052201</v>
      </c>
      <c r="B200" s="25" t="s">
        <v>631</v>
      </c>
      <c r="C200" s="25">
        <v>1</v>
      </c>
      <c r="D200" s="25">
        <v>3</v>
      </c>
      <c r="E200" s="25">
        <v>1001</v>
      </c>
      <c r="F200" s="25">
        <v>350</v>
      </c>
      <c r="G200" s="25">
        <v>11000</v>
      </c>
      <c r="H200" s="25"/>
      <c r="I200" s="25">
        <v>1000</v>
      </c>
      <c r="J200" s="25">
        <v>0</v>
      </c>
      <c r="K200" s="25" t="s">
        <v>631</v>
      </c>
      <c r="L200" s="25" t="s">
        <v>631</v>
      </c>
      <c r="M200" s="25" t="s">
        <v>227</v>
      </c>
      <c r="N200" s="25">
        <v>0</v>
      </c>
      <c r="O200" s="38">
        <v>0</v>
      </c>
      <c r="P200" s="25">
        <v>0</v>
      </c>
      <c r="Q200" s="25">
        <v>1015</v>
      </c>
      <c r="R200" s="25">
        <v>700</v>
      </c>
      <c r="S200" s="25">
        <v>1052001</v>
      </c>
      <c r="T200" s="25">
        <v>400</v>
      </c>
      <c r="U200" s="25">
        <v>350</v>
      </c>
    </row>
    <row r="201" spans="1:21">
      <c r="A201" s="18">
        <v>1052202</v>
      </c>
      <c r="B201" s="25" t="s">
        <v>223</v>
      </c>
      <c r="C201" s="25">
        <v>2</v>
      </c>
      <c r="D201" s="25">
        <v>3</v>
      </c>
      <c r="E201" s="25">
        <v>2001</v>
      </c>
      <c r="F201" s="25">
        <v>350</v>
      </c>
      <c r="G201" s="25">
        <v>84000</v>
      </c>
      <c r="H201" s="25"/>
      <c r="I201" s="25">
        <v>17000</v>
      </c>
      <c r="J201" s="25">
        <v>1052202</v>
      </c>
      <c r="K201" s="25" t="s">
        <v>633</v>
      </c>
      <c r="L201" s="25" t="s">
        <v>223</v>
      </c>
      <c r="M201" s="25" t="s">
        <v>60</v>
      </c>
      <c r="N201" s="25">
        <v>0</v>
      </c>
      <c r="O201" s="38">
        <v>1052202</v>
      </c>
      <c r="P201" s="25">
        <v>100</v>
      </c>
      <c r="Q201" s="25">
        <v>1015</v>
      </c>
      <c r="R201" s="25">
        <v>1000</v>
      </c>
      <c r="S201" s="25">
        <v>0</v>
      </c>
      <c r="T201" s="25">
        <v>0</v>
      </c>
      <c r="U201" s="25">
        <v>0</v>
      </c>
    </row>
    <row r="202" spans="1:21">
      <c r="A202" s="18">
        <v>1053001</v>
      </c>
      <c r="B202" s="25" t="s">
        <v>635</v>
      </c>
      <c r="C202" s="25">
        <v>1</v>
      </c>
      <c r="D202" s="25">
        <v>3</v>
      </c>
      <c r="E202" s="25">
        <v>1001</v>
      </c>
      <c r="F202" s="25">
        <v>350</v>
      </c>
      <c r="G202" s="25">
        <v>10000</v>
      </c>
      <c r="H202" s="25"/>
      <c r="I202" s="25">
        <v>1000</v>
      </c>
      <c r="J202" s="25">
        <v>0</v>
      </c>
      <c r="K202" s="25" t="s">
        <v>635</v>
      </c>
      <c r="L202" s="25" t="s">
        <v>635</v>
      </c>
      <c r="M202" s="25" t="s">
        <v>227</v>
      </c>
      <c r="N202" s="25">
        <v>0</v>
      </c>
      <c r="O202" s="38">
        <v>0</v>
      </c>
      <c r="P202" s="25">
        <v>0</v>
      </c>
      <c r="Q202" s="25">
        <v>1015</v>
      </c>
      <c r="R202" s="25">
        <v>700</v>
      </c>
      <c r="S202" s="25">
        <v>1053001</v>
      </c>
      <c r="T202" s="25">
        <v>400</v>
      </c>
      <c r="U202" s="25">
        <v>350</v>
      </c>
    </row>
    <row r="203" spans="1:21">
      <c r="A203" s="18">
        <v>1053002</v>
      </c>
      <c r="B203" s="25" t="s">
        <v>144</v>
      </c>
      <c r="C203" s="25">
        <v>2</v>
      </c>
      <c r="D203" s="25">
        <v>3</v>
      </c>
      <c r="E203" s="25">
        <v>2001</v>
      </c>
      <c r="F203" s="25">
        <v>350</v>
      </c>
      <c r="G203" s="25">
        <v>3500</v>
      </c>
      <c r="H203" s="25"/>
      <c r="I203" s="25">
        <v>15000</v>
      </c>
      <c r="J203" s="25">
        <v>1053002</v>
      </c>
      <c r="K203" s="25" t="s">
        <v>637</v>
      </c>
      <c r="L203" s="25" t="s">
        <v>144</v>
      </c>
      <c r="M203" s="25" t="s">
        <v>60</v>
      </c>
      <c r="N203" s="25">
        <v>0</v>
      </c>
      <c r="O203" s="38">
        <v>1053002</v>
      </c>
      <c r="P203" s="25">
        <v>1000</v>
      </c>
      <c r="Q203" s="25">
        <v>1015</v>
      </c>
      <c r="R203" s="25" t="s">
        <v>639</v>
      </c>
      <c r="S203" s="25">
        <v>0</v>
      </c>
      <c r="T203" s="25">
        <v>0</v>
      </c>
      <c r="U203" s="25">
        <v>0</v>
      </c>
    </row>
    <row r="204" spans="1:21">
      <c r="A204" s="18">
        <v>1053101</v>
      </c>
      <c r="B204" s="25" t="s">
        <v>640</v>
      </c>
      <c r="C204" s="25">
        <v>1</v>
      </c>
      <c r="D204" s="25">
        <v>3</v>
      </c>
      <c r="E204" s="25">
        <v>1001</v>
      </c>
      <c r="F204" s="25">
        <v>350</v>
      </c>
      <c r="G204" s="25">
        <v>11000</v>
      </c>
      <c r="H204" s="25"/>
      <c r="I204" s="25">
        <v>1000</v>
      </c>
      <c r="J204" s="25">
        <v>0</v>
      </c>
      <c r="K204" s="25" t="s">
        <v>640</v>
      </c>
      <c r="L204" s="25" t="s">
        <v>640</v>
      </c>
      <c r="M204" s="25" t="s">
        <v>227</v>
      </c>
      <c r="N204" s="25">
        <v>0</v>
      </c>
      <c r="O204" s="38">
        <v>0</v>
      </c>
      <c r="P204" s="25">
        <v>0</v>
      </c>
      <c r="Q204" s="25">
        <v>1015</v>
      </c>
      <c r="R204" s="25">
        <v>700</v>
      </c>
      <c r="S204" s="25">
        <v>1053001</v>
      </c>
      <c r="T204" s="25">
        <v>400</v>
      </c>
      <c r="U204" s="25">
        <v>350</v>
      </c>
    </row>
    <row r="205" spans="1:21">
      <c r="A205" s="18">
        <v>1053102</v>
      </c>
      <c r="B205" s="25" t="s">
        <v>641</v>
      </c>
      <c r="C205" s="25">
        <v>2</v>
      </c>
      <c r="D205" s="25">
        <v>3</v>
      </c>
      <c r="E205" s="25">
        <v>2001</v>
      </c>
      <c r="F205" s="25">
        <v>350</v>
      </c>
      <c r="G205" s="25">
        <v>7000</v>
      </c>
      <c r="H205" s="25"/>
      <c r="I205" s="25">
        <v>15000</v>
      </c>
      <c r="J205" s="25">
        <v>1053002</v>
      </c>
      <c r="K205" s="25" t="s">
        <v>643</v>
      </c>
      <c r="L205" s="25" t="s">
        <v>641</v>
      </c>
      <c r="M205" s="25" t="s">
        <v>60</v>
      </c>
      <c r="N205" s="25">
        <v>0</v>
      </c>
      <c r="O205" s="38">
        <v>1053002</v>
      </c>
      <c r="P205" s="25">
        <v>1000</v>
      </c>
      <c r="Q205" s="25">
        <v>1015</v>
      </c>
      <c r="R205" s="25" t="s">
        <v>639</v>
      </c>
      <c r="S205" s="25">
        <v>0</v>
      </c>
      <c r="T205" s="25">
        <v>0</v>
      </c>
      <c r="U205" s="25">
        <v>0</v>
      </c>
    </row>
    <row r="206" spans="1:21">
      <c r="A206" s="18">
        <v>1056001</v>
      </c>
      <c r="B206" s="25" t="s">
        <v>645</v>
      </c>
      <c r="C206" s="25">
        <v>1</v>
      </c>
      <c r="D206" s="25">
        <v>3</v>
      </c>
      <c r="E206" s="25">
        <v>1001</v>
      </c>
      <c r="F206" s="25">
        <v>350</v>
      </c>
      <c r="G206" s="25">
        <v>10000</v>
      </c>
      <c r="H206" s="25"/>
      <c r="I206" s="25">
        <v>1000</v>
      </c>
      <c r="J206" s="25">
        <v>0</v>
      </c>
      <c r="K206" s="25" t="s">
        <v>645</v>
      </c>
      <c r="L206" s="25" t="s">
        <v>645</v>
      </c>
      <c r="M206" s="25" t="s">
        <v>227</v>
      </c>
      <c r="N206" s="25">
        <v>0</v>
      </c>
      <c r="O206" s="38">
        <v>0</v>
      </c>
      <c r="P206" s="25">
        <v>0</v>
      </c>
      <c r="Q206" s="25">
        <v>1011</v>
      </c>
      <c r="R206" s="25">
        <v>700</v>
      </c>
      <c r="S206" s="25">
        <v>1056001</v>
      </c>
      <c r="T206" s="25">
        <v>400</v>
      </c>
      <c r="U206" s="25">
        <v>350</v>
      </c>
    </row>
    <row r="207" spans="1:21">
      <c r="A207" s="18">
        <v>1056002</v>
      </c>
      <c r="B207" s="25" t="s">
        <v>646</v>
      </c>
      <c r="C207" s="25">
        <v>2</v>
      </c>
      <c r="D207" s="25">
        <v>3</v>
      </c>
      <c r="E207" s="25">
        <v>2001</v>
      </c>
      <c r="F207" s="25">
        <v>350</v>
      </c>
      <c r="G207" s="25">
        <v>5500</v>
      </c>
      <c r="H207" s="25"/>
      <c r="I207" s="25">
        <v>11000</v>
      </c>
      <c r="J207" s="25">
        <v>1056002</v>
      </c>
      <c r="K207" s="25" t="s">
        <v>648</v>
      </c>
      <c r="L207" s="25" t="s">
        <v>646</v>
      </c>
      <c r="M207" s="25" t="s">
        <v>60</v>
      </c>
      <c r="N207" s="25">
        <v>0</v>
      </c>
      <c r="O207" s="38">
        <v>1056002</v>
      </c>
      <c r="P207" s="25">
        <v>700</v>
      </c>
      <c r="Q207" s="25">
        <v>1011</v>
      </c>
      <c r="R207" s="25" t="s">
        <v>586</v>
      </c>
      <c r="S207" s="25">
        <v>0</v>
      </c>
      <c r="T207" s="25">
        <v>0</v>
      </c>
      <c r="U207" s="25">
        <v>0</v>
      </c>
    </row>
    <row r="208" spans="1:21">
      <c r="A208" s="18">
        <v>1056101</v>
      </c>
      <c r="B208" s="25" t="s">
        <v>651</v>
      </c>
      <c r="C208" s="25">
        <v>1</v>
      </c>
      <c r="D208" s="25">
        <v>3</v>
      </c>
      <c r="E208" s="25">
        <v>1001</v>
      </c>
      <c r="F208" s="25">
        <v>350</v>
      </c>
      <c r="G208" s="25">
        <v>11000</v>
      </c>
      <c r="H208" s="25"/>
      <c r="I208" s="25">
        <v>1000</v>
      </c>
      <c r="J208" s="25">
        <v>0</v>
      </c>
      <c r="K208" s="25" t="s">
        <v>651</v>
      </c>
      <c r="L208" s="25" t="s">
        <v>651</v>
      </c>
      <c r="M208" s="25" t="s">
        <v>227</v>
      </c>
      <c r="N208" s="25">
        <v>0</v>
      </c>
      <c r="O208" s="38">
        <v>0</v>
      </c>
      <c r="P208" s="25">
        <v>0</v>
      </c>
      <c r="Q208" s="25">
        <v>1011</v>
      </c>
      <c r="R208" s="25">
        <v>600</v>
      </c>
      <c r="S208" s="25">
        <v>1056001</v>
      </c>
      <c r="T208" s="25">
        <v>300</v>
      </c>
      <c r="U208" s="25">
        <v>350</v>
      </c>
    </row>
    <row r="209" spans="1:21">
      <c r="A209" s="18">
        <v>1056102</v>
      </c>
      <c r="B209" s="25" t="s">
        <v>652</v>
      </c>
      <c r="C209" s="25">
        <v>2</v>
      </c>
      <c r="D209" s="25">
        <v>3</v>
      </c>
      <c r="E209" s="25">
        <v>2001</v>
      </c>
      <c r="F209" s="25">
        <v>350</v>
      </c>
      <c r="G209" s="25">
        <v>8000</v>
      </c>
      <c r="H209" s="25"/>
      <c r="I209" s="25">
        <v>11000</v>
      </c>
      <c r="J209" s="25">
        <v>1056002</v>
      </c>
      <c r="K209" s="25" t="s">
        <v>654</v>
      </c>
      <c r="L209" s="25" t="s">
        <v>652</v>
      </c>
      <c r="M209" s="25" t="s">
        <v>60</v>
      </c>
      <c r="N209" s="25">
        <v>0</v>
      </c>
      <c r="O209" s="38">
        <v>1056002</v>
      </c>
      <c r="P209" s="25">
        <v>600</v>
      </c>
      <c r="Q209" s="25">
        <v>1011</v>
      </c>
      <c r="R209" s="25" t="s">
        <v>586</v>
      </c>
      <c r="S209" s="25">
        <v>0</v>
      </c>
      <c r="T209" s="25">
        <v>0</v>
      </c>
      <c r="U209" s="25">
        <v>0</v>
      </c>
    </row>
    <row r="210" spans="1:21">
      <c r="A210" s="18">
        <v>1056201</v>
      </c>
      <c r="B210" s="25" t="s">
        <v>656</v>
      </c>
      <c r="C210" s="25">
        <v>1</v>
      </c>
      <c r="D210" s="25">
        <v>3</v>
      </c>
      <c r="E210" s="25">
        <v>1001</v>
      </c>
      <c r="F210" s="25">
        <v>350</v>
      </c>
      <c r="G210" s="25">
        <v>11000</v>
      </c>
      <c r="H210" s="25"/>
      <c r="I210" s="25">
        <v>1000</v>
      </c>
      <c r="J210" s="25">
        <v>0</v>
      </c>
      <c r="K210" s="25" t="s">
        <v>656</v>
      </c>
      <c r="L210" s="25" t="s">
        <v>656</v>
      </c>
      <c r="M210" s="25" t="s">
        <v>227</v>
      </c>
      <c r="N210" s="25">
        <v>0</v>
      </c>
      <c r="O210" s="38">
        <v>0</v>
      </c>
      <c r="P210" s="25">
        <v>0</v>
      </c>
      <c r="Q210" s="25">
        <v>1011</v>
      </c>
      <c r="R210" s="25">
        <v>700</v>
      </c>
      <c r="S210" s="25">
        <v>1056201</v>
      </c>
      <c r="T210" s="25">
        <v>400</v>
      </c>
      <c r="U210" s="25">
        <v>350</v>
      </c>
    </row>
    <row r="211" spans="1:21">
      <c r="A211" s="18">
        <v>1056202</v>
      </c>
      <c r="B211" s="25" t="s">
        <v>189</v>
      </c>
      <c r="C211" s="25">
        <v>2</v>
      </c>
      <c r="D211" s="25">
        <v>3</v>
      </c>
      <c r="E211" s="25">
        <v>2001</v>
      </c>
      <c r="F211" s="25">
        <v>350</v>
      </c>
      <c r="G211" s="25">
        <v>20000</v>
      </c>
      <c r="H211" s="25"/>
      <c r="I211" s="25">
        <v>11000</v>
      </c>
      <c r="J211" s="25">
        <v>1056202</v>
      </c>
      <c r="K211" s="25" t="s">
        <v>658</v>
      </c>
      <c r="L211" s="25" t="s">
        <v>189</v>
      </c>
      <c r="M211" s="25" t="s">
        <v>60</v>
      </c>
      <c r="N211" s="25">
        <v>0</v>
      </c>
      <c r="O211" s="38">
        <v>1056202</v>
      </c>
      <c r="P211" s="25">
        <v>700</v>
      </c>
      <c r="Q211" s="25">
        <v>1011</v>
      </c>
      <c r="R211" s="25" t="s">
        <v>660</v>
      </c>
      <c r="S211" s="25">
        <v>0</v>
      </c>
      <c r="T211" s="25">
        <v>0</v>
      </c>
      <c r="U211" s="25">
        <v>0</v>
      </c>
    </row>
    <row r="212" spans="1:21">
      <c r="A212" s="18">
        <v>1057001</v>
      </c>
      <c r="B212" s="25" t="s">
        <v>661</v>
      </c>
      <c r="C212" s="25">
        <v>1</v>
      </c>
      <c r="D212" s="25">
        <v>3</v>
      </c>
      <c r="E212" s="25">
        <v>1001</v>
      </c>
      <c r="F212" s="25">
        <v>350</v>
      </c>
      <c r="G212" s="25">
        <v>11000</v>
      </c>
      <c r="H212" s="25"/>
      <c r="I212" s="25">
        <v>1000</v>
      </c>
      <c r="J212" s="25">
        <v>0</v>
      </c>
      <c r="K212" s="25" t="s">
        <v>661</v>
      </c>
      <c r="L212" s="25" t="s">
        <v>661</v>
      </c>
      <c r="M212" s="25" t="s">
        <v>227</v>
      </c>
      <c r="N212" s="25">
        <v>0</v>
      </c>
      <c r="O212" s="38">
        <v>0</v>
      </c>
      <c r="P212" s="25">
        <v>0</v>
      </c>
      <c r="Q212" s="25">
        <v>1011</v>
      </c>
      <c r="R212" s="25">
        <v>700</v>
      </c>
      <c r="S212" s="25">
        <v>1057001</v>
      </c>
      <c r="T212" s="25">
        <v>400</v>
      </c>
      <c r="U212" s="25">
        <v>350</v>
      </c>
    </row>
    <row r="213" spans="1:21">
      <c r="A213" s="18">
        <v>1057002</v>
      </c>
      <c r="B213" s="25" t="s">
        <v>662</v>
      </c>
      <c r="C213" s="25">
        <v>2</v>
      </c>
      <c r="D213" s="25">
        <v>3</v>
      </c>
      <c r="E213" s="25">
        <v>2001</v>
      </c>
      <c r="F213" s="25">
        <v>350</v>
      </c>
      <c r="G213" s="25">
        <v>42000</v>
      </c>
      <c r="H213" s="25"/>
      <c r="I213" s="25">
        <v>7000</v>
      </c>
      <c r="J213" s="25">
        <v>1057002</v>
      </c>
      <c r="K213" s="25" t="s">
        <v>664</v>
      </c>
      <c r="L213" s="25" t="s">
        <v>662</v>
      </c>
      <c r="M213" s="25" t="s">
        <v>60</v>
      </c>
      <c r="N213" s="25">
        <v>0</v>
      </c>
      <c r="O213" s="38">
        <v>1057002</v>
      </c>
      <c r="P213" s="25">
        <v>500</v>
      </c>
      <c r="Q213" s="25">
        <v>1011</v>
      </c>
      <c r="R213" s="25">
        <v>1000</v>
      </c>
      <c r="S213" s="25">
        <v>0</v>
      </c>
      <c r="T213" s="25">
        <v>0</v>
      </c>
      <c r="U213" s="25">
        <v>0</v>
      </c>
    </row>
    <row r="214" spans="1:21">
      <c r="A214" s="18">
        <v>1057101</v>
      </c>
      <c r="B214" s="25" t="s">
        <v>666</v>
      </c>
      <c r="C214" s="25">
        <v>1</v>
      </c>
      <c r="D214" s="25">
        <v>3</v>
      </c>
      <c r="E214" s="25">
        <v>1001</v>
      </c>
      <c r="F214" s="25">
        <v>350</v>
      </c>
      <c r="G214" s="25">
        <v>10000</v>
      </c>
      <c r="H214" s="25"/>
      <c r="I214" s="25">
        <v>1000</v>
      </c>
      <c r="J214" s="25">
        <v>0</v>
      </c>
      <c r="K214" s="25" t="s">
        <v>666</v>
      </c>
      <c r="L214" s="25" t="s">
        <v>666</v>
      </c>
      <c r="M214" s="25" t="s">
        <v>227</v>
      </c>
      <c r="N214" s="25">
        <v>0</v>
      </c>
      <c r="O214" s="38">
        <v>0</v>
      </c>
      <c r="P214" s="25">
        <v>0</v>
      </c>
      <c r="Q214" s="25">
        <v>1011</v>
      </c>
      <c r="R214" s="25">
        <v>700</v>
      </c>
      <c r="S214" s="25">
        <v>1057001</v>
      </c>
      <c r="T214" s="25">
        <v>400</v>
      </c>
      <c r="U214" s="25">
        <v>350</v>
      </c>
    </row>
    <row r="215" spans="1:21">
      <c r="A215" s="18">
        <v>1057102</v>
      </c>
      <c r="B215" s="25" t="s">
        <v>667</v>
      </c>
      <c r="C215" s="25">
        <v>2</v>
      </c>
      <c r="D215" s="25">
        <v>3</v>
      </c>
      <c r="E215" s="25">
        <v>2001</v>
      </c>
      <c r="F215" s="25">
        <v>350</v>
      </c>
      <c r="G215" s="25">
        <v>22000</v>
      </c>
      <c r="H215" s="25"/>
      <c r="I215" s="25">
        <v>7000</v>
      </c>
      <c r="J215" s="25">
        <v>1057002</v>
      </c>
      <c r="K215" s="25" t="s">
        <v>669</v>
      </c>
      <c r="L215" s="25" t="s">
        <v>667</v>
      </c>
      <c r="M215" s="25" t="s">
        <v>60</v>
      </c>
      <c r="N215" s="25">
        <v>0</v>
      </c>
      <c r="O215" s="38">
        <v>1057002</v>
      </c>
      <c r="P215" s="25">
        <v>500</v>
      </c>
      <c r="Q215" s="25">
        <v>1011</v>
      </c>
      <c r="R215" s="25">
        <v>1100</v>
      </c>
      <c r="S215" s="25">
        <v>0</v>
      </c>
      <c r="T215" s="25">
        <v>0</v>
      </c>
      <c r="U215" s="25">
        <v>0</v>
      </c>
    </row>
    <row r="216" spans="1:21">
      <c r="A216" s="18">
        <v>1058001</v>
      </c>
      <c r="B216" s="25" t="s">
        <v>671</v>
      </c>
      <c r="C216" s="25">
        <v>1</v>
      </c>
      <c r="D216" s="25">
        <v>3</v>
      </c>
      <c r="E216" s="25">
        <v>1001</v>
      </c>
      <c r="F216" s="25">
        <v>350</v>
      </c>
      <c r="G216" s="25">
        <v>10000</v>
      </c>
      <c r="H216" s="25"/>
      <c r="I216" s="25">
        <v>1000</v>
      </c>
      <c r="J216" s="25">
        <v>0</v>
      </c>
      <c r="K216" s="25" t="s">
        <v>671</v>
      </c>
      <c r="L216" s="25" t="s">
        <v>671</v>
      </c>
      <c r="M216" s="25" t="s">
        <v>227</v>
      </c>
      <c r="N216" s="25">
        <v>0</v>
      </c>
      <c r="O216" s="38">
        <v>0</v>
      </c>
      <c r="P216" s="25">
        <v>0</v>
      </c>
      <c r="Q216" s="25">
        <v>1013</v>
      </c>
      <c r="R216" s="25">
        <v>700</v>
      </c>
      <c r="S216" s="25">
        <v>1058001</v>
      </c>
      <c r="T216" s="25">
        <v>400</v>
      </c>
      <c r="U216" s="25">
        <v>350</v>
      </c>
    </row>
    <row r="217" spans="1:21">
      <c r="A217" s="18">
        <v>1058002</v>
      </c>
      <c r="B217" s="25" t="s">
        <v>73</v>
      </c>
      <c r="C217" s="25">
        <v>2</v>
      </c>
      <c r="D217" s="25">
        <v>3</v>
      </c>
      <c r="E217" s="25">
        <v>2001</v>
      </c>
      <c r="F217" s="25">
        <v>350</v>
      </c>
      <c r="G217" s="25">
        <v>21000</v>
      </c>
      <c r="H217" s="25"/>
      <c r="I217" s="25">
        <v>9000</v>
      </c>
      <c r="J217" s="25">
        <v>1058002</v>
      </c>
      <c r="K217" s="25" t="s">
        <v>673</v>
      </c>
      <c r="L217" s="25" t="s">
        <v>73</v>
      </c>
      <c r="M217" s="25" t="s">
        <v>60</v>
      </c>
      <c r="N217" s="25">
        <v>0</v>
      </c>
      <c r="O217" s="38">
        <v>1058002</v>
      </c>
      <c r="P217" s="26">
        <v>400</v>
      </c>
      <c r="Q217" s="26">
        <v>1013</v>
      </c>
      <c r="R217" s="26">
        <v>2000</v>
      </c>
      <c r="S217" s="25">
        <v>0</v>
      </c>
      <c r="T217" s="25">
        <v>0</v>
      </c>
      <c r="U217" s="25">
        <v>0</v>
      </c>
    </row>
    <row r="218" spans="1:21">
      <c r="A218" s="18">
        <v>1058101</v>
      </c>
      <c r="B218" s="25" t="s">
        <v>675</v>
      </c>
      <c r="C218" s="25">
        <v>1</v>
      </c>
      <c r="D218" s="25">
        <v>3</v>
      </c>
      <c r="E218" s="25">
        <v>1001</v>
      </c>
      <c r="F218" s="25">
        <v>350</v>
      </c>
      <c r="G218" s="25">
        <v>10000</v>
      </c>
      <c r="H218" s="25"/>
      <c r="I218" s="25">
        <v>1000</v>
      </c>
      <c r="J218" s="25">
        <v>0</v>
      </c>
      <c r="K218" s="25" t="s">
        <v>675</v>
      </c>
      <c r="L218" s="25" t="s">
        <v>675</v>
      </c>
      <c r="M218" s="25" t="s">
        <v>227</v>
      </c>
      <c r="N218" s="25">
        <v>0</v>
      </c>
      <c r="O218" s="38">
        <v>0</v>
      </c>
      <c r="P218" s="25">
        <v>0</v>
      </c>
      <c r="Q218" s="25">
        <v>1013</v>
      </c>
      <c r="R218" s="25">
        <v>700</v>
      </c>
      <c r="S218" s="25">
        <v>1058001</v>
      </c>
      <c r="T218" s="25">
        <v>400</v>
      </c>
      <c r="U218" s="25">
        <v>350</v>
      </c>
    </row>
    <row r="219" spans="1:21">
      <c r="A219" s="18">
        <v>1058102</v>
      </c>
      <c r="B219" s="25" t="s">
        <v>676</v>
      </c>
      <c r="C219" s="25">
        <v>2</v>
      </c>
      <c r="D219" s="25">
        <v>3</v>
      </c>
      <c r="E219" s="25">
        <v>2001</v>
      </c>
      <c r="F219" s="25">
        <v>350</v>
      </c>
      <c r="G219" s="25">
        <v>42000</v>
      </c>
      <c r="H219" s="25"/>
      <c r="I219" s="25">
        <v>9000</v>
      </c>
      <c r="J219" s="26">
        <v>1058002</v>
      </c>
      <c r="K219" s="25" t="s">
        <v>678</v>
      </c>
      <c r="L219" s="25" t="s">
        <v>676</v>
      </c>
      <c r="M219" s="25" t="s">
        <v>60</v>
      </c>
      <c r="N219" s="25">
        <v>0</v>
      </c>
      <c r="O219" s="38">
        <v>1058002</v>
      </c>
      <c r="P219" s="26">
        <v>400</v>
      </c>
      <c r="Q219" s="26">
        <v>1013</v>
      </c>
      <c r="R219" s="26">
        <v>2000</v>
      </c>
      <c r="S219" s="25">
        <v>0</v>
      </c>
      <c r="T219" s="25">
        <v>0</v>
      </c>
      <c r="U219" s="25">
        <v>0</v>
      </c>
    </row>
    <row r="220" spans="1:21">
      <c r="A220" s="18">
        <v>1058201</v>
      </c>
      <c r="B220" s="25" t="s">
        <v>681</v>
      </c>
      <c r="C220" s="25">
        <v>1</v>
      </c>
      <c r="D220" s="25">
        <v>3</v>
      </c>
      <c r="E220" s="25">
        <v>1001</v>
      </c>
      <c r="F220" s="25">
        <v>350</v>
      </c>
      <c r="G220" s="25">
        <v>10000</v>
      </c>
      <c r="H220" s="25"/>
      <c r="I220" s="25">
        <v>1000</v>
      </c>
      <c r="J220" s="25">
        <v>0</v>
      </c>
      <c r="K220" s="25" t="s">
        <v>681</v>
      </c>
      <c r="L220" s="25" t="s">
        <v>681</v>
      </c>
      <c r="M220" s="25" t="s">
        <v>227</v>
      </c>
      <c r="N220" s="25">
        <v>0</v>
      </c>
      <c r="O220" s="38">
        <v>0</v>
      </c>
      <c r="P220" s="25">
        <v>0</v>
      </c>
      <c r="Q220" s="25">
        <v>1013</v>
      </c>
      <c r="R220" s="25">
        <v>700</v>
      </c>
      <c r="S220" s="25">
        <v>1058001</v>
      </c>
      <c r="T220" s="25">
        <v>400</v>
      </c>
      <c r="U220" s="25">
        <v>350</v>
      </c>
    </row>
    <row r="221" spans="1:21">
      <c r="A221" s="18">
        <v>1058202</v>
      </c>
      <c r="B221" s="25" t="s">
        <v>682</v>
      </c>
      <c r="C221" s="25">
        <v>2</v>
      </c>
      <c r="D221" s="25">
        <v>3</v>
      </c>
      <c r="E221" s="25">
        <v>2001</v>
      </c>
      <c r="F221" s="25">
        <v>350</v>
      </c>
      <c r="G221" s="25">
        <v>14000</v>
      </c>
      <c r="H221" s="25"/>
      <c r="I221" s="25">
        <v>9000</v>
      </c>
      <c r="J221" s="25">
        <v>1058202</v>
      </c>
      <c r="K221" s="25" t="s">
        <v>684</v>
      </c>
      <c r="L221" s="25" t="s">
        <v>682</v>
      </c>
      <c r="M221" s="25" t="s">
        <v>60</v>
      </c>
      <c r="N221" s="25">
        <v>0</v>
      </c>
      <c r="O221" s="38">
        <v>1058202</v>
      </c>
      <c r="P221" s="26">
        <v>700</v>
      </c>
      <c r="Q221" s="26">
        <v>1013</v>
      </c>
      <c r="R221" s="26" t="s">
        <v>686</v>
      </c>
      <c r="S221" s="25">
        <v>0</v>
      </c>
      <c r="T221" s="25">
        <v>0</v>
      </c>
      <c r="U221" s="25">
        <v>0</v>
      </c>
    </row>
    <row r="222" spans="1:21">
      <c r="A222" s="18">
        <v>1059001</v>
      </c>
      <c r="B222" s="25" t="s">
        <v>687</v>
      </c>
      <c r="C222" s="25">
        <v>1</v>
      </c>
      <c r="D222" s="25">
        <v>3</v>
      </c>
      <c r="E222" s="25">
        <v>1001</v>
      </c>
      <c r="F222" s="25">
        <v>350</v>
      </c>
      <c r="G222" s="25">
        <v>10000</v>
      </c>
      <c r="H222" s="25"/>
      <c r="I222" s="25">
        <v>1000</v>
      </c>
      <c r="J222" s="25">
        <v>0</v>
      </c>
      <c r="K222" s="25" t="s">
        <v>687</v>
      </c>
      <c r="L222" s="25" t="s">
        <v>687</v>
      </c>
      <c r="M222" s="25" t="s">
        <v>227</v>
      </c>
      <c r="N222" s="25">
        <v>0</v>
      </c>
      <c r="O222" s="38">
        <v>0</v>
      </c>
      <c r="P222" s="25">
        <v>0</v>
      </c>
      <c r="Q222" s="25">
        <v>1011</v>
      </c>
      <c r="R222" s="25">
        <v>600</v>
      </c>
      <c r="S222" s="25">
        <v>1059001</v>
      </c>
      <c r="T222" s="25">
        <v>300</v>
      </c>
      <c r="U222" s="25">
        <v>350</v>
      </c>
    </row>
    <row r="223" spans="1:21">
      <c r="A223" s="18">
        <v>1059002</v>
      </c>
      <c r="B223" s="25" t="s">
        <v>688</v>
      </c>
      <c r="C223" s="25">
        <v>2</v>
      </c>
      <c r="D223" s="25">
        <v>3</v>
      </c>
      <c r="E223" s="25">
        <v>2001</v>
      </c>
      <c r="F223" s="25">
        <v>350</v>
      </c>
      <c r="G223" s="25">
        <v>3500</v>
      </c>
      <c r="H223" s="25"/>
      <c r="I223" s="25">
        <v>7000</v>
      </c>
      <c r="J223" s="25">
        <v>1059002</v>
      </c>
      <c r="K223" s="25" t="s">
        <v>690</v>
      </c>
      <c r="L223" s="25" t="s">
        <v>688</v>
      </c>
      <c r="M223" s="25" t="s">
        <v>60</v>
      </c>
      <c r="N223" s="25">
        <v>0</v>
      </c>
      <c r="O223" s="38">
        <v>1059002</v>
      </c>
      <c r="P223" s="25">
        <v>1400</v>
      </c>
      <c r="Q223" s="25">
        <v>1011</v>
      </c>
      <c r="R223" s="25" t="s">
        <v>975</v>
      </c>
      <c r="S223" s="25">
        <v>0</v>
      </c>
      <c r="T223" s="25">
        <v>0</v>
      </c>
      <c r="U223" s="25">
        <v>0</v>
      </c>
    </row>
    <row r="224" spans="1:21">
      <c r="A224" s="18">
        <v>1059101</v>
      </c>
      <c r="B224" s="25" t="s">
        <v>692</v>
      </c>
      <c r="C224" s="25">
        <v>1</v>
      </c>
      <c r="D224" s="25">
        <v>3</v>
      </c>
      <c r="E224" s="25">
        <v>1001</v>
      </c>
      <c r="F224" s="25">
        <v>350</v>
      </c>
      <c r="G224" s="25">
        <v>11000</v>
      </c>
      <c r="H224" s="25"/>
      <c r="I224" s="25">
        <v>1000</v>
      </c>
      <c r="J224" s="25">
        <v>0</v>
      </c>
      <c r="K224" s="25" t="s">
        <v>692</v>
      </c>
      <c r="L224" s="25" t="s">
        <v>692</v>
      </c>
      <c r="M224" s="25" t="s">
        <v>227</v>
      </c>
      <c r="N224" s="25">
        <v>0</v>
      </c>
      <c r="O224" s="38">
        <v>0</v>
      </c>
      <c r="P224" s="25">
        <v>0</v>
      </c>
      <c r="Q224" s="25">
        <v>1011</v>
      </c>
      <c r="R224" s="25">
        <v>700</v>
      </c>
      <c r="S224" s="25">
        <v>1059001</v>
      </c>
      <c r="T224" s="25">
        <v>400</v>
      </c>
      <c r="U224" s="25">
        <v>350</v>
      </c>
    </row>
    <row r="225" spans="1:21">
      <c r="A225" s="18">
        <v>1059102</v>
      </c>
      <c r="B225" s="25" t="s">
        <v>693</v>
      </c>
      <c r="C225" s="25">
        <v>2</v>
      </c>
      <c r="D225" s="25">
        <v>3</v>
      </c>
      <c r="E225" s="25">
        <v>2001</v>
      </c>
      <c r="F225" s="25">
        <v>350</v>
      </c>
      <c r="G225" s="25">
        <v>6000</v>
      </c>
      <c r="H225" s="25"/>
      <c r="I225" s="25">
        <v>7000</v>
      </c>
      <c r="J225" s="25">
        <v>1059002</v>
      </c>
      <c r="K225" s="25" t="s">
        <v>695</v>
      </c>
      <c r="L225" s="25" t="s">
        <v>693</v>
      </c>
      <c r="M225" s="25" t="s">
        <v>60</v>
      </c>
      <c r="N225" s="25">
        <v>0</v>
      </c>
      <c r="O225" s="38">
        <v>1059002</v>
      </c>
      <c r="P225" s="25">
        <v>800</v>
      </c>
      <c r="Q225" s="25">
        <v>1011</v>
      </c>
      <c r="R225" s="25" t="s">
        <v>975</v>
      </c>
      <c r="S225" s="25">
        <v>0</v>
      </c>
      <c r="T225" s="25">
        <v>0</v>
      </c>
      <c r="U225" s="25">
        <v>0</v>
      </c>
    </row>
    <row r="226" spans="1:21">
      <c r="A226" s="18">
        <v>1060001</v>
      </c>
      <c r="B226" s="25" t="s">
        <v>698</v>
      </c>
      <c r="C226" s="25">
        <v>1</v>
      </c>
      <c r="D226" s="25">
        <v>3</v>
      </c>
      <c r="E226" s="25">
        <v>1001</v>
      </c>
      <c r="F226" s="25">
        <v>350</v>
      </c>
      <c r="G226" s="25">
        <v>10000</v>
      </c>
      <c r="H226" s="25"/>
      <c r="I226" s="25">
        <v>1000</v>
      </c>
      <c r="J226" s="25">
        <v>0</v>
      </c>
      <c r="K226" s="25" t="s">
        <v>698</v>
      </c>
      <c r="L226" s="25" t="s">
        <v>698</v>
      </c>
      <c r="M226" s="25" t="s">
        <v>227</v>
      </c>
      <c r="N226" s="25">
        <v>0</v>
      </c>
      <c r="O226" s="38">
        <v>0</v>
      </c>
      <c r="P226" s="26">
        <v>0</v>
      </c>
      <c r="Q226" s="26">
        <v>1011</v>
      </c>
      <c r="R226" s="26">
        <v>700</v>
      </c>
      <c r="S226" s="25">
        <v>1060001</v>
      </c>
      <c r="T226" s="25">
        <v>400</v>
      </c>
      <c r="U226" s="25">
        <v>350</v>
      </c>
    </row>
    <row r="227" spans="1:21">
      <c r="A227" s="18">
        <v>1060002</v>
      </c>
      <c r="B227" s="25" t="s">
        <v>699</v>
      </c>
      <c r="C227" s="25">
        <v>2</v>
      </c>
      <c r="D227" s="25">
        <v>3</v>
      </c>
      <c r="E227" s="25">
        <v>2001</v>
      </c>
      <c r="F227" s="25">
        <v>350</v>
      </c>
      <c r="G227" s="25">
        <v>4300</v>
      </c>
      <c r="H227" s="25"/>
      <c r="I227" s="25">
        <v>18000</v>
      </c>
      <c r="J227" s="25">
        <v>1060002</v>
      </c>
      <c r="K227" s="25" t="s">
        <v>701</v>
      </c>
      <c r="L227" s="25" t="s">
        <v>699</v>
      </c>
      <c r="M227" s="25" t="s">
        <v>60</v>
      </c>
      <c r="N227" s="25">
        <v>0</v>
      </c>
      <c r="O227" s="38">
        <v>1060002</v>
      </c>
      <c r="P227" s="26">
        <v>1400</v>
      </c>
      <c r="Q227" s="26">
        <v>1011</v>
      </c>
      <c r="R227" s="26" t="s">
        <v>976</v>
      </c>
      <c r="S227" s="25">
        <v>0</v>
      </c>
      <c r="T227" s="25">
        <v>0</v>
      </c>
      <c r="U227" s="25">
        <v>0</v>
      </c>
    </row>
    <row r="228" spans="1:21">
      <c r="A228" s="18">
        <v>1060101</v>
      </c>
      <c r="B228" s="25" t="s">
        <v>704</v>
      </c>
      <c r="C228" s="25">
        <v>1</v>
      </c>
      <c r="D228" s="25">
        <v>3</v>
      </c>
      <c r="E228" s="25">
        <v>1001</v>
      </c>
      <c r="F228" s="25">
        <v>350</v>
      </c>
      <c r="G228" s="25">
        <v>10000</v>
      </c>
      <c r="H228" s="25"/>
      <c r="I228" s="25">
        <v>1000</v>
      </c>
      <c r="J228" s="25">
        <v>0</v>
      </c>
      <c r="K228" s="25" t="s">
        <v>704</v>
      </c>
      <c r="L228" s="25" t="s">
        <v>704</v>
      </c>
      <c r="M228" s="25" t="s">
        <v>227</v>
      </c>
      <c r="N228" s="25">
        <v>0</v>
      </c>
      <c r="O228" s="38">
        <v>0</v>
      </c>
      <c r="P228" s="26">
        <v>0</v>
      </c>
      <c r="Q228" s="26">
        <v>1011</v>
      </c>
      <c r="R228" s="26">
        <v>700</v>
      </c>
      <c r="S228" s="25">
        <v>1060001</v>
      </c>
      <c r="T228" s="25">
        <v>400</v>
      </c>
      <c r="U228" s="25">
        <v>350</v>
      </c>
    </row>
    <row r="229" spans="1:21">
      <c r="A229" s="18">
        <v>1060102</v>
      </c>
      <c r="B229" s="25" t="s">
        <v>705</v>
      </c>
      <c r="C229" s="25">
        <v>2</v>
      </c>
      <c r="D229" s="25">
        <v>3</v>
      </c>
      <c r="E229" s="25">
        <v>2001</v>
      </c>
      <c r="F229" s="25">
        <v>350</v>
      </c>
      <c r="G229" s="25">
        <v>8500</v>
      </c>
      <c r="H229" s="25"/>
      <c r="I229" s="25">
        <v>18000</v>
      </c>
      <c r="J229" s="25">
        <v>1060002</v>
      </c>
      <c r="K229" s="25" t="s">
        <v>707</v>
      </c>
      <c r="L229" s="25" t="s">
        <v>705</v>
      </c>
      <c r="M229" s="25" t="s">
        <v>60</v>
      </c>
      <c r="N229" s="25">
        <v>0</v>
      </c>
      <c r="O229" s="38">
        <v>1060002</v>
      </c>
      <c r="P229" s="26">
        <v>1400</v>
      </c>
      <c r="Q229" s="26">
        <v>1011</v>
      </c>
      <c r="R229" s="26" t="s">
        <v>976</v>
      </c>
      <c r="S229" s="25">
        <v>0</v>
      </c>
      <c r="T229" s="25">
        <v>0</v>
      </c>
      <c r="U229" s="25">
        <v>0</v>
      </c>
    </row>
    <row r="230" spans="1:21">
      <c r="A230" s="18">
        <v>1062001</v>
      </c>
      <c r="B230" s="25" t="s">
        <v>710</v>
      </c>
      <c r="C230" s="25">
        <v>1</v>
      </c>
      <c r="D230" s="25">
        <v>3</v>
      </c>
      <c r="E230" s="25">
        <v>1001</v>
      </c>
      <c r="F230" s="25">
        <v>350</v>
      </c>
      <c r="G230" s="25">
        <v>10000</v>
      </c>
      <c r="H230" s="25"/>
      <c r="I230" s="25">
        <v>1000</v>
      </c>
      <c r="J230" s="25">
        <v>0</v>
      </c>
      <c r="K230" s="25" t="s">
        <v>710</v>
      </c>
      <c r="L230" s="25" t="s">
        <v>710</v>
      </c>
      <c r="M230" s="25" t="s">
        <v>227</v>
      </c>
      <c r="N230" s="25">
        <v>0</v>
      </c>
      <c r="O230" s="38">
        <v>0</v>
      </c>
      <c r="P230" s="26">
        <v>0</v>
      </c>
      <c r="Q230" s="26">
        <v>1011</v>
      </c>
      <c r="R230" s="26">
        <v>700</v>
      </c>
      <c r="S230" s="25">
        <v>1060001</v>
      </c>
      <c r="T230" s="25">
        <v>400</v>
      </c>
      <c r="U230" s="25">
        <v>350</v>
      </c>
    </row>
    <row r="231" spans="1:21">
      <c r="A231" s="18">
        <v>1062002</v>
      </c>
      <c r="B231" s="25" t="s">
        <v>711</v>
      </c>
      <c r="C231" s="25">
        <v>2</v>
      </c>
      <c r="D231" s="25">
        <v>3</v>
      </c>
      <c r="E231" s="25">
        <v>2001</v>
      </c>
      <c r="F231" s="25">
        <v>350</v>
      </c>
      <c r="G231" s="25">
        <v>10500</v>
      </c>
      <c r="H231" s="25"/>
      <c r="I231" s="25">
        <v>18000</v>
      </c>
      <c r="J231" s="25">
        <v>1062002</v>
      </c>
      <c r="K231" s="25" t="s">
        <v>713</v>
      </c>
      <c r="L231" s="25" t="s">
        <v>711</v>
      </c>
      <c r="M231" s="25" t="s">
        <v>60</v>
      </c>
      <c r="N231" s="25">
        <v>0</v>
      </c>
      <c r="O231" s="38">
        <v>1062002</v>
      </c>
      <c r="P231" s="26">
        <v>1000</v>
      </c>
      <c r="Q231" s="26">
        <v>1011</v>
      </c>
      <c r="R231" s="26" t="s">
        <v>715</v>
      </c>
      <c r="S231" s="25">
        <v>0</v>
      </c>
      <c r="T231" s="25">
        <v>0</v>
      </c>
      <c r="U231" s="25">
        <v>0</v>
      </c>
    </row>
    <row r="232" spans="1:21">
      <c r="A232" s="18">
        <v>1062101</v>
      </c>
      <c r="B232" s="25" t="s">
        <v>716</v>
      </c>
      <c r="C232" s="25">
        <v>1</v>
      </c>
      <c r="D232" s="25">
        <v>3</v>
      </c>
      <c r="E232" s="25">
        <v>1001</v>
      </c>
      <c r="F232" s="25">
        <v>350</v>
      </c>
      <c r="G232" s="25">
        <v>10000</v>
      </c>
      <c r="H232" s="25"/>
      <c r="I232" s="25">
        <v>1000</v>
      </c>
      <c r="J232" s="25">
        <v>0</v>
      </c>
      <c r="K232" s="25" t="s">
        <v>716</v>
      </c>
      <c r="L232" s="25" t="s">
        <v>716</v>
      </c>
      <c r="M232" s="25" t="s">
        <v>227</v>
      </c>
      <c r="N232" s="25">
        <v>0</v>
      </c>
      <c r="O232" s="38">
        <v>0</v>
      </c>
      <c r="P232" s="26">
        <v>0</v>
      </c>
      <c r="Q232" s="26">
        <v>1011</v>
      </c>
      <c r="R232" s="26">
        <v>700</v>
      </c>
      <c r="S232" s="25">
        <v>1060001</v>
      </c>
      <c r="T232" s="25">
        <v>400</v>
      </c>
      <c r="U232" s="25">
        <v>350</v>
      </c>
    </row>
    <row r="233" spans="1:21">
      <c r="A233" s="18">
        <v>1062102</v>
      </c>
      <c r="B233" s="25" t="s">
        <v>717</v>
      </c>
      <c r="C233" s="25">
        <v>2</v>
      </c>
      <c r="D233" s="25">
        <v>3</v>
      </c>
      <c r="E233" s="25">
        <v>2001</v>
      </c>
      <c r="F233" s="25">
        <v>350</v>
      </c>
      <c r="G233" s="25">
        <v>21000</v>
      </c>
      <c r="H233" s="25"/>
      <c r="I233" s="25">
        <v>18000</v>
      </c>
      <c r="J233" s="25">
        <v>1062002</v>
      </c>
      <c r="K233" s="25" t="s">
        <v>719</v>
      </c>
      <c r="L233" s="25" t="s">
        <v>717</v>
      </c>
      <c r="M233" s="25" t="s">
        <v>60</v>
      </c>
      <c r="N233" s="25">
        <v>0</v>
      </c>
      <c r="O233" s="38">
        <v>1062002</v>
      </c>
      <c r="P233" s="26">
        <v>1000</v>
      </c>
      <c r="Q233" s="26">
        <v>1011</v>
      </c>
      <c r="R233" s="26" t="s">
        <v>715</v>
      </c>
      <c r="S233" s="25">
        <v>0</v>
      </c>
      <c r="T233" s="25">
        <v>0</v>
      </c>
      <c r="U233" s="25">
        <v>0</v>
      </c>
    </row>
    <row r="234" spans="1:21">
      <c r="A234" s="25">
        <v>2000101</v>
      </c>
      <c r="B234" s="25" t="s">
        <v>1181</v>
      </c>
      <c r="C234" s="25">
        <v>1</v>
      </c>
      <c r="D234" s="25">
        <v>3</v>
      </c>
      <c r="E234" s="25">
        <v>1001</v>
      </c>
      <c r="F234" s="25">
        <v>350</v>
      </c>
      <c r="G234" s="25">
        <v>10000</v>
      </c>
      <c r="H234" s="25"/>
      <c r="I234" s="25">
        <v>0</v>
      </c>
      <c r="J234" s="25">
        <v>0</v>
      </c>
      <c r="K234" s="25" t="s">
        <v>807</v>
      </c>
      <c r="L234" s="25" t="str">
        <f t="shared" ref="L234:L283" si="8">B234</f>
        <v>马里奥普攻</v>
      </c>
      <c r="M234" s="25" t="s">
        <v>227</v>
      </c>
      <c r="N234" s="25">
        <v>0</v>
      </c>
      <c r="O234" s="38">
        <v>0</v>
      </c>
      <c r="P234" s="25">
        <v>0</v>
      </c>
      <c r="Q234" s="25">
        <v>1013</v>
      </c>
      <c r="R234" s="25">
        <v>700</v>
      </c>
      <c r="S234" s="25">
        <v>2000101</v>
      </c>
      <c r="T234" s="25">
        <v>500</v>
      </c>
      <c r="U234" s="25">
        <v>250</v>
      </c>
    </row>
    <row r="235" spans="1:21">
      <c r="A235" s="40">
        <v>2000102</v>
      </c>
      <c r="B235" s="40" t="s">
        <v>1182</v>
      </c>
      <c r="C235" s="40">
        <v>2</v>
      </c>
      <c r="D235" s="40">
        <v>3</v>
      </c>
      <c r="E235" s="40">
        <v>2001</v>
      </c>
      <c r="F235" s="40">
        <v>350</v>
      </c>
      <c r="G235" s="40">
        <v>15000</v>
      </c>
      <c r="H235" s="40"/>
      <c r="I235" s="40">
        <v>8000</v>
      </c>
      <c r="J235" s="40">
        <v>2000102</v>
      </c>
      <c r="K235" s="42" t="s">
        <v>1183</v>
      </c>
      <c r="L235" s="40" t="str">
        <f t="shared" si="8"/>
        <v>马里奥天赋技能</v>
      </c>
      <c r="M235" s="40" t="s">
        <v>60</v>
      </c>
      <c r="N235" s="40">
        <v>0</v>
      </c>
      <c r="O235" s="43">
        <v>2000102</v>
      </c>
      <c r="P235" s="40">
        <v>0</v>
      </c>
      <c r="Q235" s="40">
        <v>1013</v>
      </c>
      <c r="R235" s="40" t="s">
        <v>814</v>
      </c>
      <c r="S235" s="40">
        <v>0</v>
      </c>
      <c r="T235" s="40">
        <v>0</v>
      </c>
      <c r="U235" s="40">
        <v>0</v>
      </c>
    </row>
    <row r="236" spans="1:21">
      <c r="A236" s="18">
        <v>2000103</v>
      </c>
      <c r="B236" s="25" t="s">
        <v>1184</v>
      </c>
      <c r="C236" s="25">
        <v>3</v>
      </c>
      <c r="D236" s="25">
        <v>3</v>
      </c>
      <c r="E236" s="25">
        <v>2010</v>
      </c>
      <c r="F236" s="25">
        <v>350</v>
      </c>
      <c r="G236" s="25">
        <v>20000</v>
      </c>
      <c r="H236" s="25">
        <v>0</v>
      </c>
      <c r="I236" s="25">
        <v>60000</v>
      </c>
      <c r="J236" s="25">
        <v>2001103</v>
      </c>
      <c r="K236" s="25" t="s">
        <v>1185</v>
      </c>
      <c r="L236" s="25" t="str">
        <f t="shared" si="8"/>
        <v>化身熊猫</v>
      </c>
      <c r="M236" s="25" t="s">
        <v>60</v>
      </c>
      <c r="N236" s="25">
        <v>0</v>
      </c>
      <c r="O236" s="38">
        <v>9999999</v>
      </c>
      <c r="P236" s="26">
        <v>0</v>
      </c>
      <c r="Q236" s="25">
        <v>1013</v>
      </c>
      <c r="R236" s="26" t="s">
        <v>1186</v>
      </c>
      <c r="S236" s="25">
        <v>0</v>
      </c>
      <c r="T236" s="25">
        <v>0</v>
      </c>
      <c r="U236" s="25">
        <v>0</v>
      </c>
    </row>
    <row r="237" spans="1:21">
      <c r="A237" s="18">
        <v>2001101</v>
      </c>
      <c r="B237" s="25" t="s">
        <v>1187</v>
      </c>
      <c r="C237" s="25">
        <v>1</v>
      </c>
      <c r="D237" s="25">
        <v>3</v>
      </c>
      <c r="E237" s="25">
        <v>1001</v>
      </c>
      <c r="F237" s="25">
        <v>350</v>
      </c>
      <c r="G237" s="25">
        <v>11000</v>
      </c>
      <c r="H237" s="25"/>
      <c r="I237" s="25">
        <v>1000</v>
      </c>
      <c r="J237" s="25">
        <v>0</v>
      </c>
      <c r="K237" s="25" t="s">
        <v>1188</v>
      </c>
      <c r="L237" s="25" t="str">
        <f t="shared" si="8"/>
        <v>大竹抛射</v>
      </c>
      <c r="M237" s="25" t="s">
        <v>227</v>
      </c>
      <c r="N237" s="25">
        <v>0</v>
      </c>
      <c r="O237" s="38">
        <v>0</v>
      </c>
      <c r="P237" s="25">
        <v>0</v>
      </c>
      <c r="Q237" s="25">
        <v>1013</v>
      </c>
      <c r="R237" s="25">
        <v>630</v>
      </c>
      <c r="S237" s="25">
        <v>2000101</v>
      </c>
      <c r="T237" s="25">
        <v>430</v>
      </c>
      <c r="U237" s="25">
        <v>250</v>
      </c>
    </row>
    <row r="238" spans="1:21">
      <c r="A238" s="40">
        <v>2001102</v>
      </c>
      <c r="B238" s="40" t="s">
        <v>1189</v>
      </c>
      <c r="C238" s="40">
        <v>2</v>
      </c>
      <c r="D238" s="40">
        <v>3</v>
      </c>
      <c r="E238" s="40">
        <v>2001</v>
      </c>
      <c r="F238" s="40">
        <v>350</v>
      </c>
      <c r="G238" s="40">
        <v>9000</v>
      </c>
      <c r="H238" s="40"/>
      <c r="I238" s="40">
        <v>10000</v>
      </c>
      <c r="J238" s="40">
        <v>2000102</v>
      </c>
      <c r="K238" s="40" t="s">
        <v>1189</v>
      </c>
      <c r="L238" s="40" t="str">
        <f t="shared" si="8"/>
        <v>李小龙天赋技能</v>
      </c>
      <c r="M238" s="40" t="s">
        <v>60</v>
      </c>
      <c r="N238" s="40">
        <v>0</v>
      </c>
      <c r="O238" s="43">
        <v>2001102</v>
      </c>
      <c r="P238" s="40">
        <v>0</v>
      </c>
      <c r="Q238" s="40">
        <v>1013</v>
      </c>
      <c r="R238" s="40">
        <v>700</v>
      </c>
      <c r="S238" s="40">
        <v>0</v>
      </c>
      <c r="T238" s="40">
        <v>0</v>
      </c>
      <c r="U238" s="40">
        <v>0</v>
      </c>
    </row>
    <row r="239" spans="1:21">
      <c r="A239" s="18">
        <v>2002101</v>
      </c>
      <c r="B239" s="25" t="s">
        <v>1190</v>
      </c>
      <c r="C239" s="25">
        <v>1</v>
      </c>
      <c r="D239" s="25">
        <v>3</v>
      </c>
      <c r="E239" s="25">
        <v>1001</v>
      </c>
      <c r="F239" s="25">
        <v>350</v>
      </c>
      <c r="G239" s="25">
        <v>18000</v>
      </c>
      <c r="H239" s="25"/>
      <c r="I239" s="25">
        <v>1000</v>
      </c>
      <c r="J239" s="25">
        <v>0</v>
      </c>
      <c r="K239" s="25" t="s">
        <v>823</v>
      </c>
      <c r="L239" s="25" t="str">
        <f t="shared" si="8"/>
        <v>箭矢发射</v>
      </c>
      <c r="M239" s="25" t="s">
        <v>227</v>
      </c>
      <c r="N239" s="25">
        <v>0</v>
      </c>
      <c r="O239" s="38">
        <v>0</v>
      </c>
      <c r="P239" s="25">
        <v>0</v>
      </c>
      <c r="Q239" s="25">
        <v>1013</v>
      </c>
      <c r="R239" s="25">
        <v>630</v>
      </c>
      <c r="S239" s="25">
        <v>2002101</v>
      </c>
      <c r="T239" s="25">
        <v>430</v>
      </c>
      <c r="U239" s="25">
        <v>250</v>
      </c>
    </row>
    <row r="240" spans="1:21">
      <c r="A240" s="40">
        <v>2002102</v>
      </c>
      <c r="B240" s="40" t="s">
        <v>1191</v>
      </c>
      <c r="C240" s="40">
        <v>2</v>
      </c>
      <c r="D240" s="40">
        <v>3</v>
      </c>
      <c r="E240" s="40">
        <v>2001</v>
      </c>
      <c r="F240" s="40">
        <v>350</v>
      </c>
      <c r="G240" s="40">
        <v>6000</v>
      </c>
      <c r="H240" s="40"/>
      <c r="I240" s="40">
        <v>16000</v>
      </c>
      <c r="J240" s="40">
        <v>2002102</v>
      </c>
      <c r="K240" s="42" t="s">
        <v>1183</v>
      </c>
      <c r="L240" s="40" t="str">
        <f t="shared" si="8"/>
        <v>哈利波特天赋技能</v>
      </c>
      <c r="M240" s="40" t="s">
        <v>60</v>
      </c>
      <c r="N240" s="40">
        <v>0</v>
      </c>
      <c r="O240" s="43">
        <v>2002102</v>
      </c>
      <c r="P240" s="40">
        <v>0</v>
      </c>
      <c r="Q240" s="40">
        <v>1013</v>
      </c>
      <c r="R240" s="40" t="s">
        <v>830</v>
      </c>
      <c r="S240" s="40">
        <v>0</v>
      </c>
      <c r="T240" s="40">
        <v>0</v>
      </c>
      <c r="U240" s="40">
        <v>0</v>
      </c>
    </row>
    <row r="241" spans="1:21">
      <c r="A241" s="18">
        <v>2002104</v>
      </c>
      <c r="B241" s="25" t="s">
        <v>1192</v>
      </c>
      <c r="C241" s="25">
        <v>3</v>
      </c>
      <c r="D241" s="25">
        <v>3</v>
      </c>
      <c r="E241" s="25">
        <v>101</v>
      </c>
      <c r="F241" s="25">
        <v>350</v>
      </c>
      <c r="G241" s="25">
        <v>0</v>
      </c>
      <c r="H241" s="41">
        <v>2002104</v>
      </c>
      <c r="I241" s="25">
        <v>0</v>
      </c>
      <c r="J241" s="25">
        <v>2002104</v>
      </c>
      <c r="K241" s="25" t="s">
        <v>1193</v>
      </c>
      <c r="L241" s="25" t="str">
        <f t="shared" si="8"/>
        <v>精准攻击</v>
      </c>
      <c r="M241" s="25" t="s">
        <v>227</v>
      </c>
      <c r="N241" s="25">
        <v>0</v>
      </c>
      <c r="O241" s="38">
        <v>0</v>
      </c>
      <c r="P241" s="25">
        <v>0</v>
      </c>
      <c r="Q241" s="25">
        <v>0</v>
      </c>
      <c r="R241" s="25">
        <v>0</v>
      </c>
      <c r="S241" s="25">
        <v>0</v>
      </c>
      <c r="T241" s="25">
        <v>0</v>
      </c>
      <c r="U241" s="25">
        <v>0</v>
      </c>
    </row>
    <row r="242" spans="1:21">
      <c r="A242" s="18">
        <v>2002201</v>
      </c>
      <c r="B242" s="25" t="s">
        <v>1194</v>
      </c>
      <c r="C242" s="25">
        <v>1</v>
      </c>
      <c r="D242" s="25">
        <v>3</v>
      </c>
      <c r="E242" s="25">
        <v>1001</v>
      </c>
      <c r="F242" s="25">
        <v>350</v>
      </c>
      <c r="G242" s="25">
        <v>16000</v>
      </c>
      <c r="H242" s="25"/>
      <c r="I242" s="25">
        <v>1000</v>
      </c>
      <c r="J242" s="25">
        <v>0</v>
      </c>
      <c r="K242" s="25" t="s">
        <v>832</v>
      </c>
      <c r="L242" s="25" t="str">
        <f t="shared" si="8"/>
        <v>烟丝抛射</v>
      </c>
      <c r="M242" s="25" t="s">
        <v>227</v>
      </c>
      <c r="N242" s="25">
        <v>0</v>
      </c>
      <c r="O242" s="38">
        <v>0</v>
      </c>
      <c r="P242" s="25">
        <v>0</v>
      </c>
      <c r="Q242" s="25">
        <v>1012</v>
      </c>
      <c r="R242" s="25">
        <v>600</v>
      </c>
      <c r="S242" s="25">
        <v>2002201</v>
      </c>
      <c r="T242" s="25">
        <v>400</v>
      </c>
      <c r="U242" s="25">
        <v>250</v>
      </c>
    </row>
    <row r="243" spans="1:21">
      <c r="A243" s="40">
        <v>2002202</v>
      </c>
      <c r="B243" s="40" t="s">
        <v>838</v>
      </c>
      <c r="C243" s="40">
        <v>2</v>
      </c>
      <c r="D243" s="40">
        <v>3</v>
      </c>
      <c r="E243" s="40">
        <v>2001</v>
      </c>
      <c r="F243" s="40">
        <v>350</v>
      </c>
      <c r="G243" s="40">
        <v>5400</v>
      </c>
      <c r="H243" s="40"/>
      <c r="I243" s="40">
        <v>16000</v>
      </c>
      <c r="J243" s="40">
        <v>2002202</v>
      </c>
      <c r="K243" s="40" t="s">
        <v>838</v>
      </c>
      <c r="L243" s="40" t="str">
        <f t="shared" si="8"/>
        <v>雷神天赋技能</v>
      </c>
      <c r="M243" s="40" t="s">
        <v>60</v>
      </c>
      <c r="N243" s="40">
        <v>0</v>
      </c>
      <c r="O243" s="43">
        <v>2002202</v>
      </c>
      <c r="P243" s="40">
        <v>0</v>
      </c>
      <c r="Q243" s="40">
        <v>1012</v>
      </c>
      <c r="R243" s="40">
        <v>500</v>
      </c>
      <c r="S243" s="40">
        <v>0</v>
      </c>
      <c r="T243" s="40">
        <v>0</v>
      </c>
      <c r="U243" s="40">
        <v>0</v>
      </c>
    </row>
    <row r="244" spans="1:21">
      <c r="A244" s="18">
        <v>2002204</v>
      </c>
      <c r="B244" s="25" t="s">
        <v>1195</v>
      </c>
      <c r="C244" s="25">
        <v>3</v>
      </c>
      <c r="D244" s="25">
        <v>3</v>
      </c>
      <c r="E244" s="25">
        <v>101</v>
      </c>
      <c r="F244" s="25">
        <v>350</v>
      </c>
      <c r="G244" s="25">
        <v>0</v>
      </c>
      <c r="H244" s="41">
        <v>2002204</v>
      </c>
      <c r="I244" s="25">
        <v>0</v>
      </c>
      <c r="J244" s="25">
        <v>2002204</v>
      </c>
      <c r="K244" s="25" t="s">
        <v>1196</v>
      </c>
      <c r="L244" s="25" t="str">
        <f t="shared" si="8"/>
        <v>坚韧体魄</v>
      </c>
      <c r="M244" s="25" t="s">
        <v>227</v>
      </c>
      <c r="N244" s="25">
        <v>0</v>
      </c>
      <c r="O244" s="38">
        <v>0</v>
      </c>
      <c r="P244" s="25">
        <v>0</v>
      </c>
      <c r="Q244" s="25">
        <v>0</v>
      </c>
      <c r="R244" s="25">
        <v>0</v>
      </c>
      <c r="S244" s="25">
        <v>0</v>
      </c>
      <c r="T244" s="25">
        <v>0</v>
      </c>
      <c r="U244" s="25">
        <v>0</v>
      </c>
    </row>
    <row r="245" spans="1:21">
      <c r="A245" s="18">
        <v>2002301</v>
      </c>
      <c r="B245" s="25" t="s">
        <v>1197</v>
      </c>
      <c r="C245" s="25">
        <v>1</v>
      </c>
      <c r="D245" s="25">
        <v>3</v>
      </c>
      <c r="E245" s="25">
        <v>1001</v>
      </c>
      <c r="F245" s="25">
        <v>350</v>
      </c>
      <c r="G245" s="25">
        <v>10000</v>
      </c>
      <c r="H245" s="25"/>
      <c r="I245" s="25">
        <v>1000</v>
      </c>
      <c r="J245" s="25">
        <v>0</v>
      </c>
      <c r="K245" s="25" t="s">
        <v>840</v>
      </c>
      <c r="L245" s="25" t="str">
        <f t="shared" si="8"/>
        <v>元素法师普攻</v>
      </c>
      <c r="M245" s="25" t="s">
        <v>227</v>
      </c>
      <c r="N245" s="25">
        <v>0</v>
      </c>
      <c r="O245" s="38">
        <v>0</v>
      </c>
      <c r="P245" s="25">
        <v>0</v>
      </c>
      <c r="Q245" s="25">
        <v>1016</v>
      </c>
      <c r="R245" s="25">
        <v>650</v>
      </c>
      <c r="S245" s="25">
        <v>2002301</v>
      </c>
      <c r="T245" s="25">
        <v>460</v>
      </c>
      <c r="U245" s="25">
        <v>250</v>
      </c>
    </row>
    <row r="246" spans="1:21">
      <c r="A246" s="40">
        <v>2002302</v>
      </c>
      <c r="B246" s="40" t="s">
        <v>846</v>
      </c>
      <c r="C246" s="40">
        <v>2</v>
      </c>
      <c r="D246" s="40">
        <v>3</v>
      </c>
      <c r="E246" s="40">
        <v>2001</v>
      </c>
      <c r="F246" s="40">
        <v>350</v>
      </c>
      <c r="G246" s="40">
        <v>66000</v>
      </c>
      <c r="H246" s="40"/>
      <c r="I246" s="40">
        <v>18000</v>
      </c>
      <c r="J246" s="40">
        <v>2002302</v>
      </c>
      <c r="K246" s="40" t="s">
        <v>846</v>
      </c>
      <c r="L246" s="40" t="str">
        <f t="shared" si="8"/>
        <v>厨神天赋技能</v>
      </c>
      <c r="M246" s="40" t="s">
        <v>60</v>
      </c>
      <c r="N246" s="40">
        <v>0</v>
      </c>
      <c r="O246" s="43">
        <v>2002302</v>
      </c>
      <c r="P246" s="40">
        <v>0</v>
      </c>
      <c r="Q246" s="40">
        <v>1016</v>
      </c>
      <c r="R246" s="40">
        <v>650</v>
      </c>
      <c r="S246" s="40">
        <v>0</v>
      </c>
      <c r="T246" s="40">
        <v>0</v>
      </c>
      <c r="U246" s="40">
        <v>0</v>
      </c>
    </row>
    <row r="247" spans="1:21">
      <c r="A247" s="18">
        <v>2002304</v>
      </c>
      <c r="B247" s="25" t="s">
        <v>1198</v>
      </c>
      <c r="C247" s="25">
        <v>3</v>
      </c>
      <c r="D247" s="25">
        <v>3</v>
      </c>
      <c r="E247" s="25">
        <v>101</v>
      </c>
      <c r="F247" s="25">
        <v>350</v>
      </c>
      <c r="G247" s="25">
        <v>0</v>
      </c>
      <c r="H247" s="41">
        <v>2002304</v>
      </c>
      <c r="I247" s="25">
        <v>0</v>
      </c>
      <c r="J247" s="25">
        <v>2002304</v>
      </c>
      <c r="K247" s="25" t="s">
        <v>1199</v>
      </c>
      <c r="L247" s="25" t="str">
        <f t="shared" si="8"/>
        <v>元素拥护</v>
      </c>
      <c r="M247" s="25" t="s">
        <v>227</v>
      </c>
      <c r="N247" s="25">
        <v>0</v>
      </c>
      <c r="O247" s="38">
        <v>0</v>
      </c>
      <c r="P247" s="25">
        <v>0</v>
      </c>
      <c r="Q247" s="25">
        <v>0</v>
      </c>
      <c r="R247" s="25">
        <v>0</v>
      </c>
      <c r="S247" s="25">
        <v>0</v>
      </c>
      <c r="T247" s="25">
        <v>0</v>
      </c>
      <c r="U247" s="25">
        <v>0</v>
      </c>
    </row>
    <row r="248" spans="1:21">
      <c r="A248" s="18">
        <v>2003101</v>
      </c>
      <c r="B248" s="25" t="s">
        <v>1200</v>
      </c>
      <c r="C248" s="25">
        <v>1</v>
      </c>
      <c r="D248" s="25">
        <v>3</v>
      </c>
      <c r="E248" s="25">
        <v>1001</v>
      </c>
      <c r="F248" s="25">
        <v>350</v>
      </c>
      <c r="G248" s="25">
        <v>10000</v>
      </c>
      <c r="H248" s="25"/>
      <c r="I248" s="25">
        <v>1000</v>
      </c>
      <c r="J248" s="25">
        <v>0</v>
      </c>
      <c r="K248" s="25" t="s">
        <v>1200</v>
      </c>
      <c r="L248" s="25" t="str">
        <f t="shared" si="8"/>
        <v>狂战（格斗）普攻替代</v>
      </c>
      <c r="M248" s="25" t="s">
        <v>227</v>
      </c>
      <c r="N248" s="25">
        <v>0</v>
      </c>
      <c r="O248" s="38">
        <v>0</v>
      </c>
      <c r="P248" s="25">
        <v>0</v>
      </c>
      <c r="Q248" s="25">
        <v>1013</v>
      </c>
      <c r="R248" s="25">
        <v>700</v>
      </c>
      <c r="S248" s="25">
        <v>2000101</v>
      </c>
      <c r="T248" s="25">
        <v>300</v>
      </c>
      <c r="U248" s="25">
        <v>450</v>
      </c>
    </row>
    <row r="249" spans="1:21">
      <c r="A249" s="18">
        <v>2003102</v>
      </c>
      <c r="B249" s="25" t="s">
        <v>1201</v>
      </c>
      <c r="C249" s="25">
        <v>2</v>
      </c>
      <c r="D249" s="25">
        <v>3</v>
      </c>
      <c r="E249" s="25">
        <v>2001</v>
      </c>
      <c r="F249" s="25">
        <v>350</v>
      </c>
      <c r="G249" s="25">
        <v>2000</v>
      </c>
      <c r="H249" s="25"/>
      <c r="I249" s="25">
        <v>6000</v>
      </c>
      <c r="J249" s="25">
        <v>3100401</v>
      </c>
      <c r="K249" s="25" t="s">
        <v>1201</v>
      </c>
      <c r="L249" s="25" t="str">
        <f t="shared" si="8"/>
        <v>狂战（格斗）技能替代</v>
      </c>
      <c r="M249" s="25" t="s">
        <v>60</v>
      </c>
      <c r="N249" s="25">
        <v>0</v>
      </c>
      <c r="O249" s="38">
        <v>2002102</v>
      </c>
      <c r="P249" s="25">
        <v>670</v>
      </c>
      <c r="Q249" s="25">
        <v>1013</v>
      </c>
      <c r="R249" s="25" t="s">
        <v>1202</v>
      </c>
      <c r="S249" s="25">
        <v>0</v>
      </c>
      <c r="T249" s="25">
        <v>0</v>
      </c>
      <c r="U249" s="25">
        <v>0</v>
      </c>
    </row>
    <row r="250" spans="1:21">
      <c r="A250" s="18">
        <v>2003105</v>
      </c>
      <c r="B250" s="25" t="s">
        <v>1203</v>
      </c>
      <c r="C250" s="25">
        <v>3</v>
      </c>
      <c r="D250" s="25">
        <v>3</v>
      </c>
      <c r="E250" s="25">
        <v>101</v>
      </c>
      <c r="F250" s="25">
        <v>350</v>
      </c>
      <c r="G250" s="25">
        <v>0</v>
      </c>
      <c r="H250" s="25">
        <v>31001003</v>
      </c>
      <c r="I250" s="25">
        <v>0</v>
      </c>
      <c r="J250" s="25">
        <v>3100401</v>
      </c>
      <c r="K250" s="25" t="s">
        <v>1204</v>
      </c>
      <c r="L250" s="25" t="str">
        <f t="shared" si="8"/>
        <v>格斗亲和</v>
      </c>
      <c r="M250" s="25" t="s">
        <v>227</v>
      </c>
      <c r="N250" s="25">
        <v>0</v>
      </c>
      <c r="O250" s="38">
        <v>0</v>
      </c>
      <c r="P250" s="25">
        <v>0</v>
      </c>
      <c r="Q250" s="25">
        <v>0</v>
      </c>
      <c r="R250" s="25">
        <v>0</v>
      </c>
      <c r="S250" s="25">
        <v>0</v>
      </c>
      <c r="T250" s="25">
        <v>0</v>
      </c>
      <c r="U250" s="25">
        <v>0</v>
      </c>
    </row>
    <row r="251" spans="1:21">
      <c r="A251" s="18">
        <v>2003106</v>
      </c>
      <c r="B251" s="25" t="s">
        <v>1205</v>
      </c>
      <c r="C251" s="25">
        <v>3</v>
      </c>
      <c r="D251" s="25">
        <v>3</v>
      </c>
      <c r="E251" s="25">
        <v>101</v>
      </c>
      <c r="F251" s="25">
        <v>350</v>
      </c>
      <c r="G251" s="25">
        <v>0</v>
      </c>
      <c r="H251" s="25">
        <v>31001003</v>
      </c>
      <c r="I251" s="25">
        <v>0</v>
      </c>
      <c r="J251" s="25">
        <v>3100401</v>
      </c>
      <c r="K251" s="25" t="s">
        <v>1205</v>
      </c>
      <c r="L251" s="25" t="str">
        <f t="shared" si="8"/>
        <v>狂战（格斗）被动4替代</v>
      </c>
      <c r="M251" s="25" t="s">
        <v>227</v>
      </c>
      <c r="N251" s="25">
        <v>0</v>
      </c>
      <c r="O251" s="38">
        <v>0</v>
      </c>
      <c r="P251" s="25">
        <v>0</v>
      </c>
      <c r="Q251" s="25">
        <v>0</v>
      </c>
      <c r="R251" s="25">
        <v>0</v>
      </c>
      <c r="S251" s="25">
        <v>0</v>
      </c>
      <c r="T251" s="25">
        <v>0</v>
      </c>
      <c r="U251" s="25">
        <v>0</v>
      </c>
    </row>
    <row r="252" spans="1:21">
      <c r="A252" s="18">
        <v>2003107</v>
      </c>
      <c r="B252" s="25" t="s">
        <v>1206</v>
      </c>
      <c r="C252" s="25">
        <v>3</v>
      </c>
      <c r="D252" s="25">
        <v>3</v>
      </c>
      <c r="E252" s="25">
        <v>101</v>
      </c>
      <c r="F252" s="25">
        <v>350</v>
      </c>
      <c r="G252" s="25">
        <v>0</v>
      </c>
      <c r="H252" s="25">
        <v>31001003</v>
      </c>
      <c r="I252" s="25">
        <v>0</v>
      </c>
      <c r="J252" s="25">
        <v>3100401</v>
      </c>
      <c r="K252" s="25" t="s">
        <v>1206</v>
      </c>
      <c r="L252" s="25" t="str">
        <f t="shared" si="8"/>
        <v>狂战（格斗）被动5替代</v>
      </c>
      <c r="M252" s="25" t="s">
        <v>227</v>
      </c>
      <c r="N252" s="25">
        <v>0</v>
      </c>
      <c r="O252" s="38">
        <v>0</v>
      </c>
      <c r="P252" s="25">
        <v>0</v>
      </c>
      <c r="Q252" s="25">
        <v>0</v>
      </c>
      <c r="R252" s="25">
        <v>0</v>
      </c>
      <c r="S252" s="25">
        <v>0</v>
      </c>
      <c r="T252" s="25">
        <v>0</v>
      </c>
      <c r="U252" s="25">
        <v>0</v>
      </c>
    </row>
    <row r="253" spans="1:21">
      <c r="A253" s="18">
        <v>2003201</v>
      </c>
      <c r="B253" s="25" t="s">
        <v>1207</v>
      </c>
      <c r="C253" s="25">
        <v>1</v>
      </c>
      <c r="D253" s="25">
        <v>3</v>
      </c>
      <c r="E253" s="25">
        <v>1001</v>
      </c>
      <c r="F253" s="25">
        <v>350</v>
      </c>
      <c r="G253" s="25">
        <v>10000</v>
      </c>
      <c r="H253" s="25"/>
      <c r="I253" s="25">
        <v>1000</v>
      </c>
      <c r="J253" s="25">
        <v>0</v>
      </c>
      <c r="K253" s="25" t="s">
        <v>1207</v>
      </c>
      <c r="L253" s="25" t="str">
        <f t="shared" si="8"/>
        <v>影刺（草）普攻替代</v>
      </c>
      <c r="M253" s="25" t="s">
        <v>227</v>
      </c>
      <c r="N253" s="25">
        <v>0</v>
      </c>
      <c r="O253" s="38">
        <v>0</v>
      </c>
      <c r="P253" s="25">
        <v>0</v>
      </c>
      <c r="Q253" s="25">
        <v>1013</v>
      </c>
      <c r="R253" s="25">
        <v>700</v>
      </c>
      <c r="S253" s="25">
        <v>2000101</v>
      </c>
      <c r="T253" s="25">
        <v>300</v>
      </c>
      <c r="U253" s="25">
        <v>450</v>
      </c>
    </row>
    <row r="254" spans="1:21">
      <c r="A254" s="18">
        <v>2003202</v>
      </c>
      <c r="B254" s="25" t="s">
        <v>1208</v>
      </c>
      <c r="C254" s="25">
        <v>2</v>
      </c>
      <c r="D254" s="25">
        <v>3</v>
      </c>
      <c r="E254" s="25">
        <v>2001</v>
      </c>
      <c r="F254" s="25">
        <v>350</v>
      </c>
      <c r="G254" s="25">
        <v>2000</v>
      </c>
      <c r="H254" s="25"/>
      <c r="I254" s="25">
        <v>6000</v>
      </c>
      <c r="J254" s="25">
        <v>3100401</v>
      </c>
      <c r="K254" s="25" t="s">
        <v>1208</v>
      </c>
      <c r="L254" s="25" t="str">
        <f t="shared" si="8"/>
        <v>影刺（草）技能替代</v>
      </c>
      <c r="M254" s="25" t="s">
        <v>60</v>
      </c>
      <c r="N254" s="25">
        <v>0</v>
      </c>
      <c r="O254" s="38">
        <v>2002102</v>
      </c>
      <c r="P254" s="25">
        <v>670</v>
      </c>
      <c r="Q254" s="25">
        <v>1013</v>
      </c>
      <c r="R254" s="25" t="s">
        <v>1202</v>
      </c>
      <c r="S254" s="25">
        <v>0</v>
      </c>
      <c r="T254" s="25">
        <v>0</v>
      </c>
      <c r="U254" s="25">
        <v>0</v>
      </c>
    </row>
    <row r="255" spans="1:21">
      <c r="A255" s="18">
        <v>2003205</v>
      </c>
      <c r="B255" s="25" t="s">
        <v>1209</v>
      </c>
      <c r="C255" s="25">
        <v>3</v>
      </c>
      <c r="D255" s="25">
        <v>3</v>
      </c>
      <c r="E255" s="25">
        <v>101</v>
      </c>
      <c r="F255" s="25">
        <v>350</v>
      </c>
      <c r="G255" s="25">
        <v>0</v>
      </c>
      <c r="H255" s="25">
        <v>31001003</v>
      </c>
      <c r="I255" s="25">
        <v>0</v>
      </c>
      <c r="J255" s="25">
        <v>3100101</v>
      </c>
      <c r="K255" s="25" t="s">
        <v>1210</v>
      </c>
      <c r="L255" s="25" t="str">
        <f t="shared" si="8"/>
        <v>草系亲和</v>
      </c>
      <c r="M255" s="25" t="s">
        <v>227</v>
      </c>
      <c r="N255" s="25">
        <v>0</v>
      </c>
      <c r="O255" s="38">
        <v>0</v>
      </c>
      <c r="P255" s="25">
        <v>0</v>
      </c>
      <c r="Q255" s="25">
        <v>0</v>
      </c>
      <c r="R255" s="25">
        <v>0</v>
      </c>
      <c r="S255" s="25">
        <v>0</v>
      </c>
      <c r="T255" s="25">
        <v>0</v>
      </c>
      <c r="U255" s="25">
        <v>0</v>
      </c>
    </row>
    <row r="256" spans="1:21">
      <c r="A256" s="18">
        <v>2003206</v>
      </c>
      <c r="B256" s="25" t="s">
        <v>1211</v>
      </c>
      <c r="C256" s="25">
        <v>3</v>
      </c>
      <c r="D256" s="25">
        <v>3</v>
      </c>
      <c r="E256" s="25">
        <v>101</v>
      </c>
      <c r="F256" s="25">
        <v>350</v>
      </c>
      <c r="G256" s="25">
        <v>0</v>
      </c>
      <c r="H256" s="25">
        <v>31001003</v>
      </c>
      <c r="I256" s="25">
        <v>0</v>
      </c>
      <c r="J256" s="25">
        <v>3100101</v>
      </c>
      <c r="K256" s="25" t="s">
        <v>1211</v>
      </c>
      <c r="L256" s="25" t="str">
        <f t="shared" si="8"/>
        <v>影刺（草）被动4替代</v>
      </c>
      <c r="M256" s="25" t="s">
        <v>227</v>
      </c>
      <c r="N256" s="25">
        <v>0</v>
      </c>
      <c r="O256" s="38">
        <v>0</v>
      </c>
      <c r="P256" s="25">
        <v>0</v>
      </c>
      <c r="Q256" s="25">
        <v>0</v>
      </c>
      <c r="R256" s="25">
        <v>0</v>
      </c>
      <c r="S256" s="25">
        <v>0</v>
      </c>
      <c r="T256" s="25">
        <v>0</v>
      </c>
      <c r="U256" s="25">
        <v>0</v>
      </c>
    </row>
    <row r="257" spans="1:21">
      <c r="A257" s="18">
        <v>2003207</v>
      </c>
      <c r="B257" s="25" t="s">
        <v>1212</v>
      </c>
      <c r="C257" s="25">
        <v>3</v>
      </c>
      <c r="D257" s="25">
        <v>3</v>
      </c>
      <c r="E257" s="25">
        <v>101</v>
      </c>
      <c r="F257" s="25">
        <v>350</v>
      </c>
      <c r="G257" s="25">
        <v>0</v>
      </c>
      <c r="H257" s="25">
        <v>31001003</v>
      </c>
      <c r="I257" s="25">
        <v>0</v>
      </c>
      <c r="J257" s="25">
        <v>3100101</v>
      </c>
      <c r="K257" s="25" t="s">
        <v>1212</v>
      </c>
      <c r="L257" s="25" t="str">
        <f t="shared" si="8"/>
        <v>影刺（草）被动5替代</v>
      </c>
      <c r="M257" s="25" t="s">
        <v>227</v>
      </c>
      <c r="N257" s="25">
        <v>0</v>
      </c>
      <c r="O257" s="38">
        <v>0</v>
      </c>
      <c r="P257" s="25">
        <v>0</v>
      </c>
      <c r="Q257" s="25">
        <v>0</v>
      </c>
      <c r="R257" s="25">
        <v>0</v>
      </c>
      <c r="S257" s="25">
        <v>0</v>
      </c>
      <c r="T257" s="25">
        <v>0</v>
      </c>
      <c r="U257" s="25">
        <v>0</v>
      </c>
    </row>
    <row r="258" spans="1:21">
      <c r="A258" s="18">
        <v>2003301</v>
      </c>
      <c r="B258" s="25" t="s">
        <v>1213</v>
      </c>
      <c r="C258" s="25">
        <v>1</v>
      </c>
      <c r="D258" s="25">
        <v>3</v>
      </c>
      <c r="E258" s="25">
        <v>1001</v>
      </c>
      <c r="F258" s="25">
        <v>350</v>
      </c>
      <c r="G258" s="25">
        <v>10000</v>
      </c>
      <c r="H258" s="25"/>
      <c r="I258" s="25">
        <v>1000</v>
      </c>
      <c r="J258" s="25">
        <v>0</v>
      </c>
      <c r="K258" s="25" t="s">
        <v>1213</v>
      </c>
      <c r="L258" s="25" t="str">
        <f t="shared" si="8"/>
        <v>渔夫（水）普攻替代</v>
      </c>
      <c r="M258" s="25" t="s">
        <v>227</v>
      </c>
      <c r="N258" s="25">
        <v>0</v>
      </c>
      <c r="O258" s="38">
        <v>0</v>
      </c>
      <c r="P258" s="25">
        <v>0</v>
      </c>
      <c r="Q258" s="25">
        <v>1011</v>
      </c>
      <c r="R258" s="25">
        <v>700</v>
      </c>
      <c r="S258" s="25">
        <v>2000101</v>
      </c>
      <c r="T258" s="25">
        <v>300</v>
      </c>
      <c r="U258" s="25">
        <v>450</v>
      </c>
    </row>
    <row r="259" spans="1:21">
      <c r="A259" s="18">
        <v>2003302</v>
      </c>
      <c r="B259" s="25" t="s">
        <v>1214</v>
      </c>
      <c r="C259" s="25">
        <v>2</v>
      </c>
      <c r="D259" s="25">
        <v>3</v>
      </c>
      <c r="E259" s="25">
        <v>2001</v>
      </c>
      <c r="F259" s="25">
        <v>350</v>
      </c>
      <c r="G259" s="25">
        <v>2000</v>
      </c>
      <c r="H259" s="25"/>
      <c r="I259" s="25">
        <v>6000</v>
      </c>
      <c r="J259" s="25">
        <v>3100401</v>
      </c>
      <c r="K259" s="25" t="s">
        <v>1214</v>
      </c>
      <c r="L259" s="25" t="str">
        <f t="shared" si="8"/>
        <v>渔夫（水）技能替代</v>
      </c>
      <c r="M259" s="25" t="s">
        <v>60</v>
      </c>
      <c r="N259" s="25">
        <v>0</v>
      </c>
      <c r="O259" s="38">
        <v>2002102</v>
      </c>
      <c r="P259" s="25">
        <v>670</v>
      </c>
      <c r="Q259" s="25">
        <v>1011</v>
      </c>
      <c r="R259" s="25" t="s">
        <v>1202</v>
      </c>
      <c r="S259" s="25">
        <v>0</v>
      </c>
      <c r="T259" s="25">
        <v>0</v>
      </c>
      <c r="U259" s="25">
        <v>0</v>
      </c>
    </row>
    <row r="260" spans="1:21">
      <c r="A260" s="18">
        <v>2003305</v>
      </c>
      <c r="B260" s="25" t="s">
        <v>1215</v>
      </c>
      <c r="C260" s="25">
        <v>3</v>
      </c>
      <c r="D260" s="25">
        <v>3</v>
      </c>
      <c r="E260" s="25">
        <v>101</v>
      </c>
      <c r="F260" s="25">
        <v>350</v>
      </c>
      <c r="G260" s="25">
        <v>0</v>
      </c>
      <c r="H260" s="25">
        <v>31001003</v>
      </c>
      <c r="I260" s="25">
        <v>0</v>
      </c>
      <c r="J260" s="25">
        <v>3100101</v>
      </c>
      <c r="K260" s="25" t="s">
        <v>1216</v>
      </c>
      <c r="L260" s="25" t="str">
        <f t="shared" si="8"/>
        <v>水系亲和</v>
      </c>
      <c r="M260" s="25" t="s">
        <v>227</v>
      </c>
      <c r="N260" s="25">
        <v>0</v>
      </c>
      <c r="O260" s="38">
        <v>0</v>
      </c>
      <c r="P260" s="25">
        <v>0</v>
      </c>
      <c r="Q260" s="25">
        <v>0</v>
      </c>
      <c r="R260" s="25">
        <v>0</v>
      </c>
      <c r="S260" s="25">
        <v>0</v>
      </c>
      <c r="T260" s="25">
        <v>0</v>
      </c>
      <c r="U260" s="25">
        <v>0</v>
      </c>
    </row>
    <row r="261" spans="1:21">
      <c r="A261" s="18">
        <v>2003306</v>
      </c>
      <c r="B261" s="25" t="s">
        <v>1217</v>
      </c>
      <c r="C261" s="25">
        <v>3</v>
      </c>
      <c r="D261" s="25">
        <v>3</v>
      </c>
      <c r="E261" s="25">
        <v>101</v>
      </c>
      <c r="F261" s="25">
        <v>350</v>
      </c>
      <c r="G261" s="25">
        <v>0</v>
      </c>
      <c r="H261" s="25">
        <v>31001003</v>
      </c>
      <c r="I261" s="25">
        <v>0</v>
      </c>
      <c r="J261" s="25">
        <v>3100101</v>
      </c>
      <c r="K261" s="25" t="s">
        <v>1217</v>
      </c>
      <c r="L261" s="25" t="str">
        <f t="shared" si="8"/>
        <v>渔夫（水）被动4替代</v>
      </c>
      <c r="M261" s="25" t="s">
        <v>227</v>
      </c>
      <c r="N261" s="25">
        <v>0</v>
      </c>
      <c r="O261" s="38">
        <v>0</v>
      </c>
      <c r="P261" s="25">
        <v>0</v>
      </c>
      <c r="Q261" s="25">
        <v>0</v>
      </c>
      <c r="R261" s="25">
        <v>0</v>
      </c>
      <c r="S261" s="25">
        <v>0</v>
      </c>
      <c r="T261" s="25">
        <v>0</v>
      </c>
      <c r="U261" s="25">
        <v>0</v>
      </c>
    </row>
    <row r="262" spans="1:21">
      <c r="A262" s="18">
        <v>2003307</v>
      </c>
      <c r="B262" s="25" t="s">
        <v>1218</v>
      </c>
      <c r="C262" s="25">
        <v>3</v>
      </c>
      <c r="D262" s="25">
        <v>3</v>
      </c>
      <c r="E262" s="25">
        <v>101</v>
      </c>
      <c r="F262" s="25">
        <v>350</v>
      </c>
      <c r="G262" s="25">
        <v>0</v>
      </c>
      <c r="H262" s="25">
        <v>31001003</v>
      </c>
      <c r="I262" s="25">
        <v>0</v>
      </c>
      <c r="J262" s="25">
        <v>3100101</v>
      </c>
      <c r="K262" s="25" t="s">
        <v>1218</v>
      </c>
      <c r="L262" s="25" t="str">
        <f t="shared" si="8"/>
        <v>渔夫（水）被动5替代</v>
      </c>
      <c r="M262" s="25" t="s">
        <v>227</v>
      </c>
      <c r="N262" s="25">
        <v>0</v>
      </c>
      <c r="O262" s="38">
        <v>0</v>
      </c>
      <c r="P262" s="25">
        <v>0</v>
      </c>
      <c r="Q262" s="25">
        <v>0</v>
      </c>
      <c r="R262" s="25">
        <v>0</v>
      </c>
      <c r="S262" s="25">
        <v>0</v>
      </c>
      <c r="T262" s="25">
        <v>0</v>
      </c>
      <c r="U262" s="25">
        <v>0</v>
      </c>
    </row>
    <row r="263" spans="1:21">
      <c r="A263" s="18">
        <v>2003401</v>
      </c>
      <c r="B263" s="25" t="s">
        <v>1219</v>
      </c>
      <c r="C263" s="25">
        <v>1</v>
      </c>
      <c r="D263" s="25">
        <v>3</v>
      </c>
      <c r="E263" s="25">
        <v>1001</v>
      </c>
      <c r="F263" s="25">
        <v>350</v>
      </c>
      <c r="G263" s="25">
        <v>10000</v>
      </c>
      <c r="H263" s="25"/>
      <c r="I263" s="25">
        <v>1000</v>
      </c>
      <c r="J263" s="25">
        <v>0</v>
      </c>
      <c r="K263" s="25" t="s">
        <v>1219</v>
      </c>
      <c r="L263" s="25" t="str">
        <f t="shared" si="8"/>
        <v>贤者（龙）普攻替代</v>
      </c>
      <c r="M263" s="25" t="s">
        <v>227</v>
      </c>
      <c r="N263" s="25">
        <v>0</v>
      </c>
      <c r="O263" s="38">
        <v>0</v>
      </c>
      <c r="P263" s="25">
        <v>0</v>
      </c>
      <c r="Q263" s="25">
        <v>1011</v>
      </c>
      <c r="R263" s="25">
        <v>700</v>
      </c>
      <c r="S263" s="25">
        <v>2000101</v>
      </c>
      <c r="T263" s="25">
        <v>300</v>
      </c>
      <c r="U263" s="25">
        <v>450</v>
      </c>
    </row>
    <row r="264" spans="1:21">
      <c r="A264" s="18">
        <v>2003402</v>
      </c>
      <c r="B264" s="25" t="s">
        <v>1220</v>
      </c>
      <c r="C264" s="25">
        <v>2</v>
      </c>
      <c r="D264" s="25">
        <v>3</v>
      </c>
      <c r="E264" s="25">
        <v>2001</v>
      </c>
      <c r="F264" s="25">
        <v>350</v>
      </c>
      <c r="G264" s="25">
        <v>2000</v>
      </c>
      <c r="H264" s="25"/>
      <c r="I264" s="25">
        <v>6000</v>
      </c>
      <c r="J264" s="25">
        <v>3100401</v>
      </c>
      <c r="K264" s="25" t="s">
        <v>1220</v>
      </c>
      <c r="L264" s="25" t="str">
        <f t="shared" si="8"/>
        <v>贤者（龙）技能替代</v>
      </c>
      <c r="M264" s="25" t="s">
        <v>60</v>
      </c>
      <c r="N264" s="25">
        <v>0</v>
      </c>
      <c r="O264" s="38">
        <v>2002102</v>
      </c>
      <c r="P264" s="25">
        <v>670</v>
      </c>
      <c r="Q264" s="25">
        <v>1011</v>
      </c>
      <c r="R264" s="25" t="s">
        <v>1202</v>
      </c>
      <c r="S264" s="25">
        <v>0</v>
      </c>
      <c r="T264" s="25">
        <v>0</v>
      </c>
      <c r="U264" s="25">
        <v>0</v>
      </c>
    </row>
    <row r="265" spans="1:21">
      <c r="A265" s="18">
        <v>2003405</v>
      </c>
      <c r="B265" s="25" t="s">
        <v>1221</v>
      </c>
      <c r="C265" s="25">
        <v>3</v>
      </c>
      <c r="D265" s="25">
        <v>3</v>
      </c>
      <c r="E265" s="25">
        <v>101</v>
      </c>
      <c r="F265" s="25">
        <v>350</v>
      </c>
      <c r="G265" s="25">
        <v>0</v>
      </c>
      <c r="H265" s="25">
        <v>31001003</v>
      </c>
      <c r="I265" s="25">
        <v>0</v>
      </c>
      <c r="J265" s="25">
        <v>3100101</v>
      </c>
      <c r="K265" s="25" t="s">
        <v>1222</v>
      </c>
      <c r="L265" s="25" t="str">
        <f t="shared" si="8"/>
        <v>龙系亲和</v>
      </c>
      <c r="M265" s="25" t="s">
        <v>227</v>
      </c>
      <c r="N265" s="25">
        <v>0</v>
      </c>
      <c r="O265" s="38">
        <v>0</v>
      </c>
      <c r="P265" s="25">
        <v>0</v>
      </c>
      <c r="Q265" s="25">
        <v>0</v>
      </c>
      <c r="R265" s="25">
        <v>0</v>
      </c>
      <c r="S265" s="25">
        <v>0</v>
      </c>
      <c r="T265" s="25">
        <v>0</v>
      </c>
      <c r="U265" s="25">
        <v>0</v>
      </c>
    </row>
    <row r="266" spans="1:21">
      <c r="A266" s="18">
        <v>2003406</v>
      </c>
      <c r="B266" s="25" t="s">
        <v>1223</v>
      </c>
      <c r="C266" s="25">
        <v>3</v>
      </c>
      <c r="D266" s="25">
        <v>3</v>
      </c>
      <c r="E266" s="25">
        <v>101</v>
      </c>
      <c r="F266" s="25">
        <v>350</v>
      </c>
      <c r="G266" s="25">
        <v>0</v>
      </c>
      <c r="H266" s="25">
        <v>31001003</v>
      </c>
      <c r="I266" s="25">
        <v>0</v>
      </c>
      <c r="J266" s="25">
        <v>3100101</v>
      </c>
      <c r="K266" s="25" t="s">
        <v>1223</v>
      </c>
      <c r="L266" s="25" t="str">
        <f t="shared" si="8"/>
        <v>贤者（龙）被动4替代</v>
      </c>
      <c r="M266" s="25" t="s">
        <v>227</v>
      </c>
      <c r="N266" s="25">
        <v>0</v>
      </c>
      <c r="O266" s="38">
        <v>0</v>
      </c>
      <c r="P266" s="25">
        <v>0</v>
      </c>
      <c r="Q266" s="25">
        <v>0</v>
      </c>
      <c r="R266" s="25">
        <v>0</v>
      </c>
      <c r="S266" s="25">
        <v>0</v>
      </c>
      <c r="T266" s="25">
        <v>0</v>
      </c>
      <c r="U266" s="25">
        <v>0</v>
      </c>
    </row>
    <row r="267" spans="1:21">
      <c r="A267" s="18">
        <v>2003407</v>
      </c>
      <c r="B267" s="25" t="s">
        <v>1224</v>
      </c>
      <c r="C267" s="25">
        <v>3</v>
      </c>
      <c r="D267" s="25">
        <v>3</v>
      </c>
      <c r="E267" s="25">
        <v>101</v>
      </c>
      <c r="F267" s="25">
        <v>350</v>
      </c>
      <c r="G267" s="25">
        <v>0</v>
      </c>
      <c r="H267" s="25">
        <v>31001003</v>
      </c>
      <c r="I267" s="25">
        <v>0</v>
      </c>
      <c r="J267" s="25">
        <v>3100101</v>
      </c>
      <c r="K267" s="25" t="s">
        <v>1224</v>
      </c>
      <c r="L267" s="25" t="str">
        <f t="shared" si="8"/>
        <v>贤者（龙）被动5替代</v>
      </c>
      <c r="M267" s="25" t="s">
        <v>227</v>
      </c>
      <c r="N267" s="25">
        <v>0</v>
      </c>
      <c r="O267" s="38">
        <v>0</v>
      </c>
      <c r="P267" s="25">
        <v>0</v>
      </c>
      <c r="Q267" s="25">
        <v>0</v>
      </c>
      <c r="R267" s="25">
        <v>0</v>
      </c>
      <c r="S267" s="25">
        <v>0</v>
      </c>
      <c r="T267" s="25">
        <v>0</v>
      </c>
      <c r="U267" s="25">
        <v>0</v>
      </c>
    </row>
    <row r="268" spans="1:21">
      <c r="A268" s="18">
        <v>2003501</v>
      </c>
      <c r="B268" s="25" t="s">
        <v>1225</v>
      </c>
      <c r="C268" s="25">
        <v>1</v>
      </c>
      <c r="D268" s="25">
        <v>3</v>
      </c>
      <c r="E268" s="25">
        <v>1001</v>
      </c>
      <c r="F268" s="25">
        <v>350</v>
      </c>
      <c r="G268" s="25">
        <v>10000</v>
      </c>
      <c r="H268" s="25"/>
      <c r="I268" s="25">
        <v>1000</v>
      </c>
      <c r="J268" s="25">
        <v>0</v>
      </c>
      <c r="K268" s="25" t="s">
        <v>1225</v>
      </c>
      <c r="L268" s="25" t="str">
        <f t="shared" si="8"/>
        <v>酒仙（火）普攻替代</v>
      </c>
      <c r="M268" s="25" t="s">
        <v>227</v>
      </c>
      <c r="N268" s="25">
        <v>0</v>
      </c>
      <c r="O268" s="38">
        <v>0</v>
      </c>
      <c r="P268" s="25">
        <v>0</v>
      </c>
      <c r="Q268" s="25">
        <v>1011</v>
      </c>
      <c r="R268" s="25">
        <v>700</v>
      </c>
      <c r="S268" s="25">
        <v>2000101</v>
      </c>
      <c r="T268" s="25">
        <v>300</v>
      </c>
      <c r="U268" s="25">
        <v>450</v>
      </c>
    </row>
    <row r="269" spans="1:21">
      <c r="A269" s="18">
        <v>2003502</v>
      </c>
      <c r="B269" s="25" t="s">
        <v>1226</v>
      </c>
      <c r="C269" s="25">
        <v>2</v>
      </c>
      <c r="D269" s="25">
        <v>3</v>
      </c>
      <c r="E269" s="25">
        <v>2001</v>
      </c>
      <c r="F269" s="25">
        <v>350</v>
      </c>
      <c r="G269" s="25">
        <v>2000</v>
      </c>
      <c r="H269" s="25"/>
      <c r="I269" s="25">
        <v>6000</v>
      </c>
      <c r="J269" s="25">
        <v>3100401</v>
      </c>
      <c r="K269" s="25" t="s">
        <v>1226</v>
      </c>
      <c r="L269" s="25" t="str">
        <f t="shared" si="8"/>
        <v>酒仙（火）技能替代</v>
      </c>
      <c r="M269" s="25" t="s">
        <v>60</v>
      </c>
      <c r="N269" s="25">
        <v>0</v>
      </c>
      <c r="O269" s="38">
        <v>2002102</v>
      </c>
      <c r="P269" s="25">
        <v>670</v>
      </c>
      <c r="Q269" s="25">
        <v>1011</v>
      </c>
      <c r="R269" s="25" t="s">
        <v>1202</v>
      </c>
      <c r="S269" s="25">
        <v>0</v>
      </c>
      <c r="T269" s="25">
        <v>0</v>
      </c>
      <c r="U269" s="25">
        <v>0</v>
      </c>
    </row>
    <row r="270" spans="1:21">
      <c r="A270" s="18">
        <v>2003505</v>
      </c>
      <c r="B270" s="25" t="s">
        <v>1227</v>
      </c>
      <c r="C270" s="25">
        <v>3</v>
      </c>
      <c r="D270" s="25">
        <v>3</v>
      </c>
      <c r="E270" s="25">
        <v>101</v>
      </c>
      <c r="F270" s="25">
        <v>350</v>
      </c>
      <c r="G270" s="25">
        <v>0</v>
      </c>
      <c r="H270" s="25">
        <v>31001003</v>
      </c>
      <c r="I270" s="25">
        <v>0</v>
      </c>
      <c r="J270" s="25">
        <v>3100101</v>
      </c>
      <c r="K270" s="25" t="s">
        <v>1228</v>
      </c>
      <c r="L270" s="25" t="str">
        <f t="shared" si="8"/>
        <v>火系亲和</v>
      </c>
      <c r="M270" s="25" t="s">
        <v>227</v>
      </c>
      <c r="N270" s="25">
        <v>0</v>
      </c>
      <c r="O270" s="38">
        <v>0</v>
      </c>
      <c r="P270" s="25">
        <v>0</v>
      </c>
      <c r="Q270" s="25">
        <v>0</v>
      </c>
      <c r="R270" s="25">
        <v>0</v>
      </c>
      <c r="S270" s="25">
        <v>0</v>
      </c>
      <c r="T270" s="25">
        <v>0</v>
      </c>
      <c r="U270" s="25">
        <v>0</v>
      </c>
    </row>
    <row r="271" spans="1:21">
      <c r="A271" s="18">
        <v>2003506</v>
      </c>
      <c r="B271" s="25" t="s">
        <v>1229</v>
      </c>
      <c r="C271" s="25">
        <v>3</v>
      </c>
      <c r="D271" s="25">
        <v>3</v>
      </c>
      <c r="E271" s="25">
        <v>101</v>
      </c>
      <c r="F271" s="25">
        <v>350</v>
      </c>
      <c r="G271" s="25">
        <v>0</v>
      </c>
      <c r="H271" s="25">
        <v>31001003</v>
      </c>
      <c r="I271" s="25">
        <v>0</v>
      </c>
      <c r="J271" s="25">
        <v>3100101</v>
      </c>
      <c r="K271" s="25" t="s">
        <v>1229</v>
      </c>
      <c r="L271" s="25" t="str">
        <f t="shared" si="8"/>
        <v>酒仙（火）被动4替代</v>
      </c>
      <c r="M271" s="25" t="s">
        <v>227</v>
      </c>
      <c r="N271" s="25">
        <v>0</v>
      </c>
      <c r="O271" s="38">
        <v>0</v>
      </c>
      <c r="P271" s="25">
        <v>0</v>
      </c>
      <c r="Q271" s="25">
        <v>0</v>
      </c>
      <c r="R271" s="25">
        <v>0</v>
      </c>
      <c r="S271" s="25">
        <v>0</v>
      </c>
      <c r="T271" s="25">
        <v>0</v>
      </c>
      <c r="U271" s="25">
        <v>0</v>
      </c>
    </row>
    <row r="272" spans="1:21">
      <c r="A272" s="18">
        <v>2003507</v>
      </c>
      <c r="B272" s="25" t="s">
        <v>1230</v>
      </c>
      <c r="C272" s="25">
        <v>3</v>
      </c>
      <c r="D272" s="25">
        <v>3</v>
      </c>
      <c r="E272" s="25">
        <v>101</v>
      </c>
      <c r="F272" s="25">
        <v>350</v>
      </c>
      <c r="G272" s="25">
        <v>0</v>
      </c>
      <c r="H272" s="25">
        <v>31001003</v>
      </c>
      <c r="I272" s="25">
        <v>0</v>
      </c>
      <c r="J272" s="25">
        <v>3100101</v>
      </c>
      <c r="K272" s="25" t="s">
        <v>1230</v>
      </c>
      <c r="L272" s="25" t="str">
        <f t="shared" si="8"/>
        <v>酒仙（火）被动5替代</v>
      </c>
      <c r="M272" s="25" t="s">
        <v>227</v>
      </c>
      <c r="N272" s="25">
        <v>0</v>
      </c>
      <c r="O272" s="38">
        <v>0</v>
      </c>
      <c r="P272" s="25">
        <v>0</v>
      </c>
      <c r="Q272" s="25">
        <v>0</v>
      </c>
      <c r="R272" s="25">
        <v>0</v>
      </c>
      <c r="S272" s="25">
        <v>0</v>
      </c>
      <c r="T272" s="25">
        <v>0</v>
      </c>
      <c r="U272" s="25">
        <v>0</v>
      </c>
    </row>
    <row r="273" spans="1:21">
      <c r="A273" s="18">
        <v>2003601</v>
      </c>
      <c r="B273" s="25" t="s">
        <v>886</v>
      </c>
      <c r="C273" s="25">
        <v>1</v>
      </c>
      <c r="D273" s="25">
        <v>3</v>
      </c>
      <c r="E273" s="25">
        <v>1001</v>
      </c>
      <c r="F273" s="25">
        <v>350</v>
      </c>
      <c r="G273" s="25">
        <v>10000</v>
      </c>
      <c r="H273" s="25"/>
      <c r="I273" s="25">
        <v>1000</v>
      </c>
      <c r="J273" s="25">
        <v>0</v>
      </c>
      <c r="K273" s="25" t="s">
        <v>886</v>
      </c>
      <c r="L273" s="25" t="str">
        <f t="shared" si="8"/>
        <v>古武祭司（精神）普攻替代</v>
      </c>
      <c r="M273" s="25" t="s">
        <v>227</v>
      </c>
      <c r="N273" s="25">
        <v>0</v>
      </c>
      <c r="O273" s="38">
        <v>0</v>
      </c>
      <c r="P273" s="25">
        <v>0</v>
      </c>
      <c r="Q273" s="25">
        <v>1011</v>
      </c>
      <c r="R273" s="25">
        <v>700</v>
      </c>
      <c r="S273" s="25">
        <v>2000101</v>
      </c>
      <c r="T273" s="25">
        <v>300</v>
      </c>
      <c r="U273" s="25">
        <v>450</v>
      </c>
    </row>
    <row r="274" spans="1:21">
      <c r="A274" s="18">
        <v>2003602</v>
      </c>
      <c r="B274" s="25" t="s">
        <v>1231</v>
      </c>
      <c r="C274" s="25">
        <v>2</v>
      </c>
      <c r="D274" s="25">
        <v>3</v>
      </c>
      <c r="E274" s="25">
        <v>2001</v>
      </c>
      <c r="F274" s="25">
        <v>350</v>
      </c>
      <c r="G274" s="25">
        <v>2000</v>
      </c>
      <c r="H274" s="25"/>
      <c r="I274" s="25">
        <v>6000</v>
      </c>
      <c r="J274" s="25">
        <v>3100401</v>
      </c>
      <c r="K274" s="25" t="s">
        <v>1231</v>
      </c>
      <c r="L274" s="25" t="str">
        <f t="shared" si="8"/>
        <v>古武祭司（精神）技能替代</v>
      </c>
      <c r="M274" s="25" t="s">
        <v>60</v>
      </c>
      <c r="N274" s="25">
        <v>0</v>
      </c>
      <c r="O274" s="38">
        <v>2002102</v>
      </c>
      <c r="P274" s="25">
        <v>670</v>
      </c>
      <c r="Q274" s="25">
        <v>1011</v>
      </c>
      <c r="R274" s="25" t="s">
        <v>1202</v>
      </c>
      <c r="S274" s="25">
        <v>0</v>
      </c>
      <c r="T274" s="25">
        <v>0</v>
      </c>
      <c r="U274" s="25">
        <v>0</v>
      </c>
    </row>
    <row r="275" spans="1:21">
      <c r="A275" s="18">
        <v>2003605</v>
      </c>
      <c r="B275" s="25" t="s">
        <v>1232</v>
      </c>
      <c r="C275" s="25">
        <v>3</v>
      </c>
      <c r="D275" s="25">
        <v>3</v>
      </c>
      <c r="E275" s="25">
        <v>101</v>
      </c>
      <c r="F275" s="25">
        <v>350</v>
      </c>
      <c r="G275" s="25">
        <v>0</v>
      </c>
      <c r="H275" s="25">
        <v>31001003</v>
      </c>
      <c r="I275" s="25">
        <v>0</v>
      </c>
      <c r="J275" s="25">
        <v>3100101</v>
      </c>
      <c r="K275" s="25" t="s">
        <v>1233</v>
      </c>
      <c r="L275" s="25" t="str">
        <f t="shared" si="8"/>
        <v>精神亲和</v>
      </c>
      <c r="M275" s="25" t="s">
        <v>227</v>
      </c>
      <c r="N275" s="25">
        <v>0</v>
      </c>
      <c r="O275" s="38">
        <v>0</v>
      </c>
      <c r="P275" s="25">
        <v>0</v>
      </c>
      <c r="Q275" s="25">
        <v>0</v>
      </c>
      <c r="R275" s="25">
        <v>0</v>
      </c>
      <c r="S275" s="25">
        <v>0</v>
      </c>
      <c r="T275" s="25">
        <v>0</v>
      </c>
      <c r="U275" s="25">
        <v>0</v>
      </c>
    </row>
    <row r="276" spans="1:21">
      <c r="A276" s="18">
        <v>2003606</v>
      </c>
      <c r="B276" s="25" t="s">
        <v>1234</v>
      </c>
      <c r="C276" s="25">
        <v>3</v>
      </c>
      <c r="D276" s="25">
        <v>3</v>
      </c>
      <c r="E276" s="25">
        <v>101</v>
      </c>
      <c r="F276" s="25">
        <v>350</v>
      </c>
      <c r="G276" s="25">
        <v>0</v>
      </c>
      <c r="H276" s="25">
        <v>31001003</v>
      </c>
      <c r="I276" s="25">
        <v>0</v>
      </c>
      <c r="J276" s="25">
        <v>3100101</v>
      </c>
      <c r="K276" s="25" t="s">
        <v>1234</v>
      </c>
      <c r="L276" s="25" t="str">
        <f t="shared" si="8"/>
        <v>古武祭司（精神）被动4替代</v>
      </c>
      <c r="M276" s="25" t="s">
        <v>227</v>
      </c>
      <c r="N276" s="25">
        <v>0</v>
      </c>
      <c r="O276" s="38">
        <v>0</v>
      </c>
      <c r="P276" s="25">
        <v>0</v>
      </c>
      <c r="Q276" s="25">
        <v>0</v>
      </c>
      <c r="R276" s="25">
        <v>0</v>
      </c>
      <c r="S276" s="25">
        <v>0</v>
      </c>
      <c r="T276" s="25">
        <v>0</v>
      </c>
      <c r="U276" s="25">
        <v>0</v>
      </c>
    </row>
    <row r="277" spans="1:21">
      <c r="A277" s="18">
        <v>2003607</v>
      </c>
      <c r="B277" s="25" t="s">
        <v>1235</v>
      </c>
      <c r="C277" s="25">
        <v>3</v>
      </c>
      <c r="D277" s="25">
        <v>3</v>
      </c>
      <c r="E277" s="25">
        <v>101</v>
      </c>
      <c r="F277" s="25">
        <v>350</v>
      </c>
      <c r="G277" s="25">
        <v>0</v>
      </c>
      <c r="H277" s="25">
        <v>31001003</v>
      </c>
      <c r="I277" s="25">
        <v>0</v>
      </c>
      <c r="J277" s="25">
        <v>3100101</v>
      </c>
      <c r="K277" s="25" t="s">
        <v>1235</v>
      </c>
      <c r="L277" s="25" t="str">
        <f t="shared" si="8"/>
        <v>古武祭司（精神）被动5替代</v>
      </c>
      <c r="M277" s="25" t="s">
        <v>227</v>
      </c>
      <c r="N277" s="25">
        <v>0</v>
      </c>
      <c r="O277" s="38">
        <v>0</v>
      </c>
      <c r="P277" s="25">
        <v>0</v>
      </c>
      <c r="Q277" s="25">
        <v>0</v>
      </c>
      <c r="R277" s="25">
        <v>0</v>
      </c>
      <c r="S277" s="25">
        <v>0</v>
      </c>
      <c r="T277" s="25">
        <v>0</v>
      </c>
      <c r="U277" s="25">
        <v>0</v>
      </c>
    </row>
    <row r="278" spans="1:21">
      <c r="A278" s="18">
        <v>3000401</v>
      </c>
      <c r="B278" s="25" t="s">
        <v>961</v>
      </c>
      <c r="C278" s="25">
        <v>1</v>
      </c>
      <c r="D278" s="25">
        <v>3</v>
      </c>
      <c r="E278" s="25">
        <v>1002</v>
      </c>
      <c r="F278" s="25">
        <v>120</v>
      </c>
      <c r="G278" s="25">
        <v>10000</v>
      </c>
      <c r="H278" s="25"/>
      <c r="I278" s="25">
        <v>1000</v>
      </c>
      <c r="J278" s="25">
        <v>0</v>
      </c>
      <c r="K278" s="25" t="s">
        <v>961</v>
      </c>
      <c r="L278" s="25" t="str">
        <f t="shared" si="8"/>
        <v>箱子怪技能-近战</v>
      </c>
      <c r="M278" s="25" t="s">
        <v>227</v>
      </c>
      <c r="N278" s="25">
        <v>0</v>
      </c>
      <c r="O278" s="38">
        <v>0</v>
      </c>
      <c r="P278" s="25">
        <v>0</v>
      </c>
      <c r="Q278" s="25">
        <v>1011</v>
      </c>
      <c r="R278" s="25">
        <v>300</v>
      </c>
      <c r="S278" s="25">
        <v>0</v>
      </c>
      <c r="T278" s="25">
        <v>0</v>
      </c>
      <c r="U278" s="25">
        <v>0</v>
      </c>
    </row>
    <row r="279" spans="1:21">
      <c r="A279" s="18">
        <v>3000501</v>
      </c>
      <c r="B279" s="25" t="s">
        <v>962</v>
      </c>
      <c r="C279" s="25">
        <v>1</v>
      </c>
      <c r="D279" s="25">
        <v>3</v>
      </c>
      <c r="E279" s="25">
        <v>1001</v>
      </c>
      <c r="F279" s="25">
        <v>200</v>
      </c>
      <c r="G279" s="25">
        <v>10000</v>
      </c>
      <c r="H279" s="25"/>
      <c r="I279" s="25">
        <v>1000</v>
      </c>
      <c r="J279" s="25">
        <v>0</v>
      </c>
      <c r="K279" s="25" t="s">
        <v>962</v>
      </c>
      <c r="L279" s="25" t="str">
        <f t="shared" si="8"/>
        <v>花怪技能-远程</v>
      </c>
      <c r="M279" s="25" t="s">
        <v>227</v>
      </c>
      <c r="N279" s="25">
        <v>0</v>
      </c>
      <c r="O279" s="38">
        <v>0</v>
      </c>
      <c r="P279" s="25">
        <v>0</v>
      </c>
      <c r="Q279" s="25">
        <v>1011</v>
      </c>
      <c r="R279" s="25">
        <v>850</v>
      </c>
      <c r="S279" s="25">
        <v>3000502</v>
      </c>
      <c r="T279" s="25">
        <v>300</v>
      </c>
      <c r="U279" s="25">
        <v>600</v>
      </c>
    </row>
    <row r="280" spans="1:21">
      <c r="A280" s="18">
        <v>3000601</v>
      </c>
      <c r="B280" s="25" t="s">
        <v>963</v>
      </c>
      <c r="C280" s="25">
        <v>1</v>
      </c>
      <c r="D280" s="25">
        <v>3</v>
      </c>
      <c r="E280" s="25">
        <v>1001</v>
      </c>
      <c r="F280" s="25">
        <v>250</v>
      </c>
      <c r="G280" s="25">
        <v>10000</v>
      </c>
      <c r="H280" s="25"/>
      <c r="I280" s="25">
        <v>1000</v>
      </c>
      <c r="J280" s="25">
        <v>0</v>
      </c>
      <c r="K280" s="25" t="s">
        <v>963</v>
      </c>
      <c r="L280" s="25" t="str">
        <f t="shared" si="8"/>
        <v>眼球怪技能-远程</v>
      </c>
      <c r="M280" s="25" t="s">
        <v>227</v>
      </c>
      <c r="N280" s="25">
        <v>0</v>
      </c>
      <c r="O280" s="38">
        <v>0</v>
      </c>
      <c r="P280" s="25">
        <v>0</v>
      </c>
      <c r="Q280" s="25">
        <v>1011</v>
      </c>
      <c r="R280" s="25">
        <v>850</v>
      </c>
      <c r="S280" s="25">
        <v>3000602</v>
      </c>
      <c r="T280" s="25">
        <v>300</v>
      </c>
      <c r="U280" s="25">
        <v>600</v>
      </c>
    </row>
    <row r="281" spans="1:21">
      <c r="A281" s="18">
        <v>3000701</v>
      </c>
      <c r="B281" s="25" t="s">
        <v>964</v>
      </c>
      <c r="C281" s="25">
        <v>1</v>
      </c>
      <c r="D281" s="25">
        <v>3</v>
      </c>
      <c r="E281" s="25">
        <v>1002</v>
      </c>
      <c r="F281" s="25">
        <v>140</v>
      </c>
      <c r="G281" s="25">
        <v>10000</v>
      </c>
      <c r="H281" s="25"/>
      <c r="I281" s="25">
        <v>1000</v>
      </c>
      <c r="J281" s="25">
        <v>0</v>
      </c>
      <c r="K281" s="25" t="s">
        <v>964</v>
      </c>
      <c r="L281" s="25" t="str">
        <f t="shared" si="8"/>
        <v>石头猩猩技能-近战</v>
      </c>
      <c r="M281" s="25" t="s">
        <v>227</v>
      </c>
      <c r="N281" s="25">
        <v>0</v>
      </c>
      <c r="O281" s="38">
        <v>0</v>
      </c>
      <c r="P281" s="25">
        <v>0</v>
      </c>
      <c r="Q281" s="25">
        <v>1011</v>
      </c>
      <c r="R281" s="25">
        <v>300</v>
      </c>
      <c r="S281" s="25">
        <v>0</v>
      </c>
      <c r="T281" s="25">
        <v>0</v>
      </c>
      <c r="U281" s="25">
        <v>0</v>
      </c>
    </row>
    <row r="282" spans="1:21">
      <c r="A282" s="18">
        <v>3000801</v>
      </c>
      <c r="B282" s="25" t="s">
        <v>965</v>
      </c>
      <c r="C282" s="25">
        <v>1</v>
      </c>
      <c r="D282" s="25">
        <v>3</v>
      </c>
      <c r="E282" s="25">
        <v>1001</v>
      </c>
      <c r="F282" s="25">
        <v>300</v>
      </c>
      <c r="G282" s="25">
        <v>10000</v>
      </c>
      <c r="H282" s="25"/>
      <c r="I282" s="25">
        <v>1000</v>
      </c>
      <c r="J282" s="25">
        <v>0</v>
      </c>
      <c r="K282" s="25" t="s">
        <v>965</v>
      </c>
      <c r="L282" s="25" t="str">
        <f t="shared" si="8"/>
        <v>幽灵怪技能-远程</v>
      </c>
      <c r="M282" s="25" t="s">
        <v>227</v>
      </c>
      <c r="N282" s="25">
        <v>0</v>
      </c>
      <c r="O282" s="38">
        <v>0</v>
      </c>
      <c r="P282" s="25">
        <v>0</v>
      </c>
      <c r="Q282" s="25">
        <v>1011</v>
      </c>
      <c r="R282" s="25">
        <v>850</v>
      </c>
      <c r="S282" s="25">
        <v>3000802</v>
      </c>
      <c r="T282" s="25">
        <v>300</v>
      </c>
      <c r="U282" s="25">
        <v>600</v>
      </c>
    </row>
    <row r="283" spans="1:21">
      <c r="A283" s="18">
        <v>3000901</v>
      </c>
      <c r="B283" s="25" t="s">
        <v>966</v>
      </c>
      <c r="C283" s="25">
        <v>1</v>
      </c>
      <c r="D283" s="25">
        <v>3</v>
      </c>
      <c r="E283" s="25">
        <v>1001</v>
      </c>
      <c r="F283" s="25">
        <v>350</v>
      </c>
      <c r="G283" s="25">
        <v>10000</v>
      </c>
      <c r="H283" s="25"/>
      <c r="I283" s="25">
        <v>1000</v>
      </c>
      <c r="J283" s="25">
        <v>0</v>
      </c>
      <c r="K283" s="25" t="s">
        <v>966</v>
      </c>
      <c r="L283" s="25" t="str">
        <f t="shared" si="8"/>
        <v>仙人掌怪技能-远程</v>
      </c>
      <c r="M283" s="25" t="s">
        <v>227</v>
      </c>
      <c r="N283" s="25">
        <v>0</v>
      </c>
      <c r="O283" s="38">
        <v>0</v>
      </c>
      <c r="P283" s="25">
        <v>0</v>
      </c>
      <c r="Q283" s="25">
        <v>1011</v>
      </c>
      <c r="R283" s="25">
        <v>850</v>
      </c>
      <c r="S283" s="25">
        <v>3000902</v>
      </c>
      <c r="T283" s="25">
        <v>300</v>
      </c>
      <c r="U283" s="25">
        <v>600</v>
      </c>
    </row>
    <row r="284" spans="1:21">
      <c r="A284" s="18">
        <v>6006001</v>
      </c>
      <c r="B284" s="44" t="s">
        <v>235</v>
      </c>
      <c r="C284" s="44">
        <v>1</v>
      </c>
      <c r="D284" s="25">
        <v>3</v>
      </c>
      <c r="E284" s="44">
        <v>1001</v>
      </c>
      <c r="F284" s="44">
        <v>350</v>
      </c>
      <c r="G284" s="44">
        <v>10000</v>
      </c>
      <c r="H284" s="44">
        <f>A284+5000000</f>
        <v>11006001</v>
      </c>
      <c r="I284" s="44">
        <v>1000</v>
      </c>
      <c r="J284" s="44">
        <v>0</v>
      </c>
      <c r="K284" s="44" t="s">
        <v>235</v>
      </c>
      <c r="L284" s="44" t="s">
        <v>235</v>
      </c>
      <c r="M284" s="44" t="s">
        <v>227</v>
      </c>
      <c r="N284" s="44">
        <v>0</v>
      </c>
      <c r="O284" s="46">
        <v>0</v>
      </c>
      <c r="P284" s="44">
        <v>0</v>
      </c>
      <c r="Q284" s="44">
        <v>1016</v>
      </c>
      <c r="R284" s="44">
        <v>650</v>
      </c>
      <c r="S284" s="44">
        <v>6006001</v>
      </c>
      <c r="T284" s="44">
        <v>330</v>
      </c>
      <c r="U284" s="44">
        <v>350</v>
      </c>
    </row>
    <row r="285" spans="1:21">
      <c r="A285" s="18">
        <v>6006002</v>
      </c>
      <c r="B285" s="45" t="s">
        <v>236</v>
      </c>
      <c r="C285" s="45">
        <v>2</v>
      </c>
      <c r="D285" s="25">
        <v>3</v>
      </c>
      <c r="E285" s="45">
        <v>3001</v>
      </c>
      <c r="F285" s="45">
        <v>350</v>
      </c>
      <c r="G285" s="45">
        <v>11000</v>
      </c>
      <c r="H285" s="45">
        <v>0</v>
      </c>
      <c r="I285" s="45">
        <v>3000</v>
      </c>
      <c r="J285" s="45">
        <v>1006002</v>
      </c>
      <c r="K285" s="45" t="s">
        <v>238</v>
      </c>
      <c r="L285" s="45" t="s">
        <v>236</v>
      </c>
      <c r="M285" s="45" t="s">
        <v>60</v>
      </c>
      <c r="N285" s="44">
        <v>0</v>
      </c>
      <c r="O285" s="47">
        <v>6006002</v>
      </c>
      <c r="P285" s="45">
        <v>600</v>
      </c>
      <c r="Q285" s="45">
        <v>1016</v>
      </c>
      <c r="R285" s="45">
        <v>1150</v>
      </c>
      <c r="S285" s="45">
        <v>0</v>
      </c>
      <c r="T285" s="45">
        <v>0</v>
      </c>
      <c r="U285" s="45">
        <v>0</v>
      </c>
    </row>
    <row r="286" spans="1:21">
      <c r="A286" s="18">
        <v>6006101</v>
      </c>
      <c r="B286" s="45" t="s">
        <v>240</v>
      </c>
      <c r="C286" s="45">
        <v>1</v>
      </c>
      <c r="D286" s="25">
        <v>3</v>
      </c>
      <c r="E286" s="45">
        <v>1001</v>
      </c>
      <c r="F286" s="45">
        <v>350</v>
      </c>
      <c r="G286" s="45">
        <v>21000</v>
      </c>
      <c r="H286" s="45">
        <f>A286+5000000</f>
        <v>11006101</v>
      </c>
      <c r="I286" s="45">
        <v>1000</v>
      </c>
      <c r="J286" s="45">
        <v>0</v>
      </c>
      <c r="K286" s="45" t="s">
        <v>240</v>
      </c>
      <c r="L286" s="45" t="s">
        <v>240</v>
      </c>
      <c r="M286" s="45" t="s">
        <v>227</v>
      </c>
      <c r="N286" s="44">
        <v>0</v>
      </c>
      <c r="O286" s="47">
        <v>0</v>
      </c>
      <c r="P286" s="45">
        <v>0</v>
      </c>
      <c r="Q286" s="45">
        <v>1016</v>
      </c>
      <c r="R286" s="45">
        <v>700</v>
      </c>
      <c r="S286" s="45">
        <v>6006001</v>
      </c>
      <c r="T286" s="45">
        <v>400</v>
      </c>
      <c r="U286" s="45">
        <v>350</v>
      </c>
    </row>
    <row r="287" spans="1:21">
      <c r="A287" s="18">
        <v>6006102</v>
      </c>
      <c r="B287" s="45" t="s">
        <v>241</v>
      </c>
      <c r="C287" s="45">
        <v>2</v>
      </c>
      <c r="D287" s="25">
        <v>3</v>
      </c>
      <c r="E287" s="45">
        <v>3001</v>
      </c>
      <c r="F287" s="45">
        <v>350</v>
      </c>
      <c r="G287" s="45">
        <v>10000</v>
      </c>
      <c r="H287" s="45">
        <v>0</v>
      </c>
      <c r="I287" s="45">
        <v>3000</v>
      </c>
      <c r="J287" s="45">
        <v>1006002</v>
      </c>
      <c r="K287" s="45" t="s">
        <v>243</v>
      </c>
      <c r="L287" s="45" t="s">
        <v>241</v>
      </c>
      <c r="M287" s="45" t="s">
        <v>60</v>
      </c>
      <c r="N287" s="44">
        <v>0</v>
      </c>
      <c r="O287" s="47">
        <v>6006102</v>
      </c>
      <c r="P287" s="45">
        <v>500</v>
      </c>
      <c r="Q287" s="45">
        <v>1016</v>
      </c>
      <c r="R287" s="45">
        <v>1500</v>
      </c>
      <c r="S287" s="45">
        <v>0</v>
      </c>
      <c r="T287" s="45">
        <v>0</v>
      </c>
      <c r="U287" s="45">
        <v>0</v>
      </c>
    </row>
    <row r="288" spans="1:21">
      <c r="A288" s="18">
        <v>6006201</v>
      </c>
      <c r="B288" s="45" t="s">
        <v>245</v>
      </c>
      <c r="C288" s="45">
        <v>1</v>
      </c>
      <c r="D288" s="25">
        <v>3</v>
      </c>
      <c r="E288" s="45">
        <v>1001</v>
      </c>
      <c r="F288" s="45">
        <v>350</v>
      </c>
      <c r="G288" s="45">
        <v>10500</v>
      </c>
      <c r="H288" s="45">
        <f>A288+5000000</f>
        <v>11006201</v>
      </c>
      <c r="I288" s="45">
        <v>1000</v>
      </c>
      <c r="J288" s="45">
        <v>0</v>
      </c>
      <c r="K288" s="45" t="s">
        <v>245</v>
      </c>
      <c r="L288" s="45" t="s">
        <v>245</v>
      </c>
      <c r="M288" s="45" t="s">
        <v>227</v>
      </c>
      <c r="N288" s="44">
        <v>0</v>
      </c>
      <c r="O288" s="47">
        <v>0</v>
      </c>
      <c r="P288" s="45">
        <v>0</v>
      </c>
      <c r="Q288" s="45">
        <v>1016</v>
      </c>
      <c r="R288" s="45">
        <v>700</v>
      </c>
      <c r="S288" s="45">
        <v>6006001</v>
      </c>
      <c r="T288" s="45">
        <v>500</v>
      </c>
      <c r="U288" s="45">
        <v>350</v>
      </c>
    </row>
    <row r="289" spans="1:21">
      <c r="A289" s="18">
        <v>6006202</v>
      </c>
      <c r="B289" s="45" t="s">
        <v>203</v>
      </c>
      <c r="C289" s="45">
        <v>2</v>
      </c>
      <c r="D289" s="25">
        <v>3</v>
      </c>
      <c r="E289" s="45">
        <v>3001</v>
      </c>
      <c r="F289" s="45">
        <v>350</v>
      </c>
      <c r="G289" s="45">
        <v>10500</v>
      </c>
      <c r="H289" s="45">
        <v>0</v>
      </c>
      <c r="I289" s="45">
        <v>3000</v>
      </c>
      <c r="J289" s="45">
        <v>1006002</v>
      </c>
      <c r="K289" s="45" t="s">
        <v>247</v>
      </c>
      <c r="L289" s="45" t="s">
        <v>203</v>
      </c>
      <c r="M289" s="45" t="s">
        <v>60</v>
      </c>
      <c r="N289" s="44">
        <v>0</v>
      </c>
      <c r="O289" s="47">
        <v>6006202</v>
      </c>
      <c r="P289" s="45">
        <v>600</v>
      </c>
      <c r="Q289" s="45">
        <v>1016</v>
      </c>
      <c r="R289" s="45" t="s">
        <v>249</v>
      </c>
      <c r="S289" s="45">
        <v>0</v>
      </c>
      <c r="T289" s="45">
        <v>0</v>
      </c>
      <c r="U289" s="45">
        <v>0</v>
      </c>
    </row>
    <row r="290" spans="1:21">
      <c r="A290" s="18">
        <v>6007001</v>
      </c>
      <c r="B290" s="45" t="s">
        <v>250</v>
      </c>
      <c r="C290" s="45">
        <v>1</v>
      </c>
      <c r="D290" s="25">
        <v>3</v>
      </c>
      <c r="E290" s="45">
        <v>1001</v>
      </c>
      <c r="F290" s="45">
        <v>350</v>
      </c>
      <c r="G290" s="45">
        <v>1750</v>
      </c>
      <c r="H290" s="45">
        <f>A290+5000000</f>
        <v>11007001</v>
      </c>
      <c r="I290" s="45">
        <v>1000</v>
      </c>
      <c r="J290" s="45">
        <v>0</v>
      </c>
      <c r="K290" s="45" t="s">
        <v>250</v>
      </c>
      <c r="L290" s="45" t="s">
        <v>250</v>
      </c>
      <c r="M290" s="45" t="s">
        <v>227</v>
      </c>
      <c r="N290" s="44">
        <v>0</v>
      </c>
      <c r="O290" s="47">
        <v>0</v>
      </c>
      <c r="P290" s="45">
        <v>0</v>
      </c>
      <c r="Q290" s="45">
        <v>1011</v>
      </c>
      <c r="R290" s="45">
        <v>600</v>
      </c>
      <c r="S290" s="45">
        <v>6007001</v>
      </c>
      <c r="T290" s="45">
        <v>300</v>
      </c>
      <c r="U290" s="45">
        <v>350</v>
      </c>
    </row>
    <row r="291" spans="1:21">
      <c r="A291" s="18">
        <v>6007002</v>
      </c>
      <c r="B291" s="45" t="s">
        <v>82</v>
      </c>
      <c r="C291" s="45">
        <v>2</v>
      </c>
      <c r="D291" s="25">
        <v>3</v>
      </c>
      <c r="E291" s="45">
        <v>3001</v>
      </c>
      <c r="F291" s="45">
        <v>350</v>
      </c>
      <c r="G291" s="45">
        <v>3000</v>
      </c>
      <c r="H291" s="45">
        <v>0</v>
      </c>
      <c r="I291" s="45">
        <v>3400</v>
      </c>
      <c r="J291" s="45">
        <v>1007002</v>
      </c>
      <c r="K291" s="45" t="s">
        <v>252</v>
      </c>
      <c r="L291" s="45" t="s">
        <v>82</v>
      </c>
      <c r="M291" s="45" t="s">
        <v>60</v>
      </c>
      <c r="N291" s="44">
        <v>0</v>
      </c>
      <c r="O291" s="47">
        <v>6007002</v>
      </c>
      <c r="P291" s="45">
        <v>900</v>
      </c>
      <c r="Q291" s="45">
        <v>1011</v>
      </c>
      <c r="R291" s="45">
        <v>1400</v>
      </c>
      <c r="S291" s="45">
        <v>0</v>
      </c>
      <c r="T291" s="45">
        <v>0</v>
      </c>
      <c r="U291" s="45">
        <v>0</v>
      </c>
    </row>
    <row r="292" spans="1:21">
      <c r="A292" s="18">
        <v>6007101</v>
      </c>
      <c r="B292" s="45" t="s">
        <v>254</v>
      </c>
      <c r="C292" s="45">
        <v>1</v>
      </c>
      <c r="D292" s="25">
        <v>3</v>
      </c>
      <c r="E292" s="45">
        <v>1001</v>
      </c>
      <c r="F292" s="45">
        <v>350</v>
      </c>
      <c r="G292" s="45">
        <v>10500</v>
      </c>
      <c r="H292" s="45">
        <f>A292+5000000</f>
        <v>11007101</v>
      </c>
      <c r="I292" s="45">
        <v>1000</v>
      </c>
      <c r="J292" s="45">
        <v>0</v>
      </c>
      <c r="K292" s="45" t="s">
        <v>254</v>
      </c>
      <c r="L292" s="45" t="s">
        <v>254</v>
      </c>
      <c r="M292" s="45" t="s">
        <v>227</v>
      </c>
      <c r="N292" s="44">
        <v>0</v>
      </c>
      <c r="O292" s="47">
        <v>0</v>
      </c>
      <c r="P292" s="45">
        <v>0</v>
      </c>
      <c r="Q292" s="45">
        <v>1011</v>
      </c>
      <c r="R292" s="45">
        <v>700</v>
      </c>
      <c r="S292" s="45">
        <v>6007001</v>
      </c>
      <c r="T292" s="45">
        <v>400</v>
      </c>
      <c r="U292" s="45">
        <v>350</v>
      </c>
    </row>
    <row r="293" spans="1:21">
      <c r="A293" s="18">
        <v>6007102</v>
      </c>
      <c r="B293" s="45" t="s">
        <v>255</v>
      </c>
      <c r="C293" s="45">
        <v>2</v>
      </c>
      <c r="D293" s="25">
        <v>3</v>
      </c>
      <c r="E293" s="45">
        <v>3001</v>
      </c>
      <c r="F293" s="45">
        <v>350</v>
      </c>
      <c r="G293" s="45">
        <v>10500</v>
      </c>
      <c r="H293" s="45">
        <v>0</v>
      </c>
      <c r="I293" s="45">
        <v>3000</v>
      </c>
      <c r="J293" s="45">
        <v>1007002</v>
      </c>
      <c r="K293" s="45" t="s">
        <v>257</v>
      </c>
      <c r="L293" s="45" t="s">
        <v>255</v>
      </c>
      <c r="M293" s="45" t="s">
        <v>60</v>
      </c>
      <c r="N293" s="44">
        <v>0</v>
      </c>
      <c r="O293" s="47">
        <v>6007102</v>
      </c>
      <c r="P293" s="45">
        <v>1000</v>
      </c>
      <c r="Q293" s="45">
        <v>1011</v>
      </c>
      <c r="R293" s="45">
        <v>1500</v>
      </c>
      <c r="S293" s="45">
        <v>0</v>
      </c>
      <c r="T293" s="45">
        <v>0</v>
      </c>
      <c r="U293" s="45">
        <v>0</v>
      </c>
    </row>
    <row r="294" spans="1:21">
      <c r="A294" s="18">
        <v>6009001</v>
      </c>
      <c r="B294" s="45" t="s">
        <v>259</v>
      </c>
      <c r="C294" s="45">
        <v>1</v>
      </c>
      <c r="D294" s="25">
        <v>3</v>
      </c>
      <c r="E294" s="45">
        <v>1001</v>
      </c>
      <c r="F294" s="45">
        <v>350</v>
      </c>
      <c r="G294" s="45">
        <v>5500</v>
      </c>
      <c r="H294" s="45">
        <f>A294+5000000</f>
        <v>11009001</v>
      </c>
      <c r="I294" s="45">
        <v>1000</v>
      </c>
      <c r="J294" s="45">
        <v>0</v>
      </c>
      <c r="K294" s="45" t="s">
        <v>259</v>
      </c>
      <c r="L294" s="45" t="s">
        <v>259</v>
      </c>
      <c r="M294" s="45" t="s">
        <v>227</v>
      </c>
      <c r="N294" s="44">
        <v>0</v>
      </c>
      <c r="O294" s="47">
        <v>0</v>
      </c>
      <c r="P294" s="45">
        <v>0</v>
      </c>
      <c r="Q294" s="45">
        <v>1011</v>
      </c>
      <c r="R294" s="45">
        <v>700</v>
      </c>
      <c r="S294" s="45">
        <v>6009001</v>
      </c>
      <c r="T294" s="45">
        <v>400</v>
      </c>
      <c r="U294" s="45">
        <v>350</v>
      </c>
    </row>
    <row r="295" spans="1:21">
      <c r="A295" s="18">
        <v>6009002</v>
      </c>
      <c r="B295" s="45" t="s">
        <v>154</v>
      </c>
      <c r="C295" s="45">
        <v>2</v>
      </c>
      <c r="D295" s="25">
        <v>3</v>
      </c>
      <c r="E295" s="45">
        <v>3001</v>
      </c>
      <c r="F295" s="45">
        <v>350</v>
      </c>
      <c r="G295" s="45">
        <v>2700</v>
      </c>
      <c r="H295" s="45">
        <v>0</v>
      </c>
      <c r="I295" s="45">
        <v>3000</v>
      </c>
      <c r="J295" s="45">
        <v>1009002</v>
      </c>
      <c r="K295" s="45" t="s">
        <v>261</v>
      </c>
      <c r="L295" s="45" t="s">
        <v>154</v>
      </c>
      <c r="M295" s="45" t="s">
        <v>60</v>
      </c>
      <c r="N295" s="44">
        <v>0</v>
      </c>
      <c r="O295" s="47">
        <v>6009002</v>
      </c>
      <c r="P295" s="45">
        <v>500</v>
      </c>
      <c r="Q295" s="45">
        <v>1011</v>
      </c>
      <c r="R295" s="45" t="s">
        <v>263</v>
      </c>
      <c r="S295" s="45">
        <v>0</v>
      </c>
      <c r="T295" s="45">
        <v>0</v>
      </c>
      <c r="U295" s="45">
        <v>0</v>
      </c>
    </row>
    <row r="296" spans="1:21">
      <c r="A296" s="18">
        <v>6009101</v>
      </c>
      <c r="B296" s="45" t="s">
        <v>264</v>
      </c>
      <c r="C296" s="45">
        <v>1</v>
      </c>
      <c r="D296" s="25">
        <v>3</v>
      </c>
      <c r="E296" s="45">
        <v>1001</v>
      </c>
      <c r="F296" s="45">
        <v>350</v>
      </c>
      <c r="G296" s="45">
        <v>5000</v>
      </c>
      <c r="H296" s="45">
        <f>A296+5000000</f>
        <v>11009101</v>
      </c>
      <c r="I296" s="45">
        <v>1000</v>
      </c>
      <c r="J296" s="45">
        <v>0</v>
      </c>
      <c r="K296" s="45" t="s">
        <v>264</v>
      </c>
      <c r="L296" s="45" t="s">
        <v>264</v>
      </c>
      <c r="M296" s="45" t="s">
        <v>227</v>
      </c>
      <c r="N296" s="44">
        <v>0</v>
      </c>
      <c r="O296" s="47">
        <v>0</v>
      </c>
      <c r="P296" s="45">
        <v>0</v>
      </c>
      <c r="Q296" s="45">
        <v>1011</v>
      </c>
      <c r="R296" s="45">
        <v>800</v>
      </c>
      <c r="S296" s="45">
        <v>6009001</v>
      </c>
      <c r="T296" s="45">
        <v>500</v>
      </c>
      <c r="U296" s="45">
        <v>350</v>
      </c>
    </row>
    <row r="297" spans="1:21">
      <c r="A297" s="18">
        <v>6009102</v>
      </c>
      <c r="B297" s="45" t="s">
        <v>265</v>
      </c>
      <c r="C297" s="45">
        <v>2</v>
      </c>
      <c r="D297" s="25">
        <v>3</v>
      </c>
      <c r="E297" s="45">
        <v>3001</v>
      </c>
      <c r="F297" s="45">
        <v>350</v>
      </c>
      <c r="G297" s="45">
        <v>2250</v>
      </c>
      <c r="H297" s="45">
        <v>0</v>
      </c>
      <c r="I297" s="45">
        <v>3300</v>
      </c>
      <c r="J297" s="45">
        <v>1009002</v>
      </c>
      <c r="K297" s="45" t="s">
        <v>267</v>
      </c>
      <c r="L297" s="45" t="s">
        <v>265</v>
      </c>
      <c r="M297" s="45" t="s">
        <v>60</v>
      </c>
      <c r="N297" s="44">
        <v>0</v>
      </c>
      <c r="O297" s="47">
        <v>6009002</v>
      </c>
      <c r="P297" s="45">
        <v>700</v>
      </c>
      <c r="Q297" s="45">
        <v>1011</v>
      </c>
      <c r="R297" s="45" t="s">
        <v>269</v>
      </c>
      <c r="S297" s="45">
        <v>0</v>
      </c>
      <c r="T297" s="45">
        <v>0</v>
      </c>
      <c r="U297" s="45">
        <v>0</v>
      </c>
    </row>
    <row r="298" spans="1:21">
      <c r="A298" s="18">
        <v>6010001</v>
      </c>
      <c r="B298" s="45" t="s">
        <v>270</v>
      </c>
      <c r="C298" s="45">
        <v>1</v>
      </c>
      <c r="D298" s="25">
        <v>3</v>
      </c>
      <c r="E298" s="45">
        <v>1001</v>
      </c>
      <c r="F298" s="45">
        <v>350</v>
      </c>
      <c r="G298" s="45">
        <v>4000</v>
      </c>
      <c r="H298" s="45">
        <f>A298+5000000</f>
        <v>11010001</v>
      </c>
      <c r="I298" s="45">
        <v>1000</v>
      </c>
      <c r="J298" s="45">
        <v>0</v>
      </c>
      <c r="K298" s="45" t="s">
        <v>270</v>
      </c>
      <c r="L298" s="45" t="s">
        <v>270</v>
      </c>
      <c r="M298" s="45" t="s">
        <v>227</v>
      </c>
      <c r="N298" s="44">
        <v>0</v>
      </c>
      <c r="O298" s="47">
        <v>0</v>
      </c>
      <c r="P298" s="45">
        <v>0</v>
      </c>
      <c r="Q298" s="45">
        <v>1013</v>
      </c>
      <c r="R298" s="45">
        <v>800</v>
      </c>
      <c r="S298" s="45">
        <v>6010001</v>
      </c>
      <c r="T298" s="45">
        <v>500</v>
      </c>
      <c r="U298" s="45">
        <v>350</v>
      </c>
    </row>
    <row r="299" spans="1:21">
      <c r="A299" s="18">
        <v>6010002</v>
      </c>
      <c r="B299" s="45" t="s">
        <v>271</v>
      </c>
      <c r="C299" s="45">
        <v>2</v>
      </c>
      <c r="D299" s="25">
        <v>3</v>
      </c>
      <c r="E299" s="45">
        <v>3001</v>
      </c>
      <c r="F299" s="45">
        <v>350</v>
      </c>
      <c r="G299" s="45">
        <v>8000</v>
      </c>
      <c r="H299" s="45">
        <v>0</v>
      </c>
      <c r="I299" s="45">
        <v>3000</v>
      </c>
      <c r="J299" s="45">
        <v>1010002</v>
      </c>
      <c r="K299" s="45" t="s">
        <v>273</v>
      </c>
      <c r="L299" s="45" t="s">
        <v>271</v>
      </c>
      <c r="M299" s="45" t="s">
        <v>60</v>
      </c>
      <c r="N299" s="44">
        <v>0</v>
      </c>
      <c r="O299" s="47">
        <v>6010002</v>
      </c>
      <c r="P299" s="45">
        <v>600</v>
      </c>
      <c r="Q299" s="45">
        <v>1013</v>
      </c>
      <c r="R299" s="45">
        <v>1200</v>
      </c>
      <c r="S299" s="45">
        <v>0</v>
      </c>
      <c r="T299" s="45">
        <v>0</v>
      </c>
      <c r="U299" s="45">
        <v>0</v>
      </c>
    </row>
    <row r="300" spans="1:21">
      <c r="A300" s="18">
        <v>6010101</v>
      </c>
      <c r="B300" s="45" t="s">
        <v>275</v>
      </c>
      <c r="C300" s="45">
        <v>1</v>
      </c>
      <c r="D300" s="25">
        <v>3</v>
      </c>
      <c r="E300" s="45">
        <v>1001</v>
      </c>
      <c r="F300" s="45">
        <v>350</v>
      </c>
      <c r="G300" s="45">
        <v>1500</v>
      </c>
      <c r="H300" s="45">
        <f>A300+5000000</f>
        <v>11010101</v>
      </c>
      <c r="I300" s="45">
        <v>1000</v>
      </c>
      <c r="J300" s="45">
        <v>0</v>
      </c>
      <c r="K300" s="45" t="s">
        <v>275</v>
      </c>
      <c r="L300" s="45" t="s">
        <v>275</v>
      </c>
      <c r="M300" s="45" t="s">
        <v>227</v>
      </c>
      <c r="N300" s="44">
        <v>0</v>
      </c>
      <c r="O300" s="47">
        <v>0</v>
      </c>
      <c r="P300" s="45">
        <v>0</v>
      </c>
      <c r="Q300" s="45">
        <v>1013</v>
      </c>
      <c r="R300" s="45">
        <v>700</v>
      </c>
      <c r="S300" s="45">
        <v>6010001</v>
      </c>
      <c r="T300" s="45">
        <v>400</v>
      </c>
      <c r="U300" s="45">
        <v>350</v>
      </c>
    </row>
    <row r="301" spans="1:21">
      <c r="A301" s="18">
        <v>6010102</v>
      </c>
      <c r="B301" s="45" t="s">
        <v>56</v>
      </c>
      <c r="C301" s="45">
        <v>2</v>
      </c>
      <c r="D301" s="25">
        <v>3</v>
      </c>
      <c r="E301" s="45">
        <v>3001</v>
      </c>
      <c r="F301" s="45">
        <v>350</v>
      </c>
      <c r="G301" s="45">
        <v>1500</v>
      </c>
      <c r="H301" s="45">
        <v>0</v>
      </c>
      <c r="I301" s="45">
        <v>3000</v>
      </c>
      <c r="J301" s="45">
        <v>1010002</v>
      </c>
      <c r="K301" s="45" t="s">
        <v>277</v>
      </c>
      <c r="L301" s="45" t="s">
        <v>56</v>
      </c>
      <c r="M301" s="45" t="s">
        <v>60</v>
      </c>
      <c r="N301" s="44">
        <v>0</v>
      </c>
      <c r="O301" s="47">
        <v>6010102</v>
      </c>
      <c r="P301" s="45">
        <v>500</v>
      </c>
      <c r="Q301" s="45">
        <v>1013</v>
      </c>
      <c r="R301" s="45" t="s">
        <v>279</v>
      </c>
      <c r="S301" s="45">
        <v>0</v>
      </c>
      <c r="T301" s="45">
        <v>0</v>
      </c>
      <c r="U301" s="45">
        <v>0</v>
      </c>
    </row>
    <row r="302" spans="1:21">
      <c r="A302" s="18">
        <v>6010201</v>
      </c>
      <c r="B302" s="45" t="s">
        <v>280</v>
      </c>
      <c r="C302" s="45">
        <v>1</v>
      </c>
      <c r="D302" s="25">
        <v>3</v>
      </c>
      <c r="E302" s="45">
        <v>1001</v>
      </c>
      <c r="F302" s="45">
        <v>350</v>
      </c>
      <c r="G302" s="45">
        <v>10500</v>
      </c>
      <c r="H302" s="45">
        <f>A302+5000000</f>
        <v>11010201</v>
      </c>
      <c r="I302" s="45">
        <v>1000</v>
      </c>
      <c r="J302" s="45">
        <v>0</v>
      </c>
      <c r="K302" s="45" t="s">
        <v>280</v>
      </c>
      <c r="L302" s="45" t="s">
        <v>280</v>
      </c>
      <c r="M302" s="45" t="s">
        <v>227</v>
      </c>
      <c r="N302" s="44">
        <v>0</v>
      </c>
      <c r="O302" s="47">
        <v>0</v>
      </c>
      <c r="P302" s="45">
        <v>0</v>
      </c>
      <c r="Q302" s="45">
        <v>1013</v>
      </c>
      <c r="R302" s="45">
        <v>700</v>
      </c>
      <c r="S302" s="45">
        <v>6010001</v>
      </c>
      <c r="T302" s="45">
        <v>400</v>
      </c>
      <c r="U302" s="45">
        <v>350</v>
      </c>
    </row>
    <row r="303" spans="1:21">
      <c r="A303" s="18">
        <v>6010202</v>
      </c>
      <c r="B303" s="45" t="s">
        <v>208</v>
      </c>
      <c r="C303" s="45">
        <v>2</v>
      </c>
      <c r="D303" s="25">
        <v>3</v>
      </c>
      <c r="E303" s="45">
        <v>3001</v>
      </c>
      <c r="F303" s="45">
        <v>350</v>
      </c>
      <c r="G303" s="45">
        <v>21000</v>
      </c>
      <c r="H303" s="45">
        <v>0</v>
      </c>
      <c r="I303" s="45">
        <v>3000</v>
      </c>
      <c r="J303" s="45">
        <v>1010202</v>
      </c>
      <c r="K303" s="45" t="s">
        <v>282</v>
      </c>
      <c r="L303" s="45" t="s">
        <v>208</v>
      </c>
      <c r="M303" s="45" t="s">
        <v>60</v>
      </c>
      <c r="N303" s="44">
        <v>0</v>
      </c>
      <c r="O303" s="47">
        <v>6010202</v>
      </c>
      <c r="P303" s="45">
        <v>1100</v>
      </c>
      <c r="Q303" s="45">
        <v>1013</v>
      </c>
      <c r="R303" s="45" t="s">
        <v>284</v>
      </c>
      <c r="S303" s="45">
        <v>0</v>
      </c>
      <c r="T303" s="45">
        <v>0</v>
      </c>
      <c r="U303" s="45">
        <v>0</v>
      </c>
    </row>
    <row r="304" spans="1:21">
      <c r="A304" s="18">
        <v>6011001</v>
      </c>
      <c r="B304" s="45" t="s">
        <v>285</v>
      </c>
      <c r="C304" s="45">
        <v>1</v>
      </c>
      <c r="D304" s="25">
        <v>3</v>
      </c>
      <c r="E304" s="45">
        <v>1001</v>
      </c>
      <c r="F304" s="45">
        <v>350</v>
      </c>
      <c r="G304" s="45">
        <v>10500</v>
      </c>
      <c r="H304" s="45">
        <f>A304+5000000</f>
        <v>11011001</v>
      </c>
      <c r="I304" s="45">
        <v>1000</v>
      </c>
      <c r="J304" s="45">
        <v>0</v>
      </c>
      <c r="K304" s="45" t="s">
        <v>285</v>
      </c>
      <c r="L304" s="45" t="s">
        <v>285</v>
      </c>
      <c r="M304" s="45" t="s">
        <v>227</v>
      </c>
      <c r="N304" s="44">
        <v>0</v>
      </c>
      <c r="O304" s="47">
        <v>0</v>
      </c>
      <c r="P304" s="45">
        <v>0</v>
      </c>
      <c r="Q304" s="45">
        <v>1013</v>
      </c>
      <c r="R304" s="45">
        <v>700</v>
      </c>
      <c r="S304" s="45">
        <v>6011001</v>
      </c>
      <c r="T304" s="45">
        <v>400</v>
      </c>
      <c r="U304" s="45">
        <v>350</v>
      </c>
    </row>
    <row r="305" spans="1:21">
      <c r="A305" s="18">
        <v>6011002</v>
      </c>
      <c r="B305" s="45" t="s">
        <v>286</v>
      </c>
      <c r="C305" s="45">
        <v>2</v>
      </c>
      <c r="D305" s="25">
        <v>3</v>
      </c>
      <c r="E305" s="45">
        <v>3001</v>
      </c>
      <c r="F305" s="45">
        <v>350</v>
      </c>
      <c r="G305" s="45">
        <v>21000</v>
      </c>
      <c r="H305" s="45">
        <v>0</v>
      </c>
      <c r="I305" s="45">
        <v>3600</v>
      </c>
      <c r="J305" s="45">
        <v>1011002</v>
      </c>
      <c r="K305" s="45" t="s">
        <v>288</v>
      </c>
      <c r="L305" s="45" t="s">
        <v>286</v>
      </c>
      <c r="M305" s="45" t="s">
        <v>60</v>
      </c>
      <c r="N305" s="44">
        <v>0</v>
      </c>
      <c r="O305" s="47">
        <v>6011002</v>
      </c>
      <c r="P305" s="45">
        <v>300</v>
      </c>
      <c r="Q305" s="45">
        <v>1013</v>
      </c>
      <c r="R305" s="45" t="s">
        <v>969</v>
      </c>
      <c r="S305" s="45">
        <v>0</v>
      </c>
      <c r="T305" s="45">
        <v>0</v>
      </c>
      <c r="U305" s="45">
        <v>0</v>
      </c>
    </row>
    <row r="306" spans="1:21">
      <c r="A306" s="18">
        <v>6011101</v>
      </c>
      <c r="B306" s="45" t="s">
        <v>291</v>
      </c>
      <c r="C306" s="45">
        <v>1</v>
      </c>
      <c r="D306" s="25">
        <v>3</v>
      </c>
      <c r="E306" s="45">
        <v>1001</v>
      </c>
      <c r="F306" s="45">
        <v>350</v>
      </c>
      <c r="G306" s="45">
        <v>10500</v>
      </c>
      <c r="H306" s="45">
        <f>A306+5000000</f>
        <v>11011101</v>
      </c>
      <c r="I306" s="45">
        <v>1000</v>
      </c>
      <c r="J306" s="45">
        <v>0</v>
      </c>
      <c r="K306" s="45" t="s">
        <v>291</v>
      </c>
      <c r="L306" s="45" t="s">
        <v>291</v>
      </c>
      <c r="M306" s="45" t="s">
        <v>227</v>
      </c>
      <c r="N306" s="44">
        <v>0</v>
      </c>
      <c r="O306" s="47">
        <v>0</v>
      </c>
      <c r="P306" s="45">
        <v>0</v>
      </c>
      <c r="Q306" s="45">
        <v>1013</v>
      </c>
      <c r="R306" s="45">
        <v>700</v>
      </c>
      <c r="S306" s="45">
        <v>6011001</v>
      </c>
      <c r="T306" s="45">
        <v>400</v>
      </c>
      <c r="U306" s="45">
        <v>350</v>
      </c>
    </row>
    <row r="307" spans="1:21">
      <c r="A307" s="18">
        <v>6011102</v>
      </c>
      <c r="B307" s="45" t="s">
        <v>116</v>
      </c>
      <c r="C307" s="45">
        <v>2</v>
      </c>
      <c r="D307" s="25">
        <v>3</v>
      </c>
      <c r="E307" s="45">
        <v>3001</v>
      </c>
      <c r="F307" s="45">
        <v>350</v>
      </c>
      <c r="G307" s="45">
        <v>21000</v>
      </c>
      <c r="H307" s="45">
        <v>0</v>
      </c>
      <c r="I307" s="45">
        <v>3800</v>
      </c>
      <c r="J307" s="45">
        <v>1011002</v>
      </c>
      <c r="K307" s="45" t="s">
        <v>293</v>
      </c>
      <c r="L307" s="45" t="s">
        <v>116</v>
      </c>
      <c r="M307" s="45" t="s">
        <v>60</v>
      </c>
      <c r="N307" s="44">
        <v>0</v>
      </c>
      <c r="O307" s="47">
        <v>6011002</v>
      </c>
      <c r="P307" s="45">
        <v>500</v>
      </c>
      <c r="Q307" s="45">
        <v>1013</v>
      </c>
      <c r="R307" s="45" t="s">
        <v>970</v>
      </c>
      <c r="S307" s="45">
        <v>0</v>
      </c>
      <c r="T307" s="45">
        <v>0</v>
      </c>
      <c r="U307" s="45">
        <v>0</v>
      </c>
    </row>
    <row r="308" spans="1:21">
      <c r="A308" s="18">
        <v>6012001</v>
      </c>
      <c r="B308" s="45" t="s">
        <v>295</v>
      </c>
      <c r="C308" s="45">
        <v>1</v>
      </c>
      <c r="D308" s="25">
        <v>3</v>
      </c>
      <c r="E308" s="45">
        <v>1001</v>
      </c>
      <c r="F308" s="45">
        <v>350</v>
      </c>
      <c r="G308" s="45">
        <v>10500</v>
      </c>
      <c r="H308" s="45">
        <f>A308+5000000</f>
        <v>11012001</v>
      </c>
      <c r="I308" s="45">
        <v>1000</v>
      </c>
      <c r="J308" s="45">
        <v>0</v>
      </c>
      <c r="K308" s="45" t="s">
        <v>295</v>
      </c>
      <c r="L308" s="45" t="s">
        <v>295</v>
      </c>
      <c r="M308" s="45" t="s">
        <v>227</v>
      </c>
      <c r="N308" s="44">
        <v>0</v>
      </c>
      <c r="O308" s="47">
        <v>0</v>
      </c>
      <c r="P308" s="45">
        <v>0</v>
      </c>
      <c r="Q308" s="45">
        <v>1013</v>
      </c>
      <c r="R308" s="45">
        <v>600</v>
      </c>
      <c r="S308" s="45">
        <v>6012001</v>
      </c>
      <c r="T308" s="45">
        <v>300</v>
      </c>
      <c r="U308" s="45">
        <v>350</v>
      </c>
    </row>
    <row r="309" spans="1:21">
      <c r="A309" s="18">
        <v>6012002</v>
      </c>
      <c r="B309" s="45" t="s">
        <v>296</v>
      </c>
      <c r="C309" s="45">
        <v>2</v>
      </c>
      <c r="D309" s="25">
        <v>3</v>
      </c>
      <c r="E309" s="45">
        <v>3001</v>
      </c>
      <c r="F309" s="45">
        <v>350</v>
      </c>
      <c r="G309" s="45">
        <v>21000</v>
      </c>
      <c r="H309" s="45">
        <v>0</v>
      </c>
      <c r="I309" s="45">
        <v>3000</v>
      </c>
      <c r="J309" s="45">
        <v>1012002</v>
      </c>
      <c r="K309" s="45" t="s">
        <v>298</v>
      </c>
      <c r="L309" s="45" t="s">
        <v>296</v>
      </c>
      <c r="M309" s="45" t="s">
        <v>60</v>
      </c>
      <c r="N309" s="44">
        <v>0</v>
      </c>
      <c r="O309" s="47">
        <v>6012002</v>
      </c>
      <c r="P309" s="45">
        <v>700</v>
      </c>
      <c r="Q309" s="45">
        <v>1013</v>
      </c>
      <c r="R309" s="45" t="s">
        <v>971</v>
      </c>
      <c r="S309" s="45">
        <v>0</v>
      </c>
      <c r="T309" s="45">
        <v>0</v>
      </c>
      <c r="U309" s="45">
        <v>0</v>
      </c>
    </row>
    <row r="310" spans="1:21">
      <c r="A310" s="18">
        <v>6012101</v>
      </c>
      <c r="B310" s="45" t="s">
        <v>301</v>
      </c>
      <c r="C310" s="45">
        <v>1</v>
      </c>
      <c r="D310" s="25">
        <v>3</v>
      </c>
      <c r="E310" s="45">
        <v>1001</v>
      </c>
      <c r="F310" s="45">
        <v>350</v>
      </c>
      <c r="G310" s="45">
        <v>1900</v>
      </c>
      <c r="H310" s="45">
        <f>A310+5000000</f>
        <v>11012101</v>
      </c>
      <c r="I310" s="45">
        <v>1000</v>
      </c>
      <c r="J310" s="45">
        <v>0</v>
      </c>
      <c r="K310" s="45" t="s">
        <v>301</v>
      </c>
      <c r="L310" s="45" t="s">
        <v>301</v>
      </c>
      <c r="M310" s="45" t="s">
        <v>227</v>
      </c>
      <c r="N310" s="44">
        <v>0</v>
      </c>
      <c r="O310" s="47">
        <v>0</v>
      </c>
      <c r="P310" s="45">
        <v>0</v>
      </c>
      <c r="Q310" s="45">
        <v>1013</v>
      </c>
      <c r="R310" s="45">
        <v>600</v>
      </c>
      <c r="S310" s="45">
        <v>6012001</v>
      </c>
      <c r="T310" s="45">
        <v>300</v>
      </c>
      <c r="U310" s="45">
        <v>350</v>
      </c>
    </row>
    <row r="311" spans="1:21">
      <c r="A311" s="18">
        <v>6012102</v>
      </c>
      <c r="B311" s="45" t="s">
        <v>130</v>
      </c>
      <c r="C311" s="45">
        <v>2</v>
      </c>
      <c r="D311" s="25">
        <v>3</v>
      </c>
      <c r="E311" s="45">
        <v>3001</v>
      </c>
      <c r="F311" s="45">
        <v>350</v>
      </c>
      <c r="G311" s="45">
        <v>4000</v>
      </c>
      <c r="H311" s="45">
        <v>0</v>
      </c>
      <c r="I311" s="45">
        <v>3000</v>
      </c>
      <c r="J311" s="45">
        <v>1012002</v>
      </c>
      <c r="K311" s="45" t="s">
        <v>303</v>
      </c>
      <c r="L311" s="45" t="s">
        <v>130</v>
      </c>
      <c r="M311" s="45" t="s">
        <v>60</v>
      </c>
      <c r="N311" s="44">
        <v>0</v>
      </c>
      <c r="O311" s="47">
        <v>6012002</v>
      </c>
      <c r="P311" s="45">
        <v>700</v>
      </c>
      <c r="Q311" s="45">
        <v>1013</v>
      </c>
      <c r="R311" s="45" t="s">
        <v>971</v>
      </c>
      <c r="S311" s="45">
        <v>0</v>
      </c>
      <c r="T311" s="45">
        <v>0</v>
      </c>
      <c r="U311" s="45">
        <v>0</v>
      </c>
    </row>
    <row r="312" spans="1:21">
      <c r="A312" s="18">
        <v>6012201</v>
      </c>
      <c r="B312" s="45" t="s">
        <v>305</v>
      </c>
      <c r="C312" s="45">
        <v>1</v>
      </c>
      <c r="D312" s="25">
        <v>3</v>
      </c>
      <c r="E312" s="45">
        <v>1001</v>
      </c>
      <c r="F312" s="45">
        <v>350</v>
      </c>
      <c r="G312" s="45">
        <v>2550</v>
      </c>
      <c r="H312" s="45">
        <f>A312+5000000</f>
        <v>11012201</v>
      </c>
      <c r="I312" s="45">
        <v>1000</v>
      </c>
      <c r="J312" s="45">
        <v>0</v>
      </c>
      <c r="K312" s="45" t="s">
        <v>305</v>
      </c>
      <c r="L312" s="45" t="s">
        <v>305</v>
      </c>
      <c r="M312" s="45" t="s">
        <v>227</v>
      </c>
      <c r="N312" s="44">
        <v>0</v>
      </c>
      <c r="O312" s="47">
        <v>0</v>
      </c>
      <c r="P312" s="45">
        <v>0</v>
      </c>
      <c r="Q312" s="45">
        <v>1013</v>
      </c>
      <c r="R312" s="45">
        <v>600</v>
      </c>
      <c r="S312" s="45">
        <v>6012001</v>
      </c>
      <c r="T312" s="45">
        <v>300</v>
      </c>
      <c r="U312" s="45">
        <v>350</v>
      </c>
    </row>
    <row r="313" spans="1:21">
      <c r="A313" s="18">
        <v>6012202</v>
      </c>
      <c r="B313" s="45" t="s">
        <v>178</v>
      </c>
      <c r="C313" s="45">
        <v>2</v>
      </c>
      <c r="D313" s="25">
        <v>3</v>
      </c>
      <c r="E313" s="45">
        <v>3001</v>
      </c>
      <c r="F313" s="45">
        <v>350</v>
      </c>
      <c r="G313" s="45">
        <v>2550</v>
      </c>
      <c r="H313" s="45">
        <v>0</v>
      </c>
      <c r="I313" s="45">
        <v>3000</v>
      </c>
      <c r="J313" s="45">
        <v>1012202</v>
      </c>
      <c r="K313" s="45" t="s">
        <v>307</v>
      </c>
      <c r="L313" s="45" t="s">
        <v>178</v>
      </c>
      <c r="M313" s="45" t="s">
        <v>60</v>
      </c>
      <c r="N313" s="44">
        <v>0</v>
      </c>
      <c r="O313" s="47">
        <v>6012202</v>
      </c>
      <c r="P313" s="45">
        <v>0</v>
      </c>
      <c r="Q313" s="45">
        <v>1013</v>
      </c>
      <c r="R313" s="45" t="s">
        <v>182</v>
      </c>
      <c r="S313" s="45">
        <v>0</v>
      </c>
      <c r="T313" s="45">
        <v>0</v>
      </c>
      <c r="U313" s="45">
        <v>0</v>
      </c>
    </row>
    <row r="314" spans="1:21">
      <c r="A314" s="18">
        <v>6013001</v>
      </c>
      <c r="B314" s="45" t="s">
        <v>309</v>
      </c>
      <c r="C314" s="45">
        <v>1</v>
      </c>
      <c r="D314" s="25">
        <v>3</v>
      </c>
      <c r="E314" s="45">
        <v>1001</v>
      </c>
      <c r="F314" s="45">
        <v>350</v>
      </c>
      <c r="G314" s="45">
        <v>44000</v>
      </c>
      <c r="H314" s="45">
        <f>A314+5000000</f>
        <v>11013001</v>
      </c>
      <c r="I314" s="45">
        <v>1000</v>
      </c>
      <c r="J314" s="45">
        <v>0</v>
      </c>
      <c r="K314" s="45" t="s">
        <v>309</v>
      </c>
      <c r="L314" s="45" t="s">
        <v>309</v>
      </c>
      <c r="M314" s="45" t="s">
        <v>227</v>
      </c>
      <c r="N314" s="44">
        <v>0</v>
      </c>
      <c r="O314" s="47">
        <v>0</v>
      </c>
      <c r="P314" s="45">
        <v>0</v>
      </c>
      <c r="Q314" s="45">
        <v>1013</v>
      </c>
      <c r="R314" s="45">
        <v>800</v>
      </c>
      <c r="S314" s="45">
        <v>6013001</v>
      </c>
      <c r="T314" s="45">
        <v>500</v>
      </c>
      <c r="U314" s="45">
        <v>350</v>
      </c>
    </row>
    <row r="315" spans="1:21">
      <c r="A315" s="18">
        <v>6013002</v>
      </c>
      <c r="B315" s="45" t="s">
        <v>310</v>
      </c>
      <c r="C315" s="45">
        <v>2</v>
      </c>
      <c r="D315" s="25">
        <v>3</v>
      </c>
      <c r="E315" s="45">
        <v>3001</v>
      </c>
      <c r="F315" s="45">
        <v>350</v>
      </c>
      <c r="G315" s="45">
        <v>11000</v>
      </c>
      <c r="H315" s="45">
        <v>0</v>
      </c>
      <c r="I315" s="45">
        <v>3000</v>
      </c>
      <c r="J315" s="45">
        <v>1013002</v>
      </c>
      <c r="K315" s="45" t="s">
        <v>312</v>
      </c>
      <c r="L315" s="45" t="s">
        <v>310</v>
      </c>
      <c r="M315" s="45" t="s">
        <v>60</v>
      </c>
      <c r="N315" s="44">
        <v>0</v>
      </c>
      <c r="O315" s="47">
        <v>6013002</v>
      </c>
      <c r="P315" s="45">
        <v>500</v>
      </c>
      <c r="Q315" s="45">
        <v>1013</v>
      </c>
      <c r="R315" s="45" t="s">
        <v>314</v>
      </c>
      <c r="S315" s="45">
        <v>0</v>
      </c>
      <c r="T315" s="45">
        <v>0</v>
      </c>
      <c r="U315" s="45">
        <v>0</v>
      </c>
    </row>
    <row r="316" spans="1:21">
      <c r="A316" s="18">
        <v>6013101</v>
      </c>
      <c r="B316" s="45" t="s">
        <v>315</v>
      </c>
      <c r="C316" s="45">
        <v>1</v>
      </c>
      <c r="D316" s="25">
        <v>3</v>
      </c>
      <c r="E316" s="45">
        <v>1001</v>
      </c>
      <c r="F316" s="45">
        <v>350</v>
      </c>
      <c r="G316" s="45">
        <v>3500</v>
      </c>
      <c r="H316" s="45">
        <f>A316+5000000</f>
        <v>11013101</v>
      </c>
      <c r="I316" s="45">
        <v>1000</v>
      </c>
      <c r="J316" s="45">
        <v>0</v>
      </c>
      <c r="K316" s="45" t="s">
        <v>315</v>
      </c>
      <c r="L316" s="45" t="s">
        <v>315</v>
      </c>
      <c r="M316" s="45" t="s">
        <v>227</v>
      </c>
      <c r="N316" s="44">
        <v>0</v>
      </c>
      <c r="O316" s="47">
        <v>0</v>
      </c>
      <c r="P316" s="45">
        <v>0</v>
      </c>
      <c r="Q316" s="45">
        <v>1013</v>
      </c>
      <c r="R316" s="45">
        <v>700</v>
      </c>
      <c r="S316" s="45">
        <v>6013001</v>
      </c>
      <c r="T316" s="45">
        <v>400</v>
      </c>
      <c r="U316" s="45">
        <v>350</v>
      </c>
    </row>
    <row r="317" spans="1:21">
      <c r="A317" s="18">
        <v>6013102</v>
      </c>
      <c r="B317" s="45" t="s">
        <v>87</v>
      </c>
      <c r="C317" s="45">
        <v>2</v>
      </c>
      <c r="D317" s="25">
        <v>3</v>
      </c>
      <c r="E317" s="45">
        <v>3001</v>
      </c>
      <c r="F317" s="45">
        <v>350</v>
      </c>
      <c r="G317" s="45">
        <v>11000</v>
      </c>
      <c r="H317" s="45">
        <v>0</v>
      </c>
      <c r="I317" s="45">
        <v>3000</v>
      </c>
      <c r="J317" s="45">
        <v>1013002</v>
      </c>
      <c r="K317" s="45" t="s">
        <v>317</v>
      </c>
      <c r="L317" s="45" t="s">
        <v>87</v>
      </c>
      <c r="M317" s="45" t="s">
        <v>60</v>
      </c>
      <c r="N317" s="44">
        <v>0</v>
      </c>
      <c r="O317" s="47">
        <v>6013002</v>
      </c>
      <c r="P317" s="45">
        <v>600</v>
      </c>
      <c r="Q317" s="45">
        <v>1013</v>
      </c>
      <c r="R317" s="45" t="s">
        <v>319</v>
      </c>
      <c r="S317" s="45">
        <v>0</v>
      </c>
      <c r="T317" s="45">
        <v>0</v>
      </c>
      <c r="U317" s="45">
        <v>0</v>
      </c>
    </row>
    <row r="318" spans="1:21">
      <c r="A318" s="18">
        <v>6014001</v>
      </c>
      <c r="B318" s="45" t="s">
        <v>320</v>
      </c>
      <c r="C318" s="45">
        <v>1</v>
      </c>
      <c r="D318" s="25">
        <v>3</v>
      </c>
      <c r="E318" s="45">
        <v>1001</v>
      </c>
      <c r="F318" s="45">
        <v>350</v>
      </c>
      <c r="G318" s="45">
        <v>3500</v>
      </c>
      <c r="H318" s="45">
        <f>A318+5000000</f>
        <v>11014001</v>
      </c>
      <c r="I318" s="45">
        <v>1000</v>
      </c>
      <c r="J318" s="45">
        <v>0</v>
      </c>
      <c r="K318" s="45" t="s">
        <v>320</v>
      </c>
      <c r="L318" s="45" t="s">
        <v>320</v>
      </c>
      <c r="M318" s="45" t="s">
        <v>227</v>
      </c>
      <c r="N318" s="44">
        <v>0</v>
      </c>
      <c r="O318" s="47">
        <v>0</v>
      </c>
      <c r="P318" s="45">
        <v>0</v>
      </c>
      <c r="Q318" s="45">
        <v>1014</v>
      </c>
      <c r="R318" s="45">
        <v>700</v>
      </c>
      <c r="S318" s="45">
        <v>6014001</v>
      </c>
      <c r="T318" s="45">
        <v>400</v>
      </c>
      <c r="U318" s="45">
        <v>350</v>
      </c>
    </row>
    <row r="319" spans="1:21">
      <c r="A319" s="18">
        <v>6014002</v>
      </c>
      <c r="B319" s="45" t="s">
        <v>321</v>
      </c>
      <c r="C319" s="45">
        <v>2</v>
      </c>
      <c r="D319" s="25">
        <v>3</v>
      </c>
      <c r="E319" s="45">
        <v>3001</v>
      </c>
      <c r="F319" s="45">
        <v>350</v>
      </c>
      <c r="G319" s="45">
        <v>1500</v>
      </c>
      <c r="H319" s="45">
        <v>0</v>
      </c>
      <c r="I319" s="45">
        <v>3000</v>
      </c>
      <c r="J319" s="45">
        <v>1014002</v>
      </c>
      <c r="K319" s="45" t="s">
        <v>323</v>
      </c>
      <c r="L319" s="45" t="s">
        <v>321</v>
      </c>
      <c r="M319" s="45" t="s">
        <v>60</v>
      </c>
      <c r="N319" s="44">
        <v>0</v>
      </c>
      <c r="O319" s="47">
        <v>6014002</v>
      </c>
      <c r="P319" s="45">
        <v>600</v>
      </c>
      <c r="Q319" s="45">
        <v>1014</v>
      </c>
      <c r="R319" s="45">
        <v>1050</v>
      </c>
      <c r="S319" s="45">
        <v>0</v>
      </c>
      <c r="T319" s="45">
        <v>0</v>
      </c>
      <c r="U319" s="45">
        <v>0</v>
      </c>
    </row>
    <row r="320" spans="1:21">
      <c r="A320" s="18">
        <v>6014101</v>
      </c>
      <c r="B320" s="45" t="s">
        <v>325</v>
      </c>
      <c r="C320" s="45">
        <v>1</v>
      </c>
      <c r="D320" s="25">
        <v>3</v>
      </c>
      <c r="E320" s="45">
        <v>1001</v>
      </c>
      <c r="F320" s="45">
        <v>350</v>
      </c>
      <c r="G320" s="45">
        <v>3000</v>
      </c>
      <c r="H320" s="45">
        <f>A320+5000000</f>
        <v>11014101</v>
      </c>
      <c r="I320" s="45">
        <v>1000</v>
      </c>
      <c r="J320" s="45">
        <v>0</v>
      </c>
      <c r="K320" s="45" t="s">
        <v>325</v>
      </c>
      <c r="L320" s="45" t="s">
        <v>325</v>
      </c>
      <c r="M320" s="45" t="s">
        <v>227</v>
      </c>
      <c r="N320" s="44">
        <v>0</v>
      </c>
      <c r="O320" s="47">
        <v>0</v>
      </c>
      <c r="P320" s="45">
        <v>0</v>
      </c>
      <c r="Q320" s="45">
        <v>1014</v>
      </c>
      <c r="R320" s="45">
        <v>700</v>
      </c>
      <c r="S320" s="45">
        <v>6014001</v>
      </c>
      <c r="T320" s="45">
        <v>400</v>
      </c>
      <c r="U320" s="45">
        <v>350</v>
      </c>
    </row>
    <row r="321" spans="1:21">
      <c r="A321" s="18">
        <v>6014102</v>
      </c>
      <c r="B321" s="45" t="s">
        <v>326</v>
      </c>
      <c r="C321" s="45">
        <v>2</v>
      </c>
      <c r="D321" s="25">
        <v>3</v>
      </c>
      <c r="E321" s="45">
        <v>3001</v>
      </c>
      <c r="F321" s="45">
        <v>350</v>
      </c>
      <c r="G321" s="45">
        <v>5500</v>
      </c>
      <c r="H321" s="45">
        <v>0</v>
      </c>
      <c r="I321" s="45">
        <v>3000</v>
      </c>
      <c r="J321" s="45">
        <v>1014002</v>
      </c>
      <c r="K321" s="45" t="s">
        <v>328</v>
      </c>
      <c r="L321" s="45" t="s">
        <v>326</v>
      </c>
      <c r="M321" s="45" t="s">
        <v>60</v>
      </c>
      <c r="N321" s="44">
        <v>0</v>
      </c>
      <c r="O321" s="47">
        <v>6014102</v>
      </c>
      <c r="P321" s="45">
        <v>700</v>
      </c>
      <c r="Q321" s="45">
        <v>1014</v>
      </c>
      <c r="R321" s="45">
        <v>1700</v>
      </c>
      <c r="S321" s="45">
        <v>0</v>
      </c>
      <c r="T321" s="45">
        <v>0</v>
      </c>
      <c r="U321" s="45">
        <v>0</v>
      </c>
    </row>
    <row r="322" spans="1:21">
      <c r="A322" s="18">
        <v>6015001</v>
      </c>
      <c r="B322" s="45" t="s">
        <v>330</v>
      </c>
      <c r="C322" s="45">
        <v>1</v>
      </c>
      <c r="D322" s="25">
        <v>3</v>
      </c>
      <c r="E322" s="45">
        <v>1001</v>
      </c>
      <c r="F322" s="45">
        <v>350</v>
      </c>
      <c r="G322" s="45">
        <v>2750</v>
      </c>
      <c r="H322" s="45">
        <f>A322+5000000</f>
        <v>11015001</v>
      </c>
      <c r="I322" s="45">
        <v>1000</v>
      </c>
      <c r="J322" s="45">
        <v>0</v>
      </c>
      <c r="K322" s="45" t="s">
        <v>330</v>
      </c>
      <c r="L322" s="45" t="s">
        <v>330</v>
      </c>
      <c r="M322" s="45" t="s">
        <v>227</v>
      </c>
      <c r="N322" s="44">
        <v>0</v>
      </c>
      <c r="O322" s="47">
        <v>0</v>
      </c>
      <c r="P322" s="45">
        <v>0</v>
      </c>
      <c r="Q322" s="45">
        <v>1014</v>
      </c>
      <c r="R322" s="45">
        <v>700</v>
      </c>
      <c r="S322" s="45">
        <v>6015001</v>
      </c>
      <c r="T322" s="45">
        <v>400</v>
      </c>
      <c r="U322" s="45">
        <v>350</v>
      </c>
    </row>
    <row r="323" spans="1:21">
      <c r="A323" s="18">
        <v>6015002</v>
      </c>
      <c r="B323" s="45" t="s">
        <v>106</v>
      </c>
      <c r="C323" s="45">
        <v>2</v>
      </c>
      <c r="D323" s="25">
        <v>3</v>
      </c>
      <c r="E323" s="45">
        <v>3001</v>
      </c>
      <c r="F323" s="45">
        <v>350</v>
      </c>
      <c r="G323" s="45">
        <v>10500</v>
      </c>
      <c r="H323" s="45">
        <v>0</v>
      </c>
      <c r="I323" s="45">
        <v>3000</v>
      </c>
      <c r="J323" s="45">
        <v>1015002</v>
      </c>
      <c r="K323" s="45" t="s">
        <v>332</v>
      </c>
      <c r="L323" s="45" t="s">
        <v>106</v>
      </c>
      <c r="M323" s="45" t="s">
        <v>60</v>
      </c>
      <c r="N323" s="44">
        <v>0</v>
      </c>
      <c r="O323" s="47">
        <v>6015002</v>
      </c>
      <c r="P323" s="45">
        <v>300</v>
      </c>
      <c r="Q323" s="45">
        <v>1014</v>
      </c>
      <c r="R323" s="45">
        <v>1150</v>
      </c>
      <c r="S323" s="45">
        <v>0</v>
      </c>
      <c r="T323" s="45">
        <v>0</v>
      </c>
      <c r="U323" s="45">
        <v>0</v>
      </c>
    </row>
    <row r="324" spans="1:21">
      <c r="A324" s="18">
        <v>6015101</v>
      </c>
      <c r="B324" s="45" t="s">
        <v>334</v>
      </c>
      <c r="C324" s="45">
        <v>1</v>
      </c>
      <c r="D324" s="25">
        <v>3</v>
      </c>
      <c r="E324" s="45">
        <v>1001</v>
      </c>
      <c r="F324" s="45">
        <v>350</v>
      </c>
      <c r="G324" s="45">
        <v>10500</v>
      </c>
      <c r="H324" s="45">
        <f>A324+5000000</f>
        <v>11015101</v>
      </c>
      <c r="I324" s="45">
        <v>1000</v>
      </c>
      <c r="J324" s="45">
        <v>0</v>
      </c>
      <c r="K324" s="45" t="s">
        <v>334</v>
      </c>
      <c r="L324" s="45" t="s">
        <v>334</v>
      </c>
      <c r="M324" s="45" t="s">
        <v>227</v>
      </c>
      <c r="N324" s="44">
        <v>0</v>
      </c>
      <c r="O324" s="47">
        <v>0</v>
      </c>
      <c r="P324" s="45">
        <v>0</v>
      </c>
      <c r="Q324" s="45">
        <v>1014</v>
      </c>
      <c r="R324" s="45">
        <v>700</v>
      </c>
      <c r="S324" s="45">
        <v>6015001</v>
      </c>
      <c r="T324" s="45">
        <v>400</v>
      </c>
      <c r="U324" s="45">
        <v>350</v>
      </c>
    </row>
    <row r="325" spans="1:21">
      <c r="A325" s="18">
        <v>6015102</v>
      </c>
      <c r="B325" s="45" t="s">
        <v>335</v>
      </c>
      <c r="C325" s="45">
        <v>2</v>
      </c>
      <c r="D325" s="25">
        <v>3</v>
      </c>
      <c r="E325" s="45">
        <v>3001</v>
      </c>
      <c r="F325" s="45">
        <v>350</v>
      </c>
      <c r="G325" s="45">
        <v>21000</v>
      </c>
      <c r="H325" s="45">
        <v>0</v>
      </c>
      <c r="I325" s="45">
        <v>3000</v>
      </c>
      <c r="J325" s="45">
        <v>1015002</v>
      </c>
      <c r="K325" s="45" t="s">
        <v>337</v>
      </c>
      <c r="L325" s="45" t="s">
        <v>335</v>
      </c>
      <c r="M325" s="45" t="s">
        <v>60</v>
      </c>
      <c r="N325" s="44">
        <v>0</v>
      </c>
      <c r="O325" s="47">
        <v>6015002</v>
      </c>
      <c r="P325" s="45">
        <v>1100</v>
      </c>
      <c r="Q325" s="45">
        <v>1014</v>
      </c>
      <c r="R325" s="45">
        <v>1950</v>
      </c>
      <c r="S325" s="45">
        <v>0</v>
      </c>
      <c r="T325" s="45">
        <v>0</v>
      </c>
      <c r="U325" s="45">
        <v>0</v>
      </c>
    </row>
    <row r="326" spans="1:21">
      <c r="A326" s="18">
        <v>6016001</v>
      </c>
      <c r="B326" s="45" t="s">
        <v>339</v>
      </c>
      <c r="C326" s="45">
        <v>1</v>
      </c>
      <c r="D326" s="25">
        <v>3</v>
      </c>
      <c r="E326" s="45">
        <v>1001</v>
      </c>
      <c r="F326" s="45">
        <v>350</v>
      </c>
      <c r="G326" s="45">
        <v>10500</v>
      </c>
      <c r="H326" s="45">
        <f>A326+5000000</f>
        <v>11016001</v>
      </c>
      <c r="I326" s="45">
        <v>1000</v>
      </c>
      <c r="J326" s="45">
        <v>0</v>
      </c>
      <c r="K326" s="45" t="s">
        <v>339</v>
      </c>
      <c r="L326" s="45" t="s">
        <v>339</v>
      </c>
      <c r="M326" s="45" t="s">
        <v>227</v>
      </c>
      <c r="N326" s="44">
        <v>0</v>
      </c>
      <c r="O326" s="47">
        <v>0</v>
      </c>
      <c r="P326" s="45">
        <v>0</v>
      </c>
      <c r="Q326" s="45">
        <v>1014</v>
      </c>
      <c r="R326" s="45">
        <v>700</v>
      </c>
      <c r="S326" s="45">
        <v>6016001</v>
      </c>
      <c r="T326" s="45">
        <v>400</v>
      </c>
      <c r="U326" s="45">
        <v>350</v>
      </c>
    </row>
    <row r="327" spans="1:21">
      <c r="A327" s="18">
        <v>6016002</v>
      </c>
      <c r="B327" s="45" t="s">
        <v>340</v>
      </c>
      <c r="C327" s="45">
        <v>2</v>
      </c>
      <c r="D327" s="25">
        <v>3</v>
      </c>
      <c r="E327" s="45">
        <v>2002</v>
      </c>
      <c r="F327" s="45">
        <v>350</v>
      </c>
      <c r="G327" s="45">
        <v>21000</v>
      </c>
      <c r="H327" s="45">
        <v>0</v>
      </c>
      <c r="I327" s="45">
        <v>3000</v>
      </c>
      <c r="J327" s="45">
        <v>1016002</v>
      </c>
      <c r="K327" s="45" t="s">
        <v>342</v>
      </c>
      <c r="L327" s="45" t="s">
        <v>340</v>
      </c>
      <c r="M327" s="45" t="s">
        <v>60</v>
      </c>
      <c r="N327" s="44">
        <v>0</v>
      </c>
      <c r="O327" s="47">
        <v>6016002</v>
      </c>
      <c r="P327" s="45">
        <v>700</v>
      </c>
      <c r="Q327" s="45">
        <v>1014</v>
      </c>
      <c r="R327" s="45">
        <v>1350</v>
      </c>
      <c r="S327" s="45">
        <v>0</v>
      </c>
      <c r="T327" s="45">
        <v>0</v>
      </c>
      <c r="U327" s="45">
        <v>0</v>
      </c>
    </row>
    <row r="328" spans="1:21">
      <c r="A328" s="18">
        <v>6016101</v>
      </c>
      <c r="B328" s="45" t="s">
        <v>344</v>
      </c>
      <c r="C328" s="45">
        <v>1</v>
      </c>
      <c r="D328" s="25">
        <v>3</v>
      </c>
      <c r="E328" s="45">
        <v>1001</v>
      </c>
      <c r="F328" s="45">
        <v>350</v>
      </c>
      <c r="G328" s="45">
        <v>4750</v>
      </c>
      <c r="H328" s="45">
        <f>A328+5000000</f>
        <v>11016101</v>
      </c>
      <c r="I328" s="45">
        <v>1000</v>
      </c>
      <c r="J328" s="45">
        <v>0</v>
      </c>
      <c r="K328" s="45" t="s">
        <v>344</v>
      </c>
      <c r="L328" s="45" t="s">
        <v>344</v>
      </c>
      <c r="M328" s="45" t="s">
        <v>227</v>
      </c>
      <c r="N328" s="44">
        <v>0</v>
      </c>
      <c r="O328" s="47">
        <v>0</v>
      </c>
      <c r="P328" s="45">
        <v>0</v>
      </c>
      <c r="Q328" s="45">
        <v>1014</v>
      </c>
      <c r="R328" s="45">
        <v>700</v>
      </c>
      <c r="S328" s="45">
        <v>6016001</v>
      </c>
      <c r="T328" s="45">
        <v>400</v>
      </c>
      <c r="U328" s="45">
        <v>350</v>
      </c>
    </row>
    <row r="329" spans="1:21">
      <c r="A329" s="18">
        <v>6016102</v>
      </c>
      <c r="B329" s="45" t="s">
        <v>345</v>
      </c>
      <c r="C329" s="45">
        <v>2</v>
      </c>
      <c r="D329" s="25">
        <v>3</v>
      </c>
      <c r="E329" s="45">
        <v>3001</v>
      </c>
      <c r="F329" s="45">
        <v>350</v>
      </c>
      <c r="G329" s="45">
        <v>10500</v>
      </c>
      <c r="H329" s="45">
        <v>0</v>
      </c>
      <c r="I329" s="45">
        <v>3000</v>
      </c>
      <c r="J329" s="45">
        <v>1016102</v>
      </c>
      <c r="K329" s="45" t="s">
        <v>347</v>
      </c>
      <c r="L329" s="45" t="s">
        <v>345</v>
      </c>
      <c r="M329" s="45" t="s">
        <v>60</v>
      </c>
      <c r="N329" s="44">
        <v>0</v>
      </c>
      <c r="O329" s="47">
        <v>6016102</v>
      </c>
      <c r="P329" s="45">
        <v>600</v>
      </c>
      <c r="Q329" s="45">
        <v>1014</v>
      </c>
      <c r="R329" s="45">
        <v>1250</v>
      </c>
      <c r="S329" s="45">
        <v>0</v>
      </c>
      <c r="T329" s="45">
        <v>0</v>
      </c>
      <c r="U329" s="45">
        <v>0</v>
      </c>
    </row>
    <row r="330" spans="1:21">
      <c r="A330" s="18">
        <v>6017001</v>
      </c>
      <c r="B330" s="45" t="s">
        <v>349</v>
      </c>
      <c r="C330" s="45">
        <v>1</v>
      </c>
      <c r="D330" s="25">
        <v>3</v>
      </c>
      <c r="E330" s="45">
        <v>1001</v>
      </c>
      <c r="F330" s="45">
        <v>350</v>
      </c>
      <c r="G330" s="45">
        <v>2200</v>
      </c>
      <c r="H330" s="45">
        <f>A330+5000000</f>
        <v>11017001</v>
      </c>
      <c r="I330" s="45">
        <v>1000</v>
      </c>
      <c r="J330" s="45">
        <v>0</v>
      </c>
      <c r="K330" s="45" t="s">
        <v>349</v>
      </c>
      <c r="L330" s="45" t="s">
        <v>349</v>
      </c>
      <c r="M330" s="45" t="s">
        <v>227</v>
      </c>
      <c r="N330" s="44">
        <v>0</v>
      </c>
      <c r="O330" s="47">
        <v>0</v>
      </c>
      <c r="P330" s="45">
        <v>0</v>
      </c>
      <c r="Q330" s="45">
        <v>1014</v>
      </c>
      <c r="R330" s="45">
        <v>700</v>
      </c>
      <c r="S330" s="45">
        <v>6017001</v>
      </c>
      <c r="T330" s="45">
        <v>400</v>
      </c>
      <c r="U330" s="45">
        <v>350</v>
      </c>
    </row>
    <row r="331" spans="1:21">
      <c r="A331" s="18">
        <v>6017002</v>
      </c>
      <c r="B331" s="45" t="s">
        <v>350</v>
      </c>
      <c r="C331" s="45">
        <v>2</v>
      </c>
      <c r="D331" s="25">
        <v>3</v>
      </c>
      <c r="E331" s="45">
        <v>2002</v>
      </c>
      <c r="F331" s="45">
        <v>350</v>
      </c>
      <c r="G331" s="45">
        <v>4100</v>
      </c>
      <c r="H331" s="45">
        <v>0</v>
      </c>
      <c r="I331" s="45">
        <v>3200</v>
      </c>
      <c r="J331" s="45">
        <v>1017002</v>
      </c>
      <c r="K331" s="45" t="s">
        <v>352</v>
      </c>
      <c r="L331" s="45" t="s">
        <v>350</v>
      </c>
      <c r="M331" s="45" t="s">
        <v>60</v>
      </c>
      <c r="N331" s="44">
        <v>0</v>
      </c>
      <c r="O331" s="47">
        <v>6017002</v>
      </c>
      <c r="P331" s="45">
        <v>2000</v>
      </c>
      <c r="Q331" s="45">
        <v>1014</v>
      </c>
      <c r="R331" s="45">
        <v>2100</v>
      </c>
      <c r="S331" s="45">
        <v>0</v>
      </c>
      <c r="T331" s="45">
        <v>0</v>
      </c>
      <c r="U331" s="45">
        <v>0</v>
      </c>
    </row>
    <row r="332" spans="1:21">
      <c r="A332" s="18">
        <v>6017101</v>
      </c>
      <c r="B332" s="45" t="s">
        <v>354</v>
      </c>
      <c r="C332" s="45">
        <v>1</v>
      </c>
      <c r="D332" s="25">
        <v>3</v>
      </c>
      <c r="E332" s="45">
        <v>1001</v>
      </c>
      <c r="F332" s="45">
        <v>350</v>
      </c>
      <c r="G332" s="45">
        <v>4100</v>
      </c>
      <c r="H332" s="45">
        <f>A332+5000000</f>
        <v>11017101</v>
      </c>
      <c r="I332" s="45">
        <v>1000</v>
      </c>
      <c r="J332" s="45">
        <v>0</v>
      </c>
      <c r="K332" s="45" t="s">
        <v>354</v>
      </c>
      <c r="L332" s="45" t="s">
        <v>354</v>
      </c>
      <c r="M332" s="45" t="s">
        <v>227</v>
      </c>
      <c r="N332" s="44">
        <v>0</v>
      </c>
      <c r="O332" s="47">
        <v>0</v>
      </c>
      <c r="P332" s="45">
        <v>0</v>
      </c>
      <c r="Q332" s="45">
        <v>1014</v>
      </c>
      <c r="R332" s="45">
        <v>700</v>
      </c>
      <c r="S332" s="45">
        <v>6017001</v>
      </c>
      <c r="T332" s="45">
        <v>400</v>
      </c>
      <c r="U332" s="45">
        <v>350</v>
      </c>
    </row>
    <row r="333" spans="1:21">
      <c r="A333" s="18">
        <v>6017102</v>
      </c>
      <c r="B333" s="45" t="s">
        <v>355</v>
      </c>
      <c r="C333" s="45">
        <v>2</v>
      </c>
      <c r="D333" s="25">
        <v>3</v>
      </c>
      <c r="E333" s="45">
        <v>3001</v>
      </c>
      <c r="F333" s="45">
        <v>350</v>
      </c>
      <c r="G333" s="45">
        <v>1050</v>
      </c>
      <c r="H333" s="45">
        <v>0</v>
      </c>
      <c r="I333" s="45">
        <v>3200</v>
      </c>
      <c r="J333" s="45">
        <v>1017002</v>
      </c>
      <c r="K333" s="45" t="s">
        <v>357</v>
      </c>
      <c r="L333" s="45" t="s">
        <v>355</v>
      </c>
      <c r="M333" s="45" t="s">
        <v>60</v>
      </c>
      <c r="N333" s="44">
        <v>0</v>
      </c>
      <c r="O333" s="47">
        <v>6017102</v>
      </c>
      <c r="P333" s="45">
        <v>2000</v>
      </c>
      <c r="Q333" s="45">
        <v>1014</v>
      </c>
      <c r="R333" s="45">
        <v>2100</v>
      </c>
      <c r="S333" s="45">
        <v>0</v>
      </c>
      <c r="T333" s="45">
        <v>0</v>
      </c>
      <c r="U333" s="45">
        <v>0</v>
      </c>
    </row>
    <row r="334" spans="1:21">
      <c r="A334" s="18">
        <v>6018001</v>
      </c>
      <c r="B334" s="45" t="s">
        <v>359</v>
      </c>
      <c r="C334" s="45">
        <v>1</v>
      </c>
      <c r="D334" s="25">
        <v>3</v>
      </c>
      <c r="E334" s="45">
        <v>1001</v>
      </c>
      <c r="F334" s="45">
        <v>350</v>
      </c>
      <c r="G334" s="45">
        <v>2100</v>
      </c>
      <c r="H334" s="45">
        <f>A334+5000000</f>
        <v>11018001</v>
      </c>
      <c r="I334" s="45">
        <v>1000</v>
      </c>
      <c r="J334" s="45">
        <v>0</v>
      </c>
      <c r="K334" s="45" t="s">
        <v>359</v>
      </c>
      <c r="L334" s="45" t="s">
        <v>359</v>
      </c>
      <c r="M334" s="45" t="s">
        <v>227</v>
      </c>
      <c r="N334" s="44">
        <v>0</v>
      </c>
      <c r="O334" s="47">
        <v>0</v>
      </c>
      <c r="P334" s="45">
        <v>0</v>
      </c>
      <c r="Q334" s="45">
        <v>1014</v>
      </c>
      <c r="R334" s="45">
        <v>700</v>
      </c>
      <c r="S334" s="45">
        <v>6018001</v>
      </c>
      <c r="T334" s="45">
        <v>400</v>
      </c>
      <c r="U334" s="45">
        <v>350</v>
      </c>
    </row>
    <row r="335" spans="1:21">
      <c r="A335" s="18">
        <v>6018002</v>
      </c>
      <c r="B335" s="45" t="s">
        <v>360</v>
      </c>
      <c r="C335" s="45">
        <v>2</v>
      </c>
      <c r="D335" s="25">
        <v>3</v>
      </c>
      <c r="E335" s="45">
        <v>3001</v>
      </c>
      <c r="F335" s="45">
        <v>350</v>
      </c>
      <c r="G335" s="45">
        <v>5000</v>
      </c>
      <c r="H335" s="45">
        <v>0</v>
      </c>
      <c r="I335" s="45">
        <v>3000</v>
      </c>
      <c r="J335" s="45">
        <v>1018002</v>
      </c>
      <c r="K335" s="45" t="s">
        <v>362</v>
      </c>
      <c r="L335" s="45" t="s">
        <v>360</v>
      </c>
      <c r="M335" s="45" t="s">
        <v>60</v>
      </c>
      <c r="N335" s="44">
        <v>0</v>
      </c>
      <c r="O335" s="47">
        <v>6018002</v>
      </c>
      <c r="P335" s="45">
        <v>700</v>
      </c>
      <c r="Q335" s="45">
        <v>1014</v>
      </c>
      <c r="R335" s="45" t="s">
        <v>364</v>
      </c>
      <c r="S335" s="45">
        <v>0</v>
      </c>
      <c r="T335" s="45">
        <v>0</v>
      </c>
      <c r="U335" s="45">
        <v>0</v>
      </c>
    </row>
    <row r="336" spans="1:21">
      <c r="A336" s="18">
        <v>6018101</v>
      </c>
      <c r="B336" s="45" t="s">
        <v>365</v>
      </c>
      <c r="C336" s="45">
        <v>1</v>
      </c>
      <c r="D336" s="25">
        <v>3</v>
      </c>
      <c r="E336" s="45">
        <v>1001</v>
      </c>
      <c r="F336" s="45">
        <v>350</v>
      </c>
      <c r="G336" s="45">
        <v>2100</v>
      </c>
      <c r="H336" s="45">
        <f>A336+5000000</f>
        <v>11018101</v>
      </c>
      <c r="I336" s="45">
        <v>1000</v>
      </c>
      <c r="J336" s="45">
        <v>0</v>
      </c>
      <c r="K336" s="45" t="s">
        <v>365</v>
      </c>
      <c r="L336" s="45" t="s">
        <v>365</v>
      </c>
      <c r="M336" s="45" t="s">
        <v>227</v>
      </c>
      <c r="N336" s="44">
        <v>0</v>
      </c>
      <c r="O336" s="47">
        <v>0</v>
      </c>
      <c r="P336" s="45">
        <v>0</v>
      </c>
      <c r="Q336" s="45">
        <v>1014</v>
      </c>
      <c r="R336" s="45">
        <v>700</v>
      </c>
      <c r="S336" s="45">
        <v>6018001</v>
      </c>
      <c r="T336" s="45">
        <v>400</v>
      </c>
      <c r="U336" s="45">
        <v>350</v>
      </c>
    </row>
    <row r="337" spans="1:21">
      <c r="A337" s="18">
        <v>6018102</v>
      </c>
      <c r="B337" s="45" t="s">
        <v>366</v>
      </c>
      <c r="C337" s="45">
        <v>2</v>
      </c>
      <c r="D337" s="25">
        <v>3</v>
      </c>
      <c r="E337" s="45">
        <v>3001</v>
      </c>
      <c r="F337" s="45">
        <v>350</v>
      </c>
      <c r="G337" s="45">
        <v>4200</v>
      </c>
      <c r="H337" s="45">
        <v>0</v>
      </c>
      <c r="I337" s="45">
        <v>3000</v>
      </c>
      <c r="J337" s="45">
        <v>1018102</v>
      </c>
      <c r="K337" s="45" t="s">
        <v>368</v>
      </c>
      <c r="L337" s="45" t="s">
        <v>366</v>
      </c>
      <c r="M337" s="45" t="s">
        <v>60</v>
      </c>
      <c r="N337" s="44">
        <v>0</v>
      </c>
      <c r="O337" s="47">
        <v>6018102</v>
      </c>
      <c r="P337" s="45">
        <v>900</v>
      </c>
      <c r="Q337" s="45">
        <v>1014</v>
      </c>
      <c r="R337" s="45" t="s">
        <v>370</v>
      </c>
      <c r="S337" s="45">
        <v>0</v>
      </c>
      <c r="T337" s="45">
        <v>0</v>
      </c>
      <c r="U337" s="45">
        <v>0</v>
      </c>
    </row>
    <row r="338" spans="1:21">
      <c r="A338" s="18">
        <v>6019001</v>
      </c>
      <c r="B338" s="45" t="s">
        <v>371</v>
      </c>
      <c r="C338" s="45">
        <v>1</v>
      </c>
      <c r="D338" s="25">
        <v>3</v>
      </c>
      <c r="E338" s="45">
        <v>1001</v>
      </c>
      <c r="F338" s="45">
        <v>350</v>
      </c>
      <c r="G338" s="45">
        <v>1925</v>
      </c>
      <c r="H338" s="45">
        <f>A338+5000000</f>
        <v>11019001</v>
      </c>
      <c r="I338" s="45">
        <v>1000</v>
      </c>
      <c r="J338" s="45">
        <v>0</v>
      </c>
      <c r="K338" s="45" t="s">
        <v>371</v>
      </c>
      <c r="L338" s="45" t="s">
        <v>371</v>
      </c>
      <c r="M338" s="45" t="s">
        <v>227</v>
      </c>
      <c r="N338" s="44">
        <v>0</v>
      </c>
      <c r="O338" s="47">
        <v>0</v>
      </c>
      <c r="P338" s="45">
        <v>0</v>
      </c>
      <c r="Q338" s="45">
        <v>1014</v>
      </c>
      <c r="R338" s="45">
        <v>700</v>
      </c>
      <c r="S338" s="45">
        <v>6019001</v>
      </c>
      <c r="T338" s="45">
        <v>400</v>
      </c>
      <c r="U338" s="45">
        <v>350</v>
      </c>
    </row>
    <row r="339" spans="1:21">
      <c r="A339" s="18">
        <v>6019002</v>
      </c>
      <c r="B339" s="45" t="s">
        <v>372</v>
      </c>
      <c r="C339" s="45">
        <v>2</v>
      </c>
      <c r="D339" s="25">
        <v>3</v>
      </c>
      <c r="E339" s="45">
        <v>3001</v>
      </c>
      <c r="F339" s="45">
        <v>350</v>
      </c>
      <c r="G339" s="45">
        <v>4250</v>
      </c>
      <c r="H339" s="45">
        <v>0</v>
      </c>
      <c r="I339" s="45">
        <v>3000</v>
      </c>
      <c r="J339" s="45">
        <v>1019002</v>
      </c>
      <c r="K339" s="45" t="s">
        <v>374</v>
      </c>
      <c r="L339" s="45" t="s">
        <v>372</v>
      </c>
      <c r="M339" s="45" t="s">
        <v>60</v>
      </c>
      <c r="N339" s="44">
        <v>0</v>
      </c>
      <c r="O339" s="47">
        <v>6019002</v>
      </c>
      <c r="P339" s="45">
        <v>0</v>
      </c>
      <c r="Q339" s="45">
        <v>1014</v>
      </c>
      <c r="R339" s="45" t="s">
        <v>376</v>
      </c>
      <c r="S339" s="45">
        <v>0</v>
      </c>
      <c r="T339" s="45">
        <v>0</v>
      </c>
      <c r="U339" s="45">
        <v>0</v>
      </c>
    </row>
    <row r="340" spans="1:21">
      <c r="A340" s="18">
        <v>6019101</v>
      </c>
      <c r="B340" s="45" t="s">
        <v>377</v>
      </c>
      <c r="C340" s="45">
        <v>1</v>
      </c>
      <c r="D340" s="25">
        <v>3</v>
      </c>
      <c r="E340" s="45">
        <v>1001</v>
      </c>
      <c r="F340" s="45">
        <v>350</v>
      </c>
      <c r="G340" s="45">
        <v>1500</v>
      </c>
      <c r="H340" s="45">
        <f>A340+5000000</f>
        <v>11019101</v>
      </c>
      <c r="I340" s="45">
        <v>1000</v>
      </c>
      <c r="J340" s="45">
        <v>0</v>
      </c>
      <c r="K340" s="45" t="s">
        <v>377</v>
      </c>
      <c r="L340" s="45" t="s">
        <v>377</v>
      </c>
      <c r="M340" s="45" t="s">
        <v>227</v>
      </c>
      <c r="N340" s="44">
        <v>0</v>
      </c>
      <c r="O340" s="47">
        <v>0</v>
      </c>
      <c r="P340" s="45">
        <v>0</v>
      </c>
      <c r="Q340" s="45">
        <v>1014</v>
      </c>
      <c r="R340" s="45">
        <v>700</v>
      </c>
      <c r="S340" s="45">
        <v>6019001</v>
      </c>
      <c r="T340" s="45">
        <v>400</v>
      </c>
      <c r="U340" s="45">
        <v>350</v>
      </c>
    </row>
    <row r="341" spans="1:21">
      <c r="A341" s="18">
        <v>6019102</v>
      </c>
      <c r="B341" s="45" t="s">
        <v>111</v>
      </c>
      <c r="C341" s="45">
        <v>2</v>
      </c>
      <c r="D341" s="25">
        <v>3</v>
      </c>
      <c r="E341" s="45">
        <v>3001</v>
      </c>
      <c r="F341" s="45">
        <v>350</v>
      </c>
      <c r="G341" s="45">
        <v>3000</v>
      </c>
      <c r="H341" s="45">
        <v>0</v>
      </c>
      <c r="I341" s="45">
        <v>3000</v>
      </c>
      <c r="J341" s="45">
        <v>1019102</v>
      </c>
      <c r="K341" s="45" t="s">
        <v>379</v>
      </c>
      <c r="L341" s="45" t="s">
        <v>111</v>
      </c>
      <c r="M341" s="45" t="s">
        <v>60</v>
      </c>
      <c r="N341" s="44">
        <v>0</v>
      </c>
      <c r="O341" s="47">
        <v>6019102</v>
      </c>
      <c r="P341" s="45">
        <v>500</v>
      </c>
      <c r="Q341" s="45">
        <v>1014</v>
      </c>
      <c r="R341" s="45" t="s">
        <v>381</v>
      </c>
      <c r="S341" s="45">
        <v>0</v>
      </c>
      <c r="T341" s="45">
        <v>0</v>
      </c>
      <c r="U341" s="45">
        <v>0</v>
      </c>
    </row>
    <row r="342" spans="1:21">
      <c r="A342" s="18">
        <v>6019201</v>
      </c>
      <c r="B342" s="45" t="s">
        <v>382</v>
      </c>
      <c r="C342" s="45">
        <v>1</v>
      </c>
      <c r="D342" s="25">
        <v>3</v>
      </c>
      <c r="E342" s="45">
        <v>1001</v>
      </c>
      <c r="F342" s="45">
        <v>350</v>
      </c>
      <c r="G342" s="45">
        <v>6000</v>
      </c>
      <c r="H342" s="45">
        <f>A342+5000000</f>
        <v>11019201</v>
      </c>
      <c r="I342" s="45">
        <v>1000</v>
      </c>
      <c r="J342" s="45">
        <v>0</v>
      </c>
      <c r="K342" s="45" t="s">
        <v>382</v>
      </c>
      <c r="L342" s="45" t="s">
        <v>382</v>
      </c>
      <c r="M342" s="45" t="s">
        <v>227</v>
      </c>
      <c r="N342" s="44">
        <v>0</v>
      </c>
      <c r="O342" s="47">
        <v>0</v>
      </c>
      <c r="P342" s="45">
        <v>0</v>
      </c>
      <c r="Q342" s="45">
        <v>1014</v>
      </c>
      <c r="R342" s="45">
        <v>700</v>
      </c>
      <c r="S342" s="45">
        <v>6019001</v>
      </c>
      <c r="T342" s="45">
        <v>400</v>
      </c>
      <c r="U342" s="45">
        <v>350</v>
      </c>
    </row>
    <row r="343" spans="1:21">
      <c r="A343" s="18">
        <v>6019202</v>
      </c>
      <c r="B343" s="45" t="s">
        <v>383</v>
      </c>
      <c r="C343" s="45">
        <v>2</v>
      </c>
      <c r="D343" s="25">
        <v>3</v>
      </c>
      <c r="E343" s="45">
        <v>2002</v>
      </c>
      <c r="F343" s="45">
        <v>350</v>
      </c>
      <c r="G343" s="45">
        <v>1800</v>
      </c>
      <c r="H343" s="45">
        <v>0</v>
      </c>
      <c r="I343" s="45">
        <v>3000</v>
      </c>
      <c r="J343" s="45">
        <v>1019202</v>
      </c>
      <c r="K343" s="45" t="s">
        <v>385</v>
      </c>
      <c r="L343" s="45" t="s">
        <v>383</v>
      </c>
      <c r="M343" s="45" t="s">
        <v>60</v>
      </c>
      <c r="N343" s="44">
        <v>0</v>
      </c>
      <c r="O343" s="47">
        <v>6019202</v>
      </c>
      <c r="P343" s="45">
        <v>1700</v>
      </c>
      <c r="Q343" s="45">
        <v>1014</v>
      </c>
      <c r="R343" s="45">
        <v>1850</v>
      </c>
      <c r="S343" s="45">
        <v>0</v>
      </c>
      <c r="T343" s="45">
        <v>0</v>
      </c>
      <c r="U343" s="45">
        <v>0</v>
      </c>
    </row>
    <row r="344" spans="1:21">
      <c r="A344" s="18">
        <v>6021001</v>
      </c>
      <c r="B344" s="45" t="s">
        <v>387</v>
      </c>
      <c r="C344" s="45">
        <v>1</v>
      </c>
      <c r="D344" s="25">
        <v>3</v>
      </c>
      <c r="E344" s="45">
        <v>1001</v>
      </c>
      <c r="F344" s="45">
        <v>350</v>
      </c>
      <c r="G344" s="45">
        <v>3500</v>
      </c>
      <c r="H344" s="45">
        <f>A344+5000000</f>
        <v>11021001</v>
      </c>
      <c r="I344" s="45">
        <v>1000</v>
      </c>
      <c r="J344" s="45">
        <v>0</v>
      </c>
      <c r="K344" s="45" t="s">
        <v>387</v>
      </c>
      <c r="L344" s="45" t="s">
        <v>387</v>
      </c>
      <c r="M344" s="45" t="s">
        <v>227</v>
      </c>
      <c r="N344" s="44">
        <v>0</v>
      </c>
      <c r="O344" s="47">
        <v>0</v>
      </c>
      <c r="P344" s="45">
        <v>0</v>
      </c>
      <c r="Q344" s="45">
        <v>1014</v>
      </c>
      <c r="R344" s="45">
        <v>700</v>
      </c>
      <c r="S344" s="45">
        <v>6021001</v>
      </c>
      <c r="T344" s="45">
        <v>400</v>
      </c>
      <c r="U344" s="45">
        <v>350</v>
      </c>
    </row>
    <row r="345" spans="1:21">
      <c r="A345" s="18">
        <v>6021002</v>
      </c>
      <c r="B345" s="45" t="s">
        <v>388</v>
      </c>
      <c r="C345" s="45">
        <v>2</v>
      </c>
      <c r="D345" s="25">
        <v>3</v>
      </c>
      <c r="E345" s="45">
        <v>3001</v>
      </c>
      <c r="F345" s="45">
        <v>350</v>
      </c>
      <c r="G345" s="45">
        <v>3500</v>
      </c>
      <c r="H345" s="45">
        <v>0</v>
      </c>
      <c r="I345" s="45">
        <v>3000</v>
      </c>
      <c r="J345" s="45">
        <v>1021002</v>
      </c>
      <c r="K345" s="45" t="s">
        <v>390</v>
      </c>
      <c r="L345" s="45" t="s">
        <v>388</v>
      </c>
      <c r="M345" s="45" t="s">
        <v>60</v>
      </c>
      <c r="N345" s="44">
        <v>0</v>
      </c>
      <c r="O345" s="47">
        <v>6021002</v>
      </c>
      <c r="P345" s="45">
        <v>1100</v>
      </c>
      <c r="Q345" s="45">
        <v>1014</v>
      </c>
      <c r="R345" s="45" t="s">
        <v>392</v>
      </c>
      <c r="S345" s="45">
        <v>0</v>
      </c>
      <c r="T345" s="45">
        <v>0</v>
      </c>
      <c r="U345" s="45">
        <v>0</v>
      </c>
    </row>
    <row r="346" spans="1:21">
      <c r="A346" s="18">
        <v>6021101</v>
      </c>
      <c r="B346" s="45" t="s">
        <v>393</v>
      </c>
      <c r="C346" s="45">
        <v>1</v>
      </c>
      <c r="D346" s="25">
        <v>3</v>
      </c>
      <c r="E346" s="45">
        <v>1001</v>
      </c>
      <c r="F346" s="45">
        <v>350</v>
      </c>
      <c r="G346" s="45">
        <v>7000</v>
      </c>
      <c r="H346" s="45">
        <f>A346+5000000</f>
        <v>11021101</v>
      </c>
      <c r="I346" s="45">
        <v>1000</v>
      </c>
      <c r="J346" s="45">
        <v>0</v>
      </c>
      <c r="K346" s="45" t="s">
        <v>393</v>
      </c>
      <c r="L346" s="45" t="s">
        <v>393</v>
      </c>
      <c r="M346" s="45" t="s">
        <v>227</v>
      </c>
      <c r="N346" s="44">
        <v>0</v>
      </c>
      <c r="O346" s="47">
        <v>0</v>
      </c>
      <c r="P346" s="45">
        <v>0</v>
      </c>
      <c r="Q346" s="45">
        <v>1014</v>
      </c>
      <c r="R346" s="45">
        <v>700</v>
      </c>
      <c r="S346" s="45">
        <v>6021001</v>
      </c>
      <c r="T346" s="45">
        <v>400</v>
      </c>
      <c r="U346" s="45">
        <v>350</v>
      </c>
    </row>
    <row r="347" spans="1:21">
      <c r="A347" s="18">
        <v>6021102</v>
      </c>
      <c r="B347" s="45" t="s">
        <v>165</v>
      </c>
      <c r="C347" s="45">
        <v>2</v>
      </c>
      <c r="D347" s="25">
        <v>3</v>
      </c>
      <c r="E347" s="45">
        <v>3001</v>
      </c>
      <c r="F347" s="45">
        <v>350</v>
      </c>
      <c r="G347" s="45">
        <v>10500</v>
      </c>
      <c r="H347" s="45">
        <v>0</v>
      </c>
      <c r="I347" s="45">
        <v>3000</v>
      </c>
      <c r="J347" s="45">
        <v>1021002</v>
      </c>
      <c r="K347" s="45" t="s">
        <v>395</v>
      </c>
      <c r="L347" s="45" t="s">
        <v>165</v>
      </c>
      <c r="M347" s="45" t="s">
        <v>60</v>
      </c>
      <c r="N347" s="44">
        <v>0</v>
      </c>
      <c r="O347" s="47">
        <v>6021102</v>
      </c>
      <c r="P347" s="45">
        <v>400</v>
      </c>
      <c r="Q347" s="45">
        <v>1014</v>
      </c>
      <c r="R347" s="45" t="s">
        <v>397</v>
      </c>
      <c r="S347" s="45">
        <v>0</v>
      </c>
      <c r="T347" s="45">
        <v>0</v>
      </c>
      <c r="U347" s="45">
        <v>0</v>
      </c>
    </row>
    <row r="348" spans="1:21">
      <c r="A348" s="18">
        <v>6022001</v>
      </c>
      <c r="B348" s="45" t="s">
        <v>398</v>
      </c>
      <c r="C348" s="45">
        <v>1</v>
      </c>
      <c r="D348" s="25">
        <v>3</v>
      </c>
      <c r="E348" s="45">
        <v>1001</v>
      </c>
      <c r="F348" s="45">
        <v>350</v>
      </c>
      <c r="G348" s="45">
        <v>4000</v>
      </c>
      <c r="H348" s="45">
        <f>A348+5000000</f>
        <v>11022001</v>
      </c>
      <c r="I348" s="45">
        <v>1000</v>
      </c>
      <c r="J348" s="45">
        <v>0</v>
      </c>
      <c r="K348" s="45" t="s">
        <v>398</v>
      </c>
      <c r="L348" s="45" t="s">
        <v>398</v>
      </c>
      <c r="M348" s="45" t="s">
        <v>227</v>
      </c>
      <c r="N348" s="44">
        <v>0</v>
      </c>
      <c r="O348" s="47">
        <v>0</v>
      </c>
      <c r="P348" s="45">
        <v>0</v>
      </c>
      <c r="Q348" s="45">
        <v>1014</v>
      </c>
      <c r="R348" s="45">
        <v>700</v>
      </c>
      <c r="S348" s="45">
        <v>6022001</v>
      </c>
      <c r="T348" s="45">
        <v>400</v>
      </c>
      <c r="U348" s="45">
        <v>350</v>
      </c>
    </row>
    <row r="349" spans="1:21">
      <c r="A349" s="18">
        <v>6022002</v>
      </c>
      <c r="B349" s="45" t="s">
        <v>399</v>
      </c>
      <c r="C349" s="45">
        <v>2</v>
      </c>
      <c r="D349" s="25">
        <v>3</v>
      </c>
      <c r="E349" s="45">
        <v>3001</v>
      </c>
      <c r="F349" s="45">
        <v>350</v>
      </c>
      <c r="G349" s="45">
        <v>2400</v>
      </c>
      <c r="H349" s="45">
        <v>0</v>
      </c>
      <c r="I349" s="45">
        <v>3000</v>
      </c>
      <c r="J349" s="45">
        <v>1022002</v>
      </c>
      <c r="K349" s="45" t="s">
        <v>401</v>
      </c>
      <c r="L349" s="45" t="s">
        <v>399</v>
      </c>
      <c r="M349" s="45" t="s">
        <v>60</v>
      </c>
      <c r="N349" s="44">
        <v>0</v>
      </c>
      <c r="O349" s="47">
        <v>6022002</v>
      </c>
      <c r="P349" s="45">
        <v>600</v>
      </c>
      <c r="Q349" s="45">
        <v>1014</v>
      </c>
      <c r="R349" s="45">
        <v>700</v>
      </c>
      <c r="S349" s="45">
        <v>0</v>
      </c>
      <c r="T349" s="45">
        <v>0</v>
      </c>
      <c r="U349" s="45">
        <v>0</v>
      </c>
    </row>
    <row r="350" spans="1:21">
      <c r="A350" s="18">
        <v>6022101</v>
      </c>
      <c r="B350" s="45" t="s">
        <v>403</v>
      </c>
      <c r="C350" s="45">
        <v>1</v>
      </c>
      <c r="D350" s="25">
        <v>3</v>
      </c>
      <c r="E350" s="45">
        <v>1001</v>
      </c>
      <c r="F350" s="45">
        <v>350</v>
      </c>
      <c r="G350" s="45">
        <v>4800</v>
      </c>
      <c r="H350" s="45">
        <f>A350+5000000</f>
        <v>11022101</v>
      </c>
      <c r="I350" s="45">
        <v>1000</v>
      </c>
      <c r="J350" s="45">
        <v>0</v>
      </c>
      <c r="K350" s="45" t="s">
        <v>403</v>
      </c>
      <c r="L350" s="45" t="s">
        <v>403</v>
      </c>
      <c r="M350" s="45" t="s">
        <v>227</v>
      </c>
      <c r="N350" s="44">
        <v>0</v>
      </c>
      <c r="O350" s="47">
        <v>0</v>
      </c>
      <c r="P350" s="45">
        <v>0</v>
      </c>
      <c r="Q350" s="45">
        <v>1014</v>
      </c>
      <c r="R350" s="45">
        <v>600</v>
      </c>
      <c r="S350" s="45">
        <v>6022001</v>
      </c>
      <c r="T350" s="45">
        <v>300</v>
      </c>
      <c r="U350" s="45">
        <v>350</v>
      </c>
    </row>
    <row r="351" spans="1:21">
      <c r="A351" s="18">
        <v>6022102</v>
      </c>
      <c r="B351" s="45" t="s">
        <v>404</v>
      </c>
      <c r="C351" s="45">
        <v>2</v>
      </c>
      <c r="D351" s="25">
        <v>3</v>
      </c>
      <c r="E351" s="45">
        <v>3001</v>
      </c>
      <c r="F351" s="45">
        <v>350</v>
      </c>
      <c r="G351" s="45">
        <v>2600</v>
      </c>
      <c r="H351" s="45">
        <v>0</v>
      </c>
      <c r="I351" s="45">
        <v>3000</v>
      </c>
      <c r="J351" s="45">
        <v>1022002</v>
      </c>
      <c r="K351" s="45" t="s">
        <v>406</v>
      </c>
      <c r="L351" s="45" t="s">
        <v>404</v>
      </c>
      <c r="M351" s="45" t="s">
        <v>60</v>
      </c>
      <c r="N351" s="44">
        <v>0</v>
      </c>
      <c r="O351" s="47">
        <v>6022002</v>
      </c>
      <c r="P351" s="45">
        <v>700</v>
      </c>
      <c r="Q351" s="45">
        <v>1014</v>
      </c>
      <c r="R351" s="45" t="s">
        <v>408</v>
      </c>
      <c r="S351" s="45">
        <v>0</v>
      </c>
      <c r="T351" s="45">
        <v>0</v>
      </c>
      <c r="U351" s="45">
        <v>0</v>
      </c>
    </row>
    <row r="352" spans="1:21">
      <c r="A352" s="18">
        <v>6023001</v>
      </c>
      <c r="B352" s="45" t="s">
        <v>409</v>
      </c>
      <c r="C352" s="45">
        <v>1</v>
      </c>
      <c r="D352" s="25">
        <v>3</v>
      </c>
      <c r="E352" s="45">
        <v>1001</v>
      </c>
      <c r="F352" s="45">
        <v>350</v>
      </c>
      <c r="G352" s="45">
        <v>5200</v>
      </c>
      <c r="H352" s="45">
        <f>A352+5000000</f>
        <v>11023001</v>
      </c>
      <c r="I352" s="45">
        <v>1000</v>
      </c>
      <c r="J352" s="45">
        <v>0</v>
      </c>
      <c r="K352" s="45" t="s">
        <v>409</v>
      </c>
      <c r="L352" s="45" t="s">
        <v>409</v>
      </c>
      <c r="M352" s="45" t="s">
        <v>227</v>
      </c>
      <c r="N352" s="44">
        <v>0</v>
      </c>
      <c r="O352" s="47">
        <v>0</v>
      </c>
      <c r="P352" s="45">
        <v>0</v>
      </c>
      <c r="Q352" s="45">
        <v>1012</v>
      </c>
      <c r="R352" s="45">
        <v>700</v>
      </c>
      <c r="S352" s="45">
        <v>6023001</v>
      </c>
      <c r="T352" s="45">
        <v>400</v>
      </c>
      <c r="U352" s="45">
        <v>350</v>
      </c>
    </row>
    <row r="353" spans="1:21">
      <c r="A353" s="18">
        <v>6023002</v>
      </c>
      <c r="B353" s="45" t="s">
        <v>410</v>
      </c>
      <c r="C353" s="45">
        <v>2</v>
      </c>
      <c r="D353" s="25">
        <v>3</v>
      </c>
      <c r="E353" s="45">
        <v>3001</v>
      </c>
      <c r="F353" s="45">
        <v>350</v>
      </c>
      <c r="G353" s="45">
        <v>1300</v>
      </c>
      <c r="H353" s="45">
        <v>0</v>
      </c>
      <c r="I353" s="45">
        <v>3000</v>
      </c>
      <c r="J353" s="45">
        <v>1023002</v>
      </c>
      <c r="K353" s="45" t="s">
        <v>412</v>
      </c>
      <c r="L353" s="45" t="s">
        <v>410</v>
      </c>
      <c r="M353" s="45" t="s">
        <v>60</v>
      </c>
      <c r="N353" s="44">
        <v>0</v>
      </c>
      <c r="O353" s="47">
        <v>6023002</v>
      </c>
      <c r="P353" s="45">
        <v>800</v>
      </c>
      <c r="Q353" s="45">
        <v>1012</v>
      </c>
      <c r="R353" s="45" t="s">
        <v>414</v>
      </c>
      <c r="S353" s="45">
        <v>0</v>
      </c>
      <c r="T353" s="45">
        <v>0</v>
      </c>
      <c r="U353" s="45">
        <v>0</v>
      </c>
    </row>
    <row r="354" spans="1:21">
      <c r="A354" s="18">
        <v>6023101</v>
      </c>
      <c r="B354" s="45" t="s">
        <v>415</v>
      </c>
      <c r="C354" s="45">
        <v>1</v>
      </c>
      <c r="D354" s="25">
        <v>3</v>
      </c>
      <c r="E354" s="45">
        <v>1001</v>
      </c>
      <c r="F354" s="45">
        <v>350</v>
      </c>
      <c r="G354" s="45">
        <v>2400</v>
      </c>
      <c r="H354" s="45">
        <f>A354+5000000</f>
        <v>11023101</v>
      </c>
      <c r="I354" s="45">
        <v>1000</v>
      </c>
      <c r="J354" s="45">
        <v>0</v>
      </c>
      <c r="K354" s="45" t="s">
        <v>415</v>
      </c>
      <c r="L354" s="45" t="s">
        <v>415</v>
      </c>
      <c r="M354" s="45" t="s">
        <v>227</v>
      </c>
      <c r="N354" s="44">
        <v>0</v>
      </c>
      <c r="O354" s="47">
        <v>0</v>
      </c>
      <c r="P354" s="45">
        <v>0</v>
      </c>
      <c r="Q354" s="45">
        <v>1012</v>
      </c>
      <c r="R354" s="45">
        <v>600</v>
      </c>
      <c r="S354" s="45">
        <v>6023001</v>
      </c>
      <c r="T354" s="45">
        <v>300</v>
      </c>
      <c r="U354" s="45">
        <v>350</v>
      </c>
    </row>
    <row r="355" spans="1:21">
      <c r="A355" s="18">
        <v>6023102</v>
      </c>
      <c r="B355" s="45" t="s">
        <v>169</v>
      </c>
      <c r="C355" s="45">
        <v>2</v>
      </c>
      <c r="D355" s="25">
        <v>3</v>
      </c>
      <c r="E355" s="45">
        <v>3001</v>
      </c>
      <c r="F355" s="45">
        <v>350</v>
      </c>
      <c r="G355" s="45">
        <v>1500</v>
      </c>
      <c r="H355" s="45">
        <v>0</v>
      </c>
      <c r="I355" s="45">
        <v>3000</v>
      </c>
      <c r="J355" s="45">
        <v>1023002</v>
      </c>
      <c r="K355" s="45" t="s">
        <v>417</v>
      </c>
      <c r="L355" s="45" t="s">
        <v>169</v>
      </c>
      <c r="M355" s="45" t="s">
        <v>60</v>
      </c>
      <c r="N355" s="44">
        <v>0</v>
      </c>
      <c r="O355" s="47">
        <v>6023102</v>
      </c>
      <c r="P355" s="45">
        <v>0</v>
      </c>
      <c r="Q355" s="45">
        <v>1012</v>
      </c>
      <c r="R355" s="45" t="s">
        <v>419</v>
      </c>
      <c r="S355" s="45">
        <v>0</v>
      </c>
      <c r="T355" s="45">
        <v>0</v>
      </c>
      <c r="U355" s="45">
        <v>0</v>
      </c>
    </row>
    <row r="356" spans="1:21">
      <c r="A356" s="18">
        <v>6025001</v>
      </c>
      <c r="B356" s="45" t="s">
        <v>420</v>
      </c>
      <c r="C356" s="45">
        <v>1</v>
      </c>
      <c r="D356" s="25">
        <v>3</v>
      </c>
      <c r="E356" s="45">
        <v>1001</v>
      </c>
      <c r="F356" s="45">
        <v>350</v>
      </c>
      <c r="G356" s="45">
        <v>3000</v>
      </c>
      <c r="H356" s="45">
        <f>A356+5000000</f>
        <v>11025001</v>
      </c>
      <c r="I356" s="45">
        <v>1000</v>
      </c>
      <c r="J356" s="45">
        <v>0</v>
      </c>
      <c r="K356" s="45" t="s">
        <v>420</v>
      </c>
      <c r="L356" s="45" t="s">
        <v>420</v>
      </c>
      <c r="M356" s="45" t="s">
        <v>227</v>
      </c>
      <c r="N356" s="44">
        <v>0</v>
      </c>
      <c r="O356" s="47">
        <v>0</v>
      </c>
      <c r="P356" s="45">
        <v>0</v>
      </c>
      <c r="Q356" s="45">
        <v>1012</v>
      </c>
      <c r="R356" s="45">
        <v>700</v>
      </c>
      <c r="S356" s="45">
        <v>6025001</v>
      </c>
      <c r="T356" s="45">
        <v>400</v>
      </c>
      <c r="U356" s="45">
        <v>350</v>
      </c>
    </row>
    <row r="357" spans="1:21">
      <c r="A357" s="18">
        <v>6025002</v>
      </c>
      <c r="B357" s="45" t="s">
        <v>421</v>
      </c>
      <c r="C357" s="45">
        <v>2</v>
      </c>
      <c r="D357" s="25">
        <v>3</v>
      </c>
      <c r="E357" s="45">
        <v>3001</v>
      </c>
      <c r="F357" s="45">
        <v>350</v>
      </c>
      <c r="G357" s="45">
        <v>6000</v>
      </c>
      <c r="H357" s="45">
        <v>0</v>
      </c>
      <c r="I357" s="45">
        <v>3000</v>
      </c>
      <c r="J357" s="45">
        <v>1025002</v>
      </c>
      <c r="K357" s="45" t="s">
        <v>423</v>
      </c>
      <c r="L357" s="45" t="s">
        <v>421</v>
      </c>
      <c r="M357" s="45" t="s">
        <v>60</v>
      </c>
      <c r="N357" s="44">
        <v>0</v>
      </c>
      <c r="O357" s="47">
        <v>6025002</v>
      </c>
      <c r="P357" s="45">
        <v>400</v>
      </c>
      <c r="Q357" s="45">
        <v>1012</v>
      </c>
      <c r="R357" s="45">
        <v>1000</v>
      </c>
      <c r="S357" s="45">
        <v>0</v>
      </c>
      <c r="T357" s="45">
        <v>0</v>
      </c>
      <c r="U357" s="45">
        <v>0</v>
      </c>
    </row>
    <row r="358" spans="1:21">
      <c r="A358" s="18">
        <v>6025101</v>
      </c>
      <c r="B358" s="45" t="s">
        <v>425</v>
      </c>
      <c r="C358" s="45">
        <v>1</v>
      </c>
      <c r="D358" s="25">
        <v>3</v>
      </c>
      <c r="E358" s="45">
        <v>1001</v>
      </c>
      <c r="F358" s="45">
        <v>350</v>
      </c>
      <c r="G358" s="45">
        <v>10500</v>
      </c>
      <c r="H358" s="45">
        <f>A358+5000000</f>
        <v>11025101</v>
      </c>
      <c r="I358" s="45">
        <v>1000</v>
      </c>
      <c r="J358" s="45">
        <v>0</v>
      </c>
      <c r="K358" s="45" t="s">
        <v>425</v>
      </c>
      <c r="L358" s="45" t="s">
        <v>425</v>
      </c>
      <c r="M358" s="45" t="s">
        <v>227</v>
      </c>
      <c r="N358" s="44">
        <v>0</v>
      </c>
      <c r="O358" s="47">
        <v>0</v>
      </c>
      <c r="P358" s="45">
        <v>0</v>
      </c>
      <c r="Q358" s="45">
        <v>1012</v>
      </c>
      <c r="R358" s="45">
        <v>700</v>
      </c>
      <c r="S358" s="45">
        <v>6025001</v>
      </c>
      <c r="T358" s="45">
        <v>400</v>
      </c>
      <c r="U358" s="45">
        <v>350</v>
      </c>
    </row>
    <row r="359" spans="1:21">
      <c r="A359" s="18">
        <v>6025102</v>
      </c>
      <c r="B359" s="45" t="s">
        <v>149</v>
      </c>
      <c r="C359" s="45">
        <v>2</v>
      </c>
      <c r="D359" s="25">
        <v>3</v>
      </c>
      <c r="E359" s="45">
        <v>3001</v>
      </c>
      <c r="F359" s="45">
        <v>350</v>
      </c>
      <c r="G359" s="45">
        <v>5500</v>
      </c>
      <c r="H359" s="45">
        <v>0</v>
      </c>
      <c r="I359" s="45">
        <v>3000</v>
      </c>
      <c r="J359" s="45">
        <v>1025102</v>
      </c>
      <c r="K359" s="45" t="s">
        <v>427</v>
      </c>
      <c r="L359" s="45" t="s">
        <v>149</v>
      </c>
      <c r="M359" s="45" t="s">
        <v>60</v>
      </c>
      <c r="N359" s="44">
        <v>0</v>
      </c>
      <c r="O359" s="47">
        <v>6025102</v>
      </c>
      <c r="P359" s="45">
        <v>0</v>
      </c>
      <c r="Q359" s="45">
        <v>1012</v>
      </c>
      <c r="R359" s="45" t="s">
        <v>429</v>
      </c>
      <c r="S359" s="45">
        <v>0</v>
      </c>
      <c r="T359" s="45">
        <v>0</v>
      </c>
      <c r="U359" s="45">
        <v>0</v>
      </c>
    </row>
    <row r="360" spans="1:21">
      <c r="A360" s="18">
        <v>6026001</v>
      </c>
      <c r="B360" s="45" t="s">
        <v>430</v>
      </c>
      <c r="C360" s="45">
        <v>1</v>
      </c>
      <c r="D360" s="25">
        <v>3</v>
      </c>
      <c r="E360" s="45">
        <v>1001</v>
      </c>
      <c r="F360" s="45">
        <v>350</v>
      </c>
      <c r="G360" s="45">
        <v>42000</v>
      </c>
      <c r="H360" s="45">
        <f>A360+5000000</f>
        <v>11026001</v>
      </c>
      <c r="I360" s="45">
        <v>1000</v>
      </c>
      <c r="J360" s="45">
        <v>0</v>
      </c>
      <c r="K360" s="45" t="s">
        <v>430</v>
      </c>
      <c r="L360" s="45" t="s">
        <v>430</v>
      </c>
      <c r="M360" s="45" t="s">
        <v>227</v>
      </c>
      <c r="N360" s="44">
        <v>0</v>
      </c>
      <c r="O360" s="47">
        <v>0</v>
      </c>
      <c r="P360" s="45">
        <v>0</v>
      </c>
      <c r="Q360" s="45">
        <v>1012</v>
      </c>
      <c r="R360" s="45">
        <v>800</v>
      </c>
      <c r="S360" s="45">
        <v>6026001</v>
      </c>
      <c r="T360" s="45">
        <v>500</v>
      </c>
      <c r="U360" s="45">
        <v>350</v>
      </c>
    </row>
    <row r="361" spans="1:21">
      <c r="A361" s="18">
        <v>6026002</v>
      </c>
      <c r="B361" s="45" t="s">
        <v>431</v>
      </c>
      <c r="C361" s="45">
        <v>2</v>
      </c>
      <c r="D361" s="25">
        <v>3</v>
      </c>
      <c r="E361" s="45">
        <v>3001</v>
      </c>
      <c r="F361" s="45">
        <v>350</v>
      </c>
      <c r="G361" s="45">
        <v>1750</v>
      </c>
      <c r="H361" s="45">
        <v>0</v>
      </c>
      <c r="I361" s="45">
        <v>3000</v>
      </c>
      <c r="J361" s="45">
        <v>1026002</v>
      </c>
      <c r="K361" s="45" t="s">
        <v>433</v>
      </c>
      <c r="L361" s="45" t="s">
        <v>431</v>
      </c>
      <c r="M361" s="45" t="s">
        <v>60</v>
      </c>
      <c r="N361" s="44">
        <v>0</v>
      </c>
      <c r="O361" s="47">
        <v>6026002</v>
      </c>
      <c r="P361" s="45">
        <v>500</v>
      </c>
      <c r="Q361" s="45">
        <v>1012</v>
      </c>
      <c r="R361" s="45">
        <v>1450</v>
      </c>
      <c r="S361" s="45">
        <v>0</v>
      </c>
      <c r="T361" s="45">
        <v>0</v>
      </c>
      <c r="U361" s="45">
        <v>0</v>
      </c>
    </row>
    <row r="362" spans="1:21">
      <c r="A362" s="18">
        <v>6027001</v>
      </c>
      <c r="B362" s="45" t="s">
        <v>435</v>
      </c>
      <c r="C362" s="45">
        <v>1</v>
      </c>
      <c r="D362" s="25">
        <v>3</v>
      </c>
      <c r="E362" s="45">
        <v>1001</v>
      </c>
      <c r="F362" s="45">
        <v>350</v>
      </c>
      <c r="G362" s="45">
        <v>3500</v>
      </c>
      <c r="H362" s="45">
        <f>A362+5000000</f>
        <v>11027001</v>
      </c>
      <c r="I362" s="45">
        <v>1000</v>
      </c>
      <c r="J362" s="45">
        <v>0</v>
      </c>
      <c r="K362" s="45" t="s">
        <v>435</v>
      </c>
      <c r="L362" s="45" t="s">
        <v>435</v>
      </c>
      <c r="M362" s="45" t="s">
        <v>227</v>
      </c>
      <c r="N362" s="44">
        <v>0</v>
      </c>
      <c r="O362" s="47">
        <v>0</v>
      </c>
      <c r="P362" s="45">
        <v>0</v>
      </c>
      <c r="Q362" s="45">
        <v>1012</v>
      </c>
      <c r="R362" s="45">
        <v>700</v>
      </c>
      <c r="S362" s="45">
        <v>6027001</v>
      </c>
      <c r="T362" s="45">
        <v>400</v>
      </c>
      <c r="U362" s="45">
        <v>350</v>
      </c>
    </row>
    <row r="363" spans="1:21">
      <c r="A363" s="18">
        <v>6027002</v>
      </c>
      <c r="B363" s="45" t="s">
        <v>436</v>
      </c>
      <c r="C363" s="45">
        <v>2</v>
      </c>
      <c r="D363" s="25">
        <v>3</v>
      </c>
      <c r="E363" s="45">
        <v>3001</v>
      </c>
      <c r="F363" s="45">
        <v>350</v>
      </c>
      <c r="G363" s="45">
        <v>2750</v>
      </c>
      <c r="H363" s="45">
        <v>0</v>
      </c>
      <c r="I363" s="45">
        <v>3000</v>
      </c>
      <c r="J363" s="45">
        <v>1027002</v>
      </c>
      <c r="K363" s="45" t="s">
        <v>438</v>
      </c>
      <c r="L363" s="45" t="s">
        <v>436</v>
      </c>
      <c r="M363" s="45" t="s">
        <v>60</v>
      </c>
      <c r="N363" s="44">
        <v>0</v>
      </c>
      <c r="O363" s="47">
        <v>6027002</v>
      </c>
      <c r="P363" s="45">
        <v>500</v>
      </c>
      <c r="Q363" s="45">
        <v>1012</v>
      </c>
      <c r="R363" s="45">
        <v>1300</v>
      </c>
      <c r="S363" s="45">
        <v>0</v>
      </c>
      <c r="T363" s="45">
        <v>0</v>
      </c>
      <c r="U363" s="45">
        <v>0</v>
      </c>
    </row>
    <row r="364" spans="1:21">
      <c r="A364" s="18">
        <v>6027101</v>
      </c>
      <c r="B364" s="45" t="s">
        <v>440</v>
      </c>
      <c r="C364" s="45">
        <v>1</v>
      </c>
      <c r="D364" s="25">
        <v>3</v>
      </c>
      <c r="E364" s="45">
        <v>1001</v>
      </c>
      <c r="F364" s="45">
        <v>350</v>
      </c>
      <c r="G364" s="45">
        <v>4000</v>
      </c>
      <c r="H364" s="45">
        <f>A364+5000000</f>
        <v>11027101</v>
      </c>
      <c r="I364" s="45">
        <v>1000</v>
      </c>
      <c r="J364" s="45">
        <v>0</v>
      </c>
      <c r="K364" s="45" t="s">
        <v>440</v>
      </c>
      <c r="L364" s="45" t="s">
        <v>440</v>
      </c>
      <c r="M364" s="45" t="s">
        <v>227</v>
      </c>
      <c r="N364" s="44">
        <v>0</v>
      </c>
      <c r="O364" s="47">
        <v>0</v>
      </c>
      <c r="P364" s="45">
        <v>0</v>
      </c>
      <c r="Q364" s="45">
        <v>1012</v>
      </c>
      <c r="R364" s="45">
        <v>700</v>
      </c>
      <c r="S364" s="45">
        <v>6027001</v>
      </c>
      <c r="T364" s="45">
        <v>400</v>
      </c>
      <c r="U364" s="45">
        <v>350</v>
      </c>
    </row>
    <row r="365" spans="1:21">
      <c r="A365" s="18">
        <v>6027102</v>
      </c>
      <c r="B365" s="45" t="s">
        <v>441</v>
      </c>
      <c r="C365" s="45">
        <v>2</v>
      </c>
      <c r="D365" s="25">
        <v>3</v>
      </c>
      <c r="E365" s="45">
        <v>3001</v>
      </c>
      <c r="F365" s="45">
        <v>350</v>
      </c>
      <c r="G365" s="45">
        <v>10000</v>
      </c>
      <c r="H365" s="45">
        <v>0</v>
      </c>
      <c r="I365" s="45">
        <v>4300</v>
      </c>
      <c r="J365" s="45">
        <v>1027002</v>
      </c>
      <c r="K365" s="45" t="s">
        <v>443</v>
      </c>
      <c r="L365" s="45" t="s">
        <v>441</v>
      </c>
      <c r="M365" s="45" t="s">
        <v>60</v>
      </c>
      <c r="N365" s="44">
        <v>0</v>
      </c>
      <c r="O365" s="47">
        <v>6027002</v>
      </c>
      <c r="P365" s="45">
        <v>500</v>
      </c>
      <c r="Q365" s="45">
        <v>1012</v>
      </c>
      <c r="R365" s="45">
        <v>1300</v>
      </c>
      <c r="S365" s="45">
        <v>0</v>
      </c>
      <c r="T365" s="45">
        <v>0</v>
      </c>
      <c r="U365" s="45">
        <v>0</v>
      </c>
    </row>
    <row r="366" spans="1:21">
      <c r="A366" s="18">
        <v>6030001</v>
      </c>
      <c r="B366" s="45" t="s">
        <v>445</v>
      </c>
      <c r="C366" s="45">
        <v>1</v>
      </c>
      <c r="D366" s="25">
        <v>3</v>
      </c>
      <c r="E366" s="45">
        <v>1001</v>
      </c>
      <c r="F366" s="45">
        <v>350</v>
      </c>
      <c r="G366" s="45">
        <v>21000</v>
      </c>
      <c r="H366" s="45">
        <f>A366+5000000</f>
        <v>11030001</v>
      </c>
      <c r="I366" s="45">
        <v>1000</v>
      </c>
      <c r="J366" s="45">
        <v>0</v>
      </c>
      <c r="K366" s="45" t="s">
        <v>445</v>
      </c>
      <c r="L366" s="45" t="s">
        <v>445</v>
      </c>
      <c r="M366" s="45" t="s">
        <v>227</v>
      </c>
      <c r="N366" s="44">
        <v>0</v>
      </c>
      <c r="O366" s="47">
        <v>0</v>
      </c>
      <c r="P366" s="45">
        <v>0</v>
      </c>
      <c r="Q366" s="45">
        <v>1012</v>
      </c>
      <c r="R366" s="45">
        <v>800</v>
      </c>
      <c r="S366" s="45">
        <v>6030001</v>
      </c>
      <c r="T366" s="45">
        <v>500</v>
      </c>
      <c r="U366" s="45">
        <v>350</v>
      </c>
    </row>
    <row r="367" spans="1:21">
      <c r="A367" s="18">
        <v>6030002</v>
      </c>
      <c r="B367" s="45" t="s">
        <v>446</v>
      </c>
      <c r="C367" s="45">
        <v>2</v>
      </c>
      <c r="D367" s="25">
        <v>3</v>
      </c>
      <c r="E367" s="45">
        <v>3001</v>
      </c>
      <c r="F367" s="45">
        <v>350</v>
      </c>
      <c r="G367" s="45">
        <v>11000</v>
      </c>
      <c r="H367" s="45">
        <v>0</v>
      </c>
      <c r="I367" s="45">
        <v>3000</v>
      </c>
      <c r="J367" s="45">
        <v>1030002</v>
      </c>
      <c r="K367" s="45" t="s">
        <v>448</v>
      </c>
      <c r="L367" s="45" t="s">
        <v>446</v>
      </c>
      <c r="M367" s="45" t="s">
        <v>60</v>
      </c>
      <c r="N367" s="44">
        <v>0</v>
      </c>
      <c r="O367" s="47">
        <v>6030002</v>
      </c>
      <c r="P367" s="45">
        <v>700</v>
      </c>
      <c r="Q367" s="45">
        <v>1012</v>
      </c>
      <c r="R367" s="45">
        <v>2150</v>
      </c>
      <c r="S367" s="45">
        <v>0</v>
      </c>
      <c r="T367" s="45">
        <v>0</v>
      </c>
      <c r="U367" s="45">
        <v>0</v>
      </c>
    </row>
    <row r="368" spans="1:21">
      <c r="A368" s="18">
        <v>6030101</v>
      </c>
      <c r="B368" s="45" t="s">
        <v>450</v>
      </c>
      <c r="C368" s="45">
        <v>1</v>
      </c>
      <c r="D368" s="25">
        <v>3</v>
      </c>
      <c r="E368" s="45">
        <v>1001</v>
      </c>
      <c r="F368" s="45">
        <v>350</v>
      </c>
      <c r="G368" s="45">
        <v>10500</v>
      </c>
      <c r="H368" s="45">
        <f>A368+5000000</f>
        <v>11030101</v>
      </c>
      <c r="I368" s="45">
        <v>1000</v>
      </c>
      <c r="J368" s="45">
        <v>0</v>
      </c>
      <c r="K368" s="45" t="s">
        <v>450</v>
      </c>
      <c r="L368" s="45" t="s">
        <v>450</v>
      </c>
      <c r="M368" s="45" t="s">
        <v>227</v>
      </c>
      <c r="N368" s="44">
        <v>0</v>
      </c>
      <c r="O368" s="47">
        <v>0</v>
      </c>
      <c r="P368" s="45">
        <v>0</v>
      </c>
      <c r="Q368" s="45">
        <v>1012</v>
      </c>
      <c r="R368" s="45">
        <v>700</v>
      </c>
      <c r="S368" s="45">
        <v>6030001</v>
      </c>
      <c r="T368" s="45">
        <v>400</v>
      </c>
      <c r="U368" s="45">
        <v>350</v>
      </c>
    </row>
    <row r="369" spans="1:21">
      <c r="A369" s="18">
        <v>6030102</v>
      </c>
      <c r="B369" s="45" t="s">
        <v>121</v>
      </c>
      <c r="C369" s="45">
        <v>2</v>
      </c>
      <c r="D369" s="25">
        <v>3</v>
      </c>
      <c r="E369" s="45">
        <v>3001</v>
      </c>
      <c r="F369" s="45">
        <v>350</v>
      </c>
      <c r="G369" s="45">
        <v>21000</v>
      </c>
      <c r="H369" s="45">
        <v>0</v>
      </c>
      <c r="I369" s="45">
        <v>3000</v>
      </c>
      <c r="J369" s="45">
        <v>1030002</v>
      </c>
      <c r="K369" s="45" t="s">
        <v>452</v>
      </c>
      <c r="L369" s="45" t="s">
        <v>121</v>
      </c>
      <c r="M369" s="45" t="s">
        <v>60</v>
      </c>
      <c r="N369" s="44">
        <v>0</v>
      </c>
      <c r="O369" s="47">
        <v>6030002</v>
      </c>
      <c r="P369" s="45">
        <v>600</v>
      </c>
      <c r="Q369" s="45">
        <v>1012</v>
      </c>
      <c r="R369" s="45">
        <v>2050</v>
      </c>
      <c r="S369" s="45">
        <v>0</v>
      </c>
      <c r="T369" s="45">
        <v>0</v>
      </c>
      <c r="U369" s="45">
        <v>0</v>
      </c>
    </row>
    <row r="370" spans="1:21">
      <c r="A370" s="18">
        <v>6032001</v>
      </c>
      <c r="B370" s="45" t="s">
        <v>454</v>
      </c>
      <c r="C370" s="45">
        <v>1</v>
      </c>
      <c r="D370" s="25">
        <v>3</v>
      </c>
      <c r="E370" s="45">
        <v>1001</v>
      </c>
      <c r="F370" s="45">
        <v>350</v>
      </c>
      <c r="G370" s="45">
        <v>7000</v>
      </c>
      <c r="H370" s="45">
        <f>A370+5000000</f>
        <v>11032001</v>
      </c>
      <c r="I370" s="45">
        <v>1000</v>
      </c>
      <c r="J370" s="45">
        <v>0</v>
      </c>
      <c r="K370" s="45" t="s">
        <v>454</v>
      </c>
      <c r="L370" s="45" t="s">
        <v>454</v>
      </c>
      <c r="M370" s="45" t="s">
        <v>227</v>
      </c>
      <c r="N370" s="44">
        <v>0</v>
      </c>
      <c r="O370" s="47">
        <v>0</v>
      </c>
      <c r="P370" s="45">
        <v>0</v>
      </c>
      <c r="Q370" s="45">
        <v>1014</v>
      </c>
      <c r="R370" s="45">
        <v>700</v>
      </c>
      <c r="S370" s="45">
        <v>6032001</v>
      </c>
      <c r="T370" s="45">
        <v>400</v>
      </c>
      <c r="U370" s="45">
        <v>350</v>
      </c>
    </row>
    <row r="371" spans="1:21">
      <c r="A371" s="18">
        <v>6032002</v>
      </c>
      <c r="B371" s="45" t="s">
        <v>455</v>
      </c>
      <c r="C371" s="45">
        <v>2</v>
      </c>
      <c r="D371" s="25">
        <v>3</v>
      </c>
      <c r="E371" s="45">
        <v>3001</v>
      </c>
      <c r="F371" s="45">
        <v>350</v>
      </c>
      <c r="G371" s="45">
        <v>1750</v>
      </c>
      <c r="H371" s="45">
        <v>0</v>
      </c>
      <c r="I371" s="45">
        <v>3000</v>
      </c>
      <c r="J371" s="45">
        <v>1032002</v>
      </c>
      <c r="K371" s="45" t="s">
        <v>457</v>
      </c>
      <c r="L371" s="45" t="s">
        <v>455</v>
      </c>
      <c r="M371" s="45" t="s">
        <v>60</v>
      </c>
      <c r="N371" s="44">
        <v>0</v>
      </c>
      <c r="O371" s="47">
        <v>6032002</v>
      </c>
      <c r="P371" s="45">
        <v>400</v>
      </c>
      <c r="Q371" s="45">
        <v>1014</v>
      </c>
      <c r="R371" s="45" t="s">
        <v>972</v>
      </c>
      <c r="S371" s="45">
        <v>0</v>
      </c>
      <c r="T371" s="45">
        <v>0</v>
      </c>
      <c r="U371" s="45">
        <v>0</v>
      </c>
    </row>
    <row r="372" spans="1:21">
      <c r="A372" s="18">
        <v>6032101</v>
      </c>
      <c r="B372" s="45" t="s">
        <v>460</v>
      </c>
      <c r="C372" s="45">
        <v>1</v>
      </c>
      <c r="D372" s="25">
        <v>3</v>
      </c>
      <c r="E372" s="45">
        <v>1001</v>
      </c>
      <c r="F372" s="45">
        <v>350</v>
      </c>
      <c r="G372" s="45">
        <v>3000</v>
      </c>
      <c r="H372" s="45">
        <f>A372+5000000</f>
        <v>11032101</v>
      </c>
      <c r="I372" s="45">
        <v>1000</v>
      </c>
      <c r="J372" s="45">
        <v>0</v>
      </c>
      <c r="K372" s="45" t="s">
        <v>460</v>
      </c>
      <c r="L372" s="45" t="s">
        <v>460</v>
      </c>
      <c r="M372" s="45" t="s">
        <v>227</v>
      </c>
      <c r="N372" s="44">
        <v>0</v>
      </c>
      <c r="O372" s="47">
        <v>0</v>
      </c>
      <c r="P372" s="45">
        <v>0</v>
      </c>
      <c r="Q372" s="45">
        <v>1014</v>
      </c>
      <c r="R372" s="45">
        <v>700</v>
      </c>
      <c r="S372" s="45">
        <v>6032001</v>
      </c>
      <c r="T372" s="45">
        <v>400</v>
      </c>
      <c r="U372" s="45">
        <v>350</v>
      </c>
    </row>
    <row r="373" spans="1:21">
      <c r="A373" s="18">
        <v>6032102</v>
      </c>
      <c r="B373" s="45" t="s">
        <v>461</v>
      </c>
      <c r="C373" s="45">
        <v>2</v>
      </c>
      <c r="D373" s="25">
        <v>3</v>
      </c>
      <c r="E373" s="45">
        <v>3001</v>
      </c>
      <c r="F373" s="45">
        <v>350</v>
      </c>
      <c r="G373" s="45">
        <v>2150</v>
      </c>
      <c r="H373" s="45">
        <v>0</v>
      </c>
      <c r="I373" s="45">
        <v>3000</v>
      </c>
      <c r="J373" s="45">
        <v>1032002</v>
      </c>
      <c r="K373" s="45" t="s">
        <v>463</v>
      </c>
      <c r="L373" s="45" t="s">
        <v>461</v>
      </c>
      <c r="M373" s="45" t="s">
        <v>60</v>
      </c>
      <c r="N373" s="44">
        <v>0</v>
      </c>
      <c r="O373" s="47">
        <v>6032002</v>
      </c>
      <c r="P373" s="45">
        <v>400</v>
      </c>
      <c r="Q373" s="45">
        <v>1014</v>
      </c>
      <c r="R373" s="45" t="s">
        <v>972</v>
      </c>
      <c r="S373" s="45">
        <v>0</v>
      </c>
      <c r="T373" s="45">
        <v>0</v>
      </c>
      <c r="U373" s="45">
        <v>0</v>
      </c>
    </row>
    <row r="374" spans="1:21">
      <c r="A374" s="18">
        <v>6033001</v>
      </c>
      <c r="B374" s="45" t="s">
        <v>465</v>
      </c>
      <c r="C374" s="45">
        <v>1</v>
      </c>
      <c r="D374" s="25">
        <v>3</v>
      </c>
      <c r="E374" s="45">
        <v>1001</v>
      </c>
      <c r="F374" s="45">
        <v>350</v>
      </c>
      <c r="G374" s="45">
        <v>4250</v>
      </c>
      <c r="H374" s="45">
        <f>A374+5000000</f>
        <v>11033001</v>
      </c>
      <c r="I374" s="45">
        <v>1000</v>
      </c>
      <c r="J374" s="45">
        <v>0</v>
      </c>
      <c r="K374" s="45" t="s">
        <v>465</v>
      </c>
      <c r="L374" s="45" t="s">
        <v>465</v>
      </c>
      <c r="M374" s="45" t="s">
        <v>227</v>
      </c>
      <c r="N374" s="44">
        <v>0</v>
      </c>
      <c r="O374" s="47">
        <v>0</v>
      </c>
      <c r="P374" s="45">
        <v>0</v>
      </c>
      <c r="Q374" s="45">
        <v>1012</v>
      </c>
      <c r="R374" s="45">
        <v>700</v>
      </c>
      <c r="S374" s="45">
        <v>6033001</v>
      </c>
      <c r="T374" s="45">
        <v>400</v>
      </c>
      <c r="U374" s="45">
        <v>350</v>
      </c>
    </row>
    <row r="375" spans="1:21">
      <c r="A375" s="18">
        <v>6033002</v>
      </c>
      <c r="B375" s="45" t="s">
        <v>466</v>
      </c>
      <c r="C375" s="45">
        <v>2</v>
      </c>
      <c r="D375" s="25">
        <v>3</v>
      </c>
      <c r="E375" s="45">
        <v>3001</v>
      </c>
      <c r="F375" s="45">
        <v>350</v>
      </c>
      <c r="G375" s="45">
        <v>5250</v>
      </c>
      <c r="H375" s="45">
        <v>0</v>
      </c>
      <c r="I375" s="45">
        <v>3000</v>
      </c>
      <c r="J375" s="45">
        <v>1033002</v>
      </c>
      <c r="K375" s="45" t="s">
        <v>468</v>
      </c>
      <c r="L375" s="45" t="s">
        <v>466</v>
      </c>
      <c r="M375" s="45" t="s">
        <v>60</v>
      </c>
      <c r="N375" s="44">
        <v>0</v>
      </c>
      <c r="O375" s="47">
        <v>6033002</v>
      </c>
      <c r="P375" s="45">
        <v>1300</v>
      </c>
      <c r="Q375" s="45">
        <v>1012</v>
      </c>
      <c r="R375" s="45" t="s">
        <v>470</v>
      </c>
      <c r="S375" s="45">
        <v>0</v>
      </c>
      <c r="T375" s="45">
        <v>0</v>
      </c>
      <c r="U375" s="45">
        <v>0</v>
      </c>
    </row>
    <row r="376" spans="1:21">
      <c r="A376" s="18">
        <v>6033101</v>
      </c>
      <c r="B376" s="45" t="s">
        <v>471</v>
      </c>
      <c r="C376" s="45">
        <v>1</v>
      </c>
      <c r="D376" s="25">
        <v>3</v>
      </c>
      <c r="E376" s="45">
        <v>1001</v>
      </c>
      <c r="F376" s="45">
        <v>350</v>
      </c>
      <c r="G376" s="45">
        <v>10500</v>
      </c>
      <c r="H376" s="45">
        <f>A376+5000000</f>
        <v>11033101</v>
      </c>
      <c r="I376" s="45">
        <v>1000</v>
      </c>
      <c r="J376" s="45">
        <v>0</v>
      </c>
      <c r="K376" s="45" t="s">
        <v>471</v>
      </c>
      <c r="L376" s="45" t="s">
        <v>471</v>
      </c>
      <c r="M376" s="45" t="s">
        <v>227</v>
      </c>
      <c r="N376" s="44">
        <v>0</v>
      </c>
      <c r="O376" s="47">
        <v>0</v>
      </c>
      <c r="P376" s="45">
        <v>0</v>
      </c>
      <c r="Q376" s="45">
        <v>1012</v>
      </c>
      <c r="R376" s="45">
        <v>600</v>
      </c>
      <c r="S376" s="45">
        <v>6033001</v>
      </c>
      <c r="T376" s="45">
        <v>300</v>
      </c>
      <c r="U376" s="45">
        <v>350</v>
      </c>
    </row>
    <row r="377" spans="1:21">
      <c r="A377" s="18">
        <v>6033102</v>
      </c>
      <c r="B377" s="45" t="s">
        <v>472</v>
      </c>
      <c r="C377" s="45">
        <v>2</v>
      </c>
      <c r="D377" s="25">
        <v>3</v>
      </c>
      <c r="E377" s="45">
        <v>3001</v>
      </c>
      <c r="F377" s="45">
        <v>350</v>
      </c>
      <c r="G377" s="45">
        <v>8200</v>
      </c>
      <c r="H377" s="45">
        <v>0</v>
      </c>
      <c r="I377" s="45">
        <v>3000</v>
      </c>
      <c r="J377" s="45">
        <v>1033002</v>
      </c>
      <c r="K377" s="45" t="s">
        <v>474</v>
      </c>
      <c r="L377" s="45" t="s">
        <v>472</v>
      </c>
      <c r="M377" s="45" t="s">
        <v>60</v>
      </c>
      <c r="N377" s="44">
        <v>0</v>
      </c>
      <c r="O377" s="47">
        <v>6033002</v>
      </c>
      <c r="P377" s="45">
        <v>500</v>
      </c>
      <c r="Q377" s="45">
        <v>1012</v>
      </c>
      <c r="R377" s="45" t="s">
        <v>476</v>
      </c>
      <c r="S377" s="45">
        <v>0</v>
      </c>
      <c r="T377" s="45">
        <v>0</v>
      </c>
      <c r="U377" s="45">
        <v>0</v>
      </c>
    </row>
    <row r="378" spans="1:21">
      <c r="A378" s="18">
        <v>6033201</v>
      </c>
      <c r="B378" s="45" t="s">
        <v>477</v>
      </c>
      <c r="C378" s="45">
        <v>1</v>
      </c>
      <c r="D378" s="25">
        <v>3</v>
      </c>
      <c r="E378" s="45">
        <v>1001</v>
      </c>
      <c r="F378" s="45">
        <v>350</v>
      </c>
      <c r="G378" s="45">
        <v>11000</v>
      </c>
      <c r="H378" s="45">
        <f>A378+5000000</f>
        <v>11033201</v>
      </c>
      <c r="I378" s="45">
        <v>1000</v>
      </c>
      <c r="J378" s="45">
        <v>0</v>
      </c>
      <c r="K378" s="45" t="s">
        <v>477</v>
      </c>
      <c r="L378" s="45" t="s">
        <v>477</v>
      </c>
      <c r="M378" s="45" t="s">
        <v>227</v>
      </c>
      <c r="N378" s="44">
        <v>0</v>
      </c>
      <c r="O378" s="47">
        <v>0</v>
      </c>
      <c r="P378" s="45">
        <v>0</v>
      </c>
      <c r="Q378" s="45">
        <v>1012</v>
      </c>
      <c r="R378" s="45">
        <v>700</v>
      </c>
      <c r="S378" s="45">
        <v>6033001</v>
      </c>
      <c r="T378" s="45">
        <v>400</v>
      </c>
      <c r="U378" s="45">
        <v>350</v>
      </c>
    </row>
    <row r="379" spans="1:21">
      <c r="A379" s="18">
        <v>6033202</v>
      </c>
      <c r="B379" s="45" t="s">
        <v>478</v>
      </c>
      <c r="C379" s="45">
        <v>2</v>
      </c>
      <c r="D379" s="25">
        <v>3</v>
      </c>
      <c r="E379" s="45">
        <v>3001</v>
      </c>
      <c r="F379" s="45">
        <v>350</v>
      </c>
      <c r="G379" s="45">
        <v>8200</v>
      </c>
      <c r="H379" s="45">
        <v>0</v>
      </c>
      <c r="I379" s="45">
        <v>3000</v>
      </c>
      <c r="J379" s="45">
        <v>1033202</v>
      </c>
      <c r="K379" s="45" t="s">
        <v>480</v>
      </c>
      <c r="L379" s="45" t="s">
        <v>478</v>
      </c>
      <c r="M379" s="45" t="s">
        <v>60</v>
      </c>
      <c r="N379" s="44">
        <v>0</v>
      </c>
      <c r="O379" s="47">
        <v>6033202</v>
      </c>
      <c r="P379" s="45">
        <v>1400</v>
      </c>
      <c r="Q379" s="45">
        <v>1012</v>
      </c>
      <c r="R379" s="45" t="s">
        <v>482</v>
      </c>
      <c r="S379" s="45">
        <v>0</v>
      </c>
      <c r="T379" s="45">
        <v>0</v>
      </c>
      <c r="U379" s="45">
        <v>0</v>
      </c>
    </row>
    <row r="380" spans="1:21">
      <c r="A380" s="18">
        <v>6035001</v>
      </c>
      <c r="B380" s="45" t="s">
        <v>483</v>
      </c>
      <c r="C380" s="45">
        <v>1</v>
      </c>
      <c r="D380" s="25">
        <v>3</v>
      </c>
      <c r="E380" s="45">
        <v>1001</v>
      </c>
      <c r="F380" s="45">
        <v>350</v>
      </c>
      <c r="G380" s="45">
        <v>10000</v>
      </c>
      <c r="H380" s="45">
        <f>A380+5000000</f>
        <v>11035001</v>
      </c>
      <c r="I380" s="45">
        <v>1000</v>
      </c>
      <c r="J380" s="45">
        <v>0</v>
      </c>
      <c r="K380" s="45" t="s">
        <v>483</v>
      </c>
      <c r="L380" s="45" t="s">
        <v>483</v>
      </c>
      <c r="M380" s="45" t="s">
        <v>227</v>
      </c>
      <c r="N380" s="44">
        <v>0</v>
      </c>
      <c r="O380" s="47">
        <v>0</v>
      </c>
      <c r="P380" s="45">
        <v>0</v>
      </c>
      <c r="Q380" s="45">
        <v>1016</v>
      </c>
      <c r="R380" s="45">
        <v>700</v>
      </c>
      <c r="S380" s="45">
        <v>6035001</v>
      </c>
      <c r="T380" s="45">
        <v>400</v>
      </c>
      <c r="U380" s="45">
        <v>350</v>
      </c>
    </row>
    <row r="381" spans="1:21">
      <c r="A381" s="18">
        <v>6035002</v>
      </c>
      <c r="B381" s="45" t="s">
        <v>135</v>
      </c>
      <c r="C381" s="45">
        <v>2</v>
      </c>
      <c r="D381" s="25">
        <v>3</v>
      </c>
      <c r="E381" s="45">
        <v>3001</v>
      </c>
      <c r="F381" s="45">
        <v>350</v>
      </c>
      <c r="G381" s="45">
        <v>2100</v>
      </c>
      <c r="H381" s="45">
        <v>0</v>
      </c>
      <c r="I381" s="45">
        <v>3000</v>
      </c>
      <c r="J381" s="45">
        <v>1035002</v>
      </c>
      <c r="K381" s="45" t="s">
        <v>485</v>
      </c>
      <c r="L381" s="45" t="s">
        <v>135</v>
      </c>
      <c r="M381" s="45" t="s">
        <v>60</v>
      </c>
      <c r="N381" s="44">
        <v>0</v>
      </c>
      <c r="O381" s="47">
        <v>6035002</v>
      </c>
      <c r="P381" s="45">
        <v>600</v>
      </c>
      <c r="Q381" s="45">
        <v>1016</v>
      </c>
      <c r="R381" s="45" t="s">
        <v>487</v>
      </c>
      <c r="S381" s="45">
        <v>0</v>
      </c>
      <c r="T381" s="45">
        <v>0</v>
      </c>
      <c r="U381" s="45">
        <v>0</v>
      </c>
    </row>
    <row r="382" spans="1:21">
      <c r="A382" s="18">
        <v>6035101</v>
      </c>
      <c r="B382" s="45" t="s">
        <v>488</v>
      </c>
      <c r="C382" s="45">
        <v>1</v>
      </c>
      <c r="D382" s="25">
        <v>3</v>
      </c>
      <c r="E382" s="45">
        <v>1001</v>
      </c>
      <c r="F382" s="45">
        <v>350</v>
      </c>
      <c r="G382" s="45">
        <v>10000</v>
      </c>
      <c r="H382" s="45">
        <f>A382+5000000</f>
        <v>11035101</v>
      </c>
      <c r="I382" s="45">
        <v>1000</v>
      </c>
      <c r="J382" s="45">
        <v>0</v>
      </c>
      <c r="K382" s="45" t="s">
        <v>488</v>
      </c>
      <c r="L382" s="45" t="s">
        <v>488</v>
      </c>
      <c r="M382" s="45" t="s">
        <v>227</v>
      </c>
      <c r="N382" s="44">
        <v>0</v>
      </c>
      <c r="O382" s="47">
        <v>0</v>
      </c>
      <c r="P382" s="45">
        <v>0</v>
      </c>
      <c r="Q382" s="45">
        <v>1016</v>
      </c>
      <c r="R382" s="45">
        <v>800</v>
      </c>
      <c r="S382" s="45">
        <v>6035001</v>
      </c>
      <c r="T382" s="45">
        <v>500</v>
      </c>
      <c r="U382" s="45">
        <v>350</v>
      </c>
    </row>
    <row r="383" spans="1:21">
      <c r="A383" s="18">
        <v>6035102</v>
      </c>
      <c r="B383" s="45" t="s">
        <v>489</v>
      </c>
      <c r="C383" s="45">
        <v>2</v>
      </c>
      <c r="D383" s="25">
        <v>3</v>
      </c>
      <c r="E383" s="45">
        <v>3001</v>
      </c>
      <c r="F383" s="45">
        <v>350</v>
      </c>
      <c r="G383" s="45">
        <v>4200</v>
      </c>
      <c r="H383" s="45">
        <v>0</v>
      </c>
      <c r="I383" s="45">
        <v>3000</v>
      </c>
      <c r="J383" s="45">
        <v>1035002</v>
      </c>
      <c r="K383" s="45" t="s">
        <v>491</v>
      </c>
      <c r="L383" s="45" t="s">
        <v>489</v>
      </c>
      <c r="M383" s="45" t="s">
        <v>60</v>
      </c>
      <c r="N383" s="44">
        <v>0</v>
      </c>
      <c r="O383" s="47">
        <v>6035002</v>
      </c>
      <c r="P383" s="45">
        <v>700</v>
      </c>
      <c r="Q383" s="45">
        <v>1016</v>
      </c>
      <c r="R383" s="45" t="s">
        <v>493</v>
      </c>
      <c r="S383" s="45">
        <v>0</v>
      </c>
      <c r="T383" s="45">
        <v>0</v>
      </c>
      <c r="U383" s="45">
        <v>0</v>
      </c>
    </row>
    <row r="384" spans="1:21">
      <c r="A384" s="18">
        <v>6035201</v>
      </c>
      <c r="B384" s="45" t="s">
        <v>494</v>
      </c>
      <c r="C384" s="45">
        <v>1</v>
      </c>
      <c r="D384" s="25">
        <v>3</v>
      </c>
      <c r="E384" s="45">
        <v>1001</v>
      </c>
      <c r="F384" s="45">
        <v>350</v>
      </c>
      <c r="G384" s="45">
        <v>10000</v>
      </c>
      <c r="H384" s="45">
        <f>A384+5000000</f>
        <v>11035201</v>
      </c>
      <c r="I384" s="45">
        <v>1000</v>
      </c>
      <c r="J384" s="45">
        <v>0</v>
      </c>
      <c r="K384" s="45" t="s">
        <v>494</v>
      </c>
      <c r="L384" s="45" t="s">
        <v>494</v>
      </c>
      <c r="M384" s="45" t="s">
        <v>227</v>
      </c>
      <c r="N384" s="44">
        <v>0</v>
      </c>
      <c r="O384" s="47">
        <v>0</v>
      </c>
      <c r="P384" s="45">
        <v>0</v>
      </c>
      <c r="Q384" s="45">
        <v>1016</v>
      </c>
      <c r="R384" s="45">
        <v>800</v>
      </c>
      <c r="S384" s="45">
        <v>6035001</v>
      </c>
      <c r="T384" s="45">
        <v>500</v>
      </c>
      <c r="U384" s="45">
        <v>350</v>
      </c>
    </row>
    <row r="385" spans="1:21">
      <c r="A385" s="18">
        <v>6035202</v>
      </c>
      <c r="B385" s="45" t="s">
        <v>184</v>
      </c>
      <c r="C385" s="45">
        <v>2</v>
      </c>
      <c r="D385" s="25">
        <v>3</v>
      </c>
      <c r="E385" s="45">
        <v>3001</v>
      </c>
      <c r="F385" s="45">
        <v>350</v>
      </c>
      <c r="G385" s="45">
        <v>10000</v>
      </c>
      <c r="H385" s="45">
        <v>0</v>
      </c>
      <c r="I385" s="45">
        <v>4100</v>
      </c>
      <c r="J385" s="45">
        <v>1035202</v>
      </c>
      <c r="K385" s="45" t="s">
        <v>496</v>
      </c>
      <c r="L385" s="45" t="s">
        <v>184</v>
      </c>
      <c r="M385" s="45" t="s">
        <v>60</v>
      </c>
      <c r="N385" s="44">
        <v>0</v>
      </c>
      <c r="O385" s="47">
        <v>6035202</v>
      </c>
      <c r="P385" s="45">
        <v>1500</v>
      </c>
      <c r="Q385" s="45">
        <v>1016</v>
      </c>
      <c r="R385" s="45" t="s">
        <v>498</v>
      </c>
      <c r="S385" s="45">
        <v>0</v>
      </c>
      <c r="T385" s="45">
        <v>0</v>
      </c>
      <c r="U385" s="45">
        <v>0</v>
      </c>
    </row>
    <row r="386" spans="1:21">
      <c r="A386" s="18">
        <v>6036001</v>
      </c>
      <c r="B386" s="45" t="s">
        <v>499</v>
      </c>
      <c r="C386" s="45">
        <v>1</v>
      </c>
      <c r="D386" s="25">
        <v>3</v>
      </c>
      <c r="E386" s="45">
        <v>1001</v>
      </c>
      <c r="F386" s="45">
        <v>350</v>
      </c>
      <c r="G386" s="45">
        <v>10000</v>
      </c>
      <c r="H386" s="45">
        <f>A386+5000000</f>
        <v>11036001</v>
      </c>
      <c r="I386" s="45">
        <v>1000</v>
      </c>
      <c r="J386" s="45">
        <v>0</v>
      </c>
      <c r="K386" s="45" t="s">
        <v>499</v>
      </c>
      <c r="L386" s="45" t="s">
        <v>499</v>
      </c>
      <c r="M386" s="45" t="s">
        <v>227</v>
      </c>
      <c r="N386" s="44">
        <v>0</v>
      </c>
      <c r="O386" s="47">
        <v>0</v>
      </c>
      <c r="P386" s="45">
        <v>0</v>
      </c>
      <c r="Q386" s="45">
        <v>1016</v>
      </c>
      <c r="R386" s="45">
        <v>700</v>
      </c>
      <c r="S386" s="45">
        <v>6036001</v>
      </c>
      <c r="T386" s="45">
        <v>400</v>
      </c>
      <c r="U386" s="45">
        <v>350</v>
      </c>
    </row>
    <row r="387" spans="1:21">
      <c r="A387" s="18">
        <v>6036002</v>
      </c>
      <c r="B387" s="45" t="s">
        <v>500</v>
      </c>
      <c r="C387" s="45">
        <v>2</v>
      </c>
      <c r="D387" s="25">
        <v>3</v>
      </c>
      <c r="E387" s="45">
        <v>3001</v>
      </c>
      <c r="F387" s="45">
        <v>350</v>
      </c>
      <c r="G387" s="45">
        <v>4200</v>
      </c>
      <c r="H387" s="45">
        <v>0</v>
      </c>
      <c r="I387" s="45">
        <v>3000</v>
      </c>
      <c r="J387" s="45">
        <v>1036002</v>
      </c>
      <c r="K387" s="45" t="s">
        <v>502</v>
      </c>
      <c r="L387" s="45" t="s">
        <v>504</v>
      </c>
      <c r="M387" s="45" t="s">
        <v>60</v>
      </c>
      <c r="N387" s="44">
        <v>0</v>
      </c>
      <c r="O387" s="47">
        <v>6036002</v>
      </c>
      <c r="P387" s="45">
        <v>300</v>
      </c>
      <c r="Q387" s="45">
        <v>1016</v>
      </c>
      <c r="R387" s="45" t="s">
        <v>505</v>
      </c>
      <c r="S387" s="45">
        <v>0</v>
      </c>
      <c r="T387" s="45">
        <v>0</v>
      </c>
      <c r="U387" s="45">
        <v>0</v>
      </c>
    </row>
    <row r="388" spans="1:21">
      <c r="A388" s="18">
        <v>6036101</v>
      </c>
      <c r="B388" s="45" t="s">
        <v>506</v>
      </c>
      <c r="C388" s="45">
        <v>1</v>
      </c>
      <c r="D388" s="25">
        <v>3</v>
      </c>
      <c r="E388" s="45">
        <v>1001</v>
      </c>
      <c r="F388" s="45">
        <v>350</v>
      </c>
      <c r="G388" s="45">
        <v>11000</v>
      </c>
      <c r="H388" s="45">
        <f>A388+5000000</f>
        <v>11036101</v>
      </c>
      <c r="I388" s="45">
        <v>1000</v>
      </c>
      <c r="J388" s="45">
        <v>0</v>
      </c>
      <c r="K388" s="45" t="s">
        <v>506</v>
      </c>
      <c r="L388" s="45" t="s">
        <v>506</v>
      </c>
      <c r="M388" s="45" t="s">
        <v>227</v>
      </c>
      <c r="N388" s="44">
        <v>0</v>
      </c>
      <c r="O388" s="47">
        <v>0</v>
      </c>
      <c r="P388" s="45">
        <v>0</v>
      </c>
      <c r="Q388" s="45">
        <v>1016</v>
      </c>
      <c r="R388" s="45">
        <v>700</v>
      </c>
      <c r="S388" s="45">
        <v>6036001</v>
      </c>
      <c r="T388" s="45">
        <v>400</v>
      </c>
      <c r="U388" s="45">
        <v>350</v>
      </c>
    </row>
    <row r="389" spans="1:21">
      <c r="A389" s="18">
        <v>6036102</v>
      </c>
      <c r="B389" s="45" t="s">
        <v>507</v>
      </c>
      <c r="C389" s="45">
        <v>2</v>
      </c>
      <c r="D389" s="25">
        <v>3</v>
      </c>
      <c r="E389" s="45">
        <v>3001</v>
      </c>
      <c r="F389" s="45">
        <v>350</v>
      </c>
      <c r="G389" s="45">
        <v>8400</v>
      </c>
      <c r="H389" s="45">
        <v>0</v>
      </c>
      <c r="I389" s="45">
        <v>3000</v>
      </c>
      <c r="J389" s="45">
        <v>1036102</v>
      </c>
      <c r="K389" s="45" t="s">
        <v>509</v>
      </c>
      <c r="L389" s="45" t="s">
        <v>511</v>
      </c>
      <c r="M389" s="45" t="s">
        <v>60</v>
      </c>
      <c r="N389" s="44">
        <v>0</v>
      </c>
      <c r="O389" s="47">
        <v>6036102</v>
      </c>
      <c r="P389" s="45">
        <v>300</v>
      </c>
      <c r="Q389" s="45">
        <v>1016</v>
      </c>
      <c r="R389" s="45" t="s">
        <v>505</v>
      </c>
      <c r="S389" s="45">
        <v>0</v>
      </c>
      <c r="T389" s="45">
        <v>0</v>
      </c>
      <c r="U389" s="45">
        <v>0</v>
      </c>
    </row>
    <row r="390" spans="1:21">
      <c r="A390" s="18">
        <v>6038001</v>
      </c>
      <c r="B390" s="45" t="s">
        <v>512</v>
      </c>
      <c r="C390" s="45">
        <v>1</v>
      </c>
      <c r="D390" s="25">
        <v>3</v>
      </c>
      <c r="E390" s="45">
        <v>1001</v>
      </c>
      <c r="F390" s="45">
        <v>350</v>
      </c>
      <c r="G390" s="45">
        <v>10000</v>
      </c>
      <c r="H390" s="45">
        <f>A390+5000000</f>
        <v>11038001</v>
      </c>
      <c r="I390" s="45">
        <v>1000</v>
      </c>
      <c r="J390" s="45">
        <v>0</v>
      </c>
      <c r="K390" s="45" t="s">
        <v>512</v>
      </c>
      <c r="L390" s="45" t="s">
        <v>512</v>
      </c>
      <c r="M390" s="45" t="s">
        <v>227</v>
      </c>
      <c r="N390" s="44">
        <v>0</v>
      </c>
      <c r="O390" s="47">
        <v>0</v>
      </c>
      <c r="P390" s="45">
        <v>0</v>
      </c>
      <c r="Q390" s="45">
        <v>1016</v>
      </c>
      <c r="R390" s="45">
        <v>700</v>
      </c>
      <c r="S390" s="45">
        <v>6038001</v>
      </c>
      <c r="T390" s="45">
        <v>400</v>
      </c>
      <c r="U390" s="45">
        <v>350</v>
      </c>
    </row>
    <row r="391" spans="1:21">
      <c r="A391" s="18">
        <v>6038002</v>
      </c>
      <c r="B391" s="45" t="s">
        <v>513</v>
      </c>
      <c r="C391" s="45">
        <v>2</v>
      </c>
      <c r="D391" s="25">
        <v>3</v>
      </c>
      <c r="E391" s="45">
        <v>3001</v>
      </c>
      <c r="F391" s="45">
        <v>350</v>
      </c>
      <c r="G391" s="45">
        <v>3850</v>
      </c>
      <c r="H391" s="45">
        <v>0</v>
      </c>
      <c r="I391" s="45">
        <v>3000</v>
      </c>
      <c r="J391" s="45">
        <v>1038002</v>
      </c>
      <c r="K391" s="45" t="s">
        <v>515</v>
      </c>
      <c r="L391" s="45" t="s">
        <v>513</v>
      </c>
      <c r="M391" s="45" t="s">
        <v>60</v>
      </c>
      <c r="N391" s="44">
        <v>0</v>
      </c>
      <c r="O391" s="47">
        <v>6038002</v>
      </c>
      <c r="P391" s="45">
        <v>700</v>
      </c>
      <c r="Q391" s="45">
        <v>1016</v>
      </c>
      <c r="R391" s="45" t="s">
        <v>517</v>
      </c>
      <c r="S391" s="45">
        <v>0</v>
      </c>
      <c r="T391" s="45">
        <v>0</v>
      </c>
      <c r="U391" s="45">
        <v>0</v>
      </c>
    </row>
    <row r="392" spans="1:21">
      <c r="A392" s="18">
        <v>6038101</v>
      </c>
      <c r="B392" s="45" t="s">
        <v>518</v>
      </c>
      <c r="C392" s="45">
        <v>1</v>
      </c>
      <c r="D392" s="25">
        <v>3</v>
      </c>
      <c r="E392" s="45">
        <v>1001</v>
      </c>
      <c r="F392" s="45">
        <v>350</v>
      </c>
      <c r="G392" s="45">
        <v>10000</v>
      </c>
      <c r="H392" s="45">
        <f>A392+5000000</f>
        <v>11038101</v>
      </c>
      <c r="I392" s="45">
        <v>1000</v>
      </c>
      <c r="J392" s="45">
        <v>0</v>
      </c>
      <c r="K392" s="45" t="s">
        <v>518</v>
      </c>
      <c r="L392" s="45" t="s">
        <v>518</v>
      </c>
      <c r="M392" s="45" t="s">
        <v>227</v>
      </c>
      <c r="N392" s="44">
        <v>0</v>
      </c>
      <c r="O392" s="47">
        <v>0</v>
      </c>
      <c r="P392" s="45">
        <v>0</v>
      </c>
      <c r="Q392" s="45">
        <v>1014</v>
      </c>
      <c r="R392" s="45">
        <v>600</v>
      </c>
      <c r="S392" s="45">
        <v>6038001</v>
      </c>
      <c r="T392" s="45">
        <v>300</v>
      </c>
      <c r="U392" s="45">
        <v>350</v>
      </c>
    </row>
    <row r="393" spans="1:21">
      <c r="A393" s="18">
        <v>6038102</v>
      </c>
      <c r="B393" s="45" t="s">
        <v>519</v>
      </c>
      <c r="C393" s="45">
        <v>2</v>
      </c>
      <c r="D393" s="25">
        <v>3</v>
      </c>
      <c r="E393" s="45">
        <v>3001</v>
      </c>
      <c r="F393" s="45">
        <v>350</v>
      </c>
      <c r="G393" s="45">
        <v>8500</v>
      </c>
      <c r="H393" s="45">
        <v>0</v>
      </c>
      <c r="I393" s="45">
        <v>3000</v>
      </c>
      <c r="J393" s="45">
        <v>1038002</v>
      </c>
      <c r="K393" s="45" t="s">
        <v>521</v>
      </c>
      <c r="L393" s="45" t="s">
        <v>519</v>
      </c>
      <c r="M393" s="45" t="s">
        <v>60</v>
      </c>
      <c r="N393" s="44">
        <v>0</v>
      </c>
      <c r="O393" s="47">
        <v>6038002</v>
      </c>
      <c r="P393" s="45">
        <v>700</v>
      </c>
      <c r="Q393" s="45">
        <v>1014</v>
      </c>
      <c r="R393" s="45" t="s">
        <v>517</v>
      </c>
      <c r="S393" s="45">
        <v>0</v>
      </c>
      <c r="T393" s="45">
        <v>0</v>
      </c>
      <c r="U393" s="45">
        <v>0</v>
      </c>
    </row>
    <row r="394" spans="1:21">
      <c r="A394" s="18">
        <v>6039001</v>
      </c>
      <c r="B394" s="45" t="s">
        <v>523</v>
      </c>
      <c r="C394" s="45">
        <v>1</v>
      </c>
      <c r="D394" s="25">
        <v>3</v>
      </c>
      <c r="E394" s="45">
        <v>1001</v>
      </c>
      <c r="F394" s="45">
        <v>350</v>
      </c>
      <c r="G394" s="45">
        <v>10000</v>
      </c>
      <c r="H394" s="45">
        <f>A394+5000000</f>
        <v>11039001</v>
      </c>
      <c r="I394" s="45">
        <v>1000</v>
      </c>
      <c r="J394" s="45">
        <v>0</v>
      </c>
      <c r="K394" s="45" t="s">
        <v>523</v>
      </c>
      <c r="L394" s="45" t="s">
        <v>523</v>
      </c>
      <c r="M394" s="45" t="s">
        <v>227</v>
      </c>
      <c r="N394" s="44">
        <v>0</v>
      </c>
      <c r="O394" s="47">
        <v>0</v>
      </c>
      <c r="P394" s="45">
        <v>0</v>
      </c>
      <c r="Q394" s="45">
        <v>1011</v>
      </c>
      <c r="R394" s="45">
        <v>700</v>
      </c>
      <c r="S394" s="45">
        <v>6039001</v>
      </c>
      <c r="T394" s="45">
        <v>400</v>
      </c>
      <c r="U394" s="45">
        <v>350</v>
      </c>
    </row>
    <row r="395" spans="1:21">
      <c r="A395" s="18">
        <v>6039002</v>
      </c>
      <c r="B395" s="45" t="s">
        <v>63</v>
      </c>
      <c r="C395" s="45">
        <v>2</v>
      </c>
      <c r="D395" s="25">
        <v>3</v>
      </c>
      <c r="E395" s="45">
        <v>3001</v>
      </c>
      <c r="F395" s="45">
        <v>350</v>
      </c>
      <c r="G395" s="45">
        <v>3000</v>
      </c>
      <c r="H395" s="45">
        <v>0</v>
      </c>
      <c r="I395" s="45">
        <v>3000</v>
      </c>
      <c r="J395" s="45">
        <v>1039002</v>
      </c>
      <c r="K395" s="45" t="s">
        <v>525</v>
      </c>
      <c r="L395" s="45" t="s">
        <v>63</v>
      </c>
      <c r="M395" s="45" t="s">
        <v>60</v>
      </c>
      <c r="N395" s="44">
        <v>0</v>
      </c>
      <c r="O395" s="47">
        <v>6039002</v>
      </c>
      <c r="P395" s="45">
        <v>600</v>
      </c>
      <c r="Q395" s="45">
        <v>1011</v>
      </c>
      <c r="R395" s="45" t="s">
        <v>527</v>
      </c>
      <c r="S395" s="45">
        <v>0</v>
      </c>
      <c r="T395" s="45">
        <v>0</v>
      </c>
      <c r="U395" s="45">
        <v>0</v>
      </c>
    </row>
    <row r="396" spans="1:21">
      <c r="A396" s="18">
        <v>6039101</v>
      </c>
      <c r="B396" s="45" t="s">
        <v>528</v>
      </c>
      <c r="C396" s="45">
        <v>1</v>
      </c>
      <c r="D396" s="25">
        <v>3</v>
      </c>
      <c r="E396" s="45">
        <v>1001</v>
      </c>
      <c r="F396" s="45">
        <v>350</v>
      </c>
      <c r="G396" s="45">
        <v>10000</v>
      </c>
      <c r="H396" s="45">
        <f>A396+5000000</f>
        <v>11039101</v>
      </c>
      <c r="I396" s="45">
        <v>1000</v>
      </c>
      <c r="J396" s="45">
        <v>0</v>
      </c>
      <c r="K396" s="45" t="s">
        <v>528</v>
      </c>
      <c r="L396" s="45" t="s">
        <v>528</v>
      </c>
      <c r="M396" s="45" t="s">
        <v>227</v>
      </c>
      <c r="N396" s="44">
        <v>0</v>
      </c>
      <c r="O396" s="47">
        <v>0</v>
      </c>
      <c r="P396" s="45">
        <v>0</v>
      </c>
      <c r="Q396" s="45">
        <v>1011</v>
      </c>
      <c r="R396" s="45">
        <v>700</v>
      </c>
      <c r="S396" s="45">
        <v>6039001</v>
      </c>
      <c r="T396" s="45">
        <v>400</v>
      </c>
      <c r="U396" s="45">
        <v>350</v>
      </c>
    </row>
    <row r="397" spans="1:21">
      <c r="A397" s="18">
        <v>6039102</v>
      </c>
      <c r="B397" s="45" t="s">
        <v>529</v>
      </c>
      <c r="C397" s="45">
        <v>2</v>
      </c>
      <c r="D397" s="25">
        <v>3</v>
      </c>
      <c r="E397" s="45">
        <v>3001</v>
      </c>
      <c r="F397" s="45">
        <v>350</v>
      </c>
      <c r="G397" s="45">
        <v>6000</v>
      </c>
      <c r="H397" s="45">
        <v>0</v>
      </c>
      <c r="I397" s="45">
        <v>3000</v>
      </c>
      <c r="J397" s="45">
        <v>1039102</v>
      </c>
      <c r="K397" s="45" t="s">
        <v>531</v>
      </c>
      <c r="L397" s="45" t="s">
        <v>529</v>
      </c>
      <c r="M397" s="45" t="s">
        <v>60</v>
      </c>
      <c r="N397" s="44">
        <v>0</v>
      </c>
      <c r="O397" s="47">
        <v>6039102</v>
      </c>
      <c r="P397" s="45">
        <v>700</v>
      </c>
      <c r="Q397" s="45">
        <v>1011</v>
      </c>
      <c r="R397" s="45" t="s">
        <v>533</v>
      </c>
      <c r="S397" s="45">
        <v>0</v>
      </c>
      <c r="T397" s="45">
        <v>0</v>
      </c>
      <c r="U397" s="45">
        <v>0</v>
      </c>
    </row>
    <row r="398" spans="1:21">
      <c r="A398" s="18">
        <v>6039201</v>
      </c>
      <c r="B398" s="45" t="s">
        <v>534</v>
      </c>
      <c r="C398" s="45">
        <v>1</v>
      </c>
      <c r="D398" s="25">
        <v>3</v>
      </c>
      <c r="E398" s="45">
        <v>1001</v>
      </c>
      <c r="F398" s="45">
        <v>350</v>
      </c>
      <c r="G398" s="45">
        <v>10000</v>
      </c>
      <c r="H398" s="45">
        <f>A398+5000000</f>
        <v>11039201</v>
      </c>
      <c r="I398" s="45">
        <v>1000</v>
      </c>
      <c r="J398" s="45">
        <v>0</v>
      </c>
      <c r="K398" s="45" t="s">
        <v>534</v>
      </c>
      <c r="L398" s="45" t="s">
        <v>534</v>
      </c>
      <c r="M398" s="45" t="s">
        <v>227</v>
      </c>
      <c r="N398" s="44">
        <v>0</v>
      </c>
      <c r="O398" s="47">
        <v>0</v>
      </c>
      <c r="P398" s="45">
        <v>0</v>
      </c>
      <c r="Q398" s="45">
        <v>1011</v>
      </c>
      <c r="R398" s="45">
        <v>700</v>
      </c>
      <c r="S398" s="45">
        <v>6039201</v>
      </c>
      <c r="T398" s="45">
        <v>400</v>
      </c>
      <c r="U398" s="45">
        <v>350</v>
      </c>
    </row>
    <row r="399" spans="1:21">
      <c r="A399" s="18">
        <v>6039202</v>
      </c>
      <c r="B399" s="45" t="s">
        <v>535</v>
      </c>
      <c r="C399" s="45">
        <v>2</v>
      </c>
      <c r="D399" s="25">
        <v>3</v>
      </c>
      <c r="E399" s="45">
        <v>3001</v>
      </c>
      <c r="F399" s="45">
        <v>350</v>
      </c>
      <c r="G399" s="45">
        <v>12000</v>
      </c>
      <c r="H399" s="45">
        <v>0</v>
      </c>
      <c r="I399" s="45">
        <v>3000</v>
      </c>
      <c r="J399" s="45">
        <v>1039202</v>
      </c>
      <c r="K399" s="45" t="s">
        <v>537</v>
      </c>
      <c r="L399" s="45" t="s">
        <v>535</v>
      </c>
      <c r="M399" s="45" t="s">
        <v>60</v>
      </c>
      <c r="N399" s="44">
        <v>0</v>
      </c>
      <c r="O399" s="47">
        <v>6039202</v>
      </c>
      <c r="P399" s="45">
        <v>600</v>
      </c>
      <c r="Q399" s="45">
        <v>1011</v>
      </c>
      <c r="R399" s="45" t="s">
        <v>527</v>
      </c>
      <c r="S399" s="45">
        <v>0</v>
      </c>
      <c r="T399" s="45">
        <v>0</v>
      </c>
      <c r="U399" s="45">
        <v>0</v>
      </c>
    </row>
    <row r="400" spans="1:21">
      <c r="A400" s="18">
        <v>6041001</v>
      </c>
      <c r="B400" s="45" t="s">
        <v>539</v>
      </c>
      <c r="C400" s="45">
        <v>1</v>
      </c>
      <c r="D400" s="25">
        <v>3</v>
      </c>
      <c r="E400" s="45">
        <v>1001</v>
      </c>
      <c r="F400" s="45">
        <v>350</v>
      </c>
      <c r="G400" s="45">
        <v>10000</v>
      </c>
      <c r="H400" s="45">
        <f>A400+5000000</f>
        <v>11041001</v>
      </c>
      <c r="I400" s="45">
        <v>1000</v>
      </c>
      <c r="J400" s="45">
        <v>0</v>
      </c>
      <c r="K400" s="45" t="s">
        <v>539</v>
      </c>
      <c r="L400" s="45" t="s">
        <v>539</v>
      </c>
      <c r="M400" s="45" t="s">
        <v>227</v>
      </c>
      <c r="N400" s="44">
        <v>0</v>
      </c>
      <c r="O400" s="47">
        <v>0</v>
      </c>
      <c r="P400" s="45">
        <v>0</v>
      </c>
      <c r="Q400" s="45">
        <v>1016</v>
      </c>
      <c r="R400" s="45">
        <v>800</v>
      </c>
      <c r="S400" s="45">
        <v>6041001</v>
      </c>
      <c r="T400" s="45">
        <v>500</v>
      </c>
      <c r="U400" s="45">
        <v>350</v>
      </c>
    </row>
    <row r="401" spans="1:21">
      <c r="A401" s="18">
        <v>6041002</v>
      </c>
      <c r="B401" s="45" t="s">
        <v>92</v>
      </c>
      <c r="C401" s="45">
        <v>2</v>
      </c>
      <c r="D401" s="25">
        <v>3</v>
      </c>
      <c r="E401" s="45">
        <v>3001</v>
      </c>
      <c r="F401" s="45">
        <v>350</v>
      </c>
      <c r="G401" s="45">
        <v>3600</v>
      </c>
      <c r="H401" s="45">
        <v>0</v>
      </c>
      <c r="I401" s="45">
        <v>3000</v>
      </c>
      <c r="J401" s="45">
        <v>1041002</v>
      </c>
      <c r="K401" s="45" t="s">
        <v>541</v>
      </c>
      <c r="L401" s="45" t="s">
        <v>92</v>
      </c>
      <c r="M401" s="45" t="s">
        <v>60</v>
      </c>
      <c r="N401" s="44">
        <v>0</v>
      </c>
      <c r="O401" s="47">
        <v>6041002</v>
      </c>
      <c r="P401" s="45">
        <v>700</v>
      </c>
      <c r="Q401" s="45">
        <v>1016</v>
      </c>
      <c r="R401" s="45" t="s">
        <v>543</v>
      </c>
      <c r="S401" s="45">
        <v>0</v>
      </c>
      <c r="T401" s="45">
        <v>0</v>
      </c>
      <c r="U401" s="45">
        <v>0</v>
      </c>
    </row>
    <row r="402" spans="1:21">
      <c r="A402" s="18">
        <v>6041101</v>
      </c>
      <c r="B402" s="45" t="s">
        <v>544</v>
      </c>
      <c r="C402" s="45">
        <v>1</v>
      </c>
      <c r="D402" s="25">
        <v>3</v>
      </c>
      <c r="E402" s="45">
        <v>1001</v>
      </c>
      <c r="F402" s="45">
        <v>350</v>
      </c>
      <c r="G402" s="45">
        <v>11000</v>
      </c>
      <c r="H402" s="45">
        <f>A402+5000000</f>
        <v>11041101</v>
      </c>
      <c r="I402" s="45">
        <v>1000</v>
      </c>
      <c r="J402" s="45">
        <v>0</v>
      </c>
      <c r="K402" s="45" t="s">
        <v>544</v>
      </c>
      <c r="L402" s="45" t="s">
        <v>544</v>
      </c>
      <c r="M402" s="45" t="s">
        <v>227</v>
      </c>
      <c r="N402" s="44">
        <v>0</v>
      </c>
      <c r="O402" s="47">
        <v>0</v>
      </c>
      <c r="P402" s="45">
        <v>0</v>
      </c>
      <c r="Q402" s="45">
        <v>1016</v>
      </c>
      <c r="R402" s="45">
        <v>700</v>
      </c>
      <c r="S402" s="45">
        <v>6041001</v>
      </c>
      <c r="T402" s="45">
        <v>400</v>
      </c>
      <c r="U402" s="45">
        <v>350</v>
      </c>
    </row>
    <row r="403" spans="1:21">
      <c r="A403" s="18">
        <v>6041102</v>
      </c>
      <c r="B403" s="45" t="s">
        <v>545</v>
      </c>
      <c r="C403" s="45">
        <v>2</v>
      </c>
      <c r="D403" s="25">
        <v>3</v>
      </c>
      <c r="E403" s="45">
        <v>3001</v>
      </c>
      <c r="F403" s="45">
        <v>350</v>
      </c>
      <c r="G403" s="45">
        <v>7000</v>
      </c>
      <c r="H403" s="45">
        <v>0</v>
      </c>
      <c r="I403" s="45">
        <v>3000</v>
      </c>
      <c r="J403" s="45">
        <v>1041002</v>
      </c>
      <c r="K403" s="45" t="s">
        <v>547</v>
      </c>
      <c r="L403" s="45" t="s">
        <v>545</v>
      </c>
      <c r="M403" s="45" t="s">
        <v>60</v>
      </c>
      <c r="N403" s="44">
        <v>0</v>
      </c>
      <c r="O403" s="47">
        <v>6041002</v>
      </c>
      <c r="P403" s="45">
        <v>700</v>
      </c>
      <c r="Q403" s="45">
        <v>1016</v>
      </c>
      <c r="R403" s="45" t="s">
        <v>543</v>
      </c>
      <c r="S403" s="45">
        <v>0</v>
      </c>
      <c r="T403" s="45">
        <v>0</v>
      </c>
      <c r="U403" s="45">
        <v>0</v>
      </c>
    </row>
    <row r="404" spans="1:21">
      <c r="A404" s="18">
        <v>6042001</v>
      </c>
      <c r="B404" s="45" t="s">
        <v>549</v>
      </c>
      <c r="C404" s="45">
        <v>1</v>
      </c>
      <c r="D404" s="25">
        <v>3</v>
      </c>
      <c r="E404" s="45">
        <v>1001</v>
      </c>
      <c r="F404" s="45">
        <v>350</v>
      </c>
      <c r="G404" s="45">
        <v>10000</v>
      </c>
      <c r="H404" s="45">
        <f>A404+5000000</f>
        <v>11042001</v>
      </c>
      <c r="I404" s="45">
        <v>1000</v>
      </c>
      <c r="J404" s="45">
        <v>0</v>
      </c>
      <c r="K404" s="45" t="s">
        <v>549</v>
      </c>
      <c r="L404" s="45" t="s">
        <v>549</v>
      </c>
      <c r="M404" s="45" t="s">
        <v>227</v>
      </c>
      <c r="N404" s="44">
        <v>0</v>
      </c>
      <c r="O404" s="47">
        <v>0</v>
      </c>
      <c r="P404" s="45">
        <v>0</v>
      </c>
      <c r="Q404" s="45">
        <v>1016</v>
      </c>
      <c r="R404" s="45">
        <v>700</v>
      </c>
      <c r="S404" s="45">
        <v>6042001</v>
      </c>
      <c r="T404" s="45">
        <v>400</v>
      </c>
      <c r="U404" s="45">
        <v>350</v>
      </c>
    </row>
    <row r="405" spans="1:21">
      <c r="A405" s="18">
        <v>6042002</v>
      </c>
      <c r="B405" s="45" t="s">
        <v>550</v>
      </c>
      <c r="C405" s="45">
        <v>2</v>
      </c>
      <c r="D405" s="25">
        <v>3</v>
      </c>
      <c r="E405" s="45">
        <v>3001</v>
      </c>
      <c r="F405" s="45">
        <v>350</v>
      </c>
      <c r="G405" s="45">
        <v>7000</v>
      </c>
      <c r="H405" s="45">
        <v>0</v>
      </c>
      <c r="I405" s="45">
        <v>3000</v>
      </c>
      <c r="J405" s="45">
        <v>1042002</v>
      </c>
      <c r="K405" s="45" t="s">
        <v>552</v>
      </c>
      <c r="L405" s="45" t="s">
        <v>550</v>
      </c>
      <c r="M405" s="45" t="s">
        <v>60</v>
      </c>
      <c r="N405" s="44">
        <v>0</v>
      </c>
      <c r="O405" s="47">
        <v>6042002</v>
      </c>
      <c r="P405" s="45">
        <v>900</v>
      </c>
      <c r="Q405" s="45">
        <v>1016</v>
      </c>
      <c r="R405" s="45" t="s">
        <v>973</v>
      </c>
      <c r="S405" s="45">
        <v>0</v>
      </c>
      <c r="T405" s="45">
        <v>0</v>
      </c>
      <c r="U405" s="45">
        <v>0</v>
      </c>
    </row>
    <row r="406" spans="1:21">
      <c r="A406" s="18">
        <v>6042101</v>
      </c>
      <c r="B406" s="45" t="s">
        <v>554</v>
      </c>
      <c r="C406" s="45">
        <v>1</v>
      </c>
      <c r="D406" s="25">
        <v>3</v>
      </c>
      <c r="E406" s="45">
        <v>1001</v>
      </c>
      <c r="F406" s="45">
        <v>350</v>
      </c>
      <c r="G406" s="45">
        <v>11000</v>
      </c>
      <c r="H406" s="45">
        <f>A406+5000000</f>
        <v>11042101</v>
      </c>
      <c r="I406" s="45">
        <v>1000</v>
      </c>
      <c r="J406" s="45">
        <v>0</v>
      </c>
      <c r="K406" s="45" t="s">
        <v>554</v>
      </c>
      <c r="L406" s="45" t="s">
        <v>554</v>
      </c>
      <c r="M406" s="45" t="s">
        <v>227</v>
      </c>
      <c r="N406" s="44">
        <v>0</v>
      </c>
      <c r="O406" s="47">
        <v>0</v>
      </c>
      <c r="P406" s="45">
        <v>0</v>
      </c>
      <c r="Q406" s="45">
        <v>1016</v>
      </c>
      <c r="R406" s="45">
        <v>700</v>
      </c>
      <c r="S406" s="45">
        <v>6042001</v>
      </c>
      <c r="T406" s="45">
        <v>400</v>
      </c>
      <c r="U406" s="45">
        <v>350</v>
      </c>
    </row>
    <row r="407" spans="1:21">
      <c r="A407" s="18">
        <v>6042102</v>
      </c>
      <c r="B407" s="45" t="s">
        <v>555</v>
      </c>
      <c r="C407" s="45">
        <v>2</v>
      </c>
      <c r="D407" s="25">
        <v>3</v>
      </c>
      <c r="E407" s="45">
        <v>3001</v>
      </c>
      <c r="F407" s="45">
        <v>350</v>
      </c>
      <c r="G407" s="45">
        <v>14000</v>
      </c>
      <c r="H407" s="45">
        <v>0</v>
      </c>
      <c r="I407" s="45">
        <v>3000</v>
      </c>
      <c r="J407" s="45">
        <v>1042002</v>
      </c>
      <c r="K407" s="45" t="s">
        <v>557</v>
      </c>
      <c r="L407" s="45" t="s">
        <v>555</v>
      </c>
      <c r="M407" s="45" t="s">
        <v>60</v>
      </c>
      <c r="N407" s="44">
        <v>0</v>
      </c>
      <c r="O407" s="47">
        <v>6042002</v>
      </c>
      <c r="P407" s="45">
        <v>500</v>
      </c>
      <c r="Q407" s="45">
        <v>1016</v>
      </c>
      <c r="R407" s="45" t="s">
        <v>559</v>
      </c>
      <c r="S407" s="45">
        <v>0</v>
      </c>
      <c r="T407" s="45">
        <v>0</v>
      </c>
      <c r="U407" s="45">
        <v>0</v>
      </c>
    </row>
    <row r="408" spans="1:21">
      <c r="A408" s="18">
        <v>6045001</v>
      </c>
      <c r="B408" s="45" t="s">
        <v>560</v>
      </c>
      <c r="C408" s="45">
        <v>1</v>
      </c>
      <c r="D408" s="25">
        <v>3</v>
      </c>
      <c r="E408" s="45">
        <v>1001</v>
      </c>
      <c r="F408" s="45">
        <v>350</v>
      </c>
      <c r="G408" s="45">
        <v>10000</v>
      </c>
      <c r="H408" s="45">
        <f>A408+5000000</f>
        <v>11045001</v>
      </c>
      <c r="I408" s="45">
        <v>1000</v>
      </c>
      <c r="J408" s="45">
        <v>0</v>
      </c>
      <c r="K408" s="45" t="s">
        <v>560</v>
      </c>
      <c r="L408" s="45" t="s">
        <v>560</v>
      </c>
      <c r="M408" s="45" t="s">
        <v>227</v>
      </c>
      <c r="N408" s="44">
        <v>0</v>
      </c>
      <c r="O408" s="47">
        <v>0</v>
      </c>
      <c r="P408" s="45">
        <v>0</v>
      </c>
      <c r="Q408" s="45">
        <v>1015</v>
      </c>
      <c r="R408" s="45">
        <v>700</v>
      </c>
      <c r="S408" s="45">
        <v>6045001</v>
      </c>
      <c r="T408" s="45">
        <v>400</v>
      </c>
      <c r="U408" s="45">
        <v>350</v>
      </c>
    </row>
    <row r="409" spans="1:21">
      <c r="A409" s="18">
        <v>6045002</v>
      </c>
      <c r="B409" s="45" t="s">
        <v>561</v>
      </c>
      <c r="C409" s="45">
        <v>2</v>
      </c>
      <c r="D409" s="25">
        <v>3</v>
      </c>
      <c r="E409" s="45">
        <v>3001</v>
      </c>
      <c r="F409" s="45">
        <v>350</v>
      </c>
      <c r="G409" s="45">
        <v>21000</v>
      </c>
      <c r="H409" s="45">
        <v>0</v>
      </c>
      <c r="I409" s="45">
        <v>4200</v>
      </c>
      <c r="J409" s="45">
        <v>1045002</v>
      </c>
      <c r="K409" s="45" t="s">
        <v>563</v>
      </c>
      <c r="L409" s="45" t="s">
        <v>561</v>
      </c>
      <c r="M409" s="45" t="s">
        <v>60</v>
      </c>
      <c r="N409" s="44">
        <v>0</v>
      </c>
      <c r="O409" s="47">
        <v>6045002</v>
      </c>
      <c r="P409" s="45">
        <v>2000</v>
      </c>
      <c r="Q409" s="45">
        <v>1015</v>
      </c>
      <c r="R409" s="45">
        <v>2650</v>
      </c>
      <c r="S409" s="45">
        <v>0</v>
      </c>
      <c r="T409" s="45">
        <v>0</v>
      </c>
      <c r="U409" s="45">
        <v>0</v>
      </c>
    </row>
    <row r="410" spans="1:21">
      <c r="A410" s="18">
        <v>6045101</v>
      </c>
      <c r="B410" s="45" t="s">
        <v>565</v>
      </c>
      <c r="C410" s="45">
        <v>1</v>
      </c>
      <c r="D410" s="25">
        <v>3</v>
      </c>
      <c r="E410" s="45">
        <v>1001</v>
      </c>
      <c r="F410" s="45">
        <v>350</v>
      </c>
      <c r="G410" s="45">
        <v>11000</v>
      </c>
      <c r="H410" s="45">
        <f>A410+5000000</f>
        <v>11045101</v>
      </c>
      <c r="I410" s="45">
        <v>1000</v>
      </c>
      <c r="J410" s="45">
        <v>0</v>
      </c>
      <c r="K410" s="45" t="s">
        <v>565</v>
      </c>
      <c r="L410" s="45" t="s">
        <v>565</v>
      </c>
      <c r="M410" s="45" t="s">
        <v>227</v>
      </c>
      <c r="N410" s="44">
        <v>0</v>
      </c>
      <c r="O410" s="47">
        <v>0</v>
      </c>
      <c r="P410" s="45">
        <v>0</v>
      </c>
      <c r="Q410" s="45">
        <v>1015</v>
      </c>
      <c r="R410" s="45">
        <v>700</v>
      </c>
      <c r="S410" s="45">
        <v>6045001</v>
      </c>
      <c r="T410" s="45">
        <v>400</v>
      </c>
      <c r="U410" s="45">
        <v>350</v>
      </c>
    </row>
    <row r="411" spans="1:21">
      <c r="A411" s="18">
        <v>6045102</v>
      </c>
      <c r="B411" s="45" t="s">
        <v>213</v>
      </c>
      <c r="C411" s="45">
        <v>2</v>
      </c>
      <c r="D411" s="25">
        <v>3</v>
      </c>
      <c r="E411" s="45">
        <v>3001</v>
      </c>
      <c r="F411" s="45">
        <v>350</v>
      </c>
      <c r="G411" s="45">
        <v>8000</v>
      </c>
      <c r="H411" s="45">
        <v>0</v>
      </c>
      <c r="I411" s="45">
        <v>3000</v>
      </c>
      <c r="J411" s="45">
        <v>1045102</v>
      </c>
      <c r="K411" s="45" t="s">
        <v>567</v>
      </c>
      <c r="L411" s="45" t="s">
        <v>213</v>
      </c>
      <c r="M411" s="45" t="s">
        <v>60</v>
      </c>
      <c r="N411" s="44">
        <v>0</v>
      </c>
      <c r="O411" s="47">
        <v>6045102</v>
      </c>
      <c r="P411" s="45">
        <v>800</v>
      </c>
      <c r="Q411" s="45">
        <v>1015</v>
      </c>
      <c r="R411" s="45" t="s">
        <v>569</v>
      </c>
      <c r="S411" s="45">
        <v>0</v>
      </c>
      <c r="T411" s="45">
        <v>0</v>
      </c>
      <c r="U411" s="45">
        <v>0</v>
      </c>
    </row>
    <row r="412" spans="1:21">
      <c r="A412" s="18">
        <v>6046001</v>
      </c>
      <c r="B412" s="45" t="s">
        <v>570</v>
      </c>
      <c r="C412" s="45">
        <v>1</v>
      </c>
      <c r="D412" s="25">
        <v>3</v>
      </c>
      <c r="E412" s="45">
        <v>1001</v>
      </c>
      <c r="F412" s="45">
        <v>350</v>
      </c>
      <c r="G412" s="45">
        <v>10000</v>
      </c>
      <c r="H412" s="45">
        <f>A412+5000000</f>
        <v>11046001</v>
      </c>
      <c r="I412" s="45">
        <v>1000</v>
      </c>
      <c r="J412" s="45">
        <v>0</v>
      </c>
      <c r="K412" s="45" t="s">
        <v>570</v>
      </c>
      <c r="L412" s="45" t="s">
        <v>570</v>
      </c>
      <c r="M412" s="45" t="s">
        <v>227</v>
      </c>
      <c r="N412" s="44">
        <v>0</v>
      </c>
      <c r="O412" s="47">
        <v>0</v>
      </c>
      <c r="P412" s="45">
        <v>0</v>
      </c>
      <c r="Q412" s="45">
        <v>1015</v>
      </c>
      <c r="R412" s="45">
        <v>800</v>
      </c>
      <c r="S412" s="45">
        <v>6046001</v>
      </c>
      <c r="T412" s="45">
        <v>500</v>
      </c>
      <c r="U412" s="45">
        <v>350</v>
      </c>
    </row>
    <row r="413" spans="1:21">
      <c r="A413" s="18">
        <v>6046002</v>
      </c>
      <c r="B413" s="45" t="s">
        <v>571</v>
      </c>
      <c r="C413" s="45">
        <v>2</v>
      </c>
      <c r="D413" s="25">
        <v>3</v>
      </c>
      <c r="E413" s="45">
        <v>3001</v>
      </c>
      <c r="F413" s="45">
        <v>350</v>
      </c>
      <c r="G413" s="45">
        <v>4800</v>
      </c>
      <c r="H413" s="45">
        <v>0</v>
      </c>
      <c r="I413" s="45">
        <v>3000</v>
      </c>
      <c r="J413" s="45">
        <v>1046002</v>
      </c>
      <c r="K413" s="45" t="s">
        <v>573</v>
      </c>
      <c r="L413" s="45" t="s">
        <v>571</v>
      </c>
      <c r="M413" s="45" t="s">
        <v>60</v>
      </c>
      <c r="N413" s="44">
        <v>0</v>
      </c>
      <c r="O413" s="47">
        <v>6046002</v>
      </c>
      <c r="P413" s="45">
        <v>1000</v>
      </c>
      <c r="Q413" s="45">
        <v>1015</v>
      </c>
      <c r="R413" s="45" t="s">
        <v>974</v>
      </c>
      <c r="S413" s="45">
        <v>0</v>
      </c>
      <c r="T413" s="45">
        <v>0</v>
      </c>
      <c r="U413" s="45">
        <v>0</v>
      </c>
    </row>
    <row r="414" spans="1:21">
      <c r="A414" s="18">
        <v>6046101</v>
      </c>
      <c r="B414" s="45" t="s">
        <v>576</v>
      </c>
      <c r="C414" s="45">
        <v>1</v>
      </c>
      <c r="D414" s="25">
        <v>3</v>
      </c>
      <c r="E414" s="45">
        <v>1001</v>
      </c>
      <c r="F414" s="45">
        <v>350</v>
      </c>
      <c r="G414" s="45">
        <v>11000</v>
      </c>
      <c r="H414" s="45">
        <f>A414+5000000</f>
        <v>11046101</v>
      </c>
      <c r="I414" s="45">
        <v>1000</v>
      </c>
      <c r="J414" s="45">
        <v>0</v>
      </c>
      <c r="K414" s="45" t="s">
        <v>576</v>
      </c>
      <c r="L414" s="45" t="s">
        <v>576</v>
      </c>
      <c r="M414" s="45" t="s">
        <v>227</v>
      </c>
      <c r="N414" s="44">
        <v>0</v>
      </c>
      <c r="O414" s="47">
        <v>0</v>
      </c>
      <c r="P414" s="45">
        <v>0</v>
      </c>
      <c r="Q414" s="45">
        <v>1015</v>
      </c>
      <c r="R414" s="45">
        <v>700</v>
      </c>
      <c r="S414" s="45">
        <v>6046001</v>
      </c>
      <c r="T414" s="45">
        <v>400</v>
      </c>
      <c r="U414" s="45">
        <v>350</v>
      </c>
    </row>
    <row r="415" spans="1:21">
      <c r="A415" s="18">
        <v>6046102</v>
      </c>
      <c r="B415" s="45" t="s">
        <v>68</v>
      </c>
      <c r="C415" s="45">
        <v>2</v>
      </c>
      <c r="D415" s="25">
        <v>3</v>
      </c>
      <c r="E415" s="45">
        <v>3001</v>
      </c>
      <c r="F415" s="45">
        <v>350</v>
      </c>
      <c r="G415" s="45">
        <v>9600</v>
      </c>
      <c r="H415" s="45">
        <v>0</v>
      </c>
      <c r="I415" s="45">
        <v>3000</v>
      </c>
      <c r="J415" s="45">
        <v>1046002</v>
      </c>
      <c r="K415" s="45" t="s">
        <v>578</v>
      </c>
      <c r="L415" s="45" t="s">
        <v>68</v>
      </c>
      <c r="M415" s="45" t="s">
        <v>60</v>
      </c>
      <c r="N415" s="44">
        <v>0</v>
      </c>
      <c r="O415" s="47">
        <v>6046002</v>
      </c>
      <c r="P415" s="45">
        <v>800</v>
      </c>
      <c r="Q415" s="45">
        <v>1015</v>
      </c>
      <c r="R415" s="45" t="s">
        <v>974</v>
      </c>
      <c r="S415" s="45">
        <v>0</v>
      </c>
      <c r="T415" s="45">
        <v>0</v>
      </c>
      <c r="U415" s="45">
        <v>0</v>
      </c>
    </row>
    <row r="416" spans="1:21">
      <c r="A416" s="18">
        <v>6047001</v>
      </c>
      <c r="B416" s="45" t="s">
        <v>581</v>
      </c>
      <c r="C416" s="45">
        <v>1</v>
      </c>
      <c r="D416" s="25">
        <v>3</v>
      </c>
      <c r="E416" s="45">
        <v>1001</v>
      </c>
      <c r="F416" s="45">
        <v>350</v>
      </c>
      <c r="G416" s="45">
        <v>10000</v>
      </c>
      <c r="H416" s="45">
        <f>A416+5000000</f>
        <v>11047001</v>
      </c>
      <c r="I416" s="45">
        <v>1000</v>
      </c>
      <c r="J416" s="45">
        <v>0</v>
      </c>
      <c r="K416" s="45" t="s">
        <v>581</v>
      </c>
      <c r="L416" s="45" t="s">
        <v>581</v>
      </c>
      <c r="M416" s="45" t="s">
        <v>227</v>
      </c>
      <c r="N416" s="44">
        <v>0</v>
      </c>
      <c r="O416" s="47">
        <v>0</v>
      </c>
      <c r="P416" s="45">
        <v>0</v>
      </c>
      <c r="Q416" s="45">
        <v>1015</v>
      </c>
      <c r="R416" s="45">
        <v>700</v>
      </c>
      <c r="S416" s="45">
        <v>6047001</v>
      </c>
      <c r="T416" s="45">
        <v>400</v>
      </c>
      <c r="U416" s="45">
        <v>350</v>
      </c>
    </row>
    <row r="417" spans="1:21">
      <c r="A417" s="18">
        <v>6047002</v>
      </c>
      <c r="B417" s="45" t="s">
        <v>582</v>
      </c>
      <c r="C417" s="45">
        <v>2</v>
      </c>
      <c r="D417" s="25">
        <v>3</v>
      </c>
      <c r="E417" s="45">
        <v>3001</v>
      </c>
      <c r="F417" s="45">
        <v>350</v>
      </c>
      <c r="G417" s="45">
        <v>5200</v>
      </c>
      <c r="H417" s="45">
        <v>0</v>
      </c>
      <c r="I417" s="45">
        <v>3000</v>
      </c>
      <c r="J417" s="45">
        <v>1047002</v>
      </c>
      <c r="K417" s="45" t="s">
        <v>584</v>
      </c>
      <c r="L417" s="45" t="s">
        <v>582</v>
      </c>
      <c r="M417" s="45" t="s">
        <v>60</v>
      </c>
      <c r="N417" s="44">
        <v>0</v>
      </c>
      <c r="O417" s="47">
        <v>6047002</v>
      </c>
      <c r="P417" s="45">
        <v>500</v>
      </c>
      <c r="Q417" s="45">
        <v>1015</v>
      </c>
      <c r="R417" s="45" t="s">
        <v>586</v>
      </c>
      <c r="S417" s="45">
        <v>0</v>
      </c>
      <c r="T417" s="45">
        <v>0</v>
      </c>
      <c r="U417" s="45">
        <v>0</v>
      </c>
    </row>
    <row r="418" spans="1:21">
      <c r="A418" s="18">
        <v>6047101</v>
      </c>
      <c r="B418" s="45" t="s">
        <v>587</v>
      </c>
      <c r="C418" s="45">
        <v>1</v>
      </c>
      <c r="D418" s="25">
        <v>3</v>
      </c>
      <c r="E418" s="45">
        <v>1001</v>
      </c>
      <c r="F418" s="45">
        <v>350</v>
      </c>
      <c r="G418" s="45">
        <v>10000</v>
      </c>
      <c r="H418" s="45">
        <f>A418+5000000</f>
        <v>11047101</v>
      </c>
      <c r="I418" s="45">
        <v>1000</v>
      </c>
      <c r="J418" s="45">
        <v>0</v>
      </c>
      <c r="K418" s="45" t="s">
        <v>587</v>
      </c>
      <c r="L418" s="45" t="s">
        <v>587</v>
      </c>
      <c r="M418" s="45" t="s">
        <v>227</v>
      </c>
      <c r="N418" s="44">
        <v>0</v>
      </c>
      <c r="O418" s="47">
        <v>0</v>
      </c>
      <c r="P418" s="45">
        <v>0</v>
      </c>
      <c r="Q418" s="45">
        <v>1015</v>
      </c>
      <c r="R418" s="45">
        <v>700</v>
      </c>
      <c r="S418" s="45">
        <v>6047001</v>
      </c>
      <c r="T418" s="45">
        <v>400</v>
      </c>
      <c r="U418" s="45">
        <v>350</v>
      </c>
    </row>
    <row r="419" spans="1:21">
      <c r="A419" s="18">
        <v>6047102</v>
      </c>
      <c r="B419" s="45" t="s">
        <v>588</v>
      </c>
      <c r="C419" s="45">
        <v>2</v>
      </c>
      <c r="D419" s="25">
        <v>3</v>
      </c>
      <c r="E419" s="45">
        <v>3001</v>
      </c>
      <c r="F419" s="45">
        <v>350</v>
      </c>
      <c r="G419" s="45">
        <v>10400</v>
      </c>
      <c r="H419" s="45">
        <v>0</v>
      </c>
      <c r="I419" s="45">
        <v>3400</v>
      </c>
      <c r="J419" s="45">
        <v>1047002</v>
      </c>
      <c r="K419" s="45" t="s">
        <v>590</v>
      </c>
      <c r="L419" s="45" t="s">
        <v>588</v>
      </c>
      <c r="M419" s="45" t="s">
        <v>60</v>
      </c>
      <c r="N419" s="44">
        <v>0</v>
      </c>
      <c r="O419" s="47">
        <v>6047002</v>
      </c>
      <c r="P419" s="45">
        <v>900</v>
      </c>
      <c r="Q419" s="45">
        <v>1015</v>
      </c>
      <c r="R419" s="45" t="s">
        <v>592</v>
      </c>
      <c r="S419" s="45">
        <v>0</v>
      </c>
      <c r="T419" s="45">
        <v>0</v>
      </c>
      <c r="U419" s="45">
        <v>0</v>
      </c>
    </row>
    <row r="420" spans="1:21">
      <c r="A420" s="18">
        <v>6050001</v>
      </c>
      <c r="B420" s="45" t="s">
        <v>593</v>
      </c>
      <c r="C420" s="45">
        <v>1</v>
      </c>
      <c r="D420" s="25">
        <v>3</v>
      </c>
      <c r="E420" s="45">
        <v>1001</v>
      </c>
      <c r="F420" s="45">
        <v>350</v>
      </c>
      <c r="G420" s="45">
        <v>10000</v>
      </c>
      <c r="H420" s="45">
        <f>A420+5000000</f>
        <v>11050001</v>
      </c>
      <c r="I420" s="45">
        <v>1000</v>
      </c>
      <c r="J420" s="45">
        <v>0</v>
      </c>
      <c r="K420" s="45" t="s">
        <v>593</v>
      </c>
      <c r="L420" s="45" t="s">
        <v>593</v>
      </c>
      <c r="M420" s="45" t="s">
        <v>227</v>
      </c>
      <c r="N420" s="44">
        <v>0</v>
      </c>
      <c r="O420" s="47">
        <v>0</v>
      </c>
      <c r="P420" s="45">
        <v>0</v>
      </c>
      <c r="Q420" s="45">
        <v>1012</v>
      </c>
      <c r="R420" s="45">
        <v>700</v>
      </c>
      <c r="S420" s="45">
        <v>6050001</v>
      </c>
      <c r="T420" s="45">
        <v>400</v>
      </c>
      <c r="U420" s="45">
        <v>350</v>
      </c>
    </row>
    <row r="421" spans="1:21">
      <c r="A421" s="18">
        <v>6050002</v>
      </c>
      <c r="B421" s="45" t="s">
        <v>594</v>
      </c>
      <c r="C421" s="45">
        <v>2</v>
      </c>
      <c r="D421" s="25">
        <v>3</v>
      </c>
      <c r="E421" s="45">
        <v>3001</v>
      </c>
      <c r="F421" s="45">
        <v>350</v>
      </c>
      <c r="G421" s="45">
        <v>2600</v>
      </c>
      <c r="H421" s="45">
        <v>0</v>
      </c>
      <c r="I421" s="45">
        <v>3000</v>
      </c>
      <c r="J421" s="45">
        <v>1050002</v>
      </c>
      <c r="K421" s="45" t="s">
        <v>596</v>
      </c>
      <c r="L421" s="45" t="s">
        <v>594</v>
      </c>
      <c r="M421" s="45" t="s">
        <v>60</v>
      </c>
      <c r="N421" s="44">
        <v>0</v>
      </c>
      <c r="O421" s="47">
        <v>6050002</v>
      </c>
      <c r="P421" s="45">
        <v>1000</v>
      </c>
      <c r="Q421" s="45">
        <v>1012</v>
      </c>
      <c r="R421" s="45" t="s">
        <v>598</v>
      </c>
      <c r="S421" s="45">
        <v>0</v>
      </c>
      <c r="T421" s="45">
        <v>0</v>
      </c>
      <c r="U421" s="45">
        <v>0</v>
      </c>
    </row>
    <row r="422" spans="1:21">
      <c r="A422" s="18">
        <v>6050101</v>
      </c>
      <c r="B422" s="45" t="s">
        <v>599</v>
      </c>
      <c r="C422" s="45">
        <v>1</v>
      </c>
      <c r="D422" s="25">
        <v>3</v>
      </c>
      <c r="E422" s="45">
        <v>1001</v>
      </c>
      <c r="F422" s="45">
        <v>350</v>
      </c>
      <c r="G422" s="45">
        <v>11000</v>
      </c>
      <c r="H422" s="45">
        <f>A422+5000000</f>
        <v>11050101</v>
      </c>
      <c r="I422" s="45">
        <v>1000</v>
      </c>
      <c r="J422" s="45">
        <v>0</v>
      </c>
      <c r="K422" s="45" t="s">
        <v>599</v>
      </c>
      <c r="L422" s="45" t="s">
        <v>599</v>
      </c>
      <c r="M422" s="45" t="s">
        <v>227</v>
      </c>
      <c r="N422" s="44">
        <v>0</v>
      </c>
      <c r="O422" s="47">
        <v>0</v>
      </c>
      <c r="P422" s="45">
        <v>0</v>
      </c>
      <c r="Q422" s="45">
        <v>1012</v>
      </c>
      <c r="R422" s="45">
        <v>700</v>
      </c>
      <c r="S422" s="45">
        <v>6050001</v>
      </c>
      <c r="T422" s="45">
        <v>400</v>
      </c>
      <c r="U422" s="45">
        <v>350</v>
      </c>
    </row>
    <row r="423" spans="1:21">
      <c r="A423" s="18">
        <v>6050102</v>
      </c>
      <c r="B423" s="45" t="s">
        <v>600</v>
      </c>
      <c r="C423" s="45">
        <v>2</v>
      </c>
      <c r="D423" s="25">
        <v>3</v>
      </c>
      <c r="E423" s="45">
        <v>3001</v>
      </c>
      <c r="F423" s="45">
        <v>350</v>
      </c>
      <c r="G423" s="45">
        <v>4800</v>
      </c>
      <c r="H423" s="45">
        <v>0</v>
      </c>
      <c r="I423" s="45">
        <v>3000</v>
      </c>
      <c r="J423" s="45">
        <v>1050002</v>
      </c>
      <c r="K423" s="45" t="s">
        <v>602</v>
      </c>
      <c r="L423" s="45" t="s">
        <v>600</v>
      </c>
      <c r="M423" s="45" t="s">
        <v>60</v>
      </c>
      <c r="N423" s="44">
        <v>0</v>
      </c>
      <c r="O423" s="47">
        <v>6050002</v>
      </c>
      <c r="P423" s="45">
        <v>400</v>
      </c>
      <c r="Q423" s="45">
        <v>1012</v>
      </c>
      <c r="R423" s="45" t="s">
        <v>604</v>
      </c>
      <c r="S423" s="45">
        <v>0</v>
      </c>
      <c r="T423" s="45">
        <v>0</v>
      </c>
      <c r="U423" s="45">
        <v>0</v>
      </c>
    </row>
    <row r="424" spans="1:21">
      <c r="A424" s="18">
        <v>6051001</v>
      </c>
      <c r="B424" s="45" t="s">
        <v>605</v>
      </c>
      <c r="C424" s="45">
        <v>1</v>
      </c>
      <c r="D424" s="25">
        <v>3</v>
      </c>
      <c r="E424" s="45">
        <v>1001</v>
      </c>
      <c r="F424" s="45">
        <v>350</v>
      </c>
      <c r="G424" s="45">
        <v>10000</v>
      </c>
      <c r="H424" s="45">
        <f>A424+5000000</f>
        <v>11051001</v>
      </c>
      <c r="I424" s="45">
        <v>1000</v>
      </c>
      <c r="J424" s="45">
        <v>0</v>
      </c>
      <c r="K424" s="45" t="s">
        <v>605</v>
      </c>
      <c r="L424" s="45" t="s">
        <v>605</v>
      </c>
      <c r="M424" s="45" t="s">
        <v>227</v>
      </c>
      <c r="N424" s="44">
        <v>0</v>
      </c>
      <c r="O424" s="47">
        <v>0</v>
      </c>
      <c r="P424" s="45">
        <v>0</v>
      </c>
      <c r="Q424" s="45">
        <v>1015</v>
      </c>
      <c r="R424" s="45">
        <v>700</v>
      </c>
      <c r="S424" s="45">
        <v>6051001</v>
      </c>
      <c r="T424" s="45">
        <v>400</v>
      </c>
      <c r="U424" s="45">
        <v>350</v>
      </c>
    </row>
    <row r="425" spans="1:21">
      <c r="A425" s="18">
        <v>6051002</v>
      </c>
      <c r="B425" s="45" t="s">
        <v>606</v>
      </c>
      <c r="C425" s="45">
        <v>2</v>
      </c>
      <c r="D425" s="25">
        <v>3</v>
      </c>
      <c r="E425" s="45">
        <v>3001</v>
      </c>
      <c r="F425" s="45">
        <v>350</v>
      </c>
      <c r="G425" s="45">
        <v>3000</v>
      </c>
      <c r="H425" s="45">
        <v>0</v>
      </c>
      <c r="I425" s="45">
        <v>3000</v>
      </c>
      <c r="J425" s="45">
        <v>1051002</v>
      </c>
      <c r="K425" s="45" t="s">
        <v>608</v>
      </c>
      <c r="L425" s="45" t="s">
        <v>606</v>
      </c>
      <c r="M425" s="45" t="s">
        <v>60</v>
      </c>
      <c r="N425" s="44">
        <v>0</v>
      </c>
      <c r="O425" s="47">
        <v>6051002</v>
      </c>
      <c r="P425" s="45">
        <v>700</v>
      </c>
      <c r="Q425" s="45">
        <v>1015</v>
      </c>
      <c r="R425" s="45" t="s">
        <v>610</v>
      </c>
      <c r="S425" s="45">
        <v>0</v>
      </c>
      <c r="T425" s="45">
        <v>0</v>
      </c>
      <c r="U425" s="45">
        <v>0</v>
      </c>
    </row>
    <row r="426" spans="1:21">
      <c r="A426" s="18">
        <v>6051101</v>
      </c>
      <c r="B426" s="45" t="s">
        <v>611</v>
      </c>
      <c r="C426" s="45">
        <v>1</v>
      </c>
      <c r="D426" s="25">
        <v>3</v>
      </c>
      <c r="E426" s="45">
        <v>1001</v>
      </c>
      <c r="F426" s="45">
        <v>350</v>
      </c>
      <c r="G426" s="45">
        <v>11000</v>
      </c>
      <c r="H426" s="45">
        <f>A426+5000000</f>
        <v>11051101</v>
      </c>
      <c r="I426" s="45">
        <v>1000</v>
      </c>
      <c r="J426" s="45">
        <v>0</v>
      </c>
      <c r="K426" s="45" t="s">
        <v>611</v>
      </c>
      <c r="L426" s="45" t="s">
        <v>611</v>
      </c>
      <c r="M426" s="45" t="s">
        <v>227</v>
      </c>
      <c r="N426" s="44">
        <v>0</v>
      </c>
      <c r="O426" s="47">
        <v>0</v>
      </c>
      <c r="P426" s="45">
        <v>0</v>
      </c>
      <c r="Q426" s="45">
        <v>1015</v>
      </c>
      <c r="R426" s="45">
        <v>700</v>
      </c>
      <c r="S426" s="45">
        <v>6051001</v>
      </c>
      <c r="T426" s="45">
        <v>400</v>
      </c>
      <c r="U426" s="45">
        <v>350</v>
      </c>
    </row>
    <row r="427" spans="1:21">
      <c r="A427" s="18">
        <v>6051102</v>
      </c>
      <c r="B427" s="45" t="s">
        <v>97</v>
      </c>
      <c r="C427" s="45">
        <v>2</v>
      </c>
      <c r="D427" s="25">
        <v>3</v>
      </c>
      <c r="E427" s="45">
        <v>3001</v>
      </c>
      <c r="F427" s="45">
        <v>350</v>
      </c>
      <c r="G427" s="45">
        <v>6000</v>
      </c>
      <c r="H427" s="45">
        <v>0</v>
      </c>
      <c r="I427" s="45">
        <v>3000</v>
      </c>
      <c r="J427" s="45">
        <v>1051002</v>
      </c>
      <c r="K427" s="45" t="s">
        <v>613</v>
      </c>
      <c r="L427" s="45" t="s">
        <v>97</v>
      </c>
      <c r="M427" s="45" t="s">
        <v>60</v>
      </c>
      <c r="N427" s="44">
        <v>0</v>
      </c>
      <c r="O427" s="47">
        <v>6051002</v>
      </c>
      <c r="P427" s="45">
        <v>700</v>
      </c>
      <c r="Q427" s="45">
        <v>1015</v>
      </c>
      <c r="R427" s="45" t="s">
        <v>610</v>
      </c>
      <c r="S427" s="45">
        <v>0</v>
      </c>
      <c r="T427" s="45">
        <v>0</v>
      </c>
      <c r="U427" s="45">
        <v>0</v>
      </c>
    </row>
    <row r="428" spans="1:21">
      <c r="A428" s="18">
        <v>6051201</v>
      </c>
      <c r="B428" s="45" t="s">
        <v>615</v>
      </c>
      <c r="C428" s="45">
        <v>1</v>
      </c>
      <c r="D428" s="25">
        <v>3</v>
      </c>
      <c r="E428" s="45">
        <v>1001</v>
      </c>
      <c r="F428" s="45">
        <v>350</v>
      </c>
      <c r="G428" s="45">
        <v>11000</v>
      </c>
      <c r="H428" s="45">
        <f>A428+5000000</f>
        <v>11051201</v>
      </c>
      <c r="I428" s="45">
        <v>1000</v>
      </c>
      <c r="J428" s="45">
        <v>0</v>
      </c>
      <c r="K428" s="45" t="s">
        <v>615</v>
      </c>
      <c r="L428" s="45" t="s">
        <v>615</v>
      </c>
      <c r="M428" s="45" t="s">
        <v>227</v>
      </c>
      <c r="N428" s="44">
        <v>0</v>
      </c>
      <c r="O428" s="47">
        <v>0</v>
      </c>
      <c r="P428" s="45">
        <v>0</v>
      </c>
      <c r="Q428" s="45">
        <v>1015</v>
      </c>
      <c r="R428" s="45">
        <v>700</v>
      </c>
      <c r="S428" s="45">
        <v>6051001</v>
      </c>
      <c r="T428" s="45">
        <v>400</v>
      </c>
      <c r="U428" s="45">
        <v>350</v>
      </c>
    </row>
    <row r="429" spans="1:21">
      <c r="A429" s="18">
        <v>6051202</v>
      </c>
      <c r="B429" s="45" t="s">
        <v>616</v>
      </c>
      <c r="C429" s="45">
        <v>2</v>
      </c>
      <c r="D429" s="25">
        <v>3</v>
      </c>
      <c r="E429" s="45">
        <v>3001</v>
      </c>
      <c r="F429" s="45">
        <v>350</v>
      </c>
      <c r="G429" s="45">
        <v>12000</v>
      </c>
      <c r="H429" s="45">
        <v>0</v>
      </c>
      <c r="I429" s="45">
        <v>3000</v>
      </c>
      <c r="J429" s="45">
        <v>1051202</v>
      </c>
      <c r="K429" s="45" t="s">
        <v>618</v>
      </c>
      <c r="L429" s="45" t="s">
        <v>616</v>
      </c>
      <c r="M429" s="45" t="s">
        <v>60</v>
      </c>
      <c r="N429" s="44">
        <v>0</v>
      </c>
      <c r="O429" s="47">
        <v>6051202</v>
      </c>
      <c r="P429" s="45">
        <v>500</v>
      </c>
      <c r="Q429" s="45">
        <v>1015</v>
      </c>
      <c r="R429" s="45" t="s">
        <v>620</v>
      </c>
      <c r="S429" s="45">
        <v>0</v>
      </c>
      <c r="T429" s="45">
        <v>0</v>
      </c>
      <c r="U429" s="45">
        <v>0</v>
      </c>
    </row>
    <row r="430" spans="1:21">
      <c r="A430" s="18">
        <v>6052001</v>
      </c>
      <c r="B430" s="45" t="s">
        <v>621</v>
      </c>
      <c r="C430" s="45">
        <v>1</v>
      </c>
      <c r="D430" s="25">
        <v>3</v>
      </c>
      <c r="E430" s="45">
        <v>1001</v>
      </c>
      <c r="F430" s="45">
        <v>350</v>
      </c>
      <c r="G430" s="45">
        <v>10000</v>
      </c>
      <c r="H430" s="45">
        <f>A430+5000000</f>
        <v>11052001</v>
      </c>
      <c r="I430" s="45">
        <v>1000</v>
      </c>
      <c r="J430" s="45">
        <v>0</v>
      </c>
      <c r="K430" s="45" t="s">
        <v>621</v>
      </c>
      <c r="L430" s="45" t="s">
        <v>621</v>
      </c>
      <c r="M430" s="45" t="s">
        <v>227</v>
      </c>
      <c r="N430" s="44">
        <v>0</v>
      </c>
      <c r="O430" s="47">
        <v>0</v>
      </c>
      <c r="P430" s="45">
        <v>0</v>
      </c>
      <c r="Q430" s="45">
        <v>1015</v>
      </c>
      <c r="R430" s="45">
        <v>700</v>
      </c>
      <c r="S430" s="45">
        <v>6052001</v>
      </c>
      <c r="T430" s="45">
        <v>400</v>
      </c>
      <c r="U430" s="45">
        <v>350</v>
      </c>
    </row>
    <row r="431" spans="1:21">
      <c r="A431" s="18">
        <v>6052002</v>
      </c>
      <c r="B431" s="45" t="s">
        <v>622</v>
      </c>
      <c r="C431" s="45">
        <v>2</v>
      </c>
      <c r="D431" s="25">
        <v>3</v>
      </c>
      <c r="E431" s="45">
        <v>3001</v>
      </c>
      <c r="F431" s="45">
        <v>350</v>
      </c>
      <c r="G431" s="45">
        <v>21000</v>
      </c>
      <c r="H431" s="45">
        <v>0</v>
      </c>
      <c r="I431" s="45">
        <v>3000</v>
      </c>
      <c r="J431" s="45">
        <v>1052002</v>
      </c>
      <c r="K431" s="45" t="s">
        <v>624</v>
      </c>
      <c r="L431" s="45" t="s">
        <v>622</v>
      </c>
      <c r="M431" s="45" t="s">
        <v>60</v>
      </c>
      <c r="N431" s="44">
        <v>0</v>
      </c>
      <c r="O431" s="47">
        <v>6052002</v>
      </c>
      <c r="P431" s="45">
        <v>0</v>
      </c>
      <c r="Q431" s="45">
        <v>1015</v>
      </c>
      <c r="R431" s="45">
        <v>700</v>
      </c>
      <c r="S431" s="45">
        <v>0</v>
      </c>
      <c r="T431" s="45">
        <v>0</v>
      </c>
      <c r="U431" s="45">
        <v>0</v>
      </c>
    </row>
    <row r="432" spans="1:21">
      <c r="A432" s="18">
        <v>6052101</v>
      </c>
      <c r="B432" s="45" t="s">
        <v>626</v>
      </c>
      <c r="C432" s="45">
        <v>1</v>
      </c>
      <c r="D432" s="25">
        <v>3</v>
      </c>
      <c r="E432" s="45">
        <v>1001</v>
      </c>
      <c r="F432" s="45">
        <v>350</v>
      </c>
      <c r="G432" s="45">
        <v>11000</v>
      </c>
      <c r="H432" s="45">
        <f>A432+5000000</f>
        <v>11052101</v>
      </c>
      <c r="I432" s="45">
        <v>1000</v>
      </c>
      <c r="J432" s="45">
        <v>0</v>
      </c>
      <c r="K432" s="45" t="s">
        <v>626</v>
      </c>
      <c r="L432" s="45" t="s">
        <v>626</v>
      </c>
      <c r="M432" s="45" t="s">
        <v>227</v>
      </c>
      <c r="N432" s="44">
        <v>0</v>
      </c>
      <c r="O432" s="47">
        <v>0</v>
      </c>
      <c r="P432" s="45">
        <v>0</v>
      </c>
      <c r="Q432" s="45">
        <v>1015</v>
      </c>
      <c r="R432" s="45">
        <v>700</v>
      </c>
      <c r="S432" s="45">
        <v>6052001</v>
      </c>
      <c r="T432" s="45">
        <v>400</v>
      </c>
      <c r="U432" s="45">
        <v>350</v>
      </c>
    </row>
    <row r="433" spans="1:21">
      <c r="A433" s="18">
        <v>6052102</v>
      </c>
      <c r="B433" s="45" t="s">
        <v>173</v>
      </c>
      <c r="C433" s="45">
        <v>2</v>
      </c>
      <c r="D433" s="25">
        <v>3</v>
      </c>
      <c r="E433" s="45">
        <v>3001</v>
      </c>
      <c r="F433" s="45">
        <v>350</v>
      </c>
      <c r="G433" s="45">
        <v>11000</v>
      </c>
      <c r="H433" s="45">
        <v>0</v>
      </c>
      <c r="I433" s="45">
        <v>3000</v>
      </c>
      <c r="J433" s="45">
        <v>1052102</v>
      </c>
      <c r="K433" s="45" t="s">
        <v>628</v>
      </c>
      <c r="L433" s="45" t="s">
        <v>173</v>
      </c>
      <c r="M433" s="45" t="s">
        <v>60</v>
      </c>
      <c r="N433" s="44">
        <v>0</v>
      </c>
      <c r="O433" s="47">
        <v>6052102</v>
      </c>
      <c r="P433" s="45">
        <v>0</v>
      </c>
      <c r="Q433" s="45">
        <v>1015</v>
      </c>
      <c r="R433" s="45" t="s">
        <v>630</v>
      </c>
      <c r="S433" s="45">
        <v>0</v>
      </c>
      <c r="T433" s="45">
        <v>0</v>
      </c>
      <c r="U433" s="45">
        <v>0</v>
      </c>
    </row>
    <row r="434" spans="1:21">
      <c r="A434" s="18">
        <v>6052201</v>
      </c>
      <c r="B434" s="45" t="s">
        <v>631</v>
      </c>
      <c r="C434" s="45">
        <v>1</v>
      </c>
      <c r="D434" s="25">
        <v>3</v>
      </c>
      <c r="E434" s="45">
        <v>1001</v>
      </c>
      <c r="F434" s="45">
        <v>350</v>
      </c>
      <c r="G434" s="45">
        <v>11000</v>
      </c>
      <c r="H434" s="45">
        <f>A434+5000000</f>
        <v>11052201</v>
      </c>
      <c r="I434" s="45">
        <v>1000</v>
      </c>
      <c r="J434" s="45">
        <v>0</v>
      </c>
      <c r="K434" s="45" t="s">
        <v>631</v>
      </c>
      <c r="L434" s="45" t="s">
        <v>631</v>
      </c>
      <c r="M434" s="45" t="s">
        <v>227</v>
      </c>
      <c r="N434" s="44">
        <v>0</v>
      </c>
      <c r="O434" s="47">
        <v>0</v>
      </c>
      <c r="P434" s="45">
        <v>0</v>
      </c>
      <c r="Q434" s="45">
        <v>1015</v>
      </c>
      <c r="R434" s="45">
        <v>700</v>
      </c>
      <c r="S434" s="45">
        <v>6052001</v>
      </c>
      <c r="T434" s="45">
        <v>400</v>
      </c>
      <c r="U434" s="45">
        <v>350</v>
      </c>
    </row>
    <row r="435" spans="1:21">
      <c r="A435" s="18">
        <v>6052202</v>
      </c>
      <c r="B435" s="45" t="s">
        <v>223</v>
      </c>
      <c r="C435" s="45">
        <v>2</v>
      </c>
      <c r="D435" s="25">
        <v>3</v>
      </c>
      <c r="E435" s="45">
        <v>3001</v>
      </c>
      <c r="F435" s="45">
        <v>350</v>
      </c>
      <c r="G435" s="45">
        <v>84000</v>
      </c>
      <c r="H435" s="45">
        <v>0</v>
      </c>
      <c r="I435" s="45">
        <v>3000</v>
      </c>
      <c r="J435" s="45">
        <v>1052202</v>
      </c>
      <c r="K435" s="45" t="s">
        <v>633</v>
      </c>
      <c r="L435" s="45" t="s">
        <v>223</v>
      </c>
      <c r="M435" s="45" t="s">
        <v>60</v>
      </c>
      <c r="N435" s="44">
        <v>0</v>
      </c>
      <c r="O435" s="47">
        <v>6052202</v>
      </c>
      <c r="P435" s="45">
        <v>100</v>
      </c>
      <c r="Q435" s="45">
        <v>1015</v>
      </c>
      <c r="R435" s="45">
        <v>1000</v>
      </c>
      <c r="S435" s="45">
        <v>0</v>
      </c>
      <c r="T435" s="45">
        <v>0</v>
      </c>
      <c r="U435" s="45">
        <v>0</v>
      </c>
    </row>
    <row r="436" spans="1:21">
      <c r="A436" s="18">
        <v>6053001</v>
      </c>
      <c r="B436" s="45" t="s">
        <v>635</v>
      </c>
      <c r="C436" s="45">
        <v>1</v>
      </c>
      <c r="D436" s="25">
        <v>3</v>
      </c>
      <c r="E436" s="45">
        <v>1001</v>
      </c>
      <c r="F436" s="45">
        <v>350</v>
      </c>
      <c r="G436" s="45">
        <v>10000</v>
      </c>
      <c r="H436" s="45">
        <f>A436+5000000</f>
        <v>11053001</v>
      </c>
      <c r="I436" s="45">
        <v>1000</v>
      </c>
      <c r="J436" s="45">
        <v>0</v>
      </c>
      <c r="K436" s="45" t="s">
        <v>635</v>
      </c>
      <c r="L436" s="45" t="s">
        <v>635</v>
      </c>
      <c r="M436" s="45" t="s">
        <v>227</v>
      </c>
      <c r="N436" s="44">
        <v>0</v>
      </c>
      <c r="O436" s="47">
        <v>0</v>
      </c>
      <c r="P436" s="45">
        <v>0</v>
      </c>
      <c r="Q436" s="45">
        <v>1015</v>
      </c>
      <c r="R436" s="45">
        <v>700</v>
      </c>
      <c r="S436" s="45">
        <v>6053001</v>
      </c>
      <c r="T436" s="45">
        <v>400</v>
      </c>
      <c r="U436" s="45">
        <v>350</v>
      </c>
    </row>
    <row r="437" spans="1:21">
      <c r="A437" s="18">
        <v>6053002</v>
      </c>
      <c r="B437" s="45" t="s">
        <v>144</v>
      </c>
      <c r="C437" s="45">
        <v>2</v>
      </c>
      <c r="D437" s="25">
        <v>3</v>
      </c>
      <c r="E437" s="45">
        <v>3001</v>
      </c>
      <c r="F437" s="45">
        <v>350</v>
      </c>
      <c r="G437" s="45">
        <v>3500</v>
      </c>
      <c r="H437" s="45">
        <v>0</v>
      </c>
      <c r="I437" s="45">
        <v>4100</v>
      </c>
      <c r="J437" s="45">
        <v>1053002</v>
      </c>
      <c r="K437" s="45" t="s">
        <v>637</v>
      </c>
      <c r="L437" s="45" t="s">
        <v>144</v>
      </c>
      <c r="M437" s="45" t="s">
        <v>60</v>
      </c>
      <c r="N437" s="44">
        <v>0</v>
      </c>
      <c r="O437" s="47">
        <v>6053002</v>
      </c>
      <c r="P437" s="45">
        <v>1000</v>
      </c>
      <c r="Q437" s="45">
        <v>1015</v>
      </c>
      <c r="R437" s="45" t="s">
        <v>639</v>
      </c>
      <c r="S437" s="45">
        <v>0</v>
      </c>
      <c r="T437" s="45">
        <v>0</v>
      </c>
      <c r="U437" s="45">
        <v>0</v>
      </c>
    </row>
    <row r="438" spans="1:21">
      <c r="A438" s="18">
        <v>6053101</v>
      </c>
      <c r="B438" s="45" t="s">
        <v>640</v>
      </c>
      <c r="C438" s="45">
        <v>1</v>
      </c>
      <c r="D438" s="25">
        <v>3</v>
      </c>
      <c r="E438" s="45">
        <v>1001</v>
      </c>
      <c r="F438" s="45">
        <v>350</v>
      </c>
      <c r="G438" s="45">
        <v>11000</v>
      </c>
      <c r="H438" s="45">
        <f>A438+5000000</f>
        <v>11053101</v>
      </c>
      <c r="I438" s="45">
        <v>1000</v>
      </c>
      <c r="J438" s="45">
        <v>0</v>
      </c>
      <c r="K438" s="45" t="s">
        <v>640</v>
      </c>
      <c r="L438" s="45" t="s">
        <v>640</v>
      </c>
      <c r="M438" s="45" t="s">
        <v>227</v>
      </c>
      <c r="N438" s="44">
        <v>0</v>
      </c>
      <c r="O438" s="47">
        <v>0</v>
      </c>
      <c r="P438" s="45">
        <v>0</v>
      </c>
      <c r="Q438" s="45">
        <v>1015</v>
      </c>
      <c r="R438" s="45">
        <v>700</v>
      </c>
      <c r="S438" s="45">
        <v>6053001</v>
      </c>
      <c r="T438" s="45">
        <v>400</v>
      </c>
      <c r="U438" s="45">
        <v>350</v>
      </c>
    </row>
    <row r="439" spans="1:21">
      <c r="A439" s="18">
        <v>6053102</v>
      </c>
      <c r="B439" s="45" t="s">
        <v>641</v>
      </c>
      <c r="C439" s="45">
        <v>2</v>
      </c>
      <c r="D439" s="25">
        <v>3</v>
      </c>
      <c r="E439" s="45">
        <v>3001</v>
      </c>
      <c r="F439" s="45">
        <v>350</v>
      </c>
      <c r="G439" s="45">
        <v>7000</v>
      </c>
      <c r="H439" s="45">
        <v>0</v>
      </c>
      <c r="I439" s="45">
        <v>4000</v>
      </c>
      <c r="J439" s="45">
        <v>1053002</v>
      </c>
      <c r="K439" s="45" t="s">
        <v>643</v>
      </c>
      <c r="L439" s="45" t="s">
        <v>641</v>
      </c>
      <c r="M439" s="45" t="s">
        <v>60</v>
      </c>
      <c r="N439" s="44">
        <v>0</v>
      </c>
      <c r="O439" s="47">
        <v>6053002</v>
      </c>
      <c r="P439" s="45">
        <v>1000</v>
      </c>
      <c r="Q439" s="45">
        <v>1015</v>
      </c>
      <c r="R439" s="45" t="s">
        <v>639</v>
      </c>
      <c r="S439" s="45">
        <v>0</v>
      </c>
      <c r="T439" s="45">
        <v>0</v>
      </c>
      <c r="U439" s="45">
        <v>0</v>
      </c>
    </row>
    <row r="440" spans="1:21">
      <c r="A440" s="18">
        <v>6056001</v>
      </c>
      <c r="B440" s="45" t="s">
        <v>645</v>
      </c>
      <c r="C440" s="45">
        <v>1</v>
      </c>
      <c r="D440" s="25">
        <v>3</v>
      </c>
      <c r="E440" s="45">
        <v>1001</v>
      </c>
      <c r="F440" s="45">
        <v>350</v>
      </c>
      <c r="G440" s="45">
        <v>10000</v>
      </c>
      <c r="H440" s="45">
        <f>A440+5000000</f>
        <v>11056001</v>
      </c>
      <c r="I440" s="45">
        <v>1000</v>
      </c>
      <c r="J440" s="45">
        <v>0</v>
      </c>
      <c r="K440" s="45" t="s">
        <v>645</v>
      </c>
      <c r="L440" s="45" t="s">
        <v>645</v>
      </c>
      <c r="M440" s="45" t="s">
        <v>227</v>
      </c>
      <c r="N440" s="44">
        <v>0</v>
      </c>
      <c r="O440" s="47">
        <v>0</v>
      </c>
      <c r="P440" s="45">
        <v>0</v>
      </c>
      <c r="Q440" s="45">
        <v>1011</v>
      </c>
      <c r="R440" s="45">
        <v>700</v>
      </c>
      <c r="S440" s="45">
        <v>6056001</v>
      </c>
      <c r="T440" s="45">
        <v>400</v>
      </c>
      <c r="U440" s="45">
        <v>350</v>
      </c>
    </row>
    <row r="441" spans="1:21">
      <c r="A441" s="18">
        <v>6056002</v>
      </c>
      <c r="B441" s="45" t="s">
        <v>646</v>
      </c>
      <c r="C441" s="45">
        <v>2</v>
      </c>
      <c r="D441" s="25">
        <v>3</v>
      </c>
      <c r="E441" s="45">
        <v>3001</v>
      </c>
      <c r="F441" s="45">
        <v>350</v>
      </c>
      <c r="G441" s="45">
        <v>5500</v>
      </c>
      <c r="H441" s="45">
        <v>0</v>
      </c>
      <c r="I441" s="45">
        <v>3400</v>
      </c>
      <c r="J441" s="45">
        <v>1056002</v>
      </c>
      <c r="K441" s="45" t="s">
        <v>648</v>
      </c>
      <c r="L441" s="45" t="s">
        <v>646</v>
      </c>
      <c r="M441" s="45" t="s">
        <v>60</v>
      </c>
      <c r="N441" s="44">
        <v>0</v>
      </c>
      <c r="O441" s="47">
        <v>6056002</v>
      </c>
      <c r="P441" s="45">
        <v>700</v>
      </c>
      <c r="Q441" s="45">
        <v>1011</v>
      </c>
      <c r="R441" s="45" t="s">
        <v>586</v>
      </c>
      <c r="S441" s="45">
        <v>0</v>
      </c>
      <c r="T441" s="45">
        <v>0</v>
      </c>
      <c r="U441" s="45">
        <v>0</v>
      </c>
    </row>
    <row r="442" spans="1:21">
      <c r="A442" s="18">
        <v>6056101</v>
      </c>
      <c r="B442" s="45" t="s">
        <v>651</v>
      </c>
      <c r="C442" s="45">
        <v>1</v>
      </c>
      <c r="D442" s="25">
        <v>3</v>
      </c>
      <c r="E442" s="45">
        <v>1001</v>
      </c>
      <c r="F442" s="45">
        <v>350</v>
      </c>
      <c r="G442" s="45">
        <v>11000</v>
      </c>
      <c r="H442" s="45">
        <f>A442+5000000</f>
        <v>11056101</v>
      </c>
      <c r="I442" s="45">
        <v>1000</v>
      </c>
      <c r="J442" s="45">
        <v>0</v>
      </c>
      <c r="K442" s="45" t="s">
        <v>651</v>
      </c>
      <c r="L442" s="45" t="s">
        <v>651</v>
      </c>
      <c r="M442" s="45" t="s">
        <v>227</v>
      </c>
      <c r="N442" s="44">
        <v>0</v>
      </c>
      <c r="O442" s="47">
        <v>0</v>
      </c>
      <c r="P442" s="45">
        <v>0</v>
      </c>
      <c r="Q442" s="45">
        <v>1011</v>
      </c>
      <c r="R442" s="45">
        <v>600</v>
      </c>
      <c r="S442" s="45">
        <v>6056001</v>
      </c>
      <c r="T442" s="45">
        <v>300</v>
      </c>
      <c r="U442" s="45">
        <v>350</v>
      </c>
    </row>
    <row r="443" spans="1:21">
      <c r="A443" s="18">
        <v>6056102</v>
      </c>
      <c r="B443" s="45" t="s">
        <v>652</v>
      </c>
      <c r="C443" s="45">
        <v>2</v>
      </c>
      <c r="D443" s="25">
        <v>3</v>
      </c>
      <c r="E443" s="45">
        <v>3001</v>
      </c>
      <c r="F443" s="45">
        <v>350</v>
      </c>
      <c r="G443" s="45">
        <v>8000</v>
      </c>
      <c r="H443" s="45">
        <v>0</v>
      </c>
      <c r="I443" s="45">
        <v>3400</v>
      </c>
      <c r="J443" s="45">
        <v>1056002</v>
      </c>
      <c r="K443" s="45" t="s">
        <v>654</v>
      </c>
      <c r="L443" s="45" t="s">
        <v>652</v>
      </c>
      <c r="M443" s="45" t="s">
        <v>60</v>
      </c>
      <c r="N443" s="44">
        <v>0</v>
      </c>
      <c r="O443" s="47">
        <v>6056002</v>
      </c>
      <c r="P443" s="45">
        <v>600</v>
      </c>
      <c r="Q443" s="45">
        <v>1011</v>
      </c>
      <c r="R443" s="45" t="s">
        <v>586</v>
      </c>
      <c r="S443" s="45">
        <v>0</v>
      </c>
      <c r="T443" s="45">
        <v>0</v>
      </c>
      <c r="U443" s="45">
        <v>0</v>
      </c>
    </row>
    <row r="444" spans="1:21">
      <c r="A444" s="18">
        <v>6056201</v>
      </c>
      <c r="B444" s="45" t="s">
        <v>656</v>
      </c>
      <c r="C444" s="45">
        <v>1</v>
      </c>
      <c r="D444" s="25">
        <v>3</v>
      </c>
      <c r="E444" s="45">
        <v>1001</v>
      </c>
      <c r="F444" s="45">
        <v>350</v>
      </c>
      <c r="G444" s="45">
        <v>11000</v>
      </c>
      <c r="H444" s="45">
        <f>A444+5000000</f>
        <v>11056201</v>
      </c>
      <c r="I444" s="45">
        <v>1000</v>
      </c>
      <c r="J444" s="45">
        <v>0</v>
      </c>
      <c r="K444" s="45" t="s">
        <v>656</v>
      </c>
      <c r="L444" s="45" t="s">
        <v>656</v>
      </c>
      <c r="M444" s="45" t="s">
        <v>227</v>
      </c>
      <c r="N444" s="44">
        <v>0</v>
      </c>
      <c r="O444" s="47">
        <v>0</v>
      </c>
      <c r="P444" s="45">
        <v>0</v>
      </c>
      <c r="Q444" s="45">
        <v>1011</v>
      </c>
      <c r="R444" s="45">
        <v>700</v>
      </c>
      <c r="S444" s="45">
        <v>6056201</v>
      </c>
      <c r="T444" s="45">
        <v>400</v>
      </c>
      <c r="U444" s="45">
        <v>350</v>
      </c>
    </row>
    <row r="445" spans="1:21">
      <c r="A445" s="18">
        <v>6056202</v>
      </c>
      <c r="B445" s="45" t="s">
        <v>189</v>
      </c>
      <c r="C445" s="45">
        <v>2</v>
      </c>
      <c r="D445" s="25">
        <v>3</v>
      </c>
      <c r="E445" s="45">
        <v>3001</v>
      </c>
      <c r="F445" s="45">
        <v>350</v>
      </c>
      <c r="G445" s="45">
        <v>20000</v>
      </c>
      <c r="H445" s="45">
        <v>0</v>
      </c>
      <c r="I445" s="45">
        <v>4100</v>
      </c>
      <c r="J445" s="45">
        <v>1056202</v>
      </c>
      <c r="K445" s="45" t="s">
        <v>658</v>
      </c>
      <c r="L445" s="45" t="s">
        <v>189</v>
      </c>
      <c r="M445" s="45" t="s">
        <v>60</v>
      </c>
      <c r="N445" s="44">
        <v>0</v>
      </c>
      <c r="O445" s="47">
        <v>6056202</v>
      </c>
      <c r="P445" s="45">
        <v>700</v>
      </c>
      <c r="Q445" s="45">
        <v>1011</v>
      </c>
      <c r="R445" s="45" t="s">
        <v>660</v>
      </c>
      <c r="S445" s="45">
        <v>0</v>
      </c>
      <c r="T445" s="45">
        <v>0</v>
      </c>
      <c r="U445" s="45">
        <v>0</v>
      </c>
    </row>
    <row r="446" spans="1:21">
      <c r="A446" s="18">
        <v>6057001</v>
      </c>
      <c r="B446" s="45" t="s">
        <v>661</v>
      </c>
      <c r="C446" s="45">
        <v>1</v>
      </c>
      <c r="D446" s="25">
        <v>3</v>
      </c>
      <c r="E446" s="45">
        <v>1001</v>
      </c>
      <c r="F446" s="45">
        <v>350</v>
      </c>
      <c r="G446" s="45">
        <v>11000</v>
      </c>
      <c r="H446" s="45">
        <f>A446+5000000</f>
        <v>11057001</v>
      </c>
      <c r="I446" s="45">
        <v>1000</v>
      </c>
      <c r="J446" s="45">
        <v>0</v>
      </c>
      <c r="K446" s="45" t="s">
        <v>661</v>
      </c>
      <c r="L446" s="45" t="s">
        <v>661</v>
      </c>
      <c r="M446" s="45" t="s">
        <v>227</v>
      </c>
      <c r="N446" s="44">
        <v>0</v>
      </c>
      <c r="O446" s="47">
        <v>0</v>
      </c>
      <c r="P446" s="45">
        <v>0</v>
      </c>
      <c r="Q446" s="45">
        <v>1011</v>
      </c>
      <c r="R446" s="45">
        <v>700</v>
      </c>
      <c r="S446" s="45">
        <v>6057001</v>
      </c>
      <c r="T446" s="45">
        <v>400</v>
      </c>
      <c r="U446" s="45">
        <v>350</v>
      </c>
    </row>
    <row r="447" spans="1:21">
      <c r="A447" s="18">
        <v>6057002</v>
      </c>
      <c r="B447" s="45" t="s">
        <v>662</v>
      </c>
      <c r="C447" s="45">
        <v>2</v>
      </c>
      <c r="D447" s="25">
        <v>3</v>
      </c>
      <c r="E447" s="45">
        <v>3001</v>
      </c>
      <c r="F447" s="45">
        <v>350</v>
      </c>
      <c r="G447" s="45">
        <v>42000</v>
      </c>
      <c r="H447" s="45">
        <v>0</v>
      </c>
      <c r="I447" s="45">
        <v>3000</v>
      </c>
      <c r="J447" s="45">
        <v>1057002</v>
      </c>
      <c r="K447" s="45" t="s">
        <v>664</v>
      </c>
      <c r="L447" s="45" t="s">
        <v>662</v>
      </c>
      <c r="M447" s="45" t="s">
        <v>60</v>
      </c>
      <c r="N447" s="44">
        <v>0</v>
      </c>
      <c r="O447" s="47">
        <v>6057002</v>
      </c>
      <c r="P447" s="45">
        <v>500</v>
      </c>
      <c r="Q447" s="45">
        <v>1011</v>
      </c>
      <c r="R447" s="45">
        <v>1000</v>
      </c>
      <c r="S447" s="45">
        <v>0</v>
      </c>
      <c r="T447" s="45">
        <v>0</v>
      </c>
      <c r="U447" s="45">
        <v>0</v>
      </c>
    </row>
    <row r="448" spans="1:21">
      <c r="A448" s="18">
        <v>6057101</v>
      </c>
      <c r="B448" s="45" t="s">
        <v>666</v>
      </c>
      <c r="C448" s="45">
        <v>1</v>
      </c>
      <c r="D448" s="25">
        <v>3</v>
      </c>
      <c r="E448" s="45">
        <v>1001</v>
      </c>
      <c r="F448" s="45">
        <v>350</v>
      </c>
      <c r="G448" s="45">
        <v>10000</v>
      </c>
      <c r="H448" s="45">
        <f>A448+5000000</f>
        <v>11057101</v>
      </c>
      <c r="I448" s="45">
        <v>1000</v>
      </c>
      <c r="J448" s="45">
        <v>0</v>
      </c>
      <c r="K448" s="45" t="s">
        <v>666</v>
      </c>
      <c r="L448" s="45" t="s">
        <v>666</v>
      </c>
      <c r="M448" s="45" t="s">
        <v>227</v>
      </c>
      <c r="N448" s="44">
        <v>0</v>
      </c>
      <c r="O448" s="47">
        <v>0</v>
      </c>
      <c r="P448" s="45">
        <v>0</v>
      </c>
      <c r="Q448" s="45">
        <v>1011</v>
      </c>
      <c r="R448" s="45">
        <v>700</v>
      </c>
      <c r="S448" s="45">
        <v>6057001</v>
      </c>
      <c r="T448" s="45">
        <v>400</v>
      </c>
      <c r="U448" s="45">
        <v>350</v>
      </c>
    </row>
    <row r="449" spans="1:21">
      <c r="A449" s="18">
        <v>6057102</v>
      </c>
      <c r="B449" s="45" t="s">
        <v>667</v>
      </c>
      <c r="C449" s="45">
        <v>2</v>
      </c>
      <c r="D449" s="25">
        <v>3</v>
      </c>
      <c r="E449" s="45">
        <v>3001</v>
      </c>
      <c r="F449" s="45">
        <v>350</v>
      </c>
      <c r="G449" s="45">
        <v>22000</v>
      </c>
      <c r="H449" s="45">
        <v>0</v>
      </c>
      <c r="I449" s="45">
        <v>3000</v>
      </c>
      <c r="J449" s="45">
        <v>1057002</v>
      </c>
      <c r="K449" s="45" t="s">
        <v>669</v>
      </c>
      <c r="L449" s="45" t="s">
        <v>667</v>
      </c>
      <c r="M449" s="45" t="s">
        <v>60</v>
      </c>
      <c r="N449" s="44">
        <v>0</v>
      </c>
      <c r="O449" s="47">
        <v>6057002</v>
      </c>
      <c r="P449" s="45">
        <v>500</v>
      </c>
      <c r="Q449" s="45">
        <v>1011</v>
      </c>
      <c r="R449" s="45">
        <v>1100</v>
      </c>
      <c r="S449" s="45">
        <v>0</v>
      </c>
      <c r="T449" s="45">
        <v>0</v>
      </c>
      <c r="U449" s="45">
        <v>0</v>
      </c>
    </row>
    <row r="450" spans="1:21">
      <c r="A450" s="18">
        <v>6058001</v>
      </c>
      <c r="B450" s="45" t="s">
        <v>671</v>
      </c>
      <c r="C450" s="45">
        <v>1</v>
      </c>
      <c r="D450" s="25">
        <v>3</v>
      </c>
      <c r="E450" s="45">
        <v>1001</v>
      </c>
      <c r="F450" s="45">
        <v>350</v>
      </c>
      <c r="G450" s="45">
        <v>10000</v>
      </c>
      <c r="H450" s="45">
        <f>A450+5000000</f>
        <v>11058001</v>
      </c>
      <c r="I450" s="45">
        <v>1000</v>
      </c>
      <c r="J450" s="45">
        <v>0</v>
      </c>
      <c r="K450" s="45" t="s">
        <v>671</v>
      </c>
      <c r="L450" s="45" t="s">
        <v>671</v>
      </c>
      <c r="M450" s="45" t="s">
        <v>227</v>
      </c>
      <c r="N450" s="44">
        <v>0</v>
      </c>
      <c r="O450" s="47">
        <v>0</v>
      </c>
      <c r="P450" s="45">
        <v>0</v>
      </c>
      <c r="Q450" s="45">
        <v>1013</v>
      </c>
      <c r="R450" s="45">
        <v>700</v>
      </c>
      <c r="S450" s="45">
        <v>6058001</v>
      </c>
      <c r="T450" s="45">
        <v>400</v>
      </c>
      <c r="U450" s="45">
        <v>350</v>
      </c>
    </row>
    <row r="451" spans="1:21">
      <c r="A451" s="18">
        <v>6058002</v>
      </c>
      <c r="B451" s="45" t="s">
        <v>73</v>
      </c>
      <c r="C451" s="45">
        <v>2</v>
      </c>
      <c r="D451" s="25">
        <v>3</v>
      </c>
      <c r="E451" s="45">
        <v>3001</v>
      </c>
      <c r="F451" s="45">
        <v>350</v>
      </c>
      <c r="G451" s="45">
        <v>21000</v>
      </c>
      <c r="H451" s="45">
        <v>0</v>
      </c>
      <c r="I451" s="45">
        <v>3000</v>
      </c>
      <c r="J451" s="45">
        <v>1058002</v>
      </c>
      <c r="K451" s="45" t="s">
        <v>673</v>
      </c>
      <c r="L451" s="45" t="s">
        <v>73</v>
      </c>
      <c r="M451" s="45" t="s">
        <v>60</v>
      </c>
      <c r="N451" s="44">
        <v>0</v>
      </c>
      <c r="O451" s="47">
        <v>6058002</v>
      </c>
      <c r="P451" s="45">
        <v>400</v>
      </c>
      <c r="Q451" s="45">
        <v>1013</v>
      </c>
      <c r="R451" s="45">
        <v>2000</v>
      </c>
      <c r="S451" s="45">
        <v>0</v>
      </c>
      <c r="T451" s="45">
        <v>0</v>
      </c>
      <c r="U451" s="45">
        <v>0</v>
      </c>
    </row>
    <row r="452" spans="1:21">
      <c r="A452" s="18">
        <v>6058101</v>
      </c>
      <c r="B452" s="45" t="s">
        <v>675</v>
      </c>
      <c r="C452" s="45">
        <v>1</v>
      </c>
      <c r="D452" s="25">
        <v>3</v>
      </c>
      <c r="E452" s="45">
        <v>1001</v>
      </c>
      <c r="F452" s="45">
        <v>350</v>
      </c>
      <c r="G452" s="45">
        <v>10000</v>
      </c>
      <c r="H452" s="45">
        <f>A452+5000000</f>
        <v>11058101</v>
      </c>
      <c r="I452" s="45">
        <v>1000</v>
      </c>
      <c r="J452" s="45">
        <v>0</v>
      </c>
      <c r="K452" s="45" t="s">
        <v>675</v>
      </c>
      <c r="L452" s="45" t="s">
        <v>675</v>
      </c>
      <c r="M452" s="45" t="s">
        <v>227</v>
      </c>
      <c r="N452" s="44">
        <v>0</v>
      </c>
      <c r="O452" s="47">
        <v>0</v>
      </c>
      <c r="P452" s="45">
        <v>0</v>
      </c>
      <c r="Q452" s="45">
        <v>1013</v>
      </c>
      <c r="R452" s="45">
        <v>700</v>
      </c>
      <c r="S452" s="45">
        <v>6058001</v>
      </c>
      <c r="T452" s="45">
        <v>400</v>
      </c>
      <c r="U452" s="45">
        <v>350</v>
      </c>
    </row>
    <row r="453" spans="1:21">
      <c r="A453" s="18">
        <v>6058102</v>
      </c>
      <c r="B453" s="45" t="s">
        <v>676</v>
      </c>
      <c r="C453" s="45">
        <v>2</v>
      </c>
      <c r="D453" s="25">
        <v>3</v>
      </c>
      <c r="E453" s="45">
        <v>3001</v>
      </c>
      <c r="F453" s="45">
        <v>350</v>
      </c>
      <c r="G453" s="45">
        <v>42000</v>
      </c>
      <c r="H453" s="45">
        <v>0</v>
      </c>
      <c r="I453" s="45">
        <v>3000</v>
      </c>
      <c r="J453" s="45">
        <v>1058002</v>
      </c>
      <c r="K453" s="45" t="s">
        <v>678</v>
      </c>
      <c r="L453" s="45" t="s">
        <v>676</v>
      </c>
      <c r="M453" s="45" t="s">
        <v>60</v>
      </c>
      <c r="N453" s="44">
        <v>0</v>
      </c>
      <c r="O453" s="47">
        <v>6058002</v>
      </c>
      <c r="P453" s="45">
        <v>400</v>
      </c>
      <c r="Q453" s="45">
        <v>1013</v>
      </c>
      <c r="R453" s="45">
        <v>2000</v>
      </c>
      <c r="S453" s="45">
        <v>0</v>
      </c>
      <c r="T453" s="45">
        <v>0</v>
      </c>
      <c r="U453" s="45">
        <v>0</v>
      </c>
    </row>
    <row r="454" spans="1:21">
      <c r="A454" s="18">
        <v>6058201</v>
      </c>
      <c r="B454" s="45" t="s">
        <v>681</v>
      </c>
      <c r="C454" s="45">
        <v>1</v>
      </c>
      <c r="D454" s="25">
        <v>3</v>
      </c>
      <c r="E454" s="45">
        <v>1001</v>
      </c>
      <c r="F454" s="45">
        <v>350</v>
      </c>
      <c r="G454" s="45">
        <v>10000</v>
      </c>
      <c r="H454" s="45">
        <f>A454+5000000</f>
        <v>11058201</v>
      </c>
      <c r="I454" s="45">
        <v>1000</v>
      </c>
      <c r="J454" s="45">
        <v>0</v>
      </c>
      <c r="K454" s="45" t="s">
        <v>681</v>
      </c>
      <c r="L454" s="45" t="s">
        <v>681</v>
      </c>
      <c r="M454" s="45" t="s">
        <v>227</v>
      </c>
      <c r="N454" s="44">
        <v>0</v>
      </c>
      <c r="O454" s="47">
        <v>0</v>
      </c>
      <c r="P454" s="45">
        <v>0</v>
      </c>
      <c r="Q454" s="45">
        <v>1013</v>
      </c>
      <c r="R454" s="45">
        <v>700</v>
      </c>
      <c r="S454" s="45">
        <v>6058001</v>
      </c>
      <c r="T454" s="45">
        <v>400</v>
      </c>
      <c r="U454" s="45">
        <v>350</v>
      </c>
    </row>
    <row r="455" spans="1:21">
      <c r="A455" s="18">
        <v>6058202</v>
      </c>
      <c r="B455" s="45" t="s">
        <v>682</v>
      </c>
      <c r="C455" s="45">
        <v>2</v>
      </c>
      <c r="D455" s="25">
        <v>3</v>
      </c>
      <c r="E455" s="45">
        <v>3001</v>
      </c>
      <c r="F455" s="45">
        <v>350</v>
      </c>
      <c r="G455" s="45">
        <v>14000</v>
      </c>
      <c r="H455" s="45">
        <v>0</v>
      </c>
      <c r="I455" s="45">
        <v>3000</v>
      </c>
      <c r="J455" s="45">
        <v>1058202</v>
      </c>
      <c r="K455" s="45" t="s">
        <v>684</v>
      </c>
      <c r="L455" s="45" t="s">
        <v>682</v>
      </c>
      <c r="M455" s="45" t="s">
        <v>60</v>
      </c>
      <c r="N455" s="44">
        <v>0</v>
      </c>
      <c r="O455" s="47">
        <v>6058202</v>
      </c>
      <c r="P455" s="45">
        <v>700</v>
      </c>
      <c r="Q455" s="45">
        <v>1013</v>
      </c>
      <c r="R455" s="45" t="s">
        <v>686</v>
      </c>
      <c r="S455" s="45">
        <v>0</v>
      </c>
      <c r="T455" s="45">
        <v>0</v>
      </c>
      <c r="U455" s="45">
        <v>0</v>
      </c>
    </row>
    <row r="456" spans="1:21">
      <c r="A456" s="18">
        <v>6059001</v>
      </c>
      <c r="B456" s="45" t="s">
        <v>687</v>
      </c>
      <c r="C456" s="45">
        <v>1</v>
      </c>
      <c r="D456" s="25">
        <v>3</v>
      </c>
      <c r="E456" s="45">
        <v>1001</v>
      </c>
      <c r="F456" s="45">
        <v>350</v>
      </c>
      <c r="G456" s="45">
        <v>10000</v>
      </c>
      <c r="H456" s="45">
        <f>A456+5000000</f>
        <v>11059001</v>
      </c>
      <c r="I456" s="45">
        <v>1000</v>
      </c>
      <c r="J456" s="45">
        <v>0</v>
      </c>
      <c r="K456" s="45" t="s">
        <v>687</v>
      </c>
      <c r="L456" s="45" t="s">
        <v>687</v>
      </c>
      <c r="M456" s="45" t="s">
        <v>227</v>
      </c>
      <c r="N456" s="44">
        <v>0</v>
      </c>
      <c r="O456" s="47">
        <v>0</v>
      </c>
      <c r="P456" s="45">
        <v>0</v>
      </c>
      <c r="Q456" s="45">
        <v>1011</v>
      </c>
      <c r="R456" s="45">
        <v>600</v>
      </c>
      <c r="S456" s="45">
        <v>6059001</v>
      </c>
      <c r="T456" s="45">
        <v>300</v>
      </c>
      <c r="U456" s="45">
        <v>350</v>
      </c>
    </row>
    <row r="457" spans="1:21">
      <c r="A457" s="18">
        <v>6059002</v>
      </c>
      <c r="B457" s="45" t="s">
        <v>688</v>
      </c>
      <c r="C457" s="45">
        <v>2</v>
      </c>
      <c r="D457" s="25">
        <v>3</v>
      </c>
      <c r="E457" s="45">
        <v>3001</v>
      </c>
      <c r="F457" s="45">
        <v>350</v>
      </c>
      <c r="G457" s="45">
        <v>3500</v>
      </c>
      <c r="H457" s="45">
        <v>0</v>
      </c>
      <c r="I457" s="45">
        <v>4200</v>
      </c>
      <c r="J457" s="45">
        <v>1059002</v>
      </c>
      <c r="K457" s="45" t="s">
        <v>690</v>
      </c>
      <c r="L457" s="45" t="s">
        <v>688</v>
      </c>
      <c r="M457" s="45" t="s">
        <v>60</v>
      </c>
      <c r="N457" s="44">
        <v>0</v>
      </c>
      <c r="O457" s="47">
        <v>6059002</v>
      </c>
      <c r="P457" s="45">
        <v>1400</v>
      </c>
      <c r="Q457" s="45">
        <v>1011</v>
      </c>
      <c r="R457" s="45" t="s">
        <v>975</v>
      </c>
      <c r="S457" s="45">
        <v>0</v>
      </c>
      <c r="T457" s="45">
        <v>0</v>
      </c>
      <c r="U457" s="45">
        <v>0</v>
      </c>
    </row>
    <row r="458" spans="1:21">
      <c r="A458" s="18">
        <v>6059101</v>
      </c>
      <c r="B458" s="45" t="s">
        <v>692</v>
      </c>
      <c r="C458" s="45">
        <v>1</v>
      </c>
      <c r="D458" s="25">
        <v>3</v>
      </c>
      <c r="E458" s="45">
        <v>1001</v>
      </c>
      <c r="F458" s="45">
        <v>350</v>
      </c>
      <c r="G458" s="45">
        <v>11000</v>
      </c>
      <c r="H458" s="45">
        <f>A458+5000000</f>
        <v>11059101</v>
      </c>
      <c r="I458" s="45">
        <v>1000</v>
      </c>
      <c r="J458" s="45">
        <v>0</v>
      </c>
      <c r="K458" s="45" t="s">
        <v>692</v>
      </c>
      <c r="L458" s="45" t="s">
        <v>692</v>
      </c>
      <c r="M458" s="45" t="s">
        <v>227</v>
      </c>
      <c r="N458" s="44">
        <v>0</v>
      </c>
      <c r="O458" s="47">
        <v>0</v>
      </c>
      <c r="P458" s="45">
        <v>0</v>
      </c>
      <c r="Q458" s="45">
        <v>1011</v>
      </c>
      <c r="R458" s="45">
        <v>700</v>
      </c>
      <c r="S458" s="45">
        <v>6059001</v>
      </c>
      <c r="T458" s="45">
        <v>400</v>
      </c>
      <c r="U458" s="45">
        <v>350</v>
      </c>
    </row>
    <row r="459" spans="1:21">
      <c r="A459" s="18">
        <v>6059102</v>
      </c>
      <c r="B459" s="45" t="s">
        <v>693</v>
      </c>
      <c r="C459" s="45">
        <v>2</v>
      </c>
      <c r="D459" s="25">
        <v>3</v>
      </c>
      <c r="E459" s="45">
        <v>3001</v>
      </c>
      <c r="F459" s="45">
        <v>350</v>
      </c>
      <c r="G459" s="45">
        <v>6000</v>
      </c>
      <c r="H459" s="45">
        <v>0</v>
      </c>
      <c r="I459" s="45">
        <v>4200</v>
      </c>
      <c r="J459" s="45">
        <v>1059002</v>
      </c>
      <c r="K459" s="45" t="s">
        <v>695</v>
      </c>
      <c r="L459" s="45" t="s">
        <v>693</v>
      </c>
      <c r="M459" s="45" t="s">
        <v>60</v>
      </c>
      <c r="N459" s="44">
        <v>0</v>
      </c>
      <c r="O459" s="47">
        <v>6059002</v>
      </c>
      <c r="P459" s="45">
        <v>800</v>
      </c>
      <c r="Q459" s="45">
        <v>1011</v>
      </c>
      <c r="R459" s="45" t="s">
        <v>975</v>
      </c>
      <c r="S459" s="45">
        <v>0</v>
      </c>
      <c r="T459" s="45">
        <v>0</v>
      </c>
      <c r="U459" s="45">
        <v>0</v>
      </c>
    </row>
    <row r="460" spans="1:21">
      <c r="A460" s="18">
        <v>6060001</v>
      </c>
      <c r="B460" s="45" t="s">
        <v>698</v>
      </c>
      <c r="C460" s="45">
        <v>1</v>
      </c>
      <c r="D460" s="25">
        <v>3</v>
      </c>
      <c r="E460" s="45">
        <v>1001</v>
      </c>
      <c r="F460" s="45">
        <v>350</v>
      </c>
      <c r="G460" s="45">
        <v>10000</v>
      </c>
      <c r="H460" s="45">
        <f>A460+5000000</f>
        <v>11060001</v>
      </c>
      <c r="I460" s="45">
        <v>1000</v>
      </c>
      <c r="J460" s="45">
        <v>0</v>
      </c>
      <c r="K460" s="45" t="s">
        <v>698</v>
      </c>
      <c r="L460" s="45" t="s">
        <v>698</v>
      </c>
      <c r="M460" s="45" t="s">
        <v>227</v>
      </c>
      <c r="N460" s="44">
        <v>0</v>
      </c>
      <c r="O460" s="47">
        <v>0</v>
      </c>
      <c r="P460" s="45">
        <v>0</v>
      </c>
      <c r="Q460" s="45">
        <v>1011</v>
      </c>
      <c r="R460" s="45">
        <v>700</v>
      </c>
      <c r="S460" s="45">
        <v>6060001</v>
      </c>
      <c r="T460" s="45">
        <v>400</v>
      </c>
      <c r="U460" s="45">
        <v>350</v>
      </c>
    </row>
    <row r="461" spans="1:21">
      <c r="A461" s="18">
        <v>6060002</v>
      </c>
      <c r="B461" s="45" t="s">
        <v>699</v>
      </c>
      <c r="C461" s="45">
        <v>2</v>
      </c>
      <c r="D461" s="25">
        <v>3</v>
      </c>
      <c r="E461" s="45">
        <v>3001</v>
      </c>
      <c r="F461" s="45">
        <v>350</v>
      </c>
      <c r="G461" s="45">
        <v>4300</v>
      </c>
      <c r="H461" s="45">
        <v>0</v>
      </c>
      <c r="I461" s="45">
        <v>3000</v>
      </c>
      <c r="J461" s="45">
        <v>1060002</v>
      </c>
      <c r="K461" s="45" t="s">
        <v>701</v>
      </c>
      <c r="L461" s="45" t="s">
        <v>699</v>
      </c>
      <c r="M461" s="45" t="s">
        <v>60</v>
      </c>
      <c r="N461" s="44">
        <v>0</v>
      </c>
      <c r="O461" s="47">
        <v>6060002</v>
      </c>
      <c r="P461" s="45">
        <v>1400</v>
      </c>
      <c r="Q461" s="45">
        <v>1011</v>
      </c>
      <c r="R461" s="45" t="s">
        <v>976</v>
      </c>
      <c r="S461" s="45">
        <v>0</v>
      </c>
      <c r="T461" s="45">
        <v>0</v>
      </c>
      <c r="U461" s="45">
        <v>0</v>
      </c>
    </row>
    <row r="462" spans="1:21">
      <c r="A462" s="18">
        <v>6060101</v>
      </c>
      <c r="B462" s="45" t="s">
        <v>704</v>
      </c>
      <c r="C462" s="45">
        <v>1</v>
      </c>
      <c r="D462" s="25">
        <v>3</v>
      </c>
      <c r="E462" s="45">
        <v>1001</v>
      </c>
      <c r="F462" s="45">
        <v>350</v>
      </c>
      <c r="G462" s="45">
        <v>10000</v>
      </c>
      <c r="H462" s="45">
        <f>A462+5000000</f>
        <v>11060101</v>
      </c>
      <c r="I462" s="45">
        <v>1000</v>
      </c>
      <c r="J462" s="45">
        <v>0</v>
      </c>
      <c r="K462" s="45" t="s">
        <v>704</v>
      </c>
      <c r="L462" s="45" t="s">
        <v>704</v>
      </c>
      <c r="M462" s="45" t="s">
        <v>227</v>
      </c>
      <c r="N462" s="44">
        <v>0</v>
      </c>
      <c r="O462" s="47">
        <v>0</v>
      </c>
      <c r="P462" s="45">
        <v>0</v>
      </c>
      <c r="Q462" s="45">
        <v>1011</v>
      </c>
      <c r="R462" s="45">
        <v>700</v>
      </c>
      <c r="S462" s="45">
        <v>6060001</v>
      </c>
      <c r="T462" s="45">
        <v>400</v>
      </c>
      <c r="U462" s="45">
        <v>350</v>
      </c>
    </row>
    <row r="463" spans="1:21">
      <c r="A463" s="18">
        <v>6060102</v>
      </c>
      <c r="B463" s="45" t="s">
        <v>705</v>
      </c>
      <c r="C463" s="45">
        <v>2</v>
      </c>
      <c r="D463" s="25">
        <v>3</v>
      </c>
      <c r="E463" s="45">
        <v>3001</v>
      </c>
      <c r="F463" s="45">
        <v>350</v>
      </c>
      <c r="G463" s="45">
        <v>8500</v>
      </c>
      <c r="H463" s="45">
        <v>0</v>
      </c>
      <c r="I463" s="45">
        <v>3000</v>
      </c>
      <c r="J463" s="45">
        <v>1060002</v>
      </c>
      <c r="K463" s="45" t="s">
        <v>707</v>
      </c>
      <c r="L463" s="45" t="s">
        <v>705</v>
      </c>
      <c r="M463" s="45" t="s">
        <v>60</v>
      </c>
      <c r="N463" s="44">
        <v>0</v>
      </c>
      <c r="O463" s="47">
        <v>6060002</v>
      </c>
      <c r="P463" s="45">
        <v>1400</v>
      </c>
      <c r="Q463" s="45">
        <v>1011</v>
      </c>
      <c r="R463" s="45" t="s">
        <v>976</v>
      </c>
      <c r="S463" s="45">
        <v>0</v>
      </c>
      <c r="T463" s="45">
        <v>0</v>
      </c>
      <c r="U463" s="45">
        <v>0</v>
      </c>
    </row>
    <row r="464" spans="1:21">
      <c r="A464" s="18">
        <v>6062001</v>
      </c>
      <c r="B464" s="45" t="s">
        <v>710</v>
      </c>
      <c r="C464" s="45">
        <v>1</v>
      </c>
      <c r="D464" s="25">
        <v>3</v>
      </c>
      <c r="E464" s="45">
        <v>1001</v>
      </c>
      <c r="F464" s="45">
        <v>350</v>
      </c>
      <c r="G464" s="45">
        <v>10000</v>
      </c>
      <c r="H464" s="45">
        <f>A464+5000000</f>
        <v>11062001</v>
      </c>
      <c r="I464" s="45">
        <v>1000</v>
      </c>
      <c r="J464" s="45">
        <v>0</v>
      </c>
      <c r="K464" s="45" t="s">
        <v>710</v>
      </c>
      <c r="L464" s="45" t="s">
        <v>710</v>
      </c>
      <c r="M464" s="45" t="s">
        <v>227</v>
      </c>
      <c r="N464" s="44">
        <v>0</v>
      </c>
      <c r="O464" s="47">
        <v>0</v>
      </c>
      <c r="P464" s="45">
        <v>0</v>
      </c>
      <c r="Q464" s="45">
        <v>1011</v>
      </c>
      <c r="R464" s="45">
        <v>700</v>
      </c>
      <c r="S464" s="45">
        <v>6060001</v>
      </c>
      <c r="T464" s="45">
        <v>400</v>
      </c>
      <c r="U464" s="45">
        <v>350</v>
      </c>
    </row>
    <row r="465" spans="1:21">
      <c r="A465" s="18">
        <v>6062002</v>
      </c>
      <c r="B465" s="45" t="s">
        <v>711</v>
      </c>
      <c r="C465" s="45">
        <v>2</v>
      </c>
      <c r="D465" s="25">
        <v>3</v>
      </c>
      <c r="E465" s="45">
        <v>3001</v>
      </c>
      <c r="F465" s="45">
        <v>350</v>
      </c>
      <c r="G465" s="45">
        <v>10500</v>
      </c>
      <c r="H465" s="45">
        <v>0</v>
      </c>
      <c r="I465" s="45">
        <v>3300</v>
      </c>
      <c r="J465" s="45">
        <v>1062002</v>
      </c>
      <c r="K465" s="45" t="s">
        <v>713</v>
      </c>
      <c r="L465" s="45" t="s">
        <v>711</v>
      </c>
      <c r="M465" s="45" t="s">
        <v>60</v>
      </c>
      <c r="N465" s="44">
        <v>0</v>
      </c>
      <c r="O465" s="47">
        <v>6062002</v>
      </c>
      <c r="P465" s="45">
        <v>1000</v>
      </c>
      <c r="Q465" s="45">
        <v>1011</v>
      </c>
      <c r="R465" s="45" t="s">
        <v>715</v>
      </c>
      <c r="S465" s="45">
        <v>0</v>
      </c>
      <c r="T465" s="45">
        <v>0</v>
      </c>
      <c r="U465" s="45">
        <v>0</v>
      </c>
    </row>
    <row r="466" spans="1:21">
      <c r="A466" s="18">
        <v>6062101</v>
      </c>
      <c r="B466" s="45" t="s">
        <v>716</v>
      </c>
      <c r="C466" s="45">
        <v>1</v>
      </c>
      <c r="D466" s="25">
        <v>3</v>
      </c>
      <c r="E466" s="45">
        <v>1001</v>
      </c>
      <c r="F466" s="45">
        <v>350</v>
      </c>
      <c r="G466" s="45">
        <v>10000</v>
      </c>
      <c r="H466" s="45">
        <f>A466+5000000</f>
        <v>11062101</v>
      </c>
      <c r="I466" s="45">
        <v>1000</v>
      </c>
      <c r="J466" s="45">
        <v>0</v>
      </c>
      <c r="K466" s="45" t="s">
        <v>716</v>
      </c>
      <c r="L466" s="45" t="s">
        <v>716</v>
      </c>
      <c r="M466" s="45" t="s">
        <v>227</v>
      </c>
      <c r="N466" s="44">
        <v>0</v>
      </c>
      <c r="O466" s="47">
        <v>0</v>
      </c>
      <c r="P466" s="45">
        <v>0</v>
      </c>
      <c r="Q466" s="45">
        <v>1011</v>
      </c>
      <c r="R466" s="45">
        <v>700</v>
      </c>
      <c r="S466" s="45">
        <v>6060001</v>
      </c>
      <c r="T466" s="45">
        <v>400</v>
      </c>
      <c r="U466" s="45">
        <v>350</v>
      </c>
    </row>
    <row r="467" spans="1:21">
      <c r="A467" s="18">
        <v>6062102</v>
      </c>
      <c r="B467" s="45" t="s">
        <v>717</v>
      </c>
      <c r="C467" s="45">
        <v>2</v>
      </c>
      <c r="D467" s="25">
        <v>3</v>
      </c>
      <c r="E467" s="45">
        <v>3001</v>
      </c>
      <c r="F467" s="45">
        <v>350</v>
      </c>
      <c r="G467" s="45">
        <v>21000</v>
      </c>
      <c r="H467" s="45">
        <v>0</v>
      </c>
      <c r="I467" s="45">
        <v>3300</v>
      </c>
      <c r="J467" s="45">
        <v>1062002</v>
      </c>
      <c r="K467" s="45" t="s">
        <v>719</v>
      </c>
      <c r="L467" s="45" t="s">
        <v>717</v>
      </c>
      <c r="M467" s="45" t="s">
        <v>60</v>
      </c>
      <c r="N467" s="44">
        <v>0</v>
      </c>
      <c r="O467" s="47">
        <v>6062002</v>
      </c>
      <c r="P467" s="45">
        <v>1000</v>
      </c>
      <c r="Q467" s="45">
        <v>1011</v>
      </c>
      <c r="R467" s="45" t="s">
        <v>715</v>
      </c>
      <c r="S467" s="45">
        <v>0</v>
      </c>
      <c r="T467" s="45">
        <v>0</v>
      </c>
      <c r="U467" s="45">
        <v>0</v>
      </c>
    </row>
  </sheetData>
  <conditionalFormatting sqref="O7">
    <cfRule type="duplicateValues" dxfId="0" priority="11"/>
  </conditionalFormatting>
  <conditionalFormatting sqref="O47">
    <cfRule type="duplicateValues" dxfId="0" priority="322"/>
  </conditionalFormatting>
  <conditionalFormatting sqref="H56">
    <cfRule type="duplicateValues" dxfId="0" priority="134"/>
  </conditionalFormatting>
  <conditionalFormatting sqref="S56">
    <cfRule type="duplicateValues" dxfId="0" priority="131"/>
  </conditionalFormatting>
  <conditionalFormatting sqref="O57">
    <cfRule type="duplicateValues" dxfId="0" priority="128"/>
  </conditionalFormatting>
  <conditionalFormatting sqref="H58">
    <cfRule type="duplicateValues" dxfId="0" priority="59"/>
  </conditionalFormatting>
  <conditionalFormatting sqref="K58">
    <cfRule type="duplicateValues" dxfId="0" priority="51"/>
  </conditionalFormatting>
  <conditionalFormatting sqref="L58">
    <cfRule type="duplicateValues" dxfId="0" priority="49"/>
  </conditionalFormatting>
  <conditionalFormatting sqref="S58">
    <cfRule type="duplicateValues" dxfId="0" priority="56"/>
  </conditionalFormatting>
  <conditionalFormatting sqref="L59">
    <cfRule type="duplicateValues" dxfId="0" priority="47"/>
  </conditionalFormatting>
  <conditionalFormatting sqref="O59">
    <cfRule type="duplicateValues" dxfId="0" priority="53"/>
  </conditionalFormatting>
  <conditionalFormatting sqref="S84">
    <cfRule type="duplicateValues" dxfId="0" priority="189"/>
  </conditionalFormatting>
  <conditionalFormatting sqref="O85">
    <cfRule type="duplicateValues" dxfId="0" priority="187"/>
  </conditionalFormatting>
  <conditionalFormatting sqref="S86">
    <cfRule type="duplicateValues" dxfId="0" priority="188"/>
  </conditionalFormatting>
  <conditionalFormatting sqref="O87">
    <cfRule type="duplicateValues" dxfId="0" priority="186"/>
  </conditionalFormatting>
  <conditionalFormatting sqref="S96">
    <cfRule type="duplicateValues" dxfId="0" priority="179"/>
  </conditionalFormatting>
  <conditionalFormatting sqref="O97">
    <cfRule type="duplicateValues" dxfId="0" priority="173"/>
  </conditionalFormatting>
  <conditionalFormatting sqref="S98">
    <cfRule type="duplicateValues" dxfId="0" priority="176"/>
  </conditionalFormatting>
  <conditionalFormatting sqref="O99">
    <cfRule type="duplicateValues" dxfId="0" priority="170"/>
  </conditionalFormatting>
  <conditionalFormatting sqref="B111">
    <cfRule type="duplicateValues" dxfId="0" priority="118"/>
  </conditionalFormatting>
  <conditionalFormatting sqref="H112">
    <cfRule type="duplicateValues" dxfId="0" priority="120"/>
  </conditionalFormatting>
  <conditionalFormatting sqref="B115">
    <cfRule type="duplicateValues" dxfId="0" priority="312"/>
  </conditionalFormatting>
  <conditionalFormatting sqref="H116">
    <cfRule type="duplicateValues" dxfId="0" priority="320"/>
  </conditionalFormatting>
  <conditionalFormatting sqref="K122">
    <cfRule type="duplicateValues" dxfId="0" priority="37"/>
  </conditionalFormatting>
  <conditionalFormatting sqref="J123">
    <cfRule type="duplicateValues" dxfId="0" priority="17"/>
  </conditionalFormatting>
  <conditionalFormatting sqref="J125">
    <cfRule type="duplicateValues" dxfId="0" priority="14"/>
  </conditionalFormatting>
  <conditionalFormatting sqref="H142">
    <cfRule type="duplicateValues" dxfId="0" priority="318"/>
  </conditionalFormatting>
  <conditionalFormatting sqref="H144">
    <cfRule type="duplicateValues" dxfId="0" priority="210"/>
  </conditionalFormatting>
  <conditionalFormatting sqref="H149">
    <cfRule type="duplicateValues" dxfId="0" priority="316"/>
  </conditionalFormatting>
  <conditionalFormatting sqref="H151">
    <cfRule type="duplicateValues" dxfId="0" priority="103"/>
  </conditionalFormatting>
  <conditionalFormatting sqref="J151">
    <cfRule type="duplicateValues" dxfId="0" priority="32"/>
  </conditionalFormatting>
  <conditionalFormatting sqref="S152">
    <cfRule type="duplicateValues" dxfId="0" priority="96"/>
  </conditionalFormatting>
  <conditionalFormatting sqref="H153">
    <cfRule type="duplicateValues" dxfId="0" priority="101"/>
  </conditionalFormatting>
  <conditionalFormatting sqref="J153">
    <cfRule type="duplicateValues" dxfId="0" priority="29"/>
  </conditionalFormatting>
  <conditionalFormatting sqref="O153">
    <cfRule type="duplicateValues" dxfId="0" priority="90"/>
  </conditionalFormatting>
  <conditionalFormatting sqref="S154">
    <cfRule type="duplicateValues" dxfId="0" priority="93"/>
  </conditionalFormatting>
  <conditionalFormatting sqref="H155">
    <cfRule type="duplicateValues" dxfId="0" priority="99"/>
  </conditionalFormatting>
  <conditionalFormatting sqref="J155">
    <cfRule type="duplicateValues" dxfId="0" priority="26"/>
  </conditionalFormatting>
  <conditionalFormatting sqref="O155">
    <cfRule type="duplicateValues" dxfId="0" priority="87"/>
  </conditionalFormatting>
  <conditionalFormatting sqref="H157">
    <cfRule type="duplicateValues" dxfId="0" priority="298"/>
  </conditionalFormatting>
  <conditionalFormatting sqref="H161">
    <cfRule type="duplicateValues" dxfId="0" priority="276"/>
  </conditionalFormatting>
  <conditionalFormatting sqref="H163">
    <cfRule type="duplicateValues" dxfId="0" priority="224"/>
  </conditionalFormatting>
  <conditionalFormatting sqref="H165">
    <cfRule type="duplicateValues" dxfId="0" priority="218"/>
  </conditionalFormatting>
  <conditionalFormatting sqref="H169">
    <cfRule type="duplicateValues" dxfId="0" priority="274"/>
  </conditionalFormatting>
  <conditionalFormatting sqref="H171">
    <cfRule type="duplicateValues" dxfId="0" priority="294"/>
  </conditionalFormatting>
  <conditionalFormatting sqref="H173">
    <cfRule type="duplicateValues" dxfId="0" priority="292"/>
  </conditionalFormatting>
  <conditionalFormatting sqref="H175">
    <cfRule type="duplicateValues" dxfId="0" priority="202"/>
  </conditionalFormatting>
  <conditionalFormatting sqref="H177">
    <cfRule type="duplicateValues" dxfId="0" priority="200"/>
  </conditionalFormatting>
  <conditionalFormatting sqref="H179">
    <cfRule type="duplicateValues" dxfId="0" priority="290"/>
  </conditionalFormatting>
  <conditionalFormatting sqref="H181">
    <cfRule type="duplicateValues" dxfId="0" priority="288"/>
  </conditionalFormatting>
  <conditionalFormatting sqref="H183">
    <cfRule type="duplicateValues" dxfId="0" priority="208"/>
  </conditionalFormatting>
  <conditionalFormatting sqref="H185">
    <cfRule type="duplicateValues" dxfId="0" priority="198"/>
  </conditionalFormatting>
  <conditionalFormatting sqref="B188">
    <cfRule type="duplicateValues" dxfId="0" priority="286"/>
  </conditionalFormatting>
  <conditionalFormatting sqref="S190">
    <cfRule type="duplicateValues" dxfId="0" priority="163"/>
  </conditionalFormatting>
  <conditionalFormatting sqref="H191">
    <cfRule type="duplicateValues" dxfId="0" priority="168"/>
  </conditionalFormatting>
  <conditionalFormatting sqref="O191">
    <cfRule type="duplicateValues" dxfId="0" priority="157"/>
  </conditionalFormatting>
  <conditionalFormatting sqref="S192">
    <cfRule type="duplicateValues" dxfId="0" priority="160"/>
  </conditionalFormatting>
  <conditionalFormatting sqref="H193">
    <cfRule type="duplicateValues" dxfId="0" priority="166"/>
  </conditionalFormatting>
  <conditionalFormatting sqref="O193">
    <cfRule type="duplicateValues" dxfId="0" priority="154"/>
  </conditionalFormatting>
  <conditionalFormatting sqref="S194">
    <cfRule type="duplicateValues" dxfId="0" priority="82"/>
  </conditionalFormatting>
  <conditionalFormatting sqref="H195">
    <cfRule type="duplicateValues" dxfId="0" priority="85"/>
  </conditionalFormatting>
  <conditionalFormatting sqref="J195">
    <cfRule type="duplicateValues" dxfId="0" priority="23"/>
  </conditionalFormatting>
  <conditionalFormatting sqref="O195">
    <cfRule type="duplicateValues" dxfId="0" priority="79"/>
  </conditionalFormatting>
  <conditionalFormatting sqref="H197">
    <cfRule type="duplicateValues" dxfId="0" priority="222"/>
  </conditionalFormatting>
  <conditionalFormatting sqref="H199">
    <cfRule type="duplicateValues" dxfId="0" priority="220"/>
  </conditionalFormatting>
  <conditionalFormatting sqref="H201">
    <cfRule type="duplicateValues" dxfId="0" priority="114"/>
  </conditionalFormatting>
  <conditionalFormatting sqref="S202">
    <cfRule type="duplicateValues" dxfId="0" priority="147"/>
  </conditionalFormatting>
  <conditionalFormatting sqref="H203">
    <cfRule type="duplicateValues" dxfId="0" priority="152"/>
  </conditionalFormatting>
  <conditionalFormatting sqref="O203">
    <cfRule type="duplicateValues" dxfId="0" priority="141"/>
  </conditionalFormatting>
  <conditionalFormatting sqref="S204">
    <cfRule type="duplicateValues" dxfId="0" priority="144"/>
  </conditionalFormatting>
  <conditionalFormatting sqref="H205">
    <cfRule type="duplicateValues" dxfId="0" priority="150"/>
  </conditionalFormatting>
  <conditionalFormatting sqref="O205">
    <cfRule type="duplicateValues" dxfId="0" priority="138"/>
  </conditionalFormatting>
  <conditionalFormatting sqref="B206">
    <cfRule type="duplicateValues" dxfId="0" priority="284"/>
  </conditionalFormatting>
  <conditionalFormatting sqref="B208">
    <cfRule type="duplicateValues" dxfId="0" priority="282"/>
  </conditionalFormatting>
  <conditionalFormatting sqref="B210">
    <cfRule type="duplicateValues" dxfId="0" priority="280"/>
  </conditionalFormatting>
  <conditionalFormatting sqref="B212">
    <cfRule type="duplicateValues" dxfId="0" priority="270"/>
  </conditionalFormatting>
  <conditionalFormatting sqref="S213">
    <cfRule type="duplicateValues" dxfId="0" priority="279"/>
  </conditionalFormatting>
  <conditionalFormatting sqref="S215">
    <cfRule type="duplicateValues" dxfId="0" priority="251"/>
  </conditionalFormatting>
  <conditionalFormatting sqref="S216">
    <cfRule type="duplicateValues" dxfId="0" priority="193"/>
  </conditionalFormatting>
  <conditionalFormatting sqref="O217">
    <cfRule type="duplicateValues" dxfId="0" priority="190"/>
  </conditionalFormatting>
  <conditionalFormatting sqref="S218">
    <cfRule type="duplicateValues" dxfId="0" priority="66"/>
  </conditionalFormatting>
  <conditionalFormatting sqref="O219">
    <cfRule type="duplicateValues" dxfId="0" priority="63"/>
  </conditionalFormatting>
  <conditionalFormatting sqref="S220">
    <cfRule type="duplicateValues" dxfId="0" priority="74"/>
  </conditionalFormatting>
  <conditionalFormatting sqref="J221">
    <cfRule type="duplicateValues" dxfId="0" priority="20"/>
  </conditionalFormatting>
  <conditionalFormatting sqref="O221">
    <cfRule type="duplicateValues" dxfId="0" priority="71"/>
  </conditionalFormatting>
  <conditionalFormatting sqref="H222">
    <cfRule type="duplicateValues" dxfId="0" priority="232"/>
  </conditionalFormatting>
  <conditionalFormatting sqref="B228">
    <cfRule type="duplicateValues" dxfId="0" priority="247"/>
  </conditionalFormatting>
  <conditionalFormatting sqref="S229">
    <cfRule type="duplicateValues" dxfId="0" priority="244"/>
  </conditionalFormatting>
  <conditionalFormatting sqref="B230">
    <cfRule type="duplicateValues" dxfId="0" priority="112"/>
  </conditionalFormatting>
  <conditionalFormatting sqref="B232">
    <cfRule type="duplicateValues" dxfId="0" priority="108"/>
  </conditionalFormatting>
  <conditionalFormatting sqref="B233">
    <cfRule type="duplicateValues" dxfId="0" priority="106"/>
  </conditionalFormatting>
  <conditionalFormatting sqref="S233">
    <cfRule type="duplicateValues" dxfId="0" priority="105"/>
  </conditionalFormatting>
  <conditionalFormatting sqref="B236">
    <cfRule type="duplicateValues" dxfId="0" priority="240"/>
  </conditionalFormatting>
  <conditionalFormatting sqref="B238">
    <cfRule type="duplicateValues" dxfId="0" priority="266"/>
  </conditionalFormatting>
  <conditionalFormatting sqref="K238">
    <cfRule type="duplicateValues" dxfId="0" priority="7"/>
  </conditionalFormatting>
  <conditionalFormatting sqref="B240">
    <cfRule type="duplicateValues" dxfId="0" priority="262"/>
  </conditionalFormatting>
  <conditionalFormatting sqref="B242">
    <cfRule type="duplicateValues" dxfId="0" priority="258"/>
  </conditionalFormatting>
  <conditionalFormatting sqref="K243">
    <cfRule type="duplicateValues" dxfId="0" priority="5"/>
  </conditionalFormatting>
  <conditionalFormatting sqref="B244">
    <cfRule type="duplicateValues" dxfId="0" priority="254"/>
  </conditionalFormatting>
  <conditionalFormatting sqref="B246">
    <cfRule type="duplicateValues" dxfId="0" priority="236"/>
  </conditionalFormatting>
  <conditionalFormatting sqref="K246">
    <cfRule type="duplicateValues" dxfId="0" priority="1"/>
  </conditionalFormatting>
  <conditionalFormatting sqref="S247">
    <cfRule type="duplicateValues" dxfId="0" priority="278"/>
  </conditionalFormatting>
  <conditionalFormatting sqref="A468:A1048576">
    <cfRule type="duplicateValues" dxfId="0" priority="826"/>
  </conditionalFormatting>
  <conditionalFormatting sqref="B56:B57">
    <cfRule type="duplicateValues" dxfId="0" priority="136"/>
  </conditionalFormatting>
  <conditionalFormatting sqref="B58:B59">
    <cfRule type="duplicateValues" dxfId="0" priority="61"/>
  </conditionalFormatting>
  <conditionalFormatting sqref="B68:B69">
    <cfRule type="duplicateValues" dxfId="0" priority="126"/>
  </conditionalFormatting>
  <conditionalFormatting sqref="B70:B71">
    <cfRule type="duplicateValues" dxfId="0" priority="206"/>
  </conditionalFormatting>
  <conditionalFormatting sqref="B72:B73">
    <cfRule type="duplicateValues" dxfId="0" priority="204"/>
  </conditionalFormatting>
  <conditionalFormatting sqref="B74:B75">
    <cfRule type="duplicateValues" dxfId="0" priority="314"/>
  </conditionalFormatting>
  <conditionalFormatting sqref="B76:B77">
    <cfRule type="duplicateValues" dxfId="0" priority="323"/>
  </conditionalFormatting>
  <conditionalFormatting sqref="B78:B79">
    <cfRule type="duplicateValues" dxfId="0" priority="230"/>
  </conditionalFormatting>
  <conditionalFormatting sqref="B80:B83">
    <cfRule type="duplicateValues" dxfId="0" priority="325"/>
  </conditionalFormatting>
  <conditionalFormatting sqref="B92:B93">
    <cfRule type="duplicateValues" dxfId="0" priority="228"/>
  </conditionalFormatting>
  <conditionalFormatting sqref="B94:B95">
    <cfRule type="duplicateValues" dxfId="0" priority="310"/>
  </conditionalFormatting>
  <conditionalFormatting sqref="B96:B97">
    <cfRule type="duplicateValues" dxfId="0" priority="182"/>
  </conditionalFormatting>
  <conditionalFormatting sqref="B98:B99">
    <cfRule type="duplicateValues" dxfId="0" priority="184"/>
  </conditionalFormatting>
  <conditionalFormatting sqref="B100:B101">
    <cfRule type="duplicateValues" dxfId="0" priority="308"/>
  </conditionalFormatting>
  <conditionalFormatting sqref="B102:B103">
    <cfRule type="duplicateValues" dxfId="0" priority="124"/>
  </conditionalFormatting>
  <conditionalFormatting sqref="B118:B119">
    <cfRule type="duplicateValues" dxfId="0" priority="116"/>
  </conditionalFormatting>
  <conditionalFormatting sqref="B120:B121">
    <cfRule type="duplicateValues" dxfId="0" priority="226"/>
  </conditionalFormatting>
  <conditionalFormatting sqref="B122:B123">
    <cfRule type="duplicateValues" dxfId="0" priority="43"/>
  </conditionalFormatting>
  <conditionalFormatting sqref="B124:B125">
    <cfRule type="duplicateValues" dxfId="0" priority="45"/>
  </conditionalFormatting>
  <conditionalFormatting sqref="B126:B127">
    <cfRule type="duplicateValues" dxfId="0" priority="216"/>
  </conditionalFormatting>
  <conditionalFormatting sqref="B128:B129">
    <cfRule type="duplicateValues" dxfId="0" priority="214"/>
  </conditionalFormatting>
  <conditionalFormatting sqref="B130:B131">
    <cfRule type="duplicateValues" dxfId="0" priority="212"/>
  </conditionalFormatting>
  <conditionalFormatting sqref="B211:B212">
    <cfRule type="duplicateValues" dxfId="0" priority="272"/>
  </conditionalFormatting>
  <conditionalFormatting sqref="B216:B217">
    <cfRule type="duplicateValues" dxfId="0" priority="196"/>
  </conditionalFormatting>
  <conditionalFormatting sqref="B218:B219">
    <cfRule type="duplicateValues" dxfId="0" priority="69"/>
  </conditionalFormatting>
  <conditionalFormatting sqref="B220:B221">
    <cfRule type="duplicateValues" dxfId="0" priority="77"/>
  </conditionalFormatting>
  <conditionalFormatting sqref="B222:B225">
    <cfRule type="duplicateValues" dxfId="0" priority="234"/>
  </conditionalFormatting>
  <conditionalFormatting sqref="B227:B228">
    <cfRule type="duplicateValues" dxfId="0" priority="249"/>
  </conditionalFormatting>
  <conditionalFormatting sqref="B231:B232">
    <cfRule type="duplicateValues" dxfId="0" priority="110"/>
  </conditionalFormatting>
  <conditionalFormatting sqref="B235:B236">
    <cfRule type="duplicateValues" dxfId="0" priority="242"/>
  </conditionalFormatting>
  <conditionalFormatting sqref="B237:B238">
    <cfRule type="duplicateValues" dxfId="0" priority="268"/>
  </conditionalFormatting>
  <conditionalFormatting sqref="B239:B240">
    <cfRule type="duplicateValues" dxfId="0" priority="264"/>
  </conditionalFormatting>
  <conditionalFormatting sqref="B241:B242">
    <cfRule type="duplicateValues" dxfId="0" priority="260"/>
  </conditionalFormatting>
  <conditionalFormatting sqref="B243:B244">
    <cfRule type="duplicateValues" dxfId="0" priority="256"/>
  </conditionalFormatting>
  <conditionalFormatting sqref="B245:B246">
    <cfRule type="duplicateValues" dxfId="0" priority="238"/>
  </conditionalFormatting>
  <conditionalFormatting sqref="B376:B377">
    <cfRule type="duplicateValues" dxfId="0" priority="12"/>
  </conditionalFormatting>
  <conditionalFormatting sqref="H42:H43">
    <cfRule type="duplicateValues" dxfId="0" priority="300"/>
  </conditionalFormatting>
  <conditionalFormatting sqref="H44:H45">
    <cfRule type="duplicateValues" dxfId="0" priority="302"/>
  </conditionalFormatting>
  <conditionalFormatting sqref="H46:H47">
    <cfRule type="duplicateValues" dxfId="0" priority="304"/>
  </conditionalFormatting>
  <conditionalFormatting sqref="K123:K125">
    <cfRule type="duplicateValues" dxfId="0" priority="35"/>
  </conditionalFormatting>
  <conditionalFormatting sqref="L122:L123">
    <cfRule type="duplicateValues" dxfId="0" priority="39"/>
  </conditionalFormatting>
  <conditionalFormatting sqref="L124:L125">
    <cfRule type="duplicateValues" dxfId="0" priority="41"/>
  </conditionalFormatting>
  <conditionalFormatting sqref="B114 B116:B117 B48:B55 B132:B133 B60:B67">
    <cfRule type="duplicateValues" dxfId="0" priority="327"/>
  </conditionalFormatting>
  <conditionalFormatting sqref="H48:H55 H60">
    <cfRule type="duplicateValues" dxfId="0" priority="306"/>
  </conditionalFormatting>
  <conditionalFormatting sqref="B110 B112:B113">
    <cfRule type="duplicateValues" dxfId="0" priority="122"/>
  </conditionalFormatting>
  <conditionalFormatting sqref="H167 H159">
    <cfRule type="duplicateValues" dxfId="0" priority="296"/>
  </conditionalFormatting>
  <conditionalFormatting sqref="B187:B189 B213:B214 B247:B248 B206:B210">
    <cfRule type="duplicateValues" dxfId="0" priority="329"/>
  </conditionalFormatting>
  <conditionalFormatting sqref="B215 B226">
    <cfRule type="duplicateValues" dxfId="0" priority="252"/>
  </conditionalFormatting>
  <conditionalFormatting sqref="B229 B234">
    <cfRule type="duplicateValues" dxfId="0" priority="245"/>
  </conditionalFormatting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selection activeCell="B13" sqref="B13"/>
    </sheetView>
  </sheetViews>
  <sheetFormatPr defaultColWidth="9" defaultRowHeight="14.25"/>
  <sheetData>
    <row r="1" ht="33.75" spans="1:12">
      <c r="A1" s="18" t="s">
        <v>0</v>
      </c>
      <c r="B1" s="18"/>
      <c r="C1" s="19" t="s">
        <v>2</v>
      </c>
      <c r="D1" s="19" t="s">
        <v>3</v>
      </c>
      <c r="E1" s="20" t="s">
        <v>4</v>
      </c>
      <c r="F1" s="19" t="s">
        <v>5</v>
      </c>
      <c r="G1" s="19" t="s">
        <v>6</v>
      </c>
      <c r="H1" s="19" t="s">
        <v>7</v>
      </c>
      <c r="I1" s="19" t="s">
        <v>1171</v>
      </c>
      <c r="J1" s="19" t="s">
        <v>9</v>
      </c>
      <c r="K1" s="19" t="s">
        <v>10</v>
      </c>
      <c r="L1" s="19" t="s">
        <v>12</v>
      </c>
    </row>
    <row r="2" ht="17.25" spans="1:12">
      <c r="A2" s="18" t="s">
        <v>26</v>
      </c>
      <c r="B2" s="18"/>
      <c r="C2" s="21" t="s">
        <v>27</v>
      </c>
      <c r="D2" s="21" t="s">
        <v>26</v>
      </c>
      <c r="E2" s="22" t="s">
        <v>26</v>
      </c>
      <c r="F2" s="21" t="s">
        <v>26</v>
      </c>
      <c r="G2" s="21" t="s">
        <v>26</v>
      </c>
      <c r="H2" s="21" t="s">
        <v>26</v>
      </c>
      <c r="I2" s="21" t="s">
        <v>26</v>
      </c>
      <c r="J2" s="21" t="s">
        <v>26</v>
      </c>
      <c r="K2" s="21" t="s">
        <v>27</v>
      </c>
      <c r="L2" s="21" t="s">
        <v>27</v>
      </c>
    </row>
    <row r="3" ht="33.75" spans="1:12">
      <c r="A3" s="18" t="s">
        <v>31</v>
      </c>
      <c r="B3" s="18"/>
      <c r="C3" s="21" t="s">
        <v>33</v>
      </c>
      <c r="D3" s="23" t="s">
        <v>34</v>
      </c>
      <c r="E3" s="24" t="s">
        <v>35</v>
      </c>
      <c r="F3" s="21" t="s">
        <v>36</v>
      </c>
      <c r="G3" s="21" t="s">
        <v>37</v>
      </c>
      <c r="H3" s="21" t="s">
        <v>38</v>
      </c>
      <c r="I3" s="21" t="s">
        <v>39</v>
      </c>
      <c r="J3" s="21" t="s">
        <v>40</v>
      </c>
      <c r="K3" s="21" t="s">
        <v>41</v>
      </c>
      <c r="L3" s="23" t="s">
        <v>42</v>
      </c>
    </row>
    <row r="4" spans="1:12">
      <c r="A4" s="18">
        <v>1001202</v>
      </c>
      <c r="B4" s="18"/>
      <c r="C4" s="25" t="s">
        <v>228</v>
      </c>
      <c r="D4" s="25">
        <v>2</v>
      </c>
      <c r="E4" s="25">
        <v>3</v>
      </c>
      <c r="F4" s="25">
        <v>2001</v>
      </c>
      <c r="G4" s="25">
        <v>350</v>
      </c>
      <c r="H4" s="25">
        <v>77000</v>
      </c>
      <c r="I4" s="25"/>
      <c r="J4" s="25">
        <v>7000</v>
      </c>
      <c r="K4" s="25">
        <v>3100101</v>
      </c>
      <c r="L4" s="25" t="s">
        <v>228</v>
      </c>
    </row>
    <row r="5" spans="1:12">
      <c r="A5" s="18">
        <v>1003202</v>
      </c>
      <c r="B5" s="18"/>
      <c r="C5" s="25" t="s">
        <v>230</v>
      </c>
      <c r="D5" s="25">
        <v>2</v>
      </c>
      <c r="E5" s="25">
        <v>3</v>
      </c>
      <c r="F5" s="25">
        <v>120</v>
      </c>
      <c r="G5" s="25">
        <v>350</v>
      </c>
      <c r="H5" s="25">
        <v>11000</v>
      </c>
      <c r="I5" s="25"/>
      <c r="J5" s="25">
        <v>11000</v>
      </c>
      <c r="K5" s="25">
        <v>3100111</v>
      </c>
      <c r="L5" s="25" t="s">
        <v>230</v>
      </c>
    </row>
    <row r="6" spans="1:12">
      <c r="A6" s="18">
        <v>1004202</v>
      </c>
      <c r="B6" s="18"/>
      <c r="C6" s="25" t="s">
        <v>233</v>
      </c>
      <c r="D6" s="25">
        <v>2</v>
      </c>
      <c r="E6" s="25">
        <v>3</v>
      </c>
      <c r="F6" s="25">
        <v>2001</v>
      </c>
      <c r="G6" s="25">
        <v>350</v>
      </c>
      <c r="H6" s="25">
        <v>11000</v>
      </c>
      <c r="I6" s="25"/>
      <c r="J6" s="25">
        <v>13000</v>
      </c>
      <c r="K6" s="25">
        <v>3100201</v>
      </c>
      <c r="L6" s="25" t="s">
        <v>233</v>
      </c>
    </row>
    <row r="7" spans="1:12">
      <c r="A7" s="18">
        <v>1006002</v>
      </c>
      <c r="B7" s="18"/>
      <c r="C7" s="25" t="s">
        <v>236</v>
      </c>
      <c r="D7" s="25">
        <v>2</v>
      </c>
      <c r="E7" s="25">
        <v>3</v>
      </c>
      <c r="F7" s="25">
        <v>2001</v>
      </c>
      <c r="G7" s="25">
        <v>350</v>
      </c>
      <c r="H7" s="25">
        <v>22000</v>
      </c>
      <c r="I7" s="25"/>
      <c r="J7" s="25">
        <v>22000</v>
      </c>
      <c r="K7" s="25">
        <v>1006002</v>
      </c>
      <c r="L7" s="25" t="s">
        <v>238</v>
      </c>
    </row>
    <row r="8" spans="1:12">
      <c r="A8" s="18">
        <v>1006102</v>
      </c>
      <c r="B8" s="18"/>
      <c r="C8" s="25" t="s">
        <v>241</v>
      </c>
      <c r="D8" s="25">
        <v>2</v>
      </c>
      <c r="E8" s="25">
        <v>3</v>
      </c>
      <c r="F8" s="25">
        <v>2001</v>
      </c>
      <c r="G8" s="25">
        <v>350</v>
      </c>
      <c r="H8" s="25">
        <v>42000</v>
      </c>
      <c r="I8" s="25"/>
      <c r="J8" s="25">
        <v>22000</v>
      </c>
      <c r="K8" s="25">
        <v>1006002</v>
      </c>
      <c r="L8" s="25" t="s">
        <v>243</v>
      </c>
    </row>
    <row r="9" spans="1:12">
      <c r="A9" s="18">
        <v>1006202</v>
      </c>
      <c r="B9" s="18"/>
      <c r="C9" s="25" t="s">
        <v>203</v>
      </c>
      <c r="D9" s="25">
        <v>2</v>
      </c>
      <c r="E9" s="25">
        <v>3</v>
      </c>
      <c r="F9" s="25">
        <v>2001</v>
      </c>
      <c r="G9" s="25">
        <v>350</v>
      </c>
      <c r="H9" s="25">
        <v>20000</v>
      </c>
      <c r="I9" s="25"/>
      <c r="J9" s="25">
        <v>22000</v>
      </c>
      <c r="K9" s="25">
        <v>1006002</v>
      </c>
      <c r="L9" s="25" t="s">
        <v>247</v>
      </c>
    </row>
    <row r="10" spans="1:12">
      <c r="A10" s="18">
        <v>1007002</v>
      </c>
      <c r="B10" s="18"/>
      <c r="C10" s="25" t="s">
        <v>82</v>
      </c>
      <c r="D10" s="25">
        <v>2</v>
      </c>
      <c r="E10" s="25">
        <v>3</v>
      </c>
      <c r="F10" s="25">
        <v>2001</v>
      </c>
      <c r="G10" s="25">
        <v>350</v>
      </c>
      <c r="H10" s="25">
        <v>21000</v>
      </c>
      <c r="I10" s="25"/>
      <c r="J10" s="25">
        <v>7000</v>
      </c>
      <c r="K10" s="25">
        <v>1007002</v>
      </c>
      <c r="L10" s="25" t="s">
        <v>252</v>
      </c>
    </row>
    <row r="11" spans="1:12">
      <c r="A11" s="18">
        <v>1007102</v>
      </c>
      <c r="B11" s="18"/>
      <c r="C11" s="25" t="s">
        <v>255</v>
      </c>
      <c r="D11" s="25">
        <v>2</v>
      </c>
      <c r="E11" s="25">
        <v>3</v>
      </c>
      <c r="F11" s="25">
        <v>2001</v>
      </c>
      <c r="G11" s="25">
        <v>350</v>
      </c>
      <c r="H11" s="25">
        <v>21000</v>
      </c>
      <c r="I11" s="25"/>
      <c r="J11" s="25">
        <v>7000</v>
      </c>
      <c r="K11" s="26">
        <v>1007002</v>
      </c>
      <c r="L11" s="25" t="s">
        <v>257</v>
      </c>
    </row>
    <row r="12" spans="1:12">
      <c r="A12" s="18">
        <v>1009002</v>
      </c>
      <c r="B12" s="18"/>
      <c r="C12" s="25" t="s">
        <v>154</v>
      </c>
      <c r="D12" s="25">
        <v>2</v>
      </c>
      <c r="E12" s="25">
        <v>3</v>
      </c>
      <c r="F12" s="25">
        <v>2001</v>
      </c>
      <c r="G12" s="25">
        <v>350</v>
      </c>
      <c r="H12" s="25">
        <v>3500</v>
      </c>
      <c r="I12" s="25"/>
      <c r="J12" s="25">
        <v>7000</v>
      </c>
      <c r="K12" s="25">
        <v>1009002</v>
      </c>
      <c r="L12" s="25" t="s">
        <v>261</v>
      </c>
    </row>
    <row r="13" spans="1:12">
      <c r="A13" s="18">
        <v>1009102</v>
      </c>
      <c r="B13" s="18"/>
      <c r="C13" s="25" t="s">
        <v>265</v>
      </c>
      <c r="D13" s="25">
        <v>2</v>
      </c>
      <c r="E13" s="25">
        <v>3</v>
      </c>
      <c r="F13" s="25">
        <v>2001</v>
      </c>
      <c r="G13" s="25">
        <v>350</v>
      </c>
      <c r="H13" s="25">
        <v>6000</v>
      </c>
      <c r="I13" s="25"/>
      <c r="J13" s="25">
        <v>7000</v>
      </c>
      <c r="K13" s="25">
        <v>1009002</v>
      </c>
      <c r="L13" s="25" t="s">
        <v>267</v>
      </c>
    </row>
    <row r="14" spans="1:12">
      <c r="A14" s="18">
        <v>1010002</v>
      </c>
      <c r="B14" s="18"/>
      <c r="C14" s="25" t="s">
        <v>271</v>
      </c>
      <c r="D14" s="25">
        <v>2</v>
      </c>
      <c r="E14" s="25">
        <v>3</v>
      </c>
      <c r="F14" s="25">
        <v>2001</v>
      </c>
      <c r="G14" s="25">
        <v>350</v>
      </c>
      <c r="H14" s="25">
        <v>21000</v>
      </c>
      <c r="I14" s="25"/>
      <c r="J14" s="25">
        <v>7000</v>
      </c>
      <c r="K14" s="25">
        <v>1010002</v>
      </c>
      <c r="L14" s="25" t="s">
        <v>273</v>
      </c>
    </row>
    <row r="15" spans="1:12">
      <c r="A15" s="18">
        <v>1010102</v>
      </c>
      <c r="B15" s="18"/>
      <c r="C15" s="25" t="s">
        <v>56</v>
      </c>
      <c r="D15" s="25">
        <v>2</v>
      </c>
      <c r="E15" s="25">
        <v>3</v>
      </c>
      <c r="F15" s="25">
        <v>2001</v>
      </c>
      <c r="G15" s="25">
        <v>350</v>
      </c>
      <c r="H15" s="25">
        <v>21000</v>
      </c>
      <c r="I15" s="25"/>
      <c r="J15" s="25">
        <v>7000</v>
      </c>
      <c r="K15" s="25">
        <v>1010002</v>
      </c>
      <c r="L15" s="25" t="s">
        <v>277</v>
      </c>
    </row>
    <row r="16" spans="1:12">
      <c r="A16" s="18">
        <v>1010202</v>
      </c>
      <c r="B16" s="18"/>
      <c r="C16" s="25" t="s">
        <v>208</v>
      </c>
      <c r="D16" s="25">
        <v>2</v>
      </c>
      <c r="E16" s="25">
        <v>3</v>
      </c>
      <c r="F16" s="25">
        <v>2001</v>
      </c>
      <c r="G16" s="25">
        <v>350</v>
      </c>
      <c r="H16" s="25">
        <v>11000</v>
      </c>
      <c r="I16" s="25"/>
      <c r="J16" s="25">
        <v>7000</v>
      </c>
      <c r="K16" s="25">
        <v>1010202</v>
      </c>
      <c r="L16" s="25" t="s">
        <v>282</v>
      </c>
    </row>
    <row r="17" spans="1:12">
      <c r="A17" s="18">
        <v>1011002</v>
      </c>
      <c r="B17" s="18"/>
      <c r="C17" s="25" t="s">
        <v>286</v>
      </c>
      <c r="D17" s="25">
        <v>2</v>
      </c>
      <c r="E17" s="25">
        <v>3</v>
      </c>
      <c r="F17" s="25">
        <v>2001</v>
      </c>
      <c r="G17" s="25">
        <v>350</v>
      </c>
      <c r="H17" s="25">
        <v>5400</v>
      </c>
      <c r="I17" s="25"/>
      <c r="J17" s="25">
        <v>7000</v>
      </c>
      <c r="K17" s="25">
        <v>1011002</v>
      </c>
      <c r="L17" s="25" t="s">
        <v>288</v>
      </c>
    </row>
    <row r="18" spans="1:12">
      <c r="A18" s="18">
        <v>1011102</v>
      </c>
      <c r="B18" s="18"/>
      <c r="C18" s="25" t="s">
        <v>116</v>
      </c>
      <c r="D18" s="25">
        <v>2</v>
      </c>
      <c r="E18" s="25">
        <v>3</v>
      </c>
      <c r="F18" s="25">
        <v>2001</v>
      </c>
      <c r="G18" s="25">
        <v>350</v>
      </c>
      <c r="H18" s="25">
        <v>10000</v>
      </c>
      <c r="I18" s="25"/>
      <c r="J18" s="25">
        <v>7000</v>
      </c>
      <c r="K18" s="25">
        <v>1011002</v>
      </c>
      <c r="L18" s="25" t="s">
        <v>293</v>
      </c>
    </row>
    <row r="19" spans="1:12">
      <c r="A19" s="18">
        <v>1012002</v>
      </c>
      <c r="B19" s="18"/>
      <c r="C19" s="25" t="s">
        <v>296</v>
      </c>
      <c r="D19" s="25">
        <v>2</v>
      </c>
      <c r="E19" s="25">
        <v>3</v>
      </c>
      <c r="F19" s="25">
        <v>2001</v>
      </c>
      <c r="G19" s="25">
        <v>350</v>
      </c>
      <c r="H19" s="25">
        <v>4500</v>
      </c>
      <c r="I19" s="25"/>
      <c r="J19" s="25">
        <v>7000</v>
      </c>
      <c r="K19" s="25">
        <v>1012002</v>
      </c>
      <c r="L19" s="25" t="s">
        <v>298</v>
      </c>
    </row>
    <row r="20" spans="1:12">
      <c r="A20" s="18">
        <v>1012102</v>
      </c>
      <c r="B20" s="18"/>
      <c r="C20" s="25" t="s">
        <v>130</v>
      </c>
      <c r="D20" s="25">
        <v>2</v>
      </c>
      <c r="E20" s="25">
        <v>3</v>
      </c>
      <c r="F20" s="25">
        <v>2001</v>
      </c>
      <c r="G20" s="25">
        <v>350</v>
      </c>
      <c r="H20" s="25">
        <v>8000</v>
      </c>
      <c r="I20" s="25"/>
      <c r="J20" s="25">
        <v>7000</v>
      </c>
      <c r="K20" s="25">
        <v>1012002</v>
      </c>
      <c r="L20" s="25" t="s">
        <v>303</v>
      </c>
    </row>
    <row r="21" spans="1:12">
      <c r="A21" s="18">
        <v>1012202</v>
      </c>
      <c r="B21" s="18"/>
      <c r="C21" s="25" t="s">
        <v>178</v>
      </c>
      <c r="D21" s="25">
        <v>2</v>
      </c>
      <c r="E21" s="25">
        <v>3</v>
      </c>
      <c r="F21" s="25">
        <v>2001</v>
      </c>
      <c r="G21" s="25">
        <v>350</v>
      </c>
      <c r="H21" s="25">
        <v>16000</v>
      </c>
      <c r="I21" s="25"/>
      <c r="J21" s="25">
        <v>7000</v>
      </c>
      <c r="K21" s="25">
        <v>1012202</v>
      </c>
      <c r="L21" s="25" t="s">
        <v>307</v>
      </c>
    </row>
    <row r="22" spans="1:12">
      <c r="A22" s="18">
        <v>1013002</v>
      </c>
      <c r="B22" s="18"/>
      <c r="C22" s="25" t="s">
        <v>310</v>
      </c>
      <c r="D22" s="25">
        <v>2</v>
      </c>
      <c r="E22" s="25">
        <v>3</v>
      </c>
      <c r="F22" s="25">
        <v>2001</v>
      </c>
      <c r="G22" s="25">
        <v>350</v>
      </c>
      <c r="H22" s="25">
        <v>3000</v>
      </c>
      <c r="I22" s="25"/>
      <c r="J22" s="25">
        <v>7000</v>
      </c>
      <c r="K22" s="25">
        <v>1013002</v>
      </c>
      <c r="L22" s="25" t="s">
        <v>312</v>
      </c>
    </row>
    <row r="23" spans="1:12">
      <c r="A23" s="18">
        <v>1013102</v>
      </c>
      <c r="B23" s="18"/>
      <c r="C23" s="25" t="s">
        <v>87</v>
      </c>
      <c r="D23" s="25">
        <v>2</v>
      </c>
      <c r="E23" s="25">
        <v>3</v>
      </c>
      <c r="F23" s="25">
        <v>2001</v>
      </c>
      <c r="G23" s="25">
        <v>350</v>
      </c>
      <c r="H23" s="25">
        <v>3000</v>
      </c>
      <c r="I23" s="25"/>
      <c r="J23" s="25">
        <v>7000</v>
      </c>
      <c r="K23" s="25">
        <v>1013002</v>
      </c>
      <c r="L23" s="25" t="s">
        <v>317</v>
      </c>
    </row>
    <row r="24" spans="1:12">
      <c r="A24" s="18">
        <v>1014002</v>
      </c>
      <c r="B24" s="18"/>
      <c r="C24" s="25" t="s">
        <v>321</v>
      </c>
      <c r="D24" s="25">
        <v>2</v>
      </c>
      <c r="E24" s="25">
        <v>3</v>
      </c>
      <c r="F24" s="25">
        <v>2001</v>
      </c>
      <c r="G24" s="25">
        <v>350</v>
      </c>
      <c r="H24" s="25">
        <v>21000</v>
      </c>
      <c r="I24" s="25"/>
      <c r="J24" s="25">
        <v>18000</v>
      </c>
      <c r="K24" s="25">
        <v>1014002</v>
      </c>
      <c r="L24" s="25" t="s">
        <v>323</v>
      </c>
    </row>
    <row r="25" spans="1:12">
      <c r="A25" s="18">
        <v>1014102</v>
      </c>
      <c r="B25" s="18"/>
      <c r="C25" s="25" t="s">
        <v>326</v>
      </c>
      <c r="D25" s="25">
        <v>2</v>
      </c>
      <c r="E25" s="25">
        <v>3</v>
      </c>
      <c r="F25" s="25">
        <v>2001</v>
      </c>
      <c r="G25" s="25">
        <v>350</v>
      </c>
      <c r="H25" s="25">
        <v>42000</v>
      </c>
      <c r="I25" s="25"/>
      <c r="J25" s="25">
        <v>18000</v>
      </c>
      <c r="K25" s="25">
        <v>1014002</v>
      </c>
      <c r="L25" s="25" t="s">
        <v>328</v>
      </c>
    </row>
    <row r="26" spans="1:12">
      <c r="A26" s="18">
        <v>1015002</v>
      </c>
      <c r="B26" s="18"/>
      <c r="C26" s="25" t="s">
        <v>106</v>
      </c>
      <c r="D26" s="25">
        <v>2</v>
      </c>
      <c r="E26" s="25">
        <v>3</v>
      </c>
      <c r="F26" s="25">
        <v>2001</v>
      </c>
      <c r="G26" s="25">
        <v>350</v>
      </c>
      <c r="H26" s="25">
        <v>21000</v>
      </c>
      <c r="I26" s="25"/>
      <c r="J26" s="25">
        <v>18000</v>
      </c>
      <c r="K26" s="25">
        <v>1015002</v>
      </c>
      <c r="L26" s="25" t="s">
        <v>332</v>
      </c>
    </row>
    <row r="27" spans="1:12">
      <c r="A27" s="18">
        <v>1015102</v>
      </c>
      <c r="B27" s="18"/>
      <c r="C27" s="25" t="s">
        <v>335</v>
      </c>
      <c r="D27" s="25">
        <v>2</v>
      </c>
      <c r="E27" s="25">
        <v>3</v>
      </c>
      <c r="F27" s="25">
        <v>2001</v>
      </c>
      <c r="G27" s="25">
        <v>350</v>
      </c>
      <c r="H27" s="25">
        <v>42000</v>
      </c>
      <c r="I27" s="25"/>
      <c r="J27" s="25">
        <v>18000</v>
      </c>
      <c r="K27" s="25">
        <v>1015002</v>
      </c>
      <c r="L27" s="25" t="s">
        <v>337</v>
      </c>
    </row>
    <row r="28" spans="1:12">
      <c r="A28" s="18">
        <v>1016002</v>
      </c>
      <c r="B28" s="18"/>
      <c r="C28" s="25" t="s">
        <v>340</v>
      </c>
      <c r="D28" s="25">
        <v>2</v>
      </c>
      <c r="E28" s="25">
        <v>3</v>
      </c>
      <c r="F28" s="25">
        <v>2002</v>
      </c>
      <c r="G28" s="25">
        <v>350</v>
      </c>
      <c r="H28" s="25">
        <v>21000</v>
      </c>
      <c r="I28" s="25"/>
      <c r="J28" s="25">
        <v>18000</v>
      </c>
      <c r="K28" s="25">
        <v>1016002</v>
      </c>
      <c r="L28" s="25" t="s">
        <v>342</v>
      </c>
    </row>
    <row r="29" spans="1:12">
      <c r="A29" s="18">
        <v>1016102</v>
      </c>
      <c r="B29" s="18"/>
      <c r="C29" s="25" t="s">
        <v>345</v>
      </c>
      <c r="D29" s="25">
        <v>2</v>
      </c>
      <c r="E29" s="25">
        <v>3</v>
      </c>
      <c r="F29" s="25">
        <v>2001</v>
      </c>
      <c r="G29" s="25">
        <v>350</v>
      </c>
      <c r="H29" s="25">
        <v>42000</v>
      </c>
      <c r="I29" s="25"/>
      <c r="J29" s="25">
        <v>18000</v>
      </c>
      <c r="K29" s="25">
        <v>1016102</v>
      </c>
      <c r="L29" s="25" t="s">
        <v>347</v>
      </c>
    </row>
    <row r="30" spans="1:12">
      <c r="A30" s="18">
        <v>1017002</v>
      </c>
      <c r="B30" s="18"/>
      <c r="C30" s="25" t="s">
        <v>350</v>
      </c>
      <c r="D30" s="25">
        <v>2</v>
      </c>
      <c r="E30" s="25">
        <v>3</v>
      </c>
      <c r="F30" s="25">
        <v>2002</v>
      </c>
      <c r="G30" s="25">
        <v>350</v>
      </c>
      <c r="H30" s="25">
        <v>21000</v>
      </c>
      <c r="I30" s="25"/>
      <c r="J30" s="25">
        <v>18000</v>
      </c>
      <c r="K30" s="25">
        <v>1017002</v>
      </c>
      <c r="L30" s="25" t="s">
        <v>352</v>
      </c>
    </row>
    <row r="31" spans="1:12">
      <c r="A31" s="18">
        <v>1017102</v>
      </c>
      <c r="B31" s="18"/>
      <c r="C31" s="25" t="s">
        <v>355</v>
      </c>
      <c r="D31" s="25">
        <v>2</v>
      </c>
      <c r="E31" s="25">
        <v>3</v>
      </c>
      <c r="F31" s="25">
        <v>2001</v>
      </c>
      <c r="G31" s="25">
        <v>350</v>
      </c>
      <c r="H31" s="25">
        <v>42000</v>
      </c>
      <c r="I31" s="25"/>
      <c r="J31" s="25">
        <v>18000</v>
      </c>
      <c r="K31" s="25">
        <v>1017002</v>
      </c>
      <c r="L31" s="25" t="s">
        <v>357</v>
      </c>
    </row>
    <row r="32" spans="1:12">
      <c r="A32" s="18">
        <v>1018002</v>
      </c>
      <c r="B32" s="18"/>
      <c r="C32" s="25" t="s">
        <v>360</v>
      </c>
      <c r="D32" s="25">
        <v>2</v>
      </c>
      <c r="E32" s="25">
        <v>3</v>
      </c>
      <c r="F32" s="25">
        <v>2001</v>
      </c>
      <c r="G32" s="25">
        <v>350</v>
      </c>
      <c r="H32" s="25">
        <v>3800</v>
      </c>
      <c r="I32" s="25"/>
      <c r="J32" s="25">
        <v>18000</v>
      </c>
      <c r="K32" s="25">
        <v>1018002</v>
      </c>
      <c r="L32" s="25" t="s">
        <v>362</v>
      </c>
    </row>
    <row r="33" spans="1:12">
      <c r="A33" s="18">
        <v>1018102</v>
      </c>
      <c r="B33" s="18"/>
      <c r="C33" s="25" t="s">
        <v>366</v>
      </c>
      <c r="D33" s="25">
        <v>2</v>
      </c>
      <c r="E33" s="25">
        <v>3</v>
      </c>
      <c r="F33" s="25">
        <v>2001</v>
      </c>
      <c r="G33" s="25">
        <v>350</v>
      </c>
      <c r="H33" s="25">
        <v>8000</v>
      </c>
      <c r="I33" s="25"/>
      <c r="J33" s="25">
        <v>18000</v>
      </c>
      <c r="K33" s="25">
        <v>1018102</v>
      </c>
      <c r="L33" s="25" t="s">
        <v>368</v>
      </c>
    </row>
    <row r="34" spans="1:12">
      <c r="A34" s="18">
        <v>1019002</v>
      </c>
      <c r="B34" s="18"/>
      <c r="C34" s="25" t="s">
        <v>372</v>
      </c>
      <c r="D34" s="25">
        <v>2</v>
      </c>
      <c r="E34" s="25">
        <v>3</v>
      </c>
      <c r="F34" s="25">
        <v>2001</v>
      </c>
      <c r="G34" s="25">
        <v>350</v>
      </c>
      <c r="H34" s="25">
        <v>5100</v>
      </c>
      <c r="I34" s="25"/>
      <c r="J34" s="25">
        <v>16000</v>
      </c>
      <c r="K34" s="25">
        <v>1019002</v>
      </c>
      <c r="L34" s="25" t="s">
        <v>374</v>
      </c>
    </row>
    <row r="35" spans="1:12">
      <c r="A35" s="18">
        <v>1019102</v>
      </c>
      <c r="B35" s="18"/>
      <c r="C35" s="25" t="s">
        <v>111</v>
      </c>
      <c r="D35" s="25">
        <v>2</v>
      </c>
      <c r="E35" s="25">
        <v>3</v>
      </c>
      <c r="F35" s="25">
        <v>2001</v>
      </c>
      <c r="G35" s="25">
        <v>350</v>
      </c>
      <c r="H35" s="25">
        <v>5100</v>
      </c>
      <c r="I35" s="25"/>
      <c r="J35" s="25">
        <v>16000</v>
      </c>
      <c r="K35" s="25">
        <v>1019102</v>
      </c>
      <c r="L35" s="25" t="s">
        <v>379</v>
      </c>
    </row>
    <row r="36" spans="1:12">
      <c r="A36" s="18">
        <v>1019202</v>
      </c>
      <c r="B36" s="18"/>
      <c r="C36" s="25" t="s">
        <v>383</v>
      </c>
      <c r="D36" s="25">
        <v>2</v>
      </c>
      <c r="E36" s="25">
        <v>3</v>
      </c>
      <c r="F36" s="25">
        <v>2002</v>
      </c>
      <c r="G36" s="25">
        <v>350</v>
      </c>
      <c r="H36" s="25">
        <v>88000</v>
      </c>
      <c r="I36" s="25"/>
      <c r="J36" s="25">
        <v>16000</v>
      </c>
      <c r="K36" s="25">
        <v>1019202</v>
      </c>
      <c r="L36" s="25" t="s">
        <v>385</v>
      </c>
    </row>
    <row r="37" spans="1:12">
      <c r="A37" s="18">
        <v>1021002</v>
      </c>
      <c r="B37" s="18"/>
      <c r="C37" s="25" t="s">
        <v>388</v>
      </c>
      <c r="D37" s="25">
        <v>2</v>
      </c>
      <c r="E37" s="25">
        <v>3</v>
      </c>
      <c r="F37" s="25">
        <v>2001</v>
      </c>
      <c r="G37" s="25">
        <v>350</v>
      </c>
      <c r="H37" s="25">
        <v>22000</v>
      </c>
      <c r="I37" s="25"/>
      <c r="J37" s="25">
        <v>5500</v>
      </c>
      <c r="K37" s="25">
        <v>1021002</v>
      </c>
      <c r="L37" s="25" t="s">
        <v>390</v>
      </c>
    </row>
    <row r="38" spans="1:12">
      <c r="A38" s="18">
        <v>1021102</v>
      </c>
      <c r="B38" s="18"/>
      <c r="C38" s="25" t="s">
        <v>165</v>
      </c>
      <c r="D38" s="25">
        <v>2</v>
      </c>
      <c r="E38" s="25">
        <v>3</v>
      </c>
      <c r="F38" s="25">
        <v>2001</v>
      </c>
      <c r="G38" s="25">
        <v>350</v>
      </c>
      <c r="H38" s="25">
        <v>7000</v>
      </c>
      <c r="I38" s="25"/>
      <c r="J38" s="25">
        <v>11000</v>
      </c>
      <c r="K38" s="25">
        <v>1021002</v>
      </c>
      <c r="L38" s="25" t="s">
        <v>395</v>
      </c>
    </row>
    <row r="39" spans="1:12">
      <c r="A39" s="18">
        <v>1022002</v>
      </c>
      <c r="B39" s="18"/>
      <c r="C39" s="25" t="s">
        <v>399</v>
      </c>
      <c r="D39" s="25">
        <v>2</v>
      </c>
      <c r="E39" s="25">
        <v>3</v>
      </c>
      <c r="F39" s="25">
        <v>2001</v>
      </c>
      <c r="G39" s="25">
        <v>350</v>
      </c>
      <c r="H39" s="25">
        <v>22000</v>
      </c>
      <c r="I39" s="25"/>
      <c r="J39" s="25">
        <v>22000</v>
      </c>
      <c r="K39" s="25">
        <v>1022002</v>
      </c>
      <c r="L39" s="25" t="s">
        <v>401</v>
      </c>
    </row>
    <row r="40" spans="1:12">
      <c r="A40" s="18">
        <v>1022102</v>
      </c>
      <c r="B40" s="18"/>
      <c r="C40" s="25" t="s">
        <v>404</v>
      </c>
      <c r="D40" s="25">
        <v>2</v>
      </c>
      <c r="E40" s="25">
        <v>3</v>
      </c>
      <c r="F40" s="25">
        <v>2001</v>
      </c>
      <c r="G40" s="25">
        <v>350</v>
      </c>
      <c r="H40" s="25">
        <v>7000</v>
      </c>
      <c r="I40" s="25"/>
      <c r="J40" s="25">
        <v>22000</v>
      </c>
      <c r="K40" s="25">
        <v>1022002</v>
      </c>
      <c r="L40" s="25" t="s">
        <v>406</v>
      </c>
    </row>
    <row r="41" spans="1:12">
      <c r="A41" s="18">
        <v>1023002</v>
      </c>
      <c r="B41" s="18"/>
      <c r="C41" s="25" t="s">
        <v>410</v>
      </c>
      <c r="D41" s="25">
        <v>2</v>
      </c>
      <c r="E41" s="25">
        <v>3</v>
      </c>
      <c r="F41" s="25">
        <v>2001</v>
      </c>
      <c r="G41" s="25">
        <v>350</v>
      </c>
      <c r="H41" s="25">
        <v>3000</v>
      </c>
      <c r="I41" s="25"/>
      <c r="J41" s="25">
        <v>14000</v>
      </c>
      <c r="K41" s="25">
        <v>1023002</v>
      </c>
      <c r="L41" s="25" t="s">
        <v>412</v>
      </c>
    </row>
    <row r="42" spans="1:12">
      <c r="A42" s="18">
        <v>1023102</v>
      </c>
      <c r="B42" s="18"/>
      <c r="C42" s="25" t="s">
        <v>169</v>
      </c>
      <c r="D42" s="25">
        <v>2</v>
      </c>
      <c r="E42" s="25">
        <v>3</v>
      </c>
      <c r="F42" s="25">
        <v>2001</v>
      </c>
      <c r="G42" s="25">
        <v>350</v>
      </c>
      <c r="H42" s="25">
        <v>6000</v>
      </c>
      <c r="I42" s="25"/>
      <c r="J42" s="25">
        <v>14000</v>
      </c>
      <c r="K42" s="25">
        <v>1023002</v>
      </c>
      <c r="L42" s="25" t="s">
        <v>417</v>
      </c>
    </row>
    <row r="43" spans="1:12">
      <c r="A43" s="18">
        <v>1025002</v>
      </c>
      <c r="B43" s="18"/>
      <c r="C43" s="25" t="s">
        <v>421</v>
      </c>
      <c r="D43" s="25">
        <v>2</v>
      </c>
      <c r="E43" s="25">
        <v>3</v>
      </c>
      <c r="F43" s="25">
        <v>2001</v>
      </c>
      <c r="G43" s="25">
        <v>350</v>
      </c>
      <c r="H43" s="25">
        <v>11000</v>
      </c>
      <c r="I43" s="25"/>
      <c r="J43" s="25">
        <v>14000</v>
      </c>
      <c r="K43" s="25">
        <v>1025002</v>
      </c>
      <c r="L43" s="25" t="s">
        <v>423</v>
      </c>
    </row>
    <row r="44" spans="1:12">
      <c r="A44" s="18">
        <v>1025102</v>
      </c>
      <c r="B44" s="18"/>
      <c r="C44" s="25" t="s">
        <v>149</v>
      </c>
      <c r="D44" s="25">
        <v>2</v>
      </c>
      <c r="E44" s="25">
        <v>3</v>
      </c>
      <c r="F44" s="25">
        <v>2001</v>
      </c>
      <c r="G44" s="25">
        <v>350</v>
      </c>
      <c r="H44" s="25">
        <v>5500</v>
      </c>
      <c r="I44" s="25"/>
      <c r="J44" s="25">
        <v>14000</v>
      </c>
      <c r="K44" s="25">
        <v>1025102</v>
      </c>
      <c r="L44" s="25" t="s">
        <v>427</v>
      </c>
    </row>
    <row r="45" spans="1:12">
      <c r="A45" s="18">
        <v>1026002</v>
      </c>
      <c r="B45" s="18"/>
      <c r="C45" s="25" t="s">
        <v>431</v>
      </c>
      <c r="D45" s="25">
        <v>2</v>
      </c>
      <c r="E45" s="25">
        <v>3</v>
      </c>
      <c r="F45" s="25">
        <v>2001</v>
      </c>
      <c r="G45" s="25">
        <v>350</v>
      </c>
      <c r="H45" s="25">
        <v>21000</v>
      </c>
      <c r="I45" s="25"/>
      <c r="J45" s="25">
        <v>16000</v>
      </c>
      <c r="K45" s="25">
        <v>1026002</v>
      </c>
      <c r="L45" s="25" t="s">
        <v>433</v>
      </c>
    </row>
    <row r="46" spans="1:12">
      <c r="A46" s="18">
        <v>1027002</v>
      </c>
      <c r="B46" s="18"/>
      <c r="C46" s="25" t="s">
        <v>436</v>
      </c>
      <c r="D46" s="25">
        <v>2</v>
      </c>
      <c r="E46" s="25">
        <v>3</v>
      </c>
      <c r="F46" s="25">
        <v>2001</v>
      </c>
      <c r="G46" s="25">
        <v>350</v>
      </c>
      <c r="H46" s="25">
        <v>21000</v>
      </c>
      <c r="I46" s="25"/>
      <c r="J46" s="25">
        <v>16000</v>
      </c>
      <c r="K46" s="25">
        <v>1027002</v>
      </c>
      <c r="L46" s="25" t="s">
        <v>438</v>
      </c>
    </row>
    <row r="47" spans="1:12">
      <c r="A47" s="18">
        <v>1027102</v>
      </c>
      <c r="B47" s="18"/>
      <c r="C47" s="25" t="s">
        <v>441</v>
      </c>
      <c r="D47" s="25">
        <v>2</v>
      </c>
      <c r="E47" s="25">
        <v>3</v>
      </c>
      <c r="F47" s="25">
        <v>2001</v>
      </c>
      <c r="G47" s="25">
        <v>350</v>
      </c>
      <c r="H47" s="25">
        <v>42000</v>
      </c>
      <c r="I47" s="25"/>
      <c r="J47" s="25">
        <v>16000</v>
      </c>
      <c r="K47" s="25">
        <v>1027002</v>
      </c>
      <c r="L47" s="25" t="s">
        <v>443</v>
      </c>
    </row>
    <row r="48" spans="1:12">
      <c r="A48" s="18">
        <v>1030002</v>
      </c>
      <c r="B48" s="18"/>
      <c r="C48" s="25" t="s">
        <v>446</v>
      </c>
      <c r="D48" s="25">
        <v>2</v>
      </c>
      <c r="E48" s="25">
        <v>3</v>
      </c>
      <c r="F48" s="25">
        <v>2001</v>
      </c>
      <c r="G48" s="25">
        <v>350</v>
      </c>
      <c r="H48" s="25">
        <v>21000</v>
      </c>
      <c r="I48" s="25"/>
      <c r="J48" s="25">
        <v>16000</v>
      </c>
      <c r="K48" s="25">
        <v>1030002</v>
      </c>
      <c r="L48" s="25" t="s">
        <v>448</v>
      </c>
    </row>
    <row r="49" spans="1:12">
      <c r="A49" s="18">
        <v>1030102</v>
      </c>
      <c r="B49" s="18"/>
      <c r="C49" s="25" t="s">
        <v>121</v>
      </c>
      <c r="D49" s="25">
        <v>2</v>
      </c>
      <c r="E49" s="25">
        <v>3</v>
      </c>
      <c r="F49" s="25">
        <v>2001</v>
      </c>
      <c r="G49" s="25">
        <v>350</v>
      </c>
      <c r="H49" s="25">
        <v>42000</v>
      </c>
      <c r="I49" s="25"/>
      <c r="J49" s="25">
        <v>16000</v>
      </c>
      <c r="K49" s="25">
        <v>1030002</v>
      </c>
      <c r="L49" s="25" t="s">
        <v>452</v>
      </c>
    </row>
    <row r="50" spans="1:12">
      <c r="A50" s="18">
        <v>1032002</v>
      </c>
      <c r="B50" s="18"/>
      <c r="C50" s="25" t="s">
        <v>455</v>
      </c>
      <c r="D50" s="25">
        <v>2</v>
      </c>
      <c r="E50" s="25">
        <v>3</v>
      </c>
      <c r="F50" s="25">
        <v>2001</v>
      </c>
      <c r="G50" s="25">
        <v>350</v>
      </c>
      <c r="H50" s="25">
        <v>9500</v>
      </c>
      <c r="I50" s="25"/>
      <c r="J50" s="25">
        <v>18000</v>
      </c>
      <c r="K50" s="25">
        <v>1032002</v>
      </c>
      <c r="L50" s="25" t="s">
        <v>457</v>
      </c>
    </row>
    <row r="51" spans="1:12">
      <c r="A51" s="18">
        <v>1032102</v>
      </c>
      <c r="B51" s="18"/>
      <c r="C51" s="25" t="s">
        <v>461</v>
      </c>
      <c r="D51" s="25">
        <v>2</v>
      </c>
      <c r="E51" s="25">
        <v>3</v>
      </c>
      <c r="F51" s="25">
        <v>2001</v>
      </c>
      <c r="G51" s="25">
        <v>350</v>
      </c>
      <c r="H51" s="25">
        <v>21000</v>
      </c>
      <c r="I51" s="25"/>
      <c r="J51" s="25">
        <v>18000</v>
      </c>
      <c r="K51" s="25">
        <v>1032002</v>
      </c>
      <c r="L51" s="25" t="s">
        <v>463</v>
      </c>
    </row>
    <row r="52" spans="1:12">
      <c r="A52" s="18">
        <v>1033002</v>
      </c>
      <c r="B52" s="18"/>
      <c r="C52" s="25" t="s">
        <v>466</v>
      </c>
      <c r="D52" s="25">
        <v>2</v>
      </c>
      <c r="E52" s="25">
        <v>3</v>
      </c>
      <c r="F52" s="25">
        <v>2001</v>
      </c>
      <c r="G52" s="25">
        <v>350</v>
      </c>
      <c r="H52" s="25">
        <v>4400</v>
      </c>
      <c r="I52" s="25"/>
      <c r="J52" s="25">
        <v>12000</v>
      </c>
      <c r="K52" s="25">
        <v>1033002</v>
      </c>
      <c r="L52" s="25" t="s">
        <v>468</v>
      </c>
    </row>
    <row r="53" spans="1:12">
      <c r="A53" s="18">
        <v>1033102</v>
      </c>
      <c r="B53" s="18"/>
      <c r="C53" s="25" t="s">
        <v>472</v>
      </c>
      <c r="D53" s="25">
        <v>2</v>
      </c>
      <c r="E53" s="25">
        <v>3</v>
      </c>
      <c r="F53" s="25">
        <v>2001</v>
      </c>
      <c r="G53" s="25">
        <v>350</v>
      </c>
      <c r="H53" s="25">
        <v>8200</v>
      </c>
      <c r="I53" s="25"/>
      <c r="J53" s="25">
        <v>12000</v>
      </c>
      <c r="K53" s="25">
        <v>1033002</v>
      </c>
      <c r="L53" s="25" t="s">
        <v>474</v>
      </c>
    </row>
    <row r="54" spans="1:12">
      <c r="A54" s="18">
        <v>1033202</v>
      </c>
      <c r="B54" s="18"/>
      <c r="C54" s="25" t="s">
        <v>478</v>
      </c>
      <c r="D54" s="25">
        <v>2</v>
      </c>
      <c r="E54" s="25">
        <v>3</v>
      </c>
      <c r="F54" s="25">
        <v>2001</v>
      </c>
      <c r="G54" s="25">
        <v>350</v>
      </c>
      <c r="H54" s="25">
        <v>8200</v>
      </c>
      <c r="I54" s="25"/>
      <c r="J54" s="25">
        <v>12000</v>
      </c>
      <c r="K54" s="25">
        <v>1033202</v>
      </c>
      <c r="L54" s="25" t="s">
        <v>480</v>
      </c>
    </row>
    <row r="55" spans="1:12">
      <c r="A55" s="18">
        <v>1035002</v>
      </c>
      <c r="B55" s="18"/>
      <c r="C55" s="25" t="s">
        <v>135</v>
      </c>
      <c r="D55" s="25">
        <v>2</v>
      </c>
      <c r="E55" s="25">
        <v>3</v>
      </c>
      <c r="F55" s="25">
        <v>2001</v>
      </c>
      <c r="G55" s="25">
        <v>350</v>
      </c>
      <c r="H55" s="25">
        <v>2100</v>
      </c>
      <c r="I55" s="25"/>
      <c r="J55" s="25">
        <v>18000</v>
      </c>
      <c r="K55" s="25">
        <v>1035002</v>
      </c>
      <c r="L55" s="25" t="s">
        <v>485</v>
      </c>
    </row>
    <row r="56" spans="1:12">
      <c r="A56" s="18">
        <v>1035102</v>
      </c>
      <c r="B56" s="18"/>
      <c r="C56" s="25" t="s">
        <v>489</v>
      </c>
      <c r="D56" s="25">
        <v>2</v>
      </c>
      <c r="E56" s="25">
        <v>3</v>
      </c>
      <c r="F56" s="25">
        <v>2001</v>
      </c>
      <c r="G56" s="25">
        <v>350</v>
      </c>
      <c r="H56" s="25">
        <v>4200</v>
      </c>
      <c r="I56" s="25"/>
      <c r="J56" s="25">
        <v>18000</v>
      </c>
      <c r="K56" s="25">
        <v>1035002</v>
      </c>
      <c r="L56" s="25" t="s">
        <v>491</v>
      </c>
    </row>
    <row r="57" spans="1:12">
      <c r="A57" s="18">
        <v>1035202</v>
      </c>
      <c r="B57" s="18"/>
      <c r="C57" s="25" t="s">
        <v>184</v>
      </c>
      <c r="D57" s="25">
        <v>2</v>
      </c>
      <c r="E57" s="25">
        <v>3</v>
      </c>
      <c r="F57" s="25">
        <v>2001</v>
      </c>
      <c r="G57" s="25">
        <v>350</v>
      </c>
      <c r="H57" s="25">
        <v>10000</v>
      </c>
      <c r="I57" s="25"/>
      <c r="J57" s="25">
        <v>18000</v>
      </c>
      <c r="K57" s="25">
        <v>1035202</v>
      </c>
      <c r="L57" s="25" t="s">
        <v>496</v>
      </c>
    </row>
    <row r="58" spans="1:12">
      <c r="A58" s="18">
        <v>1036002</v>
      </c>
      <c r="B58" s="18"/>
      <c r="C58" s="25" t="s">
        <v>500</v>
      </c>
      <c r="D58" s="25">
        <v>2</v>
      </c>
      <c r="E58" s="25">
        <v>3</v>
      </c>
      <c r="F58" s="25">
        <v>2001</v>
      </c>
      <c r="G58" s="25">
        <v>350</v>
      </c>
      <c r="H58" s="25">
        <v>4200</v>
      </c>
      <c r="I58" s="25"/>
      <c r="J58" s="25">
        <v>7000</v>
      </c>
      <c r="K58" s="25">
        <v>1036002</v>
      </c>
      <c r="L58" s="25" t="s">
        <v>502</v>
      </c>
    </row>
    <row r="59" spans="1:12">
      <c r="A59" s="18">
        <v>1036102</v>
      </c>
      <c r="B59" s="18"/>
      <c r="C59" s="25" t="s">
        <v>507</v>
      </c>
      <c r="D59" s="25">
        <v>2</v>
      </c>
      <c r="E59" s="25">
        <v>3</v>
      </c>
      <c r="F59" s="25">
        <v>2001</v>
      </c>
      <c r="G59" s="25">
        <v>350</v>
      </c>
      <c r="H59" s="25">
        <v>8400</v>
      </c>
      <c r="I59" s="25"/>
      <c r="J59" s="25">
        <v>7000</v>
      </c>
      <c r="K59" s="25">
        <v>1036102</v>
      </c>
      <c r="L59" s="25" t="s">
        <v>509</v>
      </c>
    </row>
    <row r="60" spans="1:12">
      <c r="A60" s="18">
        <v>1038002</v>
      </c>
      <c r="B60" s="18"/>
      <c r="C60" s="25" t="s">
        <v>513</v>
      </c>
      <c r="D60" s="25">
        <v>2</v>
      </c>
      <c r="E60" s="25">
        <v>3</v>
      </c>
      <c r="F60" s="25">
        <v>2001</v>
      </c>
      <c r="G60" s="25">
        <v>350</v>
      </c>
      <c r="H60" s="25">
        <v>3850</v>
      </c>
      <c r="I60" s="25"/>
      <c r="J60" s="25">
        <v>14000</v>
      </c>
      <c r="K60" s="25">
        <v>1038002</v>
      </c>
      <c r="L60" s="25" t="s">
        <v>515</v>
      </c>
    </row>
    <row r="61" spans="1:12">
      <c r="A61" s="18">
        <v>1038102</v>
      </c>
      <c r="B61" s="18"/>
      <c r="C61" s="25" t="s">
        <v>519</v>
      </c>
      <c r="D61" s="25">
        <v>2</v>
      </c>
      <c r="E61" s="25">
        <v>3</v>
      </c>
      <c r="F61" s="25">
        <v>2001</v>
      </c>
      <c r="G61" s="25">
        <v>350</v>
      </c>
      <c r="H61" s="25">
        <v>8500</v>
      </c>
      <c r="I61" s="25"/>
      <c r="J61" s="25">
        <v>14000</v>
      </c>
      <c r="K61" s="25">
        <v>1038002</v>
      </c>
      <c r="L61" s="25" t="s">
        <v>521</v>
      </c>
    </row>
    <row r="62" spans="1:12">
      <c r="A62" s="18">
        <v>1039002</v>
      </c>
      <c r="B62" s="18"/>
      <c r="C62" s="25" t="s">
        <v>63</v>
      </c>
      <c r="D62" s="25">
        <v>2</v>
      </c>
      <c r="E62" s="25">
        <v>3</v>
      </c>
      <c r="F62" s="25">
        <v>2001</v>
      </c>
      <c r="G62" s="25">
        <v>350</v>
      </c>
      <c r="H62" s="25">
        <v>3000</v>
      </c>
      <c r="I62" s="25"/>
      <c r="J62" s="25">
        <v>18000</v>
      </c>
      <c r="K62" s="25">
        <v>1039002</v>
      </c>
      <c r="L62" s="25" t="s">
        <v>525</v>
      </c>
    </row>
    <row r="63" spans="1:12">
      <c r="A63" s="18">
        <v>1039102</v>
      </c>
      <c r="B63" s="18"/>
      <c r="C63" s="25" t="s">
        <v>529</v>
      </c>
      <c r="D63" s="25">
        <v>2</v>
      </c>
      <c r="E63" s="25">
        <v>3</v>
      </c>
      <c r="F63" s="25">
        <v>2001</v>
      </c>
      <c r="G63" s="25">
        <v>350</v>
      </c>
      <c r="H63" s="25">
        <v>6000</v>
      </c>
      <c r="I63" s="25"/>
      <c r="J63" s="25">
        <v>18000</v>
      </c>
      <c r="K63" s="25">
        <v>1039102</v>
      </c>
      <c r="L63" s="25" t="s">
        <v>531</v>
      </c>
    </row>
    <row r="64" spans="1:12">
      <c r="A64" s="18">
        <v>1039202</v>
      </c>
      <c r="B64" s="18"/>
      <c r="C64" s="25" t="s">
        <v>535</v>
      </c>
      <c r="D64" s="25">
        <v>2</v>
      </c>
      <c r="E64" s="25">
        <v>3</v>
      </c>
      <c r="F64" s="25">
        <v>2001</v>
      </c>
      <c r="G64" s="25">
        <v>350</v>
      </c>
      <c r="H64" s="25">
        <v>12000</v>
      </c>
      <c r="I64" s="25"/>
      <c r="J64" s="25">
        <v>18000</v>
      </c>
      <c r="K64" s="25">
        <v>1039202</v>
      </c>
      <c r="L64" s="25" t="s">
        <v>537</v>
      </c>
    </row>
    <row r="65" spans="1:12">
      <c r="A65" s="18">
        <v>1041002</v>
      </c>
      <c r="B65" s="18"/>
      <c r="C65" s="25" t="s">
        <v>92</v>
      </c>
      <c r="D65" s="25">
        <v>2</v>
      </c>
      <c r="E65" s="25">
        <v>3</v>
      </c>
      <c r="F65" s="25">
        <v>2001</v>
      </c>
      <c r="G65" s="25">
        <v>350</v>
      </c>
      <c r="H65" s="25">
        <v>3600</v>
      </c>
      <c r="I65" s="25"/>
      <c r="J65" s="25">
        <v>7000</v>
      </c>
      <c r="K65" s="25">
        <v>1041002</v>
      </c>
      <c r="L65" s="25" t="s">
        <v>541</v>
      </c>
    </row>
    <row r="66" spans="1:12">
      <c r="A66" s="18">
        <v>1041102</v>
      </c>
      <c r="B66" s="18"/>
      <c r="C66" s="25" t="s">
        <v>545</v>
      </c>
      <c r="D66" s="25">
        <v>2</v>
      </c>
      <c r="E66" s="25">
        <v>3</v>
      </c>
      <c r="F66" s="25">
        <v>2001</v>
      </c>
      <c r="G66" s="25">
        <v>350</v>
      </c>
      <c r="H66" s="25">
        <v>7000</v>
      </c>
      <c r="I66" s="25"/>
      <c r="J66" s="25">
        <v>7000</v>
      </c>
      <c r="K66" s="25">
        <v>1041002</v>
      </c>
      <c r="L66" s="25" t="s">
        <v>547</v>
      </c>
    </row>
    <row r="67" spans="1:12">
      <c r="A67" s="18">
        <v>1042002</v>
      </c>
      <c r="B67" s="18"/>
      <c r="C67" s="25" t="s">
        <v>550</v>
      </c>
      <c r="D67" s="25">
        <v>2</v>
      </c>
      <c r="E67" s="25">
        <v>3</v>
      </c>
      <c r="F67" s="25">
        <v>2001</v>
      </c>
      <c r="G67" s="25">
        <v>350</v>
      </c>
      <c r="H67" s="25">
        <v>7000</v>
      </c>
      <c r="I67" s="25"/>
      <c r="J67" s="25">
        <v>18000</v>
      </c>
      <c r="K67" s="25">
        <v>1042002</v>
      </c>
      <c r="L67" s="25" t="s">
        <v>552</v>
      </c>
    </row>
    <row r="68" spans="1:12">
      <c r="A68" s="18">
        <v>1042102</v>
      </c>
      <c r="B68" s="18"/>
      <c r="C68" s="25" t="s">
        <v>555</v>
      </c>
      <c r="D68" s="25">
        <v>2</v>
      </c>
      <c r="E68" s="25">
        <v>3</v>
      </c>
      <c r="F68" s="25">
        <v>2001</v>
      </c>
      <c r="G68" s="25">
        <v>350</v>
      </c>
      <c r="H68" s="25">
        <v>14000</v>
      </c>
      <c r="I68" s="25"/>
      <c r="J68" s="25">
        <v>18000</v>
      </c>
      <c r="K68" s="25">
        <v>1042002</v>
      </c>
      <c r="L68" s="25" t="s">
        <v>557</v>
      </c>
    </row>
    <row r="69" spans="1:12">
      <c r="A69" s="18">
        <v>1045002</v>
      </c>
      <c r="B69" s="18"/>
      <c r="C69" s="25" t="s">
        <v>561</v>
      </c>
      <c r="D69" s="25">
        <v>2</v>
      </c>
      <c r="E69" s="25">
        <v>3</v>
      </c>
      <c r="F69" s="25">
        <v>2001</v>
      </c>
      <c r="G69" s="25">
        <v>350</v>
      </c>
      <c r="H69" s="25">
        <v>21000</v>
      </c>
      <c r="I69" s="25"/>
      <c r="J69" s="25">
        <v>15000</v>
      </c>
      <c r="K69" s="25">
        <v>1045002</v>
      </c>
      <c r="L69" s="25" t="s">
        <v>563</v>
      </c>
    </row>
    <row r="70" spans="1:12">
      <c r="A70" s="18">
        <v>1045102</v>
      </c>
      <c r="B70" s="18"/>
      <c r="C70" s="25" t="s">
        <v>213</v>
      </c>
      <c r="D70" s="25">
        <v>2</v>
      </c>
      <c r="E70" s="25">
        <v>3</v>
      </c>
      <c r="F70" s="25">
        <v>2001</v>
      </c>
      <c r="G70" s="25">
        <v>350</v>
      </c>
      <c r="H70" s="25">
        <v>8000</v>
      </c>
      <c r="I70" s="25"/>
      <c r="J70" s="25">
        <v>15000</v>
      </c>
      <c r="K70" s="25">
        <v>1045102</v>
      </c>
      <c r="L70" s="25" t="s">
        <v>567</v>
      </c>
    </row>
    <row r="71" spans="1:12">
      <c r="A71" s="18">
        <v>1046002</v>
      </c>
      <c r="B71" s="18"/>
      <c r="C71" s="25" t="s">
        <v>571</v>
      </c>
      <c r="D71" s="25">
        <v>2</v>
      </c>
      <c r="E71" s="25">
        <v>3</v>
      </c>
      <c r="F71" s="25">
        <v>2001</v>
      </c>
      <c r="G71" s="25">
        <v>350</v>
      </c>
      <c r="H71" s="25">
        <v>4800</v>
      </c>
      <c r="I71" s="25"/>
      <c r="J71" s="25">
        <v>15000</v>
      </c>
      <c r="K71" s="25">
        <v>1046002</v>
      </c>
      <c r="L71" s="25" t="s">
        <v>573</v>
      </c>
    </row>
    <row r="72" spans="1:12">
      <c r="A72" s="18">
        <v>1046102</v>
      </c>
      <c r="B72" s="18"/>
      <c r="C72" s="25" t="s">
        <v>68</v>
      </c>
      <c r="D72" s="25">
        <v>2</v>
      </c>
      <c r="E72" s="25">
        <v>3</v>
      </c>
      <c r="F72" s="25">
        <v>2001</v>
      </c>
      <c r="G72" s="25">
        <v>350</v>
      </c>
      <c r="H72" s="25">
        <v>9600</v>
      </c>
      <c r="I72" s="25"/>
      <c r="J72" s="25">
        <v>15000</v>
      </c>
      <c r="K72" s="25">
        <v>1046002</v>
      </c>
      <c r="L72" s="25" t="s">
        <v>578</v>
      </c>
    </row>
    <row r="73" spans="1:12">
      <c r="A73" s="18">
        <v>1047002</v>
      </c>
      <c r="B73" s="18"/>
      <c r="C73" s="25" t="s">
        <v>582</v>
      </c>
      <c r="D73" s="25">
        <v>2</v>
      </c>
      <c r="E73" s="25">
        <v>3</v>
      </c>
      <c r="F73" s="25">
        <v>2001</v>
      </c>
      <c r="G73" s="25">
        <v>350</v>
      </c>
      <c r="H73" s="25">
        <v>5200</v>
      </c>
      <c r="I73" s="25"/>
      <c r="J73" s="25">
        <v>15000</v>
      </c>
      <c r="K73" s="25">
        <v>1047002</v>
      </c>
      <c r="L73" s="25" t="s">
        <v>584</v>
      </c>
    </row>
    <row r="74" spans="1:12">
      <c r="A74" s="18">
        <v>1047102</v>
      </c>
      <c r="B74" s="18"/>
      <c r="C74" s="25" t="s">
        <v>588</v>
      </c>
      <c r="D74" s="25">
        <v>2</v>
      </c>
      <c r="E74" s="25">
        <v>3</v>
      </c>
      <c r="F74" s="25">
        <v>2001</v>
      </c>
      <c r="G74" s="25">
        <v>350</v>
      </c>
      <c r="H74" s="25">
        <v>10400</v>
      </c>
      <c r="I74" s="25"/>
      <c r="J74" s="25">
        <v>15000</v>
      </c>
      <c r="K74" s="25">
        <v>1047002</v>
      </c>
      <c r="L74" s="25" t="s">
        <v>590</v>
      </c>
    </row>
    <row r="75" spans="1:12">
      <c r="A75" s="18">
        <v>1050002</v>
      </c>
      <c r="B75" s="18"/>
      <c r="C75" s="25" t="s">
        <v>594</v>
      </c>
      <c r="D75" s="25">
        <v>2</v>
      </c>
      <c r="E75" s="25">
        <v>3</v>
      </c>
      <c r="F75" s="25">
        <v>2001</v>
      </c>
      <c r="G75" s="25">
        <v>350</v>
      </c>
      <c r="H75" s="25">
        <v>2600</v>
      </c>
      <c r="I75" s="25"/>
      <c r="J75" s="25">
        <v>12000</v>
      </c>
      <c r="K75" s="25">
        <v>1050002</v>
      </c>
      <c r="L75" s="25" t="s">
        <v>596</v>
      </c>
    </row>
    <row r="76" spans="1:12">
      <c r="A76" s="18">
        <v>1050102</v>
      </c>
      <c r="B76" s="18"/>
      <c r="C76" s="25" t="s">
        <v>600</v>
      </c>
      <c r="D76" s="25">
        <v>2</v>
      </c>
      <c r="E76" s="25">
        <v>3</v>
      </c>
      <c r="F76" s="25">
        <v>2001</v>
      </c>
      <c r="G76" s="25">
        <v>350</v>
      </c>
      <c r="H76" s="25">
        <v>4800</v>
      </c>
      <c r="I76" s="25"/>
      <c r="J76" s="25">
        <v>12000</v>
      </c>
      <c r="K76" s="25">
        <v>1050002</v>
      </c>
      <c r="L76" s="25" t="s">
        <v>602</v>
      </c>
    </row>
    <row r="77" spans="1:12">
      <c r="A77" s="18">
        <v>1051002</v>
      </c>
      <c r="B77" s="18"/>
      <c r="C77" s="25" t="s">
        <v>606</v>
      </c>
      <c r="D77" s="25">
        <v>2</v>
      </c>
      <c r="E77" s="25">
        <v>3</v>
      </c>
      <c r="F77" s="25">
        <v>2001</v>
      </c>
      <c r="G77" s="25">
        <v>350</v>
      </c>
      <c r="H77" s="25">
        <v>3000</v>
      </c>
      <c r="I77" s="25"/>
      <c r="J77" s="25">
        <v>15000</v>
      </c>
      <c r="K77" s="25">
        <v>1051002</v>
      </c>
      <c r="L77" s="25" t="s">
        <v>608</v>
      </c>
    </row>
    <row r="78" spans="1:12">
      <c r="A78" s="18">
        <v>1051102</v>
      </c>
      <c r="B78" s="18"/>
      <c r="C78" s="25" t="s">
        <v>97</v>
      </c>
      <c r="D78" s="25">
        <v>2</v>
      </c>
      <c r="E78" s="25">
        <v>3</v>
      </c>
      <c r="F78" s="25">
        <v>2001</v>
      </c>
      <c r="G78" s="25">
        <v>350</v>
      </c>
      <c r="H78" s="25">
        <v>6000</v>
      </c>
      <c r="I78" s="25"/>
      <c r="J78" s="25">
        <v>15000</v>
      </c>
      <c r="K78" s="25">
        <v>1051002</v>
      </c>
      <c r="L78" s="25" t="s">
        <v>613</v>
      </c>
    </row>
    <row r="79" spans="1:12">
      <c r="A79" s="18">
        <v>1051202</v>
      </c>
      <c r="B79" s="18"/>
      <c r="C79" s="25" t="s">
        <v>616</v>
      </c>
      <c r="D79" s="25">
        <v>2</v>
      </c>
      <c r="E79" s="25">
        <v>3</v>
      </c>
      <c r="F79" s="25">
        <v>2001</v>
      </c>
      <c r="G79" s="25">
        <v>350</v>
      </c>
      <c r="H79" s="25">
        <v>12000</v>
      </c>
      <c r="I79" s="25"/>
      <c r="J79" s="25">
        <v>15000</v>
      </c>
      <c r="K79" s="25">
        <v>1051202</v>
      </c>
      <c r="L79" s="25" t="s">
        <v>618</v>
      </c>
    </row>
    <row r="80" spans="1:12">
      <c r="A80" s="18">
        <v>1052002</v>
      </c>
      <c r="B80" s="18"/>
      <c r="C80" s="25" t="s">
        <v>622</v>
      </c>
      <c r="D80" s="25">
        <v>2</v>
      </c>
      <c r="E80" s="25">
        <v>3</v>
      </c>
      <c r="F80" s="25">
        <v>2001</v>
      </c>
      <c r="G80" s="25">
        <v>350</v>
      </c>
      <c r="H80" s="25">
        <v>21000</v>
      </c>
      <c r="I80" s="25"/>
      <c r="J80" s="25">
        <v>15000</v>
      </c>
      <c r="K80" s="25">
        <v>1052002</v>
      </c>
      <c r="L80" s="25" t="s">
        <v>624</v>
      </c>
    </row>
    <row r="81" spans="1:12">
      <c r="A81" s="18">
        <v>1052102</v>
      </c>
      <c r="B81" s="18"/>
      <c r="C81" s="25" t="s">
        <v>173</v>
      </c>
      <c r="D81" s="25">
        <v>2</v>
      </c>
      <c r="E81" s="25">
        <v>3</v>
      </c>
      <c r="F81" s="25">
        <v>2001</v>
      </c>
      <c r="G81" s="25">
        <v>350</v>
      </c>
      <c r="H81" s="25">
        <v>11000</v>
      </c>
      <c r="I81" s="25"/>
      <c r="J81" s="25">
        <v>15000</v>
      </c>
      <c r="K81" s="25">
        <v>1052102</v>
      </c>
      <c r="L81" s="25" t="s">
        <v>628</v>
      </c>
    </row>
    <row r="82" spans="1:12">
      <c r="A82" s="18">
        <v>1052202</v>
      </c>
      <c r="B82" s="18"/>
      <c r="C82" s="25" t="s">
        <v>223</v>
      </c>
      <c r="D82" s="25">
        <v>2</v>
      </c>
      <c r="E82" s="25">
        <v>3</v>
      </c>
      <c r="F82" s="25">
        <v>2001</v>
      </c>
      <c r="G82" s="25">
        <v>350</v>
      </c>
      <c r="H82" s="25">
        <v>84000</v>
      </c>
      <c r="I82" s="25"/>
      <c r="J82" s="25">
        <v>17000</v>
      </c>
      <c r="K82" s="25">
        <v>1052202</v>
      </c>
      <c r="L82" s="25" t="s">
        <v>633</v>
      </c>
    </row>
    <row r="83" spans="1:12">
      <c r="A83" s="18">
        <v>1053002</v>
      </c>
      <c r="B83" s="18"/>
      <c r="C83" s="25" t="s">
        <v>144</v>
      </c>
      <c r="D83" s="25">
        <v>2</v>
      </c>
      <c r="E83" s="25">
        <v>3</v>
      </c>
      <c r="F83" s="25">
        <v>2001</v>
      </c>
      <c r="G83" s="25">
        <v>350</v>
      </c>
      <c r="H83" s="25">
        <v>3500</v>
      </c>
      <c r="I83" s="25"/>
      <c r="J83" s="25">
        <v>15000</v>
      </c>
      <c r="K83" s="25">
        <v>1053002</v>
      </c>
      <c r="L83" s="25" t="s">
        <v>637</v>
      </c>
    </row>
    <row r="84" spans="1:12">
      <c r="A84" s="18">
        <v>1053102</v>
      </c>
      <c r="B84" s="18"/>
      <c r="C84" s="25" t="s">
        <v>641</v>
      </c>
      <c r="D84" s="25">
        <v>2</v>
      </c>
      <c r="E84" s="25">
        <v>3</v>
      </c>
      <c r="F84" s="25">
        <v>2001</v>
      </c>
      <c r="G84" s="25">
        <v>350</v>
      </c>
      <c r="H84" s="25">
        <v>7000</v>
      </c>
      <c r="I84" s="25"/>
      <c r="J84" s="25">
        <v>15000</v>
      </c>
      <c r="K84" s="25">
        <v>1053002</v>
      </c>
      <c r="L84" s="25" t="s">
        <v>643</v>
      </c>
    </row>
    <row r="85" spans="1:12">
      <c r="A85" s="18">
        <v>1056002</v>
      </c>
      <c r="B85" s="18"/>
      <c r="C85" s="25" t="s">
        <v>646</v>
      </c>
      <c r="D85" s="25">
        <v>2</v>
      </c>
      <c r="E85" s="25">
        <v>3</v>
      </c>
      <c r="F85" s="25">
        <v>2001</v>
      </c>
      <c r="G85" s="25">
        <v>350</v>
      </c>
      <c r="H85" s="25">
        <v>5500</v>
      </c>
      <c r="I85" s="25"/>
      <c r="J85" s="25">
        <v>11000</v>
      </c>
      <c r="K85" s="25">
        <v>1056002</v>
      </c>
      <c r="L85" s="25" t="s">
        <v>648</v>
      </c>
    </row>
    <row r="86" spans="1:12">
      <c r="A86" s="18">
        <v>1056102</v>
      </c>
      <c r="B86" s="18"/>
      <c r="C86" s="25" t="s">
        <v>652</v>
      </c>
      <c r="D86" s="25">
        <v>2</v>
      </c>
      <c r="E86" s="25">
        <v>3</v>
      </c>
      <c r="F86" s="25">
        <v>2001</v>
      </c>
      <c r="G86" s="25">
        <v>350</v>
      </c>
      <c r="H86" s="25">
        <v>8000</v>
      </c>
      <c r="I86" s="25"/>
      <c r="J86" s="25">
        <v>11000</v>
      </c>
      <c r="K86" s="25">
        <v>1056002</v>
      </c>
      <c r="L86" s="25" t="s">
        <v>654</v>
      </c>
    </row>
    <row r="87" spans="1:12">
      <c r="A87" s="18">
        <v>1056202</v>
      </c>
      <c r="B87" s="18"/>
      <c r="C87" s="25" t="s">
        <v>189</v>
      </c>
      <c r="D87" s="25">
        <v>2</v>
      </c>
      <c r="E87" s="25">
        <v>3</v>
      </c>
      <c r="F87" s="25">
        <v>2001</v>
      </c>
      <c r="G87" s="25">
        <v>350</v>
      </c>
      <c r="H87" s="25">
        <v>20000</v>
      </c>
      <c r="I87" s="25"/>
      <c r="J87" s="25">
        <v>11000</v>
      </c>
      <c r="K87" s="25">
        <v>1056202</v>
      </c>
      <c r="L87" s="25" t="s">
        <v>658</v>
      </c>
    </row>
    <row r="88" spans="1:12">
      <c r="A88" s="18">
        <v>1057002</v>
      </c>
      <c r="B88" s="18"/>
      <c r="C88" s="25" t="s">
        <v>662</v>
      </c>
      <c r="D88" s="25">
        <v>2</v>
      </c>
      <c r="E88" s="25">
        <v>3</v>
      </c>
      <c r="F88" s="25">
        <v>2001</v>
      </c>
      <c r="G88" s="25">
        <v>350</v>
      </c>
      <c r="H88" s="25">
        <v>42000</v>
      </c>
      <c r="I88" s="25"/>
      <c r="J88" s="25">
        <v>7000</v>
      </c>
      <c r="K88" s="25">
        <v>1057002</v>
      </c>
      <c r="L88" s="25" t="s">
        <v>664</v>
      </c>
    </row>
    <row r="89" spans="1:12">
      <c r="A89" s="18">
        <v>1057102</v>
      </c>
      <c r="B89" s="18"/>
      <c r="C89" s="25" t="s">
        <v>667</v>
      </c>
      <c r="D89" s="25">
        <v>2</v>
      </c>
      <c r="E89" s="25">
        <v>3</v>
      </c>
      <c r="F89" s="25">
        <v>2001</v>
      </c>
      <c r="G89" s="25">
        <v>350</v>
      </c>
      <c r="H89" s="25">
        <v>22000</v>
      </c>
      <c r="I89" s="25"/>
      <c r="J89" s="25">
        <v>7000</v>
      </c>
      <c r="K89" s="25">
        <v>1057002</v>
      </c>
      <c r="L89" s="25" t="s">
        <v>669</v>
      </c>
    </row>
    <row r="90" spans="1:12">
      <c r="A90" s="18">
        <v>1058002</v>
      </c>
      <c r="B90" s="18"/>
      <c r="C90" s="25" t="s">
        <v>73</v>
      </c>
      <c r="D90" s="25">
        <v>2</v>
      </c>
      <c r="E90" s="25">
        <v>3</v>
      </c>
      <c r="F90" s="25">
        <v>2001</v>
      </c>
      <c r="G90" s="25">
        <v>350</v>
      </c>
      <c r="H90" s="25">
        <v>21000</v>
      </c>
      <c r="I90" s="25"/>
      <c r="J90" s="25">
        <v>9000</v>
      </c>
      <c r="K90" s="25">
        <v>1058002</v>
      </c>
      <c r="L90" s="25" t="s">
        <v>673</v>
      </c>
    </row>
    <row r="91" spans="1:12">
      <c r="A91" s="18">
        <v>1058102</v>
      </c>
      <c r="B91" s="18"/>
      <c r="C91" s="25" t="s">
        <v>676</v>
      </c>
      <c r="D91" s="25">
        <v>2</v>
      </c>
      <c r="E91" s="25">
        <v>3</v>
      </c>
      <c r="F91" s="25">
        <v>2001</v>
      </c>
      <c r="G91" s="25">
        <v>350</v>
      </c>
      <c r="H91" s="25">
        <v>42000</v>
      </c>
      <c r="I91" s="25"/>
      <c r="J91" s="25">
        <v>9000</v>
      </c>
      <c r="K91" s="26">
        <v>1058002</v>
      </c>
      <c r="L91" s="25" t="s">
        <v>678</v>
      </c>
    </row>
    <row r="92" spans="1:12">
      <c r="A92" s="18">
        <v>1058202</v>
      </c>
      <c r="B92" s="18"/>
      <c r="C92" s="25" t="s">
        <v>682</v>
      </c>
      <c r="D92" s="25">
        <v>2</v>
      </c>
      <c r="E92" s="25">
        <v>3</v>
      </c>
      <c r="F92" s="25">
        <v>2001</v>
      </c>
      <c r="G92" s="25">
        <v>350</v>
      </c>
      <c r="H92" s="25">
        <v>14000</v>
      </c>
      <c r="I92" s="25"/>
      <c r="J92" s="25">
        <v>9000</v>
      </c>
      <c r="K92" s="25">
        <v>1058202</v>
      </c>
      <c r="L92" s="25" t="s">
        <v>684</v>
      </c>
    </row>
    <row r="93" spans="1:12">
      <c r="A93" s="18">
        <v>1059002</v>
      </c>
      <c r="B93" s="18"/>
      <c r="C93" s="25" t="s">
        <v>688</v>
      </c>
      <c r="D93" s="25">
        <v>2</v>
      </c>
      <c r="E93" s="25">
        <v>3</v>
      </c>
      <c r="F93" s="25">
        <v>2001</v>
      </c>
      <c r="G93" s="25">
        <v>350</v>
      </c>
      <c r="H93" s="25">
        <v>3500</v>
      </c>
      <c r="I93" s="25"/>
      <c r="J93" s="25">
        <v>7000</v>
      </c>
      <c r="K93" s="25">
        <v>1059002</v>
      </c>
      <c r="L93" s="25" t="s">
        <v>690</v>
      </c>
    </row>
    <row r="94" spans="1:12">
      <c r="A94" s="18">
        <v>1059102</v>
      </c>
      <c r="B94" s="18"/>
      <c r="C94" s="25" t="s">
        <v>693</v>
      </c>
      <c r="D94" s="25">
        <v>2</v>
      </c>
      <c r="E94" s="25">
        <v>3</v>
      </c>
      <c r="F94" s="25">
        <v>2001</v>
      </c>
      <c r="G94" s="25">
        <v>350</v>
      </c>
      <c r="H94" s="25">
        <v>6000</v>
      </c>
      <c r="I94" s="25"/>
      <c r="J94" s="25">
        <v>7000</v>
      </c>
      <c r="K94" s="25">
        <v>1059002</v>
      </c>
      <c r="L94" s="25" t="s">
        <v>695</v>
      </c>
    </row>
    <row r="95" spans="1:12">
      <c r="A95" s="18">
        <v>1060002</v>
      </c>
      <c r="B95" s="18"/>
      <c r="C95" s="25" t="s">
        <v>699</v>
      </c>
      <c r="D95" s="25">
        <v>2</v>
      </c>
      <c r="E95" s="25">
        <v>3</v>
      </c>
      <c r="F95" s="25">
        <v>2001</v>
      </c>
      <c r="G95" s="25">
        <v>350</v>
      </c>
      <c r="H95" s="25">
        <v>4300</v>
      </c>
      <c r="I95" s="25"/>
      <c r="J95" s="25">
        <v>18000</v>
      </c>
      <c r="K95" s="25">
        <v>1060002</v>
      </c>
      <c r="L95" s="25" t="s">
        <v>701</v>
      </c>
    </row>
    <row r="96" spans="1:12">
      <c r="A96" s="18">
        <v>1060102</v>
      </c>
      <c r="B96" s="18"/>
      <c r="C96" s="25" t="s">
        <v>705</v>
      </c>
      <c r="D96" s="25">
        <v>2</v>
      </c>
      <c r="E96" s="25">
        <v>3</v>
      </c>
      <c r="F96" s="25">
        <v>2001</v>
      </c>
      <c r="G96" s="25">
        <v>350</v>
      </c>
      <c r="H96" s="25">
        <v>8500</v>
      </c>
      <c r="I96" s="25"/>
      <c r="J96" s="25">
        <v>18000</v>
      </c>
      <c r="K96" s="25">
        <v>1060002</v>
      </c>
      <c r="L96" s="25" t="s">
        <v>707</v>
      </c>
    </row>
    <row r="97" spans="1:12">
      <c r="A97" s="18">
        <v>1062002</v>
      </c>
      <c r="B97" s="18"/>
      <c r="C97" s="25" t="s">
        <v>711</v>
      </c>
      <c r="D97" s="25">
        <v>2</v>
      </c>
      <c r="E97" s="25">
        <v>3</v>
      </c>
      <c r="F97" s="25">
        <v>2001</v>
      </c>
      <c r="G97" s="25">
        <v>350</v>
      </c>
      <c r="H97" s="25">
        <v>10500</v>
      </c>
      <c r="I97" s="25"/>
      <c r="J97" s="25">
        <v>18000</v>
      </c>
      <c r="K97" s="25">
        <v>1062002</v>
      </c>
      <c r="L97" s="25" t="s">
        <v>713</v>
      </c>
    </row>
    <row r="98" spans="1:12">
      <c r="A98" s="18">
        <v>1062102</v>
      </c>
      <c r="B98" s="18"/>
      <c r="C98" s="25" t="s">
        <v>717</v>
      </c>
      <c r="D98" s="25">
        <v>2</v>
      </c>
      <c r="E98" s="25">
        <v>3</v>
      </c>
      <c r="F98" s="25">
        <v>2001</v>
      </c>
      <c r="G98" s="25">
        <v>350</v>
      </c>
      <c r="H98" s="25">
        <v>21000</v>
      </c>
      <c r="I98" s="25"/>
      <c r="J98" s="25">
        <v>18000</v>
      </c>
      <c r="K98" s="25">
        <v>1062002</v>
      </c>
      <c r="L98" s="25" t="s">
        <v>719</v>
      </c>
    </row>
    <row r="99" spans="7:7">
      <c r="G99" s="27"/>
    </row>
    <row r="100" spans="7:7">
      <c r="G100" s="28"/>
    </row>
    <row r="101" spans="7:7">
      <c r="G101" s="28"/>
    </row>
  </sheetData>
  <conditionalFormatting sqref="I4">
    <cfRule type="duplicateValues" dxfId="0" priority="154"/>
  </conditionalFormatting>
  <conditionalFormatting sqref="I5">
    <cfRule type="duplicateValues" dxfId="0" priority="152"/>
  </conditionalFormatting>
  <conditionalFormatting sqref="C10">
    <cfRule type="duplicateValues" dxfId="0" priority="146"/>
  </conditionalFormatting>
  <conditionalFormatting sqref="C11">
    <cfRule type="duplicateValues" dxfId="0" priority="144"/>
  </conditionalFormatting>
  <conditionalFormatting sqref="C16">
    <cfRule type="duplicateValues" dxfId="0" priority="142"/>
  </conditionalFormatting>
  <conditionalFormatting sqref="C17">
    <cfRule type="duplicateValues" dxfId="0" priority="140"/>
  </conditionalFormatting>
  <conditionalFormatting sqref="C18">
    <cfRule type="duplicateValues" dxfId="0" priority="138"/>
  </conditionalFormatting>
  <conditionalFormatting sqref="C19">
    <cfRule type="duplicateValues" dxfId="0" priority="136"/>
  </conditionalFormatting>
  <conditionalFormatting sqref="C20">
    <cfRule type="duplicateValues" dxfId="0" priority="134"/>
  </conditionalFormatting>
  <conditionalFormatting sqref="C21">
    <cfRule type="duplicateValues" dxfId="0" priority="132"/>
  </conditionalFormatting>
  <conditionalFormatting sqref="C28">
    <cfRule type="duplicateValues" dxfId="0" priority="128"/>
  </conditionalFormatting>
  <conditionalFormatting sqref="C29">
    <cfRule type="duplicateValues" dxfId="0" priority="126"/>
  </conditionalFormatting>
  <conditionalFormatting sqref="C30">
    <cfRule type="duplicateValues" dxfId="0" priority="124"/>
  </conditionalFormatting>
  <conditionalFormatting sqref="C31">
    <cfRule type="duplicateValues" dxfId="0" priority="122"/>
  </conditionalFormatting>
  <conditionalFormatting sqref="C32">
    <cfRule type="duplicateValues" dxfId="0" priority="120"/>
  </conditionalFormatting>
  <conditionalFormatting sqref="C33">
    <cfRule type="duplicateValues" dxfId="0" priority="118"/>
  </conditionalFormatting>
  <conditionalFormatting sqref="C37">
    <cfRule type="duplicateValues" dxfId="0" priority="116"/>
  </conditionalFormatting>
  <conditionalFormatting sqref="C38">
    <cfRule type="duplicateValues" dxfId="0" priority="114"/>
  </conditionalFormatting>
  <conditionalFormatting sqref="C39">
    <cfRule type="duplicateValues" dxfId="0" priority="112"/>
  </conditionalFormatting>
  <conditionalFormatting sqref="C41">
    <cfRule type="duplicateValues" dxfId="0" priority="110"/>
  </conditionalFormatting>
  <conditionalFormatting sqref="C42">
    <cfRule type="duplicateValues" dxfId="0" priority="108"/>
  </conditionalFormatting>
  <conditionalFormatting sqref="C43">
    <cfRule type="duplicateValues" dxfId="0" priority="106"/>
  </conditionalFormatting>
  <conditionalFormatting sqref="K43">
    <cfRule type="duplicateValues" dxfId="0" priority="101"/>
  </conditionalFormatting>
  <conditionalFormatting sqref="C44">
    <cfRule type="duplicateValues" dxfId="0" priority="99"/>
  </conditionalFormatting>
  <conditionalFormatting sqref="K44">
    <cfRule type="duplicateValues" dxfId="0" priority="96"/>
  </conditionalFormatting>
  <conditionalFormatting sqref="C45">
    <cfRule type="duplicateValues" dxfId="0" priority="94"/>
  </conditionalFormatting>
  <conditionalFormatting sqref="C46">
    <cfRule type="duplicateValues" dxfId="0" priority="92"/>
  </conditionalFormatting>
  <conditionalFormatting sqref="C47">
    <cfRule type="duplicateValues" dxfId="0" priority="90"/>
  </conditionalFormatting>
  <conditionalFormatting sqref="I56">
    <cfRule type="duplicateValues" dxfId="0" priority="88"/>
  </conditionalFormatting>
  <conditionalFormatting sqref="I57">
    <cfRule type="duplicateValues" dxfId="0" priority="86"/>
  </conditionalFormatting>
  <conditionalFormatting sqref="K57">
    <cfRule type="duplicateValues" dxfId="0" priority="83"/>
  </conditionalFormatting>
  <conditionalFormatting sqref="I58">
    <cfRule type="duplicateValues" dxfId="0" priority="81"/>
  </conditionalFormatting>
  <conditionalFormatting sqref="K58">
    <cfRule type="duplicateValues" dxfId="0" priority="78"/>
  </conditionalFormatting>
  <conditionalFormatting sqref="I59">
    <cfRule type="duplicateValues" dxfId="0" priority="76"/>
  </conditionalFormatting>
  <conditionalFormatting sqref="K59">
    <cfRule type="duplicateValues" dxfId="0" priority="73"/>
  </conditionalFormatting>
  <conditionalFormatting sqref="I60">
    <cfRule type="duplicateValues" dxfId="0" priority="71"/>
  </conditionalFormatting>
  <conditionalFormatting sqref="I62">
    <cfRule type="duplicateValues" dxfId="0" priority="67"/>
  </conditionalFormatting>
  <conditionalFormatting sqref="I63">
    <cfRule type="duplicateValues" dxfId="0" priority="65"/>
  </conditionalFormatting>
  <conditionalFormatting sqref="I64">
    <cfRule type="duplicateValues" dxfId="0" priority="63"/>
  </conditionalFormatting>
  <conditionalFormatting sqref="I66">
    <cfRule type="duplicateValues" dxfId="0" priority="61"/>
  </conditionalFormatting>
  <conditionalFormatting sqref="I67">
    <cfRule type="duplicateValues" dxfId="0" priority="59"/>
  </conditionalFormatting>
  <conditionalFormatting sqref="I68">
    <cfRule type="duplicateValues" dxfId="0" priority="57"/>
  </conditionalFormatting>
  <conditionalFormatting sqref="I69">
    <cfRule type="duplicateValues" dxfId="0" priority="55"/>
  </conditionalFormatting>
  <conditionalFormatting sqref="I70">
    <cfRule type="duplicateValues" dxfId="0" priority="53"/>
  </conditionalFormatting>
  <conditionalFormatting sqref="I71">
    <cfRule type="duplicateValues" dxfId="0" priority="51"/>
  </conditionalFormatting>
  <conditionalFormatting sqref="I72">
    <cfRule type="duplicateValues" dxfId="0" priority="49"/>
  </conditionalFormatting>
  <conditionalFormatting sqref="I73">
    <cfRule type="duplicateValues" dxfId="0" priority="47"/>
  </conditionalFormatting>
  <conditionalFormatting sqref="I74">
    <cfRule type="duplicateValues" dxfId="0" priority="45"/>
  </conditionalFormatting>
  <conditionalFormatting sqref="I77">
    <cfRule type="duplicateValues" dxfId="0" priority="41"/>
  </conditionalFormatting>
  <conditionalFormatting sqref="I78">
    <cfRule type="duplicateValues" dxfId="0" priority="39"/>
  </conditionalFormatting>
  <conditionalFormatting sqref="I79">
    <cfRule type="duplicateValues" dxfId="0" priority="37"/>
  </conditionalFormatting>
  <conditionalFormatting sqref="K79">
    <cfRule type="duplicateValues" dxfId="0" priority="34"/>
  </conditionalFormatting>
  <conditionalFormatting sqref="I80">
    <cfRule type="duplicateValues" dxfId="0" priority="32"/>
  </conditionalFormatting>
  <conditionalFormatting sqref="I81">
    <cfRule type="duplicateValues" dxfId="0" priority="30"/>
  </conditionalFormatting>
  <conditionalFormatting sqref="I82">
    <cfRule type="duplicateValues" dxfId="0" priority="28"/>
  </conditionalFormatting>
  <conditionalFormatting sqref="I83">
    <cfRule type="duplicateValues" dxfId="0" priority="26"/>
  </conditionalFormatting>
  <conditionalFormatting sqref="I84">
    <cfRule type="duplicateValues" dxfId="0" priority="24"/>
  </conditionalFormatting>
  <conditionalFormatting sqref="C87">
    <cfRule type="duplicateValues" dxfId="0" priority="22"/>
  </conditionalFormatting>
  <conditionalFormatting sqref="C89">
    <cfRule type="duplicateValues" dxfId="0" priority="20"/>
  </conditionalFormatting>
  <conditionalFormatting sqref="C90">
    <cfRule type="duplicateValues" dxfId="0" priority="18"/>
  </conditionalFormatting>
  <conditionalFormatting sqref="C91">
    <cfRule type="duplicateValues" dxfId="0" priority="16"/>
  </conditionalFormatting>
  <conditionalFormatting sqref="C92">
    <cfRule type="duplicateValues" dxfId="0" priority="14"/>
  </conditionalFormatting>
  <conditionalFormatting sqref="K92">
    <cfRule type="duplicateValues" dxfId="0" priority="11"/>
  </conditionalFormatting>
  <conditionalFormatting sqref="C95">
    <cfRule type="duplicateValues" dxfId="0" priority="7"/>
  </conditionalFormatting>
  <conditionalFormatting sqref="C96">
    <cfRule type="duplicateValues" dxfId="0" priority="5"/>
  </conditionalFormatting>
  <conditionalFormatting sqref="C97">
    <cfRule type="duplicateValues" dxfId="0" priority="3"/>
  </conditionalFormatting>
  <conditionalFormatting sqref="C98">
    <cfRule type="duplicateValues" dxfId="0" priority="1"/>
  </conditionalFormatting>
  <conditionalFormatting sqref="C22:C23">
    <cfRule type="duplicateValues" dxfId="0" priority="130"/>
  </conditionalFormatting>
  <conditionalFormatting sqref="C93:C94">
    <cfRule type="duplicateValues" dxfId="0" priority="9"/>
  </conditionalFormatting>
  <conditionalFormatting sqref="I6:I9">
    <cfRule type="duplicateValues" dxfId="0" priority="148"/>
  </conditionalFormatting>
  <conditionalFormatting sqref="L43:L44">
    <cfRule type="duplicateValues" dxfId="0" priority="104"/>
  </conditionalFormatting>
  <conditionalFormatting sqref="C48 C40 C12:C15 C6:C9">
    <cfRule type="duplicateValues" dxfId="0" priority="150"/>
  </conditionalFormatting>
  <conditionalFormatting sqref="I65 I61">
    <cfRule type="duplicateValues" dxfId="0" priority="69"/>
  </conditionalFormatting>
  <conditionalFormatting sqref="C88 C85:C86 C75:C76">
    <cfRule type="duplicateValues" dxfId="0" priority="43"/>
  </conditionalFormatting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92"/>
  <sheetViews>
    <sheetView topLeftCell="A268" workbookViewId="0">
      <selection activeCell="A23" sqref="A23"/>
    </sheetView>
  </sheetViews>
  <sheetFormatPr defaultColWidth="7.375" defaultRowHeight="14.25"/>
  <cols>
    <col min="1" max="1" width="8.5" customWidth="1"/>
    <col min="2" max="2" width="26.625" customWidth="1"/>
    <col min="3" max="3" width="9.25" customWidth="1"/>
    <col min="4" max="4" width="12.75" customWidth="1"/>
    <col min="5" max="5" width="8.75" customWidth="1"/>
    <col min="6" max="6" width="12.75" customWidth="1"/>
    <col min="7" max="7" width="8.75" customWidth="1"/>
    <col min="8" max="8" width="13.625" customWidth="1"/>
    <col min="9" max="10" width="8.75" customWidth="1"/>
    <col min="11" max="11" width="106.625" customWidth="1"/>
    <col min="12" max="12" width="26.625" customWidth="1"/>
    <col min="13" max="13" width="9.375" customWidth="1"/>
    <col min="14" max="14" width="10.875" customWidth="1"/>
    <col min="15" max="15" width="16.875" customWidth="1"/>
    <col min="16" max="16" width="17.375" customWidth="1"/>
    <col min="17" max="17" width="10.75" customWidth="1"/>
    <col min="18" max="18" width="14.625" customWidth="1"/>
    <col min="19" max="19" width="16.25" customWidth="1"/>
    <col min="20" max="20" width="14.25" customWidth="1"/>
    <col min="21" max="21" width="20.125" customWidth="1"/>
    <col min="22" max="22" width="14.25" customWidth="1"/>
    <col min="23" max="23" width="48.625" customWidth="1"/>
    <col min="24" max="24" width="14.25" customWidth="1"/>
    <col min="25" max="25" width="27.625" customWidth="1"/>
    <col min="26" max="26" width="16.5" customWidth="1"/>
  </cols>
  <sheetData>
    <row r="1" ht="18" spans="1:26">
      <c r="A1" s="3" t="s">
        <v>1236</v>
      </c>
      <c r="B1" s="3" t="s">
        <v>2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1237</v>
      </c>
      <c r="H1" s="3" t="s">
        <v>1171</v>
      </c>
      <c r="I1" s="3" t="s">
        <v>9</v>
      </c>
      <c r="J1" s="3" t="s">
        <v>10</v>
      </c>
      <c r="K1" s="3" t="s">
        <v>12</v>
      </c>
      <c r="L1" s="3" t="s">
        <v>14</v>
      </c>
      <c r="M1" s="6" t="s">
        <v>1238</v>
      </c>
      <c r="N1" s="3" t="s">
        <v>1239</v>
      </c>
      <c r="O1" s="7" t="s">
        <v>1240</v>
      </c>
      <c r="P1" s="7" t="s">
        <v>1241</v>
      </c>
      <c r="Q1" s="7" t="s">
        <v>1242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</row>
    <row r="2" ht="18" spans="1:26">
      <c r="A2" s="4" t="s">
        <v>26</v>
      </c>
      <c r="B2" s="4" t="s">
        <v>27</v>
      </c>
      <c r="C2" s="4" t="s">
        <v>26</v>
      </c>
      <c r="D2" s="4" t="s">
        <v>26</v>
      </c>
      <c r="E2" s="4" t="s">
        <v>26</v>
      </c>
      <c r="F2" s="4" t="s">
        <v>26</v>
      </c>
      <c r="G2" s="4" t="s">
        <v>26</v>
      </c>
      <c r="H2" s="4" t="s">
        <v>26</v>
      </c>
      <c r="I2" s="4" t="s">
        <v>26</v>
      </c>
      <c r="J2" s="4" t="s">
        <v>27</v>
      </c>
      <c r="K2" s="4" t="s">
        <v>27</v>
      </c>
      <c r="L2" s="4" t="s">
        <v>27</v>
      </c>
      <c r="M2" s="8" t="s">
        <v>30</v>
      </c>
      <c r="N2" s="4" t="s">
        <v>30</v>
      </c>
      <c r="O2" s="9" t="s">
        <v>30</v>
      </c>
      <c r="P2" s="7" t="s">
        <v>27</v>
      </c>
      <c r="Q2" s="7" t="s">
        <v>30</v>
      </c>
      <c r="R2" s="13" t="s">
        <v>28</v>
      </c>
      <c r="S2" s="13" t="s">
        <v>29</v>
      </c>
      <c r="T2" s="13" t="s">
        <v>30</v>
      </c>
      <c r="U2" s="13" t="s">
        <v>30</v>
      </c>
      <c r="V2" s="13" t="s">
        <v>30</v>
      </c>
      <c r="W2" s="13" t="s">
        <v>29</v>
      </c>
      <c r="X2" s="13" t="s">
        <v>30</v>
      </c>
      <c r="Y2" s="13" t="s">
        <v>30</v>
      </c>
      <c r="Z2" s="13" t="s">
        <v>30</v>
      </c>
    </row>
    <row r="3" ht="18" spans="1:26">
      <c r="A3" s="4" t="s">
        <v>31</v>
      </c>
      <c r="B3" s="4" t="s">
        <v>33</v>
      </c>
      <c r="C3" s="5" t="s">
        <v>34</v>
      </c>
      <c r="D3" s="4" t="s">
        <v>36</v>
      </c>
      <c r="E3" s="4" t="s">
        <v>37</v>
      </c>
      <c r="F3" s="4" t="s">
        <v>38</v>
      </c>
      <c r="G3" s="4" t="s">
        <v>1243</v>
      </c>
      <c r="H3" s="4" t="s">
        <v>39</v>
      </c>
      <c r="I3" s="4" t="s">
        <v>40</v>
      </c>
      <c r="J3" s="4" t="s">
        <v>41</v>
      </c>
      <c r="K3" s="5" t="s">
        <v>42</v>
      </c>
      <c r="L3" s="5" t="s">
        <v>44</v>
      </c>
      <c r="M3" s="10" t="s">
        <v>1244</v>
      </c>
      <c r="N3" s="4" t="s">
        <v>1245</v>
      </c>
      <c r="O3" s="9" t="s">
        <v>1246</v>
      </c>
      <c r="P3" s="7" t="s">
        <v>1247</v>
      </c>
      <c r="Q3" s="7" t="s">
        <v>1248</v>
      </c>
      <c r="R3" s="14" t="s">
        <v>46</v>
      </c>
      <c r="S3" s="14" t="s">
        <v>47</v>
      </c>
      <c r="T3" s="14" t="s">
        <v>1249</v>
      </c>
      <c r="U3" s="14" t="s">
        <v>49</v>
      </c>
      <c r="V3" s="14" t="s">
        <v>1250</v>
      </c>
      <c r="W3" s="14" t="s">
        <v>51</v>
      </c>
      <c r="X3" s="14" t="s">
        <v>1251</v>
      </c>
      <c r="Y3" s="14" t="s">
        <v>53</v>
      </c>
      <c r="Z3" s="14" t="s">
        <v>54</v>
      </c>
    </row>
    <row r="4" s="1" customFormat="1" spans="1:26">
      <c r="A4" s="1">
        <v>210010</v>
      </c>
      <c r="B4" s="1" t="s">
        <v>1179</v>
      </c>
      <c r="C4" s="1">
        <v>3</v>
      </c>
      <c r="D4" s="1">
        <v>101</v>
      </c>
      <c r="E4" s="1">
        <v>350</v>
      </c>
      <c r="F4" s="1">
        <v>0</v>
      </c>
      <c r="G4" s="1">
        <v>0</v>
      </c>
      <c r="H4" s="1">
        <f>A4</f>
        <v>210010</v>
      </c>
      <c r="I4" s="1">
        <v>0</v>
      </c>
      <c r="J4" s="1">
        <v>0</v>
      </c>
      <c r="K4" s="1" t="s">
        <v>1179</v>
      </c>
      <c r="L4" s="1" t="s">
        <v>1179</v>
      </c>
      <c r="M4" s="1">
        <v>0</v>
      </c>
      <c r="N4" s="1">
        <v>0</v>
      </c>
      <c r="O4" s="1">
        <v>0</v>
      </c>
      <c r="R4" s="1" t="s">
        <v>227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 s="1" customFormat="1" spans="1:26">
      <c r="A5" s="1">
        <v>210020</v>
      </c>
      <c r="B5" s="1" t="s">
        <v>1180</v>
      </c>
      <c r="C5" s="1">
        <v>3</v>
      </c>
      <c r="D5" s="1">
        <v>101</v>
      </c>
      <c r="E5" s="1">
        <v>350</v>
      </c>
      <c r="F5" s="1">
        <v>0</v>
      </c>
      <c r="G5" s="1">
        <v>0</v>
      </c>
      <c r="H5" s="1">
        <f>A5</f>
        <v>210020</v>
      </c>
      <c r="I5" s="1">
        <v>0</v>
      </c>
      <c r="J5" s="1">
        <v>0</v>
      </c>
      <c r="K5" s="1" t="s">
        <v>1180</v>
      </c>
      <c r="L5" s="1" t="s">
        <v>1180</v>
      </c>
      <c r="M5" s="1">
        <v>0</v>
      </c>
      <c r="N5" s="1">
        <v>0</v>
      </c>
      <c r="O5" s="1">
        <v>0</v>
      </c>
      <c r="R5" s="1" t="s">
        <v>227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</row>
    <row r="6" s="1" customFormat="1" spans="1:26">
      <c r="A6" s="1">
        <v>1001201</v>
      </c>
      <c r="B6" s="1" t="s">
        <v>226</v>
      </c>
      <c r="C6" s="1">
        <v>1</v>
      </c>
      <c r="D6">
        <v>1001</v>
      </c>
      <c r="E6" s="1">
        <v>350</v>
      </c>
      <c r="F6" s="1">
        <v>13000</v>
      </c>
      <c r="G6" s="1">
        <v>0</v>
      </c>
      <c r="I6" s="1">
        <v>1000</v>
      </c>
      <c r="J6" s="1">
        <v>0</v>
      </c>
      <c r="K6" s="1" t="s">
        <v>226</v>
      </c>
      <c r="L6" s="1" t="s">
        <v>226</v>
      </c>
      <c r="M6" s="1">
        <v>1</v>
      </c>
      <c r="N6" s="1">
        <v>0</v>
      </c>
      <c r="O6" s="1">
        <v>0</v>
      </c>
      <c r="R6" s="1" t="s">
        <v>227</v>
      </c>
      <c r="S6" s="1">
        <v>0</v>
      </c>
      <c r="T6" s="1">
        <v>0</v>
      </c>
      <c r="U6" s="1">
        <v>0</v>
      </c>
      <c r="V6" s="1">
        <v>1011</v>
      </c>
      <c r="W6" s="1">
        <v>750</v>
      </c>
      <c r="X6" s="1">
        <v>1001001</v>
      </c>
      <c r="Y6" s="1">
        <v>500</v>
      </c>
      <c r="Z6" s="1">
        <v>350</v>
      </c>
    </row>
    <row r="7" s="1" customFormat="1" spans="1:26">
      <c r="A7" s="1">
        <v>1001202</v>
      </c>
      <c r="B7" s="1" t="s">
        <v>228</v>
      </c>
      <c r="C7" s="1">
        <v>2</v>
      </c>
      <c r="D7" s="1">
        <v>2001</v>
      </c>
      <c r="E7" s="1">
        <v>350</v>
      </c>
      <c r="F7" s="1">
        <v>77000</v>
      </c>
      <c r="G7" s="1">
        <v>500</v>
      </c>
      <c r="I7" s="1">
        <v>7000</v>
      </c>
      <c r="J7" s="1">
        <v>3100101</v>
      </c>
      <c r="K7" s="1" t="s">
        <v>228</v>
      </c>
      <c r="L7" s="1" t="s">
        <v>228</v>
      </c>
      <c r="M7" s="1">
        <v>1</v>
      </c>
      <c r="N7" s="1">
        <v>0</v>
      </c>
      <c r="O7" s="1">
        <v>0</v>
      </c>
      <c r="R7" s="1" t="s">
        <v>60</v>
      </c>
      <c r="S7" s="1">
        <v>0</v>
      </c>
      <c r="T7" s="1">
        <v>1001002</v>
      </c>
      <c r="U7" s="1">
        <v>400</v>
      </c>
      <c r="V7" s="1">
        <v>1011</v>
      </c>
      <c r="W7" s="1">
        <v>450</v>
      </c>
      <c r="X7" s="1">
        <v>0</v>
      </c>
      <c r="Y7" s="1">
        <v>0</v>
      </c>
      <c r="Z7" s="1">
        <v>0</v>
      </c>
    </row>
    <row r="8" s="1" customFormat="1" spans="1:26">
      <c r="A8" s="1">
        <v>1003201</v>
      </c>
      <c r="B8" s="1" t="s">
        <v>229</v>
      </c>
      <c r="C8" s="1">
        <v>1</v>
      </c>
      <c r="D8">
        <v>1001</v>
      </c>
      <c r="E8" s="1">
        <v>350</v>
      </c>
      <c r="F8" s="1">
        <v>13000</v>
      </c>
      <c r="G8" s="1">
        <v>0</v>
      </c>
      <c r="I8" s="1">
        <v>1000</v>
      </c>
      <c r="J8" s="1">
        <v>0</v>
      </c>
      <c r="K8" s="1" t="s">
        <v>229</v>
      </c>
      <c r="L8" s="1" t="s">
        <v>229</v>
      </c>
      <c r="M8" s="1">
        <v>1</v>
      </c>
      <c r="N8" s="1">
        <v>0</v>
      </c>
      <c r="O8" s="1">
        <v>0</v>
      </c>
      <c r="R8" s="1" t="s">
        <v>227</v>
      </c>
      <c r="S8" s="1">
        <v>0</v>
      </c>
      <c r="T8" s="1">
        <v>0</v>
      </c>
      <c r="U8" s="1">
        <v>0</v>
      </c>
      <c r="V8" s="1">
        <v>1014</v>
      </c>
      <c r="W8" s="1">
        <v>700</v>
      </c>
      <c r="X8" s="1">
        <v>1003001</v>
      </c>
      <c r="Y8" s="1">
        <v>400</v>
      </c>
      <c r="Z8" s="1">
        <v>350</v>
      </c>
    </row>
    <row r="9" s="1" customFormat="1" spans="1:26">
      <c r="A9" s="1">
        <v>1003202</v>
      </c>
      <c r="B9" s="1" t="s">
        <v>230</v>
      </c>
      <c r="C9" s="1">
        <v>2</v>
      </c>
      <c r="D9" s="1">
        <v>120</v>
      </c>
      <c r="E9" s="1">
        <v>350</v>
      </c>
      <c r="F9" s="1">
        <v>11000</v>
      </c>
      <c r="G9" s="1">
        <v>500</v>
      </c>
      <c r="I9" s="1">
        <v>11000</v>
      </c>
      <c r="J9" s="1">
        <v>3100111</v>
      </c>
      <c r="K9" s="1" t="s">
        <v>230</v>
      </c>
      <c r="L9" s="1" t="s">
        <v>230</v>
      </c>
      <c r="M9" s="1">
        <v>1</v>
      </c>
      <c r="N9" s="1">
        <v>0</v>
      </c>
      <c r="O9" s="1">
        <v>0</v>
      </c>
      <c r="R9" s="1" t="s">
        <v>60</v>
      </c>
      <c r="S9" s="1">
        <v>0</v>
      </c>
      <c r="T9" s="1">
        <v>1003002</v>
      </c>
      <c r="U9" s="1">
        <v>500</v>
      </c>
      <c r="V9" s="1">
        <v>1014</v>
      </c>
      <c r="W9" s="1" t="s">
        <v>231</v>
      </c>
      <c r="X9" s="1">
        <v>0</v>
      </c>
      <c r="Y9" s="1">
        <v>0</v>
      </c>
      <c r="Z9" s="1">
        <v>0</v>
      </c>
    </row>
    <row r="10" s="1" customFormat="1" spans="1:26">
      <c r="A10" s="1">
        <v>1004201</v>
      </c>
      <c r="B10" s="1" t="s">
        <v>232</v>
      </c>
      <c r="C10" s="1">
        <v>1</v>
      </c>
      <c r="D10">
        <v>1001</v>
      </c>
      <c r="E10" s="1">
        <v>350</v>
      </c>
      <c r="F10" s="1">
        <v>13000</v>
      </c>
      <c r="G10" s="1">
        <v>0</v>
      </c>
      <c r="I10" s="1">
        <v>1000</v>
      </c>
      <c r="J10" s="1">
        <v>0</v>
      </c>
      <c r="K10" s="1" t="s">
        <v>232</v>
      </c>
      <c r="L10" s="1" t="s">
        <v>232</v>
      </c>
      <c r="M10" s="1">
        <v>1</v>
      </c>
      <c r="N10" s="1">
        <v>0</v>
      </c>
      <c r="O10" s="1">
        <v>0</v>
      </c>
      <c r="R10" s="1" t="s">
        <v>227</v>
      </c>
      <c r="S10" s="1">
        <v>0</v>
      </c>
      <c r="T10" s="1">
        <v>0</v>
      </c>
      <c r="U10" s="1">
        <v>0</v>
      </c>
      <c r="V10" s="1">
        <v>1015</v>
      </c>
      <c r="W10" s="1">
        <v>700</v>
      </c>
      <c r="X10" s="1">
        <v>1004001</v>
      </c>
      <c r="Y10" s="1">
        <v>400</v>
      </c>
      <c r="Z10" s="1">
        <v>350</v>
      </c>
    </row>
    <row r="11" s="1" customFormat="1" spans="1:26">
      <c r="A11" s="1">
        <v>1004202</v>
      </c>
      <c r="B11" s="1" t="s">
        <v>233</v>
      </c>
      <c r="C11" s="1">
        <v>2</v>
      </c>
      <c r="D11" s="1">
        <v>2001</v>
      </c>
      <c r="E11" s="1">
        <v>350</v>
      </c>
      <c r="F11" s="1">
        <v>11000</v>
      </c>
      <c r="G11" s="1">
        <v>500</v>
      </c>
      <c r="I11" s="1">
        <v>13000</v>
      </c>
      <c r="J11" s="1">
        <v>3100201</v>
      </c>
      <c r="K11" s="1" t="s">
        <v>233</v>
      </c>
      <c r="L11" s="1" t="s">
        <v>233</v>
      </c>
      <c r="M11" s="1">
        <v>1</v>
      </c>
      <c r="N11" s="1">
        <v>0</v>
      </c>
      <c r="O11" s="1">
        <v>0</v>
      </c>
      <c r="R11" s="1" t="s">
        <v>60</v>
      </c>
      <c r="S11" s="1">
        <v>0</v>
      </c>
      <c r="T11" s="1">
        <v>1004002</v>
      </c>
      <c r="U11" s="1">
        <v>400</v>
      </c>
      <c r="V11" s="1">
        <v>1015</v>
      </c>
      <c r="W11" s="1" t="s">
        <v>234</v>
      </c>
      <c r="X11" s="1">
        <v>0</v>
      </c>
      <c r="Y11" s="1">
        <v>0</v>
      </c>
      <c r="Z11" s="1">
        <v>0</v>
      </c>
    </row>
    <row r="12" s="1" customFormat="1" spans="1:26">
      <c r="A12" s="1">
        <v>1006001</v>
      </c>
      <c r="B12" s="1" t="s">
        <v>235</v>
      </c>
      <c r="C12" s="1">
        <v>1</v>
      </c>
      <c r="D12">
        <v>1001</v>
      </c>
      <c r="E12" s="1">
        <v>350</v>
      </c>
      <c r="F12" s="1">
        <v>10000</v>
      </c>
      <c r="G12" s="1">
        <v>0</v>
      </c>
      <c r="I12" s="1">
        <v>1000</v>
      </c>
      <c r="J12" s="1">
        <v>0</v>
      </c>
      <c r="K12" s="1" t="s">
        <v>235</v>
      </c>
      <c r="L12" s="1" t="s">
        <v>235</v>
      </c>
      <c r="M12" s="1">
        <v>1</v>
      </c>
      <c r="N12" s="1">
        <v>0</v>
      </c>
      <c r="O12" s="1">
        <v>0</v>
      </c>
      <c r="R12" s="1" t="s">
        <v>227</v>
      </c>
      <c r="S12" s="1">
        <v>0</v>
      </c>
      <c r="T12" s="1">
        <v>0</v>
      </c>
      <c r="U12" s="1">
        <v>0</v>
      </c>
      <c r="V12" s="1">
        <v>1016</v>
      </c>
      <c r="W12" s="1">
        <v>650</v>
      </c>
      <c r="X12" s="1">
        <v>1006001</v>
      </c>
      <c r="Y12" s="1">
        <v>330</v>
      </c>
      <c r="Z12" s="1">
        <v>350</v>
      </c>
    </row>
    <row r="13" s="2" customFormat="1" spans="1:26">
      <c r="A13" s="2">
        <v>1006002</v>
      </c>
      <c r="B13" s="2" t="s">
        <v>236</v>
      </c>
      <c r="C13" s="2">
        <v>2</v>
      </c>
      <c r="D13" s="2">
        <v>2001</v>
      </c>
      <c r="E13" s="2">
        <v>350</v>
      </c>
      <c r="F13" s="2">
        <v>22000</v>
      </c>
      <c r="G13" s="2">
        <v>500</v>
      </c>
      <c r="I13" s="2">
        <v>22000</v>
      </c>
      <c r="J13" s="2">
        <v>1006002</v>
      </c>
      <c r="K13" s="2" t="s">
        <v>238</v>
      </c>
      <c r="L13" s="2" t="s">
        <v>236</v>
      </c>
      <c r="M13" s="2">
        <v>1</v>
      </c>
      <c r="N13" s="2">
        <v>0</v>
      </c>
      <c r="O13" s="2">
        <v>0</v>
      </c>
      <c r="R13" s="2" t="s">
        <v>60</v>
      </c>
      <c r="S13" s="2">
        <v>0</v>
      </c>
      <c r="T13" s="2">
        <v>1006002</v>
      </c>
      <c r="U13" s="2">
        <v>600</v>
      </c>
      <c r="V13" s="2">
        <v>1016</v>
      </c>
      <c r="W13" s="2">
        <v>1150</v>
      </c>
      <c r="X13" s="2">
        <v>0</v>
      </c>
      <c r="Y13" s="2">
        <v>0</v>
      </c>
      <c r="Z13" s="2">
        <v>0</v>
      </c>
    </row>
    <row r="14" s="1" customFormat="1" spans="1:26">
      <c r="A14" s="1">
        <v>1006101</v>
      </c>
      <c r="B14" s="1" t="s">
        <v>240</v>
      </c>
      <c r="C14" s="1">
        <v>1</v>
      </c>
      <c r="D14">
        <v>1001</v>
      </c>
      <c r="E14" s="1">
        <v>350</v>
      </c>
      <c r="F14" s="1">
        <v>11000</v>
      </c>
      <c r="G14" s="1">
        <v>0</v>
      </c>
      <c r="I14" s="1">
        <v>1000</v>
      </c>
      <c r="J14" s="1">
        <v>0</v>
      </c>
      <c r="K14" s="1" t="s">
        <v>240</v>
      </c>
      <c r="L14" s="1" t="s">
        <v>240</v>
      </c>
      <c r="M14" s="1">
        <v>1</v>
      </c>
      <c r="N14" s="1">
        <v>0</v>
      </c>
      <c r="O14" s="1">
        <v>0</v>
      </c>
      <c r="R14" s="1" t="s">
        <v>227</v>
      </c>
      <c r="S14" s="1">
        <v>0</v>
      </c>
      <c r="T14" s="1">
        <v>0</v>
      </c>
      <c r="U14" s="1">
        <v>0</v>
      </c>
      <c r="V14" s="1">
        <v>1016</v>
      </c>
      <c r="W14" s="1">
        <v>700</v>
      </c>
      <c r="X14" s="1">
        <v>1006001</v>
      </c>
      <c r="Y14" s="1">
        <v>400</v>
      </c>
      <c r="Z14" s="1">
        <v>350</v>
      </c>
    </row>
    <row r="15" s="2" customFormat="1" spans="1:26">
      <c r="A15" s="2">
        <v>1006102</v>
      </c>
      <c r="B15" s="2" t="s">
        <v>241</v>
      </c>
      <c r="C15" s="2">
        <v>2</v>
      </c>
      <c r="D15" s="2">
        <v>2001</v>
      </c>
      <c r="E15" s="2">
        <v>350</v>
      </c>
      <c r="F15" s="2">
        <v>42000</v>
      </c>
      <c r="G15" s="2">
        <v>500</v>
      </c>
      <c r="I15" s="2">
        <v>22000</v>
      </c>
      <c r="J15" s="2">
        <v>1006002</v>
      </c>
      <c r="K15" s="2" t="s">
        <v>243</v>
      </c>
      <c r="L15" s="2" t="s">
        <v>241</v>
      </c>
      <c r="M15" s="2">
        <v>1</v>
      </c>
      <c r="N15" s="2">
        <v>0</v>
      </c>
      <c r="O15" s="2">
        <v>0</v>
      </c>
      <c r="R15" s="2" t="s">
        <v>60</v>
      </c>
      <c r="S15" s="2">
        <v>0</v>
      </c>
      <c r="T15" s="2">
        <v>1006102</v>
      </c>
      <c r="U15" s="2">
        <v>500</v>
      </c>
      <c r="V15" s="2">
        <v>1016</v>
      </c>
      <c r="W15" s="2">
        <v>1500</v>
      </c>
      <c r="X15" s="2">
        <v>0</v>
      </c>
      <c r="Y15" s="2">
        <v>0</v>
      </c>
      <c r="Z15" s="2">
        <v>0</v>
      </c>
    </row>
    <row r="16" s="1" customFormat="1" spans="1:26">
      <c r="A16" s="1">
        <v>1006201</v>
      </c>
      <c r="B16" s="1" t="s">
        <v>245</v>
      </c>
      <c r="C16" s="1">
        <v>1</v>
      </c>
      <c r="D16">
        <v>1001</v>
      </c>
      <c r="E16" s="1">
        <v>350</v>
      </c>
      <c r="F16" s="1">
        <v>13000</v>
      </c>
      <c r="G16" s="1">
        <v>0</v>
      </c>
      <c r="I16" s="1">
        <v>1000</v>
      </c>
      <c r="J16" s="1">
        <v>0</v>
      </c>
      <c r="K16" s="1" t="s">
        <v>245</v>
      </c>
      <c r="L16" s="1" t="s">
        <v>245</v>
      </c>
      <c r="M16" s="1">
        <v>1</v>
      </c>
      <c r="N16" s="1">
        <v>0</v>
      </c>
      <c r="O16" s="1">
        <v>0</v>
      </c>
      <c r="R16" s="1" t="s">
        <v>227</v>
      </c>
      <c r="S16" s="1">
        <v>0</v>
      </c>
      <c r="T16" s="1">
        <v>0</v>
      </c>
      <c r="U16" s="1">
        <v>0</v>
      </c>
      <c r="V16" s="1">
        <v>1016</v>
      </c>
      <c r="W16" s="1">
        <v>700</v>
      </c>
      <c r="X16" s="1">
        <v>1006001</v>
      </c>
      <c r="Y16" s="1">
        <v>500</v>
      </c>
      <c r="Z16" s="1">
        <v>350</v>
      </c>
    </row>
    <row r="17" s="2" customFormat="1" spans="1:26">
      <c r="A17" s="2">
        <v>1006202</v>
      </c>
      <c r="B17" s="2" t="s">
        <v>203</v>
      </c>
      <c r="C17" s="2">
        <v>2</v>
      </c>
      <c r="D17" s="2">
        <v>2001</v>
      </c>
      <c r="E17" s="2">
        <v>350</v>
      </c>
      <c r="F17" s="2">
        <v>20000</v>
      </c>
      <c r="G17" s="2">
        <v>500</v>
      </c>
      <c r="I17" s="2">
        <v>22000</v>
      </c>
      <c r="J17" s="2">
        <v>1006002</v>
      </c>
      <c r="K17" s="2" t="s">
        <v>247</v>
      </c>
      <c r="L17" s="2" t="s">
        <v>203</v>
      </c>
      <c r="M17" s="2">
        <v>1</v>
      </c>
      <c r="N17" s="2">
        <v>0</v>
      </c>
      <c r="O17" s="2">
        <v>0</v>
      </c>
      <c r="R17" s="2" t="s">
        <v>60</v>
      </c>
      <c r="S17" s="2">
        <v>0</v>
      </c>
      <c r="T17" s="2">
        <v>1006202</v>
      </c>
      <c r="U17" s="2">
        <v>600</v>
      </c>
      <c r="V17" s="2">
        <v>1016</v>
      </c>
      <c r="W17" s="2" t="s">
        <v>249</v>
      </c>
      <c r="X17" s="2">
        <v>0</v>
      </c>
      <c r="Y17" s="2">
        <v>0</v>
      </c>
      <c r="Z17" s="2">
        <v>0</v>
      </c>
    </row>
    <row r="18" s="1" customFormat="1" spans="1:26">
      <c r="A18" s="1">
        <v>1007001</v>
      </c>
      <c r="B18" s="1" t="s">
        <v>250</v>
      </c>
      <c r="C18" s="1">
        <v>1</v>
      </c>
      <c r="D18" s="1">
        <v>1001</v>
      </c>
      <c r="E18" s="1">
        <v>350</v>
      </c>
      <c r="F18" s="1">
        <v>10000</v>
      </c>
      <c r="G18" s="1">
        <v>0</v>
      </c>
      <c r="I18" s="1">
        <v>1000</v>
      </c>
      <c r="J18" s="1">
        <v>0</v>
      </c>
      <c r="K18" s="1" t="s">
        <v>250</v>
      </c>
      <c r="L18" s="1" t="s">
        <v>250</v>
      </c>
      <c r="M18" s="1">
        <v>1</v>
      </c>
      <c r="N18" s="1">
        <v>0</v>
      </c>
      <c r="O18" s="1">
        <v>0</v>
      </c>
      <c r="R18" s="1" t="s">
        <v>227</v>
      </c>
      <c r="S18" s="1">
        <v>0</v>
      </c>
      <c r="T18" s="1">
        <v>0</v>
      </c>
      <c r="U18" s="1">
        <v>0</v>
      </c>
      <c r="V18" s="1">
        <v>1011</v>
      </c>
      <c r="W18" s="1">
        <v>600</v>
      </c>
      <c r="X18" s="1">
        <v>1007001</v>
      </c>
      <c r="Y18" s="1">
        <v>300</v>
      </c>
      <c r="Z18" s="1">
        <v>350</v>
      </c>
    </row>
    <row r="19" s="1" customFormat="1" spans="1:26">
      <c r="A19" s="1">
        <v>1007002</v>
      </c>
      <c r="B19" s="1" t="s">
        <v>82</v>
      </c>
      <c r="C19" s="1">
        <v>2</v>
      </c>
      <c r="D19" s="1">
        <v>2001</v>
      </c>
      <c r="E19" s="1">
        <v>350</v>
      </c>
      <c r="F19" s="1">
        <v>21000</v>
      </c>
      <c r="G19" s="1">
        <v>500</v>
      </c>
      <c r="I19" s="1">
        <v>7000</v>
      </c>
      <c r="J19" s="1">
        <v>1007002</v>
      </c>
      <c r="K19" s="1" t="s">
        <v>252</v>
      </c>
      <c r="L19" s="1" t="s">
        <v>82</v>
      </c>
      <c r="M19" s="1">
        <v>1</v>
      </c>
      <c r="N19" s="1">
        <v>0</v>
      </c>
      <c r="O19" s="1">
        <v>0</v>
      </c>
      <c r="R19" s="1" t="s">
        <v>60</v>
      </c>
      <c r="S19" s="1">
        <v>0</v>
      </c>
      <c r="T19" s="1">
        <v>1007002</v>
      </c>
      <c r="U19" s="1">
        <v>900</v>
      </c>
      <c r="V19" s="1">
        <v>1011</v>
      </c>
      <c r="W19" s="1">
        <v>1400</v>
      </c>
      <c r="X19" s="1">
        <v>0</v>
      </c>
      <c r="Y19" s="1">
        <v>0</v>
      </c>
      <c r="Z19" s="1">
        <v>0</v>
      </c>
    </row>
    <row r="20" s="1" customFormat="1" spans="1:26">
      <c r="A20" s="1">
        <v>1007101</v>
      </c>
      <c r="B20" s="1" t="s">
        <v>254</v>
      </c>
      <c r="C20" s="1">
        <v>1</v>
      </c>
      <c r="D20" s="1">
        <v>1001</v>
      </c>
      <c r="E20" s="1">
        <v>350</v>
      </c>
      <c r="F20" s="1">
        <v>10000</v>
      </c>
      <c r="G20" s="1">
        <v>0</v>
      </c>
      <c r="I20" s="1">
        <v>1000</v>
      </c>
      <c r="J20" s="1">
        <v>0</v>
      </c>
      <c r="K20" s="1" t="s">
        <v>254</v>
      </c>
      <c r="L20" s="1" t="s">
        <v>254</v>
      </c>
      <c r="M20" s="1">
        <v>1</v>
      </c>
      <c r="N20" s="1">
        <v>0</v>
      </c>
      <c r="O20" s="1">
        <v>0</v>
      </c>
      <c r="R20" s="1" t="s">
        <v>227</v>
      </c>
      <c r="S20" s="1">
        <v>0</v>
      </c>
      <c r="T20" s="1">
        <v>0</v>
      </c>
      <c r="U20" s="1">
        <v>0</v>
      </c>
      <c r="V20" s="1">
        <v>1011</v>
      </c>
      <c r="W20" s="1">
        <v>700</v>
      </c>
      <c r="X20" s="1">
        <v>1007001</v>
      </c>
      <c r="Y20" s="1">
        <v>400</v>
      </c>
      <c r="Z20" s="1">
        <v>350</v>
      </c>
    </row>
    <row r="21" s="1" customFormat="1" spans="1:26">
      <c r="A21" s="1">
        <v>1007102</v>
      </c>
      <c r="B21" s="1" t="s">
        <v>255</v>
      </c>
      <c r="C21" s="1">
        <v>2</v>
      </c>
      <c r="D21" s="1">
        <v>2001</v>
      </c>
      <c r="E21" s="1">
        <v>350</v>
      </c>
      <c r="F21" s="1">
        <v>21000</v>
      </c>
      <c r="G21" s="1">
        <v>500</v>
      </c>
      <c r="I21" s="1">
        <v>7000</v>
      </c>
      <c r="J21" s="11">
        <v>1007002</v>
      </c>
      <c r="K21" s="1" t="s">
        <v>257</v>
      </c>
      <c r="L21" s="1" t="s">
        <v>255</v>
      </c>
      <c r="M21" s="1">
        <v>1</v>
      </c>
      <c r="N21" s="1">
        <v>0</v>
      </c>
      <c r="O21" s="1">
        <v>0</v>
      </c>
      <c r="R21" s="1" t="s">
        <v>60</v>
      </c>
      <c r="S21" s="1">
        <v>0</v>
      </c>
      <c r="T21" s="1">
        <v>1007102</v>
      </c>
      <c r="U21" s="1">
        <v>1000</v>
      </c>
      <c r="V21" s="1">
        <v>1011</v>
      </c>
      <c r="W21" s="1">
        <v>1500</v>
      </c>
      <c r="X21" s="1">
        <v>0</v>
      </c>
      <c r="Y21" s="1">
        <v>0</v>
      </c>
      <c r="Z21" s="1">
        <v>0</v>
      </c>
    </row>
    <row r="22" s="1" customFormat="1" spans="1:26">
      <c r="A22" s="1">
        <v>1009001</v>
      </c>
      <c r="B22" s="1" t="s">
        <v>259</v>
      </c>
      <c r="C22" s="1">
        <v>1</v>
      </c>
      <c r="D22" s="1">
        <v>1001</v>
      </c>
      <c r="E22" s="1">
        <v>350</v>
      </c>
      <c r="F22" s="1">
        <v>10000</v>
      </c>
      <c r="G22" s="1">
        <v>0</v>
      </c>
      <c r="I22" s="1">
        <v>1000</v>
      </c>
      <c r="J22" s="1">
        <v>0</v>
      </c>
      <c r="K22" s="1" t="s">
        <v>259</v>
      </c>
      <c r="L22" s="1" t="s">
        <v>259</v>
      </c>
      <c r="M22" s="1">
        <v>1</v>
      </c>
      <c r="N22" s="1">
        <v>0</v>
      </c>
      <c r="O22" s="1">
        <v>0</v>
      </c>
      <c r="R22" s="1" t="s">
        <v>227</v>
      </c>
      <c r="S22" s="1">
        <v>0</v>
      </c>
      <c r="T22" s="1">
        <v>0</v>
      </c>
      <c r="U22" s="1">
        <v>0</v>
      </c>
      <c r="V22" s="1">
        <v>1011</v>
      </c>
      <c r="W22" s="1">
        <v>700</v>
      </c>
      <c r="X22" s="1">
        <v>1009001</v>
      </c>
      <c r="Y22" s="1">
        <v>400</v>
      </c>
      <c r="Z22" s="1">
        <v>350</v>
      </c>
    </row>
    <row r="23" s="1" customFormat="1" spans="1:26">
      <c r="A23" s="1">
        <v>1009002</v>
      </c>
      <c r="B23" s="1" t="s">
        <v>154</v>
      </c>
      <c r="C23" s="1">
        <v>2</v>
      </c>
      <c r="D23" s="1">
        <v>2001</v>
      </c>
      <c r="E23" s="1">
        <v>350</v>
      </c>
      <c r="F23" s="1">
        <v>3500</v>
      </c>
      <c r="G23" s="1">
        <v>500</v>
      </c>
      <c r="I23" s="1">
        <v>7000</v>
      </c>
      <c r="J23" s="1">
        <v>1009002</v>
      </c>
      <c r="K23" s="1" t="s">
        <v>261</v>
      </c>
      <c r="L23" s="1" t="s">
        <v>154</v>
      </c>
      <c r="M23" s="1">
        <v>1</v>
      </c>
      <c r="N23" s="1">
        <v>0</v>
      </c>
      <c r="O23" s="1">
        <v>0</v>
      </c>
      <c r="R23" s="1" t="s">
        <v>60</v>
      </c>
      <c r="S23" s="1">
        <v>0</v>
      </c>
      <c r="T23" s="1">
        <v>1009002</v>
      </c>
      <c r="U23" s="1">
        <v>500</v>
      </c>
      <c r="V23" s="1">
        <v>1011</v>
      </c>
      <c r="W23" s="1" t="s">
        <v>263</v>
      </c>
      <c r="X23" s="1">
        <v>0</v>
      </c>
      <c r="Y23" s="1">
        <v>0</v>
      </c>
      <c r="Z23" s="1">
        <v>0</v>
      </c>
    </row>
    <row r="24" s="1" customFormat="1" spans="1:26">
      <c r="A24" s="1">
        <v>1009101</v>
      </c>
      <c r="B24" s="1" t="s">
        <v>264</v>
      </c>
      <c r="C24" s="1">
        <v>1</v>
      </c>
      <c r="D24" s="1">
        <v>1001</v>
      </c>
      <c r="E24" s="1">
        <v>350</v>
      </c>
      <c r="F24" s="1">
        <v>11000</v>
      </c>
      <c r="G24" s="1">
        <v>0</v>
      </c>
      <c r="I24" s="1">
        <v>1000</v>
      </c>
      <c r="J24" s="1">
        <v>0</v>
      </c>
      <c r="K24" s="1" t="s">
        <v>264</v>
      </c>
      <c r="L24" s="1" t="s">
        <v>264</v>
      </c>
      <c r="M24" s="1">
        <v>1</v>
      </c>
      <c r="N24" s="1">
        <v>0</v>
      </c>
      <c r="O24" s="1">
        <v>0</v>
      </c>
      <c r="R24" s="1" t="s">
        <v>227</v>
      </c>
      <c r="S24" s="1">
        <v>0</v>
      </c>
      <c r="T24" s="1">
        <v>0</v>
      </c>
      <c r="U24" s="1">
        <v>0</v>
      </c>
      <c r="V24" s="1">
        <v>1011</v>
      </c>
      <c r="W24" s="1">
        <v>800</v>
      </c>
      <c r="X24" s="1">
        <v>1009001</v>
      </c>
      <c r="Y24" s="1">
        <v>500</v>
      </c>
      <c r="Z24" s="1">
        <v>350</v>
      </c>
    </row>
    <row r="25" s="1" customFormat="1" spans="1:26">
      <c r="A25" s="1">
        <v>1009102</v>
      </c>
      <c r="B25" s="1" t="s">
        <v>265</v>
      </c>
      <c r="C25" s="1">
        <v>2</v>
      </c>
      <c r="D25" s="1">
        <v>2001</v>
      </c>
      <c r="E25" s="1">
        <v>350</v>
      </c>
      <c r="F25" s="1">
        <v>6000</v>
      </c>
      <c r="G25" s="1">
        <v>500</v>
      </c>
      <c r="I25" s="1">
        <v>7000</v>
      </c>
      <c r="J25" s="1">
        <v>1009002</v>
      </c>
      <c r="K25" s="1" t="s">
        <v>267</v>
      </c>
      <c r="L25" s="1" t="s">
        <v>265</v>
      </c>
      <c r="M25" s="1">
        <v>1</v>
      </c>
      <c r="N25" s="1">
        <v>0</v>
      </c>
      <c r="O25" s="1">
        <v>0</v>
      </c>
      <c r="R25" s="1" t="s">
        <v>60</v>
      </c>
      <c r="S25" s="1">
        <v>0</v>
      </c>
      <c r="T25" s="1">
        <v>1009002</v>
      </c>
      <c r="U25" s="1">
        <v>700</v>
      </c>
      <c r="V25" s="1">
        <v>1011</v>
      </c>
      <c r="W25" s="1" t="s">
        <v>269</v>
      </c>
      <c r="X25" s="1">
        <v>0</v>
      </c>
      <c r="Y25" s="1">
        <v>0</v>
      </c>
      <c r="Z25" s="1">
        <v>0</v>
      </c>
    </row>
    <row r="26" s="1" customFormat="1" spans="1:26">
      <c r="A26" s="1">
        <v>1010001</v>
      </c>
      <c r="B26" s="1" t="s">
        <v>270</v>
      </c>
      <c r="C26" s="1">
        <v>1</v>
      </c>
      <c r="D26">
        <v>1001</v>
      </c>
      <c r="E26" s="1">
        <v>350</v>
      </c>
      <c r="F26" s="1">
        <v>10000</v>
      </c>
      <c r="G26" s="1">
        <v>0</v>
      </c>
      <c r="I26" s="1">
        <v>1000</v>
      </c>
      <c r="J26" s="1">
        <v>0</v>
      </c>
      <c r="K26" s="1" t="s">
        <v>270</v>
      </c>
      <c r="L26" s="1" t="s">
        <v>270</v>
      </c>
      <c r="M26" s="1">
        <v>1</v>
      </c>
      <c r="N26" s="1">
        <v>0</v>
      </c>
      <c r="O26" s="1">
        <v>0</v>
      </c>
      <c r="R26" s="1" t="s">
        <v>227</v>
      </c>
      <c r="S26" s="1">
        <v>0</v>
      </c>
      <c r="T26" s="11">
        <v>0</v>
      </c>
      <c r="U26" s="11">
        <v>0</v>
      </c>
      <c r="V26" s="11">
        <v>1013</v>
      </c>
      <c r="W26" s="11">
        <v>800</v>
      </c>
      <c r="X26" s="11">
        <v>1010001</v>
      </c>
      <c r="Y26" s="11">
        <v>500</v>
      </c>
      <c r="Z26" s="1">
        <v>350</v>
      </c>
    </row>
    <row r="27" s="1" customFormat="1" spans="1:26">
      <c r="A27" s="1">
        <v>1010002</v>
      </c>
      <c r="B27" s="1" t="s">
        <v>271</v>
      </c>
      <c r="C27" s="1">
        <v>2</v>
      </c>
      <c r="D27" s="1">
        <v>2001</v>
      </c>
      <c r="E27" s="1">
        <v>350</v>
      </c>
      <c r="F27" s="1">
        <v>21000</v>
      </c>
      <c r="G27" s="1">
        <v>500</v>
      </c>
      <c r="I27" s="1">
        <v>7000</v>
      </c>
      <c r="J27" s="1">
        <v>1010002</v>
      </c>
      <c r="K27" s="1" t="s">
        <v>273</v>
      </c>
      <c r="L27" s="1" t="s">
        <v>271</v>
      </c>
      <c r="M27" s="1">
        <v>1</v>
      </c>
      <c r="N27" s="1">
        <v>0</v>
      </c>
      <c r="O27" s="1">
        <v>0</v>
      </c>
      <c r="R27" s="1" t="s">
        <v>60</v>
      </c>
      <c r="S27" s="1">
        <v>0</v>
      </c>
      <c r="T27" s="11">
        <v>1010002</v>
      </c>
      <c r="U27" s="11">
        <v>600</v>
      </c>
      <c r="V27" s="11">
        <v>1013</v>
      </c>
      <c r="W27" s="11">
        <v>1200</v>
      </c>
      <c r="X27" s="11">
        <v>0</v>
      </c>
      <c r="Y27" s="11">
        <v>0</v>
      </c>
      <c r="Z27" s="1">
        <v>0</v>
      </c>
    </row>
    <row r="28" s="1" customFormat="1" spans="1:26">
      <c r="A28" s="1">
        <v>1010101</v>
      </c>
      <c r="B28" s="1" t="s">
        <v>275</v>
      </c>
      <c r="C28" s="1">
        <v>1</v>
      </c>
      <c r="D28">
        <v>1001</v>
      </c>
      <c r="E28" s="1">
        <v>350</v>
      </c>
      <c r="F28" s="1">
        <v>11000</v>
      </c>
      <c r="G28" s="1">
        <v>0</v>
      </c>
      <c r="I28" s="1">
        <v>1000</v>
      </c>
      <c r="J28" s="1">
        <v>0</v>
      </c>
      <c r="K28" s="1" t="s">
        <v>275</v>
      </c>
      <c r="L28" s="1" t="s">
        <v>275</v>
      </c>
      <c r="M28" s="1">
        <v>1</v>
      </c>
      <c r="N28" s="1">
        <v>0</v>
      </c>
      <c r="O28" s="1">
        <v>0</v>
      </c>
      <c r="R28" s="1" t="s">
        <v>227</v>
      </c>
      <c r="S28" s="1">
        <v>0</v>
      </c>
      <c r="T28" s="11">
        <v>0</v>
      </c>
      <c r="U28" s="11">
        <v>0</v>
      </c>
      <c r="V28" s="11">
        <v>1013</v>
      </c>
      <c r="W28" s="11">
        <v>700</v>
      </c>
      <c r="X28" s="11">
        <v>1010001</v>
      </c>
      <c r="Y28" s="11">
        <v>400</v>
      </c>
      <c r="Z28" s="1">
        <v>350</v>
      </c>
    </row>
    <row r="29" s="1" customFormat="1" spans="1:26">
      <c r="A29" s="1">
        <v>1010102</v>
      </c>
      <c r="B29" s="1" t="s">
        <v>56</v>
      </c>
      <c r="C29" s="1">
        <v>2</v>
      </c>
      <c r="D29" s="1">
        <v>2001</v>
      </c>
      <c r="E29" s="1">
        <v>350</v>
      </c>
      <c r="F29" s="1">
        <v>21000</v>
      </c>
      <c r="G29" s="1">
        <v>500</v>
      </c>
      <c r="I29" s="1">
        <v>7000</v>
      </c>
      <c r="J29" s="1">
        <v>1010002</v>
      </c>
      <c r="K29" s="1" t="s">
        <v>277</v>
      </c>
      <c r="L29" s="1" t="s">
        <v>56</v>
      </c>
      <c r="M29" s="1">
        <v>1</v>
      </c>
      <c r="N29" s="1">
        <v>0</v>
      </c>
      <c r="O29" s="1">
        <v>0</v>
      </c>
      <c r="R29" s="1" t="s">
        <v>60</v>
      </c>
      <c r="S29" s="1">
        <v>0</v>
      </c>
      <c r="T29" s="15">
        <v>1010102</v>
      </c>
      <c r="U29" s="11">
        <v>500</v>
      </c>
      <c r="V29" s="11">
        <v>1013</v>
      </c>
      <c r="W29" s="11" t="s">
        <v>279</v>
      </c>
      <c r="X29" s="11">
        <v>0</v>
      </c>
      <c r="Y29" s="11">
        <v>0</v>
      </c>
      <c r="Z29" s="1">
        <v>0</v>
      </c>
    </row>
    <row r="30" s="1" customFormat="1" spans="1:26">
      <c r="A30" s="1">
        <v>1010201</v>
      </c>
      <c r="B30" s="1" t="s">
        <v>280</v>
      </c>
      <c r="C30" s="1">
        <v>1</v>
      </c>
      <c r="D30">
        <v>1001</v>
      </c>
      <c r="E30" s="1">
        <v>350</v>
      </c>
      <c r="F30" s="1">
        <v>11000</v>
      </c>
      <c r="G30" s="1">
        <v>0</v>
      </c>
      <c r="I30" s="1">
        <v>1000</v>
      </c>
      <c r="J30" s="1">
        <v>0</v>
      </c>
      <c r="K30" s="1" t="s">
        <v>280</v>
      </c>
      <c r="L30" s="1" t="s">
        <v>280</v>
      </c>
      <c r="M30" s="1">
        <v>1</v>
      </c>
      <c r="N30" s="1">
        <v>0</v>
      </c>
      <c r="O30" s="1">
        <v>0</v>
      </c>
      <c r="R30" s="1" t="s">
        <v>227</v>
      </c>
      <c r="S30" s="1">
        <v>0</v>
      </c>
      <c r="T30" s="11">
        <v>0</v>
      </c>
      <c r="U30" s="11">
        <v>0</v>
      </c>
      <c r="V30" s="11">
        <v>1013</v>
      </c>
      <c r="W30" s="11">
        <v>700</v>
      </c>
      <c r="X30" s="11">
        <v>1010001</v>
      </c>
      <c r="Y30" s="11">
        <v>400</v>
      </c>
      <c r="Z30" s="1">
        <v>350</v>
      </c>
    </row>
    <row r="31" s="1" customFormat="1" spans="1:26">
      <c r="A31" s="1">
        <v>1010202</v>
      </c>
      <c r="B31" s="1" t="s">
        <v>208</v>
      </c>
      <c r="C31" s="1">
        <v>2</v>
      </c>
      <c r="D31" s="1">
        <v>2001</v>
      </c>
      <c r="E31" s="1">
        <v>350</v>
      </c>
      <c r="F31" s="1">
        <v>11000</v>
      </c>
      <c r="G31" s="1">
        <v>500</v>
      </c>
      <c r="I31" s="1">
        <v>7000</v>
      </c>
      <c r="J31" s="1">
        <v>1010202</v>
      </c>
      <c r="K31" s="1" t="s">
        <v>282</v>
      </c>
      <c r="L31" s="1" t="s">
        <v>208</v>
      </c>
      <c r="M31" s="1">
        <v>1</v>
      </c>
      <c r="N31" s="1">
        <v>0</v>
      </c>
      <c r="O31" s="1">
        <v>0</v>
      </c>
      <c r="R31" s="1" t="s">
        <v>60</v>
      </c>
      <c r="S31" s="1">
        <v>0</v>
      </c>
      <c r="T31" s="11">
        <v>1010202</v>
      </c>
      <c r="U31" s="11">
        <v>1100</v>
      </c>
      <c r="V31" s="11">
        <v>1013</v>
      </c>
      <c r="W31" s="11" t="s">
        <v>284</v>
      </c>
      <c r="X31" s="11">
        <v>0</v>
      </c>
      <c r="Y31" s="11">
        <v>0</v>
      </c>
      <c r="Z31" s="1">
        <v>0</v>
      </c>
    </row>
    <row r="32" s="1" customFormat="1" spans="1:26">
      <c r="A32" s="1">
        <v>1011001</v>
      </c>
      <c r="B32" s="1" t="s">
        <v>285</v>
      </c>
      <c r="C32" s="1">
        <v>1</v>
      </c>
      <c r="D32">
        <v>1001</v>
      </c>
      <c r="E32" s="1">
        <v>350</v>
      </c>
      <c r="F32" s="1">
        <v>10000</v>
      </c>
      <c r="G32" s="1">
        <v>0</v>
      </c>
      <c r="I32" s="1">
        <v>1000</v>
      </c>
      <c r="J32" s="1">
        <v>0</v>
      </c>
      <c r="K32" s="1" t="s">
        <v>285</v>
      </c>
      <c r="L32" s="1" t="s">
        <v>285</v>
      </c>
      <c r="M32" s="1">
        <v>1</v>
      </c>
      <c r="N32" s="1">
        <v>0</v>
      </c>
      <c r="O32" s="1">
        <v>0</v>
      </c>
      <c r="R32" s="1" t="s">
        <v>227</v>
      </c>
      <c r="S32" s="1">
        <v>0</v>
      </c>
      <c r="T32" s="1">
        <v>0</v>
      </c>
      <c r="U32" s="1">
        <v>0</v>
      </c>
      <c r="V32" s="1">
        <v>1013</v>
      </c>
      <c r="W32" s="1">
        <v>700</v>
      </c>
      <c r="X32" s="1">
        <v>1011001</v>
      </c>
      <c r="Y32" s="1">
        <v>400</v>
      </c>
      <c r="Z32" s="1">
        <v>350</v>
      </c>
    </row>
    <row r="33" s="1" customFormat="1" spans="1:26">
      <c r="A33" s="1">
        <v>1011002</v>
      </c>
      <c r="B33" s="1" t="s">
        <v>286</v>
      </c>
      <c r="C33" s="1">
        <v>2</v>
      </c>
      <c r="D33" s="1">
        <v>2001</v>
      </c>
      <c r="E33" s="1">
        <v>350</v>
      </c>
      <c r="F33" s="1">
        <v>5400</v>
      </c>
      <c r="G33" s="1">
        <v>500</v>
      </c>
      <c r="I33" s="1">
        <v>7000</v>
      </c>
      <c r="J33" s="1">
        <v>1011002</v>
      </c>
      <c r="K33" s="1" t="s">
        <v>288</v>
      </c>
      <c r="L33" s="1" t="s">
        <v>286</v>
      </c>
      <c r="M33" s="1">
        <v>1</v>
      </c>
      <c r="N33" s="1">
        <v>0</v>
      </c>
      <c r="O33" s="1">
        <v>0</v>
      </c>
      <c r="R33" s="1" t="s">
        <v>60</v>
      </c>
      <c r="S33" s="1">
        <v>0</v>
      </c>
      <c r="T33" s="11">
        <v>1011002</v>
      </c>
      <c r="U33" s="11">
        <v>300</v>
      </c>
      <c r="V33" s="11">
        <v>1013</v>
      </c>
      <c r="W33" s="11" t="s">
        <v>969</v>
      </c>
      <c r="X33" s="1">
        <v>0</v>
      </c>
      <c r="Y33" s="1">
        <v>0</v>
      </c>
      <c r="Z33" s="1">
        <v>0</v>
      </c>
    </row>
    <row r="34" s="1" customFormat="1" spans="1:26">
      <c r="A34" s="1">
        <v>1011101</v>
      </c>
      <c r="B34" s="1" t="s">
        <v>291</v>
      </c>
      <c r="C34" s="1">
        <v>1</v>
      </c>
      <c r="D34">
        <v>1001</v>
      </c>
      <c r="E34" s="1">
        <v>350</v>
      </c>
      <c r="F34" s="1">
        <v>11000</v>
      </c>
      <c r="G34" s="1">
        <v>0</v>
      </c>
      <c r="I34" s="1">
        <v>1000</v>
      </c>
      <c r="J34" s="1">
        <v>0</v>
      </c>
      <c r="K34" s="1" t="s">
        <v>291</v>
      </c>
      <c r="L34" s="1" t="s">
        <v>291</v>
      </c>
      <c r="M34" s="1">
        <v>1</v>
      </c>
      <c r="N34" s="1">
        <v>0</v>
      </c>
      <c r="O34" s="1">
        <v>0</v>
      </c>
      <c r="R34" s="1" t="s">
        <v>227</v>
      </c>
      <c r="S34" s="1">
        <v>0</v>
      </c>
      <c r="T34" s="11">
        <v>0</v>
      </c>
      <c r="U34" s="11">
        <v>0</v>
      </c>
      <c r="V34" s="11">
        <v>1013</v>
      </c>
      <c r="W34" s="11">
        <v>700</v>
      </c>
      <c r="X34" s="1">
        <v>1011001</v>
      </c>
      <c r="Y34" s="1">
        <v>400</v>
      </c>
      <c r="Z34" s="1">
        <v>350</v>
      </c>
    </row>
    <row r="35" s="1" customFormat="1" spans="1:26">
      <c r="A35" s="1">
        <v>1011102</v>
      </c>
      <c r="B35" s="1" t="s">
        <v>116</v>
      </c>
      <c r="C35" s="1">
        <v>2</v>
      </c>
      <c r="D35" s="1">
        <v>2001</v>
      </c>
      <c r="E35" s="1">
        <v>350</v>
      </c>
      <c r="F35" s="1">
        <v>10000</v>
      </c>
      <c r="G35" s="1">
        <v>500</v>
      </c>
      <c r="I35" s="1">
        <v>7000</v>
      </c>
      <c r="J35" s="1">
        <v>1011002</v>
      </c>
      <c r="K35" s="1" t="s">
        <v>293</v>
      </c>
      <c r="L35" s="1" t="s">
        <v>116</v>
      </c>
      <c r="M35" s="1">
        <v>1</v>
      </c>
      <c r="N35" s="1">
        <v>0</v>
      </c>
      <c r="O35" s="1">
        <v>0</v>
      </c>
      <c r="R35" s="1" t="s">
        <v>60</v>
      </c>
      <c r="S35" s="1">
        <v>0</v>
      </c>
      <c r="T35" s="11">
        <v>1011002</v>
      </c>
      <c r="U35" s="11">
        <v>500</v>
      </c>
      <c r="V35" s="11">
        <v>1013</v>
      </c>
      <c r="W35" s="11" t="s">
        <v>970</v>
      </c>
      <c r="X35" s="1">
        <v>0</v>
      </c>
      <c r="Y35" s="1">
        <v>0</v>
      </c>
      <c r="Z35" s="1">
        <v>0</v>
      </c>
    </row>
    <row r="36" s="1" customFormat="1" spans="1:26">
      <c r="A36" s="1">
        <v>1012001</v>
      </c>
      <c r="B36" s="1" t="s">
        <v>295</v>
      </c>
      <c r="C36" s="1">
        <v>1</v>
      </c>
      <c r="D36">
        <v>1001</v>
      </c>
      <c r="E36" s="1">
        <v>350</v>
      </c>
      <c r="F36" s="1">
        <v>10000</v>
      </c>
      <c r="G36" s="1">
        <v>0</v>
      </c>
      <c r="I36" s="1">
        <v>1000</v>
      </c>
      <c r="J36" s="1">
        <v>0</v>
      </c>
      <c r="K36" s="1" t="s">
        <v>295</v>
      </c>
      <c r="L36" s="1" t="s">
        <v>295</v>
      </c>
      <c r="M36" s="1">
        <v>1</v>
      </c>
      <c r="N36" s="1">
        <v>0</v>
      </c>
      <c r="O36" s="1">
        <v>0</v>
      </c>
      <c r="R36" s="1" t="s">
        <v>227</v>
      </c>
      <c r="S36" s="1">
        <v>0</v>
      </c>
      <c r="T36" s="1">
        <v>0</v>
      </c>
      <c r="U36" s="1">
        <v>0</v>
      </c>
      <c r="V36" s="1">
        <v>1013</v>
      </c>
      <c r="W36" s="1">
        <v>600</v>
      </c>
      <c r="X36" s="1">
        <v>1012001</v>
      </c>
      <c r="Y36" s="1">
        <v>300</v>
      </c>
      <c r="Z36" s="1">
        <v>350</v>
      </c>
    </row>
    <row r="37" s="1" customFormat="1" spans="1:26">
      <c r="A37" s="1">
        <v>1012002</v>
      </c>
      <c r="B37" s="1" t="s">
        <v>296</v>
      </c>
      <c r="C37" s="1">
        <v>2</v>
      </c>
      <c r="D37" s="1">
        <v>2001</v>
      </c>
      <c r="E37" s="1">
        <v>350</v>
      </c>
      <c r="F37" s="1">
        <v>4500</v>
      </c>
      <c r="G37" s="1">
        <v>500</v>
      </c>
      <c r="I37" s="1">
        <v>7000</v>
      </c>
      <c r="J37" s="1">
        <v>1012002</v>
      </c>
      <c r="K37" s="1" t="s">
        <v>298</v>
      </c>
      <c r="L37" s="1" t="s">
        <v>296</v>
      </c>
      <c r="M37" s="1">
        <v>1</v>
      </c>
      <c r="N37" s="1">
        <v>0</v>
      </c>
      <c r="O37" s="1">
        <v>0</v>
      </c>
      <c r="R37" s="1" t="s">
        <v>60</v>
      </c>
      <c r="S37" s="1">
        <v>0</v>
      </c>
      <c r="T37" s="11">
        <v>1012002</v>
      </c>
      <c r="U37" s="11">
        <v>700</v>
      </c>
      <c r="V37" s="11">
        <v>1013</v>
      </c>
      <c r="W37" s="11" t="s">
        <v>971</v>
      </c>
      <c r="X37" s="1">
        <v>0</v>
      </c>
      <c r="Y37" s="1">
        <v>0</v>
      </c>
      <c r="Z37" s="1">
        <v>0</v>
      </c>
    </row>
    <row r="38" s="1" customFormat="1" spans="1:26">
      <c r="A38" s="1">
        <v>1012101</v>
      </c>
      <c r="B38" s="1" t="s">
        <v>301</v>
      </c>
      <c r="C38" s="1">
        <v>1</v>
      </c>
      <c r="D38">
        <v>1001</v>
      </c>
      <c r="E38" s="1">
        <v>350</v>
      </c>
      <c r="F38" s="1">
        <v>11000</v>
      </c>
      <c r="G38" s="1">
        <v>0</v>
      </c>
      <c r="I38" s="1">
        <v>1000</v>
      </c>
      <c r="J38" s="1">
        <v>0</v>
      </c>
      <c r="K38" s="1" t="s">
        <v>301</v>
      </c>
      <c r="L38" s="1" t="s">
        <v>301</v>
      </c>
      <c r="M38" s="1">
        <v>1</v>
      </c>
      <c r="N38" s="1">
        <v>0</v>
      </c>
      <c r="O38" s="1">
        <v>0</v>
      </c>
      <c r="R38" s="1" t="s">
        <v>227</v>
      </c>
      <c r="S38" s="1">
        <v>0</v>
      </c>
      <c r="T38" s="11">
        <v>0</v>
      </c>
      <c r="U38" s="11">
        <v>0</v>
      </c>
      <c r="V38" s="11">
        <v>1013</v>
      </c>
      <c r="W38" s="11">
        <v>600</v>
      </c>
      <c r="X38" s="1">
        <v>1012001</v>
      </c>
      <c r="Y38" s="1">
        <v>300</v>
      </c>
      <c r="Z38" s="1">
        <v>350</v>
      </c>
    </row>
    <row r="39" s="1" customFormat="1" spans="1:26">
      <c r="A39" s="1">
        <v>1012102</v>
      </c>
      <c r="B39" s="1" t="s">
        <v>130</v>
      </c>
      <c r="C39" s="1">
        <v>2</v>
      </c>
      <c r="D39" s="1">
        <v>2001</v>
      </c>
      <c r="E39" s="1">
        <v>350</v>
      </c>
      <c r="F39" s="1">
        <v>8000</v>
      </c>
      <c r="G39" s="1">
        <v>500</v>
      </c>
      <c r="I39" s="1">
        <v>7000</v>
      </c>
      <c r="J39" s="1">
        <v>1012002</v>
      </c>
      <c r="K39" s="1" t="s">
        <v>303</v>
      </c>
      <c r="L39" s="1" t="s">
        <v>130</v>
      </c>
      <c r="M39" s="1">
        <v>1</v>
      </c>
      <c r="N39" s="1">
        <v>0</v>
      </c>
      <c r="O39" s="1">
        <v>0</v>
      </c>
      <c r="R39" s="1" t="s">
        <v>60</v>
      </c>
      <c r="S39" s="1">
        <v>0</v>
      </c>
      <c r="T39" s="11">
        <v>1012002</v>
      </c>
      <c r="U39" s="11">
        <v>700</v>
      </c>
      <c r="V39" s="11">
        <v>1013</v>
      </c>
      <c r="W39" s="11" t="s">
        <v>971</v>
      </c>
      <c r="X39" s="1">
        <v>0</v>
      </c>
      <c r="Y39" s="1">
        <v>0</v>
      </c>
      <c r="Z39" s="1">
        <v>0</v>
      </c>
    </row>
    <row r="40" s="1" customFormat="1" spans="1:26">
      <c r="A40" s="1">
        <v>1012201</v>
      </c>
      <c r="B40" s="1" t="s">
        <v>305</v>
      </c>
      <c r="C40" s="1">
        <v>1</v>
      </c>
      <c r="D40">
        <v>1001</v>
      </c>
      <c r="E40" s="1">
        <v>350</v>
      </c>
      <c r="F40" s="1">
        <v>11000</v>
      </c>
      <c r="G40" s="1">
        <v>0</v>
      </c>
      <c r="I40" s="1">
        <v>1000</v>
      </c>
      <c r="J40" s="1">
        <v>0</v>
      </c>
      <c r="K40" s="1" t="s">
        <v>305</v>
      </c>
      <c r="L40" s="1" t="s">
        <v>305</v>
      </c>
      <c r="M40" s="1">
        <v>1</v>
      </c>
      <c r="N40" s="1">
        <v>0</v>
      </c>
      <c r="O40" s="1">
        <v>0</v>
      </c>
      <c r="R40" s="1" t="s">
        <v>227</v>
      </c>
      <c r="S40" s="1">
        <v>0</v>
      </c>
      <c r="T40" s="11">
        <v>0</v>
      </c>
      <c r="U40" s="11">
        <v>0</v>
      </c>
      <c r="V40" s="11">
        <v>1013</v>
      </c>
      <c r="W40" s="11">
        <v>600</v>
      </c>
      <c r="X40" s="1">
        <v>1012001</v>
      </c>
      <c r="Y40" s="1">
        <v>300</v>
      </c>
      <c r="Z40" s="1">
        <v>350</v>
      </c>
    </row>
    <row r="41" s="1" customFormat="1" spans="1:26">
      <c r="A41" s="1">
        <v>1012202</v>
      </c>
      <c r="B41" s="1" t="s">
        <v>178</v>
      </c>
      <c r="C41" s="1">
        <v>2</v>
      </c>
      <c r="D41" s="1">
        <v>2001</v>
      </c>
      <c r="E41" s="1">
        <v>350</v>
      </c>
      <c r="F41" s="1">
        <v>16000</v>
      </c>
      <c r="G41" s="1">
        <v>500</v>
      </c>
      <c r="I41" s="1">
        <v>7000</v>
      </c>
      <c r="J41" s="1">
        <v>1012202</v>
      </c>
      <c r="K41" s="1" t="s">
        <v>307</v>
      </c>
      <c r="L41" s="1" t="s">
        <v>178</v>
      </c>
      <c r="M41" s="1">
        <v>1</v>
      </c>
      <c r="N41" s="1">
        <v>0</v>
      </c>
      <c r="O41" s="1">
        <v>0</v>
      </c>
      <c r="R41" s="1" t="s">
        <v>60</v>
      </c>
      <c r="S41" s="1">
        <v>0</v>
      </c>
      <c r="T41" s="11">
        <v>1012202</v>
      </c>
      <c r="U41" s="11">
        <v>0</v>
      </c>
      <c r="V41" s="11">
        <v>1013</v>
      </c>
      <c r="W41" s="11" t="s">
        <v>182</v>
      </c>
      <c r="X41" s="1">
        <v>0</v>
      </c>
      <c r="Y41" s="1">
        <v>0</v>
      </c>
      <c r="Z41" s="1">
        <v>0</v>
      </c>
    </row>
    <row r="42" s="1" customFormat="1" spans="1:26">
      <c r="A42" s="1">
        <v>1013001</v>
      </c>
      <c r="B42" s="1" t="s">
        <v>309</v>
      </c>
      <c r="C42" s="1">
        <v>1</v>
      </c>
      <c r="D42">
        <v>1001</v>
      </c>
      <c r="E42" s="1">
        <v>350</v>
      </c>
      <c r="F42" s="1">
        <v>10000</v>
      </c>
      <c r="G42" s="1">
        <v>0</v>
      </c>
      <c r="I42" s="1">
        <v>1000</v>
      </c>
      <c r="J42" s="1">
        <v>0</v>
      </c>
      <c r="K42" s="1" t="s">
        <v>309</v>
      </c>
      <c r="L42" s="1" t="s">
        <v>309</v>
      </c>
      <c r="M42" s="1">
        <v>1</v>
      </c>
      <c r="N42" s="1">
        <v>0</v>
      </c>
      <c r="O42" s="1">
        <v>0</v>
      </c>
      <c r="R42" s="1" t="s">
        <v>227</v>
      </c>
      <c r="S42" s="1">
        <v>0</v>
      </c>
      <c r="T42" s="11">
        <v>0</v>
      </c>
      <c r="U42" s="11">
        <v>0</v>
      </c>
      <c r="V42" s="11">
        <v>1013</v>
      </c>
      <c r="W42" s="11">
        <v>800</v>
      </c>
      <c r="X42" s="11">
        <v>1013001</v>
      </c>
      <c r="Y42" s="11">
        <v>500</v>
      </c>
      <c r="Z42" s="11">
        <v>350</v>
      </c>
    </row>
    <row r="43" s="1" customFormat="1" spans="1:26">
      <c r="A43" s="1">
        <v>1013002</v>
      </c>
      <c r="B43" s="1" t="s">
        <v>310</v>
      </c>
      <c r="C43" s="1">
        <v>2</v>
      </c>
      <c r="D43" s="1">
        <v>2001</v>
      </c>
      <c r="E43" s="1">
        <v>350</v>
      </c>
      <c r="F43" s="1">
        <v>3000</v>
      </c>
      <c r="G43" s="1">
        <v>500</v>
      </c>
      <c r="I43" s="1">
        <v>7000</v>
      </c>
      <c r="J43" s="1">
        <v>1013002</v>
      </c>
      <c r="K43" s="1" t="s">
        <v>312</v>
      </c>
      <c r="L43" s="1" t="s">
        <v>310</v>
      </c>
      <c r="M43" s="1">
        <v>1</v>
      </c>
      <c r="N43" s="1">
        <v>0</v>
      </c>
      <c r="O43" s="1">
        <v>0</v>
      </c>
      <c r="R43" s="1" t="s">
        <v>60</v>
      </c>
      <c r="S43" s="1">
        <v>0</v>
      </c>
      <c r="T43" s="11">
        <v>1013002</v>
      </c>
      <c r="U43" s="11">
        <v>500</v>
      </c>
      <c r="V43" s="11">
        <v>1013</v>
      </c>
      <c r="W43" s="11" t="s">
        <v>314</v>
      </c>
      <c r="X43" s="11">
        <v>0</v>
      </c>
      <c r="Y43" s="11">
        <v>0</v>
      </c>
      <c r="Z43" s="11">
        <v>0</v>
      </c>
    </row>
    <row r="44" s="1" customFormat="1" spans="1:26">
      <c r="A44" s="1">
        <v>1013101</v>
      </c>
      <c r="B44" s="1" t="s">
        <v>315</v>
      </c>
      <c r="C44" s="1">
        <v>1</v>
      </c>
      <c r="D44">
        <v>1001</v>
      </c>
      <c r="E44" s="1">
        <v>350</v>
      </c>
      <c r="F44" s="1">
        <v>11000</v>
      </c>
      <c r="G44" s="1">
        <v>0</v>
      </c>
      <c r="I44" s="1">
        <v>1000</v>
      </c>
      <c r="J44" s="1">
        <v>0</v>
      </c>
      <c r="K44" s="1" t="s">
        <v>315</v>
      </c>
      <c r="L44" s="1" t="s">
        <v>315</v>
      </c>
      <c r="M44" s="1">
        <v>1</v>
      </c>
      <c r="N44" s="1">
        <v>0</v>
      </c>
      <c r="O44" s="1">
        <v>0</v>
      </c>
      <c r="R44" s="1" t="s">
        <v>227</v>
      </c>
      <c r="S44" s="1">
        <v>0</v>
      </c>
      <c r="T44" s="11">
        <v>0</v>
      </c>
      <c r="U44" s="11">
        <v>0</v>
      </c>
      <c r="V44" s="11">
        <v>1013</v>
      </c>
      <c r="W44" s="11">
        <v>700</v>
      </c>
      <c r="X44" s="11">
        <v>1013001</v>
      </c>
      <c r="Y44" s="11">
        <v>400</v>
      </c>
      <c r="Z44" s="11">
        <v>350</v>
      </c>
    </row>
    <row r="45" s="1" customFormat="1" spans="1:26">
      <c r="A45" s="1">
        <v>1013102</v>
      </c>
      <c r="B45" s="1" t="s">
        <v>87</v>
      </c>
      <c r="C45" s="1">
        <v>2</v>
      </c>
      <c r="D45" s="1">
        <v>2001</v>
      </c>
      <c r="E45" s="1">
        <v>350</v>
      </c>
      <c r="F45" s="1">
        <v>3000</v>
      </c>
      <c r="G45" s="1">
        <v>500</v>
      </c>
      <c r="I45" s="1">
        <v>7000</v>
      </c>
      <c r="J45" s="1">
        <v>1013002</v>
      </c>
      <c r="K45" s="1" t="s">
        <v>317</v>
      </c>
      <c r="L45" s="1" t="s">
        <v>87</v>
      </c>
      <c r="M45" s="1">
        <v>1</v>
      </c>
      <c r="N45" s="1">
        <v>0</v>
      </c>
      <c r="O45" s="1">
        <v>0</v>
      </c>
      <c r="R45" s="1" t="s">
        <v>60</v>
      </c>
      <c r="S45" s="1">
        <v>0</v>
      </c>
      <c r="T45" s="11">
        <v>1013002</v>
      </c>
      <c r="U45" s="11">
        <v>600</v>
      </c>
      <c r="V45" s="11">
        <v>1013</v>
      </c>
      <c r="W45" s="11" t="s">
        <v>319</v>
      </c>
      <c r="X45" s="11">
        <v>0</v>
      </c>
      <c r="Y45" s="11">
        <v>0</v>
      </c>
      <c r="Z45" s="11">
        <v>0</v>
      </c>
    </row>
    <row r="46" s="1" customFormat="1" spans="1:26">
      <c r="A46" s="1">
        <v>1014001</v>
      </c>
      <c r="B46" s="1" t="s">
        <v>320</v>
      </c>
      <c r="C46" s="1">
        <v>1</v>
      </c>
      <c r="D46" s="1">
        <v>1001</v>
      </c>
      <c r="E46" s="1">
        <v>350</v>
      </c>
      <c r="F46" s="1">
        <v>10000</v>
      </c>
      <c r="G46" s="1">
        <v>0</v>
      </c>
      <c r="I46" s="1">
        <v>1000</v>
      </c>
      <c r="J46" s="1">
        <v>0</v>
      </c>
      <c r="K46" s="1" t="s">
        <v>320</v>
      </c>
      <c r="L46" s="1" t="s">
        <v>320</v>
      </c>
      <c r="M46" s="1">
        <v>1</v>
      </c>
      <c r="N46" s="1">
        <v>0</v>
      </c>
      <c r="O46" s="1">
        <v>0</v>
      </c>
      <c r="R46" s="1" t="s">
        <v>227</v>
      </c>
      <c r="S46" s="1">
        <v>0</v>
      </c>
      <c r="T46" s="1">
        <v>0</v>
      </c>
      <c r="U46" s="11">
        <v>0</v>
      </c>
      <c r="V46" s="11">
        <v>1014</v>
      </c>
      <c r="W46" s="11">
        <v>700</v>
      </c>
      <c r="X46" s="1">
        <v>1014001</v>
      </c>
      <c r="Y46" s="1">
        <v>400</v>
      </c>
      <c r="Z46" s="1">
        <v>350</v>
      </c>
    </row>
    <row r="47" s="1" customFormat="1" spans="1:26">
      <c r="A47" s="1">
        <v>1014002</v>
      </c>
      <c r="B47" s="1" t="s">
        <v>321</v>
      </c>
      <c r="C47" s="1">
        <v>2</v>
      </c>
      <c r="D47" s="1">
        <v>2001</v>
      </c>
      <c r="E47" s="1">
        <v>350</v>
      </c>
      <c r="F47" s="1">
        <v>21000</v>
      </c>
      <c r="G47" s="1">
        <v>500</v>
      </c>
      <c r="I47" s="1">
        <v>18000</v>
      </c>
      <c r="J47" s="1">
        <v>1014002</v>
      </c>
      <c r="K47" s="1" t="s">
        <v>323</v>
      </c>
      <c r="L47" s="1" t="s">
        <v>321</v>
      </c>
      <c r="M47" s="1">
        <v>1</v>
      </c>
      <c r="N47" s="1">
        <v>0</v>
      </c>
      <c r="O47" s="1">
        <v>0</v>
      </c>
      <c r="R47" s="1" t="s">
        <v>60</v>
      </c>
      <c r="S47" s="1">
        <v>0</v>
      </c>
      <c r="T47" s="1">
        <v>1014002</v>
      </c>
      <c r="U47" s="11">
        <v>600</v>
      </c>
      <c r="V47" s="11">
        <v>1014</v>
      </c>
      <c r="W47" s="11">
        <v>1050</v>
      </c>
      <c r="X47" s="1">
        <v>0</v>
      </c>
      <c r="Y47" s="1">
        <v>0</v>
      </c>
      <c r="Z47" s="1">
        <v>0</v>
      </c>
    </row>
    <row r="48" s="1" customFormat="1" spans="1:26">
      <c r="A48" s="1">
        <v>1014101</v>
      </c>
      <c r="B48" s="1" t="s">
        <v>325</v>
      </c>
      <c r="C48" s="1">
        <v>1</v>
      </c>
      <c r="D48" s="1">
        <v>1001</v>
      </c>
      <c r="E48" s="1">
        <v>350</v>
      </c>
      <c r="F48" s="1">
        <v>11000</v>
      </c>
      <c r="G48" s="1">
        <v>0</v>
      </c>
      <c r="I48" s="1">
        <v>1000</v>
      </c>
      <c r="J48" s="1">
        <v>0</v>
      </c>
      <c r="K48" s="1" t="s">
        <v>325</v>
      </c>
      <c r="L48" s="1" t="s">
        <v>325</v>
      </c>
      <c r="M48" s="1">
        <v>1</v>
      </c>
      <c r="N48" s="1">
        <v>0</v>
      </c>
      <c r="O48" s="1">
        <v>0</v>
      </c>
      <c r="R48" s="1" t="s">
        <v>227</v>
      </c>
      <c r="S48" s="1">
        <v>0</v>
      </c>
      <c r="T48" s="1">
        <v>0</v>
      </c>
      <c r="U48" s="11">
        <v>0</v>
      </c>
      <c r="V48" s="11">
        <v>1014</v>
      </c>
      <c r="W48" s="11">
        <v>700</v>
      </c>
      <c r="X48" s="1">
        <v>1014001</v>
      </c>
      <c r="Y48" s="1">
        <v>400</v>
      </c>
      <c r="Z48" s="1">
        <v>350</v>
      </c>
    </row>
    <row r="49" s="1" customFormat="1" spans="1:26">
      <c r="A49" s="1">
        <v>1014102</v>
      </c>
      <c r="B49" s="1" t="s">
        <v>326</v>
      </c>
      <c r="C49" s="1">
        <v>2</v>
      </c>
      <c r="D49" s="1">
        <v>2001</v>
      </c>
      <c r="E49" s="1">
        <v>350</v>
      </c>
      <c r="F49" s="1">
        <v>42000</v>
      </c>
      <c r="G49" s="1">
        <v>500</v>
      </c>
      <c r="I49" s="1">
        <v>18000</v>
      </c>
      <c r="J49" s="1">
        <v>1014002</v>
      </c>
      <c r="K49" s="1" t="s">
        <v>328</v>
      </c>
      <c r="L49" s="1" t="s">
        <v>326</v>
      </c>
      <c r="M49" s="1">
        <v>1</v>
      </c>
      <c r="N49" s="1">
        <v>0</v>
      </c>
      <c r="O49" s="1">
        <v>0</v>
      </c>
      <c r="R49" s="1" t="s">
        <v>60</v>
      </c>
      <c r="S49" s="1">
        <v>0</v>
      </c>
      <c r="T49" s="1">
        <v>1014102</v>
      </c>
      <c r="U49" s="11">
        <v>700</v>
      </c>
      <c r="V49" s="11">
        <v>1014</v>
      </c>
      <c r="W49" s="11">
        <v>1700</v>
      </c>
      <c r="X49" s="1">
        <v>0</v>
      </c>
      <c r="Y49" s="1">
        <v>0</v>
      </c>
      <c r="Z49" s="1">
        <v>0</v>
      </c>
    </row>
    <row r="50" s="1" customFormat="1" spans="1:26">
      <c r="A50" s="1">
        <v>1015001</v>
      </c>
      <c r="B50" s="1" t="s">
        <v>330</v>
      </c>
      <c r="C50" s="1">
        <v>1</v>
      </c>
      <c r="D50" s="1">
        <v>1001</v>
      </c>
      <c r="E50" s="1">
        <v>350</v>
      </c>
      <c r="F50" s="1">
        <v>10000</v>
      </c>
      <c r="G50" s="1">
        <v>0</v>
      </c>
      <c r="I50" s="1">
        <v>1000</v>
      </c>
      <c r="J50" s="1">
        <v>0</v>
      </c>
      <c r="K50" s="1" t="s">
        <v>330</v>
      </c>
      <c r="L50" s="1" t="s">
        <v>330</v>
      </c>
      <c r="M50" s="1">
        <v>1</v>
      </c>
      <c r="N50" s="1">
        <v>0</v>
      </c>
      <c r="O50" s="1">
        <v>0</v>
      </c>
      <c r="R50" s="1" t="s">
        <v>227</v>
      </c>
      <c r="S50" s="1">
        <v>0</v>
      </c>
      <c r="T50" s="1">
        <v>0</v>
      </c>
      <c r="U50" s="11">
        <v>0</v>
      </c>
      <c r="V50" s="11">
        <v>1014</v>
      </c>
      <c r="W50" s="11">
        <v>700</v>
      </c>
      <c r="X50" s="1">
        <v>1015001</v>
      </c>
      <c r="Y50" s="1">
        <v>400</v>
      </c>
      <c r="Z50" s="1">
        <v>350</v>
      </c>
    </row>
    <row r="51" s="2" customFormat="1" spans="1:26">
      <c r="A51" s="2">
        <v>1015002</v>
      </c>
      <c r="B51" s="2" t="s">
        <v>106</v>
      </c>
      <c r="C51" s="2">
        <v>2</v>
      </c>
      <c r="D51" s="2">
        <v>2001</v>
      </c>
      <c r="E51" s="2">
        <v>350</v>
      </c>
      <c r="F51" s="2">
        <v>21000</v>
      </c>
      <c r="G51" s="2">
        <v>500</v>
      </c>
      <c r="I51" s="2">
        <v>18000</v>
      </c>
      <c r="J51" s="2">
        <v>1015002</v>
      </c>
      <c r="K51" s="2" t="s">
        <v>332</v>
      </c>
      <c r="L51" s="2" t="s">
        <v>106</v>
      </c>
      <c r="M51" s="2">
        <v>1</v>
      </c>
      <c r="N51" s="2">
        <v>0</v>
      </c>
      <c r="O51" s="2">
        <v>0</v>
      </c>
      <c r="R51" s="2" t="s">
        <v>60</v>
      </c>
      <c r="S51" s="2">
        <v>0</v>
      </c>
      <c r="T51" s="2">
        <v>1015002</v>
      </c>
      <c r="U51" s="15">
        <v>300</v>
      </c>
      <c r="V51" s="15">
        <v>1014</v>
      </c>
      <c r="W51" s="15">
        <v>1150</v>
      </c>
      <c r="X51" s="2">
        <v>0</v>
      </c>
      <c r="Y51" s="2">
        <v>0</v>
      </c>
      <c r="Z51" s="2">
        <v>0</v>
      </c>
    </row>
    <row r="52" s="1" customFormat="1" spans="1:26">
      <c r="A52" s="1">
        <v>1015101</v>
      </c>
      <c r="B52" s="1" t="s">
        <v>334</v>
      </c>
      <c r="C52" s="1">
        <v>1</v>
      </c>
      <c r="D52" s="1">
        <v>1001</v>
      </c>
      <c r="E52" s="1">
        <v>350</v>
      </c>
      <c r="F52" s="1">
        <v>11000</v>
      </c>
      <c r="G52" s="1">
        <v>0</v>
      </c>
      <c r="I52" s="1">
        <v>1000</v>
      </c>
      <c r="J52" s="1">
        <v>0</v>
      </c>
      <c r="K52" s="1" t="s">
        <v>334</v>
      </c>
      <c r="L52" s="1" t="s">
        <v>334</v>
      </c>
      <c r="M52" s="1">
        <v>1</v>
      </c>
      <c r="N52" s="1">
        <v>0</v>
      </c>
      <c r="O52" s="1">
        <v>0</v>
      </c>
      <c r="R52" s="1" t="s">
        <v>227</v>
      </c>
      <c r="S52" s="1">
        <v>0</v>
      </c>
      <c r="T52" s="1">
        <v>0</v>
      </c>
      <c r="U52" s="11">
        <v>0</v>
      </c>
      <c r="V52" s="11">
        <v>1014</v>
      </c>
      <c r="W52" s="11">
        <v>700</v>
      </c>
      <c r="X52" s="1">
        <v>1015001</v>
      </c>
      <c r="Y52" s="1">
        <v>400</v>
      </c>
      <c r="Z52" s="1">
        <v>350</v>
      </c>
    </row>
    <row r="53" s="2" customFormat="1" spans="1:26">
      <c r="A53" s="2">
        <v>1015102</v>
      </c>
      <c r="B53" s="2" t="s">
        <v>335</v>
      </c>
      <c r="C53" s="2">
        <v>2</v>
      </c>
      <c r="D53" s="2">
        <v>2001</v>
      </c>
      <c r="E53" s="2">
        <v>350</v>
      </c>
      <c r="F53" s="2">
        <v>42000</v>
      </c>
      <c r="G53" s="2">
        <v>500</v>
      </c>
      <c r="I53" s="2">
        <v>18000</v>
      </c>
      <c r="J53" s="2">
        <v>1015002</v>
      </c>
      <c r="K53" s="2" t="s">
        <v>337</v>
      </c>
      <c r="L53" s="2" t="s">
        <v>335</v>
      </c>
      <c r="M53" s="2">
        <v>1</v>
      </c>
      <c r="N53" s="2">
        <v>0</v>
      </c>
      <c r="O53" s="2">
        <v>0</v>
      </c>
      <c r="R53" s="2" t="s">
        <v>60</v>
      </c>
      <c r="S53" s="2">
        <v>0</v>
      </c>
      <c r="T53" s="2">
        <v>1015002</v>
      </c>
      <c r="U53" s="15">
        <v>1100</v>
      </c>
      <c r="V53" s="15">
        <v>1014</v>
      </c>
      <c r="W53" s="15">
        <v>1950</v>
      </c>
      <c r="X53" s="2">
        <v>0</v>
      </c>
      <c r="Y53" s="2">
        <v>0</v>
      </c>
      <c r="Z53" s="2">
        <v>0</v>
      </c>
    </row>
    <row r="54" s="1" customFormat="1" spans="1:26">
      <c r="A54" s="1">
        <v>1016001</v>
      </c>
      <c r="B54" s="1" t="s">
        <v>339</v>
      </c>
      <c r="C54" s="1">
        <v>1</v>
      </c>
      <c r="D54">
        <v>1001</v>
      </c>
      <c r="E54" s="1">
        <v>350</v>
      </c>
      <c r="F54" s="1">
        <v>11000</v>
      </c>
      <c r="G54" s="1">
        <v>0</v>
      </c>
      <c r="I54" s="1">
        <v>1000</v>
      </c>
      <c r="J54" s="1">
        <v>0</v>
      </c>
      <c r="K54" s="1" t="s">
        <v>339</v>
      </c>
      <c r="L54" s="1" t="s">
        <v>339</v>
      </c>
      <c r="M54" s="1">
        <v>1</v>
      </c>
      <c r="N54" s="1">
        <v>0</v>
      </c>
      <c r="O54" s="1">
        <v>0</v>
      </c>
      <c r="R54" s="1" t="s">
        <v>227</v>
      </c>
      <c r="S54" s="1">
        <v>0</v>
      </c>
      <c r="T54" s="1">
        <v>0</v>
      </c>
      <c r="U54" s="11">
        <v>0</v>
      </c>
      <c r="V54" s="11">
        <v>1014</v>
      </c>
      <c r="W54" s="11">
        <v>700</v>
      </c>
      <c r="X54" s="1">
        <v>1016001</v>
      </c>
      <c r="Y54" s="1">
        <v>400</v>
      </c>
      <c r="Z54" s="1">
        <v>350</v>
      </c>
    </row>
    <row r="55" s="1" customFormat="1" spans="1:26">
      <c r="A55" s="1">
        <v>1016002</v>
      </c>
      <c r="B55" s="1" t="s">
        <v>340</v>
      </c>
      <c r="C55" s="1">
        <v>2</v>
      </c>
      <c r="D55" s="1">
        <v>2002</v>
      </c>
      <c r="E55" s="1">
        <v>350</v>
      </c>
      <c r="F55" s="1">
        <v>21000</v>
      </c>
      <c r="G55" s="1">
        <v>500</v>
      </c>
      <c r="I55" s="1">
        <v>18000</v>
      </c>
      <c r="J55" s="1">
        <v>1016002</v>
      </c>
      <c r="K55" s="1" t="s">
        <v>342</v>
      </c>
      <c r="L55" s="1" t="s">
        <v>340</v>
      </c>
      <c r="M55" s="1">
        <v>1</v>
      </c>
      <c r="N55" s="1">
        <v>0</v>
      </c>
      <c r="O55" s="1">
        <v>0</v>
      </c>
      <c r="R55" s="1" t="s">
        <v>60</v>
      </c>
      <c r="S55" s="1">
        <v>0</v>
      </c>
      <c r="T55" s="1">
        <v>1016002</v>
      </c>
      <c r="U55" s="11">
        <v>700</v>
      </c>
      <c r="V55" s="11">
        <v>1014</v>
      </c>
      <c r="W55" s="11">
        <v>1350</v>
      </c>
      <c r="X55" s="1">
        <v>0</v>
      </c>
      <c r="Y55" s="1">
        <v>0</v>
      </c>
      <c r="Z55" s="1">
        <v>0</v>
      </c>
    </row>
    <row r="56" s="1" customFormat="1" spans="1:26">
      <c r="A56" s="1">
        <v>1016101</v>
      </c>
      <c r="B56" s="1" t="s">
        <v>344</v>
      </c>
      <c r="C56" s="1">
        <v>1</v>
      </c>
      <c r="D56">
        <v>1001</v>
      </c>
      <c r="E56" s="1">
        <v>350</v>
      </c>
      <c r="F56" s="1">
        <v>11000</v>
      </c>
      <c r="G56" s="1">
        <v>0</v>
      </c>
      <c r="I56" s="1">
        <v>1000</v>
      </c>
      <c r="J56" s="1">
        <v>0</v>
      </c>
      <c r="K56" s="1" t="s">
        <v>344</v>
      </c>
      <c r="L56" s="1" t="s">
        <v>344</v>
      </c>
      <c r="M56" s="1">
        <v>1</v>
      </c>
      <c r="N56" s="1">
        <v>0</v>
      </c>
      <c r="O56" s="1">
        <v>0</v>
      </c>
      <c r="R56" s="1" t="s">
        <v>227</v>
      </c>
      <c r="S56" s="1">
        <v>0</v>
      </c>
      <c r="T56" s="1">
        <v>0</v>
      </c>
      <c r="U56" s="11">
        <v>0</v>
      </c>
      <c r="V56" s="11">
        <v>1014</v>
      </c>
      <c r="W56" s="11">
        <v>700</v>
      </c>
      <c r="X56" s="1">
        <v>1016001</v>
      </c>
      <c r="Y56" s="1">
        <v>400</v>
      </c>
      <c r="Z56" s="1">
        <v>350</v>
      </c>
    </row>
    <row r="57" s="2" customFormat="1" spans="1:26">
      <c r="A57" s="2">
        <v>1016102</v>
      </c>
      <c r="B57" s="2" t="s">
        <v>345</v>
      </c>
      <c r="C57" s="2">
        <v>2</v>
      </c>
      <c r="D57" s="2">
        <v>2001</v>
      </c>
      <c r="E57" s="2">
        <v>350</v>
      </c>
      <c r="F57" s="2">
        <v>42000</v>
      </c>
      <c r="G57" s="2">
        <v>500</v>
      </c>
      <c r="I57" s="2">
        <v>18000</v>
      </c>
      <c r="J57" s="2">
        <v>1016102</v>
      </c>
      <c r="K57" s="2" t="s">
        <v>347</v>
      </c>
      <c r="L57" s="2" t="s">
        <v>345</v>
      </c>
      <c r="M57" s="2">
        <v>1</v>
      </c>
      <c r="N57" s="2">
        <v>0</v>
      </c>
      <c r="O57" s="2">
        <v>0</v>
      </c>
      <c r="R57" s="2" t="s">
        <v>60</v>
      </c>
      <c r="S57" s="2">
        <v>0</v>
      </c>
      <c r="T57" s="2">
        <v>1016102</v>
      </c>
      <c r="U57" s="15">
        <v>600</v>
      </c>
      <c r="V57" s="15">
        <v>1014</v>
      </c>
      <c r="W57" s="15">
        <v>1250</v>
      </c>
      <c r="X57" s="2">
        <v>0</v>
      </c>
      <c r="Y57" s="2">
        <v>0</v>
      </c>
      <c r="Z57" s="2">
        <v>0</v>
      </c>
    </row>
    <row r="58" s="1" customFormat="1" spans="1:26">
      <c r="A58" s="1">
        <v>1017001</v>
      </c>
      <c r="B58" s="1" t="s">
        <v>349</v>
      </c>
      <c r="C58" s="1">
        <v>1</v>
      </c>
      <c r="D58">
        <v>1001</v>
      </c>
      <c r="E58" s="1">
        <v>350</v>
      </c>
      <c r="F58" s="1">
        <v>11000</v>
      </c>
      <c r="G58" s="1">
        <v>0</v>
      </c>
      <c r="I58" s="1">
        <v>1000</v>
      </c>
      <c r="J58" s="1">
        <v>0</v>
      </c>
      <c r="K58" s="1" t="s">
        <v>349</v>
      </c>
      <c r="L58" s="1" t="s">
        <v>349</v>
      </c>
      <c r="M58" s="1">
        <v>1</v>
      </c>
      <c r="N58" s="1">
        <v>0</v>
      </c>
      <c r="O58" s="1">
        <v>0</v>
      </c>
      <c r="R58" s="1" t="s">
        <v>227</v>
      </c>
      <c r="S58" s="1">
        <v>0</v>
      </c>
      <c r="T58" s="1">
        <v>0</v>
      </c>
      <c r="U58" s="11">
        <v>0</v>
      </c>
      <c r="V58" s="11">
        <v>1014</v>
      </c>
      <c r="W58" s="11">
        <v>700</v>
      </c>
      <c r="X58" s="1">
        <v>1017001</v>
      </c>
      <c r="Y58" s="1">
        <v>400</v>
      </c>
      <c r="Z58" s="1">
        <v>350</v>
      </c>
    </row>
    <row r="59" s="1" customFormat="1" spans="1:26">
      <c r="A59" s="1">
        <v>1017002</v>
      </c>
      <c r="B59" s="1" t="s">
        <v>350</v>
      </c>
      <c r="C59" s="1">
        <v>2</v>
      </c>
      <c r="D59" s="1">
        <v>2002</v>
      </c>
      <c r="E59" s="1">
        <v>350</v>
      </c>
      <c r="F59" s="1">
        <v>21000</v>
      </c>
      <c r="G59" s="1">
        <v>500</v>
      </c>
      <c r="I59" s="1">
        <v>18000</v>
      </c>
      <c r="J59" s="1">
        <v>1017002</v>
      </c>
      <c r="K59" s="1" t="s">
        <v>352</v>
      </c>
      <c r="L59" s="1" t="s">
        <v>350</v>
      </c>
      <c r="M59" s="1">
        <v>1</v>
      </c>
      <c r="N59" s="1">
        <v>0</v>
      </c>
      <c r="O59" s="1">
        <v>0</v>
      </c>
      <c r="R59" s="1" t="s">
        <v>60</v>
      </c>
      <c r="S59" s="1">
        <v>0</v>
      </c>
      <c r="T59" s="1">
        <v>1017002</v>
      </c>
      <c r="U59" s="11">
        <v>2000</v>
      </c>
      <c r="V59" s="11">
        <v>1014</v>
      </c>
      <c r="W59" s="11">
        <v>2100</v>
      </c>
      <c r="X59" s="1">
        <v>0</v>
      </c>
      <c r="Y59" s="1">
        <v>0</v>
      </c>
      <c r="Z59" s="1">
        <v>0</v>
      </c>
    </row>
    <row r="60" s="1" customFormat="1" spans="1:26">
      <c r="A60" s="1">
        <v>1017101</v>
      </c>
      <c r="B60" s="1" t="s">
        <v>354</v>
      </c>
      <c r="C60" s="1">
        <v>1</v>
      </c>
      <c r="D60">
        <v>1001</v>
      </c>
      <c r="E60" s="1">
        <v>350</v>
      </c>
      <c r="F60" s="1">
        <v>11000</v>
      </c>
      <c r="G60" s="1">
        <v>0</v>
      </c>
      <c r="I60" s="1">
        <v>1000</v>
      </c>
      <c r="J60" s="1">
        <v>0</v>
      </c>
      <c r="K60" s="1" t="s">
        <v>354</v>
      </c>
      <c r="L60" s="1" t="s">
        <v>354</v>
      </c>
      <c r="M60" s="1">
        <v>1</v>
      </c>
      <c r="N60" s="1">
        <v>0</v>
      </c>
      <c r="O60" s="1">
        <v>0</v>
      </c>
      <c r="R60" s="1" t="s">
        <v>227</v>
      </c>
      <c r="S60" s="1">
        <v>0</v>
      </c>
      <c r="T60" s="1">
        <v>0</v>
      </c>
      <c r="U60" s="11">
        <v>0</v>
      </c>
      <c r="V60" s="11">
        <v>1014</v>
      </c>
      <c r="W60" s="11">
        <v>700</v>
      </c>
      <c r="X60" s="1">
        <v>1017001</v>
      </c>
      <c r="Y60" s="1">
        <v>400</v>
      </c>
      <c r="Z60" s="1">
        <v>350</v>
      </c>
    </row>
    <row r="61" s="1" customFormat="1" spans="1:26">
      <c r="A61" s="1">
        <v>1017102</v>
      </c>
      <c r="B61" s="1" t="s">
        <v>355</v>
      </c>
      <c r="C61" s="1">
        <v>2</v>
      </c>
      <c r="D61" s="1">
        <v>2001</v>
      </c>
      <c r="E61" s="1">
        <v>350</v>
      </c>
      <c r="F61" s="1">
        <v>42000</v>
      </c>
      <c r="G61" s="1">
        <v>500</v>
      </c>
      <c r="I61" s="1">
        <v>18000</v>
      </c>
      <c r="J61" s="1">
        <v>1017002</v>
      </c>
      <c r="K61" s="1" t="s">
        <v>357</v>
      </c>
      <c r="L61" s="1" t="s">
        <v>355</v>
      </c>
      <c r="M61" s="1">
        <v>1</v>
      </c>
      <c r="N61" s="1">
        <v>0</v>
      </c>
      <c r="O61" s="1">
        <v>0</v>
      </c>
      <c r="R61" s="1" t="s">
        <v>60</v>
      </c>
      <c r="S61" s="1">
        <v>0</v>
      </c>
      <c r="T61" s="1">
        <v>1017102</v>
      </c>
      <c r="U61" s="11">
        <v>2000</v>
      </c>
      <c r="V61" s="11">
        <v>1014</v>
      </c>
      <c r="W61" s="11">
        <v>2100</v>
      </c>
      <c r="X61" s="1">
        <v>0</v>
      </c>
      <c r="Y61" s="1">
        <v>0</v>
      </c>
      <c r="Z61" s="1">
        <v>0</v>
      </c>
    </row>
    <row r="62" s="1" customFormat="1" spans="1:26">
      <c r="A62" s="1">
        <v>1018001</v>
      </c>
      <c r="B62" s="1" t="s">
        <v>359</v>
      </c>
      <c r="C62" s="1">
        <v>1</v>
      </c>
      <c r="D62" s="1">
        <v>1001</v>
      </c>
      <c r="E62" s="1">
        <v>350</v>
      </c>
      <c r="F62" s="1">
        <v>10000</v>
      </c>
      <c r="G62" s="1">
        <v>0</v>
      </c>
      <c r="I62" s="1">
        <v>1000</v>
      </c>
      <c r="J62" s="1">
        <v>0</v>
      </c>
      <c r="K62" s="1" t="s">
        <v>359</v>
      </c>
      <c r="L62" s="1" t="s">
        <v>359</v>
      </c>
      <c r="M62" s="1">
        <v>1</v>
      </c>
      <c r="N62" s="1">
        <v>0</v>
      </c>
      <c r="O62" s="1">
        <v>0</v>
      </c>
      <c r="R62" s="1" t="s">
        <v>227</v>
      </c>
      <c r="S62" s="1">
        <v>0</v>
      </c>
      <c r="T62" s="1">
        <v>0</v>
      </c>
      <c r="U62" s="11">
        <v>0</v>
      </c>
      <c r="V62" s="11">
        <v>1014</v>
      </c>
      <c r="W62" s="11">
        <v>700</v>
      </c>
      <c r="X62" s="1">
        <v>1018001</v>
      </c>
      <c r="Y62" s="1">
        <v>400</v>
      </c>
      <c r="Z62" s="1">
        <v>350</v>
      </c>
    </row>
    <row r="63" s="1" customFormat="1" spans="1:26">
      <c r="A63" s="1">
        <v>1018002</v>
      </c>
      <c r="B63" s="1" t="s">
        <v>360</v>
      </c>
      <c r="C63" s="1">
        <v>2</v>
      </c>
      <c r="D63" s="1">
        <v>2001</v>
      </c>
      <c r="E63" s="1">
        <v>350</v>
      </c>
      <c r="F63" s="1">
        <v>3800</v>
      </c>
      <c r="G63" s="1">
        <v>500</v>
      </c>
      <c r="I63" s="1">
        <v>18000</v>
      </c>
      <c r="J63" s="1">
        <v>1018002</v>
      </c>
      <c r="K63" s="1" t="s">
        <v>362</v>
      </c>
      <c r="L63" s="1" t="s">
        <v>360</v>
      </c>
      <c r="M63" s="1">
        <v>1</v>
      </c>
      <c r="N63" s="1">
        <v>0</v>
      </c>
      <c r="O63" s="1">
        <v>0</v>
      </c>
      <c r="R63" s="1" t="s">
        <v>60</v>
      </c>
      <c r="S63" s="1">
        <v>0</v>
      </c>
      <c r="T63" s="1">
        <v>1018002</v>
      </c>
      <c r="U63" s="11">
        <v>700</v>
      </c>
      <c r="V63" s="11">
        <v>1014</v>
      </c>
      <c r="W63" s="11" t="s">
        <v>364</v>
      </c>
      <c r="X63" s="1">
        <v>0</v>
      </c>
      <c r="Y63" s="1">
        <v>0</v>
      </c>
      <c r="Z63" s="1">
        <v>0</v>
      </c>
    </row>
    <row r="64" s="1" customFormat="1" spans="1:26">
      <c r="A64" s="1">
        <v>1018101</v>
      </c>
      <c r="B64" s="1" t="s">
        <v>365</v>
      </c>
      <c r="C64" s="1">
        <v>1</v>
      </c>
      <c r="D64" s="1">
        <v>1001</v>
      </c>
      <c r="E64" s="1">
        <v>350</v>
      </c>
      <c r="F64" s="1">
        <v>10000</v>
      </c>
      <c r="G64" s="1">
        <v>0</v>
      </c>
      <c r="I64" s="1">
        <v>1000</v>
      </c>
      <c r="J64" s="1">
        <v>0</v>
      </c>
      <c r="K64" s="1" t="s">
        <v>365</v>
      </c>
      <c r="L64" s="1" t="s">
        <v>365</v>
      </c>
      <c r="M64" s="1">
        <v>1</v>
      </c>
      <c r="N64" s="1">
        <v>0</v>
      </c>
      <c r="O64" s="1">
        <v>0</v>
      </c>
      <c r="R64" s="1" t="s">
        <v>227</v>
      </c>
      <c r="S64" s="1">
        <v>0</v>
      </c>
      <c r="T64" s="1">
        <v>0</v>
      </c>
      <c r="U64" s="11">
        <v>0</v>
      </c>
      <c r="V64" s="11">
        <v>1014</v>
      </c>
      <c r="W64" s="11">
        <v>700</v>
      </c>
      <c r="X64" s="1">
        <v>1018001</v>
      </c>
      <c r="Y64" s="1">
        <v>400</v>
      </c>
      <c r="Z64" s="1">
        <v>350</v>
      </c>
    </row>
    <row r="65" s="1" customFormat="1" spans="1:26">
      <c r="A65" s="1">
        <v>1018102</v>
      </c>
      <c r="B65" s="1" t="s">
        <v>366</v>
      </c>
      <c r="C65" s="1">
        <v>2</v>
      </c>
      <c r="D65" s="1">
        <v>2001</v>
      </c>
      <c r="E65" s="1">
        <v>350</v>
      </c>
      <c r="F65" s="1">
        <v>8000</v>
      </c>
      <c r="G65" s="1">
        <v>500</v>
      </c>
      <c r="I65" s="1">
        <v>18000</v>
      </c>
      <c r="J65" s="1">
        <v>1018102</v>
      </c>
      <c r="K65" s="1" t="s">
        <v>368</v>
      </c>
      <c r="L65" s="1" t="s">
        <v>366</v>
      </c>
      <c r="M65" s="1">
        <v>1</v>
      </c>
      <c r="N65" s="1">
        <v>0</v>
      </c>
      <c r="O65" s="1">
        <v>0</v>
      </c>
      <c r="R65" s="1" t="s">
        <v>60</v>
      </c>
      <c r="S65" s="1">
        <v>0</v>
      </c>
      <c r="T65" s="1">
        <v>1018102</v>
      </c>
      <c r="U65" s="11">
        <v>900</v>
      </c>
      <c r="V65" s="11">
        <v>1014</v>
      </c>
      <c r="W65" s="11" t="s">
        <v>370</v>
      </c>
      <c r="X65" s="1">
        <v>0</v>
      </c>
      <c r="Y65" s="1">
        <v>0</v>
      </c>
      <c r="Z65" s="1">
        <v>0</v>
      </c>
    </row>
    <row r="66" s="1" customFormat="1" spans="1:26">
      <c r="A66" s="1">
        <v>1019001</v>
      </c>
      <c r="B66" s="1" t="s">
        <v>371</v>
      </c>
      <c r="C66" s="1">
        <v>1</v>
      </c>
      <c r="D66" s="1">
        <v>1001</v>
      </c>
      <c r="E66" s="1">
        <v>350</v>
      </c>
      <c r="F66" s="1">
        <v>11000</v>
      </c>
      <c r="G66" s="1">
        <v>0</v>
      </c>
      <c r="I66" s="1">
        <v>1000</v>
      </c>
      <c r="J66" s="1">
        <v>0</v>
      </c>
      <c r="K66" s="1" t="s">
        <v>371</v>
      </c>
      <c r="L66" s="1" t="s">
        <v>371</v>
      </c>
      <c r="M66" s="1">
        <v>1</v>
      </c>
      <c r="N66" s="1">
        <v>0</v>
      </c>
      <c r="O66" s="1">
        <v>0</v>
      </c>
      <c r="R66" s="1" t="s">
        <v>227</v>
      </c>
      <c r="S66" s="1">
        <v>0</v>
      </c>
      <c r="T66" s="1">
        <v>0</v>
      </c>
      <c r="U66" s="11">
        <v>0</v>
      </c>
      <c r="V66" s="11">
        <v>1014</v>
      </c>
      <c r="W66" s="11">
        <v>700</v>
      </c>
      <c r="X66" s="1">
        <v>1019001</v>
      </c>
      <c r="Y66" s="1">
        <v>400</v>
      </c>
      <c r="Z66" s="1">
        <v>350</v>
      </c>
    </row>
    <row r="67" s="1" customFormat="1" spans="1:26">
      <c r="A67" s="1">
        <v>1019002</v>
      </c>
      <c r="B67" s="1" t="s">
        <v>372</v>
      </c>
      <c r="C67" s="1">
        <v>2</v>
      </c>
      <c r="D67" s="1">
        <v>2001</v>
      </c>
      <c r="E67" s="1">
        <v>350</v>
      </c>
      <c r="F67" s="1">
        <v>5100</v>
      </c>
      <c r="G67" s="1">
        <v>500</v>
      </c>
      <c r="I67" s="1">
        <v>16000</v>
      </c>
      <c r="J67" s="1">
        <v>1019002</v>
      </c>
      <c r="K67" s="1" t="s">
        <v>374</v>
      </c>
      <c r="L67" s="1" t="s">
        <v>372</v>
      </c>
      <c r="M67" s="1">
        <v>1</v>
      </c>
      <c r="N67" s="1">
        <v>0</v>
      </c>
      <c r="O67" s="1">
        <v>0</v>
      </c>
      <c r="R67" s="1" t="s">
        <v>60</v>
      </c>
      <c r="S67" s="1">
        <v>0</v>
      </c>
      <c r="T67" s="1">
        <v>1019002</v>
      </c>
      <c r="U67" s="11">
        <v>0</v>
      </c>
      <c r="V67" s="11">
        <v>1014</v>
      </c>
      <c r="W67" s="11" t="s">
        <v>376</v>
      </c>
      <c r="X67" s="1">
        <v>0</v>
      </c>
      <c r="Y67" s="1">
        <v>0</v>
      </c>
      <c r="Z67" s="1">
        <v>0</v>
      </c>
    </row>
    <row r="68" s="1" customFormat="1" spans="1:26">
      <c r="A68" s="1">
        <v>1019101</v>
      </c>
      <c r="B68" s="1" t="s">
        <v>377</v>
      </c>
      <c r="C68" s="1">
        <v>1</v>
      </c>
      <c r="D68" s="1">
        <v>1001</v>
      </c>
      <c r="E68" s="1">
        <v>350</v>
      </c>
      <c r="F68" s="1">
        <v>11000</v>
      </c>
      <c r="G68" s="1">
        <v>0</v>
      </c>
      <c r="I68" s="1">
        <v>1000</v>
      </c>
      <c r="J68" s="1">
        <v>0</v>
      </c>
      <c r="K68" s="1" t="s">
        <v>377</v>
      </c>
      <c r="L68" s="1" t="s">
        <v>377</v>
      </c>
      <c r="M68" s="1">
        <v>1</v>
      </c>
      <c r="N68" s="1">
        <v>0</v>
      </c>
      <c r="O68" s="1">
        <v>0</v>
      </c>
      <c r="R68" s="1" t="s">
        <v>227</v>
      </c>
      <c r="S68" s="1">
        <v>0</v>
      </c>
      <c r="T68" s="1">
        <v>0</v>
      </c>
      <c r="U68" s="11">
        <v>0</v>
      </c>
      <c r="V68" s="11">
        <v>1014</v>
      </c>
      <c r="W68" s="11">
        <v>700</v>
      </c>
      <c r="X68" s="1">
        <v>1019001</v>
      </c>
      <c r="Y68" s="1">
        <v>400</v>
      </c>
      <c r="Z68" s="1">
        <v>350</v>
      </c>
    </row>
    <row r="69" s="1" customFormat="1" spans="1:26">
      <c r="A69" s="1">
        <v>1019102</v>
      </c>
      <c r="B69" s="1" t="s">
        <v>111</v>
      </c>
      <c r="C69" s="1">
        <v>2</v>
      </c>
      <c r="D69" s="1">
        <v>2001</v>
      </c>
      <c r="E69" s="1">
        <v>350</v>
      </c>
      <c r="F69" s="1">
        <v>5100</v>
      </c>
      <c r="G69" s="1">
        <v>500</v>
      </c>
      <c r="I69" s="1">
        <v>16000</v>
      </c>
      <c r="J69" s="1">
        <v>1019102</v>
      </c>
      <c r="K69" s="1" t="s">
        <v>379</v>
      </c>
      <c r="L69" s="1" t="s">
        <v>111</v>
      </c>
      <c r="M69" s="1">
        <v>1</v>
      </c>
      <c r="N69" s="1">
        <v>0</v>
      </c>
      <c r="O69" s="1">
        <v>0</v>
      </c>
      <c r="R69" s="1" t="s">
        <v>60</v>
      </c>
      <c r="S69" s="1">
        <v>0</v>
      </c>
      <c r="T69" s="1">
        <v>1019102</v>
      </c>
      <c r="U69" s="11">
        <v>500</v>
      </c>
      <c r="V69" s="11">
        <v>1014</v>
      </c>
      <c r="W69" s="11" t="s">
        <v>381</v>
      </c>
      <c r="X69" s="1">
        <v>0</v>
      </c>
      <c r="Y69" s="1">
        <v>0</v>
      </c>
      <c r="Z69" s="1">
        <v>0</v>
      </c>
    </row>
    <row r="70" s="1" customFormat="1" spans="1:26">
      <c r="A70" s="1">
        <v>1019201</v>
      </c>
      <c r="B70" s="1" t="s">
        <v>382</v>
      </c>
      <c r="C70" s="1">
        <v>1</v>
      </c>
      <c r="D70" s="1">
        <v>1001</v>
      </c>
      <c r="E70" s="1">
        <v>350</v>
      </c>
      <c r="F70" s="1">
        <v>13000</v>
      </c>
      <c r="G70" s="1">
        <v>0</v>
      </c>
      <c r="I70" s="1">
        <v>1000</v>
      </c>
      <c r="J70" s="1">
        <v>0</v>
      </c>
      <c r="K70" s="1" t="s">
        <v>382</v>
      </c>
      <c r="L70" s="1" t="s">
        <v>382</v>
      </c>
      <c r="M70" s="1">
        <v>1</v>
      </c>
      <c r="N70" s="1">
        <v>0</v>
      </c>
      <c r="O70" s="1">
        <v>0</v>
      </c>
      <c r="R70" s="1" t="s">
        <v>227</v>
      </c>
      <c r="S70" s="1">
        <v>0</v>
      </c>
      <c r="T70" s="1">
        <v>0</v>
      </c>
      <c r="U70" s="11">
        <v>0</v>
      </c>
      <c r="V70" s="11">
        <v>1014</v>
      </c>
      <c r="W70" s="11">
        <v>700</v>
      </c>
      <c r="X70" s="1">
        <v>1019001</v>
      </c>
      <c r="Y70" s="1">
        <v>400</v>
      </c>
      <c r="Z70" s="1">
        <v>350</v>
      </c>
    </row>
    <row r="71" s="1" customFormat="1" spans="1:26">
      <c r="A71" s="1">
        <v>1019202</v>
      </c>
      <c r="B71" s="1" t="s">
        <v>383</v>
      </c>
      <c r="C71" s="1">
        <v>2</v>
      </c>
      <c r="D71" s="1">
        <v>2002</v>
      </c>
      <c r="E71" s="1">
        <v>350</v>
      </c>
      <c r="F71" s="1">
        <v>88000</v>
      </c>
      <c r="G71" s="1">
        <v>500</v>
      </c>
      <c r="I71" s="1">
        <v>16000</v>
      </c>
      <c r="J71" s="1">
        <v>1019202</v>
      </c>
      <c r="K71" s="1" t="s">
        <v>385</v>
      </c>
      <c r="L71" s="1" t="s">
        <v>383</v>
      </c>
      <c r="M71" s="1">
        <v>1</v>
      </c>
      <c r="N71" s="1">
        <v>0</v>
      </c>
      <c r="O71" s="1">
        <v>0</v>
      </c>
      <c r="R71" s="1" t="s">
        <v>60</v>
      </c>
      <c r="S71" s="1">
        <v>0</v>
      </c>
      <c r="T71" s="1">
        <v>1019202</v>
      </c>
      <c r="U71" s="11">
        <v>1700</v>
      </c>
      <c r="V71" s="11">
        <v>1014</v>
      </c>
      <c r="W71" s="11">
        <v>1850</v>
      </c>
      <c r="X71" s="1">
        <v>0</v>
      </c>
      <c r="Y71" s="1">
        <v>0</v>
      </c>
      <c r="Z71" s="1">
        <v>0</v>
      </c>
    </row>
    <row r="72" s="1" customFormat="1" spans="1:26">
      <c r="A72" s="1">
        <v>1021001</v>
      </c>
      <c r="B72" s="1" t="s">
        <v>387</v>
      </c>
      <c r="C72" s="1">
        <v>1</v>
      </c>
      <c r="D72">
        <v>1001</v>
      </c>
      <c r="E72" s="1">
        <v>350</v>
      </c>
      <c r="F72" s="1">
        <v>10000</v>
      </c>
      <c r="G72" s="1">
        <v>0</v>
      </c>
      <c r="I72" s="1">
        <v>1000</v>
      </c>
      <c r="J72" s="1">
        <v>0</v>
      </c>
      <c r="K72" s="1" t="s">
        <v>387</v>
      </c>
      <c r="L72" s="1" t="s">
        <v>387</v>
      </c>
      <c r="M72" s="1">
        <v>1</v>
      </c>
      <c r="N72" s="1">
        <v>0</v>
      </c>
      <c r="O72" s="1">
        <v>0</v>
      </c>
      <c r="R72" s="1" t="s">
        <v>227</v>
      </c>
      <c r="S72" s="1">
        <v>0</v>
      </c>
      <c r="T72" s="1">
        <v>0</v>
      </c>
      <c r="U72" s="1">
        <v>0</v>
      </c>
      <c r="V72" s="1">
        <v>1014</v>
      </c>
      <c r="W72" s="1">
        <v>700</v>
      </c>
      <c r="X72" s="1">
        <v>1021001</v>
      </c>
      <c r="Y72" s="1">
        <v>400</v>
      </c>
      <c r="Z72" s="1">
        <v>350</v>
      </c>
    </row>
    <row r="73" s="1" customFormat="1" spans="1:26">
      <c r="A73" s="1">
        <v>1021002</v>
      </c>
      <c r="B73" s="1" t="s">
        <v>388</v>
      </c>
      <c r="C73" s="1">
        <v>2</v>
      </c>
      <c r="D73" s="1">
        <v>2001</v>
      </c>
      <c r="E73" s="1">
        <v>350</v>
      </c>
      <c r="F73" s="1">
        <v>22000</v>
      </c>
      <c r="G73" s="1">
        <v>500</v>
      </c>
      <c r="I73" s="1">
        <v>5500</v>
      </c>
      <c r="J73" s="1">
        <v>1021002</v>
      </c>
      <c r="K73" s="1" t="s">
        <v>390</v>
      </c>
      <c r="L73" s="1" t="s">
        <v>388</v>
      </c>
      <c r="M73" s="1">
        <v>1</v>
      </c>
      <c r="N73" s="1">
        <v>0</v>
      </c>
      <c r="O73" s="1">
        <v>0</v>
      </c>
      <c r="R73" s="1" t="s">
        <v>60</v>
      </c>
      <c r="S73" s="1">
        <v>0</v>
      </c>
      <c r="T73" s="1">
        <v>1021002</v>
      </c>
      <c r="U73" s="1">
        <v>1100</v>
      </c>
      <c r="V73" s="1">
        <v>1014</v>
      </c>
      <c r="W73" s="1" t="s">
        <v>392</v>
      </c>
      <c r="X73" s="1">
        <v>0</v>
      </c>
      <c r="Y73" s="1">
        <v>0</v>
      </c>
      <c r="Z73" s="1">
        <v>0</v>
      </c>
    </row>
    <row r="74" s="1" customFormat="1" spans="1:26">
      <c r="A74" s="1">
        <v>1021101</v>
      </c>
      <c r="B74" s="1" t="s">
        <v>393</v>
      </c>
      <c r="C74" s="1">
        <v>1</v>
      </c>
      <c r="D74">
        <v>1001</v>
      </c>
      <c r="E74" s="1">
        <v>350</v>
      </c>
      <c r="F74" s="1">
        <v>11000</v>
      </c>
      <c r="G74" s="1">
        <v>0</v>
      </c>
      <c r="I74" s="1">
        <v>1000</v>
      </c>
      <c r="J74" s="1">
        <v>0</v>
      </c>
      <c r="K74" s="1" t="s">
        <v>393</v>
      </c>
      <c r="L74" s="1" t="s">
        <v>393</v>
      </c>
      <c r="M74" s="1">
        <v>1</v>
      </c>
      <c r="N74" s="1">
        <v>0</v>
      </c>
      <c r="O74" s="1">
        <v>0</v>
      </c>
      <c r="R74" s="1" t="s">
        <v>227</v>
      </c>
      <c r="S74" s="1">
        <v>0</v>
      </c>
      <c r="T74" s="1">
        <v>0</v>
      </c>
      <c r="U74" s="1">
        <v>0</v>
      </c>
      <c r="V74" s="1">
        <v>1014</v>
      </c>
      <c r="W74" s="1">
        <v>700</v>
      </c>
      <c r="X74" s="1">
        <v>1021001</v>
      </c>
      <c r="Y74" s="1">
        <v>400</v>
      </c>
      <c r="Z74" s="1">
        <v>350</v>
      </c>
    </row>
    <row r="75" s="1" customFormat="1" spans="1:26">
      <c r="A75" s="1">
        <v>1021102</v>
      </c>
      <c r="B75" s="1" t="s">
        <v>165</v>
      </c>
      <c r="C75" s="1">
        <v>2</v>
      </c>
      <c r="D75" s="1">
        <v>2001</v>
      </c>
      <c r="E75" s="1">
        <v>350</v>
      </c>
      <c r="F75" s="1">
        <v>7000</v>
      </c>
      <c r="G75" s="1">
        <v>500</v>
      </c>
      <c r="I75" s="1">
        <v>11000</v>
      </c>
      <c r="J75" s="1">
        <v>1021002</v>
      </c>
      <c r="K75" s="1" t="s">
        <v>395</v>
      </c>
      <c r="L75" s="1" t="s">
        <v>165</v>
      </c>
      <c r="M75" s="1">
        <v>1</v>
      </c>
      <c r="N75" s="1">
        <v>0</v>
      </c>
      <c r="O75" s="1">
        <v>0</v>
      </c>
      <c r="R75" s="1" t="s">
        <v>60</v>
      </c>
      <c r="S75" s="1">
        <v>0</v>
      </c>
      <c r="T75" s="1">
        <v>1021102</v>
      </c>
      <c r="U75" s="1">
        <v>400</v>
      </c>
      <c r="V75" s="1">
        <v>1014</v>
      </c>
      <c r="W75" s="1" t="s">
        <v>397</v>
      </c>
      <c r="X75" s="1">
        <v>0</v>
      </c>
      <c r="Y75" s="1">
        <v>0</v>
      </c>
      <c r="Z75" s="1">
        <v>0</v>
      </c>
    </row>
    <row r="76" s="1" customFormat="1" spans="1:26">
      <c r="A76" s="1">
        <v>1022001</v>
      </c>
      <c r="B76" s="1" t="s">
        <v>398</v>
      </c>
      <c r="C76" s="1">
        <v>1</v>
      </c>
      <c r="D76">
        <v>1001</v>
      </c>
      <c r="E76" s="1">
        <v>350</v>
      </c>
      <c r="F76" s="1">
        <v>10000</v>
      </c>
      <c r="G76" s="1">
        <v>0</v>
      </c>
      <c r="I76" s="1">
        <v>1000</v>
      </c>
      <c r="J76" s="1">
        <v>0</v>
      </c>
      <c r="K76" s="1" t="s">
        <v>398</v>
      </c>
      <c r="L76" s="1" t="s">
        <v>398</v>
      </c>
      <c r="M76" s="1">
        <v>1</v>
      </c>
      <c r="N76" s="1">
        <v>0</v>
      </c>
      <c r="O76" s="1">
        <v>0</v>
      </c>
      <c r="R76" s="1" t="s">
        <v>227</v>
      </c>
      <c r="S76" s="1">
        <v>0</v>
      </c>
      <c r="T76" s="1">
        <v>0</v>
      </c>
      <c r="U76" s="1">
        <v>0</v>
      </c>
      <c r="V76" s="1">
        <v>1014</v>
      </c>
      <c r="W76" s="1">
        <v>700</v>
      </c>
      <c r="X76" s="1">
        <v>1022001</v>
      </c>
      <c r="Y76" s="1">
        <v>400</v>
      </c>
      <c r="Z76" s="1">
        <v>350</v>
      </c>
    </row>
    <row r="77" s="1" customFormat="1" spans="1:26">
      <c r="A77" s="1">
        <v>1022002</v>
      </c>
      <c r="B77" s="1" t="s">
        <v>399</v>
      </c>
      <c r="C77" s="1">
        <v>2</v>
      </c>
      <c r="D77" s="1">
        <v>2001</v>
      </c>
      <c r="E77" s="1">
        <v>350</v>
      </c>
      <c r="F77" s="1">
        <v>22000</v>
      </c>
      <c r="G77" s="1">
        <v>500</v>
      </c>
      <c r="I77" s="1">
        <v>22000</v>
      </c>
      <c r="J77" s="1">
        <v>1022002</v>
      </c>
      <c r="K77" s="1" t="s">
        <v>401</v>
      </c>
      <c r="L77" s="1" t="s">
        <v>399</v>
      </c>
      <c r="M77" s="1">
        <v>1</v>
      </c>
      <c r="N77" s="1">
        <v>0</v>
      </c>
      <c r="O77" s="1">
        <v>0</v>
      </c>
      <c r="R77" s="1" t="s">
        <v>60</v>
      </c>
      <c r="S77" s="1">
        <v>0</v>
      </c>
      <c r="T77" s="1">
        <v>1022002</v>
      </c>
      <c r="U77" s="1">
        <v>600</v>
      </c>
      <c r="V77" s="1">
        <v>1014</v>
      </c>
      <c r="W77" s="1">
        <v>700</v>
      </c>
      <c r="X77" s="1">
        <v>0</v>
      </c>
      <c r="Y77" s="1">
        <v>0</v>
      </c>
      <c r="Z77" s="1">
        <v>0</v>
      </c>
    </row>
    <row r="78" s="1" customFormat="1" spans="1:26">
      <c r="A78" s="1">
        <v>1022101</v>
      </c>
      <c r="B78" s="1" t="s">
        <v>403</v>
      </c>
      <c r="C78" s="1">
        <v>1</v>
      </c>
      <c r="D78">
        <v>1001</v>
      </c>
      <c r="E78" s="1">
        <v>350</v>
      </c>
      <c r="F78" s="1">
        <v>11000</v>
      </c>
      <c r="G78" s="1">
        <v>0</v>
      </c>
      <c r="I78" s="1">
        <v>1000</v>
      </c>
      <c r="J78" s="1">
        <v>0</v>
      </c>
      <c r="K78" s="1" t="s">
        <v>403</v>
      </c>
      <c r="L78" s="1" t="s">
        <v>403</v>
      </c>
      <c r="M78" s="1">
        <v>1</v>
      </c>
      <c r="N78" s="1">
        <v>0</v>
      </c>
      <c r="O78" s="1">
        <v>0</v>
      </c>
      <c r="R78" s="1" t="s">
        <v>227</v>
      </c>
      <c r="S78" s="1">
        <v>0</v>
      </c>
      <c r="T78" s="1">
        <v>0</v>
      </c>
      <c r="U78" s="1">
        <v>0</v>
      </c>
      <c r="V78" s="1">
        <v>1014</v>
      </c>
      <c r="W78" s="1">
        <v>600</v>
      </c>
      <c r="X78" s="1">
        <v>1022001</v>
      </c>
      <c r="Y78" s="1">
        <v>300</v>
      </c>
      <c r="Z78" s="1">
        <v>350</v>
      </c>
    </row>
    <row r="79" s="1" customFormat="1" spans="1:26">
      <c r="A79" s="1">
        <v>1022102</v>
      </c>
      <c r="B79" s="1" t="s">
        <v>404</v>
      </c>
      <c r="C79" s="1">
        <v>2</v>
      </c>
      <c r="D79" s="1">
        <v>2001</v>
      </c>
      <c r="E79" s="1">
        <v>350</v>
      </c>
      <c r="F79" s="1">
        <v>7000</v>
      </c>
      <c r="G79" s="1">
        <v>500</v>
      </c>
      <c r="I79" s="1">
        <v>22000</v>
      </c>
      <c r="J79" s="1">
        <v>1022002</v>
      </c>
      <c r="K79" s="1" t="s">
        <v>406</v>
      </c>
      <c r="L79" s="1" t="s">
        <v>404</v>
      </c>
      <c r="M79" s="1">
        <v>1</v>
      </c>
      <c r="N79" s="1">
        <v>0</v>
      </c>
      <c r="O79" s="1">
        <v>0</v>
      </c>
      <c r="R79" s="1" t="s">
        <v>60</v>
      </c>
      <c r="S79" s="1">
        <v>0</v>
      </c>
      <c r="T79" s="1">
        <v>1022002</v>
      </c>
      <c r="U79" s="1">
        <v>700</v>
      </c>
      <c r="V79" s="1">
        <v>1014</v>
      </c>
      <c r="W79" s="1" t="s">
        <v>408</v>
      </c>
      <c r="X79" s="1">
        <v>0</v>
      </c>
      <c r="Y79" s="1">
        <v>0</v>
      </c>
      <c r="Z79" s="1">
        <v>0</v>
      </c>
    </row>
    <row r="80" s="1" customFormat="1" spans="1:26">
      <c r="A80" s="1">
        <v>1023001</v>
      </c>
      <c r="B80" s="1" t="s">
        <v>409</v>
      </c>
      <c r="C80" s="1">
        <v>1</v>
      </c>
      <c r="D80">
        <v>1001</v>
      </c>
      <c r="E80" s="1">
        <v>350</v>
      </c>
      <c r="F80" s="1">
        <v>10000</v>
      </c>
      <c r="G80" s="1">
        <v>0</v>
      </c>
      <c r="I80" s="1">
        <v>1000</v>
      </c>
      <c r="J80" s="1">
        <v>0</v>
      </c>
      <c r="K80" s="1" t="s">
        <v>409</v>
      </c>
      <c r="L80" s="1" t="s">
        <v>409</v>
      </c>
      <c r="M80" s="1">
        <v>1</v>
      </c>
      <c r="N80" s="1">
        <v>0</v>
      </c>
      <c r="O80" s="1">
        <v>0</v>
      </c>
      <c r="R80" s="1" t="s">
        <v>227</v>
      </c>
      <c r="S80" s="1">
        <v>0</v>
      </c>
      <c r="T80" s="1">
        <v>0</v>
      </c>
      <c r="U80" s="1">
        <v>0</v>
      </c>
      <c r="V80" s="1">
        <v>1012</v>
      </c>
      <c r="W80" s="1">
        <v>700</v>
      </c>
      <c r="X80" s="1">
        <v>1023001</v>
      </c>
      <c r="Y80" s="1">
        <v>400</v>
      </c>
      <c r="Z80" s="1">
        <v>350</v>
      </c>
    </row>
    <row r="81" s="1" customFormat="1" spans="1:26">
      <c r="A81" s="1">
        <v>1023002</v>
      </c>
      <c r="B81" s="1" t="s">
        <v>410</v>
      </c>
      <c r="C81" s="1">
        <v>2</v>
      </c>
      <c r="D81" s="1">
        <v>2001</v>
      </c>
      <c r="E81" s="1">
        <v>350</v>
      </c>
      <c r="F81" s="1">
        <v>3000</v>
      </c>
      <c r="G81" s="1">
        <v>500</v>
      </c>
      <c r="I81" s="1">
        <v>14000</v>
      </c>
      <c r="J81" s="1">
        <v>1023002</v>
      </c>
      <c r="K81" s="1" t="s">
        <v>412</v>
      </c>
      <c r="L81" s="1" t="s">
        <v>410</v>
      </c>
      <c r="M81" s="1">
        <v>1</v>
      </c>
      <c r="N81" s="1">
        <v>0</v>
      </c>
      <c r="O81" s="1">
        <v>0</v>
      </c>
      <c r="R81" s="1" t="s">
        <v>60</v>
      </c>
      <c r="S81" s="1">
        <v>0</v>
      </c>
      <c r="T81" s="1">
        <v>1023002</v>
      </c>
      <c r="U81" s="1">
        <v>800</v>
      </c>
      <c r="V81" s="1">
        <v>1012</v>
      </c>
      <c r="W81" s="1" t="s">
        <v>414</v>
      </c>
      <c r="X81" s="1">
        <v>0</v>
      </c>
      <c r="Y81" s="1">
        <v>0</v>
      </c>
      <c r="Z81" s="1">
        <v>0</v>
      </c>
    </row>
    <row r="82" s="1" customFormat="1" spans="1:26">
      <c r="A82" s="1">
        <v>1023101</v>
      </c>
      <c r="B82" s="1" t="s">
        <v>415</v>
      </c>
      <c r="C82" s="1">
        <v>1</v>
      </c>
      <c r="D82">
        <v>1001</v>
      </c>
      <c r="E82" s="1">
        <v>350</v>
      </c>
      <c r="F82" s="1">
        <v>10000</v>
      </c>
      <c r="G82" s="1">
        <v>0</v>
      </c>
      <c r="I82" s="1">
        <v>1000</v>
      </c>
      <c r="J82" s="1">
        <v>0</v>
      </c>
      <c r="K82" s="1" t="s">
        <v>415</v>
      </c>
      <c r="L82" s="1" t="s">
        <v>415</v>
      </c>
      <c r="M82" s="1">
        <v>1</v>
      </c>
      <c r="N82" s="1">
        <v>0</v>
      </c>
      <c r="O82" s="1">
        <v>0</v>
      </c>
      <c r="R82" s="1" t="s">
        <v>227</v>
      </c>
      <c r="S82" s="1">
        <v>0</v>
      </c>
      <c r="T82" s="1">
        <v>0</v>
      </c>
      <c r="U82" s="1">
        <v>0</v>
      </c>
      <c r="V82" s="1">
        <v>1012</v>
      </c>
      <c r="W82" s="1">
        <v>600</v>
      </c>
      <c r="X82" s="1">
        <v>1023001</v>
      </c>
      <c r="Y82" s="1">
        <v>300</v>
      </c>
      <c r="Z82" s="1">
        <v>350</v>
      </c>
    </row>
    <row r="83" s="1" customFormat="1" spans="1:26">
      <c r="A83" s="1">
        <v>1023102</v>
      </c>
      <c r="B83" s="1" t="s">
        <v>169</v>
      </c>
      <c r="C83" s="1">
        <v>2</v>
      </c>
      <c r="D83" s="1">
        <v>2001</v>
      </c>
      <c r="E83" s="1">
        <v>350</v>
      </c>
      <c r="F83" s="1">
        <v>6000</v>
      </c>
      <c r="G83" s="1">
        <v>500</v>
      </c>
      <c r="I83" s="1">
        <v>14000</v>
      </c>
      <c r="J83" s="1">
        <v>1023002</v>
      </c>
      <c r="K83" s="1" t="s">
        <v>417</v>
      </c>
      <c r="L83" s="1" t="s">
        <v>169</v>
      </c>
      <c r="M83" s="1">
        <v>1</v>
      </c>
      <c r="N83" s="1">
        <v>0</v>
      </c>
      <c r="O83" s="1">
        <v>0</v>
      </c>
      <c r="R83" s="1" t="s">
        <v>60</v>
      </c>
      <c r="S83" s="1">
        <v>0</v>
      </c>
      <c r="T83" s="1">
        <v>1023102</v>
      </c>
      <c r="U83" s="1">
        <v>0</v>
      </c>
      <c r="V83" s="1">
        <v>1012</v>
      </c>
      <c r="W83" s="1" t="s">
        <v>419</v>
      </c>
      <c r="X83" s="1">
        <v>0</v>
      </c>
      <c r="Y83" s="1">
        <v>0</v>
      </c>
      <c r="Z83" s="1">
        <v>0</v>
      </c>
    </row>
    <row r="84" s="1" customFormat="1" spans="1:26">
      <c r="A84" s="1">
        <v>1025001</v>
      </c>
      <c r="B84" s="1" t="s">
        <v>420</v>
      </c>
      <c r="C84" s="1">
        <v>1</v>
      </c>
      <c r="D84">
        <v>1001</v>
      </c>
      <c r="E84" s="1">
        <v>350</v>
      </c>
      <c r="F84" s="1">
        <v>10000</v>
      </c>
      <c r="G84" s="1">
        <v>0</v>
      </c>
      <c r="I84" s="1">
        <v>1000</v>
      </c>
      <c r="J84" s="1">
        <v>0</v>
      </c>
      <c r="K84" s="1" t="s">
        <v>420</v>
      </c>
      <c r="L84" s="1" t="s">
        <v>420</v>
      </c>
      <c r="M84" s="1">
        <v>1</v>
      </c>
      <c r="N84" s="1">
        <v>0</v>
      </c>
      <c r="O84" s="1">
        <v>0</v>
      </c>
      <c r="R84" s="1" t="s">
        <v>227</v>
      </c>
      <c r="S84" s="1">
        <v>0</v>
      </c>
      <c r="T84" s="1">
        <v>0</v>
      </c>
      <c r="U84" s="1">
        <v>0</v>
      </c>
      <c r="V84" s="1">
        <v>1012</v>
      </c>
      <c r="W84" s="1">
        <v>700</v>
      </c>
      <c r="X84" s="1">
        <v>1025001</v>
      </c>
      <c r="Y84" s="1">
        <v>400</v>
      </c>
      <c r="Z84" s="1">
        <v>350</v>
      </c>
    </row>
    <row r="85" s="1" customFormat="1" spans="1:26">
      <c r="A85" s="1">
        <v>1025002</v>
      </c>
      <c r="B85" s="1" t="s">
        <v>421</v>
      </c>
      <c r="C85" s="1">
        <v>2</v>
      </c>
      <c r="D85" s="1">
        <v>2001</v>
      </c>
      <c r="E85" s="1">
        <v>350</v>
      </c>
      <c r="F85" s="1">
        <v>11000</v>
      </c>
      <c r="G85" s="1">
        <v>500</v>
      </c>
      <c r="I85" s="1">
        <v>14000</v>
      </c>
      <c r="J85" s="1">
        <v>1025002</v>
      </c>
      <c r="K85" s="1" t="s">
        <v>423</v>
      </c>
      <c r="L85" s="1" t="s">
        <v>421</v>
      </c>
      <c r="M85" s="1">
        <v>1</v>
      </c>
      <c r="N85" s="1">
        <v>0</v>
      </c>
      <c r="O85" s="1">
        <v>0</v>
      </c>
      <c r="R85" s="1" t="s">
        <v>60</v>
      </c>
      <c r="S85" s="1">
        <v>0</v>
      </c>
      <c r="T85" s="1">
        <v>1025002</v>
      </c>
      <c r="U85" s="1">
        <v>400</v>
      </c>
      <c r="V85" s="1">
        <v>1012</v>
      </c>
      <c r="W85" s="1">
        <v>1000</v>
      </c>
      <c r="X85" s="1">
        <v>0</v>
      </c>
      <c r="Y85" s="1">
        <v>0</v>
      </c>
      <c r="Z85" s="1">
        <v>0</v>
      </c>
    </row>
    <row r="86" s="1" customFormat="1" spans="1:26">
      <c r="A86" s="1">
        <v>1025101</v>
      </c>
      <c r="B86" s="1" t="s">
        <v>425</v>
      </c>
      <c r="C86" s="1">
        <v>1</v>
      </c>
      <c r="D86">
        <v>1001</v>
      </c>
      <c r="E86" s="1">
        <v>350</v>
      </c>
      <c r="F86" s="1">
        <v>10000</v>
      </c>
      <c r="G86" s="1">
        <v>0</v>
      </c>
      <c r="I86" s="1">
        <v>1000</v>
      </c>
      <c r="J86" s="1">
        <v>0</v>
      </c>
      <c r="K86" s="1" t="s">
        <v>425</v>
      </c>
      <c r="L86" s="1" t="s">
        <v>425</v>
      </c>
      <c r="M86" s="1">
        <v>1</v>
      </c>
      <c r="N86" s="1">
        <v>0</v>
      </c>
      <c r="O86" s="1">
        <v>0</v>
      </c>
      <c r="R86" s="1" t="s">
        <v>227</v>
      </c>
      <c r="S86" s="1">
        <v>0</v>
      </c>
      <c r="T86" s="1">
        <v>0</v>
      </c>
      <c r="U86" s="1">
        <v>0</v>
      </c>
      <c r="V86" s="1">
        <v>1012</v>
      </c>
      <c r="W86" s="1">
        <v>700</v>
      </c>
      <c r="X86" s="1">
        <v>1025001</v>
      </c>
      <c r="Y86" s="1">
        <v>400</v>
      </c>
      <c r="Z86" s="1">
        <v>350</v>
      </c>
    </row>
    <row r="87" s="1" customFormat="1" spans="1:26">
      <c r="A87" s="1">
        <v>1025102</v>
      </c>
      <c r="B87" s="1" t="s">
        <v>149</v>
      </c>
      <c r="C87" s="1">
        <v>2</v>
      </c>
      <c r="D87" s="1">
        <v>2001</v>
      </c>
      <c r="E87" s="1">
        <v>350</v>
      </c>
      <c r="F87" s="1">
        <v>5500</v>
      </c>
      <c r="G87" s="1">
        <v>500</v>
      </c>
      <c r="I87" s="1">
        <v>14000</v>
      </c>
      <c r="J87" s="1">
        <v>1025002</v>
      </c>
      <c r="K87" s="1" t="s">
        <v>427</v>
      </c>
      <c r="L87" s="1" t="s">
        <v>149</v>
      </c>
      <c r="M87" s="1">
        <v>1</v>
      </c>
      <c r="N87" s="1">
        <v>0</v>
      </c>
      <c r="O87" s="1">
        <v>0</v>
      </c>
      <c r="R87" s="1" t="s">
        <v>60</v>
      </c>
      <c r="S87" s="1">
        <v>0</v>
      </c>
      <c r="T87" s="1">
        <v>1025102</v>
      </c>
      <c r="U87" s="1">
        <v>0</v>
      </c>
      <c r="V87" s="1">
        <v>1012</v>
      </c>
      <c r="W87" s="1" t="s">
        <v>429</v>
      </c>
      <c r="X87" s="1">
        <v>0</v>
      </c>
      <c r="Y87" s="1">
        <v>0</v>
      </c>
      <c r="Z87" s="1">
        <v>0</v>
      </c>
    </row>
    <row r="88" s="1" customFormat="1" spans="1:26">
      <c r="A88" s="1">
        <v>1026001</v>
      </c>
      <c r="B88" s="1" t="s">
        <v>430</v>
      </c>
      <c r="C88" s="1">
        <v>1</v>
      </c>
      <c r="D88">
        <v>1001</v>
      </c>
      <c r="E88" s="1">
        <v>350</v>
      </c>
      <c r="F88" s="1">
        <v>10000</v>
      </c>
      <c r="G88" s="1">
        <v>0</v>
      </c>
      <c r="I88" s="1">
        <v>1000</v>
      </c>
      <c r="J88" s="1">
        <v>0</v>
      </c>
      <c r="K88" s="1" t="s">
        <v>430</v>
      </c>
      <c r="L88" s="1" t="s">
        <v>430</v>
      </c>
      <c r="M88" s="1">
        <v>1</v>
      </c>
      <c r="N88" s="1">
        <v>0</v>
      </c>
      <c r="O88" s="1">
        <v>0</v>
      </c>
      <c r="R88" s="1" t="s">
        <v>227</v>
      </c>
      <c r="S88" s="1">
        <v>0</v>
      </c>
      <c r="T88" s="1">
        <v>0</v>
      </c>
      <c r="U88" s="1">
        <v>0</v>
      </c>
      <c r="V88" s="1">
        <v>1012</v>
      </c>
      <c r="W88" s="1">
        <v>800</v>
      </c>
      <c r="X88" s="1">
        <v>1026001</v>
      </c>
      <c r="Y88" s="1">
        <v>500</v>
      </c>
      <c r="Z88" s="1">
        <v>350</v>
      </c>
    </row>
    <row r="89" s="1" customFormat="1" spans="1:26">
      <c r="A89" s="1">
        <v>1026002</v>
      </c>
      <c r="B89" s="1" t="s">
        <v>431</v>
      </c>
      <c r="C89" s="1">
        <v>2</v>
      </c>
      <c r="D89" s="1">
        <v>2001</v>
      </c>
      <c r="E89" s="1">
        <v>350</v>
      </c>
      <c r="F89" s="1">
        <v>21000</v>
      </c>
      <c r="G89" s="1">
        <v>500</v>
      </c>
      <c r="I89" s="1">
        <v>16000</v>
      </c>
      <c r="J89" s="1">
        <v>1026002</v>
      </c>
      <c r="K89" s="1" t="s">
        <v>433</v>
      </c>
      <c r="L89" s="1" t="s">
        <v>431</v>
      </c>
      <c r="M89" s="1">
        <v>1</v>
      </c>
      <c r="N89" s="1">
        <v>0</v>
      </c>
      <c r="O89" s="1">
        <v>0</v>
      </c>
      <c r="R89" s="1" t="s">
        <v>60</v>
      </c>
      <c r="S89" s="1">
        <v>0</v>
      </c>
      <c r="T89" s="1">
        <v>1026002</v>
      </c>
      <c r="U89" s="1">
        <v>500</v>
      </c>
      <c r="V89" s="1">
        <v>1012</v>
      </c>
      <c r="W89" s="1">
        <v>1450</v>
      </c>
      <c r="X89" s="1">
        <v>0</v>
      </c>
      <c r="Y89" s="1">
        <v>0</v>
      </c>
      <c r="Z89" s="1">
        <v>0</v>
      </c>
    </row>
    <row r="90" s="1" customFormat="1" spans="1:26">
      <c r="A90" s="1">
        <v>1027001</v>
      </c>
      <c r="B90" s="1" t="s">
        <v>435</v>
      </c>
      <c r="C90" s="1">
        <v>1</v>
      </c>
      <c r="D90">
        <v>1001</v>
      </c>
      <c r="E90" s="1">
        <v>350</v>
      </c>
      <c r="F90" s="1">
        <v>10000</v>
      </c>
      <c r="G90" s="1">
        <v>0</v>
      </c>
      <c r="I90" s="1">
        <v>1000</v>
      </c>
      <c r="J90" s="1">
        <v>0</v>
      </c>
      <c r="K90" s="1" t="s">
        <v>435</v>
      </c>
      <c r="L90" s="1" t="s">
        <v>435</v>
      </c>
      <c r="M90" s="1">
        <v>1</v>
      </c>
      <c r="N90" s="1">
        <v>0</v>
      </c>
      <c r="O90" s="1">
        <v>0</v>
      </c>
      <c r="R90" s="1" t="s">
        <v>227</v>
      </c>
      <c r="S90" s="1">
        <v>0</v>
      </c>
      <c r="T90" s="1">
        <v>0</v>
      </c>
      <c r="U90" s="1">
        <v>0</v>
      </c>
      <c r="V90" s="1">
        <v>1012</v>
      </c>
      <c r="W90" s="1">
        <v>700</v>
      </c>
      <c r="X90" s="1">
        <v>1027001</v>
      </c>
      <c r="Y90" s="1">
        <v>400</v>
      </c>
      <c r="Z90" s="1">
        <v>350</v>
      </c>
    </row>
    <row r="91" s="2" customFormat="1" spans="1:26">
      <c r="A91" s="2">
        <v>1027002</v>
      </c>
      <c r="B91" s="2" t="s">
        <v>436</v>
      </c>
      <c r="C91" s="2">
        <v>2</v>
      </c>
      <c r="D91" s="2">
        <v>2001</v>
      </c>
      <c r="E91" s="2">
        <v>350</v>
      </c>
      <c r="F91" s="2">
        <v>21000</v>
      </c>
      <c r="G91" s="2">
        <v>500</v>
      </c>
      <c r="I91" s="2">
        <v>16000</v>
      </c>
      <c r="J91" s="2">
        <v>1027002</v>
      </c>
      <c r="K91" s="2" t="s">
        <v>438</v>
      </c>
      <c r="L91" s="2" t="s">
        <v>436</v>
      </c>
      <c r="M91" s="2">
        <v>1</v>
      </c>
      <c r="N91" s="2">
        <v>0</v>
      </c>
      <c r="O91" s="2">
        <v>0</v>
      </c>
      <c r="R91" s="2" t="s">
        <v>60</v>
      </c>
      <c r="S91" s="2">
        <v>0</v>
      </c>
      <c r="T91" s="2">
        <v>1027002</v>
      </c>
      <c r="U91" s="2">
        <v>500</v>
      </c>
      <c r="V91" s="2">
        <v>1012</v>
      </c>
      <c r="W91" s="2">
        <v>1300</v>
      </c>
      <c r="X91" s="2">
        <v>0</v>
      </c>
      <c r="Y91" s="2">
        <v>0</v>
      </c>
      <c r="Z91" s="2">
        <v>0</v>
      </c>
    </row>
    <row r="92" s="1" customFormat="1" spans="1:26">
      <c r="A92" s="1">
        <v>1027101</v>
      </c>
      <c r="B92" s="1" t="s">
        <v>440</v>
      </c>
      <c r="C92" s="1">
        <v>1</v>
      </c>
      <c r="D92">
        <v>1001</v>
      </c>
      <c r="E92" s="1">
        <v>350</v>
      </c>
      <c r="F92" s="1">
        <v>10000</v>
      </c>
      <c r="G92" s="1">
        <v>0</v>
      </c>
      <c r="I92" s="1">
        <v>1000</v>
      </c>
      <c r="J92" s="1">
        <v>0</v>
      </c>
      <c r="K92" s="1" t="s">
        <v>440</v>
      </c>
      <c r="L92" s="1" t="s">
        <v>440</v>
      </c>
      <c r="M92" s="1">
        <v>1</v>
      </c>
      <c r="N92" s="1">
        <v>0</v>
      </c>
      <c r="O92" s="1">
        <v>0</v>
      </c>
      <c r="R92" s="1" t="s">
        <v>227</v>
      </c>
      <c r="S92" s="1">
        <v>0</v>
      </c>
      <c r="T92" s="1">
        <v>0</v>
      </c>
      <c r="U92" s="1">
        <v>0</v>
      </c>
      <c r="V92" s="1">
        <v>1012</v>
      </c>
      <c r="W92" s="1">
        <v>700</v>
      </c>
      <c r="X92" s="1">
        <v>1027001</v>
      </c>
      <c r="Y92" s="1">
        <v>400</v>
      </c>
      <c r="Z92" s="1">
        <v>350</v>
      </c>
    </row>
    <row r="93" s="2" customFormat="1" spans="1:26">
      <c r="A93" s="2">
        <v>1027102</v>
      </c>
      <c r="B93" s="2" t="s">
        <v>441</v>
      </c>
      <c r="C93" s="2">
        <v>2</v>
      </c>
      <c r="D93" s="2">
        <v>2001</v>
      </c>
      <c r="E93" s="2">
        <v>350</v>
      </c>
      <c r="F93" s="2">
        <v>42000</v>
      </c>
      <c r="G93" s="2">
        <v>500</v>
      </c>
      <c r="I93" s="2">
        <v>16000</v>
      </c>
      <c r="J93" s="2">
        <v>1027002</v>
      </c>
      <c r="K93" s="2" t="s">
        <v>443</v>
      </c>
      <c r="L93" s="2" t="s">
        <v>441</v>
      </c>
      <c r="M93" s="2">
        <v>1</v>
      </c>
      <c r="N93" s="2">
        <v>0</v>
      </c>
      <c r="O93" s="2">
        <v>0</v>
      </c>
      <c r="R93" s="2" t="s">
        <v>60</v>
      </c>
      <c r="S93" s="2">
        <v>0</v>
      </c>
      <c r="T93" s="2">
        <v>1027002</v>
      </c>
      <c r="U93" s="2">
        <v>500</v>
      </c>
      <c r="V93" s="2">
        <v>1012</v>
      </c>
      <c r="W93" s="2">
        <v>1300</v>
      </c>
      <c r="X93" s="2">
        <v>0</v>
      </c>
      <c r="Y93" s="2">
        <v>0</v>
      </c>
      <c r="Z93" s="2">
        <v>0</v>
      </c>
    </row>
    <row r="94" s="1" customFormat="1" spans="1:26">
      <c r="A94" s="1">
        <v>1030001</v>
      </c>
      <c r="B94" s="1" t="s">
        <v>445</v>
      </c>
      <c r="C94" s="1">
        <v>1</v>
      </c>
      <c r="D94">
        <v>1001</v>
      </c>
      <c r="E94" s="1">
        <v>350</v>
      </c>
      <c r="F94" s="1">
        <v>10000</v>
      </c>
      <c r="G94" s="1">
        <v>0</v>
      </c>
      <c r="I94" s="1">
        <v>1000</v>
      </c>
      <c r="J94" s="1">
        <v>0</v>
      </c>
      <c r="K94" s="1" t="s">
        <v>445</v>
      </c>
      <c r="L94" s="1" t="s">
        <v>445</v>
      </c>
      <c r="M94" s="1">
        <v>1</v>
      </c>
      <c r="N94" s="1">
        <v>0</v>
      </c>
      <c r="O94" s="1">
        <v>0</v>
      </c>
      <c r="R94" s="1" t="s">
        <v>227</v>
      </c>
      <c r="S94" s="1">
        <v>0</v>
      </c>
      <c r="T94" s="1">
        <v>0</v>
      </c>
      <c r="U94" s="1">
        <v>0</v>
      </c>
      <c r="V94" s="1">
        <v>1012</v>
      </c>
      <c r="W94" s="1">
        <v>800</v>
      </c>
      <c r="X94" s="1">
        <v>1030001</v>
      </c>
      <c r="Y94" s="1">
        <v>500</v>
      </c>
      <c r="Z94" s="1">
        <v>350</v>
      </c>
    </row>
    <row r="95" s="2" customFormat="1" spans="1:26">
      <c r="A95" s="2">
        <v>1030002</v>
      </c>
      <c r="B95" s="2" t="s">
        <v>446</v>
      </c>
      <c r="C95" s="2">
        <v>2</v>
      </c>
      <c r="D95" s="2">
        <v>2001</v>
      </c>
      <c r="E95" s="2">
        <v>350</v>
      </c>
      <c r="F95" s="2">
        <v>21000</v>
      </c>
      <c r="G95" s="2">
        <v>500</v>
      </c>
      <c r="I95" s="2">
        <v>16000</v>
      </c>
      <c r="J95" s="2">
        <v>1030002</v>
      </c>
      <c r="K95" s="2" t="s">
        <v>448</v>
      </c>
      <c r="L95" s="2" t="s">
        <v>446</v>
      </c>
      <c r="M95" s="2">
        <v>1</v>
      </c>
      <c r="N95" s="2">
        <v>0</v>
      </c>
      <c r="O95" s="2">
        <v>0</v>
      </c>
      <c r="R95" s="2" t="s">
        <v>60</v>
      </c>
      <c r="S95" s="2">
        <v>0</v>
      </c>
      <c r="T95" s="2">
        <v>1030002</v>
      </c>
      <c r="U95" s="2">
        <v>700</v>
      </c>
      <c r="V95" s="2">
        <v>1012</v>
      </c>
      <c r="W95" s="2">
        <v>2150</v>
      </c>
      <c r="X95" s="2">
        <v>0</v>
      </c>
      <c r="Y95" s="2">
        <v>0</v>
      </c>
      <c r="Z95" s="2">
        <v>0</v>
      </c>
    </row>
    <row r="96" s="1" customFormat="1" spans="1:26">
      <c r="A96" s="1">
        <v>1030101</v>
      </c>
      <c r="B96" s="1" t="s">
        <v>450</v>
      </c>
      <c r="C96" s="1">
        <v>1</v>
      </c>
      <c r="D96">
        <v>1001</v>
      </c>
      <c r="E96" s="1">
        <v>350</v>
      </c>
      <c r="F96" s="1">
        <v>11000</v>
      </c>
      <c r="G96" s="1">
        <v>0</v>
      </c>
      <c r="I96" s="1">
        <v>1000</v>
      </c>
      <c r="J96" s="1">
        <v>0</v>
      </c>
      <c r="K96" s="1" t="s">
        <v>450</v>
      </c>
      <c r="L96" s="1" t="s">
        <v>450</v>
      </c>
      <c r="M96" s="1">
        <v>1</v>
      </c>
      <c r="N96" s="1">
        <v>0</v>
      </c>
      <c r="O96" s="1">
        <v>0</v>
      </c>
      <c r="R96" s="1" t="s">
        <v>227</v>
      </c>
      <c r="S96" s="1">
        <v>0</v>
      </c>
      <c r="T96" s="1">
        <v>0</v>
      </c>
      <c r="U96" s="1">
        <v>0</v>
      </c>
      <c r="V96" s="1">
        <v>1012</v>
      </c>
      <c r="W96" s="1">
        <v>700</v>
      </c>
      <c r="X96" s="1">
        <v>1030001</v>
      </c>
      <c r="Y96" s="1">
        <v>400</v>
      </c>
      <c r="Z96" s="1">
        <v>350</v>
      </c>
    </row>
    <row r="97" s="2" customFormat="1" spans="1:26">
      <c r="A97" s="2">
        <v>1030102</v>
      </c>
      <c r="B97" s="2" t="s">
        <v>121</v>
      </c>
      <c r="C97" s="2">
        <v>2</v>
      </c>
      <c r="D97" s="2">
        <v>2001</v>
      </c>
      <c r="E97" s="2">
        <v>350</v>
      </c>
      <c r="F97" s="2">
        <v>42000</v>
      </c>
      <c r="G97" s="2">
        <v>500</v>
      </c>
      <c r="I97" s="2">
        <v>16000</v>
      </c>
      <c r="J97" s="2">
        <v>1030002</v>
      </c>
      <c r="K97" s="2" t="s">
        <v>452</v>
      </c>
      <c r="L97" s="2" t="s">
        <v>121</v>
      </c>
      <c r="M97" s="2">
        <v>1</v>
      </c>
      <c r="N97" s="2">
        <v>0</v>
      </c>
      <c r="O97" s="2">
        <v>0</v>
      </c>
      <c r="R97" s="2" t="s">
        <v>60</v>
      </c>
      <c r="S97" s="2">
        <v>0</v>
      </c>
      <c r="T97" s="2">
        <v>1030002</v>
      </c>
      <c r="U97" s="2">
        <v>600</v>
      </c>
      <c r="V97" s="2">
        <v>1012</v>
      </c>
      <c r="W97" s="2">
        <v>2050</v>
      </c>
      <c r="X97" s="2">
        <v>0</v>
      </c>
      <c r="Y97" s="2">
        <v>0</v>
      </c>
      <c r="Z97" s="2">
        <v>0</v>
      </c>
    </row>
    <row r="98" s="1" customFormat="1" spans="1:26">
      <c r="A98" s="1">
        <v>1032001</v>
      </c>
      <c r="B98" s="1" t="s">
        <v>454</v>
      </c>
      <c r="C98" s="1">
        <v>1</v>
      </c>
      <c r="D98" s="1">
        <v>1001</v>
      </c>
      <c r="E98" s="1">
        <v>350</v>
      </c>
      <c r="F98" s="1">
        <v>10000</v>
      </c>
      <c r="G98" s="1">
        <v>0</v>
      </c>
      <c r="I98" s="1">
        <v>1000</v>
      </c>
      <c r="J98" s="1">
        <v>0</v>
      </c>
      <c r="K98" s="1" t="s">
        <v>454</v>
      </c>
      <c r="L98" s="1" t="s">
        <v>454</v>
      </c>
      <c r="M98" s="1">
        <v>1</v>
      </c>
      <c r="N98" s="1">
        <v>0</v>
      </c>
      <c r="O98" s="1">
        <v>0</v>
      </c>
      <c r="R98" s="1" t="s">
        <v>227</v>
      </c>
      <c r="S98" s="1">
        <v>0</v>
      </c>
      <c r="T98" s="1">
        <v>0</v>
      </c>
      <c r="U98" s="11">
        <v>0</v>
      </c>
      <c r="V98" s="11">
        <v>1014</v>
      </c>
      <c r="W98" s="11">
        <v>700</v>
      </c>
      <c r="X98" s="1">
        <v>1032001</v>
      </c>
      <c r="Y98" s="1">
        <v>400</v>
      </c>
      <c r="Z98" s="1">
        <v>350</v>
      </c>
    </row>
    <row r="99" s="1" customFormat="1" spans="1:26">
      <c r="A99" s="1">
        <v>1032002</v>
      </c>
      <c r="B99" s="1" t="s">
        <v>455</v>
      </c>
      <c r="C99" s="1">
        <v>2</v>
      </c>
      <c r="D99" s="1">
        <v>2001</v>
      </c>
      <c r="E99" s="1">
        <v>350</v>
      </c>
      <c r="F99" s="1">
        <v>9500</v>
      </c>
      <c r="G99" s="1">
        <v>500</v>
      </c>
      <c r="I99" s="1">
        <v>18000</v>
      </c>
      <c r="J99" s="1">
        <v>1032002</v>
      </c>
      <c r="K99" s="1" t="s">
        <v>457</v>
      </c>
      <c r="L99" s="1" t="s">
        <v>455</v>
      </c>
      <c r="M99" s="1">
        <v>1</v>
      </c>
      <c r="N99" s="1">
        <v>0</v>
      </c>
      <c r="O99" s="1">
        <v>0</v>
      </c>
      <c r="R99" s="1" t="s">
        <v>60</v>
      </c>
      <c r="S99" s="1">
        <v>0</v>
      </c>
      <c r="T99" s="1">
        <v>1032002</v>
      </c>
      <c r="U99" s="11">
        <v>400</v>
      </c>
      <c r="V99" s="11">
        <v>1014</v>
      </c>
      <c r="W99" s="11" t="s">
        <v>972</v>
      </c>
      <c r="X99" s="1">
        <v>0</v>
      </c>
      <c r="Y99" s="1">
        <v>0</v>
      </c>
      <c r="Z99" s="1">
        <v>0</v>
      </c>
    </row>
    <row r="100" s="1" customFormat="1" spans="1:26">
      <c r="A100" s="1">
        <v>1032101</v>
      </c>
      <c r="B100" s="1" t="s">
        <v>460</v>
      </c>
      <c r="C100" s="1">
        <v>1</v>
      </c>
      <c r="D100" s="1">
        <v>1001</v>
      </c>
      <c r="E100" s="1">
        <v>350</v>
      </c>
      <c r="F100" s="1">
        <v>10000</v>
      </c>
      <c r="G100" s="1">
        <v>0</v>
      </c>
      <c r="I100" s="1">
        <v>1000</v>
      </c>
      <c r="J100" s="1">
        <v>0</v>
      </c>
      <c r="K100" s="1" t="s">
        <v>460</v>
      </c>
      <c r="L100" s="1" t="s">
        <v>460</v>
      </c>
      <c r="M100" s="1">
        <v>1</v>
      </c>
      <c r="N100" s="1">
        <v>0</v>
      </c>
      <c r="O100" s="1">
        <v>0</v>
      </c>
      <c r="R100" s="1" t="s">
        <v>227</v>
      </c>
      <c r="S100" s="1">
        <v>0</v>
      </c>
      <c r="T100" s="1">
        <v>0</v>
      </c>
      <c r="U100" s="11">
        <v>0</v>
      </c>
      <c r="V100" s="11">
        <v>1014</v>
      </c>
      <c r="W100" s="11">
        <v>700</v>
      </c>
      <c r="X100" s="1">
        <v>1032001</v>
      </c>
      <c r="Y100" s="1">
        <v>400</v>
      </c>
      <c r="Z100" s="1">
        <v>350</v>
      </c>
    </row>
    <row r="101" s="1" customFormat="1" spans="1:26">
      <c r="A101" s="1">
        <v>1032102</v>
      </c>
      <c r="B101" s="1" t="s">
        <v>461</v>
      </c>
      <c r="C101" s="1">
        <v>2</v>
      </c>
      <c r="D101" s="1">
        <v>2001</v>
      </c>
      <c r="E101" s="1">
        <v>350</v>
      </c>
      <c r="F101" s="1">
        <v>21000</v>
      </c>
      <c r="G101" s="1">
        <v>500</v>
      </c>
      <c r="I101" s="1">
        <v>18000</v>
      </c>
      <c r="J101" s="1">
        <v>1032002</v>
      </c>
      <c r="K101" s="1" t="s">
        <v>463</v>
      </c>
      <c r="L101" s="1" t="s">
        <v>461</v>
      </c>
      <c r="M101" s="1">
        <v>1</v>
      </c>
      <c r="N101" s="1">
        <v>0</v>
      </c>
      <c r="O101" s="1">
        <v>0</v>
      </c>
      <c r="R101" s="1" t="s">
        <v>60</v>
      </c>
      <c r="S101" s="1">
        <v>0</v>
      </c>
      <c r="T101" s="1">
        <v>1032002</v>
      </c>
      <c r="U101" s="11">
        <v>400</v>
      </c>
      <c r="V101" s="11">
        <v>1014</v>
      </c>
      <c r="W101" s="11" t="s">
        <v>972</v>
      </c>
      <c r="X101" s="1">
        <v>0</v>
      </c>
      <c r="Y101" s="1">
        <v>0</v>
      </c>
      <c r="Z101" s="1">
        <v>0</v>
      </c>
    </row>
    <row r="102" s="1" customFormat="1" spans="1:26">
      <c r="A102" s="1">
        <v>1033001</v>
      </c>
      <c r="B102" s="1" t="s">
        <v>465</v>
      </c>
      <c r="C102" s="1">
        <v>1</v>
      </c>
      <c r="D102">
        <v>1001</v>
      </c>
      <c r="E102" s="1">
        <v>350</v>
      </c>
      <c r="F102" s="1">
        <v>10000</v>
      </c>
      <c r="G102" s="1">
        <v>0</v>
      </c>
      <c r="I102" s="1">
        <v>1000</v>
      </c>
      <c r="J102" s="1">
        <v>0</v>
      </c>
      <c r="K102" s="1" t="s">
        <v>465</v>
      </c>
      <c r="L102" s="1" t="s">
        <v>465</v>
      </c>
      <c r="M102" s="1">
        <v>1</v>
      </c>
      <c r="N102" s="1">
        <v>0</v>
      </c>
      <c r="O102" s="1">
        <v>0</v>
      </c>
      <c r="R102" s="1" t="s">
        <v>227</v>
      </c>
      <c r="S102" s="1">
        <v>0</v>
      </c>
      <c r="T102" s="1">
        <v>0</v>
      </c>
      <c r="U102" s="11">
        <v>0</v>
      </c>
      <c r="V102" s="11">
        <v>1012</v>
      </c>
      <c r="W102" s="11">
        <v>700</v>
      </c>
      <c r="X102" s="1">
        <v>1033001</v>
      </c>
      <c r="Y102" s="1">
        <v>400</v>
      </c>
      <c r="Z102" s="1">
        <v>350</v>
      </c>
    </row>
    <row r="103" s="1" customFormat="1" spans="1:26">
      <c r="A103" s="1">
        <v>1033002</v>
      </c>
      <c r="B103" s="1" t="s">
        <v>466</v>
      </c>
      <c r="C103" s="1">
        <v>2</v>
      </c>
      <c r="D103" s="1">
        <v>2001</v>
      </c>
      <c r="E103" s="1">
        <v>350</v>
      </c>
      <c r="F103" s="1">
        <v>4400</v>
      </c>
      <c r="G103" s="1">
        <v>500</v>
      </c>
      <c r="I103" s="1">
        <v>12000</v>
      </c>
      <c r="J103" s="1">
        <v>1033002</v>
      </c>
      <c r="K103" s="1" t="s">
        <v>468</v>
      </c>
      <c r="L103" s="1" t="s">
        <v>466</v>
      </c>
      <c r="M103" s="1">
        <v>1</v>
      </c>
      <c r="N103" s="1">
        <v>0</v>
      </c>
      <c r="O103" s="1">
        <v>0</v>
      </c>
      <c r="R103" s="1" t="s">
        <v>60</v>
      </c>
      <c r="S103" s="1">
        <v>0</v>
      </c>
      <c r="T103" s="1">
        <v>1033002</v>
      </c>
      <c r="U103" s="11">
        <v>1300</v>
      </c>
      <c r="V103" s="11">
        <v>1012</v>
      </c>
      <c r="W103" s="11" t="s">
        <v>470</v>
      </c>
      <c r="X103" s="1">
        <v>0</v>
      </c>
      <c r="Y103" s="1">
        <v>0</v>
      </c>
      <c r="Z103" s="1">
        <v>0</v>
      </c>
    </row>
    <row r="104" s="1" customFormat="1" spans="1:26">
      <c r="A104" s="1">
        <v>1033101</v>
      </c>
      <c r="B104" s="1" t="s">
        <v>471</v>
      </c>
      <c r="C104" s="1">
        <v>1</v>
      </c>
      <c r="D104">
        <v>1001</v>
      </c>
      <c r="E104" s="1">
        <v>350</v>
      </c>
      <c r="F104" s="1">
        <v>11000</v>
      </c>
      <c r="G104" s="1">
        <v>0</v>
      </c>
      <c r="I104" s="1">
        <v>1000</v>
      </c>
      <c r="J104" s="1">
        <v>0</v>
      </c>
      <c r="K104" s="1" t="s">
        <v>471</v>
      </c>
      <c r="L104" s="1" t="s">
        <v>471</v>
      </c>
      <c r="M104" s="1">
        <v>1</v>
      </c>
      <c r="N104" s="1">
        <v>0</v>
      </c>
      <c r="O104" s="1">
        <v>0</v>
      </c>
      <c r="R104" s="1" t="s">
        <v>227</v>
      </c>
      <c r="S104" s="1">
        <v>0</v>
      </c>
      <c r="T104" s="1">
        <v>0</v>
      </c>
      <c r="U104" s="11">
        <v>0</v>
      </c>
      <c r="V104" s="11">
        <v>1012</v>
      </c>
      <c r="W104" s="11">
        <v>600</v>
      </c>
      <c r="X104" s="1">
        <v>1033001</v>
      </c>
      <c r="Y104" s="1">
        <v>300</v>
      </c>
      <c r="Z104" s="1">
        <v>350</v>
      </c>
    </row>
    <row r="105" s="1" customFormat="1" spans="1:26">
      <c r="A105" s="1">
        <v>1033102</v>
      </c>
      <c r="B105" s="1" t="s">
        <v>472</v>
      </c>
      <c r="C105" s="1">
        <v>2</v>
      </c>
      <c r="D105" s="1">
        <v>2001</v>
      </c>
      <c r="E105" s="1">
        <v>350</v>
      </c>
      <c r="F105" s="1">
        <v>8200</v>
      </c>
      <c r="G105" s="1">
        <v>500</v>
      </c>
      <c r="I105" s="1">
        <v>12000</v>
      </c>
      <c r="J105" s="1">
        <v>1033002</v>
      </c>
      <c r="K105" s="1" t="s">
        <v>474</v>
      </c>
      <c r="L105" s="1" t="s">
        <v>472</v>
      </c>
      <c r="M105" s="1">
        <v>1</v>
      </c>
      <c r="N105" s="1">
        <v>0</v>
      </c>
      <c r="O105" s="1">
        <v>0</v>
      </c>
      <c r="R105" s="1" t="s">
        <v>60</v>
      </c>
      <c r="S105" s="1">
        <v>0</v>
      </c>
      <c r="T105" s="1">
        <v>1033002</v>
      </c>
      <c r="U105" s="11">
        <v>500</v>
      </c>
      <c r="V105" s="11">
        <v>1012</v>
      </c>
      <c r="W105" s="11" t="s">
        <v>476</v>
      </c>
      <c r="X105" s="1">
        <v>0</v>
      </c>
      <c r="Y105" s="1">
        <v>0</v>
      </c>
      <c r="Z105" s="1">
        <v>0</v>
      </c>
    </row>
    <row r="106" s="1" customFormat="1" spans="1:26">
      <c r="A106" s="1">
        <v>1033201</v>
      </c>
      <c r="B106" s="1" t="s">
        <v>477</v>
      </c>
      <c r="C106" s="1">
        <v>1</v>
      </c>
      <c r="D106">
        <v>1001</v>
      </c>
      <c r="E106" s="1">
        <v>350</v>
      </c>
      <c r="F106" s="1">
        <v>11000</v>
      </c>
      <c r="G106" s="1">
        <v>0</v>
      </c>
      <c r="I106" s="1">
        <v>1000</v>
      </c>
      <c r="J106" s="1">
        <v>0</v>
      </c>
      <c r="K106" s="1" t="s">
        <v>477</v>
      </c>
      <c r="L106" s="1" t="s">
        <v>477</v>
      </c>
      <c r="M106" s="1">
        <v>1</v>
      </c>
      <c r="N106" s="1">
        <v>0</v>
      </c>
      <c r="O106" s="1">
        <v>0</v>
      </c>
      <c r="R106" s="1" t="s">
        <v>227</v>
      </c>
      <c r="S106" s="1">
        <v>0</v>
      </c>
      <c r="T106" s="1">
        <v>0</v>
      </c>
      <c r="U106" s="11">
        <v>0</v>
      </c>
      <c r="V106" s="11">
        <v>1012</v>
      </c>
      <c r="W106" s="11">
        <v>700</v>
      </c>
      <c r="X106" s="1">
        <v>1033001</v>
      </c>
      <c r="Y106" s="1">
        <v>400</v>
      </c>
      <c r="Z106" s="1">
        <v>350</v>
      </c>
    </row>
    <row r="107" s="2" customFormat="1" spans="1:26">
      <c r="A107" s="2">
        <v>1033202</v>
      </c>
      <c r="B107" s="2" t="s">
        <v>478</v>
      </c>
      <c r="C107" s="2">
        <v>2</v>
      </c>
      <c r="D107" s="2">
        <v>2001</v>
      </c>
      <c r="E107" s="2">
        <v>350</v>
      </c>
      <c r="F107" s="2">
        <v>8200</v>
      </c>
      <c r="G107" s="2">
        <v>500</v>
      </c>
      <c r="I107" s="2">
        <v>12000</v>
      </c>
      <c r="J107" s="2">
        <v>1033202</v>
      </c>
      <c r="K107" s="2" t="s">
        <v>480</v>
      </c>
      <c r="L107" s="2" t="s">
        <v>478</v>
      </c>
      <c r="M107" s="2">
        <v>1</v>
      </c>
      <c r="N107" s="2">
        <v>0</v>
      </c>
      <c r="O107" s="2">
        <v>0</v>
      </c>
      <c r="R107" s="2" t="s">
        <v>60</v>
      </c>
      <c r="S107" s="2">
        <v>0</v>
      </c>
      <c r="T107" s="2">
        <v>1033202</v>
      </c>
      <c r="U107" s="15">
        <v>1400</v>
      </c>
      <c r="V107" s="15">
        <v>1012</v>
      </c>
      <c r="W107" s="15" t="s">
        <v>482</v>
      </c>
      <c r="X107" s="2">
        <v>0</v>
      </c>
      <c r="Y107" s="2">
        <v>0</v>
      </c>
      <c r="Z107" s="2">
        <v>0</v>
      </c>
    </row>
    <row r="108" s="1" customFormat="1" spans="1:26">
      <c r="A108" s="1">
        <v>1035001</v>
      </c>
      <c r="B108" s="1" t="s">
        <v>483</v>
      </c>
      <c r="C108" s="1">
        <v>1</v>
      </c>
      <c r="D108">
        <v>1001</v>
      </c>
      <c r="E108" s="1">
        <v>350</v>
      </c>
      <c r="F108" s="1">
        <v>10000</v>
      </c>
      <c r="G108" s="1">
        <v>0</v>
      </c>
      <c r="I108" s="1">
        <v>1000</v>
      </c>
      <c r="J108" s="1">
        <v>0</v>
      </c>
      <c r="K108" s="1" t="s">
        <v>483</v>
      </c>
      <c r="L108" s="1" t="s">
        <v>483</v>
      </c>
      <c r="M108" s="1">
        <v>1</v>
      </c>
      <c r="N108" s="1">
        <v>0</v>
      </c>
      <c r="O108" s="1">
        <v>0</v>
      </c>
      <c r="R108" s="1" t="s">
        <v>227</v>
      </c>
      <c r="S108" s="1">
        <v>0</v>
      </c>
      <c r="T108" s="1">
        <v>0</v>
      </c>
      <c r="U108" s="1">
        <v>0</v>
      </c>
      <c r="V108" s="1">
        <v>1016</v>
      </c>
      <c r="W108" s="1">
        <v>700</v>
      </c>
      <c r="X108" s="1">
        <v>1035001</v>
      </c>
      <c r="Y108" s="1">
        <v>400</v>
      </c>
      <c r="Z108" s="1">
        <v>350</v>
      </c>
    </row>
    <row r="109" s="1" customFormat="1" spans="1:26">
      <c r="A109" s="1">
        <v>1035002</v>
      </c>
      <c r="B109" s="1" t="s">
        <v>135</v>
      </c>
      <c r="C109" s="1">
        <v>2</v>
      </c>
      <c r="D109" s="1">
        <v>2001</v>
      </c>
      <c r="E109" s="1">
        <v>350</v>
      </c>
      <c r="F109" s="1">
        <v>2100</v>
      </c>
      <c r="G109" s="1">
        <v>500</v>
      </c>
      <c r="I109" s="1">
        <v>18000</v>
      </c>
      <c r="J109" s="1">
        <v>1035002</v>
      </c>
      <c r="K109" s="1" t="s">
        <v>485</v>
      </c>
      <c r="L109" s="1" t="s">
        <v>135</v>
      </c>
      <c r="M109" s="1">
        <v>1</v>
      </c>
      <c r="N109" s="1">
        <v>0</v>
      </c>
      <c r="O109" s="1">
        <v>0</v>
      </c>
      <c r="R109" s="1" t="s">
        <v>60</v>
      </c>
      <c r="S109" s="1">
        <v>0</v>
      </c>
      <c r="T109" s="1">
        <v>1035002</v>
      </c>
      <c r="U109" s="1">
        <v>600</v>
      </c>
      <c r="V109" s="1">
        <v>1016</v>
      </c>
      <c r="W109" s="1" t="s">
        <v>487</v>
      </c>
      <c r="X109" s="1">
        <v>0</v>
      </c>
      <c r="Y109" s="1">
        <v>0</v>
      </c>
      <c r="Z109" s="1">
        <v>0</v>
      </c>
    </row>
    <row r="110" s="1" customFormat="1" spans="1:26">
      <c r="A110" s="1">
        <v>1035101</v>
      </c>
      <c r="B110" s="1" t="s">
        <v>488</v>
      </c>
      <c r="C110" s="1">
        <v>1</v>
      </c>
      <c r="D110">
        <v>1001</v>
      </c>
      <c r="E110" s="1">
        <v>350</v>
      </c>
      <c r="F110" s="1">
        <v>10000</v>
      </c>
      <c r="G110" s="1">
        <v>0</v>
      </c>
      <c r="I110" s="1">
        <v>1000</v>
      </c>
      <c r="J110" s="1">
        <v>0</v>
      </c>
      <c r="K110" s="1" t="s">
        <v>488</v>
      </c>
      <c r="L110" s="1" t="s">
        <v>488</v>
      </c>
      <c r="M110" s="1">
        <v>1</v>
      </c>
      <c r="N110" s="1">
        <v>0</v>
      </c>
      <c r="O110" s="1">
        <v>0</v>
      </c>
      <c r="R110" s="1" t="s">
        <v>227</v>
      </c>
      <c r="S110" s="1">
        <v>0</v>
      </c>
      <c r="T110" s="1">
        <v>0</v>
      </c>
      <c r="U110" s="1">
        <v>0</v>
      </c>
      <c r="V110" s="1">
        <v>1016</v>
      </c>
      <c r="W110" s="1">
        <v>800</v>
      </c>
      <c r="X110" s="1">
        <v>1035001</v>
      </c>
      <c r="Y110" s="1">
        <v>500</v>
      </c>
      <c r="Z110" s="1">
        <v>350</v>
      </c>
    </row>
    <row r="111" s="1" customFormat="1" spans="1:26">
      <c r="A111" s="1">
        <v>1035102</v>
      </c>
      <c r="B111" s="1" t="s">
        <v>489</v>
      </c>
      <c r="C111" s="1">
        <v>2</v>
      </c>
      <c r="D111" s="1">
        <v>2001</v>
      </c>
      <c r="E111" s="1">
        <v>350</v>
      </c>
      <c r="F111" s="1">
        <v>4200</v>
      </c>
      <c r="G111" s="1">
        <v>500</v>
      </c>
      <c r="I111" s="1">
        <v>18000</v>
      </c>
      <c r="J111" s="1">
        <v>1035002</v>
      </c>
      <c r="K111" s="1" t="s">
        <v>491</v>
      </c>
      <c r="L111" s="1" t="s">
        <v>489</v>
      </c>
      <c r="M111" s="1">
        <v>1</v>
      </c>
      <c r="N111" s="1">
        <v>0</v>
      </c>
      <c r="O111" s="1">
        <v>0</v>
      </c>
      <c r="R111" s="1" t="s">
        <v>60</v>
      </c>
      <c r="S111" s="1">
        <v>0</v>
      </c>
      <c r="T111" s="1">
        <v>1035002</v>
      </c>
      <c r="U111" s="1">
        <v>700</v>
      </c>
      <c r="V111" s="1">
        <v>1016</v>
      </c>
      <c r="W111" s="1" t="s">
        <v>493</v>
      </c>
      <c r="X111" s="1">
        <v>0</v>
      </c>
      <c r="Y111" s="1">
        <v>0</v>
      </c>
      <c r="Z111" s="1">
        <v>0</v>
      </c>
    </row>
    <row r="112" s="1" customFormat="1" spans="1:26">
      <c r="A112" s="1">
        <v>1035201</v>
      </c>
      <c r="B112" s="1" t="s">
        <v>494</v>
      </c>
      <c r="C112" s="1">
        <v>1</v>
      </c>
      <c r="D112">
        <v>1001</v>
      </c>
      <c r="E112" s="1">
        <v>350</v>
      </c>
      <c r="F112" s="1">
        <v>10000</v>
      </c>
      <c r="G112" s="1">
        <v>0</v>
      </c>
      <c r="I112" s="1">
        <v>1000</v>
      </c>
      <c r="J112" s="1">
        <v>0</v>
      </c>
      <c r="K112" s="1" t="s">
        <v>494</v>
      </c>
      <c r="L112" s="1" t="s">
        <v>494</v>
      </c>
      <c r="M112" s="1">
        <v>1</v>
      </c>
      <c r="N112" s="1">
        <v>0</v>
      </c>
      <c r="O112" s="1">
        <v>0</v>
      </c>
      <c r="R112" s="1" t="s">
        <v>227</v>
      </c>
      <c r="S112" s="1">
        <v>0</v>
      </c>
      <c r="T112" s="1">
        <v>0</v>
      </c>
      <c r="U112" s="1">
        <v>0</v>
      </c>
      <c r="V112" s="1">
        <v>1016</v>
      </c>
      <c r="W112" s="1">
        <v>800</v>
      </c>
      <c r="X112" s="1">
        <v>1035001</v>
      </c>
      <c r="Y112" s="1">
        <v>500</v>
      </c>
      <c r="Z112" s="1">
        <v>350</v>
      </c>
    </row>
    <row r="113" s="1" customFormat="1" spans="1:26">
      <c r="A113" s="1">
        <v>1035202</v>
      </c>
      <c r="B113" s="1" t="s">
        <v>184</v>
      </c>
      <c r="C113" s="1">
        <v>2</v>
      </c>
      <c r="D113" s="1">
        <v>2001</v>
      </c>
      <c r="E113" s="1">
        <v>350</v>
      </c>
      <c r="F113" s="1">
        <v>10000</v>
      </c>
      <c r="G113" s="1">
        <v>500</v>
      </c>
      <c r="I113" s="1">
        <v>18000</v>
      </c>
      <c r="J113" s="2">
        <v>1035202</v>
      </c>
      <c r="K113" s="1" t="s">
        <v>496</v>
      </c>
      <c r="L113" s="1" t="s">
        <v>184</v>
      </c>
      <c r="M113" s="1">
        <v>1</v>
      </c>
      <c r="N113" s="1">
        <v>0</v>
      </c>
      <c r="O113" s="1">
        <v>0</v>
      </c>
      <c r="R113" s="1" t="s">
        <v>60</v>
      </c>
      <c r="S113" s="1">
        <v>0</v>
      </c>
      <c r="T113" s="1">
        <v>1035202</v>
      </c>
      <c r="U113" s="1">
        <v>1500</v>
      </c>
      <c r="V113" s="1">
        <v>1016</v>
      </c>
      <c r="W113" s="1" t="s">
        <v>498</v>
      </c>
      <c r="X113" s="1">
        <v>0</v>
      </c>
      <c r="Y113" s="1">
        <v>0</v>
      </c>
      <c r="Z113" s="1">
        <v>0</v>
      </c>
    </row>
    <row r="114" s="1" customFormat="1" spans="1:26">
      <c r="A114" s="1">
        <v>1036001</v>
      </c>
      <c r="B114" s="1" t="s">
        <v>499</v>
      </c>
      <c r="C114" s="1">
        <v>1</v>
      </c>
      <c r="D114">
        <v>1001</v>
      </c>
      <c r="E114" s="1">
        <v>350</v>
      </c>
      <c r="F114" s="1">
        <v>10000</v>
      </c>
      <c r="G114" s="1">
        <v>0</v>
      </c>
      <c r="I114" s="1">
        <v>1000</v>
      </c>
      <c r="J114" s="1">
        <v>0</v>
      </c>
      <c r="K114" s="1" t="s">
        <v>499</v>
      </c>
      <c r="L114" s="1" t="s">
        <v>499</v>
      </c>
      <c r="M114" s="1">
        <v>1</v>
      </c>
      <c r="N114" s="1">
        <v>0</v>
      </c>
      <c r="O114" s="1">
        <v>0</v>
      </c>
      <c r="R114" s="1" t="s">
        <v>227</v>
      </c>
      <c r="S114" s="1">
        <v>0</v>
      </c>
      <c r="T114" s="1">
        <v>0</v>
      </c>
      <c r="U114" s="1">
        <v>0</v>
      </c>
      <c r="V114" s="1">
        <v>1016</v>
      </c>
      <c r="W114" s="1">
        <v>700</v>
      </c>
      <c r="X114" s="1">
        <v>1036001</v>
      </c>
      <c r="Y114" s="1">
        <v>400</v>
      </c>
      <c r="Z114" s="1">
        <v>350</v>
      </c>
    </row>
    <row r="115" s="1" customFormat="1" spans="1:26">
      <c r="A115" s="1">
        <v>1036002</v>
      </c>
      <c r="B115" s="1" t="s">
        <v>500</v>
      </c>
      <c r="C115" s="1">
        <v>2</v>
      </c>
      <c r="D115" s="1">
        <v>2001</v>
      </c>
      <c r="E115" s="1">
        <v>350</v>
      </c>
      <c r="F115" s="1">
        <v>4200</v>
      </c>
      <c r="G115" s="1">
        <v>500</v>
      </c>
      <c r="I115" s="1">
        <v>7000</v>
      </c>
      <c r="J115" s="1">
        <v>1036001</v>
      </c>
      <c r="K115" s="1" t="s">
        <v>502</v>
      </c>
      <c r="L115" s="1" t="s">
        <v>504</v>
      </c>
      <c r="M115" s="1">
        <v>1</v>
      </c>
      <c r="N115" s="1">
        <v>0</v>
      </c>
      <c r="O115" s="1">
        <v>0</v>
      </c>
      <c r="R115" s="1" t="s">
        <v>60</v>
      </c>
      <c r="S115" s="1">
        <v>0</v>
      </c>
      <c r="T115" s="1">
        <v>1036002</v>
      </c>
      <c r="U115" s="1">
        <v>300</v>
      </c>
      <c r="V115" s="1">
        <v>1016</v>
      </c>
      <c r="W115" s="1" t="s">
        <v>505</v>
      </c>
      <c r="X115" s="1">
        <v>0</v>
      </c>
      <c r="Y115" s="1">
        <v>0</v>
      </c>
      <c r="Z115" s="1">
        <v>0</v>
      </c>
    </row>
    <row r="116" s="1" customFormat="1" spans="1:26">
      <c r="A116" s="1">
        <v>1036101</v>
      </c>
      <c r="B116" s="1" t="s">
        <v>506</v>
      </c>
      <c r="C116" s="1">
        <v>1</v>
      </c>
      <c r="D116">
        <v>1001</v>
      </c>
      <c r="E116" s="1">
        <v>350</v>
      </c>
      <c r="F116" s="1">
        <v>11000</v>
      </c>
      <c r="G116" s="1">
        <v>0</v>
      </c>
      <c r="I116" s="1">
        <v>1000</v>
      </c>
      <c r="J116" s="1">
        <v>0</v>
      </c>
      <c r="K116" s="1" t="s">
        <v>506</v>
      </c>
      <c r="L116" s="1" t="s">
        <v>506</v>
      </c>
      <c r="M116" s="1">
        <v>1</v>
      </c>
      <c r="N116" s="1">
        <v>0</v>
      </c>
      <c r="O116" s="1">
        <v>0</v>
      </c>
      <c r="R116" s="1" t="s">
        <v>227</v>
      </c>
      <c r="S116" s="1">
        <v>0</v>
      </c>
      <c r="T116" s="1">
        <v>0</v>
      </c>
      <c r="U116" s="1">
        <v>0</v>
      </c>
      <c r="V116" s="1">
        <v>1016</v>
      </c>
      <c r="W116" s="1">
        <v>700</v>
      </c>
      <c r="X116" s="1">
        <v>1036001</v>
      </c>
      <c r="Y116" s="1">
        <v>400</v>
      </c>
      <c r="Z116" s="1">
        <v>350</v>
      </c>
    </row>
    <row r="117" s="1" customFormat="1" spans="1:26">
      <c r="A117" s="1">
        <v>1036102</v>
      </c>
      <c r="B117" s="1" t="s">
        <v>507</v>
      </c>
      <c r="C117" s="1">
        <v>2</v>
      </c>
      <c r="D117" s="1">
        <v>2001</v>
      </c>
      <c r="E117" s="1">
        <v>350</v>
      </c>
      <c r="F117" s="1">
        <v>8400</v>
      </c>
      <c r="G117" s="1">
        <v>500</v>
      </c>
      <c r="I117" s="1">
        <v>7000</v>
      </c>
      <c r="J117" s="1">
        <v>1036001</v>
      </c>
      <c r="K117" s="1" t="s">
        <v>509</v>
      </c>
      <c r="L117" s="1" t="s">
        <v>511</v>
      </c>
      <c r="M117" s="1">
        <v>1</v>
      </c>
      <c r="N117" s="1">
        <v>0</v>
      </c>
      <c r="O117" s="1">
        <v>0</v>
      </c>
      <c r="R117" s="1" t="s">
        <v>60</v>
      </c>
      <c r="S117" s="1">
        <v>0</v>
      </c>
      <c r="T117" s="1">
        <v>1036102</v>
      </c>
      <c r="U117" s="1">
        <v>300</v>
      </c>
      <c r="V117" s="1">
        <v>1016</v>
      </c>
      <c r="W117" s="1" t="s">
        <v>505</v>
      </c>
      <c r="X117" s="1">
        <v>0</v>
      </c>
      <c r="Y117" s="1">
        <v>0</v>
      </c>
      <c r="Z117" s="1">
        <v>0</v>
      </c>
    </row>
    <row r="118" s="1" customFormat="1" spans="1:26">
      <c r="A118" s="1">
        <v>1038001</v>
      </c>
      <c r="B118" s="1" t="s">
        <v>512</v>
      </c>
      <c r="C118" s="1">
        <v>1</v>
      </c>
      <c r="D118">
        <v>1001</v>
      </c>
      <c r="E118" s="1">
        <v>350</v>
      </c>
      <c r="F118" s="1">
        <v>10000</v>
      </c>
      <c r="G118" s="1">
        <v>0</v>
      </c>
      <c r="I118" s="1">
        <v>1000</v>
      </c>
      <c r="J118" s="1">
        <v>0</v>
      </c>
      <c r="K118" s="1" t="s">
        <v>512</v>
      </c>
      <c r="L118" s="1" t="s">
        <v>512</v>
      </c>
      <c r="M118" s="1">
        <v>1</v>
      </c>
      <c r="N118" s="1">
        <v>0</v>
      </c>
      <c r="O118" s="1">
        <v>0</v>
      </c>
      <c r="R118" s="1" t="s">
        <v>227</v>
      </c>
      <c r="S118" s="1">
        <v>0</v>
      </c>
      <c r="T118" s="1">
        <v>0</v>
      </c>
      <c r="U118" s="1">
        <v>0</v>
      </c>
      <c r="V118" s="1">
        <v>1016</v>
      </c>
      <c r="W118" s="1">
        <v>700</v>
      </c>
      <c r="X118" s="1">
        <v>1038001</v>
      </c>
      <c r="Y118" s="1">
        <v>400</v>
      </c>
      <c r="Z118" s="1">
        <v>350</v>
      </c>
    </row>
    <row r="119" s="1" customFormat="1" spans="1:26">
      <c r="A119" s="1">
        <v>1038002</v>
      </c>
      <c r="B119" s="1" t="s">
        <v>513</v>
      </c>
      <c r="C119" s="1">
        <v>2</v>
      </c>
      <c r="D119" s="1">
        <v>2001</v>
      </c>
      <c r="E119" s="1">
        <v>350</v>
      </c>
      <c r="F119" s="1">
        <v>3850</v>
      </c>
      <c r="G119" s="1">
        <v>500</v>
      </c>
      <c r="I119" s="1">
        <v>14000</v>
      </c>
      <c r="J119" s="1">
        <v>1038002</v>
      </c>
      <c r="K119" s="1" t="s">
        <v>515</v>
      </c>
      <c r="L119" s="1" t="s">
        <v>513</v>
      </c>
      <c r="M119" s="1">
        <v>1</v>
      </c>
      <c r="N119" s="1">
        <v>0</v>
      </c>
      <c r="O119" s="1">
        <v>0</v>
      </c>
      <c r="R119" s="1" t="s">
        <v>60</v>
      </c>
      <c r="S119" s="1">
        <v>0</v>
      </c>
      <c r="T119" s="1">
        <v>1038002</v>
      </c>
      <c r="U119" s="1">
        <v>700</v>
      </c>
      <c r="V119" s="1">
        <v>1016</v>
      </c>
      <c r="W119" s="1" t="s">
        <v>517</v>
      </c>
      <c r="X119" s="1">
        <v>0</v>
      </c>
      <c r="Y119" s="1">
        <v>0</v>
      </c>
      <c r="Z119" s="1">
        <v>0</v>
      </c>
    </row>
    <row r="120" s="1" customFormat="1" spans="1:26">
      <c r="A120" s="1">
        <v>1038101</v>
      </c>
      <c r="B120" s="1" t="s">
        <v>518</v>
      </c>
      <c r="C120" s="1">
        <v>1</v>
      </c>
      <c r="D120" s="1">
        <v>1001</v>
      </c>
      <c r="E120" s="1">
        <v>350</v>
      </c>
      <c r="F120" s="1">
        <v>10000</v>
      </c>
      <c r="G120" s="1">
        <v>0</v>
      </c>
      <c r="I120" s="1">
        <v>1000</v>
      </c>
      <c r="J120" s="1">
        <v>0</v>
      </c>
      <c r="K120" s="1" t="s">
        <v>518</v>
      </c>
      <c r="L120" s="1" t="s">
        <v>518</v>
      </c>
      <c r="M120" s="1">
        <v>1</v>
      </c>
      <c r="N120" s="1">
        <v>0</v>
      </c>
      <c r="O120" s="1">
        <v>0</v>
      </c>
      <c r="R120" s="1" t="s">
        <v>227</v>
      </c>
      <c r="S120" s="1">
        <v>0</v>
      </c>
      <c r="T120" s="1">
        <v>0</v>
      </c>
      <c r="U120" s="11">
        <v>0</v>
      </c>
      <c r="V120" s="11">
        <v>1014</v>
      </c>
      <c r="W120" s="11">
        <v>600</v>
      </c>
      <c r="X120" s="1">
        <v>1038001</v>
      </c>
      <c r="Y120" s="1">
        <v>300</v>
      </c>
      <c r="Z120" s="1">
        <v>350</v>
      </c>
    </row>
    <row r="121" s="1" customFormat="1" spans="1:26">
      <c r="A121" s="1">
        <v>1038102</v>
      </c>
      <c r="B121" s="1" t="s">
        <v>519</v>
      </c>
      <c r="C121" s="1">
        <v>2</v>
      </c>
      <c r="D121" s="1">
        <v>2001</v>
      </c>
      <c r="E121" s="1">
        <v>350</v>
      </c>
      <c r="F121" s="1">
        <v>8500</v>
      </c>
      <c r="G121" s="1">
        <v>500</v>
      </c>
      <c r="I121" s="1">
        <v>14000</v>
      </c>
      <c r="J121" s="1">
        <v>1038002</v>
      </c>
      <c r="K121" s="1" t="s">
        <v>521</v>
      </c>
      <c r="L121" s="1" t="s">
        <v>519</v>
      </c>
      <c r="M121" s="1">
        <v>1</v>
      </c>
      <c r="N121" s="1">
        <v>0</v>
      </c>
      <c r="O121" s="1">
        <v>0</v>
      </c>
      <c r="R121" s="1" t="s">
        <v>60</v>
      </c>
      <c r="S121" s="1">
        <v>0</v>
      </c>
      <c r="T121" s="1">
        <v>1038002</v>
      </c>
      <c r="U121" s="11">
        <v>700</v>
      </c>
      <c r="V121" s="11">
        <v>1014</v>
      </c>
      <c r="W121" s="1" t="s">
        <v>517</v>
      </c>
      <c r="X121" s="1">
        <v>0</v>
      </c>
      <c r="Y121" s="1">
        <v>0</v>
      </c>
      <c r="Z121" s="1">
        <v>0</v>
      </c>
    </row>
    <row r="122" s="1" customFormat="1" spans="1:26">
      <c r="A122" s="1">
        <v>1039001</v>
      </c>
      <c r="B122" s="1" t="s">
        <v>523</v>
      </c>
      <c r="C122" s="1">
        <v>1</v>
      </c>
      <c r="D122" s="1">
        <v>1001</v>
      </c>
      <c r="E122" s="1">
        <v>350</v>
      </c>
      <c r="F122" s="1">
        <v>10000</v>
      </c>
      <c r="G122" s="1">
        <v>0</v>
      </c>
      <c r="I122" s="1">
        <v>1000</v>
      </c>
      <c r="J122" s="1">
        <v>0</v>
      </c>
      <c r="K122" s="1" t="s">
        <v>523</v>
      </c>
      <c r="L122" s="1" t="s">
        <v>523</v>
      </c>
      <c r="M122" s="1">
        <v>1</v>
      </c>
      <c r="N122" s="1">
        <v>0</v>
      </c>
      <c r="O122" s="1">
        <v>0</v>
      </c>
      <c r="R122" s="1" t="s">
        <v>227</v>
      </c>
      <c r="S122" s="1">
        <v>0</v>
      </c>
      <c r="T122" s="1">
        <v>0</v>
      </c>
      <c r="U122" s="11">
        <v>0</v>
      </c>
      <c r="V122" s="11">
        <v>1011</v>
      </c>
      <c r="W122" s="11">
        <v>700</v>
      </c>
      <c r="X122" s="1">
        <v>1039001</v>
      </c>
      <c r="Y122" s="1">
        <v>400</v>
      </c>
      <c r="Z122" s="1">
        <v>350</v>
      </c>
    </row>
    <row r="123" s="1" customFormat="1" spans="1:26">
      <c r="A123" s="1">
        <v>1039002</v>
      </c>
      <c r="B123" s="1" t="s">
        <v>63</v>
      </c>
      <c r="C123" s="1">
        <v>2</v>
      </c>
      <c r="D123" s="1">
        <v>2001</v>
      </c>
      <c r="E123" s="1">
        <v>350</v>
      </c>
      <c r="F123" s="1">
        <v>3000</v>
      </c>
      <c r="G123" s="1">
        <v>500</v>
      </c>
      <c r="I123" s="1">
        <v>18000</v>
      </c>
      <c r="J123" s="1">
        <v>1039002</v>
      </c>
      <c r="K123" s="1" t="s">
        <v>525</v>
      </c>
      <c r="L123" s="1" t="s">
        <v>63</v>
      </c>
      <c r="M123" s="1">
        <v>1</v>
      </c>
      <c r="N123" s="1">
        <v>0</v>
      </c>
      <c r="O123" s="1">
        <v>0</v>
      </c>
      <c r="R123" s="1" t="s">
        <v>60</v>
      </c>
      <c r="S123" s="1">
        <v>0</v>
      </c>
      <c r="T123" s="1">
        <v>1039002</v>
      </c>
      <c r="U123" s="11">
        <v>600</v>
      </c>
      <c r="V123" s="11">
        <v>1011</v>
      </c>
      <c r="W123" s="11" t="s">
        <v>527</v>
      </c>
      <c r="X123" s="1">
        <v>0</v>
      </c>
      <c r="Y123" s="1">
        <v>0</v>
      </c>
      <c r="Z123" s="1">
        <v>0</v>
      </c>
    </row>
    <row r="124" s="1" customFormat="1" spans="1:26">
      <c r="A124" s="1">
        <v>1039101</v>
      </c>
      <c r="B124" s="1" t="s">
        <v>528</v>
      </c>
      <c r="C124" s="1">
        <v>1</v>
      </c>
      <c r="D124" s="1">
        <v>1001</v>
      </c>
      <c r="E124" s="1">
        <v>350</v>
      </c>
      <c r="F124" s="1">
        <v>10000</v>
      </c>
      <c r="G124" s="1">
        <v>0</v>
      </c>
      <c r="I124" s="1">
        <v>1000</v>
      </c>
      <c r="J124" s="1">
        <v>0</v>
      </c>
      <c r="K124" s="1" t="s">
        <v>528</v>
      </c>
      <c r="L124" s="1" t="s">
        <v>528</v>
      </c>
      <c r="M124" s="1">
        <v>1</v>
      </c>
      <c r="N124" s="1">
        <v>0</v>
      </c>
      <c r="O124" s="1">
        <v>0</v>
      </c>
      <c r="R124" s="1" t="s">
        <v>227</v>
      </c>
      <c r="S124" s="1">
        <v>0</v>
      </c>
      <c r="T124" s="1">
        <v>0</v>
      </c>
      <c r="U124" s="11">
        <v>0</v>
      </c>
      <c r="V124" s="11">
        <v>1011</v>
      </c>
      <c r="W124" s="11">
        <v>700</v>
      </c>
      <c r="X124" s="1">
        <v>1039001</v>
      </c>
      <c r="Y124" s="1">
        <v>400</v>
      </c>
      <c r="Z124" s="1">
        <v>350</v>
      </c>
    </row>
    <row r="125" s="1" customFormat="1" spans="1:26">
      <c r="A125" s="1">
        <v>1039102</v>
      </c>
      <c r="B125" s="1" t="s">
        <v>529</v>
      </c>
      <c r="C125" s="1">
        <v>2</v>
      </c>
      <c r="D125" s="1">
        <v>2001</v>
      </c>
      <c r="E125" s="1">
        <v>350</v>
      </c>
      <c r="F125" s="1">
        <v>6000</v>
      </c>
      <c r="G125" s="1">
        <v>500</v>
      </c>
      <c r="I125" s="1">
        <v>18000</v>
      </c>
      <c r="J125" s="1">
        <v>1039002</v>
      </c>
      <c r="K125" s="1" t="s">
        <v>531</v>
      </c>
      <c r="L125" s="1" t="s">
        <v>529</v>
      </c>
      <c r="M125" s="1">
        <v>1</v>
      </c>
      <c r="N125" s="1">
        <v>0</v>
      </c>
      <c r="O125" s="1">
        <v>0</v>
      </c>
      <c r="R125" s="1" t="s">
        <v>60</v>
      </c>
      <c r="S125" s="1">
        <v>0</v>
      </c>
      <c r="T125" s="1">
        <v>1039102</v>
      </c>
      <c r="U125" s="11">
        <v>700</v>
      </c>
      <c r="V125" s="11">
        <v>1011</v>
      </c>
      <c r="W125" s="11" t="s">
        <v>533</v>
      </c>
      <c r="X125" s="1">
        <v>0</v>
      </c>
      <c r="Y125" s="1">
        <v>0</v>
      </c>
      <c r="Z125" s="1">
        <v>0</v>
      </c>
    </row>
    <row r="126" s="1" customFormat="1" spans="1:26">
      <c r="A126" s="1">
        <v>1039201</v>
      </c>
      <c r="B126" s="1" t="s">
        <v>534</v>
      </c>
      <c r="C126" s="1">
        <v>1</v>
      </c>
      <c r="D126" s="1">
        <v>1001</v>
      </c>
      <c r="E126" s="1">
        <v>350</v>
      </c>
      <c r="F126" s="1">
        <v>10000</v>
      </c>
      <c r="G126" s="1">
        <v>0</v>
      </c>
      <c r="I126" s="1">
        <v>1000</v>
      </c>
      <c r="J126" s="1">
        <v>0</v>
      </c>
      <c r="K126" s="1" t="s">
        <v>534</v>
      </c>
      <c r="L126" s="1" t="s">
        <v>534</v>
      </c>
      <c r="M126" s="1">
        <v>1</v>
      </c>
      <c r="N126" s="1">
        <v>0</v>
      </c>
      <c r="O126" s="1">
        <v>0</v>
      </c>
      <c r="R126" s="1" t="s">
        <v>227</v>
      </c>
      <c r="S126" s="1">
        <v>0</v>
      </c>
      <c r="T126" s="1">
        <v>0</v>
      </c>
      <c r="U126" s="11">
        <v>0</v>
      </c>
      <c r="V126" s="11">
        <v>1011</v>
      </c>
      <c r="W126" s="11">
        <v>700</v>
      </c>
      <c r="X126" s="1">
        <v>1039201</v>
      </c>
      <c r="Y126" s="1">
        <v>400</v>
      </c>
      <c r="Z126" s="1">
        <v>350</v>
      </c>
    </row>
    <row r="127" s="1" customFormat="1" spans="1:26">
      <c r="A127" s="1">
        <v>1039202</v>
      </c>
      <c r="B127" s="1" t="s">
        <v>535</v>
      </c>
      <c r="C127" s="1">
        <v>2</v>
      </c>
      <c r="D127" s="1">
        <v>2001</v>
      </c>
      <c r="E127" s="1">
        <v>350</v>
      </c>
      <c r="F127" s="1">
        <v>12000</v>
      </c>
      <c r="G127" s="1">
        <v>500</v>
      </c>
      <c r="I127" s="1">
        <v>18000</v>
      </c>
      <c r="J127" s="1">
        <v>1039202</v>
      </c>
      <c r="K127" s="1" t="s">
        <v>537</v>
      </c>
      <c r="L127" s="1" t="s">
        <v>535</v>
      </c>
      <c r="M127" s="1">
        <v>1</v>
      </c>
      <c r="N127" s="1">
        <v>0</v>
      </c>
      <c r="O127" s="1">
        <v>0</v>
      </c>
      <c r="R127" s="1" t="s">
        <v>60</v>
      </c>
      <c r="S127" s="1">
        <v>0</v>
      </c>
      <c r="T127" s="1">
        <v>1039202</v>
      </c>
      <c r="U127" s="11">
        <v>600</v>
      </c>
      <c r="V127" s="11">
        <v>1011</v>
      </c>
      <c r="W127" s="11" t="s">
        <v>527</v>
      </c>
      <c r="X127" s="1">
        <v>0</v>
      </c>
      <c r="Y127" s="1">
        <v>0</v>
      </c>
      <c r="Z127" s="1">
        <v>0</v>
      </c>
    </row>
    <row r="128" s="1" customFormat="1" spans="1:26">
      <c r="A128" s="1">
        <v>1041001</v>
      </c>
      <c r="B128" s="1" t="s">
        <v>539</v>
      </c>
      <c r="C128" s="1">
        <v>1</v>
      </c>
      <c r="D128">
        <v>1001</v>
      </c>
      <c r="E128" s="1">
        <v>350</v>
      </c>
      <c r="F128" s="1">
        <v>10000</v>
      </c>
      <c r="G128" s="1">
        <v>0</v>
      </c>
      <c r="I128" s="1">
        <v>1000</v>
      </c>
      <c r="J128" s="1">
        <v>0</v>
      </c>
      <c r="K128" s="1" t="s">
        <v>539</v>
      </c>
      <c r="L128" s="1" t="s">
        <v>539</v>
      </c>
      <c r="M128" s="1">
        <v>1</v>
      </c>
      <c r="N128" s="1">
        <v>0</v>
      </c>
      <c r="O128" s="1">
        <v>0</v>
      </c>
      <c r="R128" s="1" t="s">
        <v>227</v>
      </c>
      <c r="S128" s="1">
        <v>0</v>
      </c>
      <c r="T128" s="1">
        <v>0</v>
      </c>
      <c r="U128" s="1">
        <v>0</v>
      </c>
      <c r="V128" s="1">
        <v>1016</v>
      </c>
      <c r="W128" s="1">
        <v>800</v>
      </c>
      <c r="X128" s="1">
        <v>1041001</v>
      </c>
      <c r="Y128" s="1">
        <v>500</v>
      </c>
      <c r="Z128" s="1">
        <v>350</v>
      </c>
    </row>
    <row r="129" s="1" customFormat="1" spans="1:26">
      <c r="A129" s="1">
        <v>1041002</v>
      </c>
      <c r="B129" s="1" t="s">
        <v>92</v>
      </c>
      <c r="C129" s="1">
        <v>2</v>
      </c>
      <c r="D129" s="1">
        <v>2001</v>
      </c>
      <c r="E129" s="1">
        <v>350</v>
      </c>
      <c r="F129" s="1">
        <v>3600</v>
      </c>
      <c r="G129" s="1">
        <v>500</v>
      </c>
      <c r="I129" s="1">
        <v>7000</v>
      </c>
      <c r="J129" s="1">
        <v>1041002</v>
      </c>
      <c r="K129" s="1" t="s">
        <v>541</v>
      </c>
      <c r="L129" s="1" t="s">
        <v>92</v>
      </c>
      <c r="M129" s="1">
        <v>1</v>
      </c>
      <c r="N129" s="1">
        <v>0</v>
      </c>
      <c r="O129" s="1">
        <v>0</v>
      </c>
      <c r="R129" s="1" t="s">
        <v>60</v>
      </c>
      <c r="S129" s="1">
        <v>0</v>
      </c>
      <c r="T129" s="1">
        <v>1041002</v>
      </c>
      <c r="U129" s="1">
        <v>700</v>
      </c>
      <c r="V129" s="1">
        <v>1016</v>
      </c>
      <c r="W129" s="1" t="s">
        <v>543</v>
      </c>
      <c r="X129" s="1">
        <v>0</v>
      </c>
      <c r="Y129" s="1">
        <v>0</v>
      </c>
      <c r="Z129" s="1">
        <v>0</v>
      </c>
    </row>
    <row r="130" s="1" customFormat="1" spans="1:26">
      <c r="A130" s="1">
        <v>1041101</v>
      </c>
      <c r="B130" s="1" t="s">
        <v>544</v>
      </c>
      <c r="C130" s="1">
        <v>1</v>
      </c>
      <c r="D130">
        <v>1001</v>
      </c>
      <c r="E130" s="1">
        <v>350</v>
      </c>
      <c r="F130" s="1">
        <v>11000</v>
      </c>
      <c r="G130" s="1">
        <v>0</v>
      </c>
      <c r="I130" s="1">
        <v>1000</v>
      </c>
      <c r="J130" s="1">
        <v>0</v>
      </c>
      <c r="K130" s="1" t="s">
        <v>544</v>
      </c>
      <c r="L130" s="1" t="s">
        <v>544</v>
      </c>
      <c r="M130" s="1">
        <v>1</v>
      </c>
      <c r="N130" s="1">
        <v>0</v>
      </c>
      <c r="O130" s="1">
        <v>0</v>
      </c>
      <c r="R130" s="1" t="s">
        <v>227</v>
      </c>
      <c r="S130" s="1">
        <v>0</v>
      </c>
      <c r="T130" s="1">
        <v>0</v>
      </c>
      <c r="U130" s="1">
        <v>0</v>
      </c>
      <c r="V130" s="1">
        <v>1016</v>
      </c>
      <c r="W130" s="1">
        <v>700</v>
      </c>
      <c r="X130" s="1">
        <v>1041001</v>
      </c>
      <c r="Y130" s="1">
        <v>400</v>
      </c>
      <c r="Z130" s="1">
        <v>350</v>
      </c>
    </row>
    <row r="131" s="1" customFormat="1" spans="1:26">
      <c r="A131" s="1">
        <v>1041102</v>
      </c>
      <c r="B131" s="1" t="s">
        <v>545</v>
      </c>
      <c r="C131" s="1">
        <v>2</v>
      </c>
      <c r="D131" s="1">
        <v>2001</v>
      </c>
      <c r="E131" s="1">
        <v>350</v>
      </c>
      <c r="F131" s="1">
        <v>7000</v>
      </c>
      <c r="G131" s="1">
        <v>500</v>
      </c>
      <c r="I131" s="1">
        <v>7000</v>
      </c>
      <c r="J131" s="1">
        <v>1041002</v>
      </c>
      <c r="K131" s="1" t="s">
        <v>547</v>
      </c>
      <c r="L131" s="1" t="s">
        <v>545</v>
      </c>
      <c r="M131" s="1">
        <v>1</v>
      </c>
      <c r="N131" s="1">
        <v>0</v>
      </c>
      <c r="O131" s="1">
        <v>0</v>
      </c>
      <c r="R131" s="1" t="s">
        <v>60</v>
      </c>
      <c r="S131" s="1">
        <v>0</v>
      </c>
      <c r="T131" s="1">
        <v>1041002</v>
      </c>
      <c r="U131" s="1">
        <v>700</v>
      </c>
      <c r="V131" s="1">
        <v>1016</v>
      </c>
      <c r="W131" s="1" t="s">
        <v>543</v>
      </c>
      <c r="X131" s="1">
        <v>0</v>
      </c>
      <c r="Y131" s="1">
        <v>0</v>
      </c>
      <c r="Z131" s="1">
        <v>0</v>
      </c>
    </row>
    <row r="132" s="1" customFormat="1" spans="1:26">
      <c r="A132" s="1">
        <v>1042001</v>
      </c>
      <c r="B132" s="1" t="s">
        <v>549</v>
      </c>
      <c r="C132" s="1">
        <v>1</v>
      </c>
      <c r="D132" s="1">
        <v>1001</v>
      </c>
      <c r="E132" s="1">
        <v>350</v>
      </c>
      <c r="F132" s="1">
        <v>10000</v>
      </c>
      <c r="G132" s="1">
        <v>0</v>
      </c>
      <c r="I132" s="1">
        <v>1000</v>
      </c>
      <c r="J132" s="1">
        <v>0</v>
      </c>
      <c r="K132" s="1" t="s">
        <v>549</v>
      </c>
      <c r="L132" s="1" t="s">
        <v>549</v>
      </c>
      <c r="M132" s="1">
        <v>1</v>
      </c>
      <c r="N132" s="1">
        <v>0</v>
      </c>
      <c r="O132" s="1">
        <v>0</v>
      </c>
      <c r="R132" s="1" t="s">
        <v>227</v>
      </c>
      <c r="S132" s="1">
        <v>0</v>
      </c>
      <c r="T132" s="1">
        <v>0</v>
      </c>
      <c r="U132" s="11">
        <v>0</v>
      </c>
      <c r="V132" s="11">
        <v>1016</v>
      </c>
      <c r="W132" s="11">
        <v>700</v>
      </c>
      <c r="X132" s="1">
        <v>1042001</v>
      </c>
      <c r="Y132" s="1">
        <v>400</v>
      </c>
      <c r="Z132" s="1">
        <v>350</v>
      </c>
    </row>
    <row r="133" s="1" customFormat="1" spans="1:26">
      <c r="A133" s="1">
        <v>1042002</v>
      </c>
      <c r="B133" s="1" t="s">
        <v>550</v>
      </c>
      <c r="C133" s="1">
        <v>2</v>
      </c>
      <c r="D133" s="1">
        <v>2001</v>
      </c>
      <c r="E133" s="1">
        <v>350</v>
      </c>
      <c r="F133" s="1">
        <v>7000</v>
      </c>
      <c r="G133" s="1">
        <v>500</v>
      </c>
      <c r="I133" s="1">
        <v>18000</v>
      </c>
      <c r="J133" s="1">
        <v>1042002</v>
      </c>
      <c r="K133" s="1" t="s">
        <v>552</v>
      </c>
      <c r="L133" s="1" t="s">
        <v>550</v>
      </c>
      <c r="M133" s="1">
        <v>1</v>
      </c>
      <c r="N133" s="1">
        <v>0</v>
      </c>
      <c r="O133" s="1">
        <v>0</v>
      </c>
      <c r="R133" s="1" t="s">
        <v>60</v>
      </c>
      <c r="S133" s="1">
        <v>0</v>
      </c>
      <c r="T133" s="1">
        <v>1042002</v>
      </c>
      <c r="U133" s="11">
        <v>900</v>
      </c>
      <c r="V133" s="11">
        <v>1016</v>
      </c>
      <c r="W133" s="11" t="s">
        <v>973</v>
      </c>
      <c r="X133" s="1">
        <v>0</v>
      </c>
      <c r="Y133" s="1">
        <v>0</v>
      </c>
      <c r="Z133" s="1">
        <v>0</v>
      </c>
    </row>
    <row r="134" s="1" customFormat="1" spans="1:26">
      <c r="A134" s="1">
        <v>1042101</v>
      </c>
      <c r="B134" s="1" t="s">
        <v>554</v>
      </c>
      <c r="C134" s="1">
        <v>1</v>
      </c>
      <c r="D134" s="1">
        <v>1001</v>
      </c>
      <c r="E134" s="1">
        <v>350</v>
      </c>
      <c r="F134" s="1">
        <v>11000</v>
      </c>
      <c r="G134" s="1">
        <v>0</v>
      </c>
      <c r="I134" s="1">
        <v>1000</v>
      </c>
      <c r="J134" s="1">
        <v>0</v>
      </c>
      <c r="K134" s="1" t="s">
        <v>554</v>
      </c>
      <c r="L134" s="1" t="s">
        <v>554</v>
      </c>
      <c r="M134" s="1">
        <v>1</v>
      </c>
      <c r="N134" s="1">
        <v>0</v>
      </c>
      <c r="O134" s="1">
        <v>0</v>
      </c>
      <c r="R134" s="1" t="s">
        <v>227</v>
      </c>
      <c r="S134" s="1">
        <v>0</v>
      </c>
      <c r="T134" s="1">
        <v>0</v>
      </c>
      <c r="U134" s="11">
        <v>0</v>
      </c>
      <c r="V134" s="11">
        <v>1016</v>
      </c>
      <c r="W134" s="11">
        <v>700</v>
      </c>
      <c r="X134" s="1">
        <v>1042001</v>
      </c>
      <c r="Y134" s="1">
        <v>400</v>
      </c>
      <c r="Z134" s="1">
        <v>350</v>
      </c>
    </row>
    <row r="135" s="1" customFormat="1" spans="1:26">
      <c r="A135" s="1">
        <v>1042102</v>
      </c>
      <c r="B135" s="1" t="s">
        <v>555</v>
      </c>
      <c r="C135" s="1">
        <v>2</v>
      </c>
      <c r="D135" s="1">
        <v>2001</v>
      </c>
      <c r="E135" s="1">
        <v>350</v>
      </c>
      <c r="F135" s="1">
        <v>14000</v>
      </c>
      <c r="G135" s="1">
        <v>500</v>
      </c>
      <c r="I135" s="1">
        <v>18000</v>
      </c>
      <c r="J135" s="1">
        <v>1042002</v>
      </c>
      <c r="K135" s="1" t="s">
        <v>557</v>
      </c>
      <c r="L135" s="1" t="s">
        <v>555</v>
      </c>
      <c r="M135" s="1">
        <v>1</v>
      </c>
      <c r="N135" s="1">
        <v>0</v>
      </c>
      <c r="O135" s="1">
        <v>0</v>
      </c>
      <c r="R135" s="1" t="s">
        <v>60</v>
      </c>
      <c r="S135" s="1">
        <v>0</v>
      </c>
      <c r="T135" s="1">
        <v>1042002</v>
      </c>
      <c r="U135" s="11">
        <v>500</v>
      </c>
      <c r="V135" s="11">
        <v>1016</v>
      </c>
      <c r="W135" s="11" t="s">
        <v>559</v>
      </c>
      <c r="X135" s="1">
        <v>0</v>
      </c>
      <c r="Y135" s="1">
        <v>0</v>
      </c>
      <c r="Z135" s="1">
        <v>0</v>
      </c>
    </row>
    <row r="136" s="1" customFormat="1" spans="1:26">
      <c r="A136" s="1">
        <v>1045001</v>
      </c>
      <c r="B136" s="1" t="s">
        <v>560</v>
      </c>
      <c r="C136" s="1">
        <v>1</v>
      </c>
      <c r="D136">
        <v>1001</v>
      </c>
      <c r="E136" s="1">
        <v>350</v>
      </c>
      <c r="F136" s="1">
        <v>10000</v>
      </c>
      <c r="G136" s="1">
        <v>0</v>
      </c>
      <c r="I136" s="1">
        <v>1000</v>
      </c>
      <c r="J136" s="1">
        <v>0</v>
      </c>
      <c r="K136" s="1" t="s">
        <v>560</v>
      </c>
      <c r="L136" s="1" t="s">
        <v>560</v>
      </c>
      <c r="M136" s="1">
        <v>1</v>
      </c>
      <c r="N136" s="1">
        <v>0</v>
      </c>
      <c r="O136" s="1">
        <v>0</v>
      </c>
      <c r="R136" s="1" t="s">
        <v>227</v>
      </c>
      <c r="S136" s="1">
        <v>0</v>
      </c>
      <c r="T136" s="1">
        <v>0</v>
      </c>
      <c r="U136" s="1">
        <v>0</v>
      </c>
      <c r="V136" s="1">
        <v>1015</v>
      </c>
      <c r="W136" s="1">
        <v>700</v>
      </c>
      <c r="X136" s="1">
        <v>1045001</v>
      </c>
      <c r="Y136" s="1">
        <v>400</v>
      </c>
      <c r="Z136" s="1">
        <v>350</v>
      </c>
    </row>
    <row r="137" s="1" customFormat="1" spans="1:26">
      <c r="A137" s="1">
        <v>1045002</v>
      </c>
      <c r="B137" s="1" t="s">
        <v>561</v>
      </c>
      <c r="C137" s="1">
        <v>2</v>
      </c>
      <c r="D137" s="1">
        <v>2001</v>
      </c>
      <c r="E137" s="1">
        <v>350</v>
      </c>
      <c r="F137" s="1">
        <v>21000</v>
      </c>
      <c r="G137" s="1">
        <v>500</v>
      </c>
      <c r="I137" s="1">
        <v>15000</v>
      </c>
      <c r="J137" s="1">
        <v>1045002</v>
      </c>
      <c r="K137" s="1" t="s">
        <v>563</v>
      </c>
      <c r="L137" s="1" t="s">
        <v>561</v>
      </c>
      <c r="M137" s="1">
        <v>1</v>
      </c>
      <c r="N137" s="1">
        <v>0</v>
      </c>
      <c r="O137" s="1">
        <v>0</v>
      </c>
      <c r="R137" s="1" t="s">
        <v>60</v>
      </c>
      <c r="S137" s="1">
        <v>0</v>
      </c>
      <c r="T137" s="1">
        <v>1045002</v>
      </c>
      <c r="U137" s="1">
        <v>2000</v>
      </c>
      <c r="V137" s="1">
        <v>1015</v>
      </c>
      <c r="W137" s="1">
        <v>2650</v>
      </c>
      <c r="X137" s="1">
        <v>0</v>
      </c>
      <c r="Y137" s="1">
        <v>0</v>
      </c>
      <c r="Z137" s="1">
        <v>0</v>
      </c>
    </row>
    <row r="138" s="1" customFormat="1" spans="1:26">
      <c r="A138" s="1">
        <v>1045101</v>
      </c>
      <c r="B138" s="1" t="s">
        <v>565</v>
      </c>
      <c r="C138" s="1">
        <v>1</v>
      </c>
      <c r="D138">
        <v>1001</v>
      </c>
      <c r="E138" s="1">
        <v>350</v>
      </c>
      <c r="F138" s="1">
        <v>11000</v>
      </c>
      <c r="G138" s="1">
        <v>0</v>
      </c>
      <c r="I138" s="1">
        <v>1000</v>
      </c>
      <c r="J138" s="1">
        <v>0</v>
      </c>
      <c r="K138" s="1" t="s">
        <v>565</v>
      </c>
      <c r="L138" s="1" t="s">
        <v>565</v>
      </c>
      <c r="M138" s="1">
        <v>1</v>
      </c>
      <c r="N138" s="1">
        <v>0</v>
      </c>
      <c r="O138" s="1">
        <v>0</v>
      </c>
      <c r="R138" s="1" t="s">
        <v>227</v>
      </c>
      <c r="S138" s="1">
        <v>0</v>
      </c>
      <c r="T138" s="1">
        <v>0</v>
      </c>
      <c r="U138" s="1">
        <v>0</v>
      </c>
      <c r="V138" s="1">
        <v>1015</v>
      </c>
      <c r="W138" s="1">
        <v>700</v>
      </c>
      <c r="X138" s="1">
        <v>1045001</v>
      </c>
      <c r="Y138" s="1">
        <v>400</v>
      </c>
      <c r="Z138" s="1">
        <v>350</v>
      </c>
    </row>
    <row r="139" s="2" customFormat="1" spans="1:26">
      <c r="A139" s="2">
        <v>1045102</v>
      </c>
      <c r="B139" s="2" t="s">
        <v>213</v>
      </c>
      <c r="C139" s="2">
        <v>2</v>
      </c>
      <c r="D139" s="2">
        <v>2001</v>
      </c>
      <c r="E139" s="2">
        <v>350</v>
      </c>
      <c r="F139" s="2">
        <v>8000</v>
      </c>
      <c r="G139" s="2">
        <v>500</v>
      </c>
      <c r="I139" s="2">
        <v>15000</v>
      </c>
      <c r="J139" s="2">
        <v>1045102</v>
      </c>
      <c r="K139" s="2" t="s">
        <v>567</v>
      </c>
      <c r="L139" s="2" t="s">
        <v>213</v>
      </c>
      <c r="M139" s="2">
        <v>1</v>
      </c>
      <c r="N139" s="2">
        <v>0</v>
      </c>
      <c r="O139" s="2">
        <v>0</v>
      </c>
      <c r="R139" s="2" t="s">
        <v>60</v>
      </c>
      <c r="S139" s="2">
        <v>0</v>
      </c>
      <c r="T139" s="2">
        <v>1045102</v>
      </c>
      <c r="U139" s="2">
        <v>800</v>
      </c>
      <c r="V139" s="2">
        <v>1015</v>
      </c>
      <c r="W139" s="2" t="s">
        <v>569</v>
      </c>
      <c r="X139" s="2">
        <v>0</v>
      </c>
      <c r="Y139" s="2">
        <v>0</v>
      </c>
      <c r="Z139" s="2">
        <v>0</v>
      </c>
    </row>
    <row r="140" s="1" customFormat="1" spans="1:26">
      <c r="A140" s="1">
        <v>1046001</v>
      </c>
      <c r="B140" s="1" t="s">
        <v>570</v>
      </c>
      <c r="C140" s="1">
        <v>1</v>
      </c>
      <c r="D140">
        <v>1001</v>
      </c>
      <c r="E140" s="1">
        <v>350</v>
      </c>
      <c r="F140" s="1">
        <v>10000</v>
      </c>
      <c r="G140" s="1">
        <v>0</v>
      </c>
      <c r="I140" s="1">
        <v>1000</v>
      </c>
      <c r="J140" s="1">
        <v>0</v>
      </c>
      <c r="K140" s="1" t="s">
        <v>570</v>
      </c>
      <c r="L140" s="1" t="s">
        <v>570</v>
      </c>
      <c r="M140" s="1">
        <v>1</v>
      </c>
      <c r="N140" s="1">
        <v>0</v>
      </c>
      <c r="O140" s="1">
        <v>0</v>
      </c>
      <c r="R140" s="1" t="s">
        <v>227</v>
      </c>
      <c r="S140" s="1">
        <v>0</v>
      </c>
      <c r="T140" s="1">
        <v>0</v>
      </c>
      <c r="U140" s="1">
        <v>0</v>
      </c>
      <c r="V140" s="1">
        <v>1015</v>
      </c>
      <c r="W140" s="1">
        <v>800</v>
      </c>
      <c r="X140" s="1">
        <v>1046001</v>
      </c>
      <c r="Y140" s="1">
        <v>500</v>
      </c>
      <c r="Z140" s="1">
        <v>350</v>
      </c>
    </row>
    <row r="141" s="1" customFormat="1" spans="1:26">
      <c r="A141" s="1">
        <v>1046002</v>
      </c>
      <c r="B141" s="1" t="s">
        <v>571</v>
      </c>
      <c r="C141" s="1">
        <v>2</v>
      </c>
      <c r="D141" s="1">
        <v>2001</v>
      </c>
      <c r="E141" s="1">
        <v>350</v>
      </c>
      <c r="F141" s="1">
        <v>4800</v>
      </c>
      <c r="G141" s="1">
        <v>500</v>
      </c>
      <c r="I141" s="1">
        <v>15000</v>
      </c>
      <c r="J141" s="1">
        <v>1046002</v>
      </c>
      <c r="K141" s="1" t="s">
        <v>573</v>
      </c>
      <c r="L141" s="1" t="s">
        <v>571</v>
      </c>
      <c r="M141" s="1">
        <v>1</v>
      </c>
      <c r="N141" s="1">
        <v>0</v>
      </c>
      <c r="O141" s="1">
        <v>0</v>
      </c>
      <c r="R141" s="1" t="s">
        <v>60</v>
      </c>
      <c r="S141" s="1">
        <v>0</v>
      </c>
      <c r="T141" s="1">
        <v>1046002</v>
      </c>
      <c r="U141" s="1">
        <v>1000</v>
      </c>
      <c r="V141" s="1">
        <v>1015</v>
      </c>
      <c r="W141" s="1" t="s">
        <v>974</v>
      </c>
      <c r="X141" s="1">
        <v>0</v>
      </c>
      <c r="Y141" s="1">
        <v>0</v>
      </c>
      <c r="Z141" s="1">
        <v>0</v>
      </c>
    </row>
    <row r="142" s="1" customFormat="1" spans="1:26">
      <c r="A142" s="1">
        <v>1046101</v>
      </c>
      <c r="B142" s="1" t="s">
        <v>576</v>
      </c>
      <c r="C142" s="1">
        <v>1</v>
      </c>
      <c r="D142">
        <v>1001</v>
      </c>
      <c r="E142" s="1">
        <v>350</v>
      </c>
      <c r="F142" s="1">
        <v>11000</v>
      </c>
      <c r="G142" s="1">
        <v>0</v>
      </c>
      <c r="I142" s="1">
        <v>1000</v>
      </c>
      <c r="J142" s="1">
        <v>0</v>
      </c>
      <c r="K142" s="1" t="s">
        <v>576</v>
      </c>
      <c r="L142" s="1" t="s">
        <v>576</v>
      </c>
      <c r="M142" s="1">
        <v>1</v>
      </c>
      <c r="N142" s="1">
        <v>0</v>
      </c>
      <c r="O142" s="1">
        <v>0</v>
      </c>
      <c r="R142" s="1" t="s">
        <v>227</v>
      </c>
      <c r="S142" s="1">
        <v>0</v>
      </c>
      <c r="T142" s="1">
        <v>0</v>
      </c>
      <c r="U142" s="1">
        <v>0</v>
      </c>
      <c r="V142" s="1">
        <v>1015</v>
      </c>
      <c r="W142" s="1">
        <v>700</v>
      </c>
      <c r="X142" s="1">
        <v>1046001</v>
      </c>
      <c r="Y142" s="1">
        <v>400</v>
      </c>
      <c r="Z142" s="1">
        <v>350</v>
      </c>
    </row>
    <row r="143" s="1" customFormat="1" spans="1:26">
      <c r="A143" s="1">
        <v>1046102</v>
      </c>
      <c r="B143" s="1" t="s">
        <v>68</v>
      </c>
      <c r="C143" s="1">
        <v>2</v>
      </c>
      <c r="D143" s="1">
        <v>2001</v>
      </c>
      <c r="E143" s="1">
        <v>350</v>
      </c>
      <c r="F143" s="1">
        <v>9600</v>
      </c>
      <c r="G143" s="1">
        <v>500</v>
      </c>
      <c r="I143" s="1">
        <v>15000</v>
      </c>
      <c r="J143" s="1">
        <v>1046002</v>
      </c>
      <c r="K143" s="1" t="s">
        <v>578</v>
      </c>
      <c r="L143" s="1" t="s">
        <v>68</v>
      </c>
      <c r="M143" s="1">
        <v>1</v>
      </c>
      <c r="N143" s="1">
        <v>0</v>
      </c>
      <c r="O143" s="1">
        <v>0</v>
      </c>
      <c r="R143" s="1" t="s">
        <v>60</v>
      </c>
      <c r="S143" s="1">
        <v>0</v>
      </c>
      <c r="T143" s="1">
        <v>1046002</v>
      </c>
      <c r="U143" s="1">
        <v>800</v>
      </c>
      <c r="V143" s="1">
        <v>1015</v>
      </c>
      <c r="W143" s="1" t="s">
        <v>974</v>
      </c>
      <c r="X143" s="1">
        <v>0</v>
      </c>
      <c r="Y143" s="1">
        <v>0</v>
      </c>
      <c r="Z143" s="1">
        <v>0</v>
      </c>
    </row>
    <row r="144" s="1" customFormat="1" spans="1:26">
      <c r="A144" s="1">
        <v>1047001</v>
      </c>
      <c r="B144" s="1" t="s">
        <v>581</v>
      </c>
      <c r="C144" s="1">
        <v>1</v>
      </c>
      <c r="D144">
        <v>1001</v>
      </c>
      <c r="E144" s="1">
        <v>350</v>
      </c>
      <c r="F144" s="1">
        <v>10000</v>
      </c>
      <c r="G144" s="1">
        <v>0</v>
      </c>
      <c r="I144" s="1">
        <v>1000</v>
      </c>
      <c r="J144" s="1">
        <v>0</v>
      </c>
      <c r="K144" s="1" t="s">
        <v>581</v>
      </c>
      <c r="L144" s="1" t="s">
        <v>581</v>
      </c>
      <c r="M144" s="1">
        <v>1</v>
      </c>
      <c r="N144" s="1">
        <v>0</v>
      </c>
      <c r="O144" s="1">
        <v>0</v>
      </c>
      <c r="R144" s="1" t="s">
        <v>227</v>
      </c>
      <c r="S144" s="1">
        <v>0</v>
      </c>
      <c r="T144" s="1">
        <v>0</v>
      </c>
      <c r="U144" s="1">
        <v>0</v>
      </c>
      <c r="V144" s="1">
        <v>1015</v>
      </c>
      <c r="W144" s="1">
        <v>700</v>
      </c>
      <c r="X144" s="1">
        <v>1047001</v>
      </c>
      <c r="Y144" s="1">
        <v>400</v>
      </c>
      <c r="Z144" s="1">
        <v>350</v>
      </c>
    </row>
    <row r="145" s="1" customFormat="1" spans="1:26">
      <c r="A145" s="1">
        <v>1047002</v>
      </c>
      <c r="B145" s="1" t="s">
        <v>582</v>
      </c>
      <c r="C145" s="1">
        <v>2</v>
      </c>
      <c r="D145" s="1">
        <v>2001</v>
      </c>
      <c r="E145" s="1">
        <v>350</v>
      </c>
      <c r="F145" s="1">
        <v>5200</v>
      </c>
      <c r="G145" s="1">
        <v>500</v>
      </c>
      <c r="I145" s="1">
        <v>15000</v>
      </c>
      <c r="J145" s="1">
        <v>1047002</v>
      </c>
      <c r="K145" s="1" t="s">
        <v>584</v>
      </c>
      <c r="L145" s="1" t="s">
        <v>582</v>
      </c>
      <c r="M145" s="1">
        <v>1</v>
      </c>
      <c r="N145" s="1">
        <v>0</v>
      </c>
      <c r="O145" s="1">
        <v>0</v>
      </c>
      <c r="R145" s="1" t="s">
        <v>60</v>
      </c>
      <c r="S145" s="1">
        <v>0</v>
      </c>
      <c r="T145" s="1">
        <v>1047002</v>
      </c>
      <c r="U145" s="1">
        <v>500</v>
      </c>
      <c r="V145" s="1">
        <v>1015</v>
      </c>
      <c r="W145" s="1" t="s">
        <v>586</v>
      </c>
      <c r="X145" s="1">
        <v>0</v>
      </c>
      <c r="Y145" s="1">
        <v>0</v>
      </c>
      <c r="Z145" s="1">
        <v>0</v>
      </c>
    </row>
    <row r="146" s="1" customFormat="1" spans="1:26">
      <c r="A146" s="1">
        <v>1047101</v>
      </c>
      <c r="B146" s="1" t="s">
        <v>587</v>
      </c>
      <c r="C146" s="1">
        <v>1</v>
      </c>
      <c r="D146">
        <v>1001</v>
      </c>
      <c r="E146" s="1">
        <v>350</v>
      </c>
      <c r="F146" s="1">
        <v>10000</v>
      </c>
      <c r="G146" s="1">
        <v>0</v>
      </c>
      <c r="I146" s="1">
        <v>1000</v>
      </c>
      <c r="J146" s="1">
        <v>0</v>
      </c>
      <c r="K146" s="1" t="s">
        <v>587</v>
      </c>
      <c r="L146" s="1" t="s">
        <v>587</v>
      </c>
      <c r="M146" s="1">
        <v>1</v>
      </c>
      <c r="N146" s="1">
        <v>0</v>
      </c>
      <c r="O146" s="1">
        <v>0</v>
      </c>
      <c r="R146" s="1" t="s">
        <v>227</v>
      </c>
      <c r="S146" s="1">
        <v>0</v>
      </c>
      <c r="T146" s="1">
        <v>0</v>
      </c>
      <c r="U146" s="1">
        <v>0</v>
      </c>
      <c r="V146" s="1">
        <v>1015</v>
      </c>
      <c r="W146" s="1">
        <v>700</v>
      </c>
      <c r="X146" s="1">
        <v>1047001</v>
      </c>
      <c r="Y146" s="1">
        <v>400</v>
      </c>
      <c r="Z146" s="1">
        <v>350</v>
      </c>
    </row>
    <row r="147" s="1" customFormat="1" spans="1:26">
      <c r="A147" s="1">
        <v>1047102</v>
      </c>
      <c r="B147" s="1" t="s">
        <v>588</v>
      </c>
      <c r="C147" s="1">
        <v>2</v>
      </c>
      <c r="D147" s="1">
        <v>2001</v>
      </c>
      <c r="E147" s="1">
        <v>350</v>
      </c>
      <c r="F147" s="1">
        <v>10400</v>
      </c>
      <c r="G147" s="1">
        <v>500</v>
      </c>
      <c r="I147" s="1">
        <v>15000</v>
      </c>
      <c r="J147" s="1">
        <v>1047002</v>
      </c>
      <c r="K147" s="1" t="s">
        <v>590</v>
      </c>
      <c r="L147" s="1" t="s">
        <v>588</v>
      </c>
      <c r="M147" s="1">
        <v>1</v>
      </c>
      <c r="N147" s="1">
        <v>0</v>
      </c>
      <c r="O147" s="1">
        <v>0</v>
      </c>
      <c r="R147" s="1" t="s">
        <v>60</v>
      </c>
      <c r="S147" s="1">
        <v>0</v>
      </c>
      <c r="T147" s="1">
        <v>1047002</v>
      </c>
      <c r="U147" s="1">
        <v>900</v>
      </c>
      <c r="V147" s="1">
        <v>1015</v>
      </c>
      <c r="W147" s="1" t="s">
        <v>592</v>
      </c>
      <c r="X147" s="1">
        <v>0</v>
      </c>
      <c r="Y147" s="1">
        <v>0</v>
      </c>
      <c r="Z147" s="1">
        <v>0</v>
      </c>
    </row>
    <row r="148" s="1" customFormat="1" spans="1:26">
      <c r="A148" s="1">
        <v>1050001</v>
      </c>
      <c r="B148" s="1" t="s">
        <v>593</v>
      </c>
      <c r="C148" s="1">
        <v>1</v>
      </c>
      <c r="D148">
        <v>1001</v>
      </c>
      <c r="E148" s="1">
        <v>350</v>
      </c>
      <c r="F148" s="1">
        <v>10000</v>
      </c>
      <c r="G148" s="1">
        <v>0</v>
      </c>
      <c r="I148" s="1">
        <v>1000</v>
      </c>
      <c r="J148" s="1">
        <v>0</v>
      </c>
      <c r="K148" s="1" t="s">
        <v>593</v>
      </c>
      <c r="L148" s="1" t="s">
        <v>593</v>
      </c>
      <c r="M148" s="1">
        <v>1</v>
      </c>
      <c r="N148" s="1">
        <v>0</v>
      </c>
      <c r="O148" s="1">
        <v>0</v>
      </c>
      <c r="R148" s="1" t="s">
        <v>227</v>
      </c>
      <c r="S148" s="1">
        <v>0</v>
      </c>
      <c r="T148" s="1">
        <v>0</v>
      </c>
      <c r="U148" s="1">
        <v>0</v>
      </c>
      <c r="V148" s="1">
        <v>1012</v>
      </c>
      <c r="W148" s="1">
        <v>700</v>
      </c>
      <c r="X148" s="1">
        <v>1050001</v>
      </c>
      <c r="Y148" s="1">
        <v>400</v>
      </c>
      <c r="Z148" s="1">
        <v>350</v>
      </c>
    </row>
    <row r="149" s="1" customFormat="1" spans="1:26">
      <c r="A149" s="1">
        <v>1050002</v>
      </c>
      <c r="B149" s="1" t="s">
        <v>594</v>
      </c>
      <c r="C149" s="1">
        <v>2</v>
      </c>
      <c r="D149" s="1">
        <v>2001</v>
      </c>
      <c r="E149" s="1">
        <v>350</v>
      </c>
      <c r="F149" s="1">
        <v>2600</v>
      </c>
      <c r="G149" s="1">
        <v>500</v>
      </c>
      <c r="I149" s="1">
        <v>12000</v>
      </c>
      <c r="J149" s="1">
        <v>1050002</v>
      </c>
      <c r="K149" s="1" t="s">
        <v>596</v>
      </c>
      <c r="L149" s="1" t="s">
        <v>594</v>
      </c>
      <c r="M149" s="1">
        <v>1</v>
      </c>
      <c r="N149" s="1">
        <v>0</v>
      </c>
      <c r="O149" s="1">
        <v>0</v>
      </c>
      <c r="R149" s="1" t="s">
        <v>60</v>
      </c>
      <c r="S149" s="1">
        <v>0</v>
      </c>
      <c r="T149" s="1">
        <v>1050002</v>
      </c>
      <c r="U149" s="1">
        <v>1000</v>
      </c>
      <c r="V149" s="1">
        <v>1012</v>
      </c>
      <c r="W149" s="1" t="s">
        <v>598</v>
      </c>
      <c r="X149" s="1">
        <v>0</v>
      </c>
      <c r="Y149" s="1">
        <v>0</v>
      </c>
      <c r="Z149" s="1">
        <v>0</v>
      </c>
    </row>
    <row r="150" s="1" customFormat="1" spans="1:26">
      <c r="A150" s="1">
        <v>1050101</v>
      </c>
      <c r="B150" s="1" t="s">
        <v>599</v>
      </c>
      <c r="C150" s="1">
        <v>1</v>
      </c>
      <c r="D150">
        <v>1001</v>
      </c>
      <c r="E150" s="1">
        <v>350</v>
      </c>
      <c r="F150" s="1">
        <v>11000</v>
      </c>
      <c r="G150" s="1">
        <v>0</v>
      </c>
      <c r="I150" s="1">
        <v>1000</v>
      </c>
      <c r="J150" s="1">
        <v>0</v>
      </c>
      <c r="K150" s="1" t="s">
        <v>599</v>
      </c>
      <c r="L150" s="1" t="s">
        <v>599</v>
      </c>
      <c r="M150" s="1">
        <v>1</v>
      </c>
      <c r="N150" s="1">
        <v>0</v>
      </c>
      <c r="O150" s="1">
        <v>0</v>
      </c>
      <c r="R150" s="1" t="s">
        <v>227</v>
      </c>
      <c r="S150" s="1">
        <v>0</v>
      </c>
      <c r="T150" s="1">
        <v>0</v>
      </c>
      <c r="U150" s="1">
        <v>0</v>
      </c>
      <c r="V150" s="1">
        <v>1012</v>
      </c>
      <c r="W150" s="1">
        <v>700</v>
      </c>
      <c r="X150" s="1">
        <v>1050001</v>
      </c>
      <c r="Y150" s="1">
        <v>400</v>
      </c>
      <c r="Z150" s="1">
        <v>350</v>
      </c>
    </row>
    <row r="151" s="1" customFormat="1" spans="1:26">
      <c r="A151" s="1">
        <v>1050102</v>
      </c>
      <c r="B151" s="1" t="s">
        <v>600</v>
      </c>
      <c r="C151" s="1">
        <v>2</v>
      </c>
      <c r="D151" s="1">
        <v>2001</v>
      </c>
      <c r="E151" s="1">
        <v>350</v>
      </c>
      <c r="F151" s="1">
        <v>4800</v>
      </c>
      <c r="G151" s="1">
        <v>500</v>
      </c>
      <c r="I151" s="1">
        <v>12000</v>
      </c>
      <c r="J151" s="1">
        <v>1050002</v>
      </c>
      <c r="K151" s="1" t="s">
        <v>602</v>
      </c>
      <c r="L151" s="1" t="s">
        <v>600</v>
      </c>
      <c r="M151" s="1">
        <v>1</v>
      </c>
      <c r="N151" s="1">
        <v>0</v>
      </c>
      <c r="O151" s="1">
        <v>0</v>
      </c>
      <c r="R151" s="1" t="s">
        <v>60</v>
      </c>
      <c r="S151" s="1">
        <v>0</v>
      </c>
      <c r="T151" s="1">
        <v>1050002</v>
      </c>
      <c r="U151" s="1">
        <v>400</v>
      </c>
      <c r="V151" s="1">
        <v>1012</v>
      </c>
      <c r="W151" s="1" t="s">
        <v>604</v>
      </c>
      <c r="X151" s="1">
        <v>0</v>
      </c>
      <c r="Y151" s="1">
        <v>0</v>
      </c>
      <c r="Z151" s="1">
        <v>0</v>
      </c>
    </row>
    <row r="152" s="1" customFormat="1" spans="1:26">
      <c r="A152" s="1">
        <v>1051001</v>
      </c>
      <c r="B152" s="1" t="s">
        <v>605</v>
      </c>
      <c r="C152" s="1">
        <v>1</v>
      </c>
      <c r="D152">
        <v>1001</v>
      </c>
      <c r="E152" s="1">
        <v>350</v>
      </c>
      <c r="F152" s="1">
        <v>10000</v>
      </c>
      <c r="G152" s="1">
        <v>0</v>
      </c>
      <c r="I152" s="1">
        <v>1000</v>
      </c>
      <c r="J152" s="1">
        <v>0</v>
      </c>
      <c r="K152" s="1" t="s">
        <v>605</v>
      </c>
      <c r="L152" s="1" t="s">
        <v>605</v>
      </c>
      <c r="M152" s="1">
        <v>1</v>
      </c>
      <c r="N152" s="1">
        <v>0</v>
      </c>
      <c r="O152" s="1">
        <v>0</v>
      </c>
      <c r="R152" s="1" t="s">
        <v>227</v>
      </c>
      <c r="S152" s="1">
        <v>0</v>
      </c>
      <c r="T152" s="1">
        <v>0</v>
      </c>
      <c r="U152" s="1">
        <v>0</v>
      </c>
      <c r="V152" s="1">
        <v>1015</v>
      </c>
      <c r="W152" s="1">
        <v>700</v>
      </c>
      <c r="X152" s="1">
        <v>1051001</v>
      </c>
      <c r="Y152" s="1">
        <v>400</v>
      </c>
      <c r="Z152" s="1">
        <v>350</v>
      </c>
    </row>
    <row r="153" s="1" customFormat="1" spans="1:26">
      <c r="A153" s="1">
        <v>1051002</v>
      </c>
      <c r="B153" s="1" t="s">
        <v>606</v>
      </c>
      <c r="C153" s="1">
        <v>2</v>
      </c>
      <c r="D153" s="1">
        <v>2001</v>
      </c>
      <c r="E153" s="1">
        <v>350</v>
      </c>
      <c r="F153" s="1">
        <v>3000</v>
      </c>
      <c r="G153" s="1">
        <v>500</v>
      </c>
      <c r="I153" s="1">
        <v>15000</v>
      </c>
      <c r="J153" s="1">
        <v>1051002</v>
      </c>
      <c r="K153" s="1" t="s">
        <v>608</v>
      </c>
      <c r="L153" s="1" t="s">
        <v>606</v>
      </c>
      <c r="M153" s="1">
        <v>1</v>
      </c>
      <c r="N153" s="1">
        <v>0</v>
      </c>
      <c r="O153" s="1">
        <v>0</v>
      </c>
      <c r="R153" s="1" t="s">
        <v>60</v>
      </c>
      <c r="S153" s="1">
        <v>0</v>
      </c>
      <c r="T153" s="1">
        <v>1051002</v>
      </c>
      <c r="U153" s="1">
        <v>700</v>
      </c>
      <c r="V153" s="1">
        <v>1015</v>
      </c>
      <c r="W153" s="1" t="s">
        <v>610</v>
      </c>
      <c r="X153" s="1">
        <v>0</v>
      </c>
      <c r="Y153" s="1">
        <v>0</v>
      </c>
      <c r="Z153" s="1">
        <v>0</v>
      </c>
    </row>
    <row r="154" s="1" customFormat="1" spans="1:26">
      <c r="A154" s="1">
        <v>1051101</v>
      </c>
      <c r="B154" s="1" t="s">
        <v>611</v>
      </c>
      <c r="C154" s="1">
        <v>1</v>
      </c>
      <c r="D154">
        <v>1001</v>
      </c>
      <c r="E154" s="1">
        <v>350</v>
      </c>
      <c r="F154" s="1">
        <v>11000</v>
      </c>
      <c r="G154" s="1">
        <v>0</v>
      </c>
      <c r="I154" s="1">
        <v>1000</v>
      </c>
      <c r="J154" s="1">
        <v>0</v>
      </c>
      <c r="K154" s="1" t="s">
        <v>611</v>
      </c>
      <c r="L154" s="1" t="s">
        <v>611</v>
      </c>
      <c r="M154" s="1">
        <v>1</v>
      </c>
      <c r="N154" s="1">
        <v>0</v>
      </c>
      <c r="O154" s="1">
        <v>0</v>
      </c>
      <c r="R154" s="1" t="s">
        <v>227</v>
      </c>
      <c r="S154" s="1">
        <v>0</v>
      </c>
      <c r="T154" s="1">
        <v>0</v>
      </c>
      <c r="U154" s="1">
        <v>0</v>
      </c>
      <c r="V154" s="1">
        <v>1015</v>
      </c>
      <c r="W154" s="1">
        <v>700</v>
      </c>
      <c r="X154" s="1">
        <v>1051001</v>
      </c>
      <c r="Y154" s="1">
        <v>400</v>
      </c>
      <c r="Z154" s="1">
        <v>350</v>
      </c>
    </row>
    <row r="155" s="1" customFormat="1" spans="1:26">
      <c r="A155" s="1">
        <v>1051102</v>
      </c>
      <c r="B155" s="1" t="s">
        <v>97</v>
      </c>
      <c r="C155" s="1">
        <v>2</v>
      </c>
      <c r="D155" s="1">
        <v>2001</v>
      </c>
      <c r="E155" s="1">
        <v>350</v>
      </c>
      <c r="F155" s="1">
        <v>6000</v>
      </c>
      <c r="G155" s="1">
        <v>500</v>
      </c>
      <c r="I155" s="1">
        <v>15000</v>
      </c>
      <c r="J155" s="1">
        <v>1051002</v>
      </c>
      <c r="K155" s="1" t="s">
        <v>613</v>
      </c>
      <c r="L155" s="1" t="s">
        <v>97</v>
      </c>
      <c r="M155" s="1">
        <v>1</v>
      </c>
      <c r="N155" s="1">
        <v>0</v>
      </c>
      <c r="O155" s="1">
        <v>0</v>
      </c>
      <c r="R155" s="1" t="s">
        <v>60</v>
      </c>
      <c r="S155" s="1">
        <v>0</v>
      </c>
      <c r="T155" s="1">
        <v>1051002</v>
      </c>
      <c r="U155" s="1">
        <v>700</v>
      </c>
      <c r="V155" s="1">
        <v>1015</v>
      </c>
      <c r="W155" s="1" t="s">
        <v>610</v>
      </c>
      <c r="X155" s="1">
        <v>0</v>
      </c>
      <c r="Y155" s="1">
        <v>0</v>
      </c>
      <c r="Z155" s="1">
        <v>0</v>
      </c>
    </row>
    <row r="156" s="1" customFormat="1" spans="1:26">
      <c r="A156" s="1">
        <v>1051201</v>
      </c>
      <c r="B156" s="1" t="s">
        <v>615</v>
      </c>
      <c r="C156" s="1">
        <v>1</v>
      </c>
      <c r="D156">
        <v>1001</v>
      </c>
      <c r="E156" s="1">
        <v>350</v>
      </c>
      <c r="F156" s="1">
        <v>11000</v>
      </c>
      <c r="G156" s="1">
        <v>0</v>
      </c>
      <c r="I156" s="1">
        <v>1000</v>
      </c>
      <c r="J156" s="1">
        <v>0</v>
      </c>
      <c r="K156" s="1" t="s">
        <v>615</v>
      </c>
      <c r="L156" s="1" t="s">
        <v>615</v>
      </c>
      <c r="M156" s="1">
        <v>1</v>
      </c>
      <c r="N156" s="1">
        <v>0</v>
      </c>
      <c r="O156" s="1">
        <v>0</v>
      </c>
      <c r="R156" s="1" t="s">
        <v>227</v>
      </c>
      <c r="S156" s="1">
        <v>0</v>
      </c>
      <c r="T156" s="1">
        <v>0</v>
      </c>
      <c r="U156" s="1">
        <v>0</v>
      </c>
      <c r="V156" s="1">
        <v>1015</v>
      </c>
      <c r="W156" s="1">
        <v>700</v>
      </c>
      <c r="X156" s="1">
        <v>1051001</v>
      </c>
      <c r="Y156" s="1">
        <v>400</v>
      </c>
      <c r="Z156" s="1">
        <v>350</v>
      </c>
    </row>
    <row r="157" s="1" customFormat="1" spans="1:26">
      <c r="A157" s="1">
        <v>1051202</v>
      </c>
      <c r="B157" s="1" t="s">
        <v>616</v>
      </c>
      <c r="C157" s="1">
        <v>2</v>
      </c>
      <c r="D157" s="1">
        <v>2001</v>
      </c>
      <c r="E157" s="1">
        <v>350</v>
      </c>
      <c r="F157" s="1">
        <v>12000</v>
      </c>
      <c r="G157" s="1">
        <v>500</v>
      </c>
      <c r="I157" s="1">
        <v>15000</v>
      </c>
      <c r="J157" s="1">
        <v>1051202</v>
      </c>
      <c r="K157" s="1" t="s">
        <v>618</v>
      </c>
      <c r="L157" s="1" t="s">
        <v>616</v>
      </c>
      <c r="M157" s="1">
        <v>1</v>
      </c>
      <c r="N157" s="1">
        <v>0</v>
      </c>
      <c r="O157" s="1">
        <v>0</v>
      </c>
      <c r="R157" s="1" t="s">
        <v>60</v>
      </c>
      <c r="S157" s="1">
        <v>0</v>
      </c>
      <c r="T157" s="1">
        <v>1051202</v>
      </c>
      <c r="U157" s="1">
        <v>500</v>
      </c>
      <c r="V157" s="1">
        <v>1015</v>
      </c>
      <c r="W157" s="1" t="s">
        <v>620</v>
      </c>
      <c r="X157" s="1">
        <v>0</v>
      </c>
      <c r="Y157" s="1">
        <v>0</v>
      </c>
      <c r="Z157" s="1">
        <v>0</v>
      </c>
    </row>
    <row r="158" s="1" customFormat="1" spans="1:26">
      <c r="A158" s="1">
        <v>1052001</v>
      </c>
      <c r="B158" s="1" t="s">
        <v>621</v>
      </c>
      <c r="C158" s="1">
        <v>1</v>
      </c>
      <c r="D158">
        <v>1001</v>
      </c>
      <c r="E158" s="1">
        <v>350</v>
      </c>
      <c r="F158" s="1">
        <v>10000</v>
      </c>
      <c r="G158" s="1">
        <v>0</v>
      </c>
      <c r="I158" s="1">
        <v>1000</v>
      </c>
      <c r="J158" s="1">
        <v>0</v>
      </c>
      <c r="K158" s="1" t="s">
        <v>621</v>
      </c>
      <c r="L158" s="1" t="s">
        <v>621</v>
      </c>
      <c r="M158" s="1">
        <v>1</v>
      </c>
      <c r="N158" s="1">
        <v>0</v>
      </c>
      <c r="O158" s="1">
        <v>0</v>
      </c>
      <c r="R158" s="1" t="s">
        <v>227</v>
      </c>
      <c r="S158" s="1">
        <v>0</v>
      </c>
      <c r="T158" s="1">
        <v>0</v>
      </c>
      <c r="U158" s="1">
        <v>0</v>
      </c>
      <c r="V158" s="1">
        <v>1015</v>
      </c>
      <c r="W158" s="1">
        <v>700</v>
      </c>
      <c r="X158" s="1">
        <v>1052001</v>
      </c>
      <c r="Y158" s="1">
        <v>400</v>
      </c>
      <c r="Z158" s="1">
        <v>350</v>
      </c>
    </row>
    <row r="159" s="1" customFormat="1" spans="1:26">
      <c r="A159" s="1">
        <v>1052002</v>
      </c>
      <c r="B159" s="1" t="s">
        <v>622</v>
      </c>
      <c r="C159" s="1">
        <v>2</v>
      </c>
      <c r="D159" s="1">
        <v>2001</v>
      </c>
      <c r="E159" s="1">
        <v>350</v>
      </c>
      <c r="F159" s="1">
        <v>21000</v>
      </c>
      <c r="G159" s="1">
        <v>500</v>
      </c>
      <c r="I159" s="1">
        <v>15000</v>
      </c>
      <c r="J159" s="1">
        <v>1052002</v>
      </c>
      <c r="K159" s="1" t="s">
        <v>624</v>
      </c>
      <c r="L159" s="1" t="s">
        <v>622</v>
      </c>
      <c r="M159" s="1">
        <v>1</v>
      </c>
      <c r="N159" s="1">
        <v>0</v>
      </c>
      <c r="O159" s="1">
        <v>0</v>
      </c>
      <c r="R159" s="1" t="s">
        <v>60</v>
      </c>
      <c r="S159" s="1">
        <v>0</v>
      </c>
      <c r="T159" s="1">
        <v>1052002</v>
      </c>
      <c r="U159" s="1">
        <v>0</v>
      </c>
      <c r="V159" s="1">
        <v>1015</v>
      </c>
      <c r="W159" s="1">
        <v>700</v>
      </c>
      <c r="X159" s="1">
        <v>0</v>
      </c>
      <c r="Y159" s="1">
        <v>0</v>
      </c>
      <c r="Z159" s="1">
        <v>0</v>
      </c>
    </row>
    <row r="160" s="1" customFormat="1" spans="1:26">
      <c r="A160" s="1">
        <v>1052101</v>
      </c>
      <c r="B160" s="1" t="s">
        <v>626</v>
      </c>
      <c r="C160" s="1">
        <v>1</v>
      </c>
      <c r="D160">
        <v>1001</v>
      </c>
      <c r="E160" s="1">
        <v>350</v>
      </c>
      <c r="F160" s="1">
        <v>11000</v>
      </c>
      <c r="G160" s="1">
        <v>0</v>
      </c>
      <c r="I160" s="1">
        <v>1000</v>
      </c>
      <c r="J160" s="1">
        <v>0</v>
      </c>
      <c r="K160" s="1" t="s">
        <v>626</v>
      </c>
      <c r="L160" s="1" t="s">
        <v>626</v>
      </c>
      <c r="M160" s="1">
        <v>1</v>
      </c>
      <c r="N160" s="1">
        <v>0</v>
      </c>
      <c r="O160" s="1">
        <v>0</v>
      </c>
      <c r="R160" s="1" t="s">
        <v>227</v>
      </c>
      <c r="S160" s="1">
        <v>0</v>
      </c>
      <c r="T160" s="1">
        <v>0</v>
      </c>
      <c r="U160" s="1">
        <v>0</v>
      </c>
      <c r="V160" s="1">
        <v>1015</v>
      </c>
      <c r="W160" s="1">
        <v>700</v>
      </c>
      <c r="X160" s="1">
        <v>1052001</v>
      </c>
      <c r="Y160" s="1">
        <v>400</v>
      </c>
      <c r="Z160" s="1">
        <v>350</v>
      </c>
    </row>
    <row r="161" s="1" customFormat="1" spans="1:26">
      <c r="A161" s="1">
        <v>1052102</v>
      </c>
      <c r="B161" s="1" t="s">
        <v>173</v>
      </c>
      <c r="C161" s="1">
        <v>2</v>
      </c>
      <c r="D161" s="1">
        <v>2001</v>
      </c>
      <c r="E161" s="1">
        <v>350</v>
      </c>
      <c r="F161" s="1">
        <v>11000</v>
      </c>
      <c r="G161" s="1">
        <v>500</v>
      </c>
      <c r="I161" s="1">
        <v>15000</v>
      </c>
      <c r="J161" s="1">
        <v>1052102</v>
      </c>
      <c r="K161" s="1" t="s">
        <v>628</v>
      </c>
      <c r="L161" s="1" t="s">
        <v>173</v>
      </c>
      <c r="M161" s="1">
        <v>1</v>
      </c>
      <c r="N161" s="1">
        <v>0</v>
      </c>
      <c r="O161" s="1">
        <v>0</v>
      </c>
      <c r="R161" s="1" t="s">
        <v>60</v>
      </c>
      <c r="S161" s="1">
        <v>0</v>
      </c>
      <c r="T161" s="1">
        <v>1052102</v>
      </c>
      <c r="U161" s="1">
        <v>0</v>
      </c>
      <c r="V161" s="1">
        <v>1015</v>
      </c>
      <c r="W161" s="1" t="s">
        <v>630</v>
      </c>
      <c r="X161" s="1">
        <v>0</v>
      </c>
      <c r="Y161" s="1">
        <v>0</v>
      </c>
      <c r="Z161" s="1">
        <v>0</v>
      </c>
    </row>
    <row r="162" s="1" customFormat="1" spans="1:26">
      <c r="A162" s="1">
        <v>1052201</v>
      </c>
      <c r="B162" s="1" t="s">
        <v>631</v>
      </c>
      <c r="C162" s="1">
        <v>1</v>
      </c>
      <c r="D162">
        <v>1001</v>
      </c>
      <c r="E162" s="1">
        <v>350</v>
      </c>
      <c r="F162" s="1">
        <v>11000</v>
      </c>
      <c r="G162" s="1">
        <v>0</v>
      </c>
      <c r="I162" s="1">
        <v>1000</v>
      </c>
      <c r="J162" s="1">
        <v>0</v>
      </c>
      <c r="K162" s="1" t="s">
        <v>631</v>
      </c>
      <c r="L162" s="1" t="s">
        <v>631</v>
      </c>
      <c r="M162" s="1">
        <v>1</v>
      </c>
      <c r="N162" s="1">
        <v>0</v>
      </c>
      <c r="O162" s="1">
        <v>0</v>
      </c>
      <c r="R162" s="1" t="s">
        <v>227</v>
      </c>
      <c r="S162" s="1">
        <v>0</v>
      </c>
      <c r="T162" s="1">
        <v>0</v>
      </c>
      <c r="U162" s="1">
        <v>0</v>
      </c>
      <c r="V162" s="1">
        <v>1015</v>
      </c>
      <c r="W162" s="1">
        <v>700</v>
      </c>
      <c r="X162" s="1">
        <v>1052001</v>
      </c>
      <c r="Y162" s="1">
        <v>400</v>
      </c>
      <c r="Z162" s="1">
        <v>350</v>
      </c>
    </row>
    <row r="163" s="1" customFormat="1" spans="1:26">
      <c r="A163" s="1">
        <v>1052202</v>
      </c>
      <c r="B163" s="1" t="s">
        <v>223</v>
      </c>
      <c r="C163" s="1">
        <v>2</v>
      </c>
      <c r="D163" s="1">
        <v>2001</v>
      </c>
      <c r="E163" s="1">
        <v>350</v>
      </c>
      <c r="F163" s="1">
        <v>84000</v>
      </c>
      <c r="G163" s="1">
        <v>500</v>
      </c>
      <c r="I163" s="1">
        <v>17000</v>
      </c>
      <c r="J163" s="1">
        <v>1052202</v>
      </c>
      <c r="K163" s="1" t="s">
        <v>633</v>
      </c>
      <c r="L163" s="1" t="s">
        <v>223</v>
      </c>
      <c r="M163" s="1">
        <v>1</v>
      </c>
      <c r="N163" s="1">
        <v>0</v>
      </c>
      <c r="O163" s="1">
        <v>0</v>
      </c>
      <c r="R163" s="1" t="s">
        <v>60</v>
      </c>
      <c r="S163" s="1">
        <v>0</v>
      </c>
      <c r="T163" s="1">
        <v>1052202</v>
      </c>
      <c r="U163" s="1">
        <v>100</v>
      </c>
      <c r="V163" s="1">
        <v>1015</v>
      </c>
      <c r="W163" s="1">
        <v>1000</v>
      </c>
      <c r="X163" s="1">
        <v>0</v>
      </c>
      <c r="Y163" s="1">
        <v>0</v>
      </c>
      <c r="Z163" s="1">
        <v>0</v>
      </c>
    </row>
    <row r="164" s="1" customFormat="1" spans="1:26">
      <c r="A164" s="1">
        <v>1053001</v>
      </c>
      <c r="B164" s="1" t="s">
        <v>635</v>
      </c>
      <c r="C164" s="1">
        <v>1</v>
      </c>
      <c r="D164">
        <v>1001</v>
      </c>
      <c r="E164" s="1">
        <v>350</v>
      </c>
      <c r="F164" s="1">
        <v>10000</v>
      </c>
      <c r="G164" s="1">
        <v>0</v>
      </c>
      <c r="I164" s="1">
        <v>1000</v>
      </c>
      <c r="J164" s="1">
        <v>0</v>
      </c>
      <c r="K164" s="1" t="s">
        <v>635</v>
      </c>
      <c r="L164" s="1" t="s">
        <v>635</v>
      </c>
      <c r="M164" s="1">
        <v>1</v>
      </c>
      <c r="N164" s="1">
        <v>0</v>
      </c>
      <c r="O164" s="1">
        <v>0</v>
      </c>
      <c r="R164" s="1" t="s">
        <v>227</v>
      </c>
      <c r="S164" s="1">
        <v>0</v>
      </c>
      <c r="T164" s="1">
        <v>0</v>
      </c>
      <c r="U164" s="1">
        <v>0</v>
      </c>
      <c r="V164" s="1">
        <v>1015</v>
      </c>
      <c r="W164" s="1">
        <v>700</v>
      </c>
      <c r="X164" s="1">
        <v>1053001</v>
      </c>
      <c r="Y164" s="1">
        <v>400</v>
      </c>
      <c r="Z164" s="1">
        <v>350</v>
      </c>
    </row>
    <row r="165" s="1" customFormat="1" spans="1:26">
      <c r="A165" s="1">
        <v>1053002</v>
      </c>
      <c r="B165" s="1" t="s">
        <v>144</v>
      </c>
      <c r="C165" s="1">
        <v>2</v>
      </c>
      <c r="D165" s="1">
        <v>2001</v>
      </c>
      <c r="E165" s="1">
        <v>350</v>
      </c>
      <c r="F165" s="1">
        <v>3500</v>
      </c>
      <c r="G165" s="1">
        <v>500</v>
      </c>
      <c r="I165" s="1">
        <v>15000</v>
      </c>
      <c r="J165" s="1">
        <v>1053002</v>
      </c>
      <c r="K165" s="1" t="s">
        <v>637</v>
      </c>
      <c r="L165" s="1" t="s">
        <v>144</v>
      </c>
      <c r="M165" s="1">
        <v>1</v>
      </c>
      <c r="N165" s="1">
        <v>0</v>
      </c>
      <c r="O165" s="1">
        <v>0</v>
      </c>
      <c r="R165" s="1" t="s">
        <v>60</v>
      </c>
      <c r="S165" s="1">
        <v>0</v>
      </c>
      <c r="T165" s="1">
        <v>1053002</v>
      </c>
      <c r="U165" s="1">
        <v>1000</v>
      </c>
      <c r="V165" s="1">
        <v>1015</v>
      </c>
      <c r="W165" s="1" t="s">
        <v>639</v>
      </c>
      <c r="X165" s="1">
        <v>0</v>
      </c>
      <c r="Y165" s="1">
        <v>0</v>
      </c>
      <c r="Z165" s="1">
        <v>0</v>
      </c>
    </row>
    <row r="166" s="1" customFormat="1" spans="1:26">
      <c r="A166" s="1">
        <v>1053101</v>
      </c>
      <c r="B166" s="1" t="s">
        <v>640</v>
      </c>
      <c r="C166" s="1">
        <v>1</v>
      </c>
      <c r="D166">
        <v>1001</v>
      </c>
      <c r="E166" s="1">
        <v>350</v>
      </c>
      <c r="F166" s="1">
        <v>11000</v>
      </c>
      <c r="G166" s="1">
        <v>0</v>
      </c>
      <c r="I166" s="1">
        <v>1000</v>
      </c>
      <c r="J166" s="1">
        <v>0</v>
      </c>
      <c r="K166" s="1" t="s">
        <v>640</v>
      </c>
      <c r="L166" s="1" t="s">
        <v>640</v>
      </c>
      <c r="M166" s="1">
        <v>1</v>
      </c>
      <c r="N166" s="1">
        <v>0</v>
      </c>
      <c r="O166" s="1">
        <v>0</v>
      </c>
      <c r="R166" s="1" t="s">
        <v>227</v>
      </c>
      <c r="S166" s="1">
        <v>0</v>
      </c>
      <c r="T166" s="1">
        <v>0</v>
      </c>
      <c r="U166" s="1">
        <v>0</v>
      </c>
      <c r="V166" s="1">
        <v>1015</v>
      </c>
      <c r="W166" s="1">
        <v>700</v>
      </c>
      <c r="X166" s="1">
        <v>1053001</v>
      </c>
      <c r="Y166" s="1">
        <v>400</v>
      </c>
      <c r="Z166" s="1">
        <v>350</v>
      </c>
    </row>
    <row r="167" s="1" customFormat="1" spans="1:26">
      <c r="A167" s="1">
        <v>1053102</v>
      </c>
      <c r="B167" s="1" t="s">
        <v>641</v>
      </c>
      <c r="C167" s="1">
        <v>2</v>
      </c>
      <c r="D167" s="1">
        <v>2001</v>
      </c>
      <c r="E167" s="1">
        <v>350</v>
      </c>
      <c r="F167" s="1">
        <v>7000</v>
      </c>
      <c r="G167" s="1">
        <v>500</v>
      </c>
      <c r="I167" s="1">
        <v>15000</v>
      </c>
      <c r="J167" s="1">
        <v>1053002</v>
      </c>
      <c r="K167" s="1" t="s">
        <v>643</v>
      </c>
      <c r="L167" s="1" t="s">
        <v>641</v>
      </c>
      <c r="M167" s="1">
        <v>1</v>
      </c>
      <c r="N167" s="1">
        <v>0</v>
      </c>
      <c r="O167" s="1">
        <v>0</v>
      </c>
      <c r="R167" s="1" t="s">
        <v>60</v>
      </c>
      <c r="S167" s="1">
        <v>0</v>
      </c>
      <c r="T167" s="1">
        <v>1053002</v>
      </c>
      <c r="U167" s="1">
        <v>1000</v>
      </c>
      <c r="V167" s="1">
        <v>1015</v>
      </c>
      <c r="W167" s="1" t="s">
        <v>639</v>
      </c>
      <c r="X167" s="1">
        <v>0</v>
      </c>
      <c r="Y167" s="1">
        <v>0</v>
      </c>
      <c r="Z167" s="1">
        <v>0</v>
      </c>
    </row>
    <row r="168" s="1" customFormat="1" spans="1:26">
      <c r="A168" s="1">
        <v>1056001</v>
      </c>
      <c r="B168" s="1" t="s">
        <v>645</v>
      </c>
      <c r="C168" s="1">
        <v>1</v>
      </c>
      <c r="D168">
        <v>1001</v>
      </c>
      <c r="E168" s="1">
        <v>350</v>
      </c>
      <c r="F168" s="1">
        <v>10000</v>
      </c>
      <c r="G168" s="1">
        <v>0</v>
      </c>
      <c r="I168" s="1">
        <v>1000</v>
      </c>
      <c r="J168" s="1">
        <v>0</v>
      </c>
      <c r="K168" s="1" t="s">
        <v>645</v>
      </c>
      <c r="L168" s="1" t="s">
        <v>645</v>
      </c>
      <c r="M168" s="1">
        <v>1</v>
      </c>
      <c r="N168" s="1">
        <v>0</v>
      </c>
      <c r="O168" s="1">
        <v>0</v>
      </c>
      <c r="R168" s="1" t="s">
        <v>227</v>
      </c>
      <c r="S168" s="1">
        <v>0</v>
      </c>
      <c r="T168" s="1">
        <v>0</v>
      </c>
      <c r="U168" s="1">
        <v>0</v>
      </c>
      <c r="V168" s="1">
        <v>1011</v>
      </c>
      <c r="W168" s="1">
        <v>700</v>
      </c>
      <c r="X168" s="1">
        <v>1056001</v>
      </c>
      <c r="Y168" s="1">
        <v>400</v>
      </c>
      <c r="Z168" s="1">
        <v>350</v>
      </c>
    </row>
    <row r="169" s="1" customFormat="1" spans="1:26">
      <c r="A169" s="1">
        <v>1056002</v>
      </c>
      <c r="B169" s="1" t="s">
        <v>646</v>
      </c>
      <c r="C169" s="1">
        <v>2</v>
      </c>
      <c r="D169" s="1">
        <v>2001</v>
      </c>
      <c r="E169" s="1">
        <v>350</v>
      </c>
      <c r="F169" s="1">
        <v>5500</v>
      </c>
      <c r="G169" s="1">
        <v>500</v>
      </c>
      <c r="I169" s="1">
        <v>11000</v>
      </c>
      <c r="J169" s="1">
        <v>1056002</v>
      </c>
      <c r="K169" s="1" t="s">
        <v>648</v>
      </c>
      <c r="L169" s="1" t="s">
        <v>646</v>
      </c>
      <c r="M169" s="1">
        <v>1</v>
      </c>
      <c r="N169" s="1">
        <v>0</v>
      </c>
      <c r="O169" s="1">
        <v>0</v>
      </c>
      <c r="R169" s="1" t="s">
        <v>60</v>
      </c>
      <c r="S169" s="1">
        <v>0</v>
      </c>
      <c r="T169" s="1">
        <v>1056002</v>
      </c>
      <c r="U169" s="1">
        <v>700</v>
      </c>
      <c r="V169" s="1">
        <v>1011</v>
      </c>
      <c r="W169" s="1" t="s">
        <v>586</v>
      </c>
      <c r="X169" s="1">
        <v>0</v>
      </c>
      <c r="Y169" s="1">
        <v>0</v>
      </c>
      <c r="Z169" s="1">
        <v>0</v>
      </c>
    </row>
    <row r="170" s="1" customFormat="1" spans="1:26">
      <c r="A170" s="1">
        <v>1056101</v>
      </c>
      <c r="B170" s="1" t="s">
        <v>651</v>
      </c>
      <c r="C170" s="1">
        <v>1</v>
      </c>
      <c r="D170">
        <v>1001</v>
      </c>
      <c r="E170" s="1">
        <v>350</v>
      </c>
      <c r="F170" s="1">
        <v>11000</v>
      </c>
      <c r="G170" s="1">
        <v>0</v>
      </c>
      <c r="I170" s="1">
        <v>1000</v>
      </c>
      <c r="J170" s="1">
        <v>0</v>
      </c>
      <c r="K170" s="1" t="s">
        <v>651</v>
      </c>
      <c r="L170" s="1" t="s">
        <v>651</v>
      </c>
      <c r="M170" s="1">
        <v>1</v>
      </c>
      <c r="N170" s="1">
        <v>0</v>
      </c>
      <c r="O170" s="1">
        <v>0</v>
      </c>
      <c r="R170" s="1" t="s">
        <v>227</v>
      </c>
      <c r="S170" s="1">
        <v>0</v>
      </c>
      <c r="T170" s="1">
        <v>0</v>
      </c>
      <c r="U170" s="1">
        <v>0</v>
      </c>
      <c r="V170" s="1">
        <v>1011</v>
      </c>
      <c r="W170" s="1">
        <v>600</v>
      </c>
      <c r="X170" s="1">
        <v>1056001</v>
      </c>
      <c r="Y170" s="1">
        <v>300</v>
      </c>
      <c r="Z170" s="1">
        <v>350</v>
      </c>
    </row>
    <row r="171" s="1" customFormat="1" spans="1:26">
      <c r="A171" s="1">
        <v>1056102</v>
      </c>
      <c r="B171" s="1" t="s">
        <v>652</v>
      </c>
      <c r="C171" s="1">
        <v>2</v>
      </c>
      <c r="D171" s="1">
        <v>2001</v>
      </c>
      <c r="E171" s="1">
        <v>350</v>
      </c>
      <c r="F171" s="1">
        <v>8000</v>
      </c>
      <c r="G171" s="1">
        <v>500</v>
      </c>
      <c r="I171" s="1">
        <v>11000</v>
      </c>
      <c r="J171" s="1">
        <v>1056002</v>
      </c>
      <c r="K171" s="1" t="s">
        <v>654</v>
      </c>
      <c r="L171" s="1" t="s">
        <v>652</v>
      </c>
      <c r="M171" s="1">
        <v>1</v>
      </c>
      <c r="N171" s="1">
        <v>0</v>
      </c>
      <c r="O171" s="1">
        <v>0</v>
      </c>
      <c r="R171" s="1" t="s">
        <v>60</v>
      </c>
      <c r="S171" s="1">
        <v>0</v>
      </c>
      <c r="T171" s="1">
        <v>1056002</v>
      </c>
      <c r="U171" s="1">
        <v>600</v>
      </c>
      <c r="V171" s="1">
        <v>1011</v>
      </c>
      <c r="W171" s="1" t="s">
        <v>586</v>
      </c>
      <c r="X171" s="1">
        <v>0</v>
      </c>
      <c r="Y171" s="1">
        <v>0</v>
      </c>
      <c r="Z171" s="1">
        <v>0</v>
      </c>
    </row>
    <row r="172" s="1" customFormat="1" spans="1:26">
      <c r="A172" s="1">
        <v>1056201</v>
      </c>
      <c r="B172" s="1" t="s">
        <v>656</v>
      </c>
      <c r="C172" s="1">
        <v>1</v>
      </c>
      <c r="D172">
        <v>1001</v>
      </c>
      <c r="E172" s="1">
        <v>350</v>
      </c>
      <c r="F172" s="1">
        <v>11000</v>
      </c>
      <c r="G172" s="1">
        <v>0</v>
      </c>
      <c r="I172" s="1">
        <v>1000</v>
      </c>
      <c r="J172" s="1">
        <v>0</v>
      </c>
      <c r="K172" s="1" t="s">
        <v>656</v>
      </c>
      <c r="L172" s="1" t="s">
        <v>656</v>
      </c>
      <c r="M172" s="1">
        <v>1</v>
      </c>
      <c r="N172" s="1">
        <v>0</v>
      </c>
      <c r="O172" s="1">
        <v>0</v>
      </c>
      <c r="R172" s="1" t="s">
        <v>227</v>
      </c>
      <c r="S172" s="1">
        <v>0</v>
      </c>
      <c r="T172" s="1">
        <v>0</v>
      </c>
      <c r="U172" s="1">
        <v>0</v>
      </c>
      <c r="V172" s="1">
        <v>1011</v>
      </c>
      <c r="W172" s="1">
        <v>700</v>
      </c>
      <c r="X172" s="1">
        <v>1056201</v>
      </c>
      <c r="Y172" s="1">
        <v>400</v>
      </c>
      <c r="Z172" s="1">
        <v>350</v>
      </c>
    </row>
    <row r="173" s="1" customFormat="1" spans="1:26">
      <c r="A173" s="1">
        <v>1056202</v>
      </c>
      <c r="B173" s="1" t="s">
        <v>189</v>
      </c>
      <c r="C173" s="1">
        <v>2</v>
      </c>
      <c r="D173" s="1">
        <v>2001</v>
      </c>
      <c r="E173" s="1">
        <v>350</v>
      </c>
      <c r="F173" s="1">
        <v>20000</v>
      </c>
      <c r="G173" s="1">
        <v>500</v>
      </c>
      <c r="I173" s="1">
        <v>11000</v>
      </c>
      <c r="J173" s="1">
        <v>1056202</v>
      </c>
      <c r="K173" s="1" t="s">
        <v>658</v>
      </c>
      <c r="L173" s="1" t="s">
        <v>189</v>
      </c>
      <c r="M173" s="1">
        <v>1</v>
      </c>
      <c r="N173" s="1">
        <v>0</v>
      </c>
      <c r="O173" s="1">
        <v>0</v>
      </c>
      <c r="R173" s="1" t="s">
        <v>60</v>
      </c>
      <c r="S173" s="1">
        <v>0</v>
      </c>
      <c r="T173" s="1">
        <v>1056202</v>
      </c>
      <c r="U173" s="1">
        <v>700</v>
      </c>
      <c r="V173" s="1">
        <v>1011</v>
      </c>
      <c r="W173" s="1" t="s">
        <v>660</v>
      </c>
      <c r="X173" s="1">
        <v>0</v>
      </c>
      <c r="Y173" s="1">
        <v>0</v>
      </c>
      <c r="Z173" s="1">
        <v>0</v>
      </c>
    </row>
    <row r="174" s="1" customFormat="1" spans="1:26">
      <c r="A174" s="1">
        <v>1057001</v>
      </c>
      <c r="B174" s="1" t="s">
        <v>661</v>
      </c>
      <c r="C174" s="1">
        <v>1</v>
      </c>
      <c r="D174">
        <v>1001</v>
      </c>
      <c r="E174" s="1">
        <v>350</v>
      </c>
      <c r="F174" s="1">
        <v>11000</v>
      </c>
      <c r="G174" s="1">
        <v>0</v>
      </c>
      <c r="I174" s="1">
        <v>1000</v>
      </c>
      <c r="J174" s="1">
        <v>0</v>
      </c>
      <c r="K174" s="1" t="s">
        <v>661</v>
      </c>
      <c r="L174" s="1" t="s">
        <v>661</v>
      </c>
      <c r="M174" s="1">
        <v>1</v>
      </c>
      <c r="N174" s="1">
        <v>0</v>
      </c>
      <c r="O174" s="1">
        <v>0</v>
      </c>
      <c r="R174" s="1" t="s">
        <v>227</v>
      </c>
      <c r="S174" s="1">
        <v>0</v>
      </c>
      <c r="T174" s="1">
        <v>0</v>
      </c>
      <c r="U174" s="1">
        <v>0</v>
      </c>
      <c r="V174" s="1">
        <v>1011</v>
      </c>
      <c r="W174" s="1">
        <v>700</v>
      </c>
      <c r="X174" s="1">
        <v>1057001</v>
      </c>
      <c r="Y174" s="1">
        <v>400</v>
      </c>
      <c r="Z174" s="1">
        <v>350</v>
      </c>
    </row>
    <row r="175" s="1" customFormat="1" spans="1:26">
      <c r="A175" s="1">
        <v>1057002</v>
      </c>
      <c r="B175" s="1" t="s">
        <v>662</v>
      </c>
      <c r="C175" s="1">
        <v>2</v>
      </c>
      <c r="D175" s="1">
        <v>2001</v>
      </c>
      <c r="E175" s="1">
        <v>350</v>
      </c>
      <c r="F175" s="1">
        <v>42000</v>
      </c>
      <c r="G175" s="1">
        <v>500</v>
      </c>
      <c r="I175" s="1">
        <v>7000</v>
      </c>
      <c r="J175" s="1">
        <v>1057002</v>
      </c>
      <c r="K175" s="1" t="s">
        <v>664</v>
      </c>
      <c r="L175" s="1" t="s">
        <v>662</v>
      </c>
      <c r="M175" s="1">
        <v>1</v>
      </c>
      <c r="N175" s="1">
        <v>0</v>
      </c>
      <c r="O175" s="1">
        <v>0</v>
      </c>
      <c r="R175" s="1" t="s">
        <v>60</v>
      </c>
      <c r="S175" s="1">
        <v>0</v>
      </c>
      <c r="T175" s="1">
        <v>1057002</v>
      </c>
      <c r="U175" s="1">
        <v>500</v>
      </c>
      <c r="V175" s="1">
        <v>1011</v>
      </c>
      <c r="W175" s="1">
        <v>1000</v>
      </c>
      <c r="X175" s="1">
        <v>0</v>
      </c>
      <c r="Y175" s="1">
        <v>0</v>
      </c>
      <c r="Z175" s="1">
        <v>0</v>
      </c>
    </row>
    <row r="176" s="1" customFormat="1" spans="1:26">
      <c r="A176" s="1">
        <v>1057101</v>
      </c>
      <c r="B176" s="1" t="s">
        <v>666</v>
      </c>
      <c r="C176" s="1">
        <v>1</v>
      </c>
      <c r="D176">
        <v>1001</v>
      </c>
      <c r="E176" s="1">
        <v>350</v>
      </c>
      <c r="F176" s="1">
        <v>10000</v>
      </c>
      <c r="G176" s="1">
        <v>0</v>
      </c>
      <c r="I176" s="1">
        <v>1000</v>
      </c>
      <c r="J176" s="1">
        <v>0</v>
      </c>
      <c r="K176" s="1" t="s">
        <v>666</v>
      </c>
      <c r="L176" s="1" t="s">
        <v>666</v>
      </c>
      <c r="M176" s="1">
        <v>1</v>
      </c>
      <c r="N176" s="1">
        <v>0</v>
      </c>
      <c r="O176" s="1">
        <v>0</v>
      </c>
      <c r="R176" s="1" t="s">
        <v>227</v>
      </c>
      <c r="S176" s="1">
        <v>0</v>
      </c>
      <c r="T176" s="1">
        <v>0</v>
      </c>
      <c r="U176" s="1">
        <v>0</v>
      </c>
      <c r="V176" s="1">
        <v>1011</v>
      </c>
      <c r="W176" s="1">
        <v>700</v>
      </c>
      <c r="X176" s="1">
        <v>1057001</v>
      </c>
      <c r="Y176" s="1">
        <v>400</v>
      </c>
      <c r="Z176" s="1">
        <v>350</v>
      </c>
    </row>
    <row r="177" s="1" customFormat="1" spans="1:26">
      <c r="A177" s="1">
        <v>1057102</v>
      </c>
      <c r="B177" s="1" t="s">
        <v>667</v>
      </c>
      <c r="C177" s="1">
        <v>2</v>
      </c>
      <c r="D177" s="1">
        <v>2001</v>
      </c>
      <c r="E177" s="1">
        <v>350</v>
      </c>
      <c r="F177" s="1">
        <v>22000</v>
      </c>
      <c r="G177" s="1">
        <v>500</v>
      </c>
      <c r="I177" s="1">
        <v>7000</v>
      </c>
      <c r="J177" s="1">
        <v>1057002</v>
      </c>
      <c r="K177" s="1" t="s">
        <v>669</v>
      </c>
      <c r="L177" s="1" t="s">
        <v>667</v>
      </c>
      <c r="M177" s="1">
        <v>1</v>
      </c>
      <c r="N177" s="1">
        <v>0</v>
      </c>
      <c r="O177" s="1">
        <v>0</v>
      </c>
      <c r="R177" s="1" t="s">
        <v>60</v>
      </c>
      <c r="S177" s="1">
        <v>0</v>
      </c>
      <c r="T177" s="1">
        <v>1057002</v>
      </c>
      <c r="U177" s="1">
        <v>500</v>
      </c>
      <c r="V177" s="1">
        <v>1011</v>
      </c>
      <c r="W177" s="1">
        <v>1100</v>
      </c>
      <c r="X177" s="1">
        <v>0</v>
      </c>
      <c r="Y177" s="1">
        <v>0</v>
      </c>
      <c r="Z177" s="1">
        <v>0</v>
      </c>
    </row>
    <row r="178" s="1" customFormat="1" spans="1:26">
      <c r="A178" s="1">
        <v>1058001</v>
      </c>
      <c r="B178" s="1" t="s">
        <v>671</v>
      </c>
      <c r="C178" s="1">
        <v>1</v>
      </c>
      <c r="D178">
        <v>1001</v>
      </c>
      <c r="E178" s="1">
        <v>350</v>
      </c>
      <c r="F178" s="1">
        <v>10000</v>
      </c>
      <c r="G178" s="1">
        <v>0</v>
      </c>
      <c r="I178" s="1">
        <v>1000</v>
      </c>
      <c r="J178" s="1">
        <v>0</v>
      </c>
      <c r="K178" s="1" t="s">
        <v>671</v>
      </c>
      <c r="L178" s="1" t="s">
        <v>671</v>
      </c>
      <c r="M178" s="1">
        <v>1</v>
      </c>
      <c r="N178" s="1">
        <v>0</v>
      </c>
      <c r="O178" s="1">
        <v>0</v>
      </c>
      <c r="R178" s="1" t="s">
        <v>227</v>
      </c>
      <c r="S178" s="1">
        <v>0</v>
      </c>
      <c r="T178" s="1">
        <v>0</v>
      </c>
      <c r="U178" s="1">
        <v>0</v>
      </c>
      <c r="V178" s="1">
        <v>1013</v>
      </c>
      <c r="W178" s="1">
        <v>700</v>
      </c>
      <c r="X178" s="1">
        <v>1058001</v>
      </c>
      <c r="Y178" s="1">
        <v>400</v>
      </c>
      <c r="Z178" s="1">
        <v>350</v>
      </c>
    </row>
    <row r="179" s="1" customFormat="1" spans="1:26">
      <c r="A179" s="1">
        <v>1058002</v>
      </c>
      <c r="B179" s="1" t="s">
        <v>73</v>
      </c>
      <c r="C179" s="1">
        <v>2</v>
      </c>
      <c r="D179" s="1">
        <v>2001</v>
      </c>
      <c r="E179" s="1">
        <v>350</v>
      </c>
      <c r="F179" s="1">
        <v>21000</v>
      </c>
      <c r="G179" s="1">
        <v>500</v>
      </c>
      <c r="I179" s="1">
        <v>9000</v>
      </c>
      <c r="J179" s="1">
        <v>1058002</v>
      </c>
      <c r="K179" s="1" t="s">
        <v>673</v>
      </c>
      <c r="L179" s="1" t="s">
        <v>73</v>
      </c>
      <c r="M179" s="1">
        <v>1</v>
      </c>
      <c r="N179" s="1">
        <v>0</v>
      </c>
      <c r="O179" s="1">
        <v>0</v>
      </c>
      <c r="R179" s="1" t="s">
        <v>60</v>
      </c>
      <c r="S179" s="1">
        <v>0</v>
      </c>
      <c r="T179" s="1">
        <v>1058002</v>
      </c>
      <c r="U179" s="11">
        <v>400</v>
      </c>
      <c r="V179" s="11">
        <v>1013</v>
      </c>
      <c r="W179" s="11">
        <v>2000</v>
      </c>
      <c r="X179" s="1">
        <v>0</v>
      </c>
      <c r="Y179" s="1">
        <v>0</v>
      </c>
      <c r="Z179" s="1">
        <v>0</v>
      </c>
    </row>
    <row r="180" s="1" customFormat="1" spans="1:26">
      <c r="A180" s="1">
        <v>1058101</v>
      </c>
      <c r="B180" s="1" t="s">
        <v>675</v>
      </c>
      <c r="C180" s="1">
        <v>1</v>
      </c>
      <c r="D180">
        <v>1001</v>
      </c>
      <c r="E180" s="1">
        <v>350</v>
      </c>
      <c r="F180" s="1">
        <v>10000</v>
      </c>
      <c r="G180" s="1">
        <v>0</v>
      </c>
      <c r="I180" s="1">
        <v>1000</v>
      </c>
      <c r="J180" s="1">
        <v>0</v>
      </c>
      <c r="K180" s="1" t="s">
        <v>675</v>
      </c>
      <c r="L180" s="1" t="s">
        <v>675</v>
      </c>
      <c r="M180" s="1">
        <v>1</v>
      </c>
      <c r="N180" s="1">
        <v>0</v>
      </c>
      <c r="O180" s="1">
        <v>0</v>
      </c>
      <c r="R180" s="1" t="s">
        <v>227</v>
      </c>
      <c r="S180" s="1">
        <v>0</v>
      </c>
      <c r="T180" s="1">
        <v>0</v>
      </c>
      <c r="U180" s="1">
        <v>0</v>
      </c>
      <c r="V180" s="1">
        <v>1013</v>
      </c>
      <c r="W180" s="1">
        <v>700</v>
      </c>
      <c r="X180" s="1">
        <v>1058001</v>
      </c>
      <c r="Y180" s="1">
        <v>400</v>
      </c>
      <c r="Z180" s="1">
        <v>350</v>
      </c>
    </row>
    <row r="181" s="1" customFormat="1" spans="1:26">
      <c r="A181" s="1">
        <v>1058102</v>
      </c>
      <c r="B181" s="1" t="s">
        <v>676</v>
      </c>
      <c r="C181" s="1">
        <v>2</v>
      </c>
      <c r="D181" s="1">
        <v>2001</v>
      </c>
      <c r="E181" s="1">
        <v>350</v>
      </c>
      <c r="F181" s="1">
        <v>42000</v>
      </c>
      <c r="G181" s="1">
        <v>500</v>
      </c>
      <c r="I181" s="1">
        <v>9000</v>
      </c>
      <c r="J181" s="11">
        <v>1058002</v>
      </c>
      <c r="K181" s="1" t="s">
        <v>678</v>
      </c>
      <c r="L181" s="1" t="s">
        <v>676</v>
      </c>
      <c r="M181" s="1">
        <v>1</v>
      </c>
      <c r="N181" s="1">
        <v>0</v>
      </c>
      <c r="O181" s="1">
        <v>0</v>
      </c>
      <c r="R181" s="1" t="s">
        <v>60</v>
      </c>
      <c r="S181" s="1">
        <v>0</v>
      </c>
      <c r="T181" s="1">
        <v>1058002</v>
      </c>
      <c r="U181" s="11">
        <v>400</v>
      </c>
      <c r="V181" s="11">
        <v>1013</v>
      </c>
      <c r="W181" s="11">
        <v>2000</v>
      </c>
      <c r="X181" s="1">
        <v>0</v>
      </c>
      <c r="Y181" s="1">
        <v>0</v>
      </c>
      <c r="Z181" s="1">
        <v>0</v>
      </c>
    </row>
    <row r="182" s="1" customFormat="1" spans="1:26">
      <c r="A182" s="1">
        <v>1058201</v>
      </c>
      <c r="B182" s="1" t="s">
        <v>681</v>
      </c>
      <c r="C182" s="1">
        <v>1</v>
      </c>
      <c r="D182">
        <v>1001</v>
      </c>
      <c r="E182" s="1">
        <v>350</v>
      </c>
      <c r="F182" s="1">
        <v>10000</v>
      </c>
      <c r="G182" s="1">
        <v>0</v>
      </c>
      <c r="I182" s="1">
        <v>1000</v>
      </c>
      <c r="J182" s="1">
        <v>0</v>
      </c>
      <c r="K182" s="1" t="s">
        <v>681</v>
      </c>
      <c r="L182" s="1" t="s">
        <v>681</v>
      </c>
      <c r="M182" s="1">
        <v>1</v>
      </c>
      <c r="N182" s="1">
        <v>0</v>
      </c>
      <c r="O182" s="1">
        <v>0</v>
      </c>
      <c r="R182" s="1" t="s">
        <v>227</v>
      </c>
      <c r="S182" s="1">
        <v>0</v>
      </c>
      <c r="T182" s="1">
        <v>0</v>
      </c>
      <c r="U182" s="1">
        <v>0</v>
      </c>
      <c r="V182" s="1">
        <v>1013</v>
      </c>
      <c r="W182" s="1">
        <v>700</v>
      </c>
      <c r="X182" s="1">
        <v>1058001</v>
      </c>
      <c r="Y182" s="1">
        <v>400</v>
      </c>
      <c r="Z182" s="1">
        <v>350</v>
      </c>
    </row>
    <row r="183" s="1" customFormat="1" spans="1:26">
      <c r="A183" s="1">
        <v>1058202</v>
      </c>
      <c r="B183" s="1" t="s">
        <v>682</v>
      </c>
      <c r="C183" s="1">
        <v>2</v>
      </c>
      <c r="D183" s="1">
        <v>2001</v>
      </c>
      <c r="E183" s="1">
        <v>350</v>
      </c>
      <c r="F183" s="1">
        <v>14000</v>
      </c>
      <c r="G183" s="1">
        <v>500</v>
      </c>
      <c r="I183" s="1">
        <v>9000</v>
      </c>
      <c r="J183" s="1">
        <v>1058202</v>
      </c>
      <c r="K183" s="1" t="s">
        <v>684</v>
      </c>
      <c r="L183" s="1" t="s">
        <v>682</v>
      </c>
      <c r="M183" s="1">
        <v>1</v>
      </c>
      <c r="N183" s="1">
        <v>0</v>
      </c>
      <c r="O183" s="1">
        <v>0</v>
      </c>
      <c r="R183" s="1" t="s">
        <v>60</v>
      </c>
      <c r="S183" s="1">
        <v>0</v>
      </c>
      <c r="T183" s="1">
        <v>1058202</v>
      </c>
      <c r="U183" s="11">
        <v>700</v>
      </c>
      <c r="V183" s="11">
        <v>1013</v>
      </c>
      <c r="W183" s="11" t="s">
        <v>686</v>
      </c>
      <c r="X183" s="1">
        <v>0</v>
      </c>
      <c r="Y183" s="1">
        <v>0</v>
      </c>
      <c r="Z183" s="1">
        <v>0</v>
      </c>
    </row>
    <row r="184" s="1" customFormat="1" spans="1:26">
      <c r="A184" s="1">
        <v>1059001</v>
      </c>
      <c r="B184" s="1" t="s">
        <v>687</v>
      </c>
      <c r="C184" s="1">
        <v>1</v>
      </c>
      <c r="D184" s="1">
        <v>1001</v>
      </c>
      <c r="E184" s="1">
        <v>350</v>
      </c>
      <c r="F184" s="1">
        <v>10000</v>
      </c>
      <c r="G184" s="1">
        <v>0</v>
      </c>
      <c r="I184" s="1">
        <v>1000</v>
      </c>
      <c r="J184" s="1">
        <v>0</v>
      </c>
      <c r="K184" s="1" t="s">
        <v>687</v>
      </c>
      <c r="L184" s="1" t="s">
        <v>687</v>
      </c>
      <c r="M184" s="1">
        <v>1</v>
      </c>
      <c r="N184" s="1">
        <v>0</v>
      </c>
      <c r="O184" s="1">
        <v>0</v>
      </c>
      <c r="R184" s="1" t="s">
        <v>227</v>
      </c>
      <c r="S184" s="1">
        <v>0</v>
      </c>
      <c r="T184" s="1">
        <v>0</v>
      </c>
      <c r="U184" s="1">
        <v>0</v>
      </c>
      <c r="V184" s="1">
        <v>1011</v>
      </c>
      <c r="W184" s="1">
        <v>600</v>
      </c>
      <c r="X184" s="1">
        <v>1059001</v>
      </c>
      <c r="Y184" s="1">
        <v>300</v>
      </c>
      <c r="Z184" s="1">
        <v>350</v>
      </c>
    </row>
    <row r="185" s="1" customFormat="1" spans="1:26">
      <c r="A185" s="1">
        <v>1059002</v>
      </c>
      <c r="B185" s="1" t="s">
        <v>688</v>
      </c>
      <c r="C185" s="1">
        <v>2</v>
      </c>
      <c r="D185" s="1">
        <v>2001</v>
      </c>
      <c r="E185" s="1">
        <v>350</v>
      </c>
      <c r="F185" s="1">
        <v>3500</v>
      </c>
      <c r="G185" s="1">
        <v>500</v>
      </c>
      <c r="I185" s="1">
        <v>7000</v>
      </c>
      <c r="J185" s="1">
        <v>1059002</v>
      </c>
      <c r="K185" s="1" t="s">
        <v>690</v>
      </c>
      <c r="L185" s="1" t="s">
        <v>688</v>
      </c>
      <c r="M185" s="1">
        <v>1</v>
      </c>
      <c r="N185" s="1">
        <v>0</v>
      </c>
      <c r="O185" s="1">
        <v>0</v>
      </c>
      <c r="R185" s="1" t="s">
        <v>60</v>
      </c>
      <c r="S185" s="1">
        <v>0</v>
      </c>
      <c r="T185" s="1">
        <v>1059002</v>
      </c>
      <c r="U185" s="1">
        <v>1400</v>
      </c>
      <c r="V185" s="1">
        <v>1011</v>
      </c>
      <c r="W185" s="1" t="s">
        <v>975</v>
      </c>
      <c r="X185" s="1">
        <v>0</v>
      </c>
      <c r="Y185" s="1">
        <v>0</v>
      </c>
      <c r="Z185" s="1">
        <v>0</v>
      </c>
    </row>
    <row r="186" s="1" customFormat="1" spans="1:26">
      <c r="A186" s="1">
        <v>1059101</v>
      </c>
      <c r="B186" s="1" t="s">
        <v>692</v>
      </c>
      <c r="C186" s="1">
        <v>1</v>
      </c>
      <c r="D186" s="1">
        <v>1001</v>
      </c>
      <c r="E186" s="1">
        <v>350</v>
      </c>
      <c r="F186" s="1">
        <v>11000</v>
      </c>
      <c r="G186" s="1">
        <v>0</v>
      </c>
      <c r="I186" s="1">
        <v>1000</v>
      </c>
      <c r="J186" s="1">
        <v>0</v>
      </c>
      <c r="K186" s="1" t="s">
        <v>692</v>
      </c>
      <c r="L186" s="1" t="s">
        <v>692</v>
      </c>
      <c r="M186" s="1">
        <v>1</v>
      </c>
      <c r="N186" s="1">
        <v>0</v>
      </c>
      <c r="O186" s="1">
        <v>0</v>
      </c>
      <c r="R186" s="1" t="s">
        <v>227</v>
      </c>
      <c r="S186" s="1">
        <v>0</v>
      </c>
      <c r="T186" s="1">
        <v>0</v>
      </c>
      <c r="U186" s="1">
        <v>0</v>
      </c>
      <c r="V186" s="1">
        <v>1011</v>
      </c>
      <c r="W186" s="1">
        <v>700</v>
      </c>
      <c r="X186" s="1">
        <v>1059001</v>
      </c>
      <c r="Y186" s="1">
        <v>400</v>
      </c>
      <c r="Z186" s="1">
        <v>350</v>
      </c>
    </row>
    <row r="187" s="1" customFormat="1" spans="1:26">
      <c r="A187" s="1">
        <v>1059102</v>
      </c>
      <c r="B187" s="1" t="s">
        <v>693</v>
      </c>
      <c r="C187" s="1">
        <v>2</v>
      </c>
      <c r="D187" s="1">
        <v>2001</v>
      </c>
      <c r="E187" s="1">
        <v>350</v>
      </c>
      <c r="F187" s="1">
        <v>6000</v>
      </c>
      <c r="G187" s="1">
        <v>500</v>
      </c>
      <c r="I187" s="1">
        <v>7000</v>
      </c>
      <c r="J187" s="1">
        <v>1059002</v>
      </c>
      <c r="K187" s="1" t="s">
        <v>695</v>
      </c>
      <c r="L187" s="1" t="s">
        <v>693</v>
      </c>
      <c r="M187" s="1">
        <v>1</v>
      </c>
      <c r="N187" s="1">
        <v>0</v>
      </c>
      <c r="O187" s="1">
        <v>0</v>
      </c>
      <c r="R187" s="1" t="s">
        <v>60</v>
      </c>
      <c r="S187" s="1">
        <v>0</v>
      </c>
      <c r="T187" s="1">
        <v>1059002</v>
      </c>
      <c r="U187" s="1">
        <v>800</v>
      </c>
      <c r="V187" s="1">
        <v>1011</v>
      </c>
      <c r="W187" s="1" t="s">
        <v>975</v>
      </c>
      <c r="X187" s="1">
        <v>0</v>
      </c>
      <c r="Y187" s="1">
        <v>0</v>
      </c>
      <c r="Z187" s="1">
        <v>0</v>
      </c>
    </row>
    <row r="188" s="1" customFormat="1" spans="1:26">
      <c r="A188" s="1">
        <v>1060001</v>
      </c>
      <c r="B188" s="1" t="s">
        <v>698</v>
      </c>
      <c r="C188" s="1">
        <v>1</v>
      </c>
      <c r="D188" s="1">
        <v>1001</v>
      </c>
      <c r="E188" s="1">
        <v>350</v>
      </c>
      <c r="F188" s="1">
        <v>10000</v>
      </c>
      <c r="G188" s="1">
        <v>0</v>
      </c>
      <c r="I188" s="1">
        <v>1000</v>
      </c>
      <c r="J188" s="1">
        <v>0</v>
      </c>
      <c r="K188" s="1" t="s">
        <v>698</v>
      </c>
      <c r="L188" s="1" t="s">
        <v>698</v>
      </c>
      <c r="M188" s="1">
        <v>1</v>
      </c>
      <c r="N188" s="1">
        <v>0</v>
      </c>
      <c r="O188" s="1">
        <v>0</v>
      </c>
      <c r="R188" s="1" t="s">
        <v>227</v>
      </c>
      <c r="S188" s="1">
        <v>0</v>
      </c>
      <c r="T188" s="1">
        <v>0</v>
      </c>
      <c r="U188" s="11">
        <v>0</v>
      </c>
      <c r="V188" s="11">
        <v>1011</v>
      </c>
      <c r="W188" s="11">
        <v>700</v>
      </c>
      <c r="X188" s="1">
        <v>1060001</v>
      </c>
      <c r="Y188" s="1">
        <v>400</v>
      </c>
      <c r="Z188" s="1">
        <v>350</v>
      </c>
    </row>
    <row r="189" s="1" customFormat="1" spans="1:26">
      <c r="A189" s="1">
        <v>1060002</v>
      </c>
      <c r="B189" s="1" t="s">
        <v>699</v>
      </c>
      <c r="C189" s="1">
        <v>2</v>
      </c>
      <c r="D189" s="1">
        <v>2001</v>
      </c>
      <c r="E189" s="1">
        <v>350</v>
      </c>
      <c r="F189" s="1">
        <v>4300</v>
      </c>
      <c r="G189" s="1">
        <v>500</v>
      </c>
      <c r="I189" s="1">
        <v>18000</v>
      </c>
      <c r="J189" s="1">
        <v>1060002</v>
      </c>
      <c r="K189" s="1" t="s">
        <v>701</v>
      </c>
      <c r="L189" s="1" t="s">
        <v>699</v>
      </c>
      <c r="M189" s="1">
        <v>1</v>
      </c>
      <c r="N189" s="1">
        <v>0</v>
      </c>
      <c r="O189" s="1">
        <v>0</v>
      </c>
      <c r="R189" s="1" t="s">
        <v>60</v>
      </c>
      <c r="S189" s="1">
        <v>0</v>
      </c>
      <c r="T189" s="1">
        <v>1060002</v>
      </c>
      <c r="U189" s="11">
        <v>1400</v>
      </c>
      <c r="V189" s="11">
        <v>1011</v>
      </c>
      <c r="W189" s="11" t="s">
        <v>976</v>
      </c>
      <c r="X189" s="1">
        <v>0</v>
      </c>
      <c r="Y189" s="1">
        <v>0</v>
      </c>
      <c r="Z189" s="1">
        <v>0</v>
      </c>
    </row>
    <row r="190" s="1" customFormat="1" spans="1:26">
      <c r="A190" s="1">
        <v>1060101</v>
      </c>
      <c r="B190" s="1" t="s">
        <v>704</v>
      </c>
      <c r="C190" s="1">
        <v>1</v>
      </c>
      <c r="D190" s="1">
        <v>1001</v>
      </c>
      <c r="E190" s="1">
        <v>350</v>
      </c>
      <c r="F190" s="1">
        <v>10000</v>
      </c>
      <c r="G190" s="1">
        <v>0</v>
      </c>
      <c r="I190" s="1">
        <v>1000</v>
      </c>
      <c r="J190" s="1">
        <v>0</v>
      </c>
      <c r="K190" s="1" t="s">
        <v>704</v>
      </c>
      <c r="L190" s="1" t="s">
        <v>704</v>
      </c>
      <c r="M190" s="1">
        <v>1</v>
      </c>
      <c r="N190" s="1">
        <v>0</v>
      </c>
      <c r="O190" s="1">
        <v>0</v>
      </c>
      <c r="R190" s="1" t="s">
        <v>227</v>
      </c>
      <c r="S190" s="1">
        <v>0</v>
      </c>
      <c r="T190" s="1">
        <v>0</v>
      </c>
      <c r="U190" s="11">
        <v>0</v>
      </c>
      <c r="V190" s="11">
        <v>1011</v>
      </c>
      <c r="W190" s="11">
        <v>700</v>
      </c>
      <c r="X190" s="1">
        <v>1060001</v>
      </c>
      <c r="Y190" s="1">
        <v>400</v>
      </c>
      <c r="Z190" s="1">
        <v>350</v>
      </c>
    </row>
    <row r="191" s="1" customFormat="1" spans="1:26">
      <c r="A191" s="1">
        <v>1060102</v>
      </c>
      <c r="B191" s="1" t="s">
        <v>705</v>
      </c>
      <c r="C191" s="1">
        <v>2</v>
      </c>
      <c r="D191" s="1">
        <v>2001</v>
      </c>
      <c r="E191" s="1">
        <v>350</v>
      </c>
      <c r="F191" s="1">
        <v>8500</v>
      </c>
      <c r="G191" s="1">
        <v>500</v>
      </c>
      <c r="I191" s="1">
        <v>18000</v>
      </c>
      <c r="J191" s="1">
        <v>1060002</v>
      </c>
      <c r="K191" s="1" t="s">
        <v>707</v>
      </c>
      <c r="L191" s="1" t="s">
        <v>705</v>
      </c>
      <c r="M191" s="1">
        <v>1</v>
      </c>
      <c r="N191" s="1">
        <v>0</v>
      </c>
      <c r="O191" s="1">
        <v>0</v>
      </c>
      <c r="R191" s="1" t="s">
        <v>60</v>
      </c>
      <c r="S191" s="1">
        <v>0</v>
      </c>
      <c r="T191" s="1">
        <v>1060002</v>
      </c>
      <c r="U191" s="11">
        <v>1400</v>
      </c>
      <c r="V191" s="11">
        <v>1011</v>
      </c>
      <c r="W191" s="11" t="s">
        <v>976</v>
      </c>
      <c r="X191" s="1">
        <v>0</v>
      </c>
      <c r="Y191" s="1">
        <v>0</v>
      </c>
      <c r="Z191" s="1">
        <v>0</v>
      </c>
    </row>
    <row r="192" s="1" customFormat="1" spans="1:26">
      <c r="A192" s="1">
        <v>1062001</v>
      </c>
      <c r="B192" s="1" t="s">
        <v>710</v>
      </c>
      <c r="C192" s="1">
        <v>1</v>
      </c>
      <c r="D192" s="1">
        <v>1001</v>
      </c>
      <c r="E192" s="1">
        <v>350</v>
      </c>
      <c r="F192" s="1">
        <v>10000</v>
      </c>
      <c r="G192" s="1">
        <v>0</v>
      </c>
      <c r="I192" s="1">
        <v>1000</v>
      </c>
      <c r="J192" s="1">
        <v>0</v>
      </c>
      <c r="K192" s="1" t="s">
        <v>710</v>
      </c>
      <c r="L192" s="1" t="s">
        <v>710</v>
      </c>
      <c r="M192" s="1">
        <v>1</v>
      </c>
      <c r="N192" s="1">
        <v>0</v>
      </c>
      <c r="O192" s="1">
        <v>0</v>
      </c>
      <c r="R192" s="1" t="s">
        <v>227</v>
      </c>
      <c r="S192" s="1">
        <v>0</v>
      </c>
      <c r="T192" s="1">
        <v>0</v>
      </c>
      <c r="U192" s="11">
        <v>0</v>
      </c>
      <c r="V192" s="11">
        <v>1011</v>
      </c>
      <c r="W192" s="11">
        <v>700</v>
      </c>
      <c r="X192" s="1">
        <v>1060001</v>
      </c>
      <c r="Y192" s="1">
        <v>400</v>
      </c>
      <c r="Z192" s="1">
        <v>350</v>
      </c>
    </row>
    <row r="193" s="1" customFormat="1" spans="1:26">
      <c r="A193" s="1">
        <v>1062002</v>
      </c>
      <c r="B193" s="1" t="s">
        <v>711</v>
      </c>
      <c r="C193" s="1">
        <v>2</v>
      </c>
      <c r="D193" s="1">
        <v>2001</v>
      </c>
      <c r="E193" s="1">
        <v>350</v>
      </c>
      <c r="F193" s="1">
        <v>10500</v>
      </c>
      <c r="G193" s="1">
        <v>500</v>
      </c>
      <c r="I193" s="1">
        <v>18000</v>
      </c>
      <c r="J193" s="1">
        <v>1062002</v>
      </c>
      <c r="K193" s="1" t="s">
        <v>713</v>
      </c>
      <c r="L193" s="1" t="s">
        <v>711</v>
      </c>
      <c r="M193" s="1">
        <v>1</v>
      </c>
      <c r="N193" s="1">
        <v>0</v>
      </c>
      <c r="O193" s="1">
        <v>0</v>
      </c>
      <c r="R193" s="1" t="s">
        <v>60</v>
      </c>
      <c r="S193" s="1">
        <v>0</v>
      </c>
      <c r="T193" s="1">
        <v>1062002</v>
      </c>
      <c r="U193" s="11">
        <v>1000</v>
      </c>
      <c r="V193" s="11">
        <v>1011</v>
      </c>
      <c r="W193" s="11" t="s">
        <v>715</v>
      </c>
      <c r="X193" s="1">
        <v>0</v>
      </c>
      <c r="Y193" s="1">
        <v>0</v>
      </c>
      <c r="Z193" s="1">
        <v>0</v>
      </c>
    </row>
    <row r="194" s="1" customFormat="1" spans="1:26">
      <c r="A194" s="1">
        <v>1062101</v>
      </c>
      <c r="B194" s="1" t="s">
        <v>716</v>
      </c>
      <c r="C194" s="1">
        <v>1</v>
      </c>
      <c r="D194" s="1">
        <v>1001</v>
      </c>
      <c r="E194" s="1">
        <v>350</v>
      </c>
      <c r="F194" s="1">
        <v>10000</v>
      </c>
      <c r="G194" s="1">
        <v>0</v>
      </c>
      <c r="I194" s="1">
        <v>1000</v>
      </c>
      <c r="J194" s="1">
        <v>0</v>
      </c>
      <c r="K194" s="1" t="s">
        <v>716</v>
      </c>
      <c r="L194" s="1" t="s">
        <v>716</v>
      </c>
      <c r="M194" s="1">
        <v>1</v>
      </c>
      <c r="N194" s="1">
        <v>0</v>
      </c>
      <c r="O194" s="1">
        <v>0</v>
      </c>
      <c r="R194" s="1" t="s">
        <v>227</v>
      </c>
      <c r="S194" s="1">
        <v>0</v>
      </c>
      <c r="T194" s="1">
        <v>0</v>
      </c>
      <c r="U194" s="11">
        <v>0</v>
      </c>
      <c r="V194" s="11">
        <v>1011</v>
      </c>
      <c r="W194" s="11">
        <v>700</v>
      </c>
      <c r="X194" s="1">
        <v>1060001</v>
      </c>
      <c r="Y194" s="1">
        <v>400</v>
      </c>
      <c r="Z194" s="1">
        <v>350</v>
      </c>
    </row>
    <row r="195" s="1" customFormat="1" spans="1:26">
      <c r="A195" s="1">
        <v>1062102</v>
      </c>
      <c r="B195" s="1" t="s">
        <v>717</v>
      </c>
      <c r="C195" s="1">
        <v>2</v>
      </c>
      <c r="D195" s="1">
        <v>2001</v>
      </c>
      <c r="E195" s="1">
        <v>350</v>
      </c>
      <c r="F195" s="1">
        <v>21000</v>
      </c>
      <c r="G195" s="1">
        <v>500</v>
      </c>
      <c r="I195" s="1">
        <v>18000</v>
      </c>
      <c r="J195" s="1">
        <v>1062002</v>
      </c>
      <c r="K195" s="1" t="s">
        <v>719</v>
      </c>
      <c r="L195" s="1" t="s">
        <v>717</v>
      </c>
      <c r="M195" s="1">
        <v>1</v>
      </c>
      <c r="N195" s="1">
        <v>0</v>
      </c>
      <c r="O195" s="1">
        <v>0</v>
      </c>
      <c r="R195" s="1" t="s">
        <v>60</v>
      </c>
      <c r="S195" s="1">
        <v>0</v>
      </c>
      <c r="T195" s="1">
        <v>1062002</v>
      </c>
      <c r="U195" s="11">
        <v>1000</v>
      </c>
      <c r="V195" s="11">
        <v>1011</v>
      </c>
      <c r="W195" s="11" t="s">
        <v>715</v>
      </c>
      <c r="X195" s="1">
        <v>0</v>
      </c>
      <c r="Y195" s="1">
        <v>0</v>
      </c>
      <c r="Z195" s="1">
        <v>0</v>
      </c>
    </row>
    <row r="196" s="1" customFormat="1" spans="1:26">
      <c r="A196" s="1">
        <v>2000101</v>
      </c>
      <c r="B196" s="1" t="s">
        <v>1252</v>
      </c>
      <c r="C196" s="1">
        <v>1</v>
      </c>
      <c r="D196">
        <v>1001</v>
      </c>
      <c r="E196" s="1">
        <v>350</v>
      </c>
      <c r="F196" s="1">
        <v>10000</v>
      </c>
      <c r="G196" s="1">
        <v>0</v>
      </c>
      <c r="I196" s="1">
        <v>1000</v>
      </c>
      <c r="J196" s="1">
        <v>0</v>
      </c>
      <c r="K196" s="1" t="s">
        <v>1253</v>
      </c>
      <c r="L196" s="1" t="str">
        <f>B196</f>
        <v>小竹抛射</v>
      </c>
      <c r="M196" s="1">
        <v>1</v>
      </c>
      <c r="N196" s="1">
        <v>0</v>
      </c>
      <c r="O196" s="1">
        <v>0</v>
      </c>
      <c r="R196" s="1" t="s">
        <v>227</v>
      </c>
      <c r="S196" s="1">
        <v>0</v>
      </c>
      <c r="T196" s="1">
        <v>0</v>
      </c>
      <c r="U196" s="1">
        <v>0</v>
      </c>
      <c r="V196" s="1">
        <v>1013</v>
      </c>
      <c r="W196" s="1">
        <v>700</v>
      </c>
      <c r="X196" s="1">
        <v>2000101</v>
      </c>
      <c r="Y196" s="1">
        <v>500</v>
      </c>
      <c r="Z196" s="1">
        <v>250</v>
      </c>
    </row>
    <row r="197" s="1" customFormat="1" spans="1:26">
      <c r="A197" s="1">
        <v>2000102</v>
      </c>
      <c r="B197" s="1" t="s">
        <v>1254</v>
      </c>
      <c r="C197" s="1">
        <v>2</v>
      </c>
      <c r="D197" s="1">
        <v>2001</v>
      </c>
      <c r="E197" s="1">
        <v>350</v>
      </c>
      <c r="F197" s="1">
        <v>15000</v>
      </c>
      <c r="G197" s="1">
        <v>100</v>
      </c>
      <c r="I197" s="1">
        <v>8000</v>
      </c>
      <c r="J197" s="1">
        <v>2000102</v>
      </c>
      <c r="K197" s="1" t="s">
        <v>1255</v>
      </c>
      <c r="L197" s="1" t="str">
        <f t="shared" ref="L197:L260" si="0">B197</f>
        <v>竹炮攻击</v>
      </c>
      <c r="M197" s="1">
        <v>1</v>
      </c>
      <c r="N197" s="1">
        <v>0</v>
      </c>
      <c r="O197" s="1">
        <v>0</v>
      </c>
      <c r="R197" s="1" t="s">
        <v>60</v>
      </c>
      <c r="S197" s="1">
        <v>0</v>
      </c>
      <c r="T197" s="1">
        <v>2000102</v>
      </c>
      <c r="U197" s="1">
        <v>1660</v>
      </c>
      <c r="V197" s="1">
        <v>1013</v>
      </c>
      <c r="W197" s="1">
        <v>2100</v>
      </c>
      <c r="X197" s="1">
        <v>0</v>
      </c>
      <c r="Y197" s="1">
        <v>0</v>
      </c>
      <c r="Z197" s="1">
        <v>0</v>
      </c>
    </row>
    <row r="198" s="1" customFormat="1" spans="1:26">
      <c r="A198" s="16">
        <v>2000103</v>
      </c>
      <c r="B198" s="1" t="s">
        <v>1184</v>
      </c>
      <c r="C198" s="1">
        <v>3</v>
      </c>
      <c r="D198" s="1">
        <v>2010</v>
      </c>
      <c r="E198" s="1">
        <v>350</v>
      </c>
      <c r="F198" s="1">
        <v>20000</v>
      </c>
      <c r="G198" s="1">
        <v>0</v>
      </c>
      <c r="H198" s="1">
        <v>0</v>
      </c>
      <c r="I198" s="1">
        <v>60000</v>
      </c>
      <c r="J198" s="1">
        <v>2001103</v>
      </c>
      <c r="K198" s="1" t="s">
        <v>1185</v>
      </c>
      <c r="L198" s="1" t="str">
        <f t="shared" si="0"/>
        <v>化身熊猫</v>
      </c>
      <c r="M198" s="1">
        <v>0</v>
      </c>
      <c r="N198" s="1">
        <v>0</v>
      </c>
      <c r="O198" s="1">
        <v>0</v>
      </c>
      <c r="P198" s="104" t="s">
        <v>1256</v>
      </c>
      <c r="Q198" s="17"/>
      <c r="R198" s="1" t="s">
        <v>60</v>
      </c>
      <c r="S198" s="1">
        <v>0</v>
      </c>
      <c r="T198" s="1">
        <v>9999999</v>
      </c>
      <c r="U198" s="11">
        <v>0</v>
      </c>
      <c r="V198" s="1">
        <v>1013</v>
      </c>
      <c r="W198" s="11" t="s">
        <v>1186</v>
      </c>
      <c r="X198" s="1">
        <v>0</v>
      </c>
      <c r="Y198" s="1">
        <v>0</v>
      </c>
      <c r="Z198" s="1">
        <v>0</v>
      </c>
    </row>
    <row r="199" s="1" customFormat="1" spans="1:26">
      <c r="A199" s="16">
        <v>2001101</v>
      </c>
      <c r="B199" s="1" t="s">
        <v>1187</v>
      </c>
      <c r="C199" s="1">
        <v>1</v>
      </c>
      <c r="D199">
        <v>1001</v>
      </c>
      <c r="E199" s="1">
        <v>350</v>
      </c>
      <c r="F199" s="1">
        <v>11000</v>
      </c>
      <c r="G199" s="1">
        <v>0</v>
      </c>
      <c r="I199" s="1">
        <v>1000</v>
      </c>
      <c r="J199" s="1">
        <v>0</v>
      </c>
      <c r="K199" s="1" t="s">
        <v>1188</v>
      </c>
      <c r="L199" s="1" t="str">
        <f t="shared" si="0"/>
        <v>大竹抛射</v>
      </c>
      <c r="M199" s="1">
        <v>1</v>
      </c>
      <c r="N199" s="1">
        <v>0</v>
      </c>
      <c r="O199" s="1">
        <v>0</v>
      </c>
      <c r="R199" s="1" t="s">
        <v>227</v>
      </c>
      <c r="S199" s="1">
        <v>0</v>
      </c>
      <c r="T199" s="1">
        <v>0</v>
      </c>
      <c r="U199" s="1">
        <v>0</v>
      </c>
      <c r="V199" s="1">
        <v>1013</v>
      </c>
      <c r="W199" s="1">
        <v>630</v>
      </c>
      <c r="X199" s="1">
        <v>2000101</v>
      </c>
      <c r="Y199" s="1">
        <v>430</v>
      </c>
      <c r="Z199" s="1">
        <v>250</v>
      </c>
    </row>
    <row r="200" s="1" customFormat="1" spans="1:26">
      <c r="A200" s="16">
        <v>2001102</v>
      </c>
      <c r="B200" s="1" t="s">
        <v>1257</v>
      </c>
      <c r="C200" s="1">
        <v>2</v>
      </c>
      <c r="D200" s="1">
        <v>2001</v>
      </c>
      <c r="E200" s="1">
        <v>350</v>
      </c>
      <c r="F200" s="1">
        <v>9000</v>
      </c>
      <c r="G200" s="1">
        <v>100</v>
      </c>
      <c r="I200" s="1">
        <v>10000</v>
      </c>
      <c r="J200" s="1">
        <v>2000102</v>
      </c>
      <c r="K200" s="1" t="s">
        <v>1258</v>
      </c>
      <c r="L200" s="1" t="str">
        <f t="shared" si="0"/>
        <v>连珠竹炮</v>
      </c>
      <c r="M200" s="1">
        <v>1</v>
      </c>
      <c r="N200" s="1">
        <v>0</v>
      </c>
      <c r="O200" s="1">
        <v>0</v>
      </c>
      <c r="R200" s="1" t="s">
        <v>60</v>
      </c>
      <c r="S200" s="1">
        <v>0</v>
      </c>
      <c r="T200" s="1">
        <v>2001102</v>
      </c>
      <c r="U200" s="1">
        <v>1500</v>
      </c>
      <c r="V200" s="1">
        <v>1013</v>
      </c>
      <c r="W200" s="1" t="s">
        <v>1259</v>
      </c>
      <c r="X200" s="1">
        <v>0</v>
      </c>
      <c r="Y200" s="1">
        <v>0</v>
      </c>
      <c r="Z200" s="1">
        <v>0</v>
      </c>
    </row>
    <row r="201" s="1" customFormat="1" spans="1:26">
      <c r="A201" s="16">
        <v>2002101</v>
      </c>
      <c r="B201" s="1" t="s">
        <v>1190</v>
      </c>
      <c r="C201" s="1">
        <v>1</v>
      </c>
      <c r="D201">
        <v>1001</v>
      </c>
      <c r="E201" s="1">
        <v>350</v>
      </c>
      <c r="F201" s="1">
        <v>18000</v>
      </c>
      <c r="G201" s="1">
        <v>0</v>
      </c>
      <c r="I201" s="1">
        <v>1000</v>
      </c>
      <c r="J201" s="1">
        <v>0</v>
      </c>
      <c r="K201" s="1" t="s">
        <v>823</v>
      </c>
      <c r="L201" s="1" t="str">
        <f t="shared" si="0"/>
        <v>箭矢发射</v>
      </c>
      <c r="M201" s="1">
        <v>1</v>
      </c>
      <c r="N201" s="1">
        <v>0</v>
      </c>
      <c r="O201" s="1">
        <v>0</v>
      </c>
      <c r="R201" s="1" t="s">
        <v>227</v>
      </c>
      <c r="S201" s="1">
        <v>0</v>
      </c>
      <c r="T201" s="1">
        <v>0</v>
      </c>
      <c r="U201" s="1">
        <v>0</v>
      </c>
      <c r="V201" s="1">
        <v>1013</v>
      </c>
      <c r="W201" s="1">
        <v>630</v>
      </c>
      <c r="X201" s="1">
        <v>2002101</v>
      </c>
      <c r="Y201" s="1">
        <v>430</v>
      </c>
      <c r="Z201" s="1">
        <v>250</v>
      </c>
    </row>
    <row r="202" s="1" customFormat="1" spans="1:26">
      <c r="A202" s="16">
        <v>2002102</v>
      </c>
      <c r="B202" s="1" t="s">
        <v>1260</v>
      </c>
      <c r="C202" s="1">
        <v>2</v>
      </c>
      <c r="D202" s="1">
        <v>2001</v>
      </c>
      <c r="E202" s="1">
        <v>350</v>
      </c>
      <c r="F202" s="1">
        <v>6000</v>
      </c>
      <c r="G202" s="1">
        <v>100</v>
      </c>
      <c r="I202" s="1">
        <v>16000</v>
      </c>
      <c r="J202" s="1">
        <v>2002102</v>
      </c>
      <c r="K202" s="1" t="s">
        <v>1261</v>
      </c>
      <c r="L202" s="1" t="str">
        <f t="shared" si="0"/>
        <v>箭雨风暴</v>
      </c>
      <c r="M202" s="1">
        <v>1</v>
      </c>
      <c r="N202" s="1">
        <v>0</v>
      </c>
      <c r="O202" s="1">
        <v>0</v>
      </c>
      <c r="R202" s="1" t="s">
        <v>60</v>
      </c>
      <c r="S202" s="1">
        <v>0</v>
      </c>
      <c r="T202" s="1">
        <v>2002102</v>
      </c>
      <c r="U202" s="1">
        <v>1200</v>
      </c>
      <c r="V202" s="1">
        <v>1013</v>
      </c>
      <c r="W202" s="1" t="s">
        <v>1202</v>
      </c>
      <c r="X202" s="1">
        <v>0</v>
      </c>
      <c r="Y202" s="1">
        <v>0</v>
      </c>
      <c r="Z202" s="1">
        <v>0</v>
      </c>
    </row>
    <row r="203" s="1" customFormat="1" spans="1:26">
      <c r="A203" s="16">
        <v>2002104</v>
      </c>
      <c r="B203" s="1" t="s">
        <v>1192</v>
      </c>
      <c r="C203" s="1">
        <v>3</v>
      </c>
      <c r="D203" s="1">
        <v>101</v>
      </c>
      <c r="E203" s="1">
        <v>350</v>
      </c>
      <c r="F203" s="1">
        <v>0</v>
      </c>
      <c r="G203" s="1">
        <v>0</v>
      </c>
      <c r="H203" s="16">
        <v>2002104</v>
      </c>
      <c r="I203" s="1">
        <v>0</v>
      </c>
      <c r="J203" s="1">
        <v>2002104</v>
      </c>
      <c r="K203" s="1" t="s">
        <v>1193</v>
      </c>
      <c r="L203" s="1" t="str">
        <f t="shared" si="0"/>
        <v>精准攻击</v>
      </c>
      <c r="M203" s="1">
        <v>0</v>
      </c>
      <c r="N203" s="1">
        <v>0</v>
      </c>
      <c r="O203" s="1">
        <v>0</v>
      </c>
      <c r="R203" s="1" t="s">
        <v>227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</row>
    <row r="204" s="1" customFormat="1" spans="1:26">
      <c r="A204" s="16">
        <v>2002201</v>
      </c>
      <c r="B204" s="1" t="s">
        <v>1194</v>
      </c>
      <c r="C204" s="1">
        <v>1</v>
      </c>
      <c r="D204">
        <v>1001</v>
      </c>
      <c r="E204" s="1">
        <v>350</v>
      </c>
      <c r="F204" s="1">
        <v>16000</v>
      </c>
      <c r="G204" s="1">
        <v>0</v>
      </c>
      <c r="I204" s="1">
        <v>1000</v>
      </c>
      <c r="J204" s="1">
        <v>0</v>
      </c>
      <c r="K204" s="1" t="s">
        <v>832</v>
      </c>
      <c r="L204" s="1" t="str">
        <f t="shared" si="0"/>
        <v>烟丝抛射</v>
      </c>
      <c r="M204" s="1">
        <v>1</v>
      </c>
      <c r="N204" s="1">
        <v>0</v>
      </c>
      <c r="O204" s="1">
        <v>0</v>
      </c>
      <c r="R204" s="1" t="s">
        <v>227</v>
      </c>
      <c r="S204" s="1">
        <v>0</v>
      </c>
      <c r="T204" s="1">
        <v>0</v>
      </c>
      <c r="U204" s="1">
        <v>0</v>
      </c>
      <c r="V204" s="1">
        <v>1012</v>
      </c>
      <c r="W204" s="1">
        <v>600</v>
      </c>
      <c r="X204" s="1">
        <v>2002201</v>
      </c>
      <c r="Y204" s="1">
        <v>400</v>
      </c>
      <c r="Z204" s="1">
        <v>250</v>
      </c>
    </row>
    <row r="205" s="1" customFormat="1" spans="1:26">
      <c r="A205" s="16">
        <v>2002202</v>
      </c>
      <c r="B205" s="1" t="s">
        <v>1262</v>
      </c>
      <c r="C205" s="1">
        <v>2</v>
      </c>
      <c r="D205" s="1">
        <v>2001</v>
      </c>
      <c r="E205" s="1">
        <v>350</v>
      </c>
      <c r="F205" s="1">
        <v>5400</v>
      </c>
      <c r="G205" s="1">
        <v>100</v>
      </c>
      <c r="I205" s="1">
        <v>16000</v>
      </c>
      <c r="J205" s="1">
        <v>2002202</v>
      </c>
      <c r="K205" s="1" t="s">
        <v>1263</v>
      </c>
      <c r="L205" s="1" t="str">
        <f t="shared" si="0"/>
        <v>烟斗倾泻</v>
      </c>
      <c r="M205" s="1">
        <v>1</v>
      </c>
      <c r="N205" s="1">
        <v>0</v>
      </c>
      <c r="O205" s="1">
        <v>0</v>
      </c>
      <c r="R205" s="1" t="s">
        <v>60</v>
      </c>
      <c r="S205" s="1">
        <v>0</v>
      </c>
      <c r="T205" s="1">
        <v>2002202</v>
      </c>
      <c r="U205" s="1">
        <v>670</v>
      </c>
      <c r="V205" s="1">
        <v>1012</v>
      </c>
      <c r="W205" s="1" t="s">
        <v>1264</v>
      </c>
      <c r="X205" s="1">
        <v>0</v>
      </c>
      <c r="Y205" s="1">
        <v>0</v>
      </c>
      <c r="Z205" s="1">
        <v>0</v>
      </c>
    </row>
    <row r="206" s="1" customFormat="1" spans="1:26">
      <c r="A206" s="16">
        <v>2002204</v>
      </c>
      <c r="B206" s="1" t="s">
        <v>1195</v>
      </c>
      <c r="C206" s="1">
        <v>3</v>
      </c>
      <c r="D206" s="1">
        <v>101</v>
      </c>
      <c r="E206" s="1">
        <v>350</v>
      </c>
      <c r="F206" s="1">
        <v>0</v>
      </c>
      <c r="G206" s="1">
        <v>0</v>
      </c>
      <c r="H206" s="16">
        <v>2002204</v>
      </c>
      <c r="I206" s="1">
        <v>0</v>
      </c>
      <c r="J206" s="1">
        <v>2002204</v>
      </c>
      <c r="K206" s="1" t="s">
        <v>1196</v>
      </c>
      <c r="L206" s="1" t="str">
        <f t="shared" si="0"/>
        <v>坚韧体魄</v>
      </c>
      <c r="M206" s="1">
        <v>0</v>
      </c>
      <c r="N206" s="1">
        <v>0</v>
      </c>
      <c r="O206" s="1">
        <v>0</v>
      </c>
      <c r="R206" s="1" t="s">
        <v>227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</row>
    <row r="207" s="1" customFormat="1" spans="1:26">
      <c r="A207" s="16">
        <v>2002301</v>
      </c>
      <c r="B207" s="1" t="s">
        <v>1197</v>
      </c>
      <c r="C207" s="1">
        <v>1</v>
      </c>
      <c r="D207">
        <v>1001</v>
      </c>
      <c r="E207" s="1">
        <v>350</v>
      </c>
      <c r="F207" s="1">
        <v>10000</v>
      </c>
      <c r="G207" s="1">
        <v>0</v>
      </c>
      <c r="I207" s="1">
        <v>1000</v>
      </c>
      <c r="J207" s="1">
        <v>0</v>
      </c>
      <c r="K207" s="1" t="s">
        <v>840</v>
      </c>
      <c r="L207" s="1" t="str">
        <f t="shared" si="0"/>
        <v>元素法师普攻</v>
      </c>
      <c r="M207" s="1">
        <v>1</v>
      </c>
      <c r="N207" s="1">
        <v>0</v>
      </c>
      <c r="O207" s="1">
        <v>0</v>
      </c>
      <c r="R207" s="1" t="s">
        <v>227</v>
      </c>
      <c r="S207" s="1">
        <v>0</v>
      </c>
      <c r="T207" s="1">
        <v>0</v>
      </c>
      <c r="U207" s="1">
        <v>0</v>
      </c>
      <c r="V207" s="1">
        <v>1016</v>
      </c>
      <c r="W207" s="1">
        <v>650</v>
      </c>
      <c r="X207" s="1">
        <v>2002301</v>
      </c>
      <c r="Y207" s="1">
        <v>460</v>
      </c>
      <c r="Z207" s="1">
        <v>250</v>
      </c>
    </row>
    <row r="208" s="1" customFormat="1" spans="1:26">
      <c r="A208" s="16">
        <v>2002302</v>
      </c>
      <c r="B208" s="1" t="s">
        <v>1265</v>
      </c>
      <c r="C208" s="1">
        <v>2</v>
      </c>
      <c r="D208" s="1">
        <v>2001</v>
      </c>
      <c r="E208" s="1">
        <v>350</v>
      </c>
      <c r="F208" s="1">
        <v>66000</v>
      </c>
      <c r="G208" s="1">
        <v>100</v>
      </c>
      <c r="I208" s="1">
        <v>18000</v>
      </c>
      <c r="J208" s="1">
        <v>2002302</v>
      </c>
      <c r="K208" s="1" t="s">
        <v>1266</v>
      </c>
      <c r="L208" s="1" t="str">
        <f t="shared" si="0"/>
        <v>元素法师技能</v>
      </c>
      <c r="M208" s="1">
        <v>1</v>
      </c>
      <c r="N208" s="1">
        <v>0</v>
      </c>
      <c r="O208" s="1">
        <v>0</v>
      </c>
      <c r="R208" s="1" t="s">
        <v>60</v>
      </c>
      <c r="S208" s="1">
        <v>0</v>
      </c>
      <c r="T208" s="1">
        <v>2002302</v>
      </c>
      <c r="U208" s="1">
        <v>500</v>
      </c>
      <c r="V208" s="1">
        <v>1016</v>
      </c>
      <c r="W208" s="1">
        <v>2250</v>
      </c>
      <c r="X208" s="1">
        <v>0</v>
      </c>
      <c r="Y208" s="1">
        <v>0</v>
      </c>
      <c r="Z208" s="1">
        <v>0</v>
      </c>
    </row>
    <row r="209" s="1" customFormat="1" spans="1:26">
      <c r="A209" s="16">
        <v>2002304</v>
      </c>
      <c r="B209" s="1" t="s">
        <v>1198</v>
      </c>
      <c r="C209" s="1">
        <v>3</v>
      </c>
      <c r="D209" s="1">
        <v>101</v>
      </c>
      <c r="E209" s="1">
        <v>350</v>
      </c>
      <c r="F209" s="1">
        <v>0</v>
      </c>
      <c r="G209" s="1">
        <v>0</v>
      </c>
      <c r="H209" s="16">
        <v>2002304</v>
      </c>
      <c r="I209" s="1">
        <v>0</v>
      </c>
      <c r="J209" s="1">
        <v>2002304</v>
      </c>
      <c r="K209" s="1" t="s">
        <v>1199</v>
      </c>
      <c r="L209" s="1" t="str">
        <f t="shared" si="0"/>
        <v>元素拥护</v>
      </c>
      <c r="M209" s="1">
        <v>0</v>
      </c>
      <c r="N209" s="1">
        <v>0</v>
      </c>
      <c r="O209" s="1">
        <v>0</v>
      </c>
      <c r="R209" s="1" t="s">
        <v>227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</row>
    <row r="210" s="1" customFormat="1" spans="1:26">
      <c r="A210" s="16">
        <v>2003101</v>
      </c>
      <c r="B210" s="1" t="s">
        <v>1200</v>
      </c>
      <c r="C210" s="1">
        <v>1</v>
      </c>
      <c r="D210">
        <v>1001</v>
      </c>
      <c r="E210" s="1">
        <v>350</v>
      </c>
      <c r="F210" s="1">
        <v>10000</v>
      </c>
      <c r="G210" s="1">
        <v>0</v>
      </c>
      <c r="I210" s="1">
        <v>1000</v>
      </c>
      <c r="J210" s="1">
        <v>0</v>
      </c>
      <c r="K210" s="1" t="s">
        <v>1200</v>
      </c>
      <c r="L210" s="1" t="str">
        <f t="shared" si="0"/>
        <v>狂战（格斗）普攻替代</v>
      </c>
      <c r="M210" s="1">
        <v>1</v>
      </c>
      <c r="N210" s="1">
        <v>0</v>
      </c>
      <c r="O210" s="1">
        <v>0</v>
      </c>
      <c r="R210" s="1" t="s">
        <v>227</v>
      </c>
      <c r="S210" s="1">
        <v>0</v>
      </c>
      <c r="T210" s="1">
        <v>0</v>
      </c>
      <c r="U210" s="1">
        <v>0</v>
      </c>
      <c r="V210" s="1">
        <v>1013</v>
      </c>
      <c r="W210" s="1">
        <v>700</v>
      </c>
      <c r="X210" s="1">
        <v>2000101</v>
      </c>
      <c r="Y210" s="1">
        <v>300</v>
      </c>
      <c r="Z210" s="1">
        <v>450</v>
      </c>
    </row>
    <row r="211" s="1" customFormat="1" spans="1:26">
      <c r="A211" s="16">
        <v>2003102</v>
      </c>
      <c r="B211" s="1" t="s">
        <v>1201</v>
      </c>
      <c r="C211" s="1">
        <v>2</v>
      </c>
      <c r="D211" s="1">
        <v>2001</v>
      </c>
      <c r="E211" s="1">
        <v>350</v>
      </c>
      <c r="F211" s="1">
        <v>2000</v>
      </c>
      <c r="G211" s="1">
        <v>100</v>
      </c>
      <c r="I211" s="1">
        <v>6000</v>
      </c>
      <c r="J211" s="1">
        <v>3100401</v>
      </c>
      <c r="K211" s="1" t="s">
        <v>1201</v>
      </c>
      <c r="L211" s="1" t="str">
        <f t="shared" si="0"/>
        <v>狂战（格斗）技能替代</v>
      </c>
      <c r="M211" s="1">
        <v>1</v>
      </c>
      <c r="N211" s="1">
        <v>0</v>
      </c>
      <c r="O211" s="1">
        <v>0</v>
      </c>
      <c r="R211" s="1" t="s">
        <v>60</v>
      </c>
      <c r="S211" s="1">
        <v>0</v>
      </c>
      <c r="T211" s="1">
        <v>2002102</v>
      </c>
      <c r="U211" s="1">
        <v>670</v>
      </c>
      <c r="V211" s="1">
        <v>1013</v>
      </c>
      <c r="W211" s="1" t="s">
        <v>1202</v>
      </c>
      <c r="X211" s="1">
        <v>0</v>
      </c>
      <c r="Y211" s="1">
        <v>0</v>
      </c>
      <c r="Z211" s="1">
        <v>0</v>
      </c>
    </row>
    <row r="212" s="1" customFormat="1" spans="1:26">
      <c r="A212" s="16">
        <v>2003105</v>
      </c>
      <c r="B212" s="1" t="s">
        <v>1203</v>
      </c>
      <c r="C212" s="1">
        <v>3</v>
      </c>
      <c r="D212" s="1">
        <v>101</v>
      </c>
      <c r="E212" s="1">
        <v>350</v>
      </c>
      <c r="F212" s="1">
        <v>0</v>
      </c>
      <c r="G212" s="1">
        <v>0</v>
      </c>
      <c r="H212" s="1">
        <v>31001003</v>
      </c>
      <c r="I212" s="1">
        <v>0</v>
      </c>
      <c r="J212" s="1">
        <v>3100401</v>
      </c>
      <c r="K212" s="1" t="s">
        <v>1204</v>
      </c>
      <c r="L212" s="1" t="str">
        <f t="shared" si="0"/>
        <v>格斗亲和</v>
      </c>
      <c r="M212" s="1">
        <v>0</v>
      </c>
      <c r="N212" s="1">
        <v>0</v>
      </c>
      <c r="O212" s="1">
        <v>0</v>
      </c>
      <c r="R212" s="1" t="s">
        <v>227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</row>
    <row r="213" s="1" customFormat="1" spans="1:26">
      <c r="A213" s="16">
        <v>2003106</v>
      </c>
      <c r="B213" s="1" t="s">
        <v>1205</v>
      </c>
      <c r="C213" s="1">
        <v>3</v>
      </c>
      <c r="D213" s="1">
        <v>101</v>
      </c>
      <c r="E213" s="1">
        <v>350</v>
      </c>
      <c r="F213" s="1">
        <v>0</v>
      </c>
      <c r="G213" s="1">
        <v>0</v>
      </c>
      <c r="H213" s="1">
        <v>31001003</v>
      </c>
      <c r="I213" s="1">
        <v>0</v>
      </c>
      <c r="J213" s="1">
        <v>3100401</v>
      </c>
      <c r="K213" s="1" t="s">
        <v>1205</v>
      </c>
      <c r="L213" s="1" t="str">
        <f t="shared" si="0"/>
        <v>狂战（格斗）被动4替代</v>
      </c>
      <c r="M213" s="1">
        <v>0</v>
      </c>
      <c r="N213" s="1">
        <v>0</v>
      </c>
      <c r="O213" s="1">
        <v>0</v>
      </c>
      <c r="R213" s="1" t="s">
        <v>227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</row>
    <row r="214" s="1" customFormat="1" spans="1:26">
      <c r="A214" s="16">
        <v>2003107</v>
      </c>
      <c r="B214" s="1" t="s">
        <v>1206</v>
      </c>
      <c r="C214" s="1">
        <v>3</v>
      </c>
      <c r="D214" s="1">
        <v>101</v>
      </c>
      <c r="E214" s="1">
        <v>350</v>
      </c>
      <c r="F214" s="1">
        <v>0</v>
      </c>
      <c r="G214" s="1">
        <v>0</v>
      </c>
      <c r="H214" s="1">
        <v>31001003</v>
      </c>
      <c r="I214" s="1">
        <v>0</v>
      </c>
      <c r="J214" s="1">
        <v>3100401</v>
      </c>
      <c r="K214" s="1" t="s">
        <v>1206</v>
      </c>
      <c r="L214" s="1" t="str">
        <f t="shared" si="0"/>
        <v>狂战（格斗）被动5替代</v>
      </c>
      <c r="M214" s="1">
        <v>0</v>
      </c>
      <c r="N214" s="1">
        <v>0</v>
      </c>
      <c r="O214" s="1">
        <v>0</v>
      </c>
      <c r="R214" s="1" t="s">
        <v>227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</row>
    <row r="215" s="1" customFormat="1" spans="1:26">
      <c r="A215" s="16">
        <v>2003201</v>
      </c>
      <c r="B215" s="1" t="s">
        <v>1207</v>
      </c>
      <c r="C215" s="1">
        <v>1</v>
      </c>
      <c r="D215">
        <v>1001</v>
      </c>
      <c r="E215" s="1">
        <v>350</v>
      </c>
      <c r="F215" s="1">
        <v>10000</v>
      </c>
      <c r="G215" s="1">
        <v>0</v>
      </c>
      <c r="I215" s="1">
        <v>1000</v>
      </c>
      <c r="J215" s="1">
        <v>0</v>
      </c>
      <c r="K215" s="1" t="s">
        <v>1207</v>
      </c>
      <c r="L215" s="1" t="str">
        <f t="shared" si="0"/>
        <v>影刺（草）普攻替代</v>
      </c>
      <c r="M215" s="1">
        <v>1</v>
      </c>
      <c r="N215" s="1">
        <v>0</v>
      </c>
      <c r="O215" s="1">
        <v>0</v>
      </c>
      <c r="R215" s="1" t="s">
        <v>227</v>
      </c>
      <c r="S215" s="1">
        <v>0</v>
      </c>
      <c r="T215" s="1">
        <v>0</v>
      </c>
      <c r="U215" s="1">
        <v>0</v>
      </c>
      <c r="V215" s="1">
        <v>1013</v>
      </c>
      <c r="W215" s="1">
        <v>700</v>
      </c>
      <c r="X215" s="1">
        <v>2000101</v>
      </c>
      <c r="Y215" s="1">
        <v>300</v>
      </c>
      <c r="Z215" s="1">
        <v>450</v>
      </c>
    </row>
    <row r="216" s="1" customFormat="1" spans="1:26">
      <c r="A216" s="16">
        <v>2003202</v>
      </c>
      <c r="B216" s="1" t="s">
        <v>1208</v>
      </c>
      <c r="C216" s="1">
        <v>2</v>
      </c>
      <c r="D216" s="1">
        <v>2001</v>
      </c>
      <c r="E216" s="1">
        <v>350</v>
      </c>
      <c r="F216" s="1">
        <v>2000</v>
      </c>
      <c r="G216" s="1">
        <v>100</v>
      </c>
      <c r="I216" s="1">
        <v>6000</v>
      </c>
      <c r="J216" s="1">
        <v>3100401</v>
      </c>
      <c r="K216" s="1" t="s">
        <v>1208</v>
      </c>
      <c r="L216" s="1" t="str">
        <f t="shared" si="0"/>
        <v>影刺（草）技能替代</v>
      </c>
      <c r="M216" s="1">
        <v>1</v>
      </c>
      <c r="N216" s="1">
        <v>0</v>
      </c>
      <c r="O216" s="1">
        <v>0</v>
      </c>
      <c r="R216" s="1" t="s">
        <v>60</v>
      </c>
      <c r="S216" s="1">
        <v>0</v>
      </c>
      <c r="T216" s="1">
        <v>2002102</v>
      </c>
      <c r="U216" s="1">
        <v>670</v>
      </c>
      <c r="V216" s="1">
        <v>1013</v>
      </c>
      <c r="W216" s="1" t="s">
        <v>1202</v>
      </c>
      <c r="X216" s="1">
        <v>0</v>
      </c>
      <c r="Y216" s="1">
        <v>0</v>
      </c>
      <c r="Z216" s="1">
        <v>0</v>
      </c>
    </row>
    <row r="217" s="1" customFormat="1" spans="1:26">
      <c r="A217" s="16">
        <v>2003205</v>
      </c>
      <c r="B217" s="1" t="s">
        <v>1209</v>
      </c>
      <c r="C217" s="1">
        <v>3</v>
      </c>
      <c r="D217" s="1">
        <v>101</v>
      </c>
      <c r="E217" s="1">
        <v>350</v>
      </c>
      <c r="F217" s="1">
        <v>0</v>
      </c>
      <c r="G217" s="1">
        <v>0</v>
      </c>
      <c r="H217" s="1">
        <v>31001003</v>
      </c>
      <c r="I217" s="1">
        <v>0</v>
      </c>
      <c r="J217" s="1">
        <v>3100101</v>
      </c>
      <c r="K217" s="1" t="s">
        <v>1210</v>
      </c>
      <c r="L217" s="1" t="str">
        <f t="shared" si="0"/>
        <v>草系亲和</v>
      </c>
      <c r="M217" s="1">
        <v>0</v>
      </c>
      <c r="N217" s="1">
        <v>0</v>
      </c>
      <c r="O217" s="1">
        <v>0</v>
      </c>
      <c r="R217" s="1" t="s">
        <v>227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</row>
    <row r="218" s="1" customFormat="1" spans="1:26">
      <c r="A218" s="16">
        <v>2003206</v>
      </c>
      <c r="B218" s="1" t="s">
        <v>1211</v>
      </c>
      <c r="C218" s="1">
        <v>3</v>
      </c>
      <c r="D218" s="1">
        <v>101</v>
      </c>
      <c r="E218" s="1">
        <v>350</v>
      </c>
      <c r="F218" s="1">
        <v>0</v>
      </c>
      <c r="G218" s="1">
        <v>0</v>
      </c>
      <c r="H218" s="1">
        <v>31001003</v>
      </c>
      <c r="I218" s="1">
        <v>0</v>
      </c>
      <c r="J218" s="1">
        <v>3100101</v>
      </c>
      <c r="K218" s="1" t="s">
        <v>1211</v>
      </c>
      <c r="L218" s="1" t="str">
        <f t="shared" si="0"/>
        <v>影刺（草）被动4替代</v>
      </c>
      <c r="M218" s="1">
        <v>0</v>
      </c>
      <c r="N218" s="1">
        <v>0</v>
      </c>
      <c r="O218" s="1">
        <v>0</v>
      </c>
      <c r="R218" s="1" t="s">
        <v>227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</row>
    <row r="219" s="1" customFormat="1" spans="1:26">
      <c r="A219" s="16">
        <v>2003207</v>
      </c>
      <c r="B219" s="1" t="s">
        <v>1212</v>
      </c>
      <c r="C219" s="1">
        <v>3</v>
      </c>
      <c r="D219" s="1">
        <v>101</v>
      </c>
      <c r="E219" s="1">
        <v>350</v>
      </c>
      <c r="F219" s="1">
        <v>0</v>
      </c>
      <c r="G219" s="1">
        <v>0</v>
      </c>
      <c r="H219" s="1">
        <v>31001003</v>
      </c>
      <c r="I219" s="1">
        <v>0</v>
      </c>
      <c r="J219" s="1">
        <v>3100101</v>
      </c>
      <c r="K219" s="1" t="s">
        <v>1212</v>
      </c>
      <c r="L219" s="1" t="str">
        <f t="shared" si="0"/>
        <v>影刺（草）被动5替代</v>
      </c>
      <c r="M219" s="1">
        <v>0</v>
      </c>
      <c r="N219" s="1">
        <v>0</v>
      </c>
      <c r="O219" s="1">
        <v>0</v>
      </c>
      <c r="R219" s="1" t="s">
        <v>227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</row>
    <row r="220" s="1" customFormat="1" spans="1:26">
      <c r="A220" s="16">
        <v>2003301</v>
      </c>
      <c r="B220" s="1" t="s">
        <v>1213</v>
      </c>
      <c r="C220" s="1">
        <v>1</v>
      </c>
      <c r="D220">
        <v>1001</v>
      </c>
      <c r="E220" s="1">
        <v>350</v>
      </c>
      <c r="F220" s="1">
        <v>10000</v>
      </c>
      <c r="G220" s="1">
        <v>0</v>
      </c>
      <c r="I220" s="1">
        <v>1000</v>
      </c>
      <c r="J220" s="1">
        <v>0</v>
      </c>
      <c r="K220" s="1" t="s">
        <v>1213</v>
      </c>
      <c r="L220" s="1" t="str">
        <f t="shared" si="0"/>
        <v>渔夫（水）普攻替代</v>
      </c>
      <c r="M220" s="1">
        <v>1</v>
      </c>
      <c r="N220" s="1">
        <v>0</v>
      </c>
      <c r="O220" s="1">
        <v>0</v>
      </c>
      <c r="R220" s="1" t="s">
        <v>227</v>
      </c>
      <c r="S220" s="1">
        <v>0</v>
      </c>
      <c r="T220" s="1">
        <v>0</v>
      </c>
      <c r="U220" s="1">
        <v>0</v>
      </c>
      <c r="V220" s="1">
        <v>1011</v>
      </c>
      <c r="W220" s="1">
        <v>700</v>
      </c>
      <c r="X220" s="1">
        <v>2000101</v>
      </c>
      <c r="Y220" s="1">
        <v>300</v>
      </c>
      <c r="Z220" s="1">
        <v>450</v>
      </c>
    </row>
    <row r="221" s="1" customFormat="1" spans="1:26">
      <c r="A221" s="16">
        <v>2003302</v>
      </c>
      <c r="B221" s="1" t="s">
        <v>1214</v>
      </c>
      <c r="C221" s="1">
        <v>2</v>
      </c>
      <c r="D221" s="1">
        <v>2001</v>
      </c>
      <c r="E221" s="1">
        <v>350</v>
      </c>
      <c r="F221" s="1">
        <v>2000</v>
      </c>
      <c r="G221" s="1">
        <v>100</v>
      </c>
      <c r="I221" s="1">
        <v>6000</v>
      </c>
      <c r="J221" s="1">
        <v>3100401</v>
      </c>
      <c r="K221" s="1" t="s">
        <v>1214</v>
      </c>
      <c r="L221" s="1" t="str">
        <f t="shared" si="0"/>
        <v>渔夫（水）技能替代</v>
      </c>
      <c r="M221" s="1">
        <v>1</v>
      </c>
      <c r="N221" s="1">
        <v>0</v>
      </c>
      <c r="O221" s="1">
        <v>0</v>
      </c>
      <c r="R221" s="1" t="s">
        <v>60</v>
      </c>
      <c r="S221" s="1">
        <v>0</v>
      </c>
      <c r="T221" s="1">
        <v>2002102</v>
      </c>
      <c r="U221" s="1">
        <v>670</v>
      </c>
      <c r="V221" s="1">
        <v>1011</v>
      </c>
      <c r="W221" s="1" t="s">
        <v>1202</v>
      </c>
      <c r="X221" s="1">
        <v>0</v>
      </c>
      <c r="Y221" s="1">
        <v>0</v>
      </c>
      <c r="Z221" s="1">
        <v>0</v>
      </c>
    </row>
    <row r="222" s="1" customFormat="1" spans="1:26">
      <c r="A222" s="16">
        <v>2003305</v>
      </c>
      <c r="B222" s="1" t="s">
        <v>1215</v>
      </c>
      <c r="C222" s="1">
        <v>3</v>
      </c>
      <c r="D222" s="1">
        <v>101</v>
      </c>
      <c r="E222" s="1">
        <v>350</v>
      </c>
      <c r="F222" s="1">
        <v>0</v>
      </c>
      <c r="G222" s="1">
        <v>0</v>
      </c>
      <c r="H222" s="1">
        <v>31001003</v>
      </c>
      <c r="I222" s="1">
        <v>0</v>
      </c>
      <c r="J222" s="1">
        <v>3100101</v>
      </c>
      <c r="K222" s="1" t="s">
        <v>1216</v>
      </c>
      <c r="L222" s="1" t="str">
        <f t="shared" si="0"/>
        <v>水系亲和</v>
      </c>
      <c r="M222" s="1">
        <v>0</v>
      </c>
      <c r="N222" s="1">
        <v>0</v>
      </c>
      <c r="O222" s="1">
        <v>0</v>
      </c>
      <c r="R222" s="1" t="s">
        <v>227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</row>
    <row r="223" s="1" customFormat="1" spans="1:26">
      <c r="A223" s="16">
        <v>2003306</v>
      </c>
      <c r="B223" s="1" t="s">
        <v>1217</v>
      </c>
      <c r="C223" s="1">
        <v>3</v>
      </c>
      <c r="D223" s="1">
        <v>101</v>
      </c>
      <c r="E223" s="1">
        <v>350</v>
      </c>
      <c r="F223" s="1">
        <v>0</v>
      </c>
      <c r="G223" s="1">
        <v>0</v>
      </c>
      <c r="H223" s="1">
        <v>31001003</v>
      </c>
      <c r="I223" s="1">
        <v>0</v>
      </c>
      <c r="J223" s="1">
        <v>3100101</v>
      </c>
      <c r="K223" s="1" t="s">
        <v>1217</v>
      </c>
      <c r="L223" s="1" t="str">
        <f t="shared" si="0"/>
        <v>渔夫（水）被动4替代</v>
      </c>
      <c r="M223" s="1">
        <v>0</v>
      </c>
      <c r="N223" s="1">
        <v>0</v>
      </c>
      <c r="O223" s="1">
        <v>0</v>
      </c>
      <c r="R223" s="1" t="s">
        <v>227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</row>
    <row r="224" s="1" customFormat="1" spans="1:26">
      <c r="A224" s="16">
        <v>2003307</v>
      </c>
      <c r="B224" s="1" t="s">
        <v>1218</v>
      </c>
      <c r="C224" s="1">
        <v>3</v>
      </c>
      <c r="D224" s="1">
        <v>101</v>
      </c>
      <c r="E224" s="1">
        <v>350</v>
      </c>
      <c r="F224" s="1">
        <v>0</v>
      </c>
      <c r="G224" s="1">
        <v>0</v>
      </c>
      <c r="H224" s="1">
        <v>31001003</v>
      </c>
      <c r="I224" s="1">
        <v>0</v>
      </c>
      <c r="J224" s="1">
        <v>3100101</v>
      </c>
      <c r="K224" s="1" t="s">
        <v>1218</v>
      </c>
      <c r="L224" s="1" t="str">
        <f t="shared" si="0"/>
        <v>渔夫（水）被动5替代</v>
      </c>
      <c r="M224" s="1">
        <v>0</v>
      </c>
      <c r="N224" s="1">
        <v>0</v>
      </c>
      <c r="O224" s="1">
        <v>0</v>
      </c>
      <c r="R224" s="1" t="s">
        <v>227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</row>
    <row r="225" s="1" customFormat="1" spans="1:26">
      <c r="A225" s="16">
        <v>2003401</v>
      </c>
      <c r="B225" s="1" t="s">
        <v>1219</v>
      </c>
      <c r="C225" s="1">
        <v>1</v>
      </c>
      <c r="D225">
        <v>1001</v>
      </c>
      <c r="E225" s="1">
        <v>350</v>
      </c>
      <c r="F225" s="1">
        <v>10000</v>
      </c>
      <c r="G225" s="1">
        <v>0</v>
      </c>
      <c r="I225" s="1">
        <v>1000</v>
      </c>
      <c r="J225" s="1">
        <v>0</v>
      </c>
      <c r="K225" s="1" t="s">
        <v>1219</v>
      </c>
      <c r="L225" s="1" t="str">
        <f t="shared" si="0"/>
        <v>贤者（龙）普攻替代</v>
      </c>
      <c r="M225" s="1">
        <v>1</v>
      </c>
      <c r="N225" s="1">
        <v>0</v>
      </c>
      <c r="O225" s="1">
        <v>0</v>
      </c>
      <c r="R225" s="1" t="s">
        <v>227</v>
      </c>
      <c r="S225" s="1">
        <v>0</v>
      </c>
      <c r="T225" s="1">
        <v>0</v>
      </c>
      <c r="U225" s="1">
        <v>0</v>
      </c>
      <c r="V225" s="1">
        <v>1011</v>
      </c>
      <c r="W225" s="1">
        <v>700</v>
      </c>
      <c r="X225" s="1">
        <v>2000101</v>
      </c>
      <c r="Y225" s="1">
        <v>300</v>
      </c>
      <c r="Z225" s="1">
        <v>450</v>
      </c>
    </row>
    <row r="226" s="1" customFormat="1" spans="1:26">
      <c r="A226" s="16">
        <v>2003402</v>
      </c>
      <c r="B226" s="1" t="s">
        <v>1220</v>
      </c>
      <c r="C226" s="1">
        <v>2</v>
      </c>
      <c r="D226" s="1">
        <v>2001</v>
      </c>
      <c r="E226" s="1">
        <v>350</v>
      </c>
      <c r="F226" s="1">
        <v>2000</v>
      </c>
      <c r="G226" s="1">
        <v>100</v>
      </c>
      <c r="I226" s="1">
        <v>6000</v>
      </c>
      <c r="J226" s="1">
        <v>3100401</v>
      </c>
      <c r="K226" s="1" t="s">
        <v>1220</v>
      </c>
      <c r="L226" s="1" t="str">
        <f t="shared" si="0"/>
        <v>贤者（龙）技能替代</v>
      </c>
      <c r="M226" s="1">
        <v>1</v>
      </c>
      <c r="N226" s="1">
        <v>0</v>
      </c>
      <c r="O226" s="1">
        <v>0</v>
      </c>
      <c r="R226" s="1" t="s">
        <v>60</v>
      </c>
      <c r="S226" s="1">
        <v>0</v>
      </c>
      <c r="T226" s="1">
        <v>2002102</v>
      </c>
      <c r="U226" s="1">
        <v>670</v>
      </c>
      <c r="V226" s="1">
        <v>1011</v>
      </c>
      <c r="W226" s="1" t="s">
        <v>1202</v>
      </c>
      <c r="X226" s="1">
        <v>0</v>
      </c>
      <c r="Y226" s="1">
        <v>0</v>
      </c>
      <c r="Z226" s="1">
        <v>0</v>
      </c>
    </row>
    <row r="227" s="1" customFormat="1" spans="1:26">
      <c r="A227" s="16">
        <v>2003405</v>
      </c>
      <c r="B227" s="1" t="s">
        <v>1221</v>
      </c>
      <c r="C227" s="1">
        <v>3</v>
      </c>
      <c r="D227" s="1">
        <v>101</v>
      </c>
      <c r="E227" s="1">
        <v>350</v>
      </c>
      <c r="F227" s="1">
        <v>0</v>
      </c>
      <c r="G227" s="1">
        <v>0</v>
      </c>
      <c r="H227" s="1">
        <v>31001003</v>
      </c>
      <c r="I227" s="1">
        <v>0</v>
      </c>
      <c r="J227" s="1">
        <v>3100101</v>
      </c>
      <c r="K227" s="1" t="s">
        <v>1222</v>
      </c>
      <c r="L227" s="1" t="str">
        <f t="shared" si="0"/>
        <v>龙系亲和</v>
      </c>
      <c r="M227" s="1">
        <v>0</v>
      </c>
      <c r="N227" s="1">
        <v>0</v>
      </c>
      <c r="O227" s="1">
        <v>0</v>
      </c>
      <c r="R227" s="1" t="s">
        <v>227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</row>
    <row r="228" s="1" customFormat="1" spans="1:26">
      <c r="A228" s="16">
        <v>2003406</v>
      </c>
      <c r="B228" s="1" t="s">
        <v>1223</v>
      </c>
      <c r="C228" s="1">
        <v>3</v>
      </c>
      <c r="D228" s="1">
        <v>101</v>
      </c>
      <c r="E228" s="1">
        <v>350</v>
      </c>
      <c r="F228" s="1">
        <v>0</v>
      </c>
      <c r="G228" s="1">
        <v>0</v>
      </c>
      <c r="H228" s="1">
        <v>31001003</v>
      </c>
      <c r="I228" s="1">
        <v>0</v>
      </c>
      <c r="J228" s="1">
        <v>3100101</v>
      </c>
      <c r="K228" s="1" t="s">
        <v>1223</v>
      </c>
      <c r="L228" s="1" t="str">
        <f t="shared" si="0"/>
        <v>贤者（龙）被动4替代</v>
      </c>
      <c r="M228" s="1">
        <v>0</v>
      </c>
      <c r="N228" s="1">
        <v>0</v>
      </c>
      <c r="O228" s="1">
        <v>0</v>
      </c>
      <c r="R228" s="1" t="s">
        <v>227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</row>
    <row r="229" s="1" customFormat="1" spans="1:26">
      <c r="A229" s="16">
        <v>2003407</v>
      </c>
      <c r="B229" s="1" t="s">
        <v>1224</v>
      </c>
      <c r="C229" s="1">
        <v>3</v>
      </c>
      <c r="D229" s="1">
        <v>101</v>
      </c>
      <c r="E229" s="1">
        <v>350</v>
      </c>
      <c r="F229" s="1">
        <v>0</v>
      </c>
      <c r="G229" s="1">
        <v>0</v>
      </c>
      <c r="H229" s="1">
        <v>31001003</v>
      </c>
      <c r="I229" s="1">
        <v>0</v>
      </c>
      <c r="J229" s="1">
        <v>3100101</v>
      </c>
      <c r="K229" s="1" t="s">
        <v>1224</v>
      </c>
      <c r="L229" s="1" t="str">
        <f t="shared" si="0"/>
        <v>贤者（龙）被动5替代</v>
      </c>
      <c r="M229" s="1">
        <v>0</v>
      </c>
      <c r="N229" s="1">
        <v>0</v>
      </c>
      <c r="O229" s="1">
        <v>0</v>
      </c>
      <c r="R229" s="1" t="s">
        <v>227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</row>
    <row r="230" s="1" customFormat="1" spans="1:26">
      <c r="A230" s="16">
        <v>2003501</v>
      </c>
      <c r="B230" s="1" t="s">
        <v>1225</v>
      </c>
      <c r="C230" s="1">
        <v>1</v>
      </c>
      <c r="D230">
        <v>1001</v>
      </c>
      <c r="E230" s="1">
        <v>350</v>
      </c>
      <c r="F230" s="1">
        <v>10000</v>
      </c>
      <c r="G230" s="1">
        <v>0</v>
      </c>
      <c r="I230" s="1">
        <v>1000</v>
      </c>
      <c r="J230" s="1">
        <v>0</v>
      </c>
      <c r="K230" s="1" t="s">
        <v>1225</v>
      </c>
      <c r="L230" s="1" t="str">
        <f t="shared" si="0"/>
        <v>酒仙（火）普攻替代</v>
      </c>
      <c r="M230" s="1">
        <v>1</v>
      </c>
      <c r="N230" s="1">
        <v>0</v>
      </c>
      <c r="O230" s="1">
        <v>0</v>
      </c>
      <c r="R230" s="1" t="s">
        <v>227</v>
      </c>
      <c r="S230" s="1">
        <v>0</v>
      </c>
      <c r="T230" s="1">
        <v>0</v>
      </c>
      <c r="U230" s="1">
        <v>0</v>
      </c>
      <c r="V230" s="1">
        <v>1011</v>
      </c>
      <c r="W230" s="1">
        <v>700</v>
      </c>
      <c r="X230" s="1">
        <v>2000101</v>
      </c>
      <c r="Y230" s="1">
        <v>300</v>
      </c>
      <c r="Z230" s="1">
        <v>450</v>
      </c>
    </row>
    <row r="231" s="1" customFormat="1" spans="1:26">
      <c r="A231" s="16">
        <v>2003502</v>
      </c>
      <c r="B231" s="1" t="s">
        <v>1226</v>
      </c>
      <c r="C231" s="1">
        <v>2</v>
      </c>
      <c r="D231" s="1">
        <v>2001</v>
      </c>
      <c r="E231" s="1">
        <v>350</v>
      </c>
      <c r="F231" s="1">
        <v>2000</v>
      </c>
      <c r="G231" s="1">
        <v>100</v>
      </c>
      <c r="I231" s="1">
        <v>6000</v>
      </c>
      <c r="J231" s="1">
        <v>3100401</v>
      </c>
      <c r="K231" s="1" t="s">
        <v>1226</v>
      </c>
      <c r="L231" s="1" t="str">
        <f t="shared" si="0"/>
        <v>酒仙（火）技能替代</v>
      </c>
      <c r="M231" s="1">
        <v>1</v>
      </c>
      <c r="N231" s="1">
        <v>0</v>
      </c>
      <c r="O231" s="1">
        <v>0</v>
      </c>
      <c r="R231" s="1" t="s">
        <v>60</v>
      </c>
      <c r="S231" s="1">
        <v>0</v>
      </c>
      <c r="T231" s="1">
        <v>2002102</v>
      </c>
      <c r="U231" s="1">
        <v>670</v>
      </c>
      <c r="V231" s="1">
        <v>1011</v>
      </c>
      <c r="W231" s="1" t="s">
        <v>1202</v>
      </c>
      <c r="X231" s="1">
        <v>0</v>
      </c>
      <c r="Y231" s="1">
        <v>0</v>
      </c>
      <c r="Z231" s="1">
        <v>0</v>
      </c>
    </row>
    <row r="232" s="1" customFormat="1" spans="1:26">
      <c r="A232" s="16">
        <v>2003505</v>
      </c>
      <c r="B232" s="1" t="s">
        <v>1227</v>
      </c>
      <c r="C232" s="1">
        <v>3</v>
      </c>
      <c r="D232" s="1">
        <v>101</v>
      </c>
      <c r="E232" s="1">
        <v>350</v>
      </c>
      <c r="F232" s="1">
        <v>0</v>
      </c>
      <c r="G232" s="1">
        <v>0</v>
      </c>
      <c r="H232" s="1">
        <v>31001003</v>
      </c>
      <c r="I232" s="1">
        <v>0</v>
      </c>
      <c r="J232" s="1">
        <v>3100101</v>
      </c>
      <c r="K232" s="1" t="s">
        <v>1228</v>
      </c>
      <c r="L232" s="1" t="str">
        <f t="shared" si="0"/>
        <v>火系亲和</v>
      </c>
      <c r="M232" s="1">
        <v>0</v>
      </c>
      <c r="N232" s="1">
        <v>0</v>
      </c>
      <c r="O232" s="1">
        <v>0</v>
      </c>
      <c r="R232" s="1" t="s">
        <v>227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</row>
    <row r="233" s="1" customFormat="1" spans="1:26">
      <c r="A233" s="16">
        <v>2003506</v>
      </c>
      <c r="B233" s="1" t="s">
        <v>1229</v>
      </c>
      <c r="C233" s="1">
        <v>3</v>
      </c>
      <c r="D233" s="1">
        <v>101</v>
      </c>
      <c r="E233" s="1">
        <v>350</v>
      </c>
      <c r="F233" s="1">
        <v>0</v>
      </c>
      <c r="G233" s="1">
        <v>0</v>
      </c>
      <c r="H233" s="1">
        <v>31001003</v>
      </c>
      <c r="I233" s="1">
        <v>0</v>
      </c>
      <c r="J233" s="1">
        <v>3100101</v>
      </c>
      <c r="K233" s="1" t="s">
        <v>1229</v>
      </c>
      <c r="L233" s="1" t="str">
        <f t="shared" si="0"/>
        <v>酒仙（火）被动4替代</v>
      </c>
      <c r="M233" s="1">
        <v>0</v>
      </c>
      <c r="N233" s="1">
        <v>0</v>
      </c>
      <c r="O233" s="1">
        <v>0</v>
      </c>
      <c r="R233" s="1" t="s">
        <v>227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</row>
    <row r="234" s="1" customFormat="1" spans="1:26">
      <c r="A234" s="16">
        <v>2003507</v>
      </c>
      <c r="B234" s="1" t="s">
        <v>1230</v>
      </c>
      <c r="C234" s="1">
        <v>3</v>
      </c>
      <c r="D234" s="1">
        <v>101</v>
      </c>
      <c r="E234" s="1">
        <v>350</v>
      </c>
      <c r="F234" s="1">
        <v>0</v>
      </c>
      <c r="G234" s="1">
        <v>0</v>
      </c>
      <c r="H234" s="1">
        <v>31001003</v>
      </c>
      <c r="I234" s="1">
        <v>0</v>
      </c>
      <c r="J234" s="1">
        <v>3100101</v>
      </c>
      <c r="K234" s="1" t="s">
        <v>1230</v>
      </c>
      <c r="L234" s="1" t="str">
        <f t="shared" si="0"/>
        <v>酒仙（火）被动5替代</v>
      </c>
      <c r="M234" s="1">
        <v>0</v>
      </c>
      <c r="N234" s="1">
        <v>0</v>
      </c>
      <c r="O234" s="1">
        <v>0</v>
      </c>
      <c r="R234" s="1" t="s">
        <v>227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</row>
    <row r="235" s="1" customFormat="1" spans="1:26">
      <c r="A235" s="16">
        <v>2003601</v>
      </c>
      <c r="B235" s="1" t="s">
        <v>886</v>
      </c>
      <c r="C235" s="1">
        <v>1</v>
      </c>
      <c r="D235">
        <v>1001</v>
      </c>
      <c r="E235" s="1">
        <v>350</v>
      </c>
      <c r="F235" s="1">
        <v>10000</v>
      </c>
      <c r="G235" s="1">
        <v>0</v>
      </c>
      <c r="I235" s="1">
        <v>1000</v>
      </c>
      <c r="J235" s="1">
        <v>0</v>
      </c>
      <c r="K235" s="1" t="s">
        <v>886</v>
      </c>
      <c r="L235" s="1" t="str">
        <f t="shared" si="0"/>
        <v>古武祭司（精神）普攻替代</v>
      </c>
      <c r="M235" s="1">
        <v>1</v>
      </c>
      <c r="N235" s="1">
        <v>0</v>
      </c>
      <c r="O235" s="1">
        <v>0</v>
      </c>
      <c r="R235" s="1" t="s">
        <v>227</v>
      </c>
      <c r="S235" s="1">
        <v>0</v>
      </c>
      <c r="T235" s="1">
        <v>0</v>
      </c>
      <c r="U235" s="1">
        <v>0</v>
      </c>
      <c r="V235" s="1">
        <v>1011</v>
      </c>
      <c r="W235" s="1">
        <v>700</v>
      </c>
      <c r="X235" s="1">
        <v>2000101</v>
      </c>
      <c r="Y235" s="1">
        <v>300</v>
      </c>
      <c r="Z235" s="1">
        <v>450</v>
      </c>
    </row>
    <row r="236" s="1" customFormat="1" spans="1:26">
      <c r="A236" s="16">
        <v>2003602</v>
      </c>
      <c r="B236" s="1" t="s">
        <v>1231</v>
      </c>
      <c r="C236" s="1">
        <v>2</v>
      </c>
      <c r="D236" s="1">
        <v>2001</v>
      </c>
      <c r="E236" s="1">
        <v>350</v>
      </c>
      <c r="F236" s="1">
        <v>2000</v>
      </c>
      <c r="G236" s="1">
        <v>100</v>
      </c>
      <c r="I236" s="1">
        <v>6000</v>
      </c>
      <c r="J236" s="1">
        <v>3100401</v>
      </c>
      <c r="K236" s="1" t="s">
        <v>1231</v>
      </c>
      <c r="L236" s="1" t="str">
        <f t="shared" si="0"/>
        <v>古武祭司（精神）技能替代</v>
      </c>
      <c r="M236" s="1">
        <v>1</v>
      </c>
      <c r="N236" s="1">
        <v>0</v>
      </c>
      <c r="O236" s="1">
        <v>0</v>
      </c>
      <c r="R236" s="1" t="s">
        <v>60</v>
      </c>
      <c r="S236" s="1">
        <v>0</v>
      </c>
      <c r="T236" s="1">
        <v>2002102</v>
      </c>
      <c r="U236" s="1">
        <v>670</v>
      </c>
      <c r="V236" s="1">
        <v>1011</v>
      </c>
      <c r="W236" s="1" t="s">
        <v>1202</v>
      </c>
      <c r="X236" s="1">
        <v>0</v>
      </c>
      <c r="Y236" s="1">
        <v>0</v>
      </c>
      <c r="Z236" s="1">
        <v>0</v>
      </c>
    </row>
    <row r="237" s="1" customFormat="1" spans="1:26">
      <c r="A237" s="16">
        <v>2003605</v>
      </c>
      <c r="B237" s="1" t="s">
        <v>1232</v>
      </c>
      <c r="C237" s="1">
        <v>3</v>
      </c>
      <c r="D237" s="1">
        <v>101</v>
      </c>
      <c r="E237" s="1">
        <v>350</v>
      </c>
      <c r="F237" s="1">
        <v>0</v>
      </c>
      <c r="G237" s="1">
        <v>0</v>
      </c>
      <c r="H237" s="1">
        <v>31001003</v>
      </c>
      <c r="I237" s="1">
        <v>0</v>
      </c>
      <c r="J237" s="1">
        <v>3100101</v>
      </c>
      <c r="K237" s="1" t="s">
        <v>1233</v>
      </c>
      <c r="L237" s="1" t="str">
        <f t="shared" si="0"/>
        <v>精神亲和</v>
      </c>
      <c r="M237" s="1">
        <v>0</v>
      </c>
      <c r="N237" s="1">
        <v>0</v>
      </c>
      <c r="O237" s="1">
        <v>0</v>
      </c>
      <c r="R237" s="1" t="s">
        <v>227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</row>
    <row r="238" s="1" customFormat="1" spans="1:26">
      <c r="A238" s="16">
        <v>2003606</v>
      </c>
      <c r="B238" s="1" t="s">
        <v>1234</v>
      </c>
      <c r="C238" s="1">
        <v>3</v>
      </c>
      <c r="D238" s="1">
        <v>101</v>
      </c>
      <c r="E238" s="1">
        <v>350</v>
      </c>
      <c r="F238" s="1">
        <v>0</v>
      </c>
      <c r="G238" s="1">
        <v>0</v>
      </c>
      <c r="H238" s="1">
        <v>31001003</v>
      </c>
      <c r="I238" s="1">
        <v>0</v>
      </c>
      <c r="J238" s="1">
        <v>3100101</v>
      </c>
      <c r="K238" s="1" t="s">
        <v>1234</v>
      </c>
      <c r="L238" s="1" t="str">
        <f t="shared" si="0"/>
        <v>古武祭司（精神）被动4替代</v>
      </c>
      <c r="M238" s="1">
        <v>0</v>
      </c>
      <c r="N238" s="1">
        <v>0</v>
      </c>
      <c r="O238" s="1">
        <v>0</v>
      </c>
      <c r="R238" s="1" t="s">
        <v>227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</row>
    <row r="239" s="1" customFormat="1" spans="1:26">
      <c r="A239" s="16">
        <v>2003607</v>
      </c>
      <c r="B239" s="1" t="s">
        <v>1235</v>
      </c>
      <c r="C239" s="1">
        <v>3</v>
      </c>
      <c r="D239" s="1">
        <v>101</v>
      </c>
      <c r="E239" s="1">
        <v>350</v>
      </c>
      <c r="F239" s="1">
        <v>0</v>
      </c>
      <c r="G239" s="1">
        <v>0</v>
      </c>
      <c r="H239" s="1">
        <v>31001003</v>
      </c>
      <c r="I239" s="1">
        <v>0</v>
      </c>
      <c r="J239" s="1">
        <v>3100101</v>
      </c>
      <c r="K239" s="1" t="s">
        <v>1235</v>
      </c>
      <c r="L239" s="1" t="str">
        <f t="shared" si="0"/>
        <v>古武祭司（精神）被动5替代</v>
      </c>
      <c r="M239" s="1">
        <v>0</v>
      </c>
      <c r="N239" s="1">
        <v>0</v>
      </c>
      <c r="O239" s="1">
        <v>0</v>
      </c>
      <c r="R239" s="1" t="s">
        <v>227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</row>
    <row r="240" s="1" customFormat="1" spans="1:26">
      <c r="A240" s="1">
        <v>3000401</v>
      </c>
      <c r="B240" s="1" t="s">
        <v>961</v>
      </c>
      <c r="C240" s="1">
        <v>1</v>
      </c>
      <c r="D240">
        <v>1002</v>
      </c>
      <c r="E240" s="1">
        <v>120</v>
      </c>
      <c r="F240" s="1">
        <v>10000</v>
      </c>
      <c r="G240" s="1">
        <v>0</v>
      </c>
      <c r="I240" s="1">
        <v>1000</v>
      </c>
      <c r="J240" s="1">
        <v>0</v>
      </c>
      <c r="K240" s="1" t="s">
        <v>961</v>
      </c>
      <c r="L240" s="1" t="str">
        <f t="shared" si="0"/>
        <v>箱子怪技能-近战</v>
      </c>
      <c r="M240" s="1">
        <v>1</v>
      </c>
      <c r="N240" s="1">
        <v>0</v>
      </c>
      <c r="O240" s="1">
        <v>0</v>
      </c>
      <c r="R240" s="1" t="s">
        <v>227</v>
      </c>
      <c r="S240" s="1">
        <v>0</v>
      </c>
      <c r="T240" s="1">
        <v>0</v>
      </c>
      <c r="U240" s="1">
        <v>0</v>
      </c>
      <c r="V240" s="1">
        <v>1011</v>
      </c>
      <c r="W240" s="1">
        <v>300</v>
      </c>
      <c r="X240" s="1">
        <v>0</v>
      </c>
      <c r="Y240" s="1">
        <v>0</v>
      </c>
      <c r="Z240" s="1">
        <v>0</v>
      </c>
    </row>
    <row r="241" s="1" customFormat="1" spans="1:26">
      <c r="A241" s="1">
        <v>3000501</v>
      </c>
      <c r="B241" s="1" t="s">
        <v>962</v>
      </c>
      <c r="C241" s="1">
        <v>1</v>
      </c>
      <c r="D241">
        <v>1001</v>
      </c>
      <c r="E241" s="1">
        <v>200</v>
      </c>
      <c r="F241" s="1">
        <v>10000</v>
      </c>
      <c r="G241" s="1">
        <v>0</v>
      </c>
      <c r="I241" s="1">
        <v>1000</v>
      </c>
      <c r="J241" s="1">
        <v>0</v>
      </c>
      <c r="K241" s="1" t="s">
        <v>962</v>
      </c>
      <c r="L241" s="1" t="str">
        <f t="shared" si="0"/>
        <v>花怪技能-远程</v>
      </c>
      <c r="M241" s="1">
        <v>1</v>
      </c>
      <c r="N241" s="1">
        <v>0</v>
      </c>
      <c r="O241" s="1">
        <v>0</v>
      </c>
      <c r="R241" s="1" t="s">
        <v>227</v>
      </c>
      <c r="S241" s="1">
        <v>0</v>
      </c>
      <c r="T241" s="1">
        <v>0</v>
      </c>
      <c r="U241" s="1">
        <v>0</v>
      </c>
      <c r="V241" s="1">
        <v>1011</v>
      </c>
      <c r="W241" s="1">
        <v>850</v>
      </c>
      <c r="X241" s="1">
        <v>3000502</v>
      </c>
      <c r="Y241" s="1">
        <v>300</v>
      </c>
      <c r="Z241" s="1">
        <v>600</v>
      </c>
    </row>
    <row r="242" s="1" customFormat="1" spans="1:26">
      <c r="A242" s="1">
        <v>3000601</v>
      </c>
      <c r="B242" s="1" t="s">
        <v>963</v>
      </c>
      <c r="C242" s="1">
        <v>1</v>
      </c>
      <c r="D242">
        <v>1001</v>
      </c>
      <c r="E242" s="1">
        <v>250</v>
      </c>
      <c r="F242" s="1">
        <v>10000</v>
      </c>
      <c r="G242" s="1">
        <v>0</v>
      </c>
      <c r="I242" s="1">
        <v>1000</v>
      </c>
      <c r="J242" s="1">
        <v>0</v>
      </c>
      <c r="K242" s="1" t="s">
        <v>963</v>
      </c>
      <c r="L242" s="1" t="str">
        <f t="shared" si="0"/>
        <v>眼球怪技能-远程</v>
      </c>
      <c r="M242" s="1">
        <v>1</v>
      </c>
      <c r="N242" s="1">
        <v>0</v>
      </c>
      <c r="O242" s="1">
        <v>0</v>
      </c>
      <c r="R242" s="1" t="s">
        <v>227</v>
      </c>
      <c r="S242" s="1">
        <v>0</v>
      </c>
      <c r="T242" s="1">
        <v>0</v>
      </c>
      <c r="U242" s="1">
        <v>0</v>
      </c>
      <c r="V242" s="1">
        <v>1011</v>
      </c>
      <c r="W242" s="1">
        <v>850</v>
      </c>
      <c r="X242" s="1">
        <v>3000602</v>
      </c>
      <c r="Y242" s="1">
        <v>300</v>
      </c>
      <c r="Z242" s="1">
        <v>600</v>
      </c>
    </row>
    <row r="243" s="1" customFormat="1" spans="1:26">
      <c r="A243" s="1">
        <v>3000701</v>
      </c>
      <c r="B243" s="1" t="s">
        <v>964</v>
      </c>
      <c r="C243" s="1">
        <v>1</v>
      </c>
      <c r="D243">
        <v>1002</v>
      </c>
      <c r="E243" s="1">
        <v>140</v>
      </c>
      <c r="F243" s="1">
        <v>10000</v>
      </c>
      <c r="G243" s="1">
        <v>0</v>
      </c>
      <c r="I243" s="1">
        <v>1000</v>
      </c>
      <c r="J243" s="1">
        <v>0</v>
      </c>
      <c r="K243" s="1" t="s">
        <v>964</v>
      </c>
      <c r="L243" s="1" t="str">
        <f t="shared" si="0"/>
        <v>石头猩猩技能-近战</v>
      </c>
      <c r="M243" s="1">
        <v>1</v>
      </c>
      <c r="N243" s="1">
        <v>0</v>
      </c>
      <c r="O243" s="1">
        <v>0</v>
      </c>
      <c r="R243" s="1" t="s">
        <v>227</v>
      </c>
      <c r="S243" s="1">
        <v>0</v>
      </c>
      <c r="T243" s="1">
        <v>0</v>
      </c>
      <c r="U243" s="1">
        <v>0</v>
      </c>
      <c r="V243" s="1">
        <v>1011</v>
      </c>
      <c r="W243" s="1">
        <v>300</v>
      </c>
      <c r="X243" s="1">
        <v>0</v>
      </c>
      <c r="Y243" s="1">
        <v>0</v>
      </c>
      <c r="Z243" s="1">
        <v>0</v>
      </c>
    </row>
    <row r="244" s="1" customFormat="1" spans="1:26">
      <c r="A244" s="1">
        <v>3000801</v>
      </c>
      <c r="B244" s="1" t="s">
        <v>965</v>
      </c>
      <c r="C244" s="1">
        <v>1</v>
      </c>
      <c r="D244">
        <v>1001</v>
      </c>
      <c r="E244" s="1">
        <v>300</v>
      </c>
      <c r="F244" s="1">
        <v>10000</v>
      </c>
      <c r="G244" s="1">
        <v>0</v>
      </c>
      <c r="I244" s="1">
        <v>1000</v>
      </c>
      <c r="J244" s="1">
        <v>0</v>
      </c>
      <c r="K244" s="1" t="s">
        <v>965</v>
      </c>
      <c r="L244" s="1" t="str">
        <f t="shared" si="0"/>
        <v>幽灵怪技能-远程</v>
      </c>
      <c r="M244" s="1">
        <v>1</v>
      </c>
      <c r="N244" s="1">
        <v>0</v>
      </c>
      <c r="O244" s="1">
        <v>0</v>
      </c>
      <c r="R244" s="1" t="s">
        <v>227</v>
      </c>
      <c r="S244" s="1">
        <v>0</v>
      </c>
      <c r="T244" s="1">
        <v>0</v>
      </c>
      <c r="U244" s="1">
        <v>0</v>
      </c>
      <c r="V244" s="1">
        <v>1011</v>
      </c>
      <c r="W244" s="1">
        <v>850</v>
      </c>
      <c r="X244" s="1">
        <v>3000802</v>
      </c>
      <c r="Y244" s="1">
        <v>300</v>
      </c>
      <c r="Z244" s="1">
        <v>600</v>
      </c>
    </row>
    <row r="245" s="1" customFormat="1" spans="1:26">
      <c r="A245" s="1">
        <v>3000901</v>
      </c>
      <c r="B245" s="1" t="s">
        <v>966</v>
      </c>
      <c r="C245" s="1">
        <v>1</v>
      </c>
      <c r="D245">
        <v>1001</v>
      </c>
      <c r="E245" s="1">
        <v>350</v>
      </c>
      <c r="F245" s="1">
        <v>10000</v>
      </c>
      <c r="G245" s="1">
        <v>0</v>
      </c>
      <c r="I245" s="1">
        <v>1000</v>
      </c>
      <c r="J245" s="1">
        <v>0</v>
      </c>
      <c r="K245" s="1" t="s">
        <v>966</v>
      </c>
      <c r="L245" s="1" t="str">
        <f t="shared" si="0"/>
        <v>仙人掌怪技能-远程</v>
      </c>
      <c r="M245" s="1">
        <v>1</v>
      </c>
      <c r="N245" s="1">
        <v>0</v>
      </c>
      <c r="O245" s="1">
        <v>0</v>
      </c>
      <c r="R245" s="1" t="s">
        <v>227</v>
      </c>
      <c r="S245" s="1">
        <v>0</v>
      </c>
      <c r="T245" s="1">
        <v>0</v>
      </c>
      <c r="U245" s="1">
        <v>0</v>
      </c>
      <c r="V245" s="1">
        <v>1011</v>
      </c>
      <c r="W245" s="1">
        <v>850</v>
      </c>
      <c r="X245" s="1">
        <v>3000902</v>
      </c>
      <c r="Y245" s="1">
        <v>300</v>
      </c>
      <c r="Z245" s="1">
        <v>600</v>
      </c>
    </row>
    <row r="246" s="1" customFormat="1" spans="1:26">
      <c r="A246" s="1">
        <f>N246*1000</f>
        <v>3101000</v>
      </c>
      <c r="B246" s="1" t="s">
        <v>1267</v>
      </c>
      <c r="C246" s="1">
        <v>3</v>
      </c>
      <c r="D246" s="1">
        <v>101</v>
      </c>
      <c r="E246" s="1">
        <v>350</v>
      </c>
      <c r="F246" s="1">
        <v>0</v>
      </c>
      <c r="G246" s="1">
        <v>0</v>
      </c>
      <c r="H246" s="1">
        <v>3101</v>
      </c>
      <c r="I246" s="1">
        <v>0</v>
      </c>
      <c r="J246" s="1">
        <v>2002</v>
      </c>
      <c r="K246" s="1" t="s">
        <v>1268</v>
      </c>
      <c r="L246" s="1" t="str">
        <f t="shared" si="0"/>
        <v>初级生命</v>
      </c>
      <c r="M246" s="1">
        <v>0</v>
      </c>
      <c r="N246" s="1">
        <v>3101</v>
      </c>
      <c r="O246" s="1">
        <v>200</v>
      </c>
      <c r="R246" s="1" t="s">
        <v>227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</row>
    <row r="247" s="1" customFormat="1" spans="1:26">
      <c r="A247" s="1">
        <v>3101001</v>
      </c>
      <c r="B247" s="1" t="s">
        <v>1267</v>
      </c>
      <c r="C247" s="1">
        <v>3</v>
      </c>
      <c r="D247" s="1">
        <v>101</v>
      </c>
      <c r="E247" s="1">
        <v>350</v>
      </c>
      <c r="F247" s="1">
        <v>0</v>
      </c>
      <c r="G247" s="1">
        <v>0</v>
      </c>
      <c r="H247" s="1">
        <f>A247</f>
        <v>3101001</v>
      </c>
      <c r="I247" s="1">
        <v>0</v>
      </c>
      <c r="J247" s="1">
        <v>2002</v>
      </c>
      <c r="K247" s="1" t="s">
        <v>1269</v>
      </c>
      <c r="L247" s="1" t="str">
        <f t="shared" si="0"/>
        <v>初级生命</v>
      </c>
      <c r="M247" s="1">
        <v>1</v>
      </c>
      <c r="N247" s="1">
        <v>3101</v>
      </c>
      <c r="O247" s="1">
        <v>400</v>
      </c>
      <c r="R247" s="1" t="s">
        <v>227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</row>
    <row r="248" s="1" customFormat="1" spans="1:26">
      <c r="A248" s="1">
        <v>3101002</v>
      </c>
      <c r="B248" s="1" t="s">
        <v>1267</v>
      </c>
      <c r="C248" s="1">
        <v>3</v>
      </c>
      <c r="D248" s="1">
        <v>101</v>
      </c>
      <c r="E248" s="1">
        <v>350</v>
      </c>
      <c r="F248" s="1">
        <v>0</v>
      </c>
      <c r="G248" s="1">
        <v>0</v>
      </c>
      <c r="H248" s="1">
        <f>A248</f>
        <v>3101002</v>
      </c>
      <c r="I248" s="1">
        <v>0</v>
      </c>
      <c r="J248" s="1">
        <v>2002</v>
      </c>
      <c r="K248" s="1" t="s">
        <v>1270</v>
      </c>
      <c r="L248" s="1" t="str">
        <f t="shared" si="0"/>
        <v>初级生命</v>
      </c>
      <c r="M248" s="1">
        <v>2</v>
      </c>
      <c r="N248" s="1">
        <v>3101</v>
      </c>
      <c r="O248" s="1">
        <v>800</v>
      </c>
      <c r="R248" s="1" t="s">
        <v>227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</row>
    <row r="249" s="1" customFormat="1" spans="1:26">
      <c r="A249" s="1">
        <v>3101003</v>
      </c>
      <c r="B249" s="1" t="s">
        <v>1267</v>
      </c>
      <c r="C249" s="1">
        <v>3</v>
      </c>
      <c r="D249" s="1">
        <v>101</v>
      </c>
      <c r="E249" s="1">
        <v>350</v>
      </c>
      <c r="F249" s="1">
        <v>0</v>
      </c>
      <c r="G249" s="1">
        <v>0</v>
      </c>
      <c r="H249" s="1">
        <f>A249</f>
        <v>3101003</v>
      </c>
      <c r="I249" s="1">
        <v>0</v>
      </c>
      <c r="J249" s="1">
        <v>2002</v>
      </c>
      <c r="K249" s="1" t="s">
        <v>1271</v>
      </c>
      <c r="L249" s="1" t="str">
        <f t="shared" si="0"/>
        <v>初级生命</v>
      </c>
      <c r="M249" s="1">
        <v>3</v>
      </c>
      <c r="N249" s="1">
        <v>3101</v>
      </c>
      <c r="O249" s="1">
        <v>1600</v>
      </c>
      <c r="R249" s="1" t="s">
        <v>227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</row>
    <row r="250" s="1" customFormat="1" spans="1:26">
      <c r="A250" s="1">
        <v>3101004</v>
      </c>
      <c r="B250" s="1" t="s">
        <v>1267</v>
      </c>
      <c r="C250" s="1">
        <v>3</v>
      </c>
      <c r="D250" s="1">
        <v>101</v>
      </c>
      <c r="E250" s="1">
        <v>350</v>
      </c>
      <c r="F250" s="1">
        <v>0</v>
      </c>
      <c r="G250" s="1">
        <v>0</v>
      </c>
      <c r="H250" s="1">
        <f>A250</f>
        <v>3101004</v>
      </c>
      <c r="I250" s="1">
        <v>0</v>
      </c>
      <c r="J250" s="1">
        <v>2002</v>
      </c>
      <c r="K250" s="1" t="s">
        <v>1272</v>
      </c>
      <c r="L250" s="1" t="str">
        <f t="shared" si="0"/>
        <v>初级生命</v>
      </c>
      <c r="M250" s="1">
        <v>4</v>
      </c>
      <c r="N250" s="1">
        <v>3101</v>
      </c>
      <c r="O250" s="1">
        <v>3200</v>
      </c>
      <c r="R250" s="1" t="s">
        <v>227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</row>
    <row r="251" s="1" customFormat="1" spans="1:26">
      <c r="A251" s="1">
        <v>3101005</v>
      </c>
      <c r="B251" s="1" t="s">
        <v>1267</v>
      </c>
      <c r="C251" s="1">
        <v>3</v>
      </c>
      <c r="D251" s="1">
        <v>101</v>
      </c>
      <c r="E251" s="1">
        <v>350</v>
      </c>
      <c r="F251" s="1">
        <v>0</v>
      </c>
      <c r="G251" s="1">
        <v>0</v>
      </c>
      <c r="H251" s="1">
        <f>A251</f>
        <v>3101005</v>
      </c>
      <c r="I251" s="1">
        <v>0</v>
      </c>
      <c r="J251" s="1">
        <v>2002</v>
      </c>
      <c r="K251" s="1" t="s">
        <v>1273</v>
      </c>
      <c r="L251" s="1" t="str">
        <f t="shared" si="0"/>
        <v>初级生命</v>
      </c>
      <c r="M251" s="1">
        <v>5</v>
      </c>
      <c r="N251" s="1">
        <v>3101</v>
      </c>
      <c r="O251" s="1">
        <v>6400</v>
      </c>
      <c r="R251" s="1" t="s">
        <v>227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</row>
    <row r="252" s="1" customFormat="1" spans="1:26">
      <c r="A252" s="1">
        <f>N252*1000</f>
        <v>3102000</v>
      </c>
      <c r="B252" t="s">
        <v>1274</v>
      </c>
      <c r="C252" s="1">
        <v>3</v>
      </c>
      <c r="D252" s="1">
        <v>101</v>
      </c>
      <c r="E252" s="1">
        <v>350</v>
      </c>
      <c r="F252" s="1">
        <v>0</v>
      </c>
      <c r="G252" s="1">
        <v>0</v>
      </c>
      <c r="H252" s="1">
        <v>3102</v>
      </c>
      <c r="I252" s="1">
        <v>0</v>
      </c>
      <c r="J252" s="1">
        <v>2008</v>
      </c>
      <c r="K252" s="1" t="s">
        <v>1275</v>
      </c>
      <c r="L252" s="1" t="str">
        <f t="shared" si="0"/>
        <v>初级爆伤</v>
      </c>
      <c r="M252" s="1">
        <v>0</v>
      </c>
      <c r="N252" s="1">
        <v>3102</v>
      </c>
      <c r="O252" s="1">
        <v>200</v>
      </c>
      <c r="R252" s="1" t="s">
        <v>227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</row>
    <row r="253" s="1" customFormat="1" spans="1:26">
      <c r="A253" s="1">
        <v>3102001</v>
      </c>
      <c r="B253" s="1" t="s">
        <v>1274</v>
      </c>
      <c r="C253" s="1">
        <v>3</v>
      </c>
      <c r="D253" s="1">
        <v>101</v>
      </c>
      <c r="E253" s="1">
        <v>350</v>
      </c>
      <c r="F253" s="1">
        <v>0</v>
      </c>
      <c r="G253" s="1">
        <v>0</v>
      </c>
      <c r="H253" s="1">
        <f>A253</f>
        <v>3102001</v>
      </c>
      <c r="I253" s="1">
        <v>0</v>
      </c>
      <c r="J253" s="1">
        <v>2008</v>
      </c>
      <c r="K253" s="1" t="s">
        <v>1276</v>
      </c>
      <c r="L253" s="1" t="str">
        <f t="shared" si="0"/>
        <v>初级爆伤</v>
      </c>
      <c r="M253" s="1">
        <v>1</v>
      </c>
      <c r="N253" s="1">
        <v>3102</v>
      </c>
      <c r="O253" s="1">
        <v>400</v>
      </c>
      <c r="R253" s="1" t="s">
        <v>227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</row>
    <row r="254" s="1" customFormat="1" spans="1:26">
      <c r="A254" s="1">
        <v>3102002</v>
      </c>
      <c r="B254" s="1" t="s">
        <v>1274</v>
      </c>
      <c r="C254" s="1">
        <v>3</v>
      </c>
      <c r="D254" s="1">
        <v>101</v>
      </c>
      <c r="E254" s="1">
        <v>350</v>
      </c>
      <c r="F254" s="1">
        <v>0</v>
      </c>
      <c r="G254" s="1">
        <v>0</v>
      </c>
      <c r="H254" s="1">
        <f>A254</f>
        <v>3102002</v>
      </c>
      <c r="I254" s="1">
        <v>0</v>
      </c>
      <c r="J254" s="1">
        <v>2008</v>
      </c>
      <c r="K254" s="1" t="s">
        <v>1277</v>
      </c>
      <c r="L254" s="1" t="str">
        <f t="shared" si="0"/>
        <v>初级爆伤</v>
      </c>
      <c r="M254" s="1">
        <v>2</v>
      </c>
      <c r="N254" s="1">
        <v>3102</v>
      </c>
      <c r="O254" s="1">
        <v>800</v>
      </c>
      <c r="R254" s="1" t="s">
        <v>227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</row>
    <row r="255" s="1" customFormat="1" spans="1:26">
      <c r="A255" s="1">
        <v>3102003</v>
      </c>
      <c r="B255" s="1" t="s">
        <v>1274</v>
      </c>
      <c r="C255" s="1">
        <v>3</v>
      </c>
      <c r="D255" s="1">
        <v>101</v>
      </c>
      <c r="E255" s="1">
        <v>350</v>
      </c>
      <c r="F255" s="1">
        <v>0</v>
      </c>
      <c r="G255" s="1">
        <v>0</v>
      </c>
      <c r="H255" s="1">
        <f>A255</f>
        <v>3102003</v>
      </c>
      <c r="I255" s="1">
        <v>0</v>
      </c>
      <c r="J255" s="1">
        <v>2008</v>
      </c>
      <c r="K255" s="1" t="s">
        <v>1278</v>
      </c>
      <c r="L255" s="1" t="str">
        <f t="shared" si="0"/>
        <v>初级爆伤</v>
      </c>
      <c r="M255" s="1">
        <v>3</v>
      </c>
      <c r="N255" s="1">
        <v>3102</v>
      </c>
      <c r="O255" s="1">
        <v>1600</v>
      </c>
      <c r="R255" s="1" t="s">
        <v>227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</row>
    <row r="256" s="1" customFormat="1" spans="1:26">
      <c r="A256" s="1">
        <v>3102004</v>
      </c>
      <c r="B256" s="1" t="s">
        <v>1274</v>
      </c>
      <c r="C256" s="1">
        <v>3</v>
      </c>
      <c r="D256" s="1">
        <v>101</v>
      </c>
      <c r="E256" s="1">
        <v>350</v>
      </c>
      <c r="F256" s="1">
        <v>0</v>
      </c>
      <c r="G256" s="1">
        <v>0</v>
      </c>
      <c r="H256" s="1">
        <f>A256</f>
        <v>3102004</v>
      </c>
      <c r="I256" s="1">
        <v>0</v>
      </c>
      <c r="J256" s="1">
        <v>2008</v>
      </c>
      <c r="K256" s="1" t="s">
        <v>1279</v>
      </c>
      <c r="L256" s="1" t="str">
        <f t="shared" si="0"/>
        <v>初级爆伤</v>
      </c>
      <c r="M256" s="1">
        <v>4</v>
      </c>
      <c r="N256" s="1">
        <v>3102</v>
      </c>
      <c r="O256" s="1">
        <v>3200</v>
      </c>
      <c r="R256" s="1" t="s">
        <v>227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</row>
    <row r="257" s="1" customFormat="1" spans="1:26">
      <c r="A257" s="1">
        <v>3102005</v>
      </c>
      <c r="B257" s="1" t="s">
        <v>1274</v>
      </c>
      <c r="C257" s="1">
        <v>3</v>
      </c>
      <c r="D257" s="1">
        <v>101</v>
      </c>
      <c r="E257" s="1">
        <v>350</v>
      </c>
      <c r="F257" s="1">
        <v>0</v>
      </c>
      <c r="G257" s="1">
        <v>0</v>
      </c>
      <c r="H257" s="1">
        <f>A257</f>
        <v>3102005</v>
      </c>
      <c r="I257" s="1">
        <v>0</v>
      </c>
      <c r="J257" s="1">
        <v>2008</v>
      </c>
      <c r="K257" s="1" t="s">
        <v>1280</v>
      </c>
      <c r="L257" s="1" t="str">
        <f t="shared" si="0"/>
        <v>初级爆伤</v>
      </c>
      <c r="M257" s="1">
        <v>5</v>
      </c>
      <c r="N257" s="1">
        <v>3102</v>
      </c>
      <c r="O257" s="1">
        <v>6400</v>
      </c>
      <c r="R257" s="1" t="s">
        <v>227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</row>
    <row r="258" s="1" customFormat="1" spans="1:26">
      <c r="A258" s="1">
        <f>N258*1000</f>
        <v>3103000</v>
      </c>
      <c r="B258" t="s">
        <v>1281</v>
      </c>
      <c r="C258" s="1">
        <v>3</v>
      </c>
      <c r="D258" s="1">
        <v>101</v>
      </c>
      <c r="E258" s="1">
        <v>350</v>
      </c>
      <c r="F258" s="1">
        <v>0</v>
      </c>
      <c r="G258" s="1">
        <v>0</v>
      </c>
      <c r="H258" s="1">
        <v>3103</v>
      </c>
      <c r="I258" s="1">
        <v>0</v>
      </c>
      <c r="J258" s="1">
        <v>2009</v>
      </c>
      <c r="K258" s="1" t="s">
        <v>1282</v>
      </c>
      <c r="L258" s="1" t="str">
        <f t="shared" si="0"/>
        <v>初级爆抗</v>
      </c>
      <c r="M258" s="1">
        <v>0</v>
      </c>
      <c r="N258" s="1">
        <v>3103</v>
      </c>
      <c r="O258" s="1">
        <v>200</v>
      </c>
      <c r="R258" s="1" t="s">
        <v>227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</row>
    <row r="259" s="1" customFormat="1" spans="1:26">
      <c r="A259" s="1">
        <v>3103001</v>
      </c>
      <c r="B259" t="s">
        <v>1281</v>
      </c>
      <c r="C259" s="1">
        <v>3</v>
      </c>
      <c r="D259" s="1">
        <v>101</v>
      </c>
      <c r="E259" s="1">
        <v>350</v>
      </c>
      <c r="F259" s="1">
        <v>0</v>
      </c>
      <c r="G259" s="1">
        <v>0</v>
      </c>
      <c r="H259" s="1">
        <f>A259</f>
        <v>3103001</v>
      </c>
      <c r="I259" s="1">
        <v>0</v>
      </c>
      <c r="J259" s="1">
        <v>2009</v>
      </c>
      <c r="K259" s="1" t="s">
        <v>1283</v>
      </c>
      <c r="L259" s="1" t="str">
        <f t="shared" si="0"/>
        <v>初级爆抗</v>
      </c>
      <c r="M259">
        <v>1</v>
      </c>
      <c r="N259" s="1">
        <v>3103</v>
      </c>
      <c r="O259" s="1">
        <v>400</v>
      </c>
      <c r="R259" s="1" t="s">
        <v>227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</row>
    <row r="260" s="1" customFormat="1" spans="1:26">
      <c r="A260" s="1">
        <v>3103002</v>
      </c>
      <c r="B260" t="s">
        <v>1281</v>
      </c>
      <c r="C260" s="1">
        <v>3</v>
      </c>
      <c r="D260" s="1">
        <v>101</v>
      </c>
      <c r="E260" s="1">
        <v>350</v>
      </c>
      <c r="F260" s="1">
        <v>0</v>
      </c>
      <c r="G260" s="1">
        <v>0</v>
      </c>
      <c r="H260" s="1">
        <f>A260</f>
        <v>3103002</v>
      </c>
      <c r="I260" s="1">
        <v>0</v>
      </c>
      <c r="J260" s="1">
        <v>2009</v>
      </c>
      <c r="K260" s="1" t="s">
        <v>1284</v>
      </c>
      <c r="L260" s="1" t="str">
        <f t="shared" si="0"/>
        <v>初级爆抗</v>
      </c>
      <c r="M260">
        <v>2</v>
      </c>
      <c r="N260" s="1">
        <v>3103</v>
      </c>
      <c r="O260" s="1">
        <v>800</v>
      </c>
      <c r="R260" s="1" t="s">
        <v>227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</row>
    <row r="261" s="1" customFormat="1" spans="1:26">
      <c r="A261" s="1">
        <v>3103003</v>
      </c>
      <c r="B261" t="s">
        <v>1281</v>
      </c>
      <c r="C261" s="1">
        <v>3</v>
      </c>
      <c r="D261" s="1">
        <v>101</v>
      </c>
      <c r="E261" s="1">
        <v>350</v>
      </c>
      <c r="F261" s="1">
        <v>0</v>
      </c>
      <c r="G261" s="1">
        <v>0</v>
      </c>
      <c r="H261" s="1">
        <f>A261</f>
        <v>3103003</v>
      </c>
      <c r="I261" s="1">
        <v>0</v>
      </c>
      <c r="J261" s="1">
        <v>2009</v>
      </c>
      <c r="K261" s="1" t="s">
        <v>1285</v>
      </c>
      <c r="L261" s="1" t="str">
        <f t="shared" ref="L261:L324" si="1">B261</f>
        <v>初级爆抗</v>
      </c>
      <c r="M261">
        <v>3</v>
      </c>
      <c r="N261" s="1">
        <v>3103</v>
      </c>
      <c r="O261" s="1">
        <v>1600</v>
      </c>
      <c r="R261" s="1" t="s">
        <v>227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</row>
    <row r="262" s="1" customFormat="1" spans="1:26">
      <c r="A262" s="1">
        <v>3103004</v>
      </c>
      <c r="B262" t="s">
        <v>1281</v>
      </c>
      <c r="C262" s="1">
        <v>3</v>
      </c>
      <c r="D262" s="1">
        <v>101</v>
      </c>
      <c r="E262" s="1">
        <v>350</v>
      </c>
      <c r="F262" s="1">
        <v>0</v>
      </c>
      <c r="G262" s="1">
        <v>0</v>
      </c>
      <c r="H262" s="1">
        <f>A262</f>
        <v>3103004</v>
      </c>
      <c r="I262" s="1">
        <v>0</v>
      </c>
      <c r="J262" s="1">
        <v>2009</v>
      </c>
      <c r="K262" s="1" t="s">
        <v>1286</v>
      </c>
      <c r="L262" s="1" t="str">
        <f t="shared" si="1"/>
        <v>初级爆抗</v>
      </c>
      <c r="M262">
        <v>4</v>
      </c>
      <c r="N262" s="1">
        <v>3103</v>
      </c>
      <c r="O262" s="1">
        <v>3200</v>
      </c>
      <c r="R262" s="1" t="s">
        <v>227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</row>
    <row r="263" s="1" customFormat="1" spans="1:26">
      <c r="A263" s="1">
        <v>3103005</v>
      </c>
      <c r="B263" t="s">
        <v>1281</v>
      </c>
      <c r="C263" s="1">
        <v>3</v>
      </c>
      <c r="D263" s="1">
        <v>101</v>
      </c>
      <c r="E263" s="1">
        <v>350</v>
      </c>
      <c r="F263" s="1">
        <v>0</v>
      </c>
      <c r="G263" s="1">
        <v>0</v>
      </c>
      <c r="H263" s="1">
        <f>A263</f>
        <v>3103005</v>
      </c>
      <c r="I263" s="1">
        <v>0</v>
      </c>
      <c r="J263" s="1">
        <v>2009</v>
      </c>
      <c r="K263" s="1" t="s">
        <v>1287</v>
      </c>
      <c r="L263" s="1" t="str">
        <f t="shared" si="1"/>
        <v>初级爆抗</v>
      </c>
      <c r="M263">
        <v>5</v>
      </c>
      <c r="N263" s="1">
        <v>3103</v>
      </c>
      <c r="O263" s="1">
        <v>6400</v>
      </c>
      <c r="R263" s="1" t="s">
        <v>227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</row>
    <row r="264" s="1" customFormat="1" spans="1:26">
      <c r="A264" s="1">
        <f>N264*1000</f>
        <v>3104000</v>
      </c>
      <c r="B264" t="s">
        <v>1288</v>
      </c>
      <c r="C264" s="1">
        <v>3</v>
      </c>
      <c r="D264" s="1">
        <v>101</v>
      </c>
      <c r="E264" s="1">
        <v>350</v>
      </c>
      <c r="F264" s="1">
        <v>0</v>
      </c>
      <c r="G264" s="1">
        <v>0</v>
      </c>
      <c r="H264" s="1">
        <v>3104</v>
      </c>
      <c r="I264" s="1">
        <v>0</v>
      </c>
      <c r="J264" s="1">
        <v>2010</v>
      </c>
      <c r="K264" s="1" t="s">
        <v>1289</v>
      </c>
      <c r="L264" s="1" t="str">
        <f t="shared" si="1"/>
        <v>初级穿透</v>
      </c>
      <c r="M264" s="1">
        <v>0</v>
      </c>
      <c r="N264" s="1">
        <v>3104</v>
      </c>
      <c r="O264" s="1">
        <v>200</v>
      </c>
      <c r="R264" s="1" t="s">
        <v>227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</row>
    <row r="265" s="1" customFormat="1" spans="1:26">
      <c r="A265" s="1">
        <v>3104001</v>
      </c>
      <c r="B265" t="s">
        <v>1288</v>
      </c>
      <c r="C265" s="1">
        <v>3</v>
      </c>
      <c r="D265" s="1">
        <v>101</v>
      </c>
      <c r="E265" s="1">
        <v>350</v>
      </c>
      <c r="F265" s="1">
        <v>0</v>
      </c>
      <c r="G265" s="1">
        <v>0</v>
      </c>
      <c r="H265" s="1">
        <f>A265</f>
        <v>3104001</v>
      </c>
      <c r="I265" s="1">
        <v>0</v>
      </c>
      <c r="J265" s="1">
        <v>2010</v>
      </c>
      <c r="K265" s="1" t="s">
        <v>1290</v>
      </c>
      <c r="L265" s="1" t="str">
        <f t="shared" si="1"/>
        <v>初级穿透</v>
      </c>
      <c r="M265">
        <v>1</v>
      </c>
      <c r="N265" s="1">
        <v>3104</v>
      </c>
      <c r="O265" s="1">
        <v>400</v>
      </c>
      <c r="R265" s="1" t="s">
        <v>227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</row>
    <row r="266" s="1" customFormat="1" spans="1:26">
      <c r="A266" s="1">
        <v>3104002</v>
      </c>
      <c r="B266" t="s">
        <v>1288</v>
      </c>
      <c r="C266" s="1">
        <v>3</v>
      </c>
      <c r="D266" s="1">
        <v>101</v>
      </c>
      <c r="E266" s="1">
        <v>350</v>
      </c>
      <c r="F266" s="1">
        <v>0</v>
      </c>
      <c r="G266" s="1">
        <v>0</v>
      </c>
      <c r="H266" s="1">
        <f>A266</f>
        <v>3104002</v>
      </c>
      <c r="I266" s="1">
        <v>0</v>
      </c>
      <c r="J266" s="1">
        <v>2010</v>
      </c>
      <c r="K266" s="1" t="s">
        <v>1291</v>
      </c>
      <c r="L266" s="1" t="str">
        <f t="shared" si="1"/>
        <v>初级穿透</v>
      </c>
      <c r="M266">
        <v>2</v>
      </c>
      <c r="N266" s="1">
        <v>3104</v>
      </c>
      <c r="O266" s="1">
        <v>800</v>
      </c>
      <c r="R266" s="1" t="s">
        <v>227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</row>
    <row r="267" s="1" customFormat="1" spans="1:26">
      <c r="A267" s="1">
        <v>3104003</v>
      </c>
      <c r="B267" t="s">
        <v>1288</v>
      </c>
      <c r="C267" s="1">
        <v>3</v>
      </c>
      <c r="D267" s="1">
        <v>101</v>
      </c>
      <c r="E267" s="1">
        <v>350</v>
      </c>
      <c r="F267" s="1">
        <v>0</v>
      </c>
      <c r="G267" s="1">
        <v>0</v>
      </c>
      <c r="H267" s="1">
        <f>A267</f>
        <v>3104003</v>
      </c>
      <c r="I267" s="1">
        <v>0</v>
      </c>
      <c r="J267" s="1">
        <v>2010</v>
      </c>
      <c r="K267" s="1" t="s">
        <v>1292</v>
      </c>
      <c r="L267" s="1" t="str">
        <f t="shared" si="1"/>
        <v>初级穿透</v>
      </c>
      <c r="M267">
        <v>3</v>
      </c>
      <c r="N267" s="1">
        <v>3104</v>
      </c>
      <c r="O267" s="1">
        <v>1600</v>
      </c>
      <c r="R267" s="1" t="s">
        <v>227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</row>
    <row r="268" s="1" customFormat="1" spans="1:26">
      <c r="A268" s="1">
        <v>3104004</v>
      </c>
      <c r="B268" t="s">
        <v>1288</v>
      </c>
      <c r="C268" s="1">
        <v>3</v>
      </c>
      <c r="D268" s="1">
        <v>101</v>
      </c>
      <c r="E268" s="1">
        <v>350</v>
      </c>
      <c r="F268" s="1">
        <v>0</v>
      </c>
      <c r="G268" s="1">
        <v>0</v>
      </c>
      <c r="H268" s="1">
        <f>A268</f>
        <v>3104004</v>
      </c>
      <c r="I268" s="1">
        <v>0</v>
      </c>
      <c r="J268" s="1">
        <v>2010</v>
      </c>
      <c r="K268" s="1" t="s">
        <v>1293</v>
      </c>
      <c r="L268" s="1" t="str">
        <f t="shared" si="1"/>
        <v>初级穿透</v>
      </c>
      <c r="M268">
        <v>4</v>
      </c>
      <c r="N268" s="1">
        <v>3104</v>
      </c>
      <c r="O268" s="1">
        <v>3200</v>
      </c>
      <c r="R268" s="1" t="s">
        <v>227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</row>
    <row r="269" s="1" customFormat="1" spans="1:26">
      <c r="A269" s="1">
        <v>3104005</v>
      </c>
      <c r="B269" t="s">
        <v>1288</v>
      </c>
      <c r="C269" s="1">
        <v>3</v>
      </c>
      <c r="D269" s="1">
        <v>101</v>
      </c>
      <c r="E269" s="1">
        <v>350</v>
      </c>
      <c r="F269" s="1">
        <v>0</v>
      </c>
      <c r="G269" s="1">
        <v>0</v>
      </c>
      <c r="H269" s="1">
        <f>A269</f>
        <v>3104005</v>
      </c>
      <c r="I269" s="1">
        <v>0</v>
      </c>
      <c r="J269" s="1">
        <v>2010</v>
      </c>
      <c r="K269" s="1" t="s">
        <v>1294</v>
      </c>
      <c r="L269" s="1" t="str">
        <f t="shared" si="1"/>
        <v>初级穿透</v>
      </c>
      <c r="M269">
        <v>5</v>
      </c>
      <c r="N269" s="1">
        <v>3104</v>
      </c>
      <c r="O269" s="1">
        <v>6400</v>
      </c>
      <c r="R269" s="1" t="s">
        <v>227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</row>
    <row r="270" s="1" customFormat="1" spans="1:26">
      <c r="A270" s="1">
        <f>N270*1000</f>
        <v>3201000</v>
      </c>
      <c r="B270" t="s">
        <v>1295</v>
      </c>
      <c r="C270" s="1">
        <v>3</v>
      </c>
      <c r="D270" s="1">
        <v>101</v>
      </c>
      <c r="E270" s="1">
        <v>350</v>
      </c>
      <c r="F270" s="1">
        <v>0</v>
      </c>
      <c r="G270" s="1">
        <v>0</v>
      </c>
      <c r="H270" s="1">
        <v>3201</v>
      </c>
      <c r="I270" s="1">
        <v>0</v>
      </c>
      <c r="J270" s="1">
        <v>2002</v>
      </c>
      <c r="K270" s="1" t="s">
        <v>1273</v>
      </c>
      <c r="L270" s="1" t="str">
        <f t="shared" si="1"/>
        <v>中级生命</v>
      </c>
      <c r="M270" s="1">
        <v>0</v>
      </c>
      <c r="N270" s="1">
        <v>3201</v>
      </c>
      <c r="O270" s="1">
        <v>3200</v>
      </c>
      <c r="R270" s="1" t="s">
        <v>227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</row>
    <row r="271" s="1" customFormat="1" spans="1:26">
      <c r="A271" s="1">
        <v>3201001</v>
      </c>
      <c r="B271" t="s">
        <v>1295</v>
      </c>
      <c r="C271" s="1">
        <v>3</v>
      </c>
      <c r="D271" s="1">
        <v>101</v>
      </c>
      <c r="E271" s="1">
        <v>350</v>
      </c>
      <c r="F271" s="1">
        <v>0</v>
      </c>
      <c r="G271" s="1">
        <v>0</v>
      </c>
      <c r="H271" s="1">
        <f>A271</f>
        <v>3201001</v>
      </c>
      <c r="I271" s="1">
        <v>0</v>
      </c>
      <c r="J271" s="1">
        <v>2002</v>
      </c>
      <c r="K271" s="1" t="s">
        <v>1296</v>
      </c>
      <c r="L271" s="1" t="str">
        <f t="shared" si="1"/>
        <v>中级生命</v>
      </c>
      <c r="M271">
        <v>1</v>
      </c>
      <c r="N271" s="1">
        <v>3201</v>
      </c>
      <c r="O271" s="1">
        <v>6500</v>
      </c>
      <c r="R271" s="1" t="s">
        <v>227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</row>
    <row r="272" s="1" customFormat="1" spans="1:26">
      <c r="A272" s="1">
        <v>3201002</v>
      </c>
      <c r="B272" t="s">
        <v>1295</v>
      </c>
      <c r="C272" s="1">
        <v>3</v>
      </c>
      <c r="D272" s="1">
        <v>101</v>
      </c>
      <c r="E272" s="1">
        <v>350</v>
      </c>
      <c r="F272" s="1">
        <v>0</v>
      </c>
      <c r="G272" s="1">
        <v>0</v>
      </c>
      <c r="H272" s="1">
        <f>A272</f>
        <v>3201002</v>
      </c>
      <c r="I272" s="1">
        <v>0</v>
      </c>
      <c r="J272" s="1">
        <v>2002</v>
      </c>
      <c r="K272" s="1" t="s">
        <v>1297</v>
      </c>
      <c r="L272" s="1" t="str">
        <f t="shared" si="1"/>
        <v>中级生命</v>
      </c>
      <c r="M272">
        <v>2</v>
      </c>
      <c r="N272" s="1">
        <v>3201</v>
      </c>
      <c r="O272" s="1">
        <v>13000</v>
      </c>
      <c r="R272" s="1" t="s">
        <v>227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</row>
    <row r="273" s="1" customFormat="1" spans="1:26">
      <c r="A273" s="1">
        <v>3201003</v>
      </c>
      <c r="B273" t="s">
        <v>1295</v>
      </c>
      <c r="C273" s="1">
        <v>3</v>
      </c>
      <c r="D273" s="1">
        <v>101</v>
      </c>
      <c r="E273" s="1">
        <v>350</v>
      </c>
      <c r="F273" s="1">
        <v>0</v>
      </c>
      <c r="G273" s="1">
        <v>0</v>
      </c>
      <c r="H273" s="1">
        <f>A273</f>
        <v>3201003</v>
      </c>
      <c r="I273" s="1">
        <v>0</v>
      </c>
      <c r="J273" s="1">
        <v>2002</v>
      </c>
      <c r="K273" s="1" t="s">
        <v>1298</v>
      </c>
      <c r="L273" s="1" t="str">
        <f t="shared" si="1"/>
        <v>中级生命</v>
      </c>
      <c r="M273">
        <v>3</v>
      </c>
      <c r="N273" s="1">
        <v>3201</v>
      </c>
      <c r="O273" s="1">
        <v>26000</v>
      </c>
      <c r="R273" s="1" t="s">
        <v>227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</row>
    <row r="274" s="1" customFormat="1" spans="1:26">
      <c r="A274" s="1">
        <v>3201004</v>
      </c>
      <c r="B274" t="s">
        <v>1295</v>
      </c>
      <c r="C274" s="1">
        <v>3</v>
      </c>
      <c r="D274" s="1">
        <v>101</v>
      </c>
      <c r="E274" s="1">
        <v>350</v>
      </c>
      <c r="F274" s="1">
        <v>0</v>
      </c>
      <c r="G274" s="1">
        <v>0</v>
      </c>
      <c r="H274" s="1">
        <f>A274</f>
        <v>3201004</v>
      </c>
      <c r="I274" s="1">
        <v>0</v>
      </c>
      <c r="J274" s="1">
        <v>2002</v>
      </c>
      <c r="K274" s="1" t="s">
        <v>1299</v>
      </c>
      <c r="L274" s="1" t="str">
        <f t="shared" si="1"/>
        <v>中级生命</v>
      </c>
      <c r="M274">
        <v>4</v>
      </c>
      <c r="N274" s="1">
        <v>3201</v>
      </c>
      <c r="O274" s="1">
        <v>52000</v>
      </c>
      <c r="R274" s="1" t="s">
        <v>227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</row>
    <row r="275" s="1" customFormat="1" spans="1:26">
      <c r="A275" s="1">
        <v>3201005</v>
      </c>
      <c r="B275" t="s">
        <v>1295</v>
      </c>
      <c r="C275" s="1">
        <v>3</v>
      </c>
      <c r="D275" s="1">
        <v>101</v>
      </c>
      <c r="E275" s="1">
        <v>350</v>
      </c>
      <c r="F275" s="1">
        <v>0</v>
      </c>
      <c r="G275" s="1">
        <v>0</v>
      </c>
      <c r="H275" s="1">
        <f>A275</f>
        <v>3201005</v>
      </c>
      <c r="I275" s="1">
        <v>0</v>
      </c>
      <c r="J275" s="1">
        <v>2002</v>
      </c>
      <c r="K275" s="1" t="s">
        <v>1300</v>
      </c>
      <c r="L275" s="1" t="str">
        <f t="shared" si="1"/>
        <v>中级生命</v>
      </c>
      <c r="M275">
        <v>5</v>
      </c>
      <c r="N275" s="1">
        <v>3201</v>
      </c>
      <c r="O275" s="1">
        <v>104000</v>
      </c>
      <c r="R275" s="1" t="s">
        <v>227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</row>
    <row r="276" s="1" customFormat="1" spans="1:26">
      <c r="A276" s="1">
        <f>N276*1000</f>
        <v>3202000</v>
      </c>
      <c r="B276" t="s">
        <v>1301</v>
      </c>
      <c r="C276" s="1">
        <v>3</v>
      </c>
      <c r="D276" s="1">
        <v>101</v>
      </c>
      <c r="E276" s="1">
        <v>350</v>
      </c>
      <c r="F276" s="1">
        <v>0</v>
      </c>
      <c r="G276" s="1">
        <v>0</v>
      </c>
      <c r="H276" s="1">
        <v>3202</v>
      </c>
      <c r="I276" s="1">
        <v>0</v>
      </c>
      <c r="J276" s="1">
        <v>2008</v>
      </c>
      <c r="K276" s="1" t="s">
        <v>1280</v>
      </c>
      <c r="L276" s="1" t="str">
        <f t="shared" si="1"/>
        <v>中级爆伤</v>
      </c>
      <c r="M276" s="1">
        <v>0</v>
      </c>
      <c r="N276" s="1">
        <v>3202</v>
      </c>
      <c r="O276" s="1">
        <v>3200</v>
      </c>
      <c r="R276" s="1" t="s">
        <v>227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</row>
    <row r="277" s="1" customFormat="1" spans="1:26">
      <c r="A277" s="1">
        <v>3202001</v>
      </c>
      <c r="B277" t="s">
        <v>1301</v>
      </c>
      <c r="C277" s="1">
        <v>3</v>
      </c>
      <c r="D277" s="1">
        <v>101</v>
      </c>
      <c r="E277" s="1">
        <v>350</v>
      </c>
      <c r="F277" s="1">
        <v>0</v>
      </c>
      <c r="G277" s="1">
        <v>0</v>
      </c>
      <c r="H277" s="1">
        <f>A277</f>
        <v>3202001</v>
      </c>
      <c r="I277" s="1">
        <v>0</v>
      </c>
      <c r="J277" s="1">
        <v>2008</v>
      </c>
      <c r="K277" s="1" t="s">
        <v>1302</v>
      </c>
      <c r="L277" s="1" t="str">
        <f t="shared" si="1"/>
        <v>中级爆伤</v>
      </c>
      <c r="M277">
        <v>1</v>
      </c>
      <c r="N277" s="1">
        <v>3202</v>
      </c>
      <c r="O277" s="1">
        <v>6500</v>
      </c>
      <c r="R277" s="1" t="s">
        <v>227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</row>
    <row r="278" s="1" customFormat="1" spans="1:26">
      <c r="A278" s="1">
        <v>3202002</v>
      </c>
      <c r="B278" t="s">
        <v>1301</v>
      </c>
      <c r="C278" s="1">
        <v>3</v>
      </c>
      <c r="D278" s="1">
        <v>101</v>
      </c>
      <c r="E278" s="1">
        <v>350</v>
      </c>
      <c r="F278" s="1">
        <v>0</v>
      </c>
      <c r="G278" s="1">
        <v>0</v>
      </c>
      <c r="H278" s="1">
        <f>A278</f>
        <v>3202002</v>
      </c>
      <c r="I278" s="1">
        <v>0</v>
      </c>
      <c r="J278" s="1">
        <v>2008</v>
      </c>
      <c r="K278" s="1" t="s">
        <v>1303</v>
      </c>
      <c r="L278" s="1" t="str">
        <f t="shared" si="1"/>
        <v>中级爆伤</v>
      </c>
      <c r="M278">
        <v>2</v>
      </c>
      <c r="N278" s="1">
        <v>3202</v>
      </c>
      <c r="O278" s="1">
        <v>13000</v>
      </c>
      <c r="R278" s="1" t="s">
        <v>227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</row>
    <row r="279" s="1" customFormat="1" spans="1:26">
      <c r="A279" s="1">
        <v>3202003</v>
      </c>
      <c r="B279" t="s">
        <v>1301</v>
      </c>
      <c r="C279" s="1">
        <v>3</v>
      </c>
      <c r="D279" s="1">
        <v>101</v>
      </c>
      <c r="E279" s="1">
        <v>350</v>
      </c>
      <c r="F279" s="1">
        <v>0</v>
      </c>
      <c r="G279" s="1">
        <v>0</v>
      </c>
      <c r="H279" s="1">
        <f>A279</f>
        <v>3202003</v>
      </c>
      <c r="I279" s="1">
        <v>0</v>
      </c>
      <c r="J279" s="1">
        <v>2008</v>
      </c>
      <c r="K279" s="1" t="s">
        <v>1304</v>
      </c>
      <c r="L279" s="1" t="str">
        <f t="shared" si="1"/>
        <v>中级爆伤</v>
      </c>
      <c r="M279">
        <v>3</v>
      </c>
      <c r="N279" s="1">
        <v>3202</v>
      </c>
      <c r="O279" s="1">
        <v>26000</v>
      </c>
      <c r="R279" s="1" t="s">
        <v>227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</row>
    <row r="280" s="1" customFormat="1" spans="1:26">
      <c r="A280" s="1">
        <v>3202004</v>
      </c>
      <c r="B280" t="s">
        <v>1301</v>
      </c>
      <c r="C280" s="1">
        <v>3</v>
      </c>
      <c r="D280" s="1">
        <v>101</v>
      </c>
      <c r="E280" s="1">
        <v>350</v>
      </c>
      <c r="F280" s="1">
        <v>0</v>
      </c>
      <c r="G280" s="1">
        <v>0</v>
      </c>
      <c r="H280" s="1">
        <f>A280</f>
        <v>3202004</v>
      </c>
      <c r="I280" s="1">
        <v>0</v>
      </c>
      <c r="J280" s="1">
        <v>2008</v>
      </c>
      <c r="K280" s="1" t="s">
        <v>1305</v>
      </c>
      <c r="L280" s="1" t="str">
        <f t="shared" si="1"/>
        <v>中级爆伤</v>
      </c>
      <c r="M280">
        <v>4</v>
      </c>
      <c r="N280" s="1">
        <v>3202</v>
      </c>
      <c r="O280" s="1">
        <v>52000</v>
      </c>
      <c r="R280" s="1" t="s">
        <v>227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</row>
    <row r="281" s="1" customFormat="1" spans="1:26">
      <c r="A281" s="1">
        <v>3202005</v>
      </c>
      <c r="B281" t="s">
        <v>1301</v>
      </c>
      <c r="C281" s="1">
        <v>3</v>
      </c>
      <c r="D281" s="1">
        <v>101</v>
      </c>
      <c r="E281" s="1">
        <v>350</v>
      </c>
      <c r="F281" s="1">
        <v>0</v>
      </c>
      <c r="G281" s="1">
        <v>0</v>
      </c>
      <c r="H281" s="1">
        <f>A281</f>
        <v>3202005</v>
      </c>
      <c r="I281" s="1">
        <v>0</v>
      </c>
      <c r="J281" s="1">
        <v>2008</v>
      </c>
      <c r="K281" s="1" t="s">
        <v>1306</v>
      </c>
      <c r="L281" s="1" t="str">
        <f t="shared" si="1"/>
        <v>中级爆伤</v>
      </c>
      <c r="M281">
        <v>5</v>
      </c>
      <c r="N281" s="1">
        <v>3202</v>
      </c>
      <c r="O281" s="1">
        <v>104000</v>
      </c>
      <c r="R281" s="1" t="s">
        <v>227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</row>
    <row r="282" s="1" customFormat="1" spans="1:26">
      <c r="A282" s="1">
        <f>N282*1000</f>
        <v>3203000</v>
      </c>
      <c r="B282" t="s">
        <v>1307</v>
      </c>
      <c r="C282" s="1">
        <v>3</v>
      </c>
      <c r="D282" s="1">
        <v>101</v>
      </c>
      <c r="E282" s="1">
        <v>350</v>
      </c>
      <c r="F282" s="1">
        <v>0</v>
      </c>
      <c r="G282" s="1">
        <v>0</v>
      </c>
      <c r="H282" s="1">
        <v>3203</v>
      </c>
      <c r="I282" s="1">
        <v>0</v>
      </c>
      <c r="J282" s="1">
        <v>2009</v>
      </c>
      <c r="K282" s="1" t="s">
        <v>1287</v>
      </c>
      <c r="L282" s="1" t="str">
        <f t="shared" si="1"/>
        <v>中级爆抗</v>
      </c>
      <c r="M282" s="1">
        <v>0</v>
      </c>
      <c r="N282" s="1">
        <v>3203</v>
      </c>
      <c r="O282" s="1">
        <v>3200</v>
      </c>
      <c r="R282" s="1" t="s">
        <v>227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</row>
    <row r="283" s="1" customFormat="1" spans="1:26">
      <c r="A283" s="1">
        <v>3203001</v>
      </c>
      <c r="B283" t="s">
        <v>1307</v>
      </c>
      <c r="C283" s="1">
        <v>3</v>
      </c>
      <c r="D283" s="1">
        <v>101</v>
      </c>
      <c r="E283" s="1">
        <v>350</v>
      </c>
      <c r="F283" s="1">
        <v>0</v>
      </c>
      <c r="G283" s="1">
        <v>0</v>
      </c>
      <c r="H283" s="1">
        <f>A283</f>
        <v>3203001</v>
      </c>
      <c r="I283" s="1">
        <v>0</v>
      </c>
      <c r="J283" s="1">
        <v>2009</v>
      </c>
      <c r="K283" s="1" t="s">
        <v>1308</v>
      </c>
      <c r="L283" s="1" t="str">
        <f t="shared" si="1"/>
        <v>中级爆抗</v>
      </c>
      <c r="M283">
        <v>1</v>
      </c>
      <c r="N283" s="1">
        <v>3203</v>
      </c>
      <c r="O283" s="1">
        <v>6500</v>
      </c>
      <c r="R283" s="1" t="s">
        <v>227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</row>
    <row r="284" s="1" customFormat="1" spans="1:26">
      <c r="A284" s="1">
        <v>3203002</v>
      </c>
      <c r="B284" t="s">
        <v>1307</v>
      </c>
      <c r="C284" s="1">
        <v>3</v>
      </c>
      <c r="D284" s="1">
        <v>101</v>
      </c>
      <c r="E284" s="1">
        <v>350</v>
      </c>
      <c r="F284" s="1">
        <v>0</v>
      </c>
      <c r="G284" s="1">
        <v>0</v>
      </c>
      <c r="H284" s="1">
        <f>A284</f>
        <v>3203002</v>
      </c>
      <c r="I284" s="1">
        <v>0</v>
      </c>
      <c r="J284" s="1">
        <v>2009</v>
      </c>
      <c r="K284" s="1" t="s">
        <v>1309</v>
      </c>
      <c r="L284" s="1" t="str">
        <f t="shared" si="1"/>
        <v>中级爆抗</v>
      </c>
      <c r="M284">
        <v>2</v>
      </c>
      <c r="N284" s="1">
        <v>3203</v>
      </c>
      <c r="O284" s="1">
        <v>13000</v>
      </c>
      <c r="R284" s="1" t="s">
        <v>227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</row>
    <row r="285" s="1" customFormat="1" spans="1:26">
      <c r="A285" s="1">
        <v>3203003</v>
      </c>
      <c r="B285" t="s">
        <v>1307</v>
      </c>
      <c r="C285" s="1">
        <v>3</v>
      </c>
      <c r="D285" s="1">
        <v>101</v>
      </c>
      <c r="E285" s="1">
        <v>350</v>
      </c>
      <c r="F285" s="1">
        <v>0</v>
      </c>
      <c r="G285" s="1">
        <v>0</v>
      </c>
      <c r="H285" s="1">
        <f>A285</f>
        <v>3203003</v>
      </c>
      <c r="I285" s="1">
        <v>0</v>
      </c>
      <c r="J285" s="1">
        <v>2009</v>
      </c>
      <c r="K285" s="1" t="s">
        <v>1310</v>
      </c>
      <c r="L285" s="1" t="str">
        <f t="shared" si="1"/>
        <v>中级爆抗</v>
      </c>
      <c r="M285">
        <v>3</v>
      </c>
      <c r="N285" s="1">
        <v>3203</v>
      </c>
      <c r="O285" s="1">
        <v>26000</v>
      </c>
      <c r="R285" s="1" t="s">
        <v>227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</row>
    <row r="286" s="1" customFormat="1" spans="1:26">
      <c r="A286" s="1">
        <v>3203004</v>
      </c>
      <c r="B286" t="s">
        <v>1307</v>
      </c>
      <c r="C286" s="1">
        <v>3</v>
      </c>
      <c r="D286" s="1">
        <v>101</v>
      </c>
      <c r="E286" s="1">
        <v>350</v>
      </c>
      <c r="F286" s="1">
        <v>0</v>
      </c>
      <c r="G286" s="1">
        <v>0</v>
      </c>
      <c r="H286" s="1">
        <f>A286</f>
        <v>3203004</v>
      </c>
      <c r="I286" s="1">
        <v>0</v>
      </c>
      <c r="J286" s="1">
        <v>2009</v>
      </c>
      <c r="K286" s="1" t="s">
        <v>1311</v>
      </c>
      <c r="L286" s="1" t="str">
        <f t="shared" si="1"/>
        <v>中级爆抗</v>
      </c>
      <c r="M286">
        <v>4</v>
      </c>
      <c r="N286" s="1">
        <v>3203</v>
      </c>
      <c r="O286" s="1">
        <v>52000</v>
      </c>
      <c r="R286" s="1" t="s">
        <v>227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</row>
    <row r="287" s="1" customFormat="1" spans="1:26">
      <c r="A287" s="1">
        <v>3203005</v>
      </c>
      <c r="B287" t="s">
        <v>1307</v>
      </c>
      <c r="C287" s="1">
        <v>3</v>
      </c>
      <c r="D287" s="1">
        <v>101</v>
      </c>
      <c r="E287" s="1">
        <v>350</v>
      </c>
      <c r="F287" s="1">
        <v>0</v>
      </c>
      <c r="G287" s="1">
        <v>0</v>
      </c>
      <c r="H287" s="1">
        <f>A287</f>
        <v>3203005</v>
      </c>
      <c r="I287" s="1">
        <v>0</v>
      </c>
      <c r="J287" s="1">
        <v>2009</v>
      </c>
      <c r="K287" s="1" t="s">
        <v>1312</v>
      </c>
      <c r="L287" s="1" t="str">
        <f t="shared" si="1"/>
        <v>中级爆抗</v>
      </c>
      <c r="M287">
        <v>5</v>
      </c>
      <c r="N287" s="1">
        <v>3203</v>
      </c>
      <c r="O287" s="1">
        <v>104000</v>
      </c>
      <c r="R287" s="1" t="s">
        <v>227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</row>
    <row r="288" s="1" customFormat="1" spans="1:26">
      <c r="A288" s="1">
        <f>N288*1000</f>
        <v>3204000</v>
      </c>
      <c r="B288" t="s">
        <v>1313</v>
      </c>
      <c r="C288" s="1">
        <v>3</v>
      </c>
      <c r="D288" s="1">
        <v>101</v>
      </c>
      <c r="E288" s="1">
        <v>350</v>
      </c>
      <c r="F288" s="1">
        <v>0</v>
      </c>
      <c r="G288" s="1">
        <v>0</v>
      </c>
      <c r="H288" s="1">
        <v>3204</v>
      </c>
      <c r="I288" s="1">
        <v>0</v>
      </c>
      <c r="J288" s="1">
        <v>2010</v>
      </c>
      <c r="K288" s="1" t="s">
        <v>1294</v>
      </c>
      <c r="L288" s="1" t="str">
        <f t="shared" si="1"/>
        <v>中级穿透</v>
      </c>
      <c r="M288" s="1">
        <v>0</v>
      </c>
      <c r="N288" s="1">
        <v>3204</v>
      </c>
      <c r="O288" s="1">
        <v>3200</v>
      </c>
      <c r="R288" s="1" t="s">
        <v>227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</row>
    <row r="289" s="1" customFormat="1" spans="1:26">
      <c r="A289" s="1">
        <v>3204001</v>
      </c>
      <c r="B289" t="s">
        <v>1313</v>
      </c>
      <c r="C289" s="1">
        <v>3</v>
      </c>
      <c r="D289" s="1">
        <v>101</v>
      </c>
      <c r="E289" s="1">
        <v>350</v>
      </c>
      <c r="F289" s="1">
        <v>0</v>
      </c>
      <c r="G289" s="1">
        <v>0</v>
      </c>
      <c r="H289" s="1">
        <f>A289</f>
        <v>3204001</v>
      </c>
      <c r="I289" s="1">
        <v>0</v>
      </c>
      <c r="J289" s="1">
        <v>2010</v>
      </c>
      <c r="K289" s="1" t="s">
        <v>1314</v>
      </c>
      <c r="L289" s="1" t="str">
        <f t="shared" si="1"/>
        <v>中级穿透</v>
      </c>
      <c r="M289">
        <v>1</v>
      </c>
      <c r="N289" s="1">
        <v>3204</v>
      </c>
      <c r="O289" s="1">
        <v>6500</v>
      </c>
      <c r="R289" s="1" t="s">
        <v>227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</row>
    <row r="290" s="1" customFormat="1" spans="1:26">
      <c r="A290" s="1">
        <v>3204002</v>
      </c>
      <c r="B290" t="s">
        <v>1313</v>
      </c>
      <c r="C290" s="1">
        <v>3</v>
      </c>
      <c r="D290" s="1">
        <v>101</v>
      </c>
      <c r="E290" s="1">
        <v>350</v>
      </c>
      <c r="F290" s="1">
        <v>0</v>
      </c>
      <c r="G290" s="1">
        <v>0</v>
      </c>
      <c r="H290" s="1">
        <f>A290</f>
        <v>3204002</v>
      </c>
      <c r="I290" s="1">
        <v>0</v>
      </c>
      <c r="J290" s="1">
        <v>2010</v>
      </c>
      <c r="K290" s="1" t="s">
        <v>1315</v>
      </c>
      <c r="L290" s="1" t="str">
        <f t="shared" si="1"/>
        <v>中级穿透</v>
      </c>
      <c r="M290">
        <v>2</v>
      </c>
      <c r="N290" s="1">
        <v>3204</v>
      </c>
      <c r="O290" s="1">
        <v>13000</v>
      </c>
      <c r="R290" s="1" t="s">
        <v>227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</row>
    <row r="291" s="1" customFormat="1" spans="1:26">
      <c r="A291" s="1">
        <v>3204003</v>
      </c>
      <c r="B291" t="s">
        <v>1313</v>
      </c>
      <c r="C291" s="1">
        <v>3</v>
      </c>
      <c r="D291" s="1">
        <v>101</v>
      </c>
      <c r="E291" s="1">
        <v>350</v>
      </c>
      <c r="F291" s="1">
        <v>0</v>
      </c>
      <c r="G291" s="1">
        <v>0</v>
      </c>
      <c r="H291" s="1">
        <f>A291</f>
        <v>3204003</v>
      </c>
      <c r="I291" s="1">
        <v>0</v>
      </c>
      <c r="J291" s="1">
        <v>2010</v>
      </c>
      <c r="K291" s="1" t="s">
        <v>1316</v>
      </c>
      <c r="L291" s="1" t="str">
        <f t="shared" si="1"/>
        <v>中级穿透</v>
      </c>
      <c r="M291">
        <v>3</v>
      </c>
      <c r="N291" s="1">
        <v>3204</v>
      </c>
      <c r="O291" s="1">
        <v>26000</v>
      </c>
      <c r="R291" s="1" t="s">
        <v>227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</row>
    <row r="292" s="1" customFormat="1" spans="1:26">
      <c r="A292" s="1">
        <v>3204004</v>
      </c>
      <c r="B292" t="s">
        <v>1313</v>
      </c>
      <c r="C292" s="1">
        <v>3</v>
      </c>
      <c r="D292" s="1">
        <v>101</v>
      </c>
      <c r="E292" s="1">
        <v>350</v>
      </c>
      <c r="F292" s="1">
        <v>0</v>
      </c>
      <c r="G292" s="1">
        <v>0</v>
      </c>
      <c r="H292" s="1">
        <f>A292</f>
        <v>3204004</v>
      </c>
      <c r="I292" s="1">
        <v>0</v>
      </c>
      <c r="J292" s="1">
        <v>2010</v>
      </c>
      <c r="K292" s="1" t="s">
        <v>1317</v>
      </c>
      <c r="L292" s="1" t="str">
        <f t="shared" si="1"/>
        <v>中级穿透</v>
      </c>
      <c r="M292">
        <v>4</v>
      </c>
      <c r="N292" s="1">
        <v>3204</v>
      </c>
      <c r="O292" s="1">
        <v>52000</v>
      </c>
      <c r="R292" s="1" t="s">
        <v>227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</row>
    <row r="293" s="1" customFormat="1" spans="1:26">
      <c r="A293" s="1">
        <v>3204005</v>
      </c>
      <c r="B293" t="s">
        <v>1313</v>
      </c>
      <c r="C293" s="1">
        <v>3</v>
      </c>
      <c r="D293" s="1">
        <v>101</v>
      </c>
      <c r="E293" s="1">
        <v>350</v>
      </c>
      <c r="F293" s="1">
        <v>0</v>
      </c>
      <c r="G293" s="1">
        <v>0</v>
      </c>
      <c r="H293" s="1">
        <f>A293</f>
        <v>3204005</v>
      </c>
      <c r="I293" s="1">
        <v>0</v>
      </c>
      <c r="J293" s="1">
        <v>2010</v>
      </c>
      <c r="K293" s="1" t="s">
        <v>1318</v>
      </c>
      <c r="L293" s="1" t="str">
        <f t="shared" si="1"/>
        <v>中级穿透</v>
      </c>
      <c r="M293">
        <v>5</v>
      </c>
      <c r="N293" s="1">
        <v>3204</v>
      </c>
      <c r="O293" s="1">
        <v>104000</v>
      </c>
      <c r="R293" s="1" t="s">
        <v>227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</row>
    <row r="294" spans="1:26">
      <c r="A294" s="1">
        <f>N294*1000</f>
        <v>3205000</v>
      </c>
      <c r="B294" t="s">
        <v>1319</v>
      </c>
      <c r="C294" s="1">
        <v>3</v>
      </c>
      <c r="D294" s="1">
        <v>101</v>
      </c>
      <c r="E294" s="1">
        <v>350</v>
      </c>
      <c r="F294" s="1">
        <v>0</v>
      </c>
      <c r="G294" s="1">
        <v>0</v>
      </c>
      <c r="H294" s="1">
        <v>3205</v>
      </c>
      <c r="I294" s="1">
        <v>0</v>
      </c>
      <c r="J294" s="1">
        <v>2003</v>
      </c>
      <c r="K294" s="1" t="s">
        <v>1320</v>
      </c>
      <c r="L294" s="1" t="str">
        <f t="shared" si="1"/>
        <v>中级防御</v>
      </c>
      <c r="M294" s="1">
        <v>0</v>
      </c>
      <c r="N294" s="1">
        <v>3205</v>
      </c>
      <c r="O294" s="1">
        <v>3200</v>
      </c>
      <c r="P294" s="1"/>
      <c r="Q294" s="1"/>
      <c r="R294" s="1" t="s">
        <v>227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</row>
    <row r="295" spans="1:26">
      <c r="A295" s="1">
        <v>3205001</v>
      </c>
      <c r="B295" t="s">
        <v>1319</v>
      </c>
      <c r="C295" s="1">
        <v>3</v>
      </c>
      <c r="D295" s="1">
        <v>101</v>
      </c>
      <c r="E295" s="1">
        <v>350</v>
      </c>
      <c r="F295" s="1">
        <v>0</v>
      </c>
      <c r="G295" s="1">
        <v>0</v>
      </c>
      <c r="H295" s="1">
        <f>A295</f>
        <v>3205001</v>
      </c>
      <c r="I295" s="1">
        <v>0</v>
      </c>
      <c r="J295" s="1">
        <v>2003</v>
      </c>
      <c r="K295" s="1" t="s">
        <v>1321</v>
      </c>
      <c r="L295" s="1" t="str">
        <f t="shared" si="1"/>
        <v>中级防御</v>
      </c>
      <c r="M295">
        <v>1</v>
      </c>
      <c r="N295" s="1">
        <v>3205</v>
      </c>
      <c r="O295" s="1">
        <v>6500</v>
      </c>
      <c r="P295" s="1"/>
      <c r="Q295" s="1"/>
      <c r="R295" s="1" t="s">
        <v>227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</row>
    <row r="296" spans="1:26">
      <c r="A296" s="1">
        <v>3205002</v>
      </c>
      <c r="B296" t="s">
        <v>1319</v>
      </c>
      <c r="C296" s="1">
        <v>3</v>
      </c>
      <c r="D296" s="1">
        <v>101</v>
      </c>
      <c r="E296" s="1">
        <v>350</v>
      </c>
      <c r="F296" s="1">
        <v>0</v>
      </c>
      <c r="G296" s="1">
        <v>0</v>
      </c>
      <c r="H296" s="1">
        <f>A296</f>
        <v>3205002</v>
      </c>
      <c r="I296" s="1">
        <v>0</v>
      </c>
      <c r="J296" s="1">
        <v>2003</v>
      </c>
      <c r="K296" s="1" t="s">
        <v>1322</v>
      </c>
      <c r="L296" s="1" t="str">
        <f t="shared" si="1"/>
        <v>中级防御</v>
      </c>
      <c r="M296">
        <v>2</v>
      </c>
      <c r="N296" s="1">
        <v>3205</v>
      </c>
      <c r="O296" s="1">
        <v>13000</v>
      </c>
      <c r="P296" s="1"/>
      <c r="Q296" s="1"/>
      <c r="R296" s="1" t="s">
        <v>227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</row>
    <row r="297" spans="1:26">
      <c r="A297" s="1">
        <v>3205003</v>
      </c>
      <c r="B297" t="s">
        <v>1319</v>
      </c>
      <c r="C297" s="1">
        <v>3</v>
      </c>
      <c r="D297" s="1">
        <v>101</v>
      </c>
      <c r="E297" s="1">
        <v>350</v>
      </c>
      <c r="F297" s="1">
        <v>0</v>
      </c>
      <c r="G297" s="1">
        <v>0</v>
      </c>
      <c r="H297" s="1">
        <f>A297</f>
        <v>3205003</v>
      </c>
      <c r="I297" s="1">
        <v>0</v>
      </c>
      <c r="J297" s="1">
        <v>2003</v>
      </c>
      <c r="K297" s="1" t="s">
        <v>1323</v>
      </c>
      <c r="L297" s="1" t="str">
        <f t="shared" si="1"/>
        <v>中级防御</v>
      </c>
      <c r="M297">
        <v>3</v>
      </c>
      <c r="N297" s="1">
        <v>3205</v>
      </c>
      <c r="O297" s="1">
        <v>26000</v>
      </c>
      <c r="P297" s="1"/>
      <c r="Q297" s="1"/>
      <c r="R297" s="1" t="s">
        <v>227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</row>
    <row r="298" spans="1:26">
      <c r="A298" s="1">
        <v>3205004</v>
      </c>
      <c r="B298" t="s">
        <v>1319</v>
      </c>
      <c r="C298" s="1">
        <v>3</v>
      </c>
      <c r="D298" s="1">
        <v>101</v>
      </c>
      <c r="E298" s="1">
        <v>350</v>
      </c>
      <c r="F298" s="1">
        <v>0</v>
      </c>
      <c r="G298" s="1">
        <v>0</v>
      </c>
      <c r="H298" s="1">
        <f>A298</f>
        <v>3205004</v>
      </c>
      <c r="I298" s="1">
        <v>0</v>
      </c>
      <c r="J298" s="1">
        <v>2003</v>
      </c>
      <c r="K298" s="1" t="s">
        <v>1324</v>
      </c>
      <c r="L298" s="1" t="str">
        <f t="shared" si="1"/>
        <v>中级防御</v>
      </c>
      <c r="M298">
        <v>4</v>
      </c>
      <c r="N298" s="1">
        <v>3205</v>
      </c>
      <c r="O298" s="1">
        <v>52000</v>
      </c>
      <c r="P298" s="1"/>
      <c r="Q298" s="1"/>
      <c r="R298" s="1" t="s">
        <v>227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</row>
    <row r="299" spans="1:26">
      <c r="A299" s="1">
        <v>3205005</v>
      </c>
      <c r="B299" t="s">
        <v>1319</v>
      </c>
      <c r="C299" s="1">
        <v>3</v>
      </c>
      <c r="D299" s="1">
        <v>101</v>
      </c>
      <c r="E299" s="1">
        <v>350</v>
      </c>
      <c r="F299" s="1">
        <v>0</v>
      </c>
      <c r="G299" s="1">
        <v>0</v>
      </c>
      <c r="H299" s="1">
        <f>A299</f>
        <v>3205005</v>
      </c>
      <c r="I299" s="1">
        <v>0</v>
      </c>
      <c r="J299" s="1">
        <v>2003</v>
      </c>
      <c r="K299" s="1" t="s">
        <v>1325</v>
      </c>
      <c r="L299" s="1" t="str">
        <f t="shared" si="1"/>
        <v>中级防御</v>
      </c>
      <c r="M299">
        <v>5</v>
      </c>
      <c r="N299" s="1">
        <v>3205</v>
      </c>
      <c r="O299" s="1">
        <v>104000</v>
      </c>
      <c r="P299" s="1"/>
      <c r="Q299" s="1"/>
      <c r="R299" s="1" t="s">
        <v>227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</row>
    <row r="300" spans="1:26">
      <c r="A300" s="1">
        <f>N300*1000</f>
        <v>3206000</v>
      </c>
      <c r="B300" s="1" t="s">
        <v>1326</v>
      </c>
      <c r="C300" s="1">
        <v>3</v>
      </c>
      <c r="D300" s="1">
        <v>101</v>
      </c>
      <c r="E300" s="1">
        <v>350</v>
      </c>
      <c r="F300" s="1">
        <v>0</v>
      </c>
      <c r="G300" s="1">
        <v>0</v>
      </c>
      <c r="H300" s="1">
        <v>3206</v>
      </c>
      <c r="I300" s="1">
        <v>0</v>
      </c>
      <c r="J300" s="1">
        <v>2005</v>
      </c>
      <c r="K300" s="1" t="s">
        <v>1327</v>
      </c>
      <c r="L300" s="1" t="str">
        <f t="shared" si="1"/>
        <v>中级连击</v>
      </c>
      <c r="M300" s="1">
        <v>0</v>
      </c>
      <c r="N300" s="1">
        <v>3206</v>
      </c>
      <c r="O300" s="1">
        <v>3200</v>
      </c>
      <c r="P300" s="1"/>
      <c r="Q300" s="1"/>
      <c r="R300" s="1" t="s">
        <v>227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</row>
    <row r="301" spans="1:26">
      <c r="A301" s="1">
        <v>3206001</v>
      </c>
      <c r="B301" s="1" t="s">
        <v>1326</v>
      </c>
      <c r="C301" s="1">
        <v>3</v>
      </c>
      <c r="D301" s="1">
        <v>101</v>
      </c>
      <c r="E301" s="1">
        <v>350</v>
      </c>
      <c r="F301" s="1">
        <v>0</v>
      </c>
      <c r="G301" s="1">
        <v>0</v>
      </c>
      <c r="H301" s="1">
        <f>A301</f>
        <v>3206001</v>
      </c>
      <c r="I301" s="1">
        <v>0</v>
      </c>
      <c r="J301" s="1">
        <v>2005</v>
      </c>
      <c r="K301" s="1" t="s">
        <v>1328</v>
      </c>
      <c r="L301" s="1" t="str">
        <f t="shared" si="1"/>
        <v>中级连击</v>
      </c>
      <c r="M301">
        <v>1</v>
      </c>
      <c r="N301" s="1">
        <v>3206</v>
      </c>
      <c r="O301" s="1">
        <v>6500</v>
      </c>
      <c r="P301" s="1"/>
      <c r="Q301" s="1"/>
      <c r="R301" s="1" t="s">
        <v>227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</row>
    <row r="302" spans="1:26">
      <c r="A302" s="1">
        <v>3206002</v>
      </c>
      <c r="B302" t="s">
        <v>1326</v>
      </c>
      <c r="C302" s="1">
        <v>3</v>
      </c>
      <c r="D302" s="1">
        <v>101</v>
      </c>
      <c r="E302" s="1">
        <v>350</v>
      </c>
      <c r="F302" s="1">
        <v>0</v>
      </c>
      <c r="G302" s="1">
        <v>0</v>
      </c>
      <c r="H302" s="1">
        <f>A302</f>
        <v>3206002</v>
      </c>
      <c r="I302" s="1">
        <v>0</v>
      </c>
      <c r="J302" s="1">
        <v>2005</v>
      </c>
      <c r="K302" s="1" t="s">
        <v>1329</v>
      </c>
      <c r="L302" s="1" t="str">
        <f t="shared" si="1"/>
        <v>中级连击</v>
      </c>
      <c r="M302">
        <v>2</v>
      </c>
      <c r="N302" s="1">
        <v>3206</v>
      </c>
      <c r="O302" s="1">
        <v>13000</v>
      </c>
      <c r="P302" s="1"/>
      <c r="Q302" s="1"/>
      <c r="R302" s="1" t="s">
        <v>227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</row>
    <row r="303" spans="1:26">
      <c r="A303" s="1">
        <v>3206003</v>
      </c>
      <c r="B303" t="s">
        <v>1326</v>
      </c>
      <c r="C303" s="1">
        <v>3</v>
      </c>
      <c r="D303" s="1">
        <v>101</v>
      </c>
      <c r="E303" s="1">
        <v>350</v>
      </c>
      <c r="F303" s="1">
        <v>0</v>
      </c>
      <c r="G303" s="1">
        <v>0</v>
      </c>
      <c r="H303" s="1">
        <f>A303</f>
        <v>3206003</v>
      </c>
      <c r="I303" s="1">
        <v>0</v>
      </c>
      <c r="J303" s="1">
        <v>2005</v>
      </c>
      <c r="K303" s="1" t="s">
        <v>1330</v>
      </c>
      <c r="L303" s="1" t="str">
        <f t="shared" si="1"/>
        <v>中级连击</v>
      </c>
      <c r="M303">
        <v>3</v>
      </c>
      <c r="N303" s="1">
        <v>3206</v>
      </c>
      <c r="O303" s="1">
        <v>26000</v>
      </c>
      <c r="P303" s="1"/>
      <c r="Q303" s="1"/>
      <c r="R303" s="1" t="s">
        <v>227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</row>
    <row r="304" spans="1:26">
      <c r="A304" s="1">
        <v>3206004</v>
      </c>
      <c r="B304" t="s">
        <v>1326</v>
      </c>
      <c r="C304" s="1">
        <v>3</v>
      </c>
      <c r="D304" s="1">
        <v>101</v>
      </c>
      <c r="E304" s="1">
        <v>350</v>
      </c>
      <c r="F304" s="1">
        <v>0</v>
      </c>
      <c r="G304" s="1">
        <v>0</v>
      </c>
      <c r="H304" s="1">
        <f>A304</f>
        <v>3206004</v>
      </c>
      <c r="I304" s="1">
        <v>0</v>
      </c>
      <c r="J304" s="1">
        <v>2005</v>
      </c>
      <c r="K304" s="1" t="s">
        <v>1331</v>
      </c>
      <c r="L304" s="1" t="str">
        <f t="shared" si="1"/>
        <v>中级连击</v>
      </c>
      <c r="M304">
        <v>4</v>
      </c>
      <c r="N304" s="1">
        <v>3206</v>
      </c>
      <c r="O304" s="1">
        <v>52000</v>
      </c>
      <c r="P304" s="1"/>
      <c r="Q304" s="1"/>
      <c r="R304" s="1" t="s">
        <v>227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</row>
    <row r="305" spans="1:26">
      <c r="A305" s="1">
        <v>3206005</v>
      </c>
      <c r="B305" s="1" t="s">
        <v>1326</v>
      </c>
      <c r="C305" s="1">
        <v>3</v>
      </c>
      <c r="D305" s="1">
        <v>101</v>
      </c>
      <c r="E305" s="1">
        <v>350</v>
      </c>
      <c r="F305" s="1">
        <v>0</v>
      </c>
      <c r="G305" s="1">
        <v>0</v>
      </c>
      <c r="H305" s="1">
        <f>A305</f>
        <v>3206005</v>
      </c>
      <c r="I305" s="1">
        <v>0</v>
      </c>
      <c r="J305" s="1">
        <v>2005</v>
      </c>
      <c r="K305" s="1" t="s">
        <v>1332</v>
      </c>
      <c r="L305" s="1" t="str">
        <f t="shared" si="1"/>
        <v>中级连击</v>
      </c>
      <c r="M305">
        <v>5</v>
      </c>
      <c r="N305" s="1">
        <v>3206</v>
      </c>
      <c r="O305" s="1">
        <v>104000</v>
      </c>
      <c r="P305" s="1"/>
      <c r="Q305" s="1"/>
      <c r="R305" s="1" t="s">
        <v>227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</row>
    <row r="306" spans="1:26">
      <c r="A306" s="1">
        <f>N306*1000</f>
        <v>3301000</v>
      </c>
      <c r="B306" t="s">
        <v>1333</v>
      </c>
      <c r="C306" s="1">
        <v>3</v>
      </c>
      <c r="D306" s="1">
        <v>101</v>
      </c>
      <c r="E306" s="1">
        <v>350</v>
      </c>
      <c r="F306" s="1">
        <v>0</v>
      </c>
      <c r="G306" s="1">
        <v>0</v>
      </c>
      <c r="H306" s="1">
        <v>3301</v>
      </c>
      <c r="I306" s="1">
        <v>0</v>
      </c>
      <c r="J306" s="1">
        <v>2002</v>
      </c>
      <c r="K306" s="1" t="s">
        <v>1300</v>
      </c>
      <c r="L306" s="1" t="str">
        <f t="shared" si="1"/>
        <v>高级生命</v>
      </c>
      <c r="M306" s="1">
        <v>0</v>
      </c>
      <c r="N306" s="1">
        <v>3301</v>
      </c>
      <c r="O306" s="1">
        <v>104000</v>
      </c>
      <c r="P306" s="1"/>
      <c r="Q306" s="1"/>
      <c r="R306" s="1" t="s">
        <v>227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</row>
    <row r="307" spans="1:26">
      <c r="A307" s="1">
        <v>3301001</v>
      </c>
      <c r="B307" t="s">
        <v>1333</v>
      </c>
      <c r="C307" s="1">
        <v>3</v>
      </c>
      <c r="D307" s="1">
        <v>101</v>
      </c>
      <c r="E307" s="1">
        <v>350</v>
      </c>
      <c r="F307" s="1">
        <v>0</v>
      </c>
      <c r="G307" s="1">
        <v>0</v>
      </c>
      <c r="H307" s="1">
        <f t="shared" ref="H307:H316" si="2">A307</f>
        <v>3301001</v>
      </c>
      <c r="I307" s="1">
        <v>0</v>
      </c>
      <c r="J307" s="1">
        <v>2002</v>
      </c>
      <c r="K307" s="1" t="s">
        <v>1334</v>
      </c>
      <c r="L307" s="1" t="str">
        <f t="shared" si="1"/>
        <v>高级生命</v>
      </c>
      <c r="M307">
        <v>1</v>
      </c>
      <c r="N307" s="1">
        <v>3301</v>
      </c>
      <c r="O307" s="1">
        <v>250000</v>
      </c>
      <c r="P307" s="1"/>
      <c r="Q307" s="1"/>
      <c r="R307" s="1" t="s">
        <v>227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</row>
    <row r="308" spans="1:26">
      <c r="A308" s="1">
        <v>3301002</v>
      </c>
      <c r="B308" t="s">
        <v>1333</v>
      </c>
      <c r="C308" s="1">
        <v>3</v>
      </c>
      <c r="D308" s="1">
        <v>101</v>
      </c>
      <c r="E308" s="1">
        <v>350</v>
      </c>
      <c r="F308" s="1">
        <v>0</v>
      </c>
      <c r="G308" s="1">
        <v>0</v>
      </c>
      <c r="H308" s="1">
        <f t="shared" si="2"/>
        <v>3301002</v>
      </c>
      <c r="I308" s="1">
        <v>0</v>
      </c>
      <c r="J308" s="1">
        <v>2002</v>
      </c>
      <c r="K308" s="1" t="s">
        <v>1335</v>
      </c>
      <c r="L308" s="1" t="str">
        <f t="shared" si="1"/>
        <v>高级生命</v>
      </c>
      <c r="M308">
        <v>2</v>
      </c>
      <c r="N308" s="1">
        <v>3301</v>
      </c>
      <c r="O308" s="1">
        <v>500000</v>
      </c>
      <c r="P308" s="1"/>
      <c r="Q308" s="1"/>
      <c r="R308" s="1" t="s">
        <v>227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</row>
    <row r="309" spans="1:26">
      <c r="A309" s="1">
        <v>3301003</v>
      </c>
      <c r="B309" t="s">
        <v>1333</v>
      </c>
      <c r="C309" s="1">
        <v>3</v>
      </c>
      <c r="D309" s="1">
        <v>101</v>
      </c>
      <c r="E309" s="1">
        <v>350</v>
      </c>
      <c r="F309" s="1">
        <v>0</v>
      </c>
      <c r="G309" s="1">
        <v>0</v>
      </c>
      <c r="H309" s="1">
        <f t="shared" si="2"/>
        <v>3301003</v>
      </c>
      <c r="I309" s="1">
        <v>0</v>
      </c>
      <c r="J309" s="1">
        <v>2002</v>
      </c>
      <c r="K309" s="1" t="s">
        <v>1336</v>
      </c>
      <c r="L309" s="1" t="str">
        <f t="shared" si="1"/>
        <v>高级生命</v>
      </c>
      <c r="M309">
        <v>3</v>
      </c>
      <c r="N309" s="1">
        <v>3301</v>
      </c>
      <c r="O309" s="1">
        <v>1000000</v>
      </c>
      <c r="P309" s="1"/>
      <c r="Q309" s="1"/>
      <c r="R309" s="1" t="s">
        <v>227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</row>
    <row r="310" spans="1:26">
      <c r="A310" s="1">
        <v>3301004</v>
      </c>
      <c r="B310" t="s">
        <v>1333</v>
      </c>
      <c r="C310" s="1">
        <v>3</v>
      </c>
      <c r="D310" s="1">
        <v>101</v>
      </c>
      <c r="E310" s="1">
        <v>350</v>
      </c>
      <c r="F310" s="1">
        <v>0</v>
      </c>
      <c r="G310" s="1">
        <v>0</v>
      </c>
      <c r="H310" s="1">
        <f t="shared" si="2"/>
        <v>3301004</v>
      </c>
      <c r="I310" s="1">
        <v>0</v>
      </c>
      <c r="J310" s="1">
        <v>2002</v>
      </c>
      <c r="K310" s="1" t="s">
        <v>1337</v>
      </c>
      <c r="L310" s="1" t="str">
        <f t="shared" si="1"/>
        <v>高级生命</v>
      </c>
      <c r="M310">
        <v>4</v>
      </c>
      <c r="N310" s="1">
        <v>3301</v>
      </c>
      <c r="O310" s="1">
        <v>2000000</v>
      </c>
      <c r="P310" s="1"/>
      <c r="Q310" s="1"/>
      <c r="R310" s="1" t="s">
        <v>227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</row>
    <row r="311" spans="1:26">
      <c r="A311" s="1">
        <v>3301005</v>
      </c>
      <c r="B311" t="s">
        <v>1333</v>
      </c>
      <c r="C311" s="1">
        <v>3</v>
      </c>
      <c r="D311" s="1">
        <v>101</v>
      </c>
      <c r="E311" s="1">
        <v>350</v>
      </c>
      <c r="F311" s="1">
        <v>0</v>
      </c>
      <c r="G311" s="1">
        <v>0</v>
      </c>
      <c r="H311" s="1">
        <f t="shared" si="2"/>
        <v>3301005</v>
      </c>
      <c r="I311" s="1">
        <v>0</v>
      </c>
      <c r="J311" s="1">
        <v>2002</v>
      </c>
      <c r="K311" s="1" t="s">
        <v>1338</v>
      </c>
      <c r="L311" s="1" t="str">
        <f t="shared" si="1"/>
        <v>高级生命</v>
      </c>
      <c r="M311">
        <v>5</v>
      </c>
      <c r="N311" s="1">
        <v>3301</v>
      </c>
      <c r="O311" s="1">
        <v>4000000</v>
      </c>
      <c r="P311" s="1"/>
      <c r="Q311" s="1"/>
      <c r="R311" s="1" t="s">
        <v>227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</row>
    <row r="312" spans="1:26">
      <c r="A312" s="1">
        <v>3301006</v>
      </c>
      <c r="B312" t="s">
        <v>1333</v>
      </c>
      <c r="C312" s="1">
        <v>3</v>
      </c>
      <c r="D312" s="1">
        <v>101</v>
      </c>
      <c r="E312" s="1">
        <v>350</v>
      </c>
      <c r="F312" s="1">
        <v>0</v>
      </c>
      <c r="G312" s="1">
        <v>0</v>
      </c>
      <c r="H312" s="1">
        <f t="shared" si="2"/>
        <v>3301006</v>
      </c>
      <c r="I312" s="1">
        <v>0</v>
      </c>
      <c r="J312" s="1">
        <v>2002</v>
      </c>
      <c r="K312" s="1" t="s">
        <v>1339</v>
      </c>
      <c r="L312" s="1" t="str">
        <f t="shared" si="1"/>
        <v>高级生命</v>
      </c>
      <c r="M312">
        <v>6</v>
      </c>
      <c r="N312" s="1">
        <v>3301</v>
      </c>
      <c r="O312" s="1">
        <v>8000000</v>
      </c>
      <c r="P312" s="1"/>
      <c r="Q312" s="1"/>
      <c r="R312" s="1" t="s">
        <v>227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</row>
    <row r="313" spans="1:26">
      <c r="A313" s="1">
        <v>3301007</v>
      </c>
      <c r="B313" t="s">
        <v>1333</v>
      </c>
      <c r="C313" s="1">
        <v>3</v>
      </c>
      <c r="D313" s="1">
        <v>101</v>
      </c>
      <c r="E313" s="1">
        <v>350</v>
      </c>
      <c r="F313" s="1">
        <v>0</v>
      </c>
      <c r="G313" s="1">
        <v>0</v>
      </c>
      <c r="H313" s="1">
        <f t="shared" si="2"/>
        <v>3301007</v>
      </c>
      <c r="I313" s="1">
        <v>0</v>
      </c>
      <c r="J313" s="1">
        <v>2002</v>
      </c>
      <c r="K313" s="1" t="s">
        <v>1340</v>
      </c>
      <c r="L313" s="1" t="str">
        <f t="shared" si="1"/>
        <v>高级生命</v>
      </c>
      <c r="M313">
        <v>7</v>
      </c>
      <c r="N313" s="1">
        <v>3301</v>
      </c>
      <c r="O313" s="1">
        <v>16000000</v>
      </c>
      <c r="P313" s="1"/>
      <c r="Q313" s="1"/>
      <c r="R313" s="1" t="s">
        <v>227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</row>
    <row r="314" spans="1:26">
      <c r="A314" s="1">
        <v>3301008</v>
      </c>
      <c r="B314" t="s">
        <v>1333</v>
      </c>
      <c r="C314" s="1">
        <v>3</v>
      </c>
      <c r="D314" s="1">
        <v>101</v>
      </c>
      <c r="E314" s="1">
        <v>350</v>
      </c>
      <c r="F314" s="1">
        <v>0</v>
      </c>
      <c r="G314" s="1">
        <v>0</v>
      </c>
      <c r="H314" s="1">
        <f t="shared" si="2"/>
        <v>3301008</v>
      </c>
      <c r="I314" s="1">
        <v>0</v>
      </c>
      <c r="J314" s="1">
        <v>2002</v>
      </c>
      <c r="K314" s="1" t="s">
        <v>1341</v>
      </c>
      <c r="L314" s="1" t="str">
        <f t="shared" si="1"/>
        <v>高级生命</v>
      </c>
      <c r="M314">
        <v>8</v>
      </c>
      <c r="N314" s="1">
        <v>3301</v>
      </c>
      <c r="O314" s="1">
        <v>32000000</v>
      </c>
      <c r="P314" s="1"/>
      <c r="Q314" s="1"/>
      <c r="R314" s="1" t="s">
        <v>227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</row>
    <row r="315" spans="1:26">
      <c r="A315" s="1">
        <v>3301009</v>
      </c>
      <c r="B315" t="s">
        <v>1333</v>
      </c>
      <c r="C315" s="1">
        <v>3</v>
      </c>
      <c r="D315" s="1">
        <v>101</v>
      </c>
      <c r="E315" s="1">
        <v>350</v>
      </c>
      <c r="F315" s="1">
        <v>0</v>
      </c>
      <c r="G315" s="1">
        <v>0</v>
      </c>
      <c r="H315" s="1">
        <f t="shared" si="2"/>
        <v>3301009</v>
      </c>
      <c r="I315" s="1">
        <v>0</v>
      </c>
      <c r="J315" s="1">
        <v>2002</v>
      </c>
      <c r="K315" s="1" t="s">
        <v>1342</v>
      </c>
      <c r="L315" s="1" t="str">
        <f t="shared" si="1"/>
        <v>高级生命</v>
      </c>
      <c r="M315">
        <v>9</v>
      </c>
      <c r="N315" s="1">
        <v>3301</v>
      </c>
      <c r="O315" s="1">
        <v>64000000</v>
      </c>
      <c r="P315" s="1"/>
      <c r="Q315" s="1"/>
      <c r="R315" s="1" t="s">
        <v>227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</row>
    <row r="316" spans="1:26">
      <c r="A316" s="1">
        <v>3301010</v>
      </c>
      <c r="B316" t="s">
        <v>1333</v>
      </c>
      <c r="C316" s="1">
        <v>3</v>
      </c>
      <c r="D316" s="1">
        <v>101</v>
      </c>
      <c r="E316" s="1">
        <v>350</v>
      </c>
      <c r="F316" s="1">
        <v>0</v>
      </c>
      <c r="G316" s="1">
        <v>0</v>
      </c>
      <c r="H316" s="1">
        <f t="shared" si="2"/>
        <v>3301010</v>
      </c>
      <c r="I316" s="1">
        <v>0</v>
      </c>
      <c r="J316" s="1">
        <v>2002</v>
      </c>
      <c r="K316" s="1" t="s">
        <v>1343</v>
      </c>
      <c r="L316" s="1" t="str">
        <f t="shared" si="1"/>
        <v>高级生命</v>
      </c>
      <c r="M316">
        <v>10</v>
      </c>
      <c r="N316" s="1">
        <v>3301</v>
      </c>
      <c r="O316" s="1">
        <v>128000000</v>
      </c>
      <c r="P316" s="1"/>
      <c r="Q316" s="1"/>
      <c r="R316" s="1" t="s">
        <v>227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</row>
    <row r="317" spans="1:26">
      <c r="A317" s="1">
        <f>N317*1000</f>
        <v>3302000</v>
      </c>
      <c r="B317" t="s">
        <v>1344</v>
      </c>
      <c r="C317" s="1">
        <v>3</v>
      </c>
      <c r="D317" s="1">
        <v>101</v>
      </c>
      <c r="E317" s="1">
        <v>350</v>
      </c>
      <c r="F317" s="1">
        <v>0</v>
      </c>
      <c r="G317" s="1">
        <v>0</v>
      </c>
      <c r="H317" s="1">
        <v>3302</v>
      </c>
      <c r="I317" s="1">
        <v>0</v>
      </c>
      <c r="J317" s="1">
        <v>2008</v>
      </c>
      <c r="K317" s="1" t="s">
        <v>1306</v>
      </c>
      <c r="L317" s="1" t="str">
        <f t="shared" si="1"/>
        <v>高级爆伤</v>
      </c>
      <c r="M317" s="1">
        <v>0</v>
      </c>
      <c r="N317" s="1">
        <v>3302</v>
      </c>
      <c r="O317" s="1">
        <v>104000</v>
      </c>
      <c r="P317" s="1"/>
      <c r="Q317" s="1"/>
      <c r="R317" s="1" t="s">
        <v>227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</row>
    <row r="318" spans="1:26">
      <c r="A318" s="1">
        <v>3302001</v>
      </c>
      <c r="B318" t="s">
        <v>1344</v>
      </c>
      <c r="C318" s="1">
        <v>3</v>
      </c>
      <c r="D318" s="1">
        <v>101</v>
      </c>
      <c r="E318" s="1">
        <v>350</v>
      </c>
      <c r="F318" s="1">
        <v>0</v>
      </c>
      <c r="G318" s="1">
        <v>0</v>
      </c>
      <c r="H318" s="1">
        <f t="shared" ref="H318:H327" si="3">A318</f>
        <v>3302001</v>
      </c>
      <c r="I318" s="1">
        <v>0</v>
      </c>
      <c r="J318" s="1">
        <v>2008</v>
      </c>
      <c r="K318" s="1" t="s">
        <v>1345</v>
      </c>
      <c r="L318" s="1" t="str">
        <f t="shared" si="1"/>
        <v>高级爆伤</v>
      </c>
      <c r="M318">
        <v>1</v>
      </c>
      <c r="N318" s="1">
        <v>3302</v>
      </c>
      <c r="O318" s="1">
        <v>250000</v>
      </c>
      <c r="P318" s="1"/>
      <c r="Q318" s="1"/>
      <c r="R318" s="1" t="s">
        <v>227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</row>
    <row r="319" spans="1:26">
      <c r="A319" s="1">
        <v>3302002</v>
      </c>
      <c r="B319" t="s">
        <v>1344</v>
      </c>
      <c r="C319" s="1">
        <v>3</v>
      </c>
      <c r="D319" s="1">
        <v>101</v>
      </c>
      <c r="E319" s="1">
        <v>350</v>
      </c>
      <c r="F319" s="1">
        <v>0</v>
      </c>
      <c r="G319" s="1">
        <v>0</v>
      </c>
      <c r="H319" s="1">
        <f t="shared" si="3"/>
        <v>3302002</v>
      </c>
      <c r="I319" s="1">
        <v>0</v>
      </c>
      <c r="J319" s="1">
        <v>2008</v>
      </c>
      <c r="K319" s="1" t="s">
        <v>1346</v>
      </c>
      <c r="L319" s="1" t="str">
        <f t="shared" si="1"/>
        <v>高级爆伤</v>
      </c>
      <c r="M319">
        <v>2</v>
      </c>
      <c r="N319" s="1">
        <v>3302</v>
      </c>
      <c r="O319" s="1">
        <v>500000</v>
      </c>
      <c r="P319" s="1"/>
      <c r="Q319" s="1"/>
      <c r="R319" s="1" t="s">
        <v>227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</row>
    <row r="320" spans="1:26">
      <c r="A320" s="1">
        <v>3302003</v>
      </c>
      <c r="B320" t="s">
        <v>1344</v>
      </c>
      <c r="C320" s="1">
        <v>3</v>
      </c>
      <c r="D320" s="1">
        <v>101</v>
      </c>
      <c r="E320" s="1">
        <v>350</v>
      </c>
      <c r="F320" s="1">
        <v>0</v>
      </c>
      <c r="G320" s="1">
        <v>0</v>
      </c>
      <c r="H320" s="1">
        <f t="shared" si="3"/>
        <v>3302003</v>
      </c>
      <c r="I320" s="1">
        <v>0</v>
      </c>
      <c r="J320" s="1">
        <v>2008</v>
      </c>
      <c r="K320" s="1" t="s">
        <v>1347</v>
      </c>
      <c r="L320" s="1" t="str">
        <f t="shared" si="1"/>
        <v>高级爆伤</v>
      </c>
      <c r="M320">
        <v>3</v>
      </c>
      <c r="N320" s="1">
        <v>3302</v>
      </c>
      <c r="O320" s="1">
        <v>1000000</v>
      </c>
      <c r="P320" s="1"/>
      <c r="Q320" s="1"/>
      <c r="R320" s="1" t="s">
        <v>227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</row>
    <row r="321" spans="1:26">
      <c r="A321" s="1">
        <v>3302004</v>
      </c>
      <c r="B321" t="s">
        <v>1344</v>
      </c>
      <c r="C321" s="1">
        <v>3</v>
      </c>
      <c r="D321" s="1">
        <v>101</v>
      </c>
      <c r="E321" s="1">
        <v>350</v>
      </c>
      <c r="F321" s="1">
        <v>0</v>
      </c>
      <c r="G321" s="1">
        <v>0</v>
      </c>
      <c r="H321" s="1">
        <f t="shared" si="3"/>
        <v>3302004</v>
      </c>
      <c r="I321" s="1">
        <v>0</v>
      </c>
      <c r="J321" s="1">
        <v>2008</v>
      </c>
      <c r="K321" s="1" t="s">
        <v>1348</v>
      </c>
      <c r="L321" s="1" t="str">
        <f t="shared" si="1"/>
        <v>高级爆伤</v>
      </c>
      <c r="M321">
        <v>4</v>
      </c>
      <c r="N321" s="1">
        <v>3302</v>
      </c>
      <c r="O321" s="1">
        <v>2000000</v>
      </c>
      <c r="P321" s="1"/>
      <c r="Q321" s="1"/>
      <c r="R321" s="1" t="s">
        <v>227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</row>
    <row r="322" spans="1:26">
      <c r="A322" s="1">
        <v>3302005</v>
      </c>
      <c r="B322" t="s">
        <v>1344</v>
      </c>
      <c r="C322" s="1">
        <v>3</v>
      </c>
      <c r="D322" s="1">
        <v>101</v>
      </c>
      <c r="E322" s="1">
        <v>350</v>
      </c>
      <c r="F322" s="1">
        <v>0</v>
      </c>
      <c r="G322" s="1">
        <v>0</v>
      </c>
      <c r="H322" s="1">
        <f t="shared" si="3"/>
        <v>3302005</v>
      </c>
      <c r="I322" s="1">
        <v>0</v>
      </c>
      <c r="J322" s="1">
        <v>2008</v>
      </c>
      <c r="K322" s="1" t="s">
        <v>1349</v>
      </c>
      <c r="L322" s="1" t="str">
        <f t="shared" si="1"/>
        <v>高级爆伤</v>
      </c>
      <c r="M322">
        <v>5</v>
      </c>
      <c r="N322" s="1">
        <v>3302</v>
      </c>
      <c r="O322" s="1">
        <v>4000000</v>
      </c>
      <c r="P322" s="1"/>
      <c r="Q322" s="1"/>
      <c r="R322" s="1" t="s">
        <v>227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</row>
    <row r="323" spans="1:26">
      <c r="A323" s="1">
        <v>3302006</v>
      </c>
      <c r="B323" t="s">
        <v>1344</v>
      </c>
      <c r="C323" s="1">
        <v>3</v>
      </c>
      <c r="D323" s="1">
        <v>101</v>
      </c>
      <c r="E323" s="1">
        <v>350</v>
      </c>
      <c r="F323" s="1">
        <v>0</v>
      </c>
      <c r="G323" s="1">
        <v>0</v>
      </c>
      <c r="H323" s="1">
        <f t="shared" si="3"/>
        <v>3302006</v>
      </c>
      <c r="I323" s="1">
        <v>0</v>
      </c>
      <c r="J323" s="1">
        <v>2008</v>
      </c>
      <c r="K323" s="1" t="s">
        <v>1350</v>
      </c>
      <c r="L323" s="1" t="str">
        <f t="shared" si="1"/>
        <v>高级爆伤</v>
      </c>
      <c r="M323">
        <v>6</v>
      </c>
      <c r="N323" s="1">
        <v>3302</v>
      </c>
      <c r="O323" s="1">
        <v>8000000</v>
      </c>
      <c r="P323" s="1"/>
      <c r="Q323" s="1"/>
      <c r="R323" s="1" t="s">
        <v>227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</row>
    <row r="324" spans="1:26">
      <c r="A324" s="1">
        <v>3302007</v>
      </c>
      <c r="B324" t="s">
        <v>1344</v>
      </c>
      <c r="C324" s="1">
        <v>3</v>
      </c>
      <c r="D324" s="1">
        <v>101</v>
      </c>
      <c r="E324" s="1">
        <v>350</v>
      </c>
      <c r="F324" s="1">
        <v>0</v>
      </c>
      <c r="G324" s="1">
        <v>0</v>
      </c>
      <c r="H324" s="1">
        <f t="shared" si="3"/>
        <v>3302007</v>
      </c>
      <c r="I324" s="1">
        <v>0</v>
      </c>
      <c r="J324" s="1">
        <v>2008</v>
      </c>
      <c r="K324" s="1" t="s">
        <v>1351</v>
      </c>
      <c r="L324" s="1" t="str">
        <f t="shared" si="1"/>
        <v>高级爆伤</v>
      </c>
      <c r="M324">
        <v>7</v>
      </c>
      <c r="N324" s="1">
        <v>3302</v>
      </c>
      <c r="O324" s="1">
        <v>16000000</v>
      </c>
      <c r="P324" s="1"/>
      <c r="Q324" s="1"/>
      <c r="R324" s="1" t="s">
        <v>227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</row>
    <row r="325" spans="1:26">
      <c r="A325" s="1">
        <v>3302008</v>
      </c>
      <c r="B325" t="s">
        <v>1344</v>
      </c>
      <c r="C325" s="1">
        <v>3</v>
      </c>
      <c r="D325" s="1">
        <v>101</v>
      </c>
      <c r="E325" s="1">
        <v>350</v>
      </c>
      <c r="F325" s="1">
        <v>0</v>
      </c>
      <c r="G325" s="1">
        <v>0</v>
      </c>
      <c r="H325" s="1">
        <f t="shared" si="3"/>
        <v>3302008</v>
      </c>
      <c r="I325" s="1">
        <v>0</v>
      </c>
      <c r="J325" s="1">
        <v>2008</v>
      </c>
      <c r="K325" s="1" t="s">
        <v>1352</v>
      </c>
      <c r="L325" s="1" t="str">
        <f t="shared" ref="L325:L388" si="4">B325</f>
        <v>高级爆伤</v>
      </c>
      <c r="M325">
        <v>8</v>
      </c>
      <c r="N325" s="1">
        <v>3302</v>
      </c>
      <c r="O325" s="1">
        <v>32000000</v>
      </c>
      <c r="P325" s="1"/>
      <c r="Q325" s="1"/>
      <c r="R325" s="1" t="s">
        <v>227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</row>
    <row r="326" spans="1:26">
      <c r="A326" s="1">
        <v>3302009</v>
      </c>
      <c r="B326" t="s">
        <v>1344</v>
      </c>
      <c r="C326" s="1">
        <v>3</v>
      </c>
      <c r="D326" s="1">
        <v>101</v>
      </c>
      <c r="E326" s="1">
        <v>350</v>
      </c>
      <c r="F326" s="1">
        <v>0</v>
      </c>
      <c r="G326" s="1">
        <v>0</v>
      </c>
      <c r="H326" s="1">
        <f t="shared" si="3"/>
        <v>3302009</v>
      </c>
      <c r="I326" s="1">
        <v>0</v>
      </c>
      <c r="J326" s="1">
        <v>2008</v>
      </c>
      <c r="K326" s="1" t="s">
        <v>1353</v>
      </c>
      <c r="L326" s="1" t="str">
        <f t="shared" si="4"/>
        <v>高级爆伤</v>
      </c>
      <c r="M326">
        <v>9</v>
      </c>
      <c r="N326" s="1">
        <v>3302</v>
      </c>
      <c r="O326" s="1">
        <v>64000000</v>
      </c>
      <c r="P326" s="1"/>
      <c r="Q326" s="1"/>
      <c r="R326" s="1" t="s">
        <v>227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</row>
    <row r="327" spans="1:26">
      <c r="A327" s="1">
        <v>3302010</v>
      </c>
      <c r="B327" t="s">
        <v>1344</v>
      </c>
      <c r="C327" s="1">
        <v>3</v>
      </c>
      <c r="D327" s="1">
        <v>101</v>
      </c>
      <c r="E327" s="1">
        <v>350</v>
      </c>
      <c r="F327" s="1">
        <v>0</v>
      </c>
      <c r="G327" s="1">
        <v>0</v>
      </c>
      <c r="H327" s="1">
        <f t="shared" si="3"/>
        <v>3302010</v>
      </c>
      <c r="I327" s="1">
        <v>0</v>
      </c>
      <c r="J327" s="1">
        <v>2008</v>
      </c>
      <c r="K327" s="1" t="s">
        <v>1354</v>
      </c>
      <c r="L327" s="1" t="str">
        <f t="shared" si="4"/>
        <v>高级爆伤</v>
      </c>
      <c r="M327">
        <v>10</v>
      </c>
      <c r="N327" s="1">
        <v>3302</v>
      </c>
      <c r="O327" s="1">
        <v>128000000</v>
      </c>
      <c r="P327" s="1"/>
      <c r="Q327" s="1"/>
      <c r="R327" s="1" t="s">
        <v>227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</row>
    <row r="328" spans="1:26">
      <c r="A328" s="1">
        <f>N328*1000</f>
        <v>3303000</v>
      </c>
      <c r="B328" t="s">
        <v>1355</v>
      </c>
      <c r="C328" s="1">
        <v>3</v>
      </c>
      <c r="D328" s="1">
        <v>101</v>
      </c>
      <c r="E328" s="1">
        <v>350</v>
      </c>
      <c r="F328" s="1">
        <v>0</v>
      </c>
      <c r="G328" s="1">
        <v>0</v>
      </c>
      <c r="H328" s="1">
        <v>3303</v>
      </c>
      <c r="I328" s="1">
        <v>0</v>
      </c>
      <c r="J328" s="1">
        <v>2009</v>
      </c>
      <c r="K328" s="1" t="s">
        <v>1310</v>
      </c>
      <c r="L328" s="1" t="str">
        <f t="shared" si="4"/>
        <v>高级爆抗</v>
      </c>
      <c r="M328" s="1">
        <v>0</v>
      </c>
      <c r="N328" s="1">
        <v>3303</v>
      </c>
      <c r="O328" s="1">
        <v>104000</v>
      </c>
      <c r="P328" s="1"/>
      <c r="Q328" s="1"/>
      <c r="R328" s="1" t="s">
        <v>227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</row>
    <row r="329" spans="1:26">
      <c r="A329" s="1">
        <v>3303001</v>
      </c>
      <c r="B329" t="s">
        <v>1355</v>
      </c>
      <c r="C329" s="1">
        <v>3</v>
      </c>
      <c r="D329" s="1">
        <v>101</v>
      </c>
      <c r="E329" s="1">
        <v>350</v>
      </c>
      <c r="F329" s="1">
        <v>0</v>
      </c>
      <c r="G329" s="1">
        <v>0</v>
      </c>
      <c r="H329" s="1">
        <f t="shared" ref="H329:H338" si="5">A329</f>
        <v>3303001</v>
      </c>
      <c r="I329" s="1">
        <v>0</v>
      </c>
      <c r="J329" s="1">
        <v>2009</v>
      </c>
      <c r="K329" s="1" t="s">
        <v>1311</v>
      </c>
      <c r="L329" s="1" t="str">
        <f t="shared" si="4"/>
        <v>高级爆抗</v>
      </c>
      <c r="M329">
        <v>1</v>
      </c>
      <c r="N329" s="1">
        <v>3303</v>
      </c>
      <c r="O329" s="1">
        <v>250000</v>
      </c>
      <c r="P329" s="1"/>
      <c r="Q329" s="1"/>
      <c r="R329" s="1" t="s">
        <v>227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</row>
    <row r="330" spans="1:26">
      <c r="A330" s="1">
        <v>3303002</v>
      </c>
      <c r="B330" t="s">
        <v>1355</v>
      </c>
      <c r="C330" s="1">
        <v>3</v>
      </c>
      <c r="D330" s="1">
        <v>101</v>
      </c>
      <c r="E330" s="1">
        <v>350</v>
      </c>
      <c r="F330" s="1">
        <v>0</v>
      </c>
      <c r="G330" s="1">
        <v>0</v>
      </c>
      <c r="H330" s="1">
        <f t="shared" si="5"/>
        <v>3303002</v>
      </c>
      <c r="I330" s="1">
        <v>0</v>
      </c>
      <c r="J330" s="1">
        <v>2009</v>
      </c>
      <c r="K330" s="1" t="s">
        <v>1312</v>
      </c>
      <c r="L330" s="1" t="str">
        <f t="shared" si="4"/>
        <v>高级爆抗</v>
      </c>
      <c r="M330">
        <v>2</v>
      </c>
      <c r="N330" s="1">
        <v>3303</v>
      </c>
      <c r="O330" s="1">
        <v>500000</v>
      </c>
      <c r="P330" s="1"/>
      <c r="Q330" s="1"/>
      <c r="R330" s="1" t="s">
        <v>227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</row>
    <row r="331" spans="1:26">
      <c r="A331" s="1">
        <v>3303003</v>
      </c>
      <c r="B331" t="s">
        <v>1355</v>
      </c>
      <c r="C331" s="1">
        <v>3</v>
      </c>
      <c r="D331" s="1">
        <v>101</v>
      </c>
      <c r="E331" s="1">
        <v>350</v>
      </c>
      <c r="F331" s="1">
        <v>0</v>
      </c>
      <c r="G331" s="1">
        <v>0</v>
      </c>
      <c r="H331" s="1">
        <f t="shared" si="5"/>
        <v>3303003</v>
      </c>
      <c r="I331" s="1">
        <v>0</v>
      </c>
      <c r="J331" s="1">
        <v>2009</v>
      </c>
      <c r="K331" s="1" t="s">
        <v>1356</v>
      </c>
      <c r="L331" s="1" t="str">
        <f t="shared" si="4"/>
        <v>高级爆抗</v>
      </c>
      <c r="M331">
        <v>3</v>
      </c>
      <c r="N331" s="1">
        <v>3303</v>
      </c>
      <c r="O331" s="1">
        <v>1000000</v>
      </c>
      <c r="P331" s="1"/>
      <c r="Q331" s="1"/>
      <c r="R331" s="1" t="s">
        <v>227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</row>
    <row r="332" spans="1:26">
      <c r="A332" s="1">
        <v>3303004</v>
      </c>
      <c r="B332" t="s">
        <v>1355</v>
      </c>
      <c r="C332" s="1">
        <v>3</v>
      </c>
      <c r="D332" s="1">
        <v>101</v>
      </c>
      <c r="E332" s="1">
        <v>350</v>
      </c>
      <c r="F332" s="1">
        <v>0</v>
      </c>
      <c r="G332" s="1">
        <v>0</v>
      </c>
      <c r="H332" s="1">
        <f t="shared" si="5"/>
        <v>3303004</v>
      </c>
      <c r="I332" s="1">
        <v>0</v>
      </c>
      <c r="J332" s="1">
        <v>2009</v>
      </c>
      <c r="K332" s="1" t="s">
        <v>1357</v>
      </c>
      <c r="L332" s="1" t="str">
        <f t="shared" si="4"/>
        <v>高级爆抗</v>
      </c>
      <c r="M332">
        <v>4</v>
      </c>
      <c r="N332" s="1">
        <v>3303</v>
      </c>
      <c r="O332" s="1">
        <v>2000000</v>
      </c>
      <c r="P332" s="1"/>
      <c r="Q332" s="1"/>
      <c r="R332" s="1" t="s">
        <v>227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</row>
    <row r="333" spans="1:26">
      <c r="A333" s="1">
        <v>3303005</v>
      </c>
      <c r="B333" t="s">
        <v>1355</v>
      </c>
      <c r="C333" s="1">
        <v>3</v>
      </c>
      <c r="D333" s="1">
        <v>101</v>
      </c>
      <c r="E333" s="1">
        <v>350</v>
      </c>
      <c r="F333" s="1">
        <v>0</v>
      </c>
      <c r="G333" s="1">
        <v>0</v>
      </c>
      <c r="H333" s="1">
        <f t="shared" si="5"/>
        <v>3303005</v>
      </c>
      <c r="I333" s="1">
        <v>0</v>
      </c>
      <c r="J333" s="1">
        <v>2009</v>
      </c>
      <c r="K333" s="1" t="s">
        <v>1358</v>
      </c>
      <c r="L333" s="1" t="str">
        <f t="shared" si="4"/>
        <v>高级爆抗</v>
      </c>
      <c r="M333">
        <v>5</v>
      </c>
      <c r="N333" s="1">
        <v>3303</v>
      </c>
      <c r="O333" s="1">
        <v>4000000</v>
      </c>
      <c r="P333" s="1"/>
      <c r="Q333" s="1"/>
      <c r="R333" s="1" t="s">
        <v>227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</row>
    <row r="334" spans="1:26">
      <c r="A334" s="1">
        <v>3303006</v>
      </c>
      <c r="B334" t="s">
        <v>1355</v>
      </c>
      <c r="C334" s="1">
        <v>3</v>
      </c>
      <c r="D334" s="1">
        <v>101</v>
      </c>
      <c r="E334" s="1">
        <v>350</v>
      </c>
      <c r="F334" s="1">
        <v>0</v>
      </c>
      <c r="G334" s="1">
        <v>0</v>
      </c>
      <c r="H334" s="1">
        <f t="shared" si="5"/>
        <v>3303006</v>
      </c>
      <c r="I334" s="1">
        <v>0</v>
      </c>
      <c r="J334" s="1">
        <v>2009</v>
      </c>
      <c r="K334" s="1" t="s">
        <v>1359</v>
      </c>
      <c r="L334" s="1" t="str">
        <f t="shared" si="4"/>
        <v>高级爆抗</v>
      </c>
      <c r="M334">
        <v>6</v>
      </c>
      <c r="N334" s="1">
        <v>3303</v>
      </c>
      <c r="O334" s="1">
        <v>8000000</v>
      </c>
      <c r="P334" s="1"/>
      <c r="Q334" s="1"/>
      <c r="R334" s="1" t="s">
        <v>227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</row>
    <row r="335" spans="1:26">
      <c r="A335" s="1">
        <v>3303007</v>
      </c>
      <c r="B335" t="s">
        <v>1355</v>
      </c>
      <c r="C335" s="1">
        <v>3</v>
      </c>
      <c r="D335" s="1">
        <v>101</v>
      </c>
      <c r="E335" s="1">
        <v>350</v>
      </c>
      <c r="F335" s="1">
        <v>0</v>
      </c>
      <c r="G335" s="1">
        <v>0</v>
      </c>
      <c r="H335" s="1">
        <f t="shared" si="5"/>
        <v>3303007</v>
      </c>
      <c r="I335" s="1">
        <v>0</v>
      </c>
      <c r="J335" s="1">
        <v>2009</v>
      </c>
      <c r="K335" s="1" t="s">
        <v>1360</v>
      </c>
      <c r="L335" s="1" t="str">
        <f t="shared" si="4"/>
        <v>高级爆抗</v>
      </c>
      <c r="M335">
        <v>7</v>
      </c>
      <c r="N335" s="1">
        <v>3303</v>
      </c>
      <c r="O335" s="1">
        <v>16000000</v>
      </c>
      <c r="P335" s="1"/>
      <c r="Q335" s="1"/>
      <c r="R335" s="1" t="s">
        <v>227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</row>
    <row r="336" spans="1:26">
      <c r="A336" s="1">
        <v>3303008</v>
      </c>
      <c r="B336" t="s">
        <v>1355</v>
      </c>
      <c r="C336" s="1">
        <v>3</v>
      </c>
      <c r="D336" s="1">
        <v>101</v>
      </c>
      <c r="E336" s="1">
        <v>350</v>
      </c>
      <c r="F336" s="1">
        <v>0</v>
      </c>
      <c r="G336" s="1">
        <v>0</v>
      </c>
      <c r="H336" s="1">
        <f t="shared" si="5"/>
        <v>3303008</v>
      </c>
      <c r="I336" s="1">
        <v>0</v>
      </c>
      <c r="J336" s="1">
        <v>2009</v>
      </c>
      <c r="K336" s="1" t="s">
        <v>1361</v>
      </c>
      <c r="L336" s="1" t="str">
        <f t="shared" si="4"/>
        <v>高级爆抗</v>
      </c>
      <c r="M336">
        <v>8</v>
      </c>
      <c r="N336" s="1">
        <v>3303</v>
      </c>
      <c r="O336" s="1">
        <v>32000000</v>
      </c>
      <c r="P336" s="1"/>
      <c r="Q336" s="1"/>
      <c r="R336" s="1" t="s">
        <v>227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</row>
    <row r="337" spans="1:26">
      <c r="A337" s="1">
        <v>3303009</v>
      </c>
      <c r="B337" t="s">
        <v>1355</v>
      </c>
      <c r="C337" s="1">
        <v>3</v>
      </c>
      <c r="D337" s="1">
        <v>101</v>
      </c>
      <c r="E337" s="1">
        <v>350</v>
      </c>
      <c r="F337" s="1">
        <v>0</v>
      </c>
      <c r="G337" s="1">
        <v>0</v>
      </c>
      <c r="H337" s="1">
        <f t="shared" si="5"/>
        <v>3303009</v>
      </c>
      <c r="I337" s="1">
        <v>0</v>
      </c>
      <c r="J337" s="1">
        <v>2009</v>
      </c>
      <c r="K337" s="1" t="s">
        <v>1362</v>
      </c>
      <c r="L337" s="1" t="str">
        <f t="shared" si="4"/>
        <v>高级爆抗</v>
      </c>
      <c r="M337">
        <v>9</v>
      </c>
      <c r="N337" s="1">
        <v>3303</v>
      </c>
      <c r="O337" s="1">
        <v>64000000</v>
      </c>
      <c r="P337" s="1"/>
      <c r="Q337" s="1"/>
      <c r="R337" s="1" t="s">
        <v>227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</row>
    <row r="338" spans="1:26">
      <c r="A338" s="1">
        <v>3303010</v>
      </c>
      <c r="B338" t="s">
        <v>1355</v>
      </c>
      <c r="C338" s="1">
        <v>3</v>
      </c>
      <c r="D338" s="1">
        <v>101</v>
      </c>
      <c r="E338" s="1">
        <v>350</v>
      </c>
      <c r="F338" s="1">
        <v>0</v>
      </c>
      <c r="G338" s="1">
        <v>0</v>
      </c>
      <c r="H338" s="1">
        <f t="shared" si="5"/>
        <v>3303010</v>
      </c>
      <c r="I338" s="1">
        <v>0</v>
      </c>
      <c r="J338" s="1">
        <v>2009</v>
      </c>
      <c r="K338" s="1" t="s">
        <v>1363</v>
      </c>
      <c r="L338" s="1" t="str">
        <f t="shared" si="4"/>
        <v>高级爆抗</v>
      </c>
      <c r="M338">
        <v>10</v>
      </c>
      <c r="N338" s="1">
        <v>3303</v>
      </c>
      <c r="O338" s="1">
        <v>128000000</v>
      </c>
      <c r="P338" s="1"/>
      <c r="Q338" s="1"/>
      <c r="R338" s="1" t="s">
        <v>227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</row>
    <row r="339" spans="1:26">
      <c r="A339" s="1">
        <f>N339*1000</f>
        <v>3304000</v>
      </c>
      <c r="B339" t="s">
        <v>1364</v>
      </c>
      <c r="C339" s="1">
        <v>3</v>
      </c>
      <c r="D339" s="1">
        <v>101</v>
      </c>
      <c r="E339" s="1">
        <v>350</v>
      </c>
      <c r="F339" s="1">
        <v>0</v>
      </c>
      <c r="G339" s="1">
        <v>0</v>
      </c>
      <c r="H339" s="1">
        <v>3304</v>
      </c>
      <c r="I339" s="1">
        <v>0</v>
      </c>
      <c r="J339" s="1">
        <v>2010</v>
      </c>
      <c r="K339" s="1" t="s">
        <v>1365</v>
      </c>
      <c r="L339" s="1" t="str">
        <f t="shared" si="4"/>
        <v>高级穿透</v>
      </c>
      <c r="M339" s="1">
        <v>0</v>
      </c>
      <c r="N339" s="1">
        <v>3304</v>
      </c>
      <c r="O339" s="1">
        <v>104000</v>
      </c>
      <c r="P339" s="1"/>
      <c r="Q339" s="1"/>
      <c r="R339" s="1" t="s">
        <v>227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</row>
    <row r="340" spans="1:26">
      <c r="A340" s="1">
        <v>3304001</v>
      </c>
      <c r="B340" t="s">
        <v>1364</v>
      </c>
      <c r="C340" s="1">
        <v>3</v>
      </c>
      <c r="D340" s="1">
        <v>101</v>
      </c>
      <c r="E340" s="1">
        <v>350</v>
      </c>
      <c r="F340" s="1">
        <v>0</v>
      </c>
      <c r="G340" s="1">
        <v>0</v>
      </c>
      <c r="H340" s="1">
        <f t="shared" ref="H340:H349" si="6">A340</f>
        <v>3304001</v>
      </c>
      <c r="I340" s="1">
        <v>0</v>
      </c>
      <c r="J340" s="1">
        <v>2010</v>
      </c>
      <c r="K340" s="1" t="s">
        <v>1366</v>
      </c>
      <c r="L340" s="1" t="str">
        <f t="shared" si="4"/>
        <v>高级穿透</v>
      </c>
      <c r="M340">
        <v>1</v>
      </c>
      <c r="N340" s="1">
        <v>3304</v>
      </c>
      <c r="O340" s="1">
        <v>250000</v>
      </c>
      <c r="P340" s="1"/>
      <c r="Q340" s="1"/>
      <c r="R340" s="1" t="s">
        <v>227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</row>
    <row r="341" spans="1:26">
      <c r="A341" s="1">
        <v>3304002</v>
      </c>
      <c r="B341" t="s">
        <v>1364</v>
      </c>
      <c r="C341" s="1">
        <v>3</v>
      </c>
      <c r="D341" s="1">
        <v>101</v>
      </c>
      <c r="E341" s="1">
        <v>350</v>
      </c>
      <c r="F341" s="1">
        <v>0</v>
      </c>
      <c r="G341" s="1">
        <v>0</v>
      </c>
      <c r="H341" s="1">
        <f t="shared" si="6"/>
        <v>3304002</v>
      </c>
      <c r="I341" s="1">
        <v>0</v>
      </c>
      <c r="J341" s="1">
        <v>2010</v>
      </c>
      <c r="K341" s="1" t="s">
        <v>1367</v>
      </c>
      <c r="L341" s="1" t="str">
        <f t="shared" si="4"/>
        <v>高级穿透</v>
      </c>
      <c r="M341">
        <v>2</v>
      </c>
      <c r="N341" s="1">
        <v>3304</v>
      </c>
      <c r="O341" s="1">
        <v>500000</v>
      </c>
      <c r="P341" s="1"/>
      <c r="Q341" s="1"/>
      <c r="R341" s="1" t="s">
        <v>227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</row>
    <row r="342" spans="1:26">
      <c r="A342" s="1">
        <v>3304003</v>
      </c>
      <c r="B342" t="s">
        <v>1364</v>
      </c>
      <c r="C342" s="1">
        <v>3</v>
      </c>
      <c r="D342" s="1">
        <v>101</v>
      </c>
      <c r="E342" s="1">
        <v>350</v>
      </c>
      <c r="F342" s="1">
        <v>0</v>
      </c>
      <c r="G342" s="1">
        <v>0</v>
      </c>
      <c r="H342" s="1">
        <f t="shared" si="6"/>
        <v>3304003</v>
      </c>
      <c r="I342" s="1">
        <v>0</v>
      </c>
      <c r="J342" s="1">
        <v>2010</v>
      </c>
      <c r="K342" s="1" t="s">
        <v>1368</v>
      </c>
      <c r="L342" s="1" t="str">
        <f t="shared" si="4"/>
        <v>高级穿透</v>
      </c>
      <c r="M342">
        <v>3</v>
      </c>
      <c r="N342" s="1">
        <v>3304</v>
      </c>
      <c r="O342" s="1">
        <v>1000000</v>
      </c>
      <c r="P342" s="1"/>
      <c r="Q342" s="1"/>
      <c r="R342" s="1" t="s">
        <v>227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</row>
    <row r="343" spans="1:26">
      <c r="A343" s="1">
        <v>3304004</v>
      </c>
      <c r="B343" t="s">
        <v>1364</v>
      </c>
      <c r="C343" s="1">
        <v>3</v>
      </c>
      <c r="D343" s="1">
        <v>101</v>
      </c>
      <c r="E343" s="1">
        <v>350</v>
      </c>
      <c r="F343" s="1">
        <v>0</v>
      </c>
      <c r="G343" s="1">
        <v>0</v>
      </c>
      <c r="H343" s="1">
        <f t="shared" si="6"/>
        <v>3304004</v>
      </c>
      <c r="I343" s="1">
        <v>0</v>
      </c>
      <c r="J343" s="1">
        <v>2010</v>
      </c>
      <c r="K343" s="1" t="s">
        <v>1369</v>
      </c>
      <c r="L343" s="1" t="str">
        <f t="shared" si="4"/>
        <v>高级穿透</v>
      </c>
      <c r="M343">
        <v>4</v>
      </c>
      <c r="N343" s="1">
        <v>3304</v>
      </c>
      <c r="O343" s="1">
        <v>2000000</v>
      </c>
      <c r="P343" s="1"/>
      <c r="Q343" s="1"/>
      <c r="R343" s="1" t="s">
        <v>227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</row>
    <row r="344" spans="1:26">
      <c r="A344" s="1">
        <v>3304005</v>
      </c>
      <c r="B344" t="s">
        <v>1364</v>
      </c>
      <c r="C344" s="1">
        <v>3</v>
      </c>
      <c r="D344" s="1">
        <v>101</v>
      </c>
      <c r="E344" s="1">
        <v>350</v>
      </c>
      <c r="F344" s="1">
        <v>0</v>
      </c>
      <c r="G344" s="1">
        <v>0</v>
      </c>
      <c r="H344" s="1">
        <f t="shared" si="6"/>
        <v>3304005</v>
      </c>
      <c r="I344" s="1">
        <v>0</v>
      </c>
      <c r="J344" s="1">
        <v>2010</v>
      </c>
      <c r="K344" s="1" t="s">
        <v>1370</v>
      </c>
      <c r="L344" s="1" t="str">
        <f t="shared" si="4"/>
        <v>高级穿透</v>
      </c>
      <c r="M344">
        <v>5</v>
      </c>
      <c r="N344" s="1">
        <v>3304</v>
      </c>
      <c r="O344" s="1">
        <v>4000000</v>
      </c>
      <c r="P344" s="1"/>
      <c r="Q344" s="1"/>
      <c r="R344" s="1" t="s">
        <v>227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</row>
    <row r="345" spans="1:26">
      <c r="A345" s="1">
        <v>3304006</v>
      </c>
      <c r="B345" t="s">
        <v>1364</v>
      </c>
      <c r="C345" s="1">
        <v>3</v>
      </c>
      <c r="D345" s="1">
        <v>101</v>
      </c>
      <c r="E345" s="1">
        <v>350</v>
      </c>
      <c r="F345" s="1">
        <v>0</v>
      </c>
      <c r="G345" s="1">
        <v>0</v>
      </c>
      <c r="H345" s="1">
        <f t="shared" si="6"/>
        <v>3304006</v>
      </c>
      <c r="I345" s="1">
        <v>0</v>
      </c>
      <c r="J345" s="1">
        <v>2010</v>
      </c>
      <c r="K345" s="1" t="s">
        <v>1371</v>
      </c>
      <c r="L345" s="1" t="str">
        <f t="shared" si="4"/>
        <v>高级穿透</v>
      </c>
      <c r="M345">
        <v>6</v>
      </c>
      <c r="N345" s="1">
        <v>3304</v>
      </c>
      <c r="O345" s="1">
        <v>8000000</v>
      </c>
      <c r="P345" s="1"/>
      <c r="Q345" s="1"/>
      <c r="R345" s="1" t="s">
        <v>227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</row>
    <row r="346" spans="1:26">
      <c r="A346" s="1">
        <v>3304007</v>
      </c>
      <c r="B346" t="s">
        <v>1364</v>
      </c>
      <c r="C346" s="1">
        <v>3</v>
      </c>
      <c r="D346" s="1">
        <v>101</v>
      </c>
      <c r="E346" s="1">
        <v>350</v>
      </c>
      <c r="F346" s="1">
        <v>0</v>
      </c>
      <c r="G346" s="1">
        <v>0</v>
      </c>
      <c r="H346" s="1">
        <f t="shared" si="6"/>
        <v>3304007</v>
      </c>
      <c r="I346" s="1">
        <v>0</v>
      </c>
      <c r="J346" s="1">
        <v>2010</v>
      </c>
      <c r="K346" s="1" t="s">
        <v>1372</v>
      </c>
      <c r="L346" s="1" t="str">
        <f t="shared" si="4"/>
        <v>高级穿透</v>
      </c>
      <c r="M346">
        <v>7</v>
      </c>
      <c r="N346" s="1">
        <v>3304</v>
      </c>
      <c r="O346" s="1">
        <v>16000000</v>
      </c>
      <c r="P346" s="1"/>
      <c r="Q346" s="1"/>
      <c r="R346" s="1" t="s">
        <v>227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</row>
    <row r="347" spans="1:26">
      <c r="A347" s="1">
        <v>3304008</v>
      </c>
      <c r="B347" t="s">
        <v>1364</v>
      </c>
      <c r="C347" s="1">
        <v>3</v>
      </c>
      <c r="D347" s="1">
        <v>101</v>
      </c>
      <c r="E347" s="1">
        <v>350</v>
      </c>
      <c r="F347" s="1">
        <v>0</v>
      </c>
      <c r="G347" s="1">
        <v>0</v>
      </c>
      <c r="H347" s="1">
        <f t="shared" si="6"/>
        <v>3304008</v>
      </c>
      <c r="I347" s="1">
        <v>0</v>
      </c>
      <c r="J347" s="1">
        <v>2010</v>
      </c>
      <c r="K347" s="1" t="s">
        <v>1373</v>
      </c>
      <c r="L347" s="1" t="str">
        <f t="shared" si="4"/>
        <v>高级穿透</v>
      </c>
      <c r="M347">
        <v>8</v>
      </c>
      <c r="N347" s="1">
        <v>3304</v>
      </c>
      <c r="O347" s="1">
        <v>32000000</v>
      </c>
      <c r="P347" s="1"/>
      <c r="Q347" s="1"/>
      <c r="R347" s="1" t="s">
        <v>227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</row>
    <row r="348" spans="1:26">
      <c r="A348" s="1">
        <v>3304009</v>
      </c>
      <c r="B348" t="s">
        <v>1364</v>
      </c>
      <c r="C348" s="1">
        <v>3</v>
      </c>
      <c r="D348" s="1">
        <v>101</v>
      </c>
      <c r="E348" s="1">
        <v>350</v>
      </c>
      <c r="F348" s="1">
        <v>0</v>
      </c>
      <c r="G348" s="1">
        <v>0</v>
      </c>
      <c r="H348" s="1">
        <f t="shared" si="6"/>
        <v>3304009</v>
      </c>
      <c r="I348" s="1">
        <v>0</v>
      </c>
      <c r="J348" s="1">
        <v>2010</v>
      </c>
      <c r="K348" s="1" t="s">
        <v>1374</v>
      </c>
      <c r="L348" s="1" t="str">
        <f t="shared" si="4"/>
        <v>高级穿透</v>
      </c>
      <c r="M348">
        <v>9</v>
      </c>
      <c r="N348" s="1">
        <v>3304</v>
      </c>
      <c r="O348" s="1">
        <v>64000000</v>
      </c>
      <c r="P348" s="1"/>
      <c r="Q348" s="1"/>
      <c r="R348" s="1" t="s">
        <v>227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</row>
    <row r="349" spans="1:26">
      <c r="A349" s="1">
        <v>3304010</v>
      </c>
      <c r="B349" t="s">
        <v>1364</v>
      </c>
      <c r="C349" s="1">
        <v>3</v>
      </c>
      <c r="D349" s="1">
        <v>101</v>
      </c>
      <c r="E349" s="1">
        <v>350</v>
      </c>
      <c r="F349" s="1">
        <v>0</v>
      </c>
      <c r="G349" s="1">
        <v>0</v>
      </c>
      <c r="H349" s="1">
        <f t="shared" si="6"/>
        <v>3304010</v>
      </c>
      <c r="I349" s="1">
        <v>0</v>
      </c>
      <c r="J349" s="1">
        <v>2010</v>
      </c>
      <c r="K349" s="1" t="s">
        <v>1375</v>
      </c>
      <c r="L349" s="1" t="str">
        <f t="shared" si="4"/>
        <v>高级穿透</v>
      </c>
      <c r="M349">
        <v>10</v>
      </c>
      <c r="N349" s="1">
        <v>3304</v>
      </c>
      <c r="O349" s="1">
        <v>128000000</v>
      </c>
      <c r="P349" s="1"/>
      <c r="Q349" s="1"/>
      <c r="R349" s="1" t="s">
        <v>227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</row>
    <row r="350" spans="1:26">
      <c r="A350" s="1">
        <f>N350*1000</f>
        <v>3305000</v>
      </c>
      <c r="B350" t="s">
        <v>1376</v>
      </c>
      <c r="C350" s="1">
        <v>3</v>
      </c>
      <c r="D350" s="1">
        <v>101</v>
      </c>
      <c r="E350" s="1">
        <v>350</v>
      </c>
      <c r="F350" s="1">
        <v>0</v>
      </c>
      <c r="G350" s="1">
        <v>0</v>
      </c>
      <c r="H350" s="1">
        <v>3305</v>
      </c>
      <c r="I350" s="1">
        <v>0</v>
      </c>
      <c r="J350" s="1">
        <v>2003</v>
      </c>
      <c r="K350" s="1" t="s">
        <v>1325</v>
      </c>
      <c r="L350" s="1" t="str">
        <f t="shared" si="4"/>
        <v>高级防御</v>
      </c>
      <c r="M350" s="1">
        <v>0</v>
      </c>
      <c r="N350" s="1">
        <v>3305</v>
      </c>
      <c r="O350" s="1">
        <v>104000</v>
      </c>
      <c r="P350" s="1"/>
      <c r="Q350" s="1"/>
      <c r="R350" s="1" t="s">
        <v>227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</row>
    <row r="351" spans="1:26">
      <c r="A351" s="1">
        <v>3305001</v>
      </c>
      <c r="B351" t="s">
        <v>1376</v>
      </c>
      <c r="C351" s="1">
        <v>3</v>
      </c>
      <c r="D351" s="1">
        <v>101</v>
      </c>
      <c r="E351" s="1">
        <v>350</v>
      </c>
      <c r="F351" s="1">
        <v>0</v>
      </c>
      <c r="G351" s="1">
        <v>0</v>
      </c>
      <c r="H351" s="1">
        <f t="shared" ref="H351:H360" si="7">A351</f>
        <v>3305001</v>
      </c>
      <c r="I351" s="1">
        <v>0</v>
      </c>
      <c r="J351" s="1">
        <v>2003</v>
      </c>
      <c r="K351" s="1" t="s">
        <v>1377</v>
      </c>
      <c r="L351" s="1" t="str">
        <f t="shared" si="4"/>
        <v>高级防御</v>
      </c>
      <c r="M351">
        <v>1</v>
      </c>
      <c r="N351" s="1">
        <v>3305</v>
      </c>
      <c r="O351" s="1">
        <v>250000</v>
      </c>
      <c r="P351" s="1"/>
      <c r="Q351" s="1"/>
      <c r="R351" s="1" t="s">
        <v>227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</row>
    <row r="352" spans="1:26">
      <c r="A352" s="1">
        <v>3305002</v>
      </c>
      <c r="B352" t="s">
        <v>1376</v>
      </c>
      <c r="C352" s="1">
        <v>3</v>
      </c>
      <c r="D352" s="1">
        <v>101</v>
      </c>
      <c r="E352" s="1">
        <v>350</v>
      </c>
      <c r="F352" s="1">
        <v>0</v>
      </c>
      <c r="G352" s="1">
        <v>0</v>
      </c>
      <c r="H352" s="1">
        <f t="shared" si="7"/>
        <v>3305002</v>
      </c>
      <c r="I352" s="1">
        <v>0</v>
      </c>
      <c r="J352" s="1">
        <v>2003</v>
      </c>
      <c r="K352" s="1" t="s">
        <v>1378</v>
      </c>
      <c r="L352" s="1" t="str">
        <f t="shared" si="4"/>
        <v>高级防御</v>
      </c>
      <c r="M352">
        <v>2</v>
      </c>
      <c r="N352" s="1">
        <v>3305</v>
      </c>
      <c r="O352" s="1">
        <v>500000</v>
      </c>
      <c r="P352" s="1"/>
      <c r="Q352" s="1"/>
      <c r="R352" s="1" t="s">
        <v>227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</row>
    <row r="353" spans="1:26">
      <c r="A353" s="1">
        <v>3305003</v>
      </c>
      <c r="B353" t="s">
        <v>1376</v>
      </c>
      <c r="C353" s="1">
        <v>3</v>
      </c>
      <c r="D353" s="1">
        <v>101</v>
      </c>
      <c r="E353" s="1">
        <v>350</v>
      </c>
      <c r="F353" s="1">
        <v>0</v>
      </c>
      <c r="G353" s="1">
        <v>0</v>
      </c>
      <c r="H353" s="1">
        <f t="shared" si="7"/>
        <v>3305003</v>
      </c>
      <c r="I353" s="1">
        <v>0</v>
      </c>
      <c r="J353" s="1">
        <v>2003</v>
      </c>
      <c r="K353" s="1" t="s">
        <v>1379</v>
      </c>
      <c r="L353" s="1" t="str">
        <f t="shared" si="4"/>
        <v>高级防御</v>
      </c>
      <c r="M353">
        <v>3</v>
      </c>
      <c r="N353" s="1">
        <v>3305</v>
      </c>
      <c r="O353" s="1">
        <v>1000000</v>
      </c>
      <c r="P353" s="1"/>
      <c r="Q353" s="1"/>
      <c r="R353" s="1" t="s">
        <v>227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</row>
    <row r="354" spans="1:26">
      <c r="A354" s="1">
        <v>3305004</v>
      </c>
      <c r="B354" t="s">
        <v>1376</v>
      </c>
      <c r="C354" s="1">
        <v>3</v>
      </c>
      <c r="D354" s="1">
        <v>101</v>
      </c>
      <c r="E354" s="1">
        <v>350</v>
      </c>
      <c r="F354" s="1">
        <v>0</v>
      </c>
      <c r="G354" s="1">
        <v>0</v>
      </c>
      <c r="H354" s="1">
        <f t="shared" si="7"/>
        <v>3305004</v>
      </c>
      <c r="I354" s="1">
        <v>0</v>
      </c>
      <c r="J354" s="1">
        <v>2003</v>
      </c>
      <c r="K354" s="1" t="s">
        <v>1380</v>
      </c>
      <c r="L354" s="1" t="str">
        <f t="shared" si="4"/>
        <v>高级防御</v>
      </c>
      <c r="M354">
        <v>4</v>
      </c>
      <c r="N354" s="1">
        <v>3305</v>
      </c>
      <c r="O354" s="1">
        <v>2000000</v>
      </c>
      <c r="P354" s="1"/>
      <c r="Q354" s="1"/>
      <c r="R354" s="1" t="s">
        <v>227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</row>
    <row r="355" spans="1:26">
      <c r="A355" s="1">
        <v>3305005</v>
      </c>
      <c r="B355" t="s">
        <v>1376</v>
      </c>
      <c r="C355" s="1">
        <v>3</v>
      </c>
      <c r="D355" s="1">
        <v>101</v>
      </c>
      <c r="E355" s="1">
        <v>350</v>
      </c>
      <c r="F355" s="1">
        <v>0</v>
      </c>
      <c r="G355" s="1">
        <v>0</v>
      </c>
      <c r="H355" s="1">
        <f t="shared" si="7"/>
        <v>3305005</v>
      </c>
      <c r="I355" s="1">
        <v>0</v>
      </c>
      <c r="J355" s="1">
        <v>2003</v>
      </c>
      <c r="K355" s="1" t="s">
        <v>1381</v>
      </c>
      <c r="L355" s="1" t="str">
        <f t="shared" si="4"/>
        <v>高级防御</v>
      </c>
      <c r="M355">
        <v>5</v>
      </c>
      <c r="N355" s="1">
        <v>3305</v>
      </c>
      <c r="O355" s="1">
        <v>4000000</v>
      </c>
      <c r="P355" s="1"/>
      <c r="Q355" s="1"/>
      <c r="R355" s="1" t="s">
        <v>227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</row>
    <row r="356" spans="1:26">
      <c r="A356" s="1">
        <v>3305006</v>
      </c>
      <c r="B356" t="s">
        <v>1376</v>
      </c>
      <c r="C356" s="1">
        <v>3</v>
      </c>
      <c r="D356" s="1">
        <v>101</v>
      </c>
      <c r="E356" s="1">
        <v>350</v>
      </c>
      <c r="F356" s="1">
        <v>0</v>
      </c>
      <c r="G356" s="1">
        <v>0</v>
      </c>
      <c r="H356" s="1">
        <f t="shared" si="7"/>
        <v>3305006</v>
      </c>
      <c r="I356" s="1">
        <v>0</v>
      </c>
      <c r="J356" s="1">
        <v>2003</v>
      </c>
      <c r="K356" s="1" t="s">
        <v>1382</v>
      </c>
      <c r="L356" s="1" t="str">
        <f t="shared" si="4"/>
        <v>高级防御</v>
      </c>
      <c r="M356">
        <v>6</v>
      </c>
      <c r="N356" s="1">
        <v>3305</v>
      </c>
      <c r="O356" s="1">
        <v>8000000</v>
      </c>
      <c r="P356" s="1"/>
      <c r="Q356" s="1"/>
      <c r="R356" s="1" t="s">
        <v>227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</row>
    <row r="357" spans="1:26">
      <c r="A357" s="1">
        <v>3305007</v>
      </c>
      <c r="B357" t="s">
        <v>1376</v>
      </c>
      <c r="C357" s="1">
        <v>3</v>
      </c>
      <c r="D357" s="1">
        <v>101</v>
      </c>
      <c r="E357" s="1">
        <v>350</v>
      </c>
      <c r="F357" s="1">
        <v>0</v>
      </c>
      <c r="G357" s="1">
        <v>0</v>
      </c>
      <c r="H357" s="1">
        <f t="shared" si="7"/>
        <v>3305007</v>
      </c>
      <c r="I357" s="1">
        <v>0</v>
      </c>
      <c r="J357" s="1">
        <v>2003</v>
      </c>
      <c r="K357" s="1" t="s">
        <v>1383</v>
      </c>
      <c r="L357" s="1" t="str">
        <f t="shared" si="4"/>
        <v>高级防御</v>
      </c>
      <c r="M357">
        <v>7</v>
      </c>
      <c r="N357" s="1">
        <v>3305</v>
      </c>
      <c r="O357" s="1">
        <v>16000000</v>
      </c>
      <c r="P357" s="1"/>
      <c r="Q357" s="1"/>
      <c r="R357" s="1" t="s">
        <v>227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</row>
    <row r="358" spans="1:26">
      <c r="A358" s="1">
        <v>3305008</v>
      </c>
      <c r="B358" t="s">
        <v>1376</v>
      </c>
      <c r="C358" s="1">
        <v>3</v>
      </c>
      <c r="D358" s="1">
        <v>101</v>
      </c>
      <c r="E358" s="1">
        <v>350</v>
      </c>
      <c r="F358" s="1">
        <v>0</v>
      </c>
      <c r="G358" s="1">
        <v>0</v>
      </c>
      <c r="H358" s="1">
        <f t="shared" si="7"/>
        <v>3305008</v>
      </c>
      <c r="I358" s="1">
        <v>0</v>
      </c>
      <c r="J358" s="1">
        <v>2003</v>
      </c>
      <c r="K358" s="1" t="s">
        <v>1384</v>
      </c>
      <c r="L358" s="1" t="str">
        <f t="shared" si="4"/>
        <v>高级防御</v>
      </c>
      <c r="M358">
        <v>8</v>
      </c>
      <c r="N358" s="1">
        <v>3305</v>
      </c>
      <c r="O358" s="1">
        <v>32000000</v>
      </c>
      <c r="P358" s="1"/>
      <c r="Q358" s="1"/>
      <c r="R358" s="1" t="s">
        <v>227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</row>
    <row r="359" spans="1:26">
      <c r="A359" s="1">
        <v>3305009</v>
      </c>
      <c r="B359" t="s">
        <v>1376</v>
      </c>
      <c r="C359" s="1">
        <v>3</v>
      </c>
      <c r="D359" s="1">
        <v>101</v>
      </c>
      <c r="E359" s="1">
        <v>350</v>
      </c>
      <c r="F359" s="1">
        <v>0</v>
      </c>
      <c r="G359" s="1">
        <v>0</v>
      </c>
      <c r="H359" s="1">
        <f t="shared" si="7"/>
        <v>3305009</v>
      </c>
      <c r="I359" s="1">
        <v>0</v>
      </c>
      <c r="J359" s="1">
        <v>2003</v>
      </c>
      <c r="K359" s="1" t="s">
        <v>1385</v>
      </c>
      <c r="L359" s="1" t="str">
        <f t="shared" si="4"/>
        <v>高级防御</v>
      </c>
      <c r="M359">
        <v>9</v>
      </c>
      <c r="N359" s="1">
        <v>3305</v>
      </c>
      <c r="O359" s="1">
        <v>64000000</v>
      </c>
      <c r="P359" s="1"/>
      <c r="Q359" s="1"/>
      <c r="R359" s="1" t="s">
        <v>227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</row>
    <row r="360" spans="1:26">
      <c r="A360" s="1">
        <v>3305010</v>
      </c>
      <c r="B360" t="s">
        <v>1376</v>
      </c>
      <c r="C360" s="1">
        <v>3</v>
      </c>
      <c r="D360" s="1">
        <v>101</v>
      </c>
      <c r="E360" s="1">
        <v>350</v>
      </c>
      <c r="F360" s="1">
        <v>0</v>
      </c>
      <c r="G360" s="1">
        <v>0</v>
      </c>
      <c r="H360" s="1">
        <f t="shared" si="7"/>
        <v>3305010</v>
      </c>
      <c r="I360" s="1">
        <v>0</v>
      </c>
      <c r="J360" s="1">
        <v>2003</v>
      </c>
      <c r="K360" s="1" t="s">
        <v>1386</v>
      </c>
      <c r="L360" s="1" t="str">
        <f t="shared" si="4"/>
        <v>高级防御</v>
      </c>
      <c r="M360">
        <v>10</v>
      </c>
      <c r="N360" s="1">
        <v>3305</v>
      </c>
      <c r="O360" s="1">
        <v>128000000</v>
      </c>
      <c r="P360" s="1"/>
      <c r="Q360" s="1"/>
      <c r="R360" s="1" t="s">
        <v>227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</row>
    <row r="361" spans="1:26">
      <c r="A361" s="1">
        <f>N361*1000</f>
        <v>3306000</v>
      </c>
      <c r="B361" t="s">
        <v>1387</v>
      </c>
      <c r="C361" s="1">
        <v>3</v>
      </c>
      <c r="D361" s="1">
        <v>101</v>
      </c>
      <c r="E361" s="1">
        <v>350</v>
      </c>
      <c r="F361" s="1">
        <v>0</v>
      </c>
      <c r="G361" s="1">
        <v>0</v>
      </c>
      <c r="H361" s="1">
        <v>3306</v>
      </c>
      <c r="I361" s="1">
        <v>0</v>
      </c>
      <c r="J361" s="1">
        <v>2005</v>
      </c>
      <c r="K361" s="1" t="s">
        <v>1332</v>
      </c>
      <c r="L361" s="1" t="str">
        <f t="shared" si="4"/>
        <v>高级连击</v>
      </c>
      <c r="M361" s="1">
        <v>0</v>
      </c>
      <c r="N361" s="1">
        <v>3306</v>
      </c>
      <c r="O361" s="1">
        <v>104000</v>
      </c>
      <c r="P361" s="1"/>
      <c r="Q361" s="1"/>
      <c r="R361" s="1" t="s">
        <v>227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</row>
    <row r="362" spans="1:26">
      <c r="A362" s="1">
        <v>3306001</v>
      </c>
      <c r="B362" t="s">
        <v>1387</v>
      </c>
      <c r="C362" s="1">
        <v>3</v>
      </c>
      <c r="D362" s="1">
        <v>101</v>
      </c>
      <c r="E362" s="1">
        <v>350</v>
      </c>
      <c r="F362" s="1">
        <v>0</v>
      </c>
      <c r="G362" s="1">
        <v>0</v>
      </c>
      <c r="H362" s="1">
        <f t="shared" ref="H362:H371" si="8">A362</f>
        <v>3306001</v>
      </c>
      <c r="I362" s="1">
        <v>0</v>
      </c>
      <c r="J362" s="1">
        <v>2005</v>
      </c>
      <c r="K362" s="1" t="s">
        <v>1388</v>
      </c>
      <c r="L362" s="1" t="str">
        <f t="shared" si="4"/>
        <v>高级连击</v>
      </c>
      <c r="M362">
        <v>1</v>
      </c>
      <c r="N362" s="1">
        <v>3306</v>
      </c>
      <c r="O362" s="1">
        <v>250000</v>
      </c>
      <c r="P362" s="1"/>
      <c r="Q362" s="1"/>
      <c r="R362" s="1" t="s">
        <v>227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</row>
    <row r="363" spans="1:26">
      <c r="A363" s="1">
        <v>3306002</v>
      </c>
      <c r="B363" t="s">
        <v>1387</v>
      </c>
      <c r="C363" s="1">
        <v>3</v>
      </c>
      <c r="D363" s="1">
        <v>101</v>
      </c>
      <c r="E363" s="1">
        <v>350</v>
      </c>
      <c r="F363" s="1">
        <v>0</v>
      </c>
      <c r="G363" s="1">
        <v>0</v>
      </c>
      <c r="H363" s="1">
        <f t="shared" si="8"/>
        <v>3306002</v>
      </c>
      <c r="I363" s="1">
        <v>0</v>
      </c>
      <c r="J363" s="1">
        <v>2005</v>
      </c>
      <c r="K363" s="1" t="s">
        <v>1389</v>
      </c>
      <c r="L363" s="1" t="str">
        <f t="shared" si="4"/>
        <v>高级连击</v>
      </c>
      <c r="M363">
        <v>2</v>
      </c>
      <c r="N363" s="1">
        <v>3306</v>
      </c>
      <c r="O363" s="1">
        <v>500000</v>
      </c>
      <c r="P363" s="1"/>
      <c r="Q363" s="1"/>
      <c r="R363" s="1" t="s">
        <v>227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</row>
    <row r="364" spans="1:26">
      <c r="A364" s="1">
        <v>3306003</v>
      </c>
      <c r="B364" t="s">
        <v>1387</v>
      </c>
      <c r="C364" s="1">
        <v>3</v>
      </c>
      <c r="D364" s="1">
        <v>101</v>
      </c>
      <c r="E364" s="1">
        <v>350</v>
      </c>
      <c r="F364" s="1">
        <v>0</v>
      </c>
      <c r="G364" s="1">
        <v>0</v>
      </c>
      <c r="H364" s="1">
        <f t="shared" si="8"/>
        <v>3306003</v>
      </c>
      <c r="I364" s="1">
        <v>0</v>
      </c>
      <c r="J364" s="1">
        <v>2005</v>
      </c>
      <c r="K364" s="1" t="s">
        <v>1390</v>
      </c>
      <c r="L364" s="1" t="str">
        <f t="shared" si="4"/>
        <v>高级连击</v>
      </c>
      <c r="M364">
        <v>3</v>
      </c>
      <c r="N364" s="1">
        <v>3306</v>
      </c>
      <c r="O364" s="1">
        <v>1000000</v>
      </c>
      <c r="P364" s="1"/>
      <c r="Q364" s="1"/>
      <c r="R364" s="1" t="s">
        <v>227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</row>
    <row r="365" spans="1:26">
      <c r="A365" s="1">
        <v>3306004</v>
      </c>
      <c r="B365" t="s">
        <v>1387</v>
      </c>
      <c r="C365" s="1">
        <v>3</v>
      </c>
      <c r="D365" s="1">
        <v>101</v>
      </c>
      <c r="E365" s="1">
        <v>350</v>
      </c>
      <c r="F365" s="1">
        <v>0</v>
      </c>
      <c r="G365" s="1">
        <v>0</v>
      </c>
      <c r="H365" s="1">
        <f t="shared" si="8"/>
        <v>3306004</v>
      </c>
      <c r="I365" s="1">
        <v>0</v>
      </c>
      <c r="J365" s="1">
        <v>2005</v>
      </c>
      <c r="K365" s="1" t="s">
        <v>1391</v>
      </c>
      <c r="L365" s="1" t="str">
        <f t="shared" si="4"/>
        <v>高级连击</v>
      </c>
      <c r="M365">
        <v>4</v>
      </c>
      <c r="N365" s="1">
        <v>3306</v>
      </c>
      <c r="O365" s="1">
        <v>2000000</v>
      </c>
      <c r="P365" s="1"/>
      <c r="Q365" s="1"/>
      <c r="R365" s="1" t="s">
        <v>227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</row>
    <row r="366" spans="1:26">
      <c r="A366" s="1">
        <v>3306005</v>
      </c>
      <c r="B366" t="s">
        <v>1387</v>
      </c>
      <c r="C366" s="1">
        <v>3</v>
      </c>
      <c r="D366" s="1">
        <v>101</v>
      </c>
      <c r="E366" s="1">
        <v>350</v>
      </c>
      <c r="F366" s="1">
        <v>0</v>
      </c>
      <c r="G366" s="1">
        <v>0</v>
      </c>
      <c r="H366" s="1">
        <f t="shared" si="8"/>
        <v>3306005</v>
      </c>
      <c r="I366" s="1">
        <v>0</v>
      </c>
      <c r="J366" s="1">
        <v>2005</v>
      </c>
      <c r="K366" s="1" t="s">
        <v>1392</v>
      </c>
      <c r="L366" s="1" t="str">
        <f t="shared" si="4"/>
        <v>高级连击</v>
      </c>
      <c r="M366">
        <v>5</v>
      </c>
      <c r="N366" s="1">
        <v>3306</v>
      </c>
      <c r="O366" s="1">
        <v>4000000</v>
      </c>
      <c r="P366" s="1"/>
      <c r="Q366" s="1"/>
      <c r="R366" s="1" t="s">
        <v>227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</row>
    <row r="367" spans="1:26">
      <c r="A367" s="1">
        <v>3306006</v>
      </c>
      <c r="B367" t="s">
        <v>1387</v>
      </c>
      <c r="C367" s="1">
        <v>3</v>
      </c>
      <c r="D367" s="1">
        <v>101</v>
      </c>
      <c r="E367" s="1">
        <v>350</v>
      </c>
      <c r="F367" s="1">
        <v>0</v>
      </c>
      <c r="G367" s="1">
        <v>0</v>
      </c>
      <c r="H367" s="1">
        <f t="shared" si="8"/>
        <v>3306006</v>
      </c>
      <c r="I367" s="1">
        <v>0</v>
      </c>
      <c r="J367" s="1">
        <v>2005</v>
      </c>
      <c r="K367" s="1" t="s">
        <v>1393</v>
      </c>
      <c r="L367" s="1" t="str">
        <f t="shared" si="4"/>
        <v>高级连击</v>
      </c>
      <c r="M367">
        <v>6</v>
      </c>
      <c r="N367" s="1">
        <v>3306</v>
      </c>
      <c r="O367" s="1">
        <v>8000000</v>
      </c>
      <c r="P367" s="1"/>
      <c r="Q367" s="1"/>
      <c r="R367" s="1" t="s">
        <v>227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</row>
    <row r="368" spans="1:26">
      <c r="A368" s="1">
        <v>3306007</v>
      </c>
      <c r="B368" t="s">
        <v>1387</v>
      </c>
      <c r="C368" s="1">
        <v>3</v>
      </c>
      <c r="D368" s="1">
        <v>101</v>
      </c>
      <c r="E368" s="1">
        <v>350</v>
      </c>
      <c r="F368" s="1">
        <v>0</v>
      </c>
      <c r="G368" s="1">
        <v>0</v>
      </c>
      <c r="H368" s="1">
        <f t="shared" si="8"/>
        <v>3306007</v>
      </c>
      <c r="I368" s="1">
        <v>0</v>
      </c>
      <c r="J368" s="1">
        <v>2005</v>
      </c>
      <c r="K368" s="1" t="s">
        <v>1394</v>
      </c>
      <c r="L368" s="1" t="str">
        <f t="shared" si="4"/>
        <v>高级连击</v>
      </c>
      <c r="M368">
        <v>7</v>
      </c>
      <c r="N368" s="1">
        <v>3306</v>
      </c>
      <c r="O368" s="1">
        <v>16000000</v>
      </c>
      <c r="P368" s="1"/>
      <c r="Q368" s="1"/>
      <c r="R368" s="1" t="s">
        <v>227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</row>
    <row r="369" spans="1:26">
      <c r="A369" s="1">
        <v>3306008</v>
      </c>
      <c r="B369" t="s">
        <v>1387</v>
      </c>
      <c r="C369" s="1">
        <v>3</v>
      </c>
      <c r="D369" s="1">
        <v>101</v>
      </c>
      <c r="E369" s="1">
        <v>350</v>
      </c>
      <c r="F369" s="1">
        <v>0</v>
      </c>
      <c r="G369" s="1">
        <v>0</v>
      </c>
      <c r="H369" s="1">
        <f t="shared" si="8"/>
        <v>3306008</v>
      </c>
      <c r="I369" s="1">
        <v>0</v>
      </c>
      <c r="J369" s="1">
        <v>2005</v>
      </c>
      <c r="K369" s="1" t="s">
        <v>1395</v>
      </c>
      <c r="L369" s="1" t="str">
        <f t="shared" si="4"/>
        <v>高级连击</v>
      </c>
      <c r="M369">
        <v>8</v>
      </c>
      <c r="N369" s="1">
        <v>3306</v>
      </c>
      <c r="O369" s="1">
        <v>32000000</v>
      </c>
      <c r="P369" s="1"/>
      <c r="Q369" s="1"/>
      <c r="R369" s="1" t="s">
        <v>227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</row>
    <row r="370" spans="1:26">
      <c r="A370" s="1">
        <v>3306009</v>
      </c>
      <c r="B370" t="s">
        <v>1387</v>
      </c>
      <c r="C370" s="1">
        <v>3</v>
      </c>
      <c r="D370" s="1">
        <v>101</v>
      </c>
      <c r="E370" s="1">
        <v>350</v>
      </c>
      <c r="F370" s="1">
        <v>0</v>
      </c>
      <c r="G370" s="1">
        <v>0</v>
      </c>
      <c r="H370" s="1">
        <f t="shared" si="8"/>
        <v>3306009</v>
      </c>
      <c r="I370" s="1">
        <v>0</v>
      </c>
      <c r="J370" s="1">
        <v>2005</v>
      </c>
      <c r="K370" s="1" t="s">
        <v>1396</v>
      </c>
      <c r="L370" s="1" t="str">
        <f t="shared" si="4"/>
        <v>高级连击</v>
      </c>
      <c r="M370">
        <v>9</v>
      </c>
      <c r="N370" s="1">
        <v>3306</v>
      </c>
      <c r="O370" s="1">
        <v>64000000</v>
      </c>
      <c r="P370" s="1"/>
      <c r="Q370" s="1"/>
      <c r="R370" s="1" t="s">
        <v>227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</row>
    <row r="371" spans="1:26">
      <c r="A371" s="1">
        <v>3306010</v>
      </c>
      <c r="B371" t="s">
        <v>1387</v>
      </c>
      <c r="C371" s="1">
        <v>3</v>
      </c>
      <c r="D371" s="1">
        <v>101</v>
      </c>
      <c r="E371" s="1">
        <v>350</v>
      </c>
      <c r="F371" s="1">
        <v>0</v>
      </c>
      <c r="G371" s="1">
        <v>0</v>
      </c>
      <c r="H371" s="1">
        <f t="shared" si="8"/>
        <v>3306010</v>
      </c>
      <c r="I371" s="1">
        <v>0</v>
      </c>
      <c r="J371" s="1">
        <v>2005</v>
      </c>
      <c r="K371" s="1" t="s">
        <v>1397</v>
      </c>
      <c r="L371" s="1" t="str">
        <f t="shared" si="4"/>
        <v>高级连击</v>
      </c>
      <c r="M371">
        <v>10</v>
      </c>
      <c r="N371" s="1">
        <v>3306</v>
      </c>
      <c r="O371" s="1">
        <v>128000000</v>
      </c>
      <c r="P371" s="1"/>
      <c r="Q371" s="1"/>
      <c r="R371" s="1" t="s">
        <v>227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</row>
    <row r="372" spans="1:26">
      <c r="A372" s="1">
        <f>N372*1000</f>
        <v>3307000</v>
      </c>
      <c r="B372" s="1" t="s">
        <v>1398</v>
      </c>
      <c r="C372" s="1">
        <v>3</v>
      </c>
      <c r="D372" s="1">
        <v>101</v>
      </c>
      <c r="E372" s="1">
        <v>350</v>
      </c>
      <c r="F372" s="1">
        <v>0</v>
      </c>
      <c r="G372" s="1">
        <v>0</v>
      </c>
      <c r="H372" s="1">
        <v>3307</v>
      </c>
      <c r="I372" s="1">
        <v>0</v>
      </c>
      <c r="J372" s="1">
        <v>2001</v>
      </c>
      <c r="K372" s="1" t="s">
        <v>1399</v>
      </c>
      <c r="L372" s="1" t="str">
        <f t="shared" si="4"/>
        <v>高级攻击</v>
      </c>
      <c r="M372" s="1">
        <v>0</v>
      </c>
      <c r="N372" s="1">
        <v>3307</v>
      </c>
      <c r="O372" s="1">
        <v>104000</v>
      </c>
      <c r="P372" s="1"/>
      <c r="Q372" s="1"/>
      <c r="R372" s="1" t="s">
        <v>227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</row>
    <row r="373" spans="1:26">
      <c r="A373" s="1">
        <v>3307001</v>
      </c>
      <c r="B373" t="s">
        <v>1398</v>
      </c>
      <c r="C373" s="1">
        <v>3</v>
      </c>
      <c r="D373" s="1">
        <v>101</v>
      </c>
      <c r="E373" s="1">
        <v>350</v>
      </c>
      <c r="F373" s="1">
        <v>0</v>
      </c>
      <c r="G373" s="1">
        <v>0</v>
      </c>
      <c r="H373" s="1">
        <f t="shared" ref="H373:H382" si="9">A373</f>
        <v>3307001</v>
      </c>
      <c r="I373" s="1">
        <v>0</v>
      </c>
      <c r="J373" s="1">
        <v>2001</v>
      </c>
      <c r="K373" s="1" t="s">
        <v>1400</v>
      </c>
      <c r="L373" s="1" t="str">
        <f t="shared" si="4"/>
        <v>高级攻击</v>
      </c>
      <c r="M373">
        <v>1</v>
      </c>
      <c r="N373" s="1">
        <v>3307</v>
      </c>
      <c r="O373" s="1">
        <v>250000</v>
      </c>
      <c r="P373" s="1"/>
      <c r="Q373" s="1"/>
      <c r="R373" s="1" t="s">
        <v>227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</row>
    <row r="374" spans="1:26">
      <c r="A374" s="1">
        <v>3307002</v>
      </c>
      <c r="B374" t="s">
        <v>1398</v>
      </c>
      <c r="C374" s="1">
        <v>3</v>
      </c>
      <c r="D374" s="1">
        <v>101</v>
      </c>
      <c r="E374" s="1">
        <v>350</v>
      </c>
      <c r="F374" s="1">
        <v>0</v>
      </c>
      <c r="G374" s="1">
        <v>0</v>
      </c>
      <c r="H374" s="1">
        <f t="shared" si="9"/>
        <v>3307002</v>
      </c>
      <c r="I374" s="1">
        <v>0</v>
      </c>
      <c r="J374" s="1">
        <v>2001</v>
      </c>
      <c r="K374" s="1" t="s">
        <v>1401</v>
      </c>
      <c r="L374" s="1" t="str">
        <f t="shared" si="4"/>
        <v>高级攻击</v>
      </c>
      <c r="M374">
        <v>2</v>
      </c>
      <c r="N374" s="1">
        <v>3307</v>
      </c>
      <c r="O374" s="1">
        <v>500000</v>
      </c>
      <c r="P374" s="1"/>
      <c r="Q374" s="1"/>
      <c r="R374" s="1" t="s">
        <v>227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</row>
    <row r="375" spans="1:26">
      <c r="A375" s="1">
        <v>3307003</v>
      </c>
      <c r="B375" t="s">
        <v>1398</v>
      </c>
      <c r="C375" s="1">
        <v>3</v>
      </c>
      <c r="D375" s="1">
        <v>101</v>
      </c>
      <c r="E375" s="1">
        <v>350</v>
      </c>
      <c r="F375" s="1">
        <v>0</v>
      </c>
      <c r="G375" s="1">
        <v>0</v>
      </c>
      <c r="H375" s="1">
        <f t="shared" si="9"/>
        <v>3307003</v>
      </c>
      <c r="I375" s="1">
        <v>0</v>
      </c>
      <c r="J375" s="1">
        <v>2001</v>
      </c>
      <c r="K375" s="1" t="s">
        <v>1402</v>
      </c>
      <c r="L375" s="1" t="str">
        <f t="shared" si="4"/>
        <v>高级攻击</v>
      </c>
      <c r="M375">
        <v>3</v>
      </c>
      <c r="N375" s="1">
        <v>3307</v>
      </c>
      <c r="O375" s="1">
        <v>1000000</v>
      </c>
      <c r="P375" s="1"/>
      <c r="Q375" s="1"/>
      <c r="R375" s="1" t="s">
        <v>227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</row>
    <row r="376" spans="1:26">
      <c r="A376" s="1">
        <v>3307004</v>
      </c>
      <c r="B376" t="s">
        <v>1398</v>
      </c>
      <c r="C376" s="1">
        <v>3</v>
      </c>
      <c r="D376" s="1">
        <v>101</v>
      </c>
      <c r="E376" s="1">
        <v>350</v>
      </c>
      <c r="F376" s="1">
        <v>0</v>
      </c>
      <c r="G376" s="1">
        <v>0</v>
      </c>
      <c r="H376" s="1">
        <f t="shared" si="9"/>
        <v>3307004</v>
      </c>
      <c r="I376" s="1">
        <v>0</v>
      </c>
      <c r="J376" s="1">
        <v>2001</v>
      </c>
      <c r="K376" s="1" t="s">
        <v>1403</v>
      </c>
      <c r="L376" s="1" t="str">
        <f t="shared" si="4"/>
        <v>高级攻击</v>
      </c>
      <c r="M376">
        <v>4</v>
      </c>
      <c r="N376" s="1">
        <v>3307</v>
      </c>
      <c r="O376" s="1">
        <v>2000000</v>
      </c>
      <c r="P376" s="1"/>
      <c r="Q376" s="1"/>
      <c r="R376" s="1" t="s">
        <v>227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</row>
    <row r="377" spans="1:26">
      <c r="A377" s="1">
        <v>3307005</v>
      </c>
      <c r="B377" t="s">
        <v>1398</v>
      </c>
      <c r="C377" s="1">
        <v>3</v>
      </c>
      <c r="D377" s="1">
        <v>101</v>
      </c>
      <c r="E377" s="1">
        <v>350</v>
      </c>
      <c r="F377" s="1">
        <v>0</v>
      </c>
      <c r="G377" s="1">
        <v>0</v>
      </c>
      <c r="H377" s="1">
        <f t="shared" si="9"/>
        <v>3307005</v>
      </c>
      <c r="I377" s="1">
        <v>0</v>
      </c>
      <c r="J377" s="1">
        <v>2001</v>
      </c>
      <c r="K377" s="1" t="s">
        <v>1404</v>
      </c>
      <c r="L377" s="1" t="str">
        <f t="shared" si="4"/>
        <v>高级攻击</v>
      </c>
      <c r="M377">
        <v>5</v>
      </c>
      <c r="N377" s="1">
        <v>3307</v>
      </c>
      <c r="O377" s="1">
        <v>4000000</v>
      </c>
      <c r="P377" s="1"/>
      <c r="Q377" s="1"/>
      <c r="R377" s="1" t="s">
        <v>227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</row>
    <row r="378" spans="1:26">
      <c r="A378" s="1">
        <v>3307006</v>
      </c>
      <c r="B378" t="s">
        <v>1398</v>
      </c>
      <c r="C378" s="1">
        <v>3</v>
      </c>
      <c r="D378" s="1">
        <v>101</v>
      </c>
      <c r="E378" s="1">
        <v>350</v>
      </c>
      <c r="F378" s="1">
        <v>0</v>
      </c>
      <c r="G378" s="1">
        <v>0</v>
      </c>
      <c r="H378" s="1">
        <f t="shared" si="9"/>
        <v>3307006</v>
      </c>
      <c r="I378" s="1">
        <v>0</v>
      </c>
      <c r="J378" s="1">
        <v>2001</v>
      </c>
      <c r="K378" s="1" t="s">
        <v>1405</v>
      </c>
      <c r="L378" s="1" t="str">
        <f t="shared" si="4"/>
        <v>高级攻击</v>
      </c>
      <c r="M378">
        <v>6</v>
      </c>
      <c r="N378" s="1">
        <v>3307</v>
      </c>
      <c r="O378" s="1">
        <v>8000000</v>
      </c>
      <c r="P378" s="1"/>
      <c r="Q378" s="1"/>
      <c r="R378" s="1" t="s">
        <v>227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</row>
    <row r="379" spans="1:26">
      <c r="A379" s="1">
        <v>3307007</v>
      </c>
      <c r="B379" t="s">
        <v>1398</v>
      </c>
      <c r="C379" s="1">
        <v>3</v>
      </c>
      <c r="D379" s="1">
        <v>101</v>
      </c>
      <c r="E379" s="1">
        <v>350</v>
      </c>
      <c r="F379" s="1">
        <v>0</v>
      </c>
      <c r="G379" s="1">
        <v>0</v>
      </c>
      <c r="H379" s="1">
        <f t="shared" si="9"/>
        <v>3307007</v>
      </c>
      <c r="I379" s="1">
        <v>0</v>
      </c>
      <c r="J379" s="1">
        <v>2001</v>
      </c>
      <c r="K379" s="1" t="s">
        <v>1406</v>
      </c>
      <c r="L379" s="1" t="str">
        <f t="shared" si="4"/>
        <v>高级攻击</v>
      </c>
      <c r="M379">
        <v>7</v>
      </c>
      <c r="N379" s="1">
        <v>3307</v>
      </c>
      <c r="O379" s="1">
        <v>16000000</v>
      </c>
      <c r="P379" s="1"/>
      <c r="Q379" s="1"/>
      <c r="R379" s="1" t="s">
        <v>227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</row>
    <row r="380" spans="1:26">
      <c r="A380" s="1">
        <v>3307008</v>
      </c>
      <c r="B380" t="s">
        <v>1398</v>
      </c>
      <c r="C380" s="1">
        <v>3</v>
      </c>
      <c r="D380" s="1">
        <v>101</v>
      </c>
      <c r="E380" s="1">
        <v>350</v>
      </c>
      <c r="F380" s="1">
        <v>0</v>
      </c>
      <c r="G380" s="1">
        <v>0</v>
      </c>
      <c r="H380" s="1">
        <f t="shared" si="9"/>
        <v>3307008</v>
      </c>
      <c r="I380" s="1">
        <v>0</v>
      </c>
      <c r="J380" s="1">
        <v>2001</v>
      </c>
      <c r="K380" s="1" t="s">
        <v>1407</v>
      </c>
      <c r="L380" s="1" t="str">
        <f t="shared" si="4"/>
        <v>高级攻击</v>
      </c>
      <c r="M380">
        <v>8</v>
      </c>
      <c r="N380" s="1">
        <v>3307</v>
      </c>
      <c r="O380" s="1">
        <v>32000000</v>
      </c>
      <c r="P380" s="1"/>
      <c r="Q380" s="1"/>
      <c r="R380" s="1" t="s">
        <v>227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</row>
    <row r="381" spans="1:26">
      <c r="A381" s="1">
        <v>3307009</v>
      </c>
      <c r="B381" t="s">
        <v>1398</v>
      </c>
      <c r="C381" s="1">
        <v>3</v>
      </c>
      <c r="D381" s="1">
        <v>101</v>
      </c>
      <c r="E381" s="1">
        <v>350</v>
      </c>
      <c r="F381" s="1">
        <v>0</v>
      </c>
      <c r="G381" s="1">
        <v>0</v>
      </c>
      <c r="H381" s="1">
        <f t="shared" si="9"/>
        <v>3307009</v>
      </c>
      <c r="I381" s="1">
        <v>0</v>
      </c>
      <c r="J381" s="1">
        <v>2001</v>
      </c>
      <c r="K381" s="1" t="s">
        <v>1408</v>
      </c>
      <c r="L381" s="1" t="str">
        <f t="shared" si="4"/>
        <v>高级攻击</v>
      </c>
      <c r="M381">
        <v>9</v>
      </c>
      <c r="N381" s="1">
        <v>3307</v>
      </c>
      <c r="O381" s="1">
        <v>64000000</v>
      </c>
      <c r="P381" s="1"/>
      <c r="Q381" s="1"/>
      <c r="R381" s="1" t="s">
        <v>227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</row>
    <row r="382" spans="1:26">
      <c r="A382" s="1">
        <v>3307010</v>
      </c>
      <c r="B382" t="s">
        <v>1398</v>
      </c>
      <c r="C382" s="1">
        <v>3</v>
      </c>
      <c r="D382" s="1">
        <v>101</v>
      </c>
      <c r="E382" s="1">
        <v>350</v>
      </c>
      <c r="F382" s="1">
        <v>0</v>
      </c>
      <c r="G382" s="1">
        <v>0</v>
      </c>
      <c r="H382" s="1">
        <f t="shared" si="9"/>
        <v>3307010</v>
      </c>
      <c r="I382" s="1">
        <v>0</v>
      </c>
      <c r="J382" s="1">
        <v>2001</v>
      </c>
      <c r="K382" s="1" t="s">
        <v>1409</v>
      </c>
      <c r="L382" s="1" t="str">
        <f t="shared" si="4"/>
        <v>高级攻击</v>
      </c>
      <c r="M382">
        <v>10</v>
      </c>
      <c r="N382" s="1">
        <v>3307</v>
      </c>
      <c r="O382" s="1">
        <v>128000000</v>
      </c>
      <c r="P382" s="1"/>
      <c r="Q382" s="1"/>
      <c r="R382" s="1" t="s">
        <v>227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</row>
    <row r="383" spans="1:26">
      <c r="A383" s="1">
        <f>N383*1000</f>
        <v>3308000</v>
      </c>
      <c r="B383" t="s">
        <v>1410</v>
      </c>
      <c r="C383" s="1">
        <v>3</v>
      </c>
      <c r="D383" s="1">
        <v>101</v>
      </c>
      <c r="E383" s="1">
        <v>350</v>
      </c>
      <c r="F383" s="1">
        <v>0</v>
      </c>
      <c r="G383" s="1">
        <v>0</v>
      </c>
      <c r="H383" s="1">
        <v>3308</v>
      </c>
      <c r="I383" s="1">
        <v>0</v>
      </c>
      <c r="J383" s="1">
        <v>2004</v>
      </c>
      <c r="K383" s="1" t="s">
        <v>1411</v>
      </c>
      <c r="L383" s="1" t="str">
        <f t="shared" si="4"/>
        <v>高级暴击</v>
      </c>
      <c r="M383" s="1">
        <v>0</v>
      </c>
      <c r="N383" s="1">
        <v>3308</v>
      </c>
      <c r="O383" s="1">
        <v>104000</v>
      </c>
      <c r="P383" s="1"/>
      <c r="Q383" s="1"/>
      <c r="R383" s="1" t="s">
        <v>227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</row>
    <row r="384" spans="1:26">
      <c r="A384" s="1">
        <v>3308001</v>
      </c>
      <c r="B384" t="s">
        <v>1410</v>
      </c>
      <c r="C384" s="1">
        <v>3</v>
      </c>
      <c r="D384" s="1">
        <v>101</v>
      </c>
      <c r="E384" s="1">
        <v>350</v>
      </c>
      <c r="F384" s="1">
        <v>0</v>
      </c>
      <c r="G384" s="1">
        <v>0</v>
      </c>
      <c r="H384" s="1">
        <f t="shared" ref="H384:H393" si="10">A384</f>
        <v>3308001</v>
      </c>
      <c r="I384" s="1">
        <v>0</v>
      </c>
      <c r="J384" s="1">
        <v>2004</v>
      </c>
      <c r="K384" s="1" t="s">
        <v>1412</v>
      </c>
      <c r="L384" s="1" t="str">
        <f t="shared" si="4"/>
        <v>高级暴击</v>
      </c>
      <c r="M384">
        <v>1</v>
      </c>
      <c r="N384" s="1">
        <v>3308</v>
      </c>
      <c r="O384" s="1">
        <v>250000</v>
      </c>
      <c r="P384" s="1"/>
      <c r="Q384" s="1"/>
      <c r="R384" s="1" t="s">
        <v>227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</row>
    <row r="385" spans="1:26">
      <c r="A385" s="1">
        <v>3308002</v>
      </c>
      <c r="B385" t="s">
        <v>1410</v>
      </c>
      <c r="C385" s="1">
        <v>3</v>
      </c>
      <c r="D385" s="1">
        <v>101</v>
      </c>
      <c r="E385" s="1">
        <v>350</v>
      </c>
      <c r="F385" s="1">
        <v>0</v>
      </c>
      <c r="G385" s="1">
        <v>0</v>
      </c>
      <c r="H385" s="1">
        <f t="shared" si="10"/>
        <v>3308002</v>
      </c>
      <c r="I385" s="1">
        <v>0</v>
      </c>
      <c r="J385" s="1">
        <v>2004</v>
      </c>
      <c r="K385" s="1" t="s">
        <v>1413</v>
      </c>
      <c r="L385" s="1" t="str">
        <f t="shared" si="4"/>
        <v>高级暴击</v>
      </c>
      <c r="M385">
        <v>2</v>
      </c>
      <c r="N385" s="1">
        <v>3308</v>
      </c>
      <c r="O385" s="1">
        <v>500000</v>
      </c>
      <c r="P385" s="1"/>
      <c r="Q385" s="1"/>
      <c r="R385" s="1" t="s">
        <v>227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</row>
    <row r="386" spans="1:26">
      <c r="A386" s="1">
        <v>3308003</v>
      </c>
      <c r="B386" t="s">
        <v>1410</v>
      </c>
      <c r="C386" s="1">
        <v>3</v>
      </c>
      <c r="D386" s="1">
        <v>101</v>
      </c>
      <c r="E386" s="1">
        <v>350</v>
      </c>
      <c r="F386" s="1">
        <v>0</v>
      </c>
      <c r="G386" s="1">
        <v>0</v>
      </c>
      <c r="H386" s="1">
        <f t="shared" si="10"/>
        <v>3308003</v>
      </c>
      <c r="I386" s="1">
        <v>0</v>
      </c>
      <c r="J386" s="1">
        <v>2004</v>
      </c>
      <c r="K386" s="1" t="s">
        <v>1414</v>
      </c>
      <c r="L386" s="1" t="str">
        <f t="shared" si="4"/>
        <v>高级暴击</v>
      </c>
      <c r="M386">
        <v>3</v>
      </c>
      <c r="N386" s="1">
        <v>3308</v>
      </c>
      <c r="O386" s="1">
        <v>1000000</v>
      </c>
      <c r="P386" s="1"/>
      <c r="Q386" s="1"/>
      <c r="R386" s="1" t="s">
        <v>227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</row>
    <row r="387" spans="1:26">
      <c r="A387" s="1">
        <v>3308004</v>
      </c>
      <c r="B387" t="s">
        <v>1410</v>
      </c>
      <c r="C387" s="1">
        <v>3</v>
      </c>
      <c r="D387" s="1">
        <v>101</v>
      </c>
      <c r="E387" s="1">
        <v>350</v>
      </c>
      <c r="F387" s="1">
        <v>0</v>
      </c>
      <c r="G387" s="1">
        <v>0</v>
      </c>
      <c r="H387" s="1">
        <f t="shared" si="10"/>
        <v>3308004</v>
      </c>
      <c r="I387" s="1">
        <v>0</v>
      </c>
      <c r="J387" s="1">
        <v>2004</v>
      </c>
      <c r="K387" s="1" t="s">
        <v>1415</v>
      </c>
      <c r="L387" s="1" t="str">
        <f t="shared" si="4"/>
        <v>高级暴击</v>
      </c>
      <c r="M387">
        <v>4</v>
      </c>
      <c r="N387" s="1">
        <v>3308</v>
      </c>
      <c r="O387" s="1">
        <v>2000000</v>
      </c>
      <c r="P387" s="1"/>
      <c r="Q387" s="1"/>
      <c r="R387" s="1" t="s">
        <v>227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</row>
    <row r="388" spans="1:26">
      <c r="A388" s="1">
        <v>3308005</v>
      </c>
      <c r="B388" t="s">
        <v>1410</v>
      </c>
      <c r="C388" s="1">
        <v>3</v>
      </c>
      <c r="D388" s="1">
        <v>101</v>
      </c>
      <c r="E388" s="1">
        <v>350</v>
      </c>
      <c r="F388" s="1">
        <v>0</v>
      </c>
      <c r="G388" s="1">
        <v>0</v>
      </c>
      <c r="H388" s="1">
        <f t="shared" si="10"/>
        <v>3308005</v>
      </c>
      <c r="I388" s="1">
        <v>0</v>
      </c>
      <c r="J388" s="1">
        <v>2004</v>
      </c>
      <c r="K388" s="1" t="s">
        <v>1416</v>
      </c>
      <c r="L388" s="1" t="str">
        <f t="shared" si="4"/>
        <v>高级暴击</v>
      </c>
      <c r="M388">
        <v>5</v>
      </c>
      <c r="N388" s="1">
        <v>3308</v>
      </c>
      <c r="O388" s="1">
        <v>4000000</v>
      </c>
      <c r="P388" s="1"/>
      <c r="Q388" s="1"/>
      <c r="R388" s="1" t="s">
        <v>227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</row>
    <row r="389" spans="1:26">
      <c r="A389" s="1">
        <v>3308006</v>
      </c>
      <c r="B389" t="s">
        <v>1410</v>
      </c>
      <c r="C389" s="1">
        <v>3</v>
      </c>
      <c r="D389" s="1">
        <v>101</v>
      </c>
      <c r="E389" s="1">
        <v>350</v>
      </c>
      <c r="F389" s="1">
        <v>0</v>
      </c>
      <c r="G389" s="1">
        <v>0</v>
      </c>
      <c r="H389" s="1">
        <f t="shared" si="10"/>
        <v>3308006</v>
      </c>
      <c r="I389" s="1">
        <v>0</v>
      </c>
      <c r="J389" s="1">
        <v>2004</v>
      </c>
      <c r="K389" s="1" t="s">
        <v>1417</v>
      </c>
      <c r="L389" s="1" t="str">
        <f t="shared" ref="L389:L415" si="11">B389</f>
        <v>高级暴击</v>
      </c>
      <c r="M389">
        <v>6</v>
      </c>
      <c r="N389" s="1">
        <v>3308</v>
      </c>
      <c r="O389" s="1">
        <v>8000000</v>
      </c>
      <c r="P389" s="1"/>
      <c r="Q389" s="1"/>
      <c r="R389" s="1" t="s">
        <v>227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</row>
    <row r="390" spans="1:26">
      <c r="A390" s="1">
        <v>3308007</v>
      </c>
      <c r="B390" t="s">
        <v>1410</v>
      </c>
      <c r="C390" s="1">
        <v>3</v>
      </c>
      <c r="D390" s="1">
        <v>101</v>
      </c>
      <c r="E390" s="1">
        <v>350</v>
      </c>
      <c r="F390" s="1">
        <v>0</v>
      </c>
      <c r="G390" s="1">
        <v>0</v>
      </c>
      <c r="H390" s="1">
        <f t="shared" si="10"/>
        <v>3308007</v>
      </c>
      <c r="I390" s="1">
        <v>0</v>
      </c>
      <c r="J390" s="1">
        <v>2004</v>
      </c>
      <c r="K390" s="1" t="s">
        <v>1418</v>
      </c>
      <c r="L390" s="1" t="str">
        <f t="shared" si="11"/>
        <v>高级暴击</v>
      </c>
      <c r="M390">
        <v>7</v>
      </c>
      <c r="N390" s="1">
        <v>3308</v>
      </c>
      <c r="O390" s="1">
        <v>16000000</v>
      </c>
      <c r="P390" s="1"/>
      <c r="Q390" s="1"/>
      <c r="R390" s="1" t="s">
        <v>227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</row>
    <row r="391" spans="1:26">
      <c r="A391" s="1">
        <v>3308008</v>
      </c>
      <c r="B391" t="s">
        <v>1410</v>
      </c>
      <c r="C391" s="1">
        <v>3</v>
      </c>
      <c r="D391" s="1">
        <v>101</v>
      </c>
      <c r="E391" s="1">
        <v>350</v>
      </c>
      <c r="F391" s="1">
        <v>0</v>
      </c>
      <c r="G391" s="1">
        <v>0</v>
      </c>
      <c r="H391" s="1">
        <f t="shared" si="10"/>
        <v>3308008</v>
      </c>
      <c r="I391" s="1">
        <v>0</v>
      </c>
      <c r="J391" s="1">
        <v>2004</v>
      </c>
      <c r="K391" s="1" t="s">
        <v>1419</v>
      </c>
      <c r="L391" s="1" t="str">
        <f t="shared" si="11"/>
        <v>高级暴击</v>
      </c>
      <c r="M391">
        <v>8</v>
      </c>
      <c r="N391" s="1">
        <v>3308</v>
      </c>
      <c r="O391" s="1">
        <v>32000000</v>
      </c>
      <c r="P391" s="1"/>
      <c r="Q391" s="1"/>
      <c r="R391" s="1" t="s">
        <v>227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</row>
    <row r="392" spans="1:26">
      <c r="A392" s="1">
        <v>3308009</v>
      </c>
      <c r="B392" t="s">
        <v>1410</v>
      </c>
      <c r="C392" s="1">
        <v>3</v>
      </c>
      <c r="D392" s="1">
        <v>101</v>
      </c>
      <c r="E392" s="1">
        <v>350</v>
      </c>
      <c r="F392" s="1">
        <v>0</v>
      </c>
      <c r="G392" s="1">
        <v>0</v>
      </c>
      <c r="H392" s="1">
        <f t="shared" si="10"/>
        <v>3308009</v>
      </c>
      <c r="I392" s="1">
        <v>0</v>
      </c>
      <c r="J392" s="1">
        <v>2004</v>
      </c>
      <c r="K392" s="1" t="s">
        <v>1420</v>
      </c>
      <c r="L392" s="1" t="str">
        <f t="shared" si="11"/>
        <v>高级暴击</v>
      </c>
      <c r="M392">
        <v>9</v>
      </c>
      <c r="N392" s="1">
        <v>3308</v>
      </c>
      <c r="O392" s="1">
        <v>64000000</v>
      </c>
      <c r="P392" s="1"/>
      <c r="Q392" s="1"/>
      <c r="R392" s="1" t="s">
        <v>227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</row>
    <row r="393" spans="1:26">
      <c r="A393" s="1">
        <v>3308010</v>
      </c>
      <c r="B393" t="s">
        <v>1410</v>
      </c>
      <c r="C393" s="1">
        <v>3</v>
      </c>
      <c r="D393" s="1">
        <v>101</v>
      </c>
      <c r="E393" s="1">
        <v>350</v>
      </c>
      <c r="F393" s="1">
        <v>0</v>
      </c>
      <c r="G393" s="1">
        <v>0</v>
      </c>
      <c r="H393" s="1">
        <f t="shared" si="10"/>
        <v>3308010</v>
      </c>
      <c r="I393" s="1">
        <v>0</v>
      </c>
      <c r="J393" s="1">
        <v>2004</v>
      </c>
      <c r="K393" s="1" t="s">
        <v>1421</v>
      </c>
      <c r="L393" s="1" t="str">
        <f t="shared" si="11"/>
        <v>高级暴击</v>
      </c>
      <c r="M393">
        <v>10</v>
      </c>
      <c r="N393" s="1">
        <v>3308</v>
      </c>
      <c r="O393" s="1">
        <v>128000000</v>
      </c>
      <c r="P393" s="1"/>
      <c r="Q393" s="1"/>
      <c r="R393" s="1" t="s">
        <v>227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</row>
    <row r="394" spans="1:26">
      <c r="A394" s="1">
        <f>N394*1000</f>
        <v>3309000</v>
      </c>
      <c r="B394" t="s">
        <v>1422</v>
      </c>
      <c r="C394" s="1">
        <v>3</v>
      </c>
      <c r="D394" s="1">
        <v>101</v>
      </c>
      <c r="E394" s="1">
        <v>350</v>
      </c>
      <c r="F394" s="1">
        <v>0</v>
      </c>
      <c r="G394" s="1">
        <v>0</v>
      </c>
      <c r="H394" s="1">
        <v>3309</v>
      </c>
      <c r="I394" s="1">
        <v>0</v>
      </c>
      <c r="J394" s="1">
        <v>2006</v>
      </c>
      <c r="K394" s="1" t="s">
        <v>1423</v>
      </c>
      <c r="L394" s="1" t="str">
        <f t="shared" si="11"/>
        <v>高级反击</v>
      </c>
      <c r="M394" s="1">
        <v>0</v>
      </c>
      <c r="N394" s="1">
        <v>3309</v>
      </c>
      <c r="O394" s="1">
        <v>104000</v>
      </c>
      <c r="P394" s="1"/>
      <c r="Q394" s="1"/>
      <c r="R394" s="1" t="s">
        <v>227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</row>
    <row r="395" spans="1:26">
      <c r="A395" s="1">
        <v>3309001</v>
      </c>
      <c r="B395" t="s">
        <v>1422</v>
      </c>
      <c r="C395" s="1">
        <v>3</v>
      </c>
      <c r="D395" s="1">
        <v>101</v>
      </c>
      <c r="E395" s="1">
        <v>350</v>
      </c>
      <c r="F395" s="1">
        <v>0</v>
      </c>
      <c r="G395" s="1">
        <v>0</v>
      </c>
      <c r="H395" s="1">
        <f t="shared" ref="H395:H404" si="12">A395</f>
        <v>3309001</v>
      </c>
      <c r="I395" s="1">
        <v>0</v>
      </c>
      <c r="J395" s="1">
        <v>2006</v>
      </c>
      <c r="K395" s="1" t="s">
        <v>1424</v>
      </c>
      <c r="L395" s="1" t="str">
        <f t="shared" si="11"/>
        <v>高级反击</v>
      </c>
      <c r="M395">
        <v>1</v>
      </c>
      <c r="N395" s="1">
        <v>3309</v>
      </c>
      <c r="O395" s="1">
        <v>250000</v>
      </c>
      <c r="P395" s="1"/>
      <c r="Q395" s="1"/>
      <c r="R395" s="1" t="s">
        <v>227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</row>
    <row r="396" spans="1:26">
      <c r="A396" s="1">
        <v>3309002</v>
      </c>
      <c r="B396" t="s">
        <v>1422</v>
      </c>
      <c r="C396" s="1">
        <v>3</v>
      </c>
      <c r="D396" s="1">
        <v>101</v>
      </c>
      <c r="E396" s="1">
        <v>350</v>
      </c>
      <c r="F396" s="1">
        <v>0</v>
      </c>
      <c r="G396" s="1">
        <v>0</v>
      </c>
      <c r="H396" s="1">
        <f t="shared" si="12"/>
        <v>3309002</v>
      </c>
      <c r="I396" s="1">
        <v>0</v>
      </c>
      <c r="J396" s="1">
        <v>2006</v>
      </c>
      <c r="K396" s="1" t="s">
        <v>1425</v>
      </c>
      <c r="L396" s="1" t="str">
        <f t="shared" si="11"/>
        <v>高级反击</v>
      </c>
      <c r="M396">
        <v>2</v>
      </c>
      <c r="N396" s="1">
        <v>3309</v>
      </c>
      <c r="O396" s="1">
        <v>500000</v>
      </c>
      <c r="P396" s="1"/>
      <c r="Q396" s="1"/>
      <c r="R396" s="1" t="s">
        <v>227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</row>
    <row r="397" spans="1:26">
      <c r="A397" s="1">
        <v>3309003</v>
      </c>
      <c r="B397" t="s">
        <v>1422</v>
      </c>
      <c r="C397" s="1">
        <v>3</v>
      </c>
      <c r="D397" s="1">
        <v>101</v>
      </c>
      <c r="E397" s="1">
        <v>350</v>
      </c>
      <c r="F397" s="1">
        <v>0</v>
      </c>
      <c r="G397" s="1">
        <v>0</v>
      </c>
      <c r="H397" s="1">
        <f t="shared" si="12"/>
        <v>3309003</v>
      </c>
      <c r="I397" s="1">
        <v>0</v>
      </c>
      <c r="J397" s="1">
        <v>2006</v>
      </c>
      <c r="K397" s="1" t="s">
        <v>1426</v>
      </c>
      <c r="L397" s="1" t="str">
        <f t="shared" si="11"/>
        <v>高级反击</v>
      </c>
      <c r="M397">
        <v>3</v>
      </c>
      <c r="N397" s="1">
        <v>3309</v>
      </c>
      <c r="O397" s="1">
        <v>1000000</v>
      </c>
      <c r="P397" s="1"/>
      <c r="Q397" s="1"/>
      <c r="R397" s="1" t="s">
        <v>227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</row>
    <row r="398" spans="1:26">
      <c r="A398" s="1">
        <v>3309004</v>
      </c>
      <c r="B398" t="s">
        <v>1422</v>
      </c>
      <c r="C398" s="1">
        <v>3</v>
      </c>
      <c r="D398" s="1">
        <v>101</v>
      </c>
      <c r="E398" s="1">
        <v>350</v>
      </c>
      <c r="F398" s="1">
        <v>0</v>
      </c>
      <c r="G398" s="1">
        <v>0</v>
      </c>
      <c r="H398" s="1">
        <f t="shared" si="12"/>
        <v>3309004</v>
      </c>
      <c r="I398" s="1">
        <v>0</v>
      </c>
      <c r="J398" s="1">
        <v>2006</v>
      </c>
      <c r="K398" s="1" t="s">
        <v>1427</v>
      </c>
      <c r="L398" s="1" t="str">
        <f t="shared" si="11"/>
        <v>高级反击</v>
      </c>
      <c r="M398">
        <v>4</v>
      </c>
      <c r="N398" s="1">
        <v>3309</v>
      </c>
      <c r="O398" s="1">
        <v>2000000</v>
      </c>
      <c r="P398" s="1"/>
      <c r="Q398" s="1"/>
      <c r="R398" s="1" t="s">
        <v>227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</row>
    <row r="399" spans="1:26">
      <c r="A399" s="1">
        <v>3309005</v>
      </c>
      <c r="B399" t="s">
        <v>1422</v>
      </c>
      <c r="C399" s="1">
        <v>3</v>
      </c>
      <c r="D399" s="1">
        <v>101</v>
      </c>
      <c r="E399" s="1">
        <v>350</v>
      </c>
      <c r="F399" s="1">
        <v>0</v>
      </c>
      <c r="G399" s="1">
        <v>0</v>
      </c>
      <c r="H399" s="1">
        <f t="shared" si="12"/>
        <v>3309005</v>
      </c>
      <c r="I399" s="1">
        <v>0</v>
      </c>
      <c r="J399" s="1">
        <v>2006</v>
      </c>
      <c r="K399" s="1" t="s">
        <v>1428</v>
      </c>
      <c r="L399" s="1" t="str">
        <f t="shared" si="11"/>
        <v>高级反击</v>
      </c>
      <c r="M399">
        <v>5</v>
      </c>
      <c r="N399" s="1">
        <v>3309</v>
      </c>
      <c r="O399" s="1">
        <v>4000000</v>
      </c>
      <c r="P399" s="1"/>
      <c r="Q399" s="1"/>
      <c r="R399" s="1" t="s">
        <v>227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</row>
    <row r="400" spans="1:26">
      <c r="A400" s="1">
        <v>3309006</v>
      </c>
      <c r="B400" t="s">
        <v>1422</v>
      </c>
      <c r="C400" s="1">
        <v>3</v>
      </c>
      <c r="D400" s="1">
        <v>101</v>
      </c>
      <c r="E400" s="1">
        <v>350</v>
      </c>
      <c r="F400" s="1">
        <v>0</v>
      </c>
      <c r="G400" s="1">
        <v>0</v>
      </c>
      <c r="H400" s="1">
        <f t="shared" si="12"/>
        <v>3309006</v>
      </c>
      <c r="I400" s="1">
        <v>0</v>
      </c>
      <c r="J400" s="1">
        <v>2006</v>
      </c>
      <c r="K400" s="1" t="s">
        <v>1429</v>
      </c>
      <c r="L400" s="1" t="str">
        <f t="shared" si="11"/>
        <v>高级反击</v>
      </c>
      <c r="M400">
        <v>6</v>
      </c>
      <c r="N400" s="1">
        <v>3309</v>
      </c>
      <c r="O400" s="1">
        <v>8000000</v>
      </c>
      <c r="P400" s="1"/>
      <c r="Q400" s="1"/>
      <c r="R400" s="1" t="s">
        <v>227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</row>
    <row r="401" spans="1:26">
      <c r="A401" s="1">
        <v>3309007</v>
      </c>
      <c r="B401" t="s">
        <v>1422</v>
      </c>
      <c r="C401" s="1">
        <v>3</v>
      </c>
      <c r="D401" s="1">
        <v>101</v>
      </c>
      <c r="E401" s="1">
        <v>350</v>
      </c>
      <c r="F401" s="1">
        <v>0</v>
      </c>
      <c r="G401" s="1">
        <v>0</v>
      </c>
      <c r="H401" s="1">
        <f t="shared" si="12"/>
        <v>3309007</v>
      </c>
      <c r="I401" s="1">
        <v>0</v>
      </c>
      <c r="J401" s="1">
        <v>2006</v>
      </c>
      <c r="K401" s="1" t="s">
        <v>1430</v>
      </c>
      <c r="L401" s="1" t="str">
        <f t="shared" si="11"/>
        <v>高级反击</v>
      </c>
      <c r="M401">
        <v>7</v>
      </c>
      <c r="N401" s="1">
        <v>3309</v>
      </c>
      <c r="O401" s="1">
        <v>16000000</v>
      </c>
      <c r="P401" s="1"/>
      <c r="Q401" s="1"/>
      <c r="R401" s="1" t="s">
        <v>227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</row>
    <row r="402" spans="1:26">
      <c r="A402" s="1">
        <v>3309008</v>
      </c>
      <c r="B402" t="s">
        <v>1422</v>
      </c>
      <c r="C402" s="1">
        <v>3</v>
      </c>
      <c r="D402" s="1">
        <v>101</v>
      </c>
      <c r="E402" s="1">
        <v>350</v>
      </c>
      <c r="F402" s="1">
        <v>0</v>
      </c>
      <c r="G402" s="1">
        <v>0</v>
      </c>
      <c r="H402" s="1">
        <f t="shared" si="12"/>
        <v>3309008</v>
      </c>
      <c r="I402" s="1">
        <v>0</v>
      </c>
      <c r="J402" s="1">
        <v>2006</v>
      </c>
      <c r="K402" s="1" t="s">
        <v>1431</v>
      </c>
      <c r="L402" s="1" t="str">
        <f t="shared" si="11"/>
        <v>高级反击</v>
      </c>
      <c r="M402">
        <v>8</v>
      </c>
      <c r="N402" s="1">
        <v>3309</v>
      </c>
      <c r="O402" s="1">
        <v>32000000</v>
      </c>
      <c r="P402" s="1"/>
      <c r="Q402" s="1"/>
      <c r="R402" s="1" t="s">
        <v>227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</row>
    <row r="403" spans="1:26">
      <c r="A403" s="1">
        <v>3309009</v>
      </c>
      <c r="B403" t="s">
        <v>1422</v>
      </c>
      <c r="C403" s="1">
        <v>3</v>
      </c>
      <c r="D403" s="1">
        <v>101</v>
      </c>
      <c r="E403" s="1">
        <v>350</v>
      </c>
      <c r="F403" s="1">
        <v>0</v>
      </c>
      <c r="G403" s="1">
        <v>0</v>
      </c>
      <c r="H403" s="1">
        <f t="shared" si="12"/>
        <v>3309009</v>
      </c>
      <c r="I403" s="1">
        <v>0</v>
      </c>
      <c r="J403" s="1">
        <v>2006</v>
      </c>
      <c r="K403" s="1" t="s">
        <v>1432</v>
      </c>
      <c r="L403" s="1" t="str">
        <f t="shared" si="11"/>
        <v>高级反击</v>
      </c>
      <c r="M403">
        <v>9</v>
      </c>
      <c r="N403" s="1">
        <v>3309</v>
      </c>
      <c r="O403" s="1">
        <v>64000000</v>
      </c>
      <c r="P403" s="1"/>
      <c r="Q403" s="1"/>
      <c r="R403" s="1" t="s">
        <v>227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</row>
    <row r="404" spans="1:26">
      <c r="A404" s="1">
        <v>3309010</v>
      </c>
      <c r="B404" t="s">
        <v>1422</v>
      </c>
      <c r="C404" s="1">
        <v>3</v>
      </c>
      <c r="D404" s="1">
        <v>101</v>
      </c>
      <c r="E404" s="1">
        <v>350</v>
      </c>
      <c r="F404" s="1">
        <v>0</v>
      </c>
      <c r="G404" s="1">
        <v>0</v>
      </c>
      <c r="H404" s="1">
        <f t="shared" si="12"/>
        <v>3309010</v>
      </c>
      <c r="I404" s="1">
        <v>0</v>
      </c>
      <c r="J404" s="1">
        <v>2006</v>
      </c>
      <c r="K404" s="1" t="s">
        <v>1433</v>
      </c>
      <c r="L404" s="1" t="str">
        <f t="shared" si="11"/>
        <v>高级反击</v>
      </c>
      <c r="M404">
        <v>10</v>
      </c>
      <c r="N404" s="1">
        <v>3309</v>
      </c>
      <c r="O404" s="1">
        <v>128000000</v>
      </c>
      <c r="P404" s="1"/>
      <c r="Q404" s="1"/>
      <c r="R404" s="1" t="s">
        <v>227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</row>
    <row r="405" spans="1:26">
      <c r="A405" s="1">
        <f>N405*1000</f>
        <v>3310000</v>
      </c>
      <c r="B405" t="s">
        <v>1434</v>
      </c>
      <c r="C405" s="1">
        <v>3</v>
      </c>
      <c r="D405" s="1">
        <v>101</v>
      </c>
      <c r="E405" s="1">
        <v>350</v>
      </c>
      <c r="F405" s="1">
        <v>0</v>
      </c>
      <c r="G405" s="1">
        <v>0</v>
      </c>
      <c r="H405" s="1">
        <v>3310</v>
      </c>
      <c r="I405" s="1">
        <v>0</v>
      </c>
      <c r="J405" s="1">
        <v>2007</v>
      </c>
      <c r="K405" s="1" t="s">
        <v>1435</v>
      </c>
      <c r="L405" s="1" t="str">
        <f t="shared" si="11"/>
        <v>高级恢复</v>
      </c>
      <c r="M405" s="1">
        <v>0</v>
      </c>
      <c r="N405" s="1">
        <v>3310</v>
      </c>
      <c r="O405" s="1">
        <v>104000</v>
      </c>
      <c r="P405" s="1"/>
      <c r="Q405" s="1"/>
      <c r="R405" s="1" t="s">
        <v>227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</row>
    <row r="406" spans="1:26">
      <c r="A406" s="1">
        <v>3310001</v>
      </c>
      <c r="B406" t="s">
        <v>1434</v>
      </c>
      <c r="C406" s="1">
        <v>3</v>
      </c>
      <c r="D406" s="1">
        <v>101</v>
      </c>
      <c r="E406" s="1">
        <v>350</v>
      </c>
      <c r="F406" s="1">
        <v>0</v>
      </c>
      <c r="G406" s="1">
        <v>0</v>
      </c>
      <c r="H406" s="1">
        <f t="shared" ref="H406:H415" si="13">A406</f>
        <v>3310001</v>
      </c>
      <c r="I406" s="1">
        <v>0</v>
      </c>
      <c r="J406" s="1">
        <v>2007</v>
      </c>
      <c r="K406" s="1" t="s">
        <v>1436</v>
      </c>
      <c r="L406" s="1" t="str">
        <f t="shared" si="11"/>
        <v>高级恢复</v>
      </c>
      <c r="M406">
        <v>1</v>
      </c>
      <c r="N406" s="1">
        <v>3310</v>
      </c>
      <c r="O406" s="1">
        <v>250000</v>
      </c>
      <c r="P406" s="1"/>
      <c r="Q406" s="1"/>
      <c r="R406" s="1" t="s">
        <v>227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</row>
    <row r="407" spans="1:26">
      <c r="A407" s="1">
        <v>3310002</v>
      </c>
      <c r="B407" t="s">
        <v>1434</v>
      </c>
      <c r="C407" s="1">
        <v>3</v>
      </c>
      <c r="D407" s="1">
        <v>101</v>
      </c>
      <c r="E407" s="1">
        <v>350</v>
      </c>
      <c r="F407" s="1">
        <v>0</v>
      </c>
      <c r="G407" s="1">
        <v>0</v>
      </c>
      <c r="H407" s="1">
        <f t="shared" si="13"/>
        <v>3310002</v>
      </c>
      <c r="I407" s="1">
        <v>0</v>
      </c>
      <c r="J407" s="1">
        <v>2007</v>
      </c>
      <c r="K407" s="1" t="s">
        <v>1437</v>
      </c>
      <c r="L407" s="1" t="str">
        <f t="shared" si="11"/>
        <v>高级恢复</v>
      </c>
      <c r="M407">
        <v>2</v>
      </c>
      <c r="N407" s="1">
        <v>3310</v>
      </c>
      <c r="O407" s="1">
        <v>500000</v>
      </c>
      <c r="P407" s="1"/>
      <c r="Q407" s="1"/>
      <c r="R407" s="1" t="s">
        <v>227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</row>
    <row r="408" spans="1:26">
      <c r="A408" s="1">
        <v>3310003</v>
      </c>
      <c r="B408" t="s">
        <v>1434</v>
      </c>
      <c r="C408" s="1">
        <v>3</v>
      </c>
      <c r="D408" s="1">
        <v>101</v>
      </c>
      <c r="E408" s="1">
        <v>350</v>
      </c>
      <c r="F408" s="1">
        <v>0</v>
      </c>
      <c r="G408" s="1">
        <v>0</v>
      </c>
      <c r="H408" s="1">
        <f t="shared" si="13"/>
        <v>3310003</v>
      </c>
      <c r="I408" s="1">
        <v>0</v>
      </c>
      <c r="J408" s="1">
        <v>2007</v>
      </c>
      <c r="K408" s="1" t="s">
        <v>1438</v>
      </c>
      <c r="L408" s="1" t="str">
        <f t="shared" si="11"/>
        <v>高级恢复</v>
      </c>
      <c r="M408">
        <v>3</v>
      </c>
      <c r="N408" s="1">
        <v>3310</v>
      </c>
      <c r="O408" s="1">
        <v>1000000</v>
      </c>
      <c r="P408" s="1"/>
      <c r="Q408" s="1"/>
      <c r="R408" s="1" t="s">
        <v>227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</row>
    <row r="409" spans="1:26">
      <c r="A409" s="1">
        <v>3310004</v>
      </c>
      <c r="B409" t="s">
        <v>1434</v>
      </c>
      <c r="C409" s="1">
        <v>3</v>
      </c>
      <c r="D409" s="1">
        <v>101</v>
      </c>
      <c r="E409" s="1">
        <v>350</v>
      </c>
      <c r="F409" s="1">
        <v>0</v>
      </c>
      <c r="G409" s="1">
        <v>0</v>
      </c>
      <c r="H409" s="1">
        <f t="shared" si="13"/>
        <v>3310004</v>
      </c>
      <c r="I409" s="1">
        <v>0</v>
      </c>
      <c r="J409" s="1">
        <v>2007</v>
      </c>
      <c r="K409" s="1" t="s">
        <v>1439</v>
      </c>
      <c r="L409" s="1" t="str">
        <f t="shared" si="11"/>
        <v>高级恢复</v>
      </c>
      <c r="M409">
        <v>4</v>
      </c>
      <c r="N409" s="1">
        <v>3310</v>
      </c>
      <c r="O409" s="1">
        <v>2000000</v>
      </c>
      <c r="P409" s="1"/>
      <c r="Q409" s="1"/>
      <c r="R409" s="1" t="s">
        <v>227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</row>
    <row r="410" spans="1:26">
      <c r="A410" s="1">
        <v>3310005</v>
      </c>
      <c r="B410" t="s">
        <v>1434</v>
      </c>
      <c r="C410" s="1">
        <v>3</v>
      </c>
      <c r="D410" s="1">
        <v>101</v>
      </c>
      <c r="E410" s="1">
        <v>350</v>
      </c>
      <c r="F410" s="1">
        <v>0</v>
      </c>
      <c r="G410" s="1">
        <v>0</v>
      </c>
      <c r="H410" s="1">
        <f t="shared" si="13"/>
        <v>3310005</v>
      </c>
      <c r="I410" s="1">
        <v>0</v>
      </c>
      <c r="J410" s="1">
        <v>2007</v>
      </c>
      <c r="K410" s="1" t="s">
        <v>1440</v>
      </c>
      <c r="L410" s="1" t="str">
        <f t="shared" si="11"/>
        <v>高级恢复</v>
      </c>
      <c r="M410">
        <v>5</v>
      </c>
      <c r="N410" s="1">
        <v>3310</v>
      </c>
      <c r="O410" s="1">
        <v>4000000</v>
      </c>
      <c r="P410" s="1"/>
      <c r="Q410" s="1"/>
      <c r="R410" s="1" t="s">
        <v>227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</row>
    <row r="411" spans="1:26">
      <c r="A411" s="1">
        <v>3310006</v>
      </c>
      <c r="B411" t="s">
        <v>1434</v>
      </c>
      <c r="C411" s="1">
        <v>3</v>
      </c>
      <c r="D411" s="1">
        <v>101</v>
      </c>
      <c r="E411" s="1">
        <v>350</v>
      </c>
      <c r="F411" s="1">
        <v>0</v>
      </c>
      <c r="G411" s="1">
        <v>0</v>
      </c>
      <c r="H411" s="1">
        <f t="shared" si="13"/>
        <v>3310006</v>
      </c>
      <c r="I411" s="1">
        <v>0</v>
      </c>
      <c r="J411" s="1">
        <v>2007</v>
      </c>
      <c r="K411" s="1" t="s">
        <v>1441</v>
      </c>
      <c r="L411" s="1" t="str">
        <f t="shared" si="11"/>
        <v>高级恢复</v>
      </c>
      <c r="M411">
        <v>6</v>
      </c>
      <c r="N411" s="1">
        <v>3310</v>
      </c>
      <c r="O411" s="1">
        <v>8000000</v>
      </c>
      <c r="P411" s="1"/>
      <c r="Q411" s="1"/>
      <c r="R411" s="1" t="s">
        <v>227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</row>
    <row r="412" spans="1:26">
      <c r="A412" s="1">
        <v>3310007</v>
      </c>
      <c r="B412" t="s">
        <v>1434</v>
      </c>
      <c r="C412" s="1">
        <v>3</v>
      </c>
      <c r="D412" s="1">
        <v>101</v>
      </c>
      <c r="E412" s="1">
        <v>350</v>
      </c>
      <c r="F412" s="1">
        <v>0</v>
      </c>
      <c r="G412" s="1">
        <v>0</v>
      </c>
      <c r="H412" s="1">
        <f t="shared" si="13"/>
        <v>3310007</v>
      </c>
      <c r="I412" s="1">
        <v>0</v>
      </c>
      <c r="J412" s="1">
        <v>2007</v>
      </c>
      <c r="K412" s="1" t="s">
        <v>1442</v>
      </c>
      <c r="L412" s="1" t="str">
        <f t="shared" si="11"/>
        <v>高级恢复</v>
      </c>
      <c r="M412">
        <v>7</v>
      </c>
      <c r="N412" s="1">
        <v>3310</v>
      </c>
      <c r="O412" s="1">
        <v>16000000</v>
      </c>
      <c r="P412" s="1"/>
      <c r="Q412" s="1"/>
      <c r="R412" s="1" t="s">
        <v>227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</row>
    <row r="413" spans="1:26">
      <c r="A413" s="1">
        <v>3310008</v>
      </c>
      <c r="B413" t="s">
        <v>1434</v>
      </c>
      <c r="C413" s="1">
        <v>3</v>
      </c>
      <c r="D413" s="1">
        <v>101</v>
      </c>
      <c r="E413" s="1">
        <v>350</v>
      </c>
      <c r="F413" s="1">
        <v>0</v>
      </c>
      <c r="G413" s="1">
        <v>0</v>
      </c>
      <c r="H413" s="1">
        <f t="shared" si="13"/>
        <v>3310008</v>
      </c>
      <c r="I413" s="1">
        <v>0</v>
      </c>
      <c r="J413" s="1">
        <v>2007</v>
      </c>
      <c r="K413" s="1" t="s">
        <v>1443</v>
      </c>
      <c r="L413" s="1" t="str">
        <f t="shared" si="11"/>
        <v>高级恢复</v>
      </c>
      <c r="M413">
        <v>8</v>
      </c>
      <c r="N413" s="1">
        <v>3310</v>
      </c>
      <c r="O413" s="1">
        <v>32000000</v>
      </c>
      <c r="P413" s="1"/>
      <c r="Q413" s="1"/>
      <c r="R413" s="1" t="s">
        <v>227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</row>
    <row r="414" spans="1:26">
      <c r="A414" s="1">
        <v>3310009</v>
      </c>
      <c r="B414" t="s">
        <v>1434</v>
      </c>
      <c r="C414" s="1">
        <v>3</v>
      </c>
      <c r="D414" s="1">
        <v>101</v>
      </c>
      <c r="E414" s="1">
        <v>350</v>
      </c>
      <c r="F414" s="1">
        <v>0</v>
      </c>
      <c r="G414" s="1">
        <v>0</v>
      </c>
      <c r="H414" s="1">
        <f t="shared" si="13"/>
        <v>3310009</v>
      </c>
      <c r="I414" s="1">
        <v>0</v>
      </c>
      <c r="J414" s="1">
        <v>2007</v>
      </c>
      <c r="K414" s="1" t="s">
        <v>1444</v>
      </c>
      <c r="L414" s="1" t="str">
        <f t="shared" si="11"/>
        <v>高级恢复</v>
      </c>
      <c r="M414">
        <v>9</v>
      </c>
      <c r="N414" s="1">
        <v>3310</v>
      </c>
      <c r="O414" s="1">
        <v>64000000</v>
      </c>
      <c r="P414" s="1"/>
      <c r="Q414" s="1"/>
      <c r="R414" s="1" t="s">
        <v>227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</row>
    <row r="415" spans="1:26">
      <c r="A415" s="1">
        <v>3310010</v>
      </c>
      <c r="B415" t="s">
        <v>1434</v>
      </c>
      <c r="C415" s="1">
        <v>3</v>
      </c>
      <c r="D415" s="1">
        <v>101</v>
      </c>
      <c r="E415" s="1">
        <v>350</v>
      </c>
      <c r="F415" s="1">
        <v>0</v>
      </c>
      <c r="G415" s="1">
        <v>0</v>
      </c>
      <c r="H415" s="1">
        <f t="shared" si="13"/>
        <v>3310010</v>
      </c>
      <c r="I415" s="1">
        <v>0</v>
      </c>
      <c r="J415" s="1">
        <v>2007</v>
      </c>
      <c r="K415" s="1" t="s">
        <v>1445</v>
      </c>
      <c r="L415" s="1" t="str">
        <f t="shared" si="11"/>
        <v>高级恢复</v>
      </c>
      <c r="M415">
        <v>10</v>
      </c>
      <c r="N415" s="1">
        <v>3310</v>
      </c>
      <c r="O415" s="1">
        <v>128000000</v>
      </c>
      <c r="P415" s="1"/>
      <c r="Q415" s="1"/>
      <c r="R415" s="1" t="s">
        <v>227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</row>
    <row r="416" spans="1:26">
      <c r="A416">
        <v>6006002</v>
      </c>
      <c r="B416" t="s">
        <v>236</v>
      </c>
      <c r="C416">
        <v>2</v>
      </c>
      <c r="D416">
        <v>2001</v>
      </c>
      <c r="E416">
        <v>350</v>
      </c>
      <c r="F416">
        <v>22000</v>
      </c>
      <c r="G416" s="1">
        <v>500</v>
      </c>
      <c r="H416">
        <v>0</v>
      </c>
      <c r="I416">
        <v>3000</v>
      </c>
      <c r="J416">
        <v>1006002</v>
      </c>
      <c r="K416" s="1" t="s">
        <v>238</v>
      </c>
      <c r="L416" s="1" t="s">
        <v>236</v>
      </c>
      <c r="M416">
        <v>1</v>
      </c>
      <c r="N416">
        <v>0</v>
      </c>
      <c r="O416">
        <v>0</v>
      </c>
      <c r="R416" t="s">
        <v>60</v>
      </c>
      <c r="S416">
        <v>0</v>
      </c>
      <c r="T416">
        <v>1006002</v>
      </c>
      <c r="U416">
        <v>600</v>
      </c>
      <c r="V416">
        <v>1016</v>
      </c>
      <c r="W416">
        <v>1150</v>
      </c>
      <c r="X416">
        <v>0</v>
      </c>
      <c r="Y416">
        <v>0</v>
      </c>
      <c r="Z416">
        <v>0</v>
      </c>
    </row>
    <row r="417" spans="1:26">
      <c r="A417">
        <v>6006102</v>
      </c>
      <c r="B417" t="s">
        <v>241</v>
      </c>
      <c r="C417">
        <v>2</v>
      </c>
      <c r="D417">
        <v>2001</v>
      </c>
      <c r="E417">
        <v>350</v>
      </c>
      <c r="F417">
        <v>42000</v>
      </c>
      <c r="G417" s="1">
        <v>500</v>
      </c>
      <c r="H417">
        <v>0</v>
      </c>
      <c r="I417">
        <v>3000</v>
      </c>
      <c r="J417">
        <v>1006002</v>
      </c>
      <c r="K417" s="1" t="s">
        <v>243</v>
      </c>
      <c r="L417" s="1" t="s">
        <v>241</v>
      </c>
      <c r="M417">
        <v>1</v>
      </c>
      <c r="N417">
        <v>0</v>
      </c>
      <c r="O417">
        <v>0</v>
      </c>
      <c r="R417" t="s">
        <v>60</v>
      </c>
      <c r="S417">
        <v>0</v>
      </c>
      <c r="T417">
        <v>1006102</v>
      </c>
      <c r="U417">
        <v>500</v>
      </c>
      <c r="V417">
        <v>1016</v>
      </c>
      <c r="W417">
        <v>1500</v>
      </c>
      <c r="X417">
        <v>0</v>
      </c>
      <c r="Y417">
        <v>0</v>
      </c>
      <c r="Z417">
        <v>0</v>
      </c>
    </row>
    <row r="418" spans="1:26">
      <c r="A418">
        <v>6006202</v>
      </c>
      <c r="B418" t="s">
        <v>203</v>
      </c>
      <c r="C418">
        <v>2</v>
      </c>
      <c r="D418">
        <v>2001</v>
      </c>
      <c r="E418">
        <v>350</v>
      </c>
      <c r="F418">
        <v>20000</v>
      </c>
      <c r="G418" s="1">
        <v>500</v>
      </c>
      <c r="H418">
        <v>0</v>
      </c>
      <c r="I418">
        <v>3000</v>
      </c>
      <c r="J418">
        <v>1006002</v>
      </c>
      <c r="K418" s="1" t="s">
        <v>247</v>
      </c>
      <c r="L418" s="1" t="s">
        <v>203</v>
      </c>
      <c r="M418">
        <v>1</v>
      </c>
      <c r="N418">
        <v>0</v>
      </c>
      <c r="O418">
        <v>0</v>
      </c>
      <c r="R418" t="s">
        <v>60</v>
      </c>
      <c r="S418">
        <v>0</v>
      </c>
      <c r="T418">
        <v>1006202</v>
      </c>
      <c r="U418">
        <v>600</v>
      </c>
      <c r="V418">
        <v>1016</v>
      </c>
      <c r="W418" t="s">
        <v>249</v>
      </c>
      <c r="X418">
        <v>0</v>
      </c>
      <c r="Y418">
        <v>0</v>
      </c>
      <c r="Z418">
        <v>0</v>
      </c>
    </row>
    <row r="419" spans="1:26">
      <c r="A419">
        <v>6007002</v>
      </c>
      <c r="B419" t="s">
        <v>82</v>
      </c>
      <c r="C419">
        <v>2</v>
      </c>
      <c r="D419">
        <v>2001</v>
      </c>
      <c r="E419">
        <v>350</v>
      </c>
      <c r="F419">
        <v>21000</v>
      </c>
      <c r="G419" s="1">
        <v>500</v>
      </c>
      <c r="H419">
        <v>0</v>
      </c>
      <c r="I419">
        <v>3400</v>
      </c>
      <c r="J419">
        <v>1007002</v>
      </c>
      <c r="K419" s="1" t="s">
        <v>252</v>
      </c>
      <c r="L419" s="1" t="s">
        <v>82</v>
      </c>
      <c r="M419">
        <v>1</v>
      </c>
      <c r="N419">
        <v>0</v>
      </c>
      <c r="O419">
        <v>0</v>
      </c>
      <c r="R419" t="s">
        <v>60</v>
      </c>
      <c r="S419">
        <v>0</v>
      </c>
      <c r="T419">
        <v>1007002</v>
      </c>
      <c r="U419">
        <v>900</v>
      </c>
      <c r="V419">
        <v>1011</v>
      </c>
      <c r="W419">
        <v>1400</v>
      </c>
      <c r="X419">
        <v>0</v>
      </c>
      <c r="Y419">
        <v>0</v>
      </c>
      <c r="Z419">
        <v>0</v>
      </c>
    </row>
    <row r="420" spans="1:26">
      <c r="A420">
        <v>6007102</v>
      </c>
      <c r="B420" t="s">
        <v>255</v>
      </c>
      <c r="C420">
        <v>2</v>
      </c>
      <c r="D420">
        <v>2001</v>
      </c>
      <c r="E420">
        <v>350</v>
      </c>
      <c r="F420">
        <v>21000</v>
      </c>
      <c r="G420" s="1">
        <v>500</v>
      </c>
      <c r="H420">
        <v>0</v>
      </c>
      <c r="I420">
        <v>3000</v>
      </c>
      <c r="J420">
        <v>1007002</v>
      </c>
      <c r="K420" s="1" t="s">
        <v>257</v>
      </c>
      <c r="L420" s="1" t="s">
        <v>255</v>
      </c>
      <c r="M420">
        <v>1</v>
      </c>
      <c r="N420">
        <v>0</v>
      </c>
      <c r="O420">
        <v>0</v>
      </c>
      <c r="R420" t="s">
        <v>60</v>
      </c>
      <c r="S420">
        <v>0</v>
      </c>
      <c r="T420">
        <v>1007102</v>
      </c>
      <c r="U420">
        <v>1000</v>
      </c>
      <c r="V420">
        <v>1011</v>
      </c>
      <c r="W420">
        <v>1500</v>
      </c>
      <c r="X420">
        <v>0</v>
      </c>
      <c r="Y420">
        <v>0</v>
      </c>
      <c r="Z420">
        <v>0</v>
      </c>
    </row>
    <row r="421" spans="1:26">
      <c r="A421">
        <v>6009002</v>
      </c>
      <c r="B421" t="s">
        <v>154</v>
      </c>
      <c r="C421">
        <v>2</v>
      </c>
      <c r="D421">
        <v>2001</v>
      </c>
      <c r="E421">
        <v>350</v>
      </c>
      <c r="F421">
        <v>3500</v>
      </c>
      <c r="G421" s="1">
        <v>500</v>
      </c>
      <c r="H421">
        <v>0</v>
      </c>
      <c r="I421">
        <v>3000</v>
      </c>
      <c r="J421">
        <v>1009002</v>
      </c>
      <c r="K421" s="1" t="s">
        <v>261</v>
      </c>
      <c r="L421" s="1" t="s">
        <v>154</v>
      </c>
      <c r="M421">
        <v>1</v>
      </c>
      <c r="N421">
        <v>0</v>
      </c>
      <c r="O421">
        <v>0</v>
      </c>
      <c r="R421" t="s">
        <v>60</v>
      </c>
      <c r="S421">
        <v>0</v>
      </c>
      <c r="T421">
        <v>1009002</v>
      </c>
      <c r="U421">
        <v>500</v>
      </c>
      <c r="V421">
        <v>1011</v>
      </c>
      <c r="W421" t="s">
        <v>263</v>
      </c>
      <c r="X421">
        <v>0</v>
      </c>
      <c r="Y421">
        <v>0</v>
      </c>
      <c r="Z421">
        <v>0</v>
      </c>
    </row>
    <row r="422" spans="1:26">
      <c r="A422">
        <v>6009102</v>
      </c>
      <c r="B422" t="s">
        <v>265</v>
      </c>
      <c r="C422">
        <v>2</v>
      </c>
      <c r="D422">
        <v>2001</v>
      </c>
      <c r="E422">
        <v>350</v>
      </c>
      <c r="F422">
        <v>6000</v>
      </c>
      <c r="G422" s="1">
        <v>500</v>
      </c>
      <c r="H422">
        <v>0</v>
      </c>
      <c r="I422">
        <v>3300</v>
      </c>
      <c r="J422">
        <v>1009002</v>
      </c>
      <c r="K422" s="1" t="s">
        <v>267</v>
      </c>
      <c r="L422" s="1" t="s">
        <v>265</v>
      </c>
      <c r="M422">
        <v>1</v>
      </c>
      <c r="N422">
        <v>0</v>
      </c>
      <c r="O422">
        <v>0</v>
      </c>
      <c r="R422" t="s">
        <v>60</v>
      </c>
      <c r="S422">
        <v>0</v>
      </c>
      <c r="T422">
        <v>1009002</v>
      </c>
      <c r="U422">
        <v>700</v>
      </c>
      <c r="V422">
        <v>1011</v>
      </c>
      <c r="W422" t="s">
        <v>269</v>
      </c>
      <c r="X422">
        <v>0</v>
      </c>
      <c r="Y422">
        <v>0</v>
      </c>
      <c r="Z422">
        <v>0</v>
      </c>
    </row>
    <row r="423" spans="1:26">
      <c r="A423">
        <v>6010002</v>
      </c>
      <c r="B423" t="s">
        <v>271</v>
      </c>
      <c r="C423">
        <v>2</v>
      </c>
      <c r="D423">
        <v>2001</v>
      </c>
      <c r="E423">
        <v>350</v>
      </c>
      <c r="F423">
        <v>21000</v>
      </c>
      <c r="G423" s="1">
        <v>500</v>
      </c>
      <c r="H423">
        <v>0</v>
      </c>
      <c r="I423">
        <v>3000</v>
      </c>
      <c r="J423">
        <v>1010002</v>
      </c>
      <c r="K423" s="1" t="s">
        <v>273</v>
      </c>
      <c r="L423" s="1" t="s">
        <v>271</v>
      </c>
      <c r="M423">
        <v>1</v>
      </c>
      <c r="N423">
        <v>0</v>
      </c>
      <c r="O423">
        <v>0</v>
      </c>
      <c r="R423" t="s">
        <v>60</v>
      </c>
      <c r="S423">
        <v>0</v>
      </c>
      <c r="T423">
        <v>1010002</v>
      </c>
      <c r="U423">
        <v>600</v>
      </c>
      <c r="V423">
        <v>1013</v>
      </c>
      <c r="W423">
        <v>1200</v>
      </c>
      <c r="X423">
        <v>0</v>
      </c>
      <c r="Y423">
        <v>0</v>
      </c>
      <c r="Z423">
        <v>0</v>
      </c>
    </row>
    <row r="424" spans="1:26">
      <c r="A424">
        <v>6010102</v>
      </c>
      <c r="B424" t="s">
        <v>56</v>
      </c>
      <c r="C424">
        <v>2</v>
      </c>
      <c r="D424">
        <v>2001</v>
      </c>
      <c r="E424">
        <v>350</v>
      </c>
      <c r="F424">
        <v>21000</v>
      </c>
      <c r="G424" s="1">
        <v>500</v>
      </c>
      <c r="H424">
        <v>0</v>
      </c>
      <c r="I424">
        <v>3000</v>
      </c>
      <c r="J424">
        <v>1010002</v>
      </c>
      <c r="K424" s="1" t="s">
        <v>277</v>
      </c>
      <c r="L424" s="1" t="s">
        <v>56</v>
      </c>
      <c r="M424">
        <v>1</v>
      </c>
      <c r="N424">
        <v>0</v>
      </c>
      <c r="O424">
        <v>0</v>
      </c>
      <c r="R424" t="s">
        <v>60</v>
      </c>
      <c r="S424">
        <v>0</v>
      </c>
      <c r="T424">
        <v>1010102</v>
      </c>
      <c r="U424">
        <v>500</v>
      </c>
      <c r="V424">
        <v>1013</v>
      </c>
      <c r="W424" t="s">
        <v>279</v>
      </c>
      <c r="X424">
        <v>0</v>
      </c>
      <c r="Y424">
        <v>0</v>
      </c>
      <c r="Z424">
        <v>0</v>
      </c>
    </row>
    <row r="425" spans="1:26">
      <c r="A425">
        <v>6010202</v>
      </c>
      <c r="B425" t="s">
        <v>208</v>
      </c>
      <c r="C425">
        <v>2</v>
      </c>
      <c r="D425">
        <v>2001</v>
      </c>
      <c r="E425">
        <v>350</v>
      </c>
      <c r="F425">
        <v>11000</v>
      </c>
      <c r="G425" s="1">
        <v>500</v>
      </c>
      <c r="H425">
        <v>0</v>
      </c>
      <c r="I425">
        <v>3000</v>
      </c>
      <c r="J425">
        <v>1010202</v>
      </c>
      <c r="K425" s="1" t="s">
        <v>282</v>
      </c>
      <c r="L425" s="1" t="s">
        <v>208</v>
      </c>
      <c r="M425">
        <v>1</v>
      </c>
      <c r="N425">
        <v>0</v>
      </c>
      <c r="O425">
        <v>0</v>
      </c>
      <c r="R425" t="s">
        <v>60</v>
      </c>
      <c r="S425">
        <v>0</v>
      </c>
      <c r="T425">
        <v>1010202</v>
      </c>
      <c r="U425">
        <v>1100</v>
      </c>
      <c r="V425">
        <v>1013</v>
      </c>
      <c r="W425" t="s">
        <v>284</v>
      </c>
      <c r="X425">
        <v>0</v>
      </c>
      <c r="Y425">
        <v>0</v>
      </c>
      <c r="Z425">
        <v>0</v>
      </c>
    </row>
    <row r="426" spans="1:26">
      <c r="A426">
        <v>6011002</v>
      </c>
      <c r="B426" t="s">
        <v>286</v>
      </c>
      <c r="C426">
        <v>2</v>
      </c>
      <c r="D426">
        <v>2001</v>
      </c>
      <c r="E426">
        <v>350</v>
      </c>
      <c r="F426">
        <v>5400</v>
      </c>
      <c r="G426" s="1">
        <v>500</v>
      </c>
      <c r="H426">
        <v>0</v>
      </c>
      <c r="I426">
        <v>3600</v>
      </c>
      <c r="J426">
        <v>1011002</v>
      </c>
      <c r="K426" s="1" t="s">
        <v>288</v>
      </c>
      <c r="L426" s="1" t="s">
        <v>286</v>
      </c>
      <c r="M426">
        <v>1</v>
      </c>
      <c r="N426">
        <v>0</v>
      </c>
      <c r="O426">
        <v>0</v>
      </c>
      <c r="R426" t="s">
        <v>60</v>
      </c>
      <c r="S426">
        <v>0</v>
      </c>
      <c r="T426">
        <v>1011002</v>
      </c>
      <c r="U426">
        <v>300</v>
      </c>
      <c r="V426">
        <v>1013</v>
      </c>
      <c r="W426" t="s">
        <v>969</v>
      </c>
      <c r="X426">
        <v>0</v>
      </c>
      <c r="Y426">
        <v>0</v>
      </c>
      <c r="Z426">
        <v>0</v>
      </c>
    </row>
    <row r="427" spans="1:26">
      <c r="A427">
        <v>6011102</v>
      </c>
      <c r="B427" t="s">
        <v>116</v>
      </c>
      <c r="C427">
        <v>2</v>
      </c>
      <c r="D427">
        <v>2001</v>
      </c>
      <c r="E427">
        <v>350</v>
      </c>
      <c r="F427">
        <v>10000</v>
      </c>
      <c r="G427" s="1">
        <v>500</v>
      </c>
      <c r="H427">
        <v>0</v>
      </c>
      <c r="I427">
        <v>3800</v>
      </c>
      <c r="J427">
        <v>1011002</v>
      </c>
      <c r="K427" s="1" t="s">
        <v>293</v>
      </c>
      <c r="L427" s="1" t="s">
        <v>116</v>
      </c>
      <c r="M427">
        <v>1</v>
      </c>
      <c r="N427">
        <v>0</v>
      </c>
      <c r="O427">
        <v>0</v>
      </c>
      <c r="R427" t="s">
        <v>60</v>
      </c>
      <c r="S427">
        <v>0</v>
      </c>
      <c r="T427">
        <v>1011002</v>
      </c>
      <c r="U427">
        <v>500</v>
      </c>
      <c r="V427">
        <v>1013</v>
      </c>
      <c r="W427" t="s">
        <v>970</v>
      </c>
      <c r="X427">
        <v>0</v>
      </c>
      <c r="Y427">
        <v>0</v>
      </c>
      <c r="Z427">
        <v>0</v>
      </c>
    </row>
    <row r="428" spans="1:26">
      <c r="A428">
        <v>6012002</v>
      </c>
      <c r="B428" t="s">
        <v>296</v>
      </c>
      <c r="C428">
        <v>2</v>
      </c>
      <c r="D428">
        <v>2001</v>
      </c>
      <c r="E428">
        <v>350</v>
      </c>
      <c r="F428">
        <v>4500</v>
      </c>
      <c r="G428" s="1">
        <v>500</v>
      </c>
      <c r="H428">
        <v>0</v>
      </c>
      <c r="I428">
        <v>3000</v>
      </c>
      <c r="J428">
        <v>1012002</v>
      </c>
      <c r="K428" s="1" t="s">
        <v>298</v>
      </c>
      <c r="L428" s="1" t="s">
        <v>296</v>
      </c>
      <c r="M428">
        <v>1</v>
      </c>
      <c r="N428">
        <v>0</v>
      </c>
      <c r="O428">
        <v>0</v>
      </c>
      <c r="R428" t="s">
        <v>60</v>
      </c>
      <c r="S428">
        <v>0</v>
      </c>
      <c r="T428">
        <v>1012002</v>
      </c>
      <c r="U428">
        <v>700</v>
      </c>
      <c r="V428">
        <v>1013</v>
      </c>
      <c r="W428" t="s">
        <v>971</v>
      </c>
      <c r="X428">
        <v>0</v>
      </c>
      <c r="Y428">
        <v>0</v>
      </c>
      <c r="Z428">
        <v>0</v>
      </c>
    </row>
    <row r="429" spans="1:26">
      <c r="A429">
        <v>6012102</v>
      </c>
      <c r="B429" t="s">
        <v>130</v>
      </c>
      <c r="C429">
        <v>2</v>
      </c>
      <c r="D429">
        <v>2001</v>
      </c>
      <c r="E429">
        <v>350</v>
      </c>
      <c r="F429">
        <v>8000</v>
      </c>
      <c r="G429" s="1">
        <v>500</v>
      </c>
      <c r="H429">
        <v>0</v>
      </c>
      <c r="I429">
        <v>3000</v>
      </c>
      <c r="J429">
        <v>1012002</v>
      </c>
      <c r="K429" s="1" t="s">
        <v>303</v>
      </c>
      <c r="L429" s="1" t="s">
        <v>130</v>
      </c>
      <c r="M429">
        <v>1</v>
      </c>
      <c r="N429">
        <v>0</v>
      </c>
      <c r="O429">
        <v>0</v>
      </c>
      <c r="R429" t="s">
        <v>60</v>
      </c>
      <c r="S429">
        <v>0</v>
      </c>
      <c r="T429">
        <v>1012002</v>
      </c>
      <c r="U429">
        <v>700</v>
      </c>
      <c r="V429">
        <v>1013</v>
      </c>
      <c r="W429" t="s">
        <v>971</v>
      </c>
      <c r="X429">
        <v>0</v>
      </c>
      <c r="Y429">
        <v>0</v>
      </c>
      <c r="Z429">
        <v>0</v>
      </c>
    </row>
    <row r="430" spans="1:26">
      <c r="A430">
        <v>6012202</v>
      </c>
      <c r="B430" t="s">
        <v>178</v>
      </c>
      <c r="C430">
        <v>2</v>
      </c>
      <c r="D430">
        <v>2001</v>
      </c>
      <c r="E430">
        <v>350</v>
      </c>
      <c r="F430">
        <v>16000</v>
      </c>
      <c r="G430" s="1">
        <v>500</v>
      </c>
      <c r="H430">
        <v>0</v>
      </c>
      <c r="I430">
        <v>3000</v>
      </c>
      <c r="J430">
        <v>1012202</v>
      </c>
      <c r="K430" s="1" t="s">
        <v>307</v>
      </c>
      <c r="L430" s="1" t="s">
        <v>178</v>
      </c>
      <c r="M430">
        <v>1</v>
      </c>
      <c r="N430">
        <v>0</v>
      </c>
      <c r="O430">
        <v>0</v>
      </c>
      <c r="R430" t="s">
        <v>60</v>
      </c>
      <c r="S430">
        <v>0</v>
      </c>
      <c r="T430">
        <v>1012202</v>
      </c>
      <c r="U430">
        <v>0</v>
      </c>
      <c r="V430">
        <v>1013</v>
      </c>
      <c r="W430" t="s">
        <v>182</v>
      </c>
      <c r="X430">
        <v>0</v>
      </c>
      <c r="Y430">
        <v>0</v>
      </c>
      <c r="Z430">
        <v>0</v>
      </c>
    </row>
    <row r="431" spans="1:26">
      <c r="A431">
        <v>6013002</v>
      </c>
      <c r="B431" t="s">
        <v>310</v>
      </c>
      <c r="C431">
        <v>2</v>
      </c>
      <c r="D431">
        <v>2001</v>
      </c>
      <c r="E431">
        <v>350</v>
      </c>
      <c r="F431">
        <v>3000</v>
      </c>
      <c r="G431" s="1">
        <v>500</v>
      </c>
      <c r="H431">
        <v>0</v>
      </c>
      <c r="I431">
        <v>3000</v>
      </c>
      <c r="J431">
        <v>1013002</v>
      </c>
      <c r="K431" s="1" t="s">
        <v>312</v>
      </c>
      <c r="L431" s="1" t="s">
        <v>310</v>
      </c>
      <c r="M431">
        <v>1</v>
      </c>
      <c r="N431">
        <v>0</v>
      </c>
      <c r="O431">
        <v>0</v>
      </c>
      <c r="R431" t="s">
        <v>60</v>
      </c>
      <c r="S431">
        <v>0</v>
      </c>
      <c r="T431">
        <v>1013002</v>
      </c>
      <c r="U431">
        <v>500</v>
      </c>
      <c r="V431">
        <v>1013</v>
      </c>
      <c r="W431" t="s">
        <v>314</v>
      </c>
      <c r="X431">
        <v>0</v>
      </c>
      <c r="Y431">
        <v>0</v>
      </c>
      <c r="Z431">
        <v>0</v>
      </c>
    </row>
    <row r="432" spans="1:26">
      <c r="A432">
        <v>6013102</v>
      </c>
      <c r="B432" t="s">
        <v>87</v>
      </c>
      <c r="C432">
        <v>2</v>
      </c>
      <c r="D432">
        <v>2001</v>
      </c>
      <c r="E432">
        <v>350</v>
      </c>
      <c r="F432">
        <v>3000</v>
      </c>
      <c r="G432" s="1">
        <v>500</v>
      </c>
      <c r="H432">
        <v>0</v>
      </c>
      <c r="I432">
        <v>3000</v>
      </c>
      <c r="J432">
        <v>1013002</v>
      </c>
      <c r="K432" s="1" t="s">
        <v>317</v>
      </c>
      <c r="L432" s="1" t="s">
        <v>87</v>
      </c>
      <c r="M432">
        <v>1</v>
      </c>
      <c r="N432">
        <v>0</v>
      </c>
      <c r="O432">
        <v>0</v>
      </c>
      <c r="R432" t="s">
        <v>60</v>
      </c>
      <c r="S432">
        <v>0</v>
      </c>
      <c r="T432">
        <v>1013002</v>
      </c>
      <c r="U432">
        <v>600</v>
      </c>
      <c r="V432">
        <v>1013</v>
      </c>
      <c r="W432" t="s">
        <v>319</v>
      </c>
      <c r="X432">
        <v>0</v>
      </c>
      <c r="Y432">
        <v>0</v>
      </c>
      <c r="Z432">
        <v>0</v>
      </c>
    </row>
    <row r="433" spans="1:26">
      <c r="A433">
        <v>6014002</v>
      </c>
      <c r="B433" t="s">
        <v>321</v>
      </c>
      <c r="C433">
        <v>2</v>
      </c>
      <c r="D433">
        <v>2001</v>
      </c>
      <c r="E433">
        <v>350</v>
      </c>
      <c r="F433">
        <v>21000</v>
      </c>
      <c r="G433" s="1">
        <v>500</v>
      </c>
      <c r="H433">
        <v>0</v>
      </c>
      <c r="I433">
        <v>3000</v>
      </c>
      <c r="J433">
        <v>1014002</v>
      </c>
      <c r="K433" s="1" t="s">
        <v>323</v>
      </c>
      <c r="L433" s="1" t="s">
        <v>321</v>
      </c>
      <c r="M433">
        <v>1</v>
      </c>
      <c r="N433">
        <v>0</v>
      </c>
      <c r="O433">
        <v>0</v>
      </c>
      <c r="R433" t="s">
        <v>60</v>
      </c>
      <c r="S433">
        <v>0</v>
      </c>
      <c r="T433">
        <v>1014002</v>
      </c>
      <c r="U433">
        <v>600</v>
      </c>
      <c r="V433">
        <v>1014</v>
      </c>
      <c r="W433">
        <v>1050</v>
      </c>
      <c r="X433">
        <v>0</v>
      </c>
      <c r="Y433">
        <v>0</v>
      </c>
      <c r="Z433">
        <v>0</v>
      </c>
    </row>
    <row r="434" spans="1:26">
      <c r="A434">
        <v>6014102</v>
      </c>
      <c r="B434" t="s">
        <v>326</v>
      </c>
      <c r="C434">
        <v>2</v>
      </c>
      <c r="D434">
        <v>2001</v>
      </c>
      <c r="E434">
        <v>350</v>
      </c>
      <c r="F434">
        <v>42000</v>
      </c>
      <c r="G434" s="1">
        <v>500</v>
      </c>
      <c r="H434">
        <v>0</v>
      </c>
      <c r="I434">
        <v>3000</v>
      </c>
      <c r="J434">
        <v>1014002</v>
      </c>
      <c r="K434" s="1" t="s">
        <v>328</v>
      </c>
      <c r="L434" s="1" t="s">
        <v>326</v>
      </c>
      <c r="M434">
        <v>1</v>
      </c>
      <c r="N434">
        <v>0</v>
      </c>
      <c r="O434">
        <v>0</v>
      </c>
      <c r="R434" t="s">
        <v>60</v>
      </c>
      <c r="S434">
        <v>0</v>
      </c>
      <c r="T434">
        <v>1014102</v>
      </c>
      <c r="U434">
        <v>700</v>
      </c>
      <c r="V434">
        <v>1014</v>
      </c>
      <c r="W434">
        <v>1700</v>
      </c>
      <c r="X434">
        <v>0</v>
      </c>
      <c r="Y434">
        <v>0</v>
      </c>
      <c r="Z434">
        <v>0</v>
      </c>
    </row>
    <row r="435" spans="1:26">
      <c r="A435">
        <v>6015002</v>
      </c>
      <c r="B435" t="s">
        <v>106</v>
      </c>
      <c r="C435">
        <v>2</v>
      </c>
      <c r="D435">
        <v>2001</v>
      </c>
      <c r="E435">
        <v>350</v>
      </c>
      <c r="F435">
        <v>21000</v>
      </c>
      <c r="G435" s="1">
        <v>500</v>
      </c>
      <c r="H435">
        <v>0</v>
      </c>
      <c r="I435">
        <v>3000</v>
      </c>
      <c r="J435">
        <v>1015002</v>
      </c>
      <c r="K435" s="1" t="s">
        <v>332</v>
      </c>
      <c r="L435" s="1" t="s">
        <v>106</v>
      </c>
      <c r="M435">
        <v>1</v>
      </c>
      <c r="N435">
        <v>0</v>
      </c>
      <c r="O435">
        <v>0</v>
      </c>
      <c r="R435" t="s">
        <v>60</v>
      </c>
      <c r="S435">
        <v>0</v>
      </c>
      <c r="T435">
        <v>1015002</v>
      </c>
      <c r="U435">
        <v>300</v>
      </c>
      <c r="V435">
        <v>1014</v>
      </c>
      <c r="W435">
        <v>1150</v>
      </c>
      <c r="X435">
        <v>0</v>
      </c>
      <c r="Y435">
        <v>0</v>
      </c>
      <c r="Z435">
        <v>0</v>
      </c>
    </row>
    <row r="436" spans="1:26">
      <c r="A436">
        <v>6015102</v>
      </c>
      <c r="B436" t="s">
        <v>335</v>
      </c>
      <c r="C436">
        <v>2</v>
      </c>
      <c r="D436">
        <v>2001</v>
      </c>
      <c r="E436">
        <v>350</v>
      </c>
      <c r="F436">
        <v>42000</v>
      </c>
      <c r="G436" s="1">
        <v>500</v>
      </c>
      <c r="H436">
        <v>0</v>
      </c>
      <c r="I436">
        <v>3000</v>
      </c>
      <c r="J436">
        <v>1015002</v>
      </c>
      <c r="K436" s="1" t="s">
        <v>337</v>
      </c>
      <c r="L436" s="1" t="s">
        <v>335</v>
      </c>
      <c r="M436">
        <v>1</v>
      </c>
      <c r="N436">
        <v>0</v>
      </c>
      <c r="O436">
        <v>0</v>
      </c>
      <c r="R436" t="s">
        <v>60</v>
      </c>
      <c r="S436">
        <v>0</v>
      </c>
      <c r="T436">
        <v>1015002</v>
      </c>
      <c r="U436">
        <v>1100</v>
      </c>
      <c r="V436">
        <v>1014</v>
      </c>
      <c r="W436">
        <v>1950</v>
      </c>
      <c r="X436">
        <v>0</v>
      </c>
      <c r="Y436">
        <v>0</v>
      </c>
      <c r="Z436">
        <v>0</v>
      </c>
    </row>
    <row r="437" spans="1:26">
      <c r="A437">
        <v>6016002</v>
      </c>
      <c r="B437" t="s">
        <v>340</v>
      </c>
      <c r="C437">
        <v>2</v>
      </c>
      <c r="D437">
        <v>2002</v>
      </c>
      <c r="E437">
        <v>350</v>
      </c>
      <c r="F437">
        <v>21000</v>
      </c>
      <c r="G437" s="1">
        <v>500</v>
      </c>
      <c r="H437">
        <v>0</v>
      </c>
      <c r="I437">
        <v>3000</v>
      </c>
      <c r="J437">
        <v>1016002</v>
      </c>
      <c r="K437" s="1" t="s">
        <v>342</v>
      </c>
      <c r="L437" s="1" t="s">
        <v>340</v>
      </c>
      <c r="M437">
        <v>1</v>
      </c>
      <c r="N437">
        <v>0</v>
      </c>
      <c r="O437">
        <v>0</v>
      </c>
      <c r="R437" t="s">
        <v>60</v>
      </c>
      <c r="S437">
        <v>0</v>
      </c>
      <c r="T437">
        <v>1016002</v>
      </c>
      <c r="U437">
        <v>700</v>
      </c>
      <c r="V437">
        <v>1014</v>
      </c>
      <c r="W437">
        <v>1350</v>
      </c>
      <c r="X437">
        <v>0</v>
      </c>
      <c r="Y437">
        <v>0</v>
      </c>
      <c r="Z437">
        <v>0</v>
      </c>
    </row>
    <row r="438" spans="1:26">
      <c r="A438">
        <v>6016102</v>
      </c>
      <c r="B438" t="s">
        <v>345</v>
      </c>
      <c r="C438">
        <v>2</v>
      </c>
      <c r="D438">
        <v>2001</v>
      </c>
      <c r="E438">
        <v>350</v>
      </c>
      <c r="F438">
        <v>42000</v>
      </c>
      <c r="G438" s="1">
        <v>500</v>
      </c>
      <c r="H438">
        <v>0</v>
      </c>
      <c r="I438">
        <v>3000</v>
      </c>
      <c r="J438">
        <v>1016102</v>
      </c>
      <c r="K438" s="1" t="s">
        <v>347</v>
      </c>
      <c r="L438" s="1" t="s">
        <v>345</v>
      </c>
      <c r="M438">
        <v>1</v>
      </c>
      <c r="N438">
        <v>0</v>
      </c>
      <c r="O438">
        <v>0</v>
      </c>
      <c r="R438" t="s">
        <v>60</v>
      </c>
      <c r="S438">
        <v>0</v>
      </c>
      <c r="T438">
        <v>1016102</v>
      </c>
      <c r="U438">
        <v>600</v>
      </c>
      <c r="V438">
        <v>1014</v>
      </c>
      <c r="W438">
        <v>1250</v>
      </c>
      <c r="X438">
        <v>0</v>
      </c>
      <c r="Y438">
        <v>0</v>
      </c>
      <c r="Z438">
        <v>0</v>
      </c>
    </row>
    <row r="439" spans="1:26">
      <c r="A439">
        <v>6017002</v>
      </c>
      <c r="B439" t="s">
        <v>350</v>
      </c>
      <c r="C439">
        <v>2</v>
      </c>
      <c r="D439">
        <v>2002</v>
      </c>
      <c r="E439">
        <v>350</v>
      </c>
      <c r="F439">
        <v>21000</v>
      </c>
      <c r="G439" s="1">
        <v>500</v>
      </c>
      <c r="H439">
        <v>0</v>
      </c>
      <c r="I439">
        <v>3200</v>
      </c>
      <c r="J439">
        <v>1017002</v>
      </c>
      <c r="K439" s="1" t="s">
        <v>352</v>
      </c>
      <c r="L439" s="1" t="s">
        <v>350</v>
      </c>
      <c r="M439">
        <v>1</v>
      </c>
      <c r="N439">
        <v>0</v>
      </c>
      <c r="O439">
        <v>0</v>
      </c>
      <c r="R439" t="s">
        <v>60</v>
      </c>
      <c r="S439">
        <v>0</v>
      </c>
      <c r="T439">
        <v>1017002</v>
      </c>
      <c r="U439">
        <v>2000</v>
      </c>
      <c r="V439">
        <v>1014</v>
      </c>
      <c r="W439">
        <v>2100</v>
      </c>
      <c r="X439">
        <v>0</v>
      </c>
      <c r="Y439">
        <v>0</v>
      </c>
      <c r="Z439">
        <v>0</v>
      </c>
    </row>
    <row r="440" spans="1:26">
      <c r="A440">
        <v>6017102</v>
      </c>
      <c r="B440" t="s">
        <v>355</v>
      </c>
      <c r="C440">
        <v>2</v>
      </c>
      <c r="D440">
        <v>2001</v>
      </c>
      <c r="E440">
        <v>350</v>
      </c>
      <c r="F440">
        <v>42000</v>
      </c>
      <c r="G440" s="1">
        <v>500</v>
      </c>
      <c r="H440">
        <v>0</v>
      </c>
      <c r="I440">
        <v>3200</v>
      </c>
      <c r="J440">
        <v>1017002</v>
      </c>
      <c r="K440" s="1" t="s">
        <v>357</v>
      </c>
      <c r="L440" s="1" t="s">
        <v>355</v>
      </c>
      <c r="M440">
        <v>1</v>
      </c>
      <c r="N440">
        <v>0</v>
      </c>
      <c r="O440">
        <v>0</v>
      </c>
      <c r="R440" t="s">
        <v>60</v>
      </c>
      <c r="S440">
        <v>0</v>
      </c>
      <c r="T440">
        <v>1017102</v>
      </c>
      <c r="U440">
        <v>2000</v>
      </c>
      <c r="V440">
        <v>1014</v>
      </c>
      <c r="W440">
        <v>2100</v>
      </c>
      <c r="X440">
        <v>0</v>
      </c>
      <c r="Y440">
        <v>0</v>
      </c>
      <c r="Z440">
        <v>0</v>
      </c>
    </row>
    <row r="441" spans="1:26">
      <c r="A441">
        <v>6018002</v>
      </c>
      <c r="B441" t="s">
        <v>360</v>
      </c>
      <c r="C441">
        <v>2</v>
      </c>
      <c r="D441">
        <v>2001</v>
      </c>
      <c r="E441">
        <v>350</v>
      </c>
      <c r="F441">
        <v>3800</v>
      </c>
      <c r="G441" s="1">
        <v>500</v>
      </c>
      <c r="H441">
        <v>0</v>
      </c>
      <c r="I441">
        <v>3000</v>
      </c>
      <c r="J441">
        <v>1018002</v>
      </c>
      <c r="K441" s="1" t="s">
        <v>362</v>
      </c>
      <c r="L441" s="1" t="s">
        <v>360</v>
      </c>
      <c r="M441">
        <v>1</v>
      </c>
      <c r="N441">
        <v>0</v>
      </c>
      <c r="O441">
        <v>0</v>
      </c>
      <c r="R441" t="s">
        <v>60</v>
      </c>
      <c r="S441">
        <v>0</v>
      </c>
      <c r="T441">
        <v>1018002</v>
      </c>
      <c r="U441">
        <v>700</v>
      </c>
      <c r="V441">
        <v>1014</v>
      </c>
      <c r="W441" t="s">
        <v>364</v>
      </c>
      <c r="X441">
        <v>0</v>
      </c>
      <c r="Y441">
        <v>0</v>
      </c>
      <c r="Z441">
        <v>0</v>
      </c>
    </row>
    <row r="442" spans="1:26">
      <c r="A442">
        <v>6018102</v>
      </c>
      <c r="B442" t="s">
        <v>366</v>
      </c>
      <c r="C442">
        <v>2</v>
      </c>
      <c r="D442">
        <v>2001</v>
      </c>
      <c r="E442">
        <v>350</v>
      </c>
      <c r="F442">
        <v>8000</v>
      </c>
      <c r="G442" s="1">
        <v>500</v>
      </c>
      <c r="H442">
        <v>0</v>
      </c>
      <c r="I442">
        <v>3000</v>
      </c>
      <c r="J442">
        <v>1018102</v>
      </c>
      <c r="K442" s="1" t="s">
        <v>368</v>
      </c>
      <c r="L442" s="1" t="s">
        <v>366</v>
      </c>
      <c r="M442">
        <v>1</v>
      </c>
      <c r="N442">
        <v>0</v>
      </c>
      <c r="O442">
        <v>0</v>
      </c>
      <c r="R442" t="s">
        <v>60</v>
      </c>
      <c r="S442">
        <v>0</v>
      </c>
      <c r="T442">
        <v>1018102</v>
      </c>
      <c r="U442">
        <v>900</v>
      </c>
      <c r="V442">
        <v>1014</v>
      </c>
      <c r="W442" t="s">
        <v>370</v>
      </c>
      <c r="X442">
        <v>0</v>
      </c>
      <c r="Y442">
        <v>0</v>
      </c>
      <c r="Z442">
        <v>0</v>
      </c>
    </row>
    <row r="443" spans="1:26">
      <c r="A443">
        <v>6019002</v>
      </c>
      <c r="B443" t="s">
        <v>372</v>
      </c>
      <c r="C443">
        <v>2</v>
      </c>
      <c r="D443">
        <v>2001</v>
      </c>
      <c r="E443">
        <v>350</v>
      </c>
      <c r="F443">
        <v>5100</v>
      </c>
      <c r="G443" s="1">
        <v>500</v>
      </c>
      <c r="H443">
        <v>0</v>
      </c>
      <c r="I443">
        <v>3000</v>
      </c>
      <c r="J443">
        <v>1019002</v>
      </c>
      <c r="K443" s="1" t="s">
        <v>374</v>
      </c>
      <c r="L443" s="1" t="s">
        <v>372</v>
      </c>
      <c r="M443">
        <v>1</v>
      </c>
      <c r="N443">
        <v>0</v>
      </c>
      <c r="O443">
        <v>0</v>
      </c>
      <c r="R443" t="s">
        <v>60</v>
      </c>
      <c r="S443">
        <v>0</v>
      </c>
      <c r="T443">
        <v>1019002</v>
      </c>
      <c r="U443">
        <v>0</v>
      </c>
      <c r="V443">
        <v>1014</v>
      </c>
      <c r="W443" t="s">
        <v>376</v>
      </c>
      <c r="X443">
        <v>0</v>
      </c>
      <c r="Y443">
        <v>0</v>
      </c>
      <c r="Z443">
        <v>0</v>
      </c>
    </row>
    <row r="444" spans="1:26">
      <c r="A444">
        <v>6019102</v>
      </c>
      <c r="B444" t="s">
        <v>111</v>
      </c>
      <c r="C444">
        <v>2</v>
      </c>
      <c r="D444">
        <v>2001</v>
      </c>
      <c r="E444">
        <v>350</v>
      </c>
      <c r="F444">
        <v>5100</v>
      </c>
      <c r="G444" s="1">
        <v>500</v>
      </c>
      <c r="H444">
        <v>0</v>
      </c>
      <c r="I444">
        <v>3000</v>
      </c>
      <c r="J444">
        <v>1019102</v>
      </c>
      <c r="K444" s="1" t="s">
        <v>379</v>
      </c>
      <c r="L444" s="1" t="s">
        <v>111</v>
      </c>
      <c r="M444">
        <v>1</v>
      </c>
      <c r="N444">
        <v>0</v>
      </c>
      <c r="O444">
        <v>0</v>
      </c>
      <c r="R444" t="s">
        <v>60</v>
      </c>
      <c r="S444">
        <v>0</v>
      </c>
      <c r="T444">
        <v>1019102</v>
      </c>
      <c r="U444">
        <v>500</v>
      </c>
      <c r="V444">
        <v>1014</v>
      </c>
      <c r="W444" t="s">
        <v>381</v>
      </c>
      <c r="X444">
        <v>0</v>
      </c>
      <c r="Y444">
        <v>0</v>
      </c>
      <c r="Z444">
        <v>0</v>
      </c>
    </row>
    <row r="445" spans="1:26">
      <c r="A445">
        <v>6019202</v>
      </c>
      <c r="B445" t="s">
        <v>383</v>
      </c>
      <c r="C445">
        <v>2</v>
      </c>
      <c r="D445">
        <v>2002</v>
      </c>
      <c r="E445">
        <v>350</v>
      </c>
      <c r="F445">
        <v>88000</v>
      </c>
      <c r="G445" s="1">
        <v>500</v>
      </c>
      <c r="H445">
        <v>0</v>
      </c>
      <c r="I445">
        <v>3000</v>
      </c>
      <c r="J445">
        <v>1019202</v>
      </c>
      <c r="K445" s="1" t="s">
        <v>385</v>
      </c>
      <c r="L445" s="1" t="s">
        <v>383</v>
      </c>
      <c r="M445">
        <v>1</v>
      </c>
      <c r="N445">
        <v>0</v>
      </c>
      <c r="O445">
        <v>0</v>
      </c>
      <c r="R445" t="s">
        <v>60</v>
      </c>
      <c r="S445">
        <v>0</v>
      </c>
      <c r="T445">
        <v>1019202</v>
      </c>
      <c r="U445">
        <v>1700</v>
      </c>
      <c r="V445">
        <v>1014</v>
      </c>
      <c r="W445">
        <v>1850</v>
      </c>
      <c r="X445">
        <v>0</v>
      </c>
      <c r="Y445">
        <v>0</v>
      </c>
      <c r="Z445">
        <v>0</v>
      </c>
    </row>
    <row r="446" spans="1:26">
      <c r="A446">
        <v>6021002</v>
      </c>
      <c r="B446" t="s">
        <v>388</v>
      </c>
      <c r="C446">
        <v>2</v>
      </c>
      <c r="D446">
        <v>2001</v>
      </c>
      <c r="E446">
        <v>350</v>
      </c>
      <c r="F446">
        <v>22000</v>
      </c>
      <c r="G446" s="1">
        <v>500</v>
      </c>
      <c r="H446">
        <v>0</v>
      </c>
      <c r="I446">
        <v>3000</v>
      </c>
      <c r="J446">
        <v>1021002</v>
      </c>
      <c r="K446" s="1" t="s">
        <v>390</v>
      </c>
      <c r="L446" s="1" t="s">
        <v>388</v>
      </c>
      <c r="M446">
        <v>1</v>
      </c>
      <c r="N446">
        <v>0</v>
      </c>
      <c r="O446">
        <v>0</v>
      </c>
      <c r="R446" t="s">
        <v>60</v>
      </c>
      <c r="S446">
        <v>0</v>
      </c>
      <c r="T446">
        <v>1021002</v>
      </c>
      <c r="U446">
        <v>1100</v>
      </c>
      <c r="V446">
        <v>1014</v>
      </c>
      <c r="W446" t="s">
        <v>392</v>
      </c>
      <c r="X446">
        <v>0</v>
      </c>
      <c r="Y446">
        <v>0</v>
      </c>
      <c r="Z446">
        <v>0</v>
      </c>
    </row>
    <row r="447" spans="1:26">
      <c r="A447">
        <v>6021102</v>
      </c>
      <c r="B447" t="s">
        <v>165</v>
      </c>
      <c r="C447">
        <v>2</v>
      </c>
      <c r="D447">
        <v>2001</v>
      </c>
      <c r="E447">
        <v>350</v>
      </c>
      <c r="F447">
        <v>7000</v>
      </c>
      <c r="G447" s="1">
        <v>500</v>
      </c>
      <c r="H447">
        <v>0</v>
      </c>
      <c r="I447">
        <v>3000</v>
      </c>
      <c r="J447">
        <v>1021002</v>
      </c>
      <c r="K447" s="1" t="s">
        <v>395</v>
      </c>
      <c r="L447" s="1" t="s">
        <v>165</v>
      </c>
      <c r="M447">
        <v>1</v>
      </c>
      <c r="N447">
        <v>0</v>
      </c>
      <c r="O447">
        <v>0</v>
      </c>
      <c r="R447" t="s">
        <v>60</v>
      </c>
      <c r="S447">
        <v>0</v>
      </c>
      <c r="T447">
        <v>1021102</v>
      </c>
      <c r="U447">
        <v>400</v>
      </c>
      <c r="V447">
        <v>1014</v>
      </c>
      <c r="W447" t="s">
        <v>397</v>
      </c>
      <c r="X447">
        <v>0</v>
      </c>
      <c r="Y447">
        <v>0</v>
      </c>
      <c r="Z447">
        <v>0</v>
      </c>
    </row>
    <row r="448" spans="1:26">
      <c r="A448">
        <v>6022002</v>
      </c>
      <c r="B448" t="s">
        <v>399</v>
      </c>
      <c r="C448">
        <v>2</v>
      </c>
      <c r="D448">
        <v>2001</v>
      </c>
      <c r="E448">
        <v>350</v>
      </c>
      <c r="F448">
        <v>22000</v>
      </c>
      <c r="G448" s="1">
        <v>500</v>
      </c>
      <c r="H448">
        <v>0</v>
      </c>
      <c r="I448">
        <v>3000</v>
      </c>
      <c r="J448">
        <v>1022002</v>
      </c>
      <c r="K448" s="1" t="s">
        <v>401</v>
      </c>
      <c r="L448" s="1" t="s">
        <v>399</v>
      </c>
      <c r="M448">
        <v>1</v>
      </c>
      <c r="N448">
        <v>0</v>
      </c>
      <c r="O448">
        <v>0</v>
      </c>
      <c r="R448" t="s">
        <v>60</v>
      </c>
      <c r="S448">
        <v>0</v>
      </c>
      <c r="T448">
        <v>1022002</v>
      </c>
      <c r="U448">
        <v>600</v>
      </c>
      <c r="V448">
        <v>1014</v>
      </c>
      <c r="W448">
        <v>700</v>
      </c>
      <c r="X448">
        <v>0</v>
      </c>
      <c r="Y448">
        <v>0</v>
      </c>
      <c r="Z448">
        <v>0</v>
      </c>
    </row>
    <row r="449" spans="1:26">
      <c r="A449">
        <v>6022102</v>
      </c>
      <c r="B449" t="s">
        <v>404</v>
      </c>
      <c r="C449">
        <v>2</v>
      </c>
      <c r="D449">
        <v>2001</v>
      </c>
      <c r="E449">
        <v>350</v>
      </c>
      <c r="F449">
        <v>7000</v>
      </c>
      <c r="G449" s="1">
        <v>500</v>
      </c>
      <c r="H449">
        <v>0</v>
      </c>
      <c r="I449">
        <v>3000</v>
      </c>
      <c r="J449">
        <v>1022002</v>
      </c>
      <c r="K449" s="1" t="s">
        <v>406</v>
      </c>
      <c r="L449" s="1" t="s">
        <v>404</v>
      </c>
      <c r="M449">
        <v>1</v>
      </c>
      <c r="N449">
        <v>0</v>
      </c>
      <c r="O449">
        <v>0</v>
      </c>
      <c r="R449" t="s">
        <v>60</v>
      </c>
      <c r="S449">
        <v>0</v>
      </c>
      <c r="T449">
        <v>1022002</v>
      </c>
      <c r="U449">
        <v>700</v>
      </c>
      <c r="V449">
        <v>1014</v>
      </c>
      <c r="W449" t="s">
        <v>408</v>
      </c>
      <c r="X449">
        <v>0</v>
      </c>
      <c r="Y449">
        <v>0</v>
      </c>
      <c r="Z449">
        <v>0</v>
      </c>
    </row>
    <row r="450" spans="1:26">
      <c r="A450">
        <v>6023002</v>
      </c>
      <c r="B450" t="s">
        <v>410</v>
      </c>
      <c r="C450">
        <v>2</v>
      </c>
      <c r="D450">
        <v>2001</v>
      </c>
      <c r="E450">
        <v>350</v>
      </c>
      <c r="F450">
        <v>3000</v>
      </c>
      <c r="G450" s="1">
        <v>500</v>
      </c>
      <c r="H450">
        <v>0</v>
      </c>
      <c r="I450">
        <v>3000</v>
      </c>
      <c r="J450">
        <v>1023002</v>
      </c>
      <c r="K450" s="1" t="s">
        <v>412</v>
      </c>
      <c r="L450" s="1" t="s">
        <v>410</v>
      </c>
      <c r="M450">
        <v>1</v>
      </c>
      <c r="N450">
        <v>0</v>
      </c>
      <c r="O450">
        <v>0</v>
      </c>
      <c r="R450" t="s">
        <v>60</v>
      </c>
      <c r="S450">
        <v>0</v>
      </c>
      <c r="T450">
        <v>1023002</v>
      </c>
      <c r="U450">
        <v>800</v>
      </c>
      <c r="V450">
        <v>1012</v>
      </c>
      <c r="W450" t="s">
        <v>414</v>
      </c>
      <c r="X450">
        <v>0</v>
      </c>
      <c r="Y450">
        <v>0</v>
      </c>
      <c r="Z450">
        <v>0</v>
      </c>
    </row>
    <row r="451" spans="1:26">
      <c r="A451">
        <v>6023102</v>
      </c>
      <c r="B451" t="s">
        <v>169</v>
      </c>
      <c r="C451">
        <v>2</v>
      </c>
      <c r="D451">
        <v>2001</v>
      </c>
      <c r="E451">
        <v>350</v>
      </c>
      <c r="F451">
        <v>6000</v>
      </c>
      <c r="G451" s="1">
        <v>500</v>
      </c>
      <c r="H451">
        <v>0</v>
      </c>
      <c r="I451">
        <v>3000</v>
      </c>
      <c r="J451">
        <v>1023002</v>
      </c>
      <c r="K451" s="1" t="s">
        <v>417</v>
      </c>
      <c r="L451" s="1" t="s">
        <v>169</v>
      </c>
      <c r="M451">
        <v>1</v>
      </c>
      <c r="N451">
        <v>0</v>
      </c>
      <c r="O451">
        <v>0</v>
      </c>
      <c r="R451" t="s">
        <v>60</v>
      </c>
      <c r="S451">
        <v>0</v>
      </c>
      <c r="T451">
        <v>1023102</v>
      </c>
      <c r="U451">
        <v>0</v>
      </c>
      <c r="V451">
        <v>1012</v>
      </c>
      <c r="W451" t="s">
        <v>419</v>
      </c>
      <c r="X451">
        <v>0</v>
      </c>
      <c r="Y451">
        <v>0</v>
      </c>
      <c r="Z451">
        <v>0</v>
      </c>
    </row>
    <row r="452" spans="1:26">
      <c r="A452">
        <v>6025002</v>
      </c>
      <c r="B452" t="s">
        <v>421</v>
      </c>
      <c r="C452">
        <v>2</v>
      </c>
      <c r="D452">
        <v>2001</v>
      </c>
      <c r="E452">
        <v>350</v>
      </c>
      <c r="F452">
        <v>11000</v>
      </c>
      <c r="G452" s="1">
        <v>500</v>
      </c>
      <c r="H452">
        <v>0</v>
      </c>
      <c r="I452">
        <v>3000</v>
      </c>
      <c r="J452">
        <v>1025002</v>
      </c>
      <c r="K452" s="1" t="s">
        <v>423</v>
      </c>
      <c r="L452" s="1" t="s">
        <v>421</v>
      </c>
      <c r="M452">
        <v>1</v>
      </c>
      <c r="N452">
        <v>0</v>
      </c>
      <c r="O452">
        <v>0</v>
      </c>
      <c r="R452" t="s">
        <v>60</v>
      </c>
      <c r="S452">
        <v>0</v>
      </c>
      <c r="T452">
        <v>1025002</v>
      </c>
      <c r="U452">
        <v>400</v>
      </c>
      <c r="V452">
        <v>1012</v>
      </c>
      <c r="W452">
        <v>1000</v>
      </c>
      <c r="X452">
        <v>0</v>
      </c>
      <c r="Y452">
        <v>0</v>
      </c>
      <c r="Z452">
        <v>0</v>
      </c>
    </row>
    <row r="453" spans="1:26">
      <c r="A453">
        <v>6025102</v>
      </c>
      <c r="B453" t="s">
        <v>149</v>
      </c>
      <c r="C453">
        <v>2</v>
      </c>
      <c r="D453">
        <v>2001</v>
      </c>
      <c r="E453">
        <v>350</v>
      </c>
      <c r="F453">
        <v>5500</v>
      </c>
      <c r="G453" s="1">
        <v>500</v>
      </c>
      <c r="H453">
        <v>0</v>
      </c>
      <c r="I453">
        <v>3000</v>
      </c>
      <c r="J453">
        <v>1025002</v>
      </c>
      <c r="K453" s="1" t="s">
        <v>427</v>
      </c>
      <c r="L453" s="1" t="s">
        <v>149</v>
      </c>
      <c r="M453">
        <v>1</v>
      </c>
      <c r="N453">
        <v>0</v>
      </c>
      <c r="O453">
        <v>0</v>
      </c>
      <c r="R453" t="s">
        <v>60</v>
      </c>
      <c r="S453">
        <v>0</v>
      </c>
      <c r="T453">
        <v>1025102</v>
      </c>
      <c r="U453">
        <v>0</v>
      </c>
      <c r="V453">
        <v>1012</v>
      </c>
      <c r="W453" t="s">
        <v>429</v>
      </c>
      <c r="X453">
        <v>0</v>
      </c>
      <c r="Y453">
        <v>0</v>
      </c>
      <c r="Z453">
        <v>0</v>
      </c>
    </row>
    <row r="454" spans="1:26">
      <c r="A454">
        <v>6026002</v>
      </c>
      <c r="B454" t="s">
        <v>431</v>
      </c>
      <c r="C454">
        <v>2</v>
      </c>
      <c r="D454">
        <v>2001</v>
      </c>
      <c r="E454">
        <v>350</v>
      </c>
      <c r="F454">
        <v>21000</v>
      </c>
      <c r="G454" s="1">
        <v>500</v>
      </c>
      <c r="H454">
        <v>0</v>
      </c>
      <c r="I454">
        <v>3000</v>
      </c>
      <c r="J454">
        <v>1026002</v>
      </c>
      <c r="K454" s="1" t="s">
        <v>433</v>
      </c>
      <c r="L454" s="1" t="s">
        <v>431</v>
      </c>
      <c r="M454">
        <v>1</v>
      </c>
      <c r="N454">
        <v>0</v>
      </c>
      <c r="O454">
        <v>0</v>
      </c>
      <c r="R454" t="s">
        <v>60</v>
      </c>
      <c r="S454">
        <v>0</v>
      </c>
      <c r="T454">
        <v>1026002</v>
      </c>
      <c r="U454">
        <v>500</v>
      </c>
      <c r="V454">
        <v>1012</v>
      </c>
      <c r="W454">
        <v>1450</v>
      </c>
      <c r="X454">
        <v>0</v>
      </c>
      <c r="Y454">
        <v>0</v>
      </c>
      <c r="Z454">
        <v>0</v>
      </c>
    </row>
    <row r="455" spans="1:26">
      <c r="A455">
        <v>6027002</v>
      </c>
      <c r="B455" t="s">
        <v>436</v>
      </c>
      <c r="C455">
        <v>2</v>
      </c>
      <c r="D455">
        <v>2001</v>
      </c>
      <c r="E455">
        <v>350</v>
      </c>
      <c r="F455">
        <v>21000</v>
      </c>
      <c r="G455" s="1">
        <v>500</v>
      </c>
      <c r="H455">
        <v>0</v>
      </c>
      <c r="I455">
        <v>3000</v>
      </c>
      <c r="J455">
        <v>1027002</v>
      </c>
      <c r="K455" s="1" t="s">
        <v>438</v>
      </c>
      <c r="L455" s="1" t="s">
        <v>436</v>
      </c>
      <c r="M455">
        <v>1</v>
      </c>
      <c r="N455">
        <v>0</v>
      </c>
      <c r="O455">
        <v>0</v>
      </c>
      <c r="R455" t="s">
        <v>60</v>
      </c>
      <c r="S455">
        <v>0</v>
      </c>
      <c r="T455">
        <v>1027002</v>
      </c>
      <c r="U455">
        <v>500</v>
      </c>
      <c r="V455">
        <v>1012</v>
      </c>
      <c r="W455">
        <v>1300</v>
      </c>
      <c r="X455">
        <v>0</v>
      </c>
      <c r="Y455">
        <v>0</v>
      </c>
      <c r="Z455">
        <v>0</v>
      </c>
    </row>
    <row r="456" spans="1:26">
      <c r="A456">
        <v>6027102</v>
      </c>
      <c r="B456" t="s">
        <v>441</v>
      </c>
      <c r="C456">
        <v>2</v>
      </c>
      <c r="D456">
        <v>2001</v>
      </c>
      <c r="E456">
        <v>350</v>
      </c>
      <c r="F456">
        <v>42000</v>
      </c>
      <c r="G456" s="1">
        <v>500</v>
      </c>
      <c r="H456">
        <v>0</v>
      </c>
      <c r="I456">
        <v>4300</v>
      </c>
      <c r="J456">
        <v>1027002</v>
      </c>
      <c r="K456" s="1" t="s">
        <v>443</v>
      </c>
      <c r="L456" s="1" t="s">
        <v>441</v>
      </c>
      <c r="M456">
        <v>1</v>
      </c>
      <c r="N456">
        <v>0</v>
      </c>
      <c r="O456">
        <v>0</v>
      </c>
      <c r="R456" t="s">
        <v>60</v>
      </c>
      <c r="S456">
        <v>0</v>
      </c>
      <c r="T456">
        <v>1027002</v>
      </c>
      <c r="U456">
        <v>500</v>
      </c>
      <c r="V456">
        <v>1012</v>
      </c>
      <c r="W456">
        <v>1300</v>
      </c>
      <c r="X456">
        <v>0</v>
      </c>
      <c r="Y456">
        <v>0</v>
      </c>
      <c r="Z456">
        <v>0</v>
      </c>
    </row>
    <row r="457" spans="1:26">
      <c r="A457">
        <v>6030002</v>
      </c>
      <c r="B457" t="s">
        <v>446</v>
      </c>
      <c r="C457">
        <v>2</v>
      </c>
      <c r="D457">
        <v>2001</v>
      </c>
      <c r="E457">
        <v>350</v>
      </c>
      <c r="F457">
        <v>21000</v>
      </c>
      <c r="G457" s="1">
        <v>500</v>
      </c>
      <c r="H457">
        <v>0</v>
      </c>
      <c r="I457">
        <v>3000</v>
      </c>
      <c r="J457">
        <v>1030002</v>
      </c>
      <c r="K457" s="1" t="s">
        <v>448</v>
      </c>
      <c r="L457" s="1" t="s">
        <v>446</v>
      </c>
      <c r="M457">
        <v>1</v>
      </c>
      <c r="N457">
        <v>0</v>
      </c>
      <c r="O457">
        <v>0</v>
      </c>
      <c r="R457" t="s">
        <v>60</v>
      </c>
      <c r="S457">
        <v>0</v>
      </c>
      <c r="T457">
        <v>1030002</v>
      </c>
      <c r="U457">
        <v>700</v>
      </c>
      <c r="V457">
        <v>1012</v>
      </c>
      <c r="W457">
        <v>2150</v>
      </c>
      <c r="X457">
        <v>0</v>
      </c>
      <c r="Y457">
        <v>0</v>
      </c>
      <c r="Z457">
        <v>0</v>
      </c>
    </row>
    <row r="458" spans="1:26">
      <c r="A458">
        <v>6030102</v>
      </c>
      <c r="B458" t="s">
        <v>121</v>
      </c>
      <c r="C458">
        <v>2</v>
      </c>
      <c r="D458">
        <v>2001</v>
      </c>
      <c r="E458">
        <v>350</v>
      </c>
      <c r="F458">
        <v>42000</v>
      </c>
      <c r="G458" s="1">
        <v>500</v>
      </c>
      <c r="H458">
        <v>0</v>
      </c>
      <c r="I458">
        <v>3000</v>
      </c>
      <c r="J458">
        <v>1030002</v>
      </c>
      <c r="K458" s="1" t="s">
        <v>452</v>
      </c>
      <c r="L458" s="1" t="s">
        <v>121</v>
      </c>
      <c r="M458">
        <v>1</v>
      </c>
      <c r="N458">
        <v>0</v>
      </c>
      <c r="O458">
        <v>0</v>
      </c>
      <c r="R458" t="s">
        <v>60</v>
      </c>
      <c r="S458">
        <v>0</v>
      </c>
      <c r="T458">
        <v>1030002</v>
      </c>
      <c r="U458">
        <v>600</v>
      </c>
      <c r="V458">
        <v>1012</v>
      </c>
      <c r="W458">
        <v>2050</v>
      </c>
      <c r="X458">
        <v>0</v>
      </c>
      <c r="Y458">
        <v>0</v>
      </c>
      <c r="Z458">
        <v>0</v>
      </c>
    </row>
    <row r="459" spans="1:26">
      <c r="A459">
        <v>6032002</v>
      </c>
      <c r="B459" t="s">
        <v>455</v>
      </c>
      <c r="C459">
        <v>2</v>
      </c>
      <c r="D459">
        <v>2001</v>
      </c>
      <c r="E459">
        <v>350</v>
      </c>
      <c r="F459">
        <v>9500</v>
      </c>
      <c r="G459" s="1">
        <v>500</v>
      </c>
      <c r="H459">
        <v>0</v>
      </c>
      <c r="I459">
        <v>3000</v>
      </c>
      <c r="J459">
        <v>1032002</v>
      </c>
      <c r="K459" s="1" t="s">
        <v>457</v>
      </c>
      <c r="L459" s="1" t="s">
        <v>455</v>
      </c>
      <c r="M459">
        <v>1</v>
      </c>
      <c r="N459">
        <v>0</v>
      </c>
      <c r="O459">
        <v>0</v>
      </c>
      <c r="R459" t="s">
        <v>60</v>
      </c>
      <c r="S459">
        <v>0</v>
      </c>
      <c r="T459">
        <v>1032002</v>
      </c>
      <c r="U459">
        <v>400</v>
      </c>
      <c r="V459">
        <v>1014</v>
      </c>
      <c r="W459" t="s">
        <v>972</v>
      </c>
      <c r="X459">
        <v>0</v>
      </c>
      <c r="Y459">
        <v>0</v>
      </c>
      <c r="Z459">
        <v>0</v>
      </c>
    </row>
    <row r="460" spans="1:26">
      <c r="A460">
        <v>6032102</v>
      </c>
      <c r="B460" t="s">
        <v>461</v>
      </c>
      <c r="C460">
        <v>2</v>
      </c>
      <c r="D460">
        <v>2001</v>
      </c>
      <c r="E460">
        <v>350</v>
      </c>
      <c r="F460">
        <v>21000</v>
      </c>
      <c r="G460" s="1">
        <v>500</v>
      </c>
      <c r="H460">
        <v>0</v>
      </c>
      <c r="I460">
        <v>3000</v>
      </c>
      <c r="J460">
        <v>1032002</v>
      </c>
      <c r="K460" s="1" t="s">
        <v>463</v>
      </c>
      <c r="L460" s="1" t="s">
        <v>461</v>
      </c>
      <c r="M460">
        <v>1</v>
      </c>
      <c r="N460">
        <v>0</v>
      </c>
      <c r="O460">
        <v>0</v>
      </c>
      <c r="R460" t="s">
        <v>60</v>
      </c>
      <c r="S460">
        <v>0</v>
      </c>
      <c r="T460">
        <v>1032002</v>
      </c>
      <c r="U460">
        <v>400</v>
      </c>
      <c r="V460">
        <v>1014</v>
      </c>
      <c r="W460" t="s">
        <v>972</v>
      </c>
      <c r="X460">
        <v>0</v>
      </c>
      <c r="Y460">
        <v>0</v>
      </c>
      <c r="Z460">
        <v>0</v>
      </c>
    </row>
    <row r="461" spans="1:26">
      <c r="A461">
        <v>6033002</v>
      </c>
      <c r="B461" t="s">
        <v>466</v>
      </c>
      <c r="C461">
        <v>2</v>
      </c>
      <c r="D461">
        <v>2001</v>
      </c>
      <c r="E461">
        <v>350</v>
      </c>
      <c r="F461">
        <v>4400</v>
      </c>
      <c r="G461" s="1">
        <v>500</v>
      </c>
      <c r="H461">
        <v>0</v>
      </c>
      <c r="I461">
        <v>3000</v>
      </c>
      <c r="J461">
        <v>1033002</v>
      </c>
      <c r="K461" s="1" t="s">
        <v>468</v>
      </c>
      <c r="L461" s="1" t="s">
        <v>466</v>
      </c>
      <c r="M461">
        <v>1</v>
      </c>
      <c r="N461">
        <v>0</v>
      </c>
      <c r="O461">
        <v>0</v>
      </c>
      <c r="R461" t="s">
        <v>60</v>
      </c>
      <c r="S461">
        <v>0</v>
      </c>
      <c r="T461">
        <v>1033002</v>
      </c>
      <c r="U461">
        <v>1300</v>
      </c>
      <c r="V461">
        <v>1012</v>
      </c>
      <c r="W461" t="s">
        <v>470</v>
      </c>
      <c r="X461">
        <v>0</v>
      </c>
      <c r="Y461">
        <v>0</v>
      </c>
      <c r="Z461">
        <v>0</v>
      </c>
    </row>
    <row r="462" spans="1:26">
      <c r="A462">
        <v>6033102</v>
      </c>
      <c r="B462" t="s">
        <v>472</v>
      </c>
      <c r="C462">
        <v>2</v>
      </c>
      <c r="D462">
        <v>2001</v>
      </c>
      <c r="E462">
        <v>350</v>
      </c>
      <c r="F462">
        <v>8200</v>
      </c>
      <c r="G462" s="1">
        <v>500</v>
      </c>
      <c r="H462">
        <v>0</v>
      </c>
      <c r="I462">
        <v>3000</v>
      </c>
      <c r="J462">
        <v>1033002</v>
      </c>
      <c r="K462" s="1" t="s">
        <v>474</v>
      </c>
      <c r="L462" s="1" t="s">
        <v>472</v>
      </c>
      <c r="M462">
        <v>1</v>
      </c>
      <c r="N462">
        <v>0</v>
      </c>
      <c r="O462">
        <v>0</v>
      </c>
      <c r="R462" t="s">
        <v>60</v>
      </c>
      <c r="S462">
        <v>0</v>
      </c>
      <c r="T462">
        <v>1033002</v>
      </c>
      <c r="U462">
        <v>500</v>
      </c>
      <c r="V462">
        <v>1012</v>
      </c>
      <c r="W462" t="s">
        <v>476</v>
      </c>
      <c r="X462">
        <v>0</v>
      </c>
      <c r="Y462">
        <v>0</v>
      </c>
      <c r="Z462">
        <v>0</v>
      </c>
    </row>
    <row r="463" spans="1:26">
      <c r="A463">
        <v>6033202</v>
      </c>
      <c r="B463" t="s">
        <v>478</v>
      </c>
      <c r="C463">
        <v>2</v>
      </c>
      <c r="D463">
        <v>2001</v>
      </c>
      <c r="E463">
        <v>350</v>
      </c>
      <c r="F463">
        <v>8200</v>
      </c>
      <c r="G463" s="1">
        <v>500</v>
      </c>
      <c r="H463">
        <v>0</v>
      </c>
      <c r="I463">
        <v>3000</v>
      </c>
      <c r="J463">
        <v>1033202</v>
      </c>
      <c r="K463" s="1" t="s">
        <v>480</v>
      </c>
      <c r="L463" s="1" t="s">
        <v>478</v>
      </c>
      <c r="M463">
        <v>1</v>
      </c>
      <c r="N463">
        <v>0</v>
      </c>
      <c r="O463">
        <v>0</v>
      </c>
      <c r="R463" t="s">
        <v>60</v>
      </c>
      <c r="S463">
        <v>0</v>
      </c>
      <c r="T463">
        <v>1033202</v>
      </c>
      <c r="U463">
        <v>1400</v>
      </c>
      <c r="V463">
        <v>1012</v>
      </c>
      <c r="W463" t="s">
        <v>482</v>
      </c>
      <c r="X463">
        <v>0</v>
      </c>
      <c r="Y463">
        <v>0</v>
      </c>
      <c r="Z463">
        <v>0</v>
      </c>
    </row>
    <row r="464" spans="1:26">
      <c r="A464">
        <v>6035002</v>
      </c>
      <c r="B464" t="s">
        <v>135</v>
      </c>
      <c r="C464">
        <v>2</v>
      </c>
      <c r="D464">
        <v>2001</v>
      </c>
      <c r="E464">
        <v>350</v>
      </c>
      <c r="F464">
        <v>2100</v>
      </c>
      <c r="G464" s="1">
        <v>500</v>
      </c>
      <c r="H464">
        <v>0</v>
      </c>
      <c r="I464">
        <v>3000</v>
      </c>
      <c r="J464">
        <v>1035002</v>
      </c>
      <c r="K464" s="1" t="s">
        <v>485</v>
      </c>
      <c r="L464" s="1" t="s">
        <v>135</v>
      </c>
      <c r="M464">
        <v>1</v>
      </c>
      <c r="N464">
        <v>0</v>
      </c>
      <c r="O464">
        <v>0</v>
      </c>
      <c r="R464" t="s">
        <v>60</v>
      </c>
      <c r="S464">
        <v>0</v>
      </c>
      <c r="T464">
        <v>1035002</v>
      </c>
      <c r="U464">
        <v>600</v>
      </c>
      <c r="V464">
        <v>1016</v>
      </c>
      <c r="W464" t="s">
        <v>487</v>
      </c>
      <c r="X464">
        <v>0</v>
      </c>
      <c r="Y464">
        <v>0</v>
      </c>
      <c r="Z464">
        <v>0</v>
      </c>
    </row>
    <row r="465" spans="1:26">
      <c r="A465">
        <v>6035102</v>
      </c>
      <c r="B465" t="s">
        <v>489</v>
      </c>
      <c r="C465">
        <v>2</v>
      </c>
      <c r="D465">
        <v>2001</v>
      </c>
      <c r="E465">
        <v>350</v>
      </c>
      <c r="F465">
        <v>4200</v>
      </c>
      <c r="G465" s="1">
        <v>500</v>
      </c>
      <c r="H465">
        <v>0</v>
      </c>
      <c r="I465">
        <v>3000</v>
      </c>
      <c r="J465">
        <v>1035002</v>
      </c>
      <c r="K465" s="1" t="s">
        <v>491</v>
      </c>
      <c r="L465" s="1" t="s">
        <v>489</v>
      </c>
      <c r="M465">
        <v>1</v>
      </c>
      <c r="N465">
        <v>0</v>
      </c>
      <c r="O465">
        <v>0</v>
      </c>
      <c r="R465" t="s">
        <v>60</v>
      </c>
      <c r="S465">
        <v>0</v>
      </c>
      <c r="T465">
        <v>1035002</v>
      </c>
      <c r="U465">
        <v>700</v>
      </c>
      <c r="V465">
        <v>1016</v>
      </c>
      <c r="W465" t="s">
        <v>493</v>
      </c>
      <c r="X465">
        <v>0</v>
      </c>
      <c r="Y465">
        <v>0</v>
      </c>
      <c r="Z465">
        <v>0</v>
      </c>
    </row>
    <row r="466" spans="1:26">
      <c r="A466">
        <v>6035202</v>
      </c>
      <c r="B466" t="s">
        <v>184</v>
      </c>
      <c r="C466">
        <v>2</v>
      </c>
      <c r="D466">
        <v>2001</v>
      </c>
      <c r="E466">
        <v>350</v>
      </c>
      <c r="F466">
        <v>10000</v>
      </c>
      <c r="G466" s="1">
        <v>500</v>
      </c>
      <c r="H466">
        <v>0</v>
      </c>
      <c r="I466">
        <v>4100</v>
      </c>
      <c r="J466">
        <v>1035202</v>
      </c>
      <c r="K466" s="1" t="s">
        <v>496</v>
      </c>
      <c r="L466" s="1" t="s">
        <v>184</v>
      </c>
      <c r="M466">
        <v>1</v>
      </c>
      <c r="N466">
        <v>0</v>
      </c>
      <c r="O466">
        <v>0</v>
      </c>
      <c r="R466" t="s">
        <v>60</v>
      </c>
      <c r="S466">
        <v>0</v>
      </c>
      <c r="T466">
        <v>1035202</v>
      </c>
      <c r="U466">
        <v>1500</v>
      </c>
      <c r="V466">
        <v>1016</v>
      </c>
      <c r="W466" t="s">
        <v>498</v>
      </c>
      <c r="X466">
        <v>0</v>
      </c>
      <c r="Y466">
        <v>0</v>
      </c>
      <c r="Z466">
        <v>0</v>
      </c>
    </row>
    <row r="467" spans="1:26">
      <c r="A467">
        <v>6036002</v>
      </c>
      <c r="B467" t="s">
        <v>500</v>
      </c>
      <c r="C467">
        <v>2</v>
      </c>
      <c r="D467">
        <v>2001</v>
      </c>
      <c r="E467">
        <v>350</v>
      </c>
      <c r="F467">
        <v>4200</v>
      </c>
      <c r="G467" s="1">
        <v>500</v>
      </c>
      <c r="H467">
        <v>0</v>
      </c>
      <c r="I467">
        <v>3000</v>
      </c>
      <c r="J467">
        <v>1036001</v>
      </c>
      <c r="K467" s="1" t="s">
        <v>502</v>
      </c>
      <c r="L467" s="1" t="s">
        <v>504</v>
      </c>
      <c r="M467">
        <v>1</v>
      </c>
      <c r="N467">
        <v>0</v>
      </c>
      <c r="O467">
        <v>0</v>
      </c>
      <c r="R467" t="s">
        <v>60</v>
      </c>
      <c r="S467">
        <v>0</v>
      </c>
      <c r="T467">
        <v>1036002</v>
      </c>
      <c r="U467">
        <v>300</v>
      </c>
      <c r="V467">
        <v>1016</v>
      </c>
      <c r="W467" t="s">
        <v>505</v>
      </c>
      <c r="X467">
        <v>0</v>
      </c>
      <c r="Y467">
        <v>0</v>
      </c>
      <c r="Z467">
        <v>0</v>
      </c>
    </row>
    <row r="468" spans="1:26">
      <c r="A468">
        <v>6036102</v>
      </c>
      <c r="B468" t="s">
        <v>507</v>
      </c>
      <c r="C468">
        <v>2</v>
      </c>
      <c r="D468">
        <v>2001</v>
      </c>
      <c r="E468">
        <v>350</v>
      </c>
      <c r="F468">
        <v>8400</v>
      </c>
      <c r="G468" s="1">
        <v>500</v>
      </c>
      <c r="H468">
        <v>0</v>
      </c>
      <c r="I468">
        <v>3000</v>
      </c>
      <c r="J468">
        <v>1036001</v>
      </c>
      <c r="K468" s="1" t="s">
        <v>509</v>
      </c>
      <c r="L468" s="1" t="s">
        <v>511</v>
      </c>
      <c r="M468">
        <v>1</v>
      </c>
      <c r="N468">
        <v>0</v>
      </c>
      <c r="O468">
        <v>0</v>
      </c>
      <c r="R468" t="s">
        <v>60</v>
      </c>
      <c r="S468">
        <v>0</v>
      </c>
      <c r="T468">
        <v>1036102</v>
      </c>
      <c r="U468">
        <v>300</v>
      </c>
      <c r="V468">
        <v>1016</v>
      </c>
      <c r="W468" t="s">
        <v>505</v>
      </c>
      <c r="X468">
        <v>0</v>
      </c>
      <c r="Y468">
        <v>0</v>
      </c>
      <c r="Z468">
        <v>0</v>
      </c>
    </row>
    <row r="469" spans="1:26">
      <c r="A469">
        <v>6038002</v>
      </c>
      <c r="B469" t="s">
        <v>513</v>
      </c>
      <c r="C469">
        <v>2</v>
      </c>
      <c r="D469">
        <v>2001</v>
      </c>
      <c r="E469">
        <v>350</v>
      </c>
      <c r="F469">
        <v>3850</v>
      </c>
      <c r="G469" s="1">
        <v>500</v>
      </c>
      <c r="H469">
        <v>0</v>
      </c>
      <c r="I469">
        <v>3000</v>
      </c>
      <c r="J469">
        <v>1038002</v>
      </c>
      <c r="K469" s="1" t="s">
        <v>515</v>
      </c>
      <c r="L469" s="1" t="s">
        <v>513</v>
      </c>
      <c r="M469">
        <v>1</v>
      </c>
      <c r="N469">
        <v>0</v>
      </c>
      <c r="O469">
        <v>0</v>
      </c>
      <c r="R469" t="s">
        <v>60</v>
      </c>
      <c r="S469">
        <v>0</v>
      </c>
      <c r="T469">
        <v>1038002</v>
      </c>
      <c r="U469">
        <v>700</v>
      </c>
      <c r="V469">
        <v>1016</v>
      </c>
      <c r="W469" t="s">
        <v>517</v>
      </c>
      <c r="X469">
        <v>0</v>
      </c>
      <c r="Y469">
        <v>0</v>
      </c>
      <c r="Z469">
        <v>0</v>
      </c>
    </row>
    <row r="470" spans="1:26">
      <c r="A470">
        <v>6038102</v>
      </c>
      <c r="B470" t="s">
        <v>519</v>
      </c>
      <c r="C470">
        <v>2</v>
      </c>
      <c r="D470">
        <v>2001</v>
      </c>
      <c r="E470">
        <v>350</v>
      </c>
      <c r="F470">
        <v>8500</v>
      </c>
      <c r="G470" s="1">
        <v>500</v>
      </c>
      <c r="H470">
        <v>0</v>
      </c>
      <c r="I470">
        <v>3000</v>
      </c>
      <c r="J470">
        <v>1038002</v>
      </c>
      <c r="K470" s="1" t="s">
        <v>521</v>
      </c>
      <c r="L470" s="1" t="s">
        <v>519</v>
      </c>
      <c r="M470">
        <v>1</v>
      </c>
      <c r="N470">
        <v>0</v>
      </c>
      <c r="O470">
        <v>0</v>
      </c>
      <c r="R470" t="s">
        <v>60</v>
      </c>
      <c r="S470">
        <v>0</v>
      </c>
      <c r="T470">
        <v>1038002</v>
      </c>
      <c r="U470">
        <v>700</v>
      </c>
      <c r="V470">
        <v>1014</v>
      </c>
      <c r="W470" t="s">
        <v>517</v>
      </c>
      <c r="X470">
        <v>0</v>
      </c>
      <c r="Y470">
        <v>0</v>
      </c>
      <c r="Z470">
        <v>0</v>
      </c>
    </row>
    <row r="471" spans="1:26">
      <c r="A471">
        <v>6039002</v>
      </c>
      <c r="B471" t="s">
        <v>63</v>
      </c>
      <c r="C471">
        <v>2</v>
      </c>
      <c r="D471">
        <v>2001</v>
      </c>
      <c r="E471">
        <v>350</v>
      </c>
      <c r="F471">
        <v>3000</v>
      </c>
      <c r="G471" s="1">
        <v>500</v>
      </c>
      <c r="H471">
        <v>0</v>
      </c>
      <c r="I471">
        <v>3000</v>
      </c>
      <c r="J471">
        <v>1039002</v>
      </c>
      <c r="K471" s="1" t="s">
        <v>525</v>
      </c>
      <c r="L471" s="1" t="s">
        <v>63</v>
      </c>
      <c r="M471">
        <v>1</v>
      </c>
      <c r="N471">
        <v>0</v>
      </c>
      <c r="O471">
        <v>0</v>
      </c>
      <c r="R471" t="s">
        <v>60</v>
      </c>
      <c r="S471">
        <v>0</v>
      </c>
      <c r="T471">
        <v>1039002</v>
      </c>
      <c r="U471">
        <v>600</v>
      </c>
      <c r="V471">
        <v>1011</v>
      </c>
      <c r="W471" t="s">
        <v>527</v>
      </c>
      <c r="X471">
        <v>0</v>
      </c>
      <c r="Y471">
        <v>0</v>
      </c>
      <c r="Z471">
        <v>0</v>
      </c>
    </row>
    <row r="472" spans="1:26">
      <c r="A472">
        <v>6039102</v>
      </c>
      <c r="B472" t="s">
        <v>529</v>
      </c>
      <c r="C472">
        <v>2</v>
      </c>
      <c r="D472">
        <v>2001</v>
      </c>
      <c r="E472">
        <v>350</v>
      </c>
      <c r="F472">
        <v>6000</v>
      </c>
      <c r="G472" s="1">
        <v>500</v>
      </c>
      <c r="H472">
        <v>0</v>
      </c>
      <c r="I472">
        <v>3000</v>
      </c>
      <c r="J472">
        <v>1039002</v>
      </c>
      <c r="K472" s="1" t="s">
        <v>531</v>
      </c>
      <c r="L472" s="1" t="s">
        <v>529</v>
      </c>
      <c r="M472">
        <v>1</v>
      </c>
      <c r="N472">
        <v>0</v>
      </c>
      <c r="O472">
        <v>0</v>
      </c>
      <c r="R472" t="s">
        <v>60</v>
      </c>
      <c r="S472">
        <v>0</v>
      </c>
      <c r="T472">
        <v>1039102</v>
      </c>
      <c r="U472">
        <v>700</v>
      </c>
      <c r="V472">
        <v>1011</v>
      </c>
      <c r="W472" t="s">
        <v>533</v>
      </c>
      <c r="X472">
        <v>0</v>
      </c>
      <c r="Y472">
        <v>0</v>
      </c>
      <c r="Z472">
        <v>0</v>
      </c>
    </row>
    <row r="473" spans="1:26">
      <c r="A473">
        <v>6039202</v>
      </c>
      <c r="B473" t="s">
        <v>535</v>
      </c>
      <c r="C473">
        <v>2</v>
      </c>
      <c r="D473">
        <v>2001</v>
      </c>
      <c r="E473">
        <v>350</v>
      </c>
      <c r="F473">
        <v>12000</v>
      </c>
      <c r="G473" s="1">
        <v>500</v>
      </c>
      <c r="H473">
        <v>0</v>
      </c>
      <c r="I473">
        <v>3000</v>
      </c>
      <c r="J473">
        <v>1039202</v>
      </c>
      <c r="K473" s="1" t="s">
        <v>537</v>
      </c>
      <c r="L473" s="1" t="s">
        <v>535</v>
      </c>
      <c r="M473">
        <v>1</v>
      </c>
      <c r="N473">
        <v>0</v>
      </c>
      <c r="O473">
        <v>0</v>
      </c>
      <c r="R473" t="s">
        <v>60</v>
      </c>
      <c r="S473">
        <v>0</v>
      </c>
      <c r="T473">
        <v>1039202</v>
      </c>
      <c r="U473">
        <v>600</v>
      </c>
      <c r="V473">
        <v>1011</v>
      </c>
      <c r="W473" t="s">
        <v>527</v>
      </c>
      <c r="X473">
        <v>0</v>
      </c>
      <c r="Y473">
        <v>0</v>
      </c>
      <c r="Z473">
        <v>0</v>
      </c>
    </row>
    <row r="474" spans="1:26">
      <c r="A474">
        <v>6041002</v>
      </c>
      <c r="B474" t="s">
        <v>92</v>
      </c>
      <c r="C474">
        <v>2</v>
      </c>
      <c r="D474">
        <v>2001</v>
      </c>
      <c r="E474">
        <v>350</v>
      </c>
      <c r="F474">
        <v>3600</v>
      </c>
      <c r="G474" s="1">
        <v>500</v>
      </c>
      <c r="H474">
        <v>0</v>
      </c>
      <c r="I474">
        <v>3000</v>
      </c>
      <c r="J474">
        <v>1041002</v>
      </c>
      <c r="K474" s="1" t="s">
        <v>541</v>
      </c>
      <c r="L474" s="1" t="s">
        <v>92</v>
      </c>
      <c r="M474">
        <v>1</v>
      </c>
      <c r="N474">
        <v>0</v>
      </c>
      <c r="O474">
        <v>0</v>
      </c>
      <c r="R474" t="s">
        <v>60</v>
      </c>
      <c r="S474">
        <v>0</v>
      </c>
      <c r="T474">
        <v>1041002</v>
      </c>
      <c r="U474">
        <v>700</v>
      </c>
      <c r="V474">
        <v>1016</v>
      </c>
      <c r="W474" t="s">
        <v>543</v>
      </c>
      <c r="X474">
        <v>0</v>
      </c>
      <c r="Y474">
        <v>0</v>
      </c>
      <c r="Z474">
        <v>0</v>
      </c>
    </row>
    <row r="475" spans="1:26">
      <c r="A475">
        <v>6041102</v>
      </c>
      <c r="B475" t="s">
        <v>545</v>
      </c>
      <c r="C475">
        <v>2</v>
      </c>
      <c r="D475">
        <v>2001</v>
      </c>
      <c r="E475">
        <v>350</v>
      </c>
      <c r="F475">
        <v>7000</v>
      </c>
      <c r="G475" s="1">
        <v>500</v>
      </c>
      <c r="H475">
        <v>0</v>
      </c>
      <c r="I475">
        <v>3000</v>
      </c>
      <c r="J475">
        <v>1041002</v>
      </c>
      <c r="K475" s="1" t="s">
        <v>547</v>
      </c>
      <c r="L475" s="1" t="s">
        <v>545</v>
      </c>
      <c r="M475">
        <v>1</v>
      </c>
      <c r="N475">
        <v>0</v>
      </c>
      <c r="O475">
        <v>0</v>
      </c>
      <c r="R475" t="s">
        <v>60</v>
      </c>
      <c r="S475">
        <v>0</v>
      </c>
      <c r="T475">
        <v>1041002</v>
      </c>
      <c r="U475">
        <v>700</v>
      </c>
      <c r="V475">
        <v>1016</v>
      </c>
      <c r="W475" t="s">
        <v>543</v>
      </c>
      <c r="X475">
        <v>0</v>
      </c>
      <c r="Y475">
        <v>0</v>
      </c>
      <c r="Z475">
        <v>0</v>
      </c>
    </row>
    <row r="476" spans="1:26">
      <c r="A476">
        <v>6042002</v>
      </c>
      <c r="B476" t="s">
        <v>550</v>
      </c>
      <c r="C476">
        <v>2</v>
      </c>
      <c r="D476">
        <v>2001</v>
      </c>
      <c r="E476">
        <v>350</v>
      </c>
      <c r="F476">
        <v>7000</v>
      </c>
      <c r="G476" s="1">
        <v>500</v>
      </c>
      <c r="H476">
        <v>0</v>
      </c>
      <c r="I476">
        <v>3000</v>
      </c>
      <c r="J476">
        <v>1042002</v>
      </c>
      <c r="K476" s="1" t="s">
        <v>552</v>
      </c>
      <c r="L476" s="1" t="s">
        <v>550</v>
      </c>
      <c r="M476">
        <v>1</v>
      </c>
      <c r="N476">
        <v>0</v>
      </c>
      <c r="O476">
        <v>0</v>
      </c>
      <c r="R476" t="s">
        <v>60</v>
      </c>
      <c r="S476">
        <v>0</v>
      </c>
      <c r="T476">
        <v>1042002</v>
      </c>
      <c r="U476">
        <v>900</v>
      </c>
      <c r="V476">
        <v>1016</v>
      </c>
      <c r="W476" t="s">
        <v>973</v>
      </c>
      <c r="X476">
        <v>0</v>
      </c>
      <c r="Y476">
        <v>0</v>
      </c>
      <c r="Z476">
        <v>0</v>
      </c>
    </row>
    <row r="477" spans="1:26">
      <c r="A477">
        <v>6042102</v>
      </c>
      <c r="B477" t="s">
        <v>555</v>
      </c>
      <c r="C477">
        <v>2</v>
      </c>
      <c r="D477">
        <v>2001</v>
      </c>
      <c r="E477">
        <v>350</v>
      </c>
      <c r="F477">
        <v>14000</v>
      </c>
      <c r="G477" s="1">
        <v>500</v>
      </c>
      <c r="H477">
        <v>0</v>
      </c>
      <c r="I477">
        <v>3000</v>
      </c>
      <c r="J477">
        <v>1042002</v>
      </c>
      <c r="K477" s="1" t="s">
        <v>557</v>
      </c>
      <c r="L477" s="1" t="s">
        <v>555</v>
      </c>
      <c r="M477">
        <v>1</v>
      </c>
      <c r="N477">
        <v>0</v>
      </c>
      <c r="O477">
        <v>0</v>
      </c>
      <c r="R477" t="s">
        <v>60</v>
      </c>
      <c r="S477">
        <v>0</v>
      </c>
      <c r="T477">
        <v>1042002</v>
      </c>
      <c r="U477">
        <v>500</v>
      </c>
      <c r="V477">
        <v>1016</v>
      </c>
      <c r="W477" t="s">
        <v>559</v>
      </c>
      <c r="X477">
        <v>0</v>
      </c>
      <c r="Y477">
        <v>0</v>
      </c>
      <c r="Z477">
        <v>0</v>
      </c>
    </row>
    <row r="478" spans="1:26">
      <c r="A478">
        <v>6045002</v>
      </c>
      <c r="B478" t="s">
        <v>561</v>
      </c>
      <c r="C478">
        <v>2</v>
      </c>
      <c r="D478">
        <v>2001</v>
      </c>
      <c r="E478">
        <v>350</v>
      </c>
      <c r="F478">
        <v>21000</v>
      </c>
      <c r="G478" s="1">
        <v>500</v>
      </c>
      <c r="H478">
        <v>0</v>
      </c>
      <c r="I478">
        <v>4200</v>
      </c>
      <c r="J478">
        <v>1045002</v>
      </c>
      <c r="K478" s="1" t="s">
        <v>563</v>
      </c>
      <c r="L478" s="1" t="s">
        <v>561</v>
      </c>
      <c r="M478">
        <v>1</v>
      </c>
      <c r="N478">
        <v>0</v>
      </c>
      <c r="O478">
        <v>0</v>
      </c>
      <c r="R478" t="s">
        <v>60</v>
      </c>
      <c r="S478">
        <v>0</v>
      </c>
      <c r="T478">
        <v>1045002</v>
      </c>
      <c r="U478">
        <v>2000</v>
      </c>
      <c r="V478">
        <v>1015</v>
      </c>
      <c r="W478">
        <v>2650</v>
      </c>
      <c r="X478">
        <v>0</v>
      </c>
      <c r="Y478">
        <v>0</v>
      </c>
      <c r="Z478">
        <v>0</v>
      </c>
    </row>
    <row r="479" spans="1:26">
      <c r="A479">
        <v>6045102</v>
      </c>
      <c r="B479" t="s">
        <v>213</v>
      </c>
      <c r="C479">
        <v>2</v>
      </c>
      <c r="D479">
        <v>2001</v>
      </c>
      <c r="E479">
        <v>350</v>
      </c>
      <c r="F479">
        <v>8000</v>
      </c>
      <c r="G479" s="1">
        <v>500</v>
      </c>
      <c r="H479">
        <v>0</v>
      </c>
      <c r="I479">
        <v>3000</v>
      </c>
      <c r="J479">
        <v>1045102</v>
      </c>
      <c r="K479" s="1" t="s">
        <v>567</v>
      </c>
      <c r="L479" s="1" t="s">
        <v>213</v>
      </c>
      <c r="M479">
        <v>1</v>
      </c>
      <c r="N479">
        <v>0</v>
      </c>
      <c r="O479">
        <v>0</v>
      </c>
      <c r="R479" t="s">
        <v>60</v>
      </c>
      <c r="S479">
        <v>0</v>
      </c>
      <c r="T479">
        <v>1045102</v>
      </c>
      <c r="U479">
        <v>800</v>
      </c>
      <c r="V479">
        <v>1015</v>
      </c>
      <c r="W479" t="s">
        <v>569</v>
      </c>
      <c r="X479">
        <v>0</v>
      </c>
      <c r="Y479">
        <v>0</v>
      </c>
      <c r="Z479">
        <v>0</v>
      </c>
    </row>
    <row r="480" spans="1:26">
      <c r="A480">
        <v>6046002</v>
      </c>
      <c r="B480" t="s">
        <v>571</v>
      </c>
      <c r="C480">
        <v>2</v>
      </c>
      <c r="D480">
        <v>2001</v>
      </c>
      <c r="E480">
        <v>350</v>
      </c>
      <c r="F480">
        <v>4800</v>
      </c>
      <c r="G480" s="1">
        <v>500</v>
      </c>
      <c r="H480">
        <v>0</v>
      </c>
      <c r="I480">
        <v>3000</v>
      </c>
      <c r="J480">
        <v>1046002</v>
      </c>
      <c r="K480" s="1" t="s">
        <v>573</v>
      </c>
      <c r="L480" s="1" t="s">
        <v>571</v>
      </c>
      <c r="M480">
        <v>1</v>
      </c>
      <c r="N480">
        <v>0</v>
      </c>
      <c r="O480">
        <v>0</v>
      </c>
      <c r="R480" t="s">
        <v>60</v>
      </c>
      <c r="S480">
        <v>0</v>
      </c>
      <c r="T480">
        <v>1046002</v>
      </c>
      <c r="U480">
        <v>1000</v>
      </c>
      <c r="V480">
        <v>1015</v>
      </c>
      <c r="W480" t="s">
        <v>974</v>
      </c>
      <c r="X480">
        <v>0</v>
      </c>
      <c r="Y480">
        <v>0</v>
      </c>
      <c r="Z480">
        <v>0</v>
      </c>
    </row>
    <row r="481" spans="1:26">
      <c r="A481">
        <v>6046102</v>
      </c>
      <c r="B481" t="s">
        <v>68</v>
      </c>
      <c r="C481">
        <v>2</v>
      </c>
      <c r="D481">
        <v>2001</v>
      </c>
      <c r="E481">
        <v>350</v>
      </c>
      <c r="F481">
        <v>9600</v>
      </c>
      <c r="G481" s="1">
        <v>500</v>
      </c>
      <c r="H481">
        <v>0</v>
      </c>
      <c r="I481">
        <v>3000</v>
      </c>
      <c r="J481">
        <v>1046002</v>
      </c>
      <c r="K481" s="1" t="s">
        <v>578</v>
      </c>
      <c r="L481" s="1" t="s">
        <v>68</v>
      </c>
      <c r="M481">
        <v>1</v>
      </c>
      <c r="N481">
        <v>0</v>
      </c>
      <c r="O481">
        <v>0</v>
      </c>
      <c r="R481" t="s">
        <v>60</v>
      </c>
      <c r="S481">
        <v>0</v>
      </c>
      <c r="T481">
        <v>1046002</v>
      </c>
      <c r="U481">
        <v>800</v>
      </c>
      <c r="V481">
        <v>1015</v>
      </c>
      <c r="W481" t="s">
        <v>974</v>
      </c>
      <c r="X481">
        <v>0</v>
      </c>
      <c r="Y481">
        <v>0</v>
      </c>
      <c r="Z481">
        <v>0</v>
      </c>
    </row>
    <row r="482" spans="1:26">
      <c r="A482">
        <v>6047002</v>
      </c>
      <c r="B482" t="s">
        <v>582</v>
      </c>
      <c r="C482">
        <v>2</v>
      </c>
      <c r="D482">
        <v>2001</v>
      </c>
      <c r="E482">
        <v>350</v>
      </c>
      <c r="F482">
        <v>5200</v>
      </c>
      <c r="G482" s="1">
        <v>500</v>
      </c>
      <c r="H482">
        <v>0</v>
      </c>
      <c r="I482">
        <v>3000</v>
      </c>
      <c r="J482">
        <v>1047002</v>
      </c>
      <c r="K482" s="1" t="s">
        <v>584</v>
      </c>
      <c r="L482" s="1" t="s">
        <v>582</v>
      </c>
      <c r="M482">
        <v>1</v>
      </c>
      <c r="N482">
        <v>0</v>
      </c>
      <c r="O482">
        <v>0</v>
      </c>
      <c r="R482" t="s">
        <v>60</v>
      </c>
      <c r="S482">
        <v>0</v>
      </c>
      <c r="T482">
        <v>1047002</v>
      </c>
      <c r="U482">
        <v>500</v>
      </c>
      <c r="V482">
        <v>1015</v>
      </c>
      <c r="W482" t="s">
        <v>586</v>
      </c>
      <c r="X482">
        <v>0</v>
      </c>
      <c r="Y482">
        <v>0</v>
      </c>
      <c r="Z482">
        <v>0</v>
      </c>
    </row>
    <row r="483" spans="1:26">
      <c r="A483">
        <v>6047102</v>
      </c>
      <c r="B483" t="s">
        <v>588</v>
      </c>
      <c r="C483">
        <v>2</v>
      </c>
      <c r="D483">
        <v>2001</v>
      </c>
      <c r="E483">
        <v>350</v>
      </c>
      <c r="F483">
        <v>10400</v>
      </c>
      <c r="G483" s="1">
        <v>500</v>
      </c>
      <c r="H483">
        <v>0</v>
      </c>
      <c r="I483">
        <v>3400</v>
      </c>
      <c r="J483">
        <v>1047002</v>
      </c>
      <c r="K483" s="1" t="s">
        <v>590</v>
      </c>
      <c r="L483" s="1" t="s">
        <v>588</v>
      </c>
      <c r="M483">
        <v>1</v>
      </c>
      <c r="N483">
        <v>0</v>
      </c>
      <c r="O483">
        <v>0</v>
      </c>
      <c r="R483" t="s">
        <v>60</v>
      </c>
      <c r="S483">
        <v>0</v>
      </c>
      <c r="T483">
        <v>1047002</v>
      </c>
      <c r="U483">
        <v>900</v>
      </c>
      <c r="V483">
        <v>1015</v>
      </c>
      <c r="W483" t="s">
        <v>592</v>
      </c>
      <c r="X483">
        <v>0</v>
      </c>
      <c r="Y483">
        <v>0</v>
      </c>
      <c r="Z483">
        <v>0</v>
      </c>
    </row>
    <row r="484" spans="1:26">
      <c r="A484">
        <v>6050002</v>
      </c>
      <c r="B484" t="s">
        <v>594</v>
      </c>
      <c r="C484">
        <v>2</v>
      </c>
      <c r="D484">
        <v>2001</v>
      </c>
      <c r="E484">
        <v>350</v>
      </c>
      <c r="F484">
        <v>2600</v>
      </c>
      <c r="G484" s="1">
        <v>500</v>
      </c>
      <c r="H484">
        <v>0</v>
      </c>
      <c r="I484">
        <v>3000</v>
      </c>
      <c r="J484">
        <v>1050002</v>
      </c>
      <c r="K484" s="1" t="s">
        <v>596</v>
      </c>
      <c r="L484" s="1" t="s">
        <v>594</v>
      </c>
      <c r="M484">
        <v>1</v>
      </c>
      <c r="N484">
        <v>0</v>
      </c>
      <c r="O484">
        <v>0</v>
      </c>
      <c r="R484" t="s">
        <v>60</v>
      </c>
      <c r="S484">
        <v>0</v>
      </c>
      <c r="T484">
        <v>1050002</v>
      </c>
      <c r="U484">
        <v>1000</v>
      </c>
      <c r="V484">
        <v>1012</v>
      </c>
      <c r="W484" t="s">
        <v>598</v>
      </c>
      <c r="X484">
        <v>0</v>
      </c>
      <c r="Y484">
        <v>0</v>
      </c>
      <c r="Z484">
        <v>0</v>
      </c>
    </row>
    <row r="485" spans="1:26">
      <c r="A485">
        <v>6050102</v>
      </c>
      <c r="B485" t="s">
        <v>600</v>
      </c>
      <c r="C485">
        <v>2</v>
      </c>
      <c r="D485">
        <v>2001</v>
      </c>
      <c r="E485">
        <v>350</v>
      </c>
      <c r="F485">
        <v>4800</v>
      </c>
      <c r="G485" s="1">
        <v>500</v>
      </c>
      <c r="H485">
        <v>0</v>
      </c>
      <c r="I485">
        <v>3000</v>
      </c>
      <c r="J485">
        <v>1050002</v>
      </c>
      <c r="K485" s="1" t="s">
        <v>602</v>
      </c>
      <c r="L485" s="1" t="s">
        <v>600</v>
      </c>
      <c r="M485">
        <v>1</v>
      </c>
      <c r="N485">
        <v>0</v>
      </c>
      <c r="O485">
        <v>0</v>
      </c>
      <c r="R485" t="s">
        <v>60</v>
      </c>
      <c r="S485">
        <v>0</v>
      </c>
      <c r="T485">
        <v>1050002</v>
      </c>
      <c r="U485">
        <v>400</v>
      </c>
      <c r="V485">
        <v>1012</v>
      </c>
      <c r="W485" t="s">
        <v>604</v>
      </c>
      <c r="X485">
        <v>0</v>
      </c>
      <c r="Y485">
        <v>0</v>
      </c>
      <c r="Z485">
        <v>0</v>
      </c>
    </row>
    <row r="486" spans="1:26">
      <c r="A486">
        <v>6051002</v>
      </c>
      <c r="B486" t="s">
        <v>606</v>
      </c>
      <c r="C486">
        <v>2</v>
      </c>
      <c r="D486">
        <v>2001</v>
      </c>
      <c r="E486">
        <v>350</v>
      </c>
      <c r="F486">
        <v>3000</v>
      </c>
      <c r="G486" s="1">
        <v>500</v>
      </c>
      <c r="H486">
        <v>0</v>
      </c>
      <c r="I486">
        <v>3000</v>
      </c>
      <c r="J486">
        <v>1051002</v>
      </c>
      <c r="K486" s="1" t="s">
        <v>608</v>
      </c>
      <c r="L486" s="1" t="s">
        <v>606</v>
      </c>
      <c r="M486">
        <v>1</v>
      </c>
      <c r="N486">
        <v>0</v>
      </c>
      <c r="O486">
        <v>0</v>
      </c>
      <c r="R486" t="s">
        <v>60</v>
      </c>
      <c r="S486">
        <v>0</v>
      </c>
      <c r="T486">
        <v>1051002</v>
      </c>
      <c r="U486">
        <v>700</v>
      </c>
      <c r="V486">
        <v>1015</v>
      </c>
      <c r="W486" t="s">
        <v>610</v>
      </c>
      <c r="X486">
        <v>0</v>
      </c>
      <c r="Y486">
        <v>0</v>
      </c>
      <c r="Z486">
        <v>0</v>
      </c>
    </row>
    <row r="487" spans="1:26">
      <c r="A487">
        <v>6051102</v>
      </c>
      <c r="B487" t="s">
        <v>97</v>
      </c>
      <c r="C487">
        <v>2</v>
      </c>
      <c r="D487">
        <v>2001</v>
      </c>
      <c r="E487">
        <v>350</v>
      </c>
      <c r="F487">
        <v>6000</v>
      </c>
      <c r="G487" s="1">
        <v>500</v>
      </c>
      <c r="H487">
        <v>0</v>
      </c>
      <c r="I487">
        <v>3000</v>
      </c>
      <c r="J487">
        <v>1051002</v>
      </c>
      <c r="K487" s="1" t="s">
        <v>613</v>
      </c>
      <c r="L487" s="1" t="s">
        <v>97</v>
      </c>
      <c r="M487">
        <v>1</v>
      </c>
      <c r="N487">
        <v>0</v>
      </c>
      <c r="O487">
        <v>0</v>
      </c>
      <c r="R487" t="s">
        <v>60</v>
      </c>
      <c r="S487">
        <v>0</v>
      </c>
      <c r="T487">
        <v>1051002</v>
      </c>
      <c r="U487">
        <v>700</v>
      </c>
      <c r="V487">
        <v>1015</v>
      </c>
      <c r="W487" t="s">
        <v>610</v>
      </c>
      <c r="X487">
        <v>0</v>
      </c>
      <c r="Y487">
        <v>0</v>
      </c>
      <c r="Z487">
        <v>0</v>
      </c>
    </row>
    <row r="488" spans="1:26">
      <c r="A488">
        <v>6051202</v>
      </c>
      <c r="B488" t="s">
        <v>616</v>
      </c>
      <c r="C488">
        <v>2</v>
      </c>
      <c r="D488">
        <v>2001</v>
      </c>
      <c r="E488">
        <v>350</v>
      </c>
      <c r="F488">
        <v>12000</v>
      </c>
      <c r="G488" s="1">
        <v>500</v>
      </c>
      <c r="H488">
        <v>0</v>
      </c>
      <c r="I488">
        <v>3000</v>
      </c>
      <c r="J488">
        <v>1051202</v>
      </c>
      <c r="K488" s="1" t="s">
        <v>618</v>
      </c>
      <c r="L488" s="1" t="s">
        <v>616</v>
      </c>
      <c r="M488">
        <v>1</v>
      </c>
      <c r="N488">
        <v>0</v>
      </c>
      <c r="O488">
        <v>0</v>
      </c>
      <c r="R488" t="s">
        <v>60</v>
      </c>
      <c r="S488">
        <v>0</v>
      </c>
      <c r="T488">
        <v>1051202</v>
      </c>
      <c r="U488">
        <v>500</v>
      </c>
      <c r="V488">
        <v>1015</v>
      </c>
      <c r="W488" t="s">
        <v>620</v>
      </c>
      <c r="X488">
        <v>0</v>
      </c>
      <c r="Y488">
        <v>0</v>
      </c>
      <c r="Z488">
        <v>0</v>
      </c>
    </row>
    <row r="489" spans="1:26">
      <c r="A489">
        <v>6052002</v>
      </c>
      <c r="B489" t="s">
        <v>622</v>
      </c>
      <c r="C489">
        <v>2</v>
      </c>
      <c r="D489">
        <v>2001</v>
      </c>
      <c r="E489">
        <v>350</v>
      </c>
      <c r="F489">
        <v>21000</v>
      </c>
      <c r="G489" s="1">
        <v>500</v>
      </c>
      <c r="H489">
        <v>0</v>
      </c>
      <c r="I489">
        <v>3000</v>
      </c>
      <c r="J489">
        <v>1052002</v>
      </c>
      <c r="K489" s="1" t="s">
        <v>624</v>
      </c>
      <c r="L489" s="1" t="s">
        <v>622</v>
      </c>
      <c r="M489">
        <v>1</v>
      </c>
      <c r="N489">
        <v>0</v>
      </c>
      <c r="O489">
        <v>0</v>
      </c>
      <c r="R489" t="s">
        <v>60</v>
      </c>
      <c r="S489">
        <v>0</v>
      </c>
      <c r="T489">
        <v>1052002</v>
      </c>
      <c r="U489">
        <v>0</v>
      </c>
      <c r="V489">
        <v>1015</v>
      </c>
      <c r="W489">
        <v>700</v>
      </c>
      <c r="X489">
        <v>0</v>
      </c>
      <c r="Y489">
        <v>0</v>
      </c>
      <c r="Z489">
        <v>0</v>
      </c>
    </row>
    <row r="490" spans="1:26">
      <c r="A490">
        <v>6052102</v>
      </c>
      <c r="B490" t="s">
        <v>173</v>
      </c>
      <c r="C490">
        <v>2</v>
      </c>
      <c r="D490">
        <v>2001</v>
      </c>
      <c r="E490">
        <v>350</v>
      </c>
      <c r="F490">
        <v>11000</v>
      </c>
      <c r="G490" s="1">
        <v>500</v>
      </c>
      <c r="H490">
        <v>0</v>
      </c>
      <c r="I490">
        <v>3000</v>
      </c>
      <c r="J490">
        <v>1052102</v>
      </c>
      <c r="K490" s="1" t="s">
        <v>628</v>
      </c>
      <c r="L490" s="1" t="s">
        <v>173</v>
      </c>
      <c r="M490">
        <v>1</v>
      </c>
      <c r="N490">
        <v>0</v>
      </c>
      <c r="O490">
        <v>0</v>
      </c>
      <c r="R490" t="s">
        <v>60</v>
      </c>
      <c r="S490">
        <v>0</v>
      </c>
      <c r="T490">
        <v>1052102</v>
      </c>
      <c r="U490">
        <v>0</v>
      </c>
      <c r="V490">
        <v>1015</v>
      </c>
      <c r="W490" t="s">
        <v>630</v>
      </c>
      <c r="X490">
        <v>0</v>
      </c>
      <c r="Y490">
        <v>0</v>
      </c>
      <c r="Z490">
        <v>0</v>
      </c>
    </row>
    <row r="491" spans="1:26">
      <c r="A491">
        <v>6052202</v>
      </c>
      <c r="B491" t="s">
        <v>223</v>
      </c>
      <c r="C491">
        <v>2</v>
      </c>
      <c r="D491">
        <v>2001</v>
      </c>
      <c r="E491">
        <v>350</v>
      </c>
      <c r="F491">
        <v>84000</v>
      </c>
      <c r="G491" s="1">
        <v>500</v>
      </c>
      <c r="H491">
        <v>0</v>
      </c>
      <c r="I491">
        <v>3000</v>
      </c>
      <c r="J491">
        <v>1052202</v>
      </c>
      <c r="K491" s="1" t="s">
        <v>633</v>
      </c>
      <c r="L491" s="1" t="s">
        <v>223</v>
      </c>
      <c r="M491">
        <v>1</v>
      </c>
      <c r="N491">
        <v>0</v>
      </c>
      <c r="O491">
        <v>0</v>
      </c>
      <c r="R491" t="s">
        <v>60</v>
      </c>
      <c r="S491">
        <v>0</v>
      </c>
      <c r="T491">
        <v>1052202</v>
      </c>
      <c r="U491">
        <v>100</v>
      </c>
      <c r="V491">
        <v>1015</v>
      </c>
      <c r="W491">
        <v>1000</v>
      </c>
      <c r="X491">
        <v>0</v>
      </c>
      <c r="Y491">
        <v>0</v>
      </c>
      <c r="Z491">
        <v>0</v>
      </c>
    </row>
    <row r="492" spans="1:26">
      <c r="A492">
        <v>6053002</v>
      </c>
      <c r="B492" t="s">
        <v>144</v>
      </c>
      <c r="C492">
        <v>2</v>
      </c>
      <c r="D492">
        <v>2001</v>
      </c>
      <c r="E492">
        <v>350</v>
      </c>
      <c r="F492">
        <v>3500</v>
      </c>
      <c r="G492" s="1">
        <v>500</v>
      </c>
      <c r="H492">
        <v>0</v>
      </c>
      <c r="I492">
        <v>4100</v>
      </c>
      <c r="J492">
        <v>1053002</v>
      </c>
      <c r="K492" s="1" t="s">
        <v>637</v>
      </c>
      <c r="L492" s="1" t="s">
        <v>144</v>
      </c>
      <c r="M492">
        <v>1</v>
      </c>
      <c r="N492">
        <v>0</v>
      </c>
      <c r="O492">
        <v>0</v>
      </c>
      <c r="R492" t="s">
        <v>60</v>
      </c>
      <c r="S492">
        <v>0</v>
      </c>
      <c r="T492">
        <v>1053002</v>
      </c>
      <c r="U492">
        <v>1000</v>
      </c>
      <c r="V492">
        <v>1015</v>
      </c>
      <c r="W492" t="s">
        <v>639</v>
      </c>
      <c r="X492">
        <v>0</v>
      </c>
      <c r="Y492">
        <v>0</v>
      </c>
      <c r="Z492">
        <v>0</v>
      </c>
    </row>
    <row r="493" spans="1:26">
      <c r="A493">
        <v>6053102</v>
      </c>
      <c r="B493" t="s">
        <v>641</v>
      </c>
      <c r="C493">
        <v>2</v>
      </c>
      <c r="D493">
        <v>2001</v>
      </c>
      <c r="E493">
        <v>350</v>
      </c>
      <c r="F493">
        <v>7000</v>
      </c>
      <c r="G493" s="1">
        <v>500</v>
      </c>
      <c r="H493">
        <v>0</v>
      </c>
      <c r="I493">
        <v>4000</v>
      </c>
      <c r="J493">
        <v>1053002</v>
      </c>
      <c r="K493" s="1" t="s">
        <v>643</v>
      </c>
      <c r="L493" s="1" t="s">
        <v>641</v>
      </c>
      <c r="M493">
        <v>1</v>
      </c>
      <c r="N493">
        <v>0</v>
      </c>
      <c r="O493">
        <v>0</v>
      </c>
      <c r="R493" t="s">
        <v>60</v>
      </c>
      <c r="S493">
        <v>0</v>
      </c>
      <c r="T493">
        <v>1053002</v>
      </c>
      <c r="U493">
        <v>1000</v>
      </c>
      <c r="V493">
        <v>1015</v>
      </c>
      <c r="W493" t="s">
        <v>639</v>
      </c>
      <c r="X493">
        <v>0</v>
      </c>
      <c r="Y493">
        <v>0</v>
      </c>
      <c r="Z493">
        <v>0</v>
      </c>
    </row>
    <row r="494" spans="1:26">
      <c r="A494">
        <v>6056002</v>
      </c>
      <c r="B494" t="s">
        <v>646</v>
      </c>
      <c r="C494">
        <v>2</v>
      </c>
      <c r="D494">
        <v>2001</v>
      </c>
      <c r="E494">
        <v>350</v>
      </c>
      <c r="F494">
        <v>5500</v>
      </c>
      <c r="G494" s="1">
        <v>500</v>
      </c>
      <c r="H494">
        <v>0</v>
      </c>
      <c r="I494">
        <v>3400</v>
      </c>
      <c r="J494">
        <v>1056002</v>
      </c>
      <c r="K494" s="1" t="s">
        <v>648</v>
      </c>
      <c r="L494" s="1" t="s">
        <v>646</v>
      </c>
      <c r="M494">
        <v>1</v>
      </c>
      <c r="N494">
        <v>0</v>
      </c>
      <c r="O494">
        <v>0</v>
      </c>
      <c r="R494" t="s">
        <v>60</v>
      </c>
      <c r="S494">
        <v>0</v>
      </c>
      <c r="T494">
        <v>1056002</v>
      </c>
      <c r="U494">
        <v>700</v>
      </c>
      <c r="V494">
        <v>1011</v>
      </c>
      <c r="W494" t="s">
        <v>586</v>
      </c>
      <c r="X494">
        <v>0</v>
      </c>
      <c r="Y494">
        <v>0</v>
      </c>
      <c r="Z494">
        <v>0</v>
      </c>
    </row>
    <row r="495" spans="1:26">
      <c r="A495">
        <v>6056102</v>
      </c>
      <c r="B495" t="s">
        <v>652</v>
      </c>
      <c r="C495">
        <v>2</v>
      </c>
      <c r="D495">
        <v>2001</v>
      </c>
      <c r="E495">
        <v>350</v>
      </c>
      <c r="F495">
        <v>8000</v>
      </c>
      <c r="G495" s="1">
        <v>500</v>
      </c>
      <c r="H495">
        <v>0</v>
      </c>
      <c r="I495">
        <v>3400</v>
      </c>
      <c r="J495">
        <v>1056002</v>
      </c>
      <c r="K495" s="1" t="s">
        <v>654</v>
      </c>
      <c r="L495" s="1" t="s">
        <v>652</v>
      </c>
      <c r="M495">
        <v>1</v>
      </c>
      <c r="N495">
        <v>0</v>
      </c>
      <c r="O495">
        <v>0</v>
      </c>
      <c r="R495" t="s">
        <v>60</v>
      </c>
      <c r="S495">
        <v>0</v>
      </c>
      <c r="T495">
        <v>1056002</v>
      </c>
      <c r="U495">
        <v>600</v>
      </c>
      <c r="V495">
        <v>1011</v>
      </c>
      <c r="W495" t="s">
        <v>586</v>
      </c>
      <c r="X495">
        <v>0</v>
      </c>
      <c r="Y495">
        <v>0</v>
      </c>
      <c r="Z495">
        <v>0</v>
      </c>
    </row>
    <row r="496" spans="1:26">
      <c r="A496">
        <v>6056202</v>
      </c>
      <c r="B496" t="s">
        <v>189</v>
      </c>
      <c r="C496">
        <v>2</v>
      </c>
      <c r="D496">
        <v>2001</v>
      </c>
      <c r="E496">
        <v>350</v>
      </c>
      <c r="F496">
        <v>20000</v>
      </c>
      <c r="G496" s="1">
        <v>500</v>
      </c>
      <c r="H496">
        <v>0</v>
      </c>
      <c r="I496">
        <v>4100</v>
      </c>
      <c r="J496">
        <v>1056202</v>
      </c>
      <c r="K496" s="1" t="s">
        <v>658</v>
      </c>
      <c r="L496" s="1" t="s">
        <v>189</v>
      </c>
      <c r="M496">
        <v>1</v>
      </c>
      <c r="N496">
        <v>0</v>
      </c>
      <c r="O496">
        <v>0</v>
      </c>
      <c r="R496" t="s">
        <v>60</v>
      </c>
      <c r="S496">
        <v>0</v>
      </c>
      <c r="T496">
        <v>1056202</v>
      </c>
      <c r="U496">
        <v>700</v>
      </c>
      <c r="V496">
        <v>1011</v>
      </c>
      <c r="W496" t="s">
        <v>660</v>
      </c>
      <c r="X496">
        <v>0</v>
      </c>
      <c r="Y496">
        <v>0</v>
      </c>
      <c r="Z496">
        <v>0</v>
      </c>
    </row>
    <row r="497" spans="1:26">
      <c r="A497">
        <v>6057002</v>
      </c>
      <c r="B497" t="s">
        <v>662</v>
      </c>
      <c r="C497">
        <v>2</v>
      </c>
      <c r="D497">
        <v>2001</v>
      </c>
      <c r="E497">
        <v>350</v>
      </c>
      <c r="F497">
        <v>42000</v>
      </c>
      <c r="G497" s="1">
        <v>500</v>
      </c>
      <c r="H497">
        <v>0</v>
      </c>
      <c r="I497">
        <v>3000</v>
      </c>
      <c r="J497">
        <v>1057002</v>
      </c>
      <c r="K497" s="1" t="s">
        <v>664</v>
      </c>
      <c r="L497" s="1" t="s">
        <v>662</v>
      </c>
      <c r="M497">
        <v>1</v>
      </c>
      <c r="N497">
        <v>0</v>
      </c>
      <c r="O497">
        <v>0</v>
      </c>
      <c r="R497" t="s">
        <v>60</v>
      </c>
      <c r="S497">
        <v>0</v>
      </c>
      <c r="T497">
        <v>1057002</v>
      </c>
      <c r="U497">
        <v>500</v>
      </c>
      <c r="V497">
        <v>1011</v>
      </c>
      <c r="W497">
        <v>1000</v>
      </c>
      <c r="X497">
        <v>0</v>
      </c>
      <c r="Y497">
        <v>0</v>
      </c>
      <c r="Z497">
        <v>0</v>
      </c>
    </row>
    <row r="498" spans="1:26">
      <c r="A498">
        <v>6057102</v>
      </c>
      <c r="B498" t="s">
        <v>667</v>
      </c>
      <c r="C498">
        <v>2</v>
      </c>
      <c r="D498">
        <v>2001</v>
      </c>
      <c r="E498">
        <v>350</v>
      </c>
      <c r="F498">
        <v>22000</v>
      </c>
      <c r="G498" s="1">
        <v>500</v>
      </c>
      <c r="H498">
        <v>0</v>
      </c>
      <c r="I498">
        <v>3000</v>
      </c>
      <c r="J498">
        <v>1057002</v>
      </c>
      <c r="K498" s="1" t="s">
        <v>669</v>
      </c>
      <c r="L498" s="1" t="s">
        <v>667</v>
      </c>
      <c r="M498">
        <v>1</v>
      </c>
      <c r="N498">
        <v>0</v>
      </c>
      <c r="O498">
        <v>0</v>
      </c>
      <c r="R498" t="s">
        <v>60</v>
      </c>
      <c r="S498">
        <v>0</v>
      </c>
      <c r="T498">
        <v>1057002</v>
      </c>
      <c r="U498">
        <v>500</v>
      </c>
      <c r="V498">
        <v>1011</v>
      </c>
      <c r="W498">
        <v>1100</v>
      </c>
      <c r="X498">
        <v>0</v>
      </c>
      <c r="Y498">
        <v>0</v>
      </c>
      <c r="Z498">
        <v>0</v>
      </c>
    </row>
    <row r="499" spans="1:26">
      <c r="A499">
        <v>6058002</v>
      </c>
      <c r="B499" t="s">
        <v>73</v>
      </c>
      <c r="C499">
        <v>2</v>
      </c>
      <c r="D499">
        <v>2001</v>
      </c>
      <c r="E499">
        <v>350</v>
      </c>
      <c r="F499">
        <v>21000</v>
      </c>
      <c r="G499" s="1">
        <v>500</v>
      </c>
      <c r="H499">
        <v>0</v>
      </c>
      <c r="I499">
        <v>3000</v>
      </c>
      <c r="J499">
        <v>1058002</v>
      </c>
      <c r="K499" s="1" t="s">
        <v>673</v>
      </c>
      <c r="L499" s="1" t="s">
        <v>73</v>
      </c>
      <c r="M499">
        <v>1</v>
      </c>
      <c r="N499">
        <v>0</v>
      </c>
      <c r="O499">
        <v>0</v>
      </c>
      <c r="R499" t="s">
        <v>60</v>
      </c>
      <c r="S499">
        <v>0</v>
      </c>
      <c r="T499">
        <v>1058002</v>
      </c>
      <c r="U499">
        <v>400</v>
      </c>
      <c r="V499">
        <v>1013</v>
      </c>
      <c r="W499">
        <v>2000</v>
      </c>
      <c r="X499">
        <v>0</v>
      </c>
      <c r="Y499">
        <v>0</v>
      </c>
      <c r="Z499">
        <v>0</v>
      </c>
    </row>
    <row r="500" spans="1:26">
      <c r="A500">
        <v>6058102</v>
      </c>
      <c r="B500" t="s">
        <v>676</v>
      </c>
      <c r="C500">
        <v>2</v>
      </c>
      <c r="D500">
        <v>2001</v>
      </c>
      <c r="E500">
        <v>350</v>
      </c>
      <c r="F500">
        <v>42000</v>
      </c>
      <c r="G500" s="1">
        <v>500</v>
      </c>
      <c r="H500">
        <v>0</v>
      </c>
      <c r="I500">
        <v>3000</v>
      </c>
      <c r="J500">
        <v>1058002</v>
      </c>
      <c r="K500" s="1" t="s">
        <v>678</v>
      </c>
      <c r="L500" s="1" t="s">
        <v>676</v>
      </c>
      <c r="M500">
        <v>1</v>
      </c>
      <c r="N500">
        <v>0</v>
      </c>
      <c r="O500">
        <v>0</v>
      </c>
      <c r="R500" t="s">
        <v>60</v>
      </c>
      <c r="S500">
        <v>0</v>
      </c>
      <c r="T500">
        <v>1058002</v>
      </c>
      <c r="U500">
        <v>400</v>
      </c>
      <c r="V500">
        <v>1013</v>
      </c>
      <c r="W500">
        <v>2000</v>
      </c>
      <c r="X500">
        <v>0</v>
      </c>
      <c r="Y500">
        <v>0</v>
      </c>
      <c r="Z500">
        <v>0</v>
      </c>
    </row>
    <row r="501" spans="1:26">
      <c r="A501">
        <v>6058202</v>
      </c>
      <c r="B501" t="s">
        <v>682</v>
      </c>
      <c r="C501">
        <v>2</v>
      </c>
      <c r="D501">
        <v>2001</v>
      </c>
      <c r="E501">
        <v>350</v>
      </c>
      <c r="F501">
        <v>14000</v>
      </c>
      <c r="G501" s="1">
        <v>500</v>
      </c>
      <c r="H501">
        <v>0</v>
      </c>
      <c r="I501">
        <v>3000</v>
      </c>
      <c r="J501">
        <v>1058202</v>
      </c>
      <c r="K501" s="1" t="s">
        <v>684</v>
      </c>
      <c r="L501" s="1" t="s">
        <v>682</v>
      </c>
      <c r="M501">
        <v>1</v>
      </c>
      <c r="N501">
        <v>0</v>
      </c>
      <c r="O501">
        <v>0</v>
      </c>
      <c r="R501" t="s">
        <v>60</v>
      </c>
      <c r="S501">
        <v>0</v>
      </c>
      <c r="T501">
        <v>1058202</v>
      </c>
      <c r="U501">
        <v>700</v>
      </c>
      <c r="V501">
        <v>1013</v>
      </c>
      <c r="W501" t="s">
        <v>686</v>
      </c>
      <c r="X501">
        <v>0</v>
      </c>
      <c r="Y501">
        <v>0</v>
      </c>
      <c r="Z501">
        <v>0</v>
      </c>
    </row>
    <row r="502" spans="1:26">
      <c r="A502">
        <v>6059002</v>
      </c>
      <c r="B502" t="s">
        <v>688</v>
      </c>
      <c r="C502">
        <v>2</v>
      </c>
      <c r="D502">
        <v>2001</v>
      </c>
      <c r="E502">
        <v>350</v>
      </c>
      <c r="F502">
        <v>3500</v>
      </c>
      <c r="G502" s="1">
        <v>500</v>
      </c>
      <c r="H502">
        <v>0</v>
      </c>
      <c r="I502">
        <v>4200</v>
      </c>
      <c r="J502">
        <v>1059002</v>
      </c>
      <c r="K502" s="1" t="s">
        <v>690</v>
      </c>
      <c r="L502" s="1" t="s">
        <v>688</v>
      </c>
      <c r="M502">
        <v>1</v>
      </c>
      <c r="N502">
        <v>0</v>
      </c>
      <c r="O502">
        <v>0</v>
      </c>
      <c r="R502" t="s">
        <v>60</v>
      </c>
      <c r="S502">
        <v>0</v>
      </c>
      <c r="T502">
        <v>1059002</v>
      </c>
      <c r="U502">
        <v>1400</v>
      </c>
      <c r="V502">
        <v>1011</v>
      </c>
      <c r="W502" t="s">
        <v>975</v>
      </c>
      <c r="X502">
        <v>0</v>
      </c>
      <c r="Y502">
        <v>0</v>
      </c>
      <c r="Z502">
        <v>0</v>
      </c>
    </row>
    <row r="503" spans="1:26">
      <c r="A503">
        <v>6059102</v>
      </c>
      <c r="B503" t="s">
        <v>693</v>
      </c>
      <c r="C503">
        <v>2</v>
      </c>
      <c r="D503">
        <v>2001</v>
      </c>
      <c r="E503">
        <v>350</v>
      </c>
      <c r="F503">
        <v>6000</v>
      </c>
      <c r="G503" s="1">
        <v>500</v>
      </c>
      <c r="H503">
        <v>0</v>
      </c>
      <c r="I503">
        <v>4200</v>
      </c>
      <c r="J503">
        <v>1059002</v>
      </c>
      <c r="K503" s="1" t="s">
        <v>695</v>
      </c>
      <c r="L503" s="1" t="s">
        <v>693</v>
      </c>
      <c r="M503">
        <v>1</v>
      </c>
      <c r="N503">
        <v>0</v>
      </c>
      <c r="O503">
        <v>0</v>
      </c>
      <c r="R503" t="s">
        <v>60</v>
      </c>
      <c r="S503">
        <v>0</v>
      </c>
      <c r="T503">
        <v>1059002</v>
      </c>
      <c r="U503">
        <v>800</v>
      </c>
      <c r="V503">
        <v>1011</v>
      </c>
      <c r="W503" t="s">
        <v>975</v>
      </c>
      <c r="X503">
        <v>0</v>
      </c>
      <c r="Y503">
        <v>0</v>
      </c>
      <c r="Z503">
        <v>0</v>
      </c>
    </row>
    <row r="504" spans="1:26">
      <c r="A504">
        <v>6060002</v>
      </c>
      <c r="B504" s="1" t="s">
        <v>699</v>
      </c>
      <c r="C504">
        <v>2</v>
      </c>
      <c r="D504">
        <v>2001</v>
      </c>
      <c r="E504">
        <v>350</v>
      </c>
      <c r="F504">
        <v>4300</v>
      </c>
      <c r="G504" s="1">
        <v>500</v>
      </c>
      <c r="H504">
        <v>0</v>
      </c>
      <c r="I504">
        <v>3000</v>
      </c>
      <c r="J504">
        <v>1060002</v>
      </c>
      <c r="K504" s="1" t="s">
        <v>701</v>
      </c>
      <c r="L504" s="1" t="s">
        <v>699</v>
      </c>
      <c r="M504">
        <v>1</v>
      </c>
      <c r="N504">
        <v>0</v>
      </c>
      <c r="O504">
        <v>0</v>
      </c>
      <c r="R504" t="s">
        <v>60</v>
      </c>
      <c r="S504">
        <v>0</v>
      </c>
      <c r="T504">
        <v>1060002</v>
      </c>
      <c r="U504">
        <v>1400</v>
      </c>
      <c r="V504">
        <v>1011</v>
      </c>
      <c r="W504" t="s">
        <v>976</v>
      </c>
      <c r="X504">
        <v>0</v>
      </c>
      <c r="Y504">
        <v>0</v>
      </c>
      <c r="Z504">
        <v>0</v>
      </c>
    </row>
    <row r="505" spans="1:26">
      <c r="A505">
        <v>6060102</v>
      </c>
      <c r="B505" t="s">
        <v>705</v>
      </c>
      <c r="C505">
        <v>2</v>
      </c>
      <c r="D505">
        <v>2001</v>
      </c>
      <c r="E505">
        <v>350</v>
      </c>
      <c r="F505">
        <v>8500</v>
      </c>
      <c r="G505">
        <v>500</v>
      </c>
      <c r="H505">
        <v>0</v>
      </c>
      <c r="I505">
        <v>3000</v>
      </c>
      <c r="J505">
        <v>1060002</v>
      </c>
      <c r="K505" t="s">
        <v>707</v>
      </c>
      <c r="L505" t="s">
        <v>705</v>
      </c>
      <c r="M505">
        <v>1</v>
      </c>
      <c r="N505">
        <v>0</v>
      </c>
      <c r="O505">
        <v>0</v>
      </c>
      <c r="R505" t="s">
        <v>60</v>
      </c>
      <c r="S505">
        <v>0</v>
      </c>
      <c r="T505">
        <v>1060002</v>
      </c>
      <c r="U505">
        <v>1400</v>
      </c>
      <c r="V505">
        <v>1011</v>
      </c>
      <c r="W505" t="s">
        <v>976</v>
      </c>
      <c r="X505">
        <v>0</v>
      </c>
      <c r="Y505">
        <v>0</v>
      </c>
      <c r="Z505">
        <v>0</v>
      </c>
    </row>
    <row r="506" spans="1:26">
      <c r="A506" s="1">
        <v>6062002</v>
      </c>
      <c r="B506" s="1" t="s">
        <v>711</v>
      </c>
      <c r="C506" s="1">
        <v>2</v>
      </c>
      <c r="D506" s="1">
        <v>2001</v>
      </c>
      <c r="E506" s="1">
        <v>350</v>
      </c>
      <c r="F506" s="1">
        <v>10500</v>
      </c>
      <c r="G506" s="1">
        <v>500</v>
      </c>
      <c r="H506">
        <v>0</v>
      </c>
      <c r="I506" s="1">
        <v>3300</v>
      </c>
      <c r="J506" s="1">
        <v>1062002</v>
      </c>
      <c r="K506" s="1" t="s">
        <v>713</v>
      </c>
      <c r="L506" s="1" t="s">
        <v>711</v>
      </c>
      <c r="M506" s="1">
        <v>1</v>
      </c>
      <c r="N506" s="1">
        <v>0</v>
      </c>
      <c r="O506" s="1">
        <v>0</v>
      </c>
      <c r="P506" s="1"/>
      <c r="Q506" s="1"/>
      <c r="R506" s="1" t="s">
        <v>60</v>
      </c>
      <c r="S506" s="1">
        <v>0</v>
      </c>
      <c r="T506" s="1">
        <v>1062002</v>
      </c>
      <c r="U506" s="1">
        <v>1000</v>
      </c>
      <c r="V506" s="1">
        <v>1011</v>
      </c>
      <c r="W506" s="1" t="s">
        <v>715</v>
      </c>
      <c r="X506" s="1">
        <v>0</v>
      </c>
      <c r="Y506" s="1">
        <v>0</v>
      </c>
      <c r="Z506" s="1">
        <v>0</v>
      </c>
    </row>
    <row r="507" spans="1:26">
      <c r="A507" s="1">
        <v>6062102</v>
      </c>
      <c r="B507" s="1" t="s">
        <v>717</v>
      </c>
      <c r="C507" s="1">
        <v>2</v>
      </c>
      <c r="D507" s="1">
        <v>2001</v>
      </c>
      <c r="E507" s="1">
        <v>350</v>
      </c>
      <c r="F507" s="1">
        <v>21000</v>
      </c>
      <c r="G507" s="1">
        <v>500</v>
      </c>
      <c r="H507">
        <v>0</v>
      </c>
      <c r="I507" s="1">
        <v>3300</v>
      </c>
      <c r="J507" s="1">
        <v>1062002</v>
      </c>
      <c r="K507" s="1" t="s">
        <v>719</v>
      </c>
      <c r="L507" s="1" t="s">
        <v>717</v>
      </c>
      <c r="M507" s="1">
        <v>1</v>
      </c>
      <c r="N507" s="1">
        <v>0</v>
      </c>
      <c r="O507" s="1">
        <v>0</v>
      </c>
      <c r="P507" s="1"/>
      <c r="Q507" s="1"/>
      <c r="R507" s="1" t="s">
        <v>60</v>
      </c>
      <c r="S507" s="1">
        <v>0</v>
      </c>
      <c r="T507" s="1">
        <v>1062002</v>
      </c>
      <c r="U507" s="1">
        <v>1000</v>
      </c>
      <c r="V507" s="1">
        <v>1011</v>
      </c>
      <c r="W507" s="1" t="s">
        <v>715</v>
      </c>
      <c r="X507" s="1">
        <v>0</v>
      </c>
      <c r="Y507" s="1">
        <v>0</v>
      </c>
      <c r="Z507" s="1">
        <v>0</v>
      </c>
    </row>
    <row r="509" spans="1:26">
      <c r="A509">
        <v>6006001</v>
      </c>
      <c r="B509" t="s">
        <v>235</v>
      </c>
      <c r="C509">
        <v>1</v>
      </c>
      <c r="D509">
        <v>1001</v>
      </c>
      <c r="E509">
        <v>350</v>
      </c>
      <c r="F509">
        <v>10000</v>
      </c>
      <c r="G509">
        <v>0</v>
      </c>
      <c r="H509">
        <f>A509+5000000</f>
        <v>11006001</v>
      </c>
      <c r="I509">
        <v>1000</v>
      </c>
      <c r="J509">
        <v>0</v>
      </c>
      <c r="K509" t="s">
        <v>235</v>
      </c>
      <c r="L509" t="s">
        <v>235</v>
      </c>
      <c r="M509">
        <v>1</v>
      </c>
      <c r="N509">
        <v>0</v>
      </c>
      <c r="O509">
        <v>0</v>
      </c>
      <c r="R509" t="s">
        <v>227</v>
      </c>
      <c r="S509">
        <v>0</v>
      </c>
      <c r="T509">
        <v>0</v>
      </c>
      <c r="U509">
        <v>0</v>
      </c>
      <c r="V509">
        <v>1016</v>
      </c>
      <c r="W509">
        <v>650</v>
      </c>
      <c r="X509">
        <v>1006001</v>
      </c>
      <c r="Y509">
        <v>330</v>
      </c>
      <c r="Z509">
        <v>350</v>
      </c>
    </row>
    <row r="510" spans="1:26">
      <c r="A510">
        <v>6006002</v>
      </c>
      <c r="B510" t="s">
        <v>236</v>
      </c>
      <c r="C510">
        <v>2</v>
      </c>
      <c r="D510">
        <v>2001</v>
      </c>
      <c r="E510">
        <v>350</v>
      </c>
      <c r="F510">
        <v>22000</v>
      </c>
      <c r="G510">
        <v>500</v>
      </c>
      <c r="H510">
        <f t="shared" ref="H510:H573" si="14">A510+5000000</f>
        <v>11006002</v>
      </c>
      <c r="I510">
        <v>22000</v>
      </c>
      <c r="J510">
        <v>1006002</v>
      </c>
      <c r="K510" t="s">
        <v>238</v>
      </c>
      <c r="L510" t="s">
        <v>236</v>
      </c>
      <c r="M510">
        <v>1</v>
      </c>
      <c r="N510">
        <v>0</v>
      </c>
      <c r="O510">
        <v>0</v>
      </c>
      <c r="R510" t="s">
        <v>60</v>
      </c>
      <c r="S510">
        <v>0</v>
      </c>
      <c r="T510">
        <v>1006002</v>
      </c>
      <c r="U510">
        <v>600</v>
      </c>
      <c r="V510">
        <v>1016</v>
      </c>
      <c r="W510">
        <v>1150</v>
      </c>
      <c r="X510">
        <v>0</v>
      </c>
      <c r="Y510">
        <v>0</v>
      </c>
      <c r="Z510">
        <v>0</v>
      </c>
    </row>
    <row r="511" spans="1:26">
      <c r="A511">
        <v>6006101</v>
      </c>
      <c r="B511" t="s">
        <v>240</v>
      </c>
      <c r="C511">
        <v>1</v>
      </c>
      <c r="D511">
        <v>1001</v>
      </c>
      <c r="E511">
        <v>350</v>
      </c>
      <c r="F511">
        <v>11000</v>
      </c>
      <c r="G511">
        <v>0</v>
      </c>
      <c r="H511">
        <f t="shared" si="14"/>
        <v>11006101</v>
      </c>
      <c r="I511">
        <v>1000</v>
      </c>
      <c r="J511">
        <v>0</v>
      </c>
      <c r="K511" t="s">
        <v>240</v>
      </c>
      <c r="L511" t="s">
        <v>240</v>
      </c>
      <c r="M511">
        <v>1</v>
      </c>
      <c r="N511">
        <v>0</v>
      </c>
      <c r="O511">
        <v>0</v>
      </c>
      <c r="R511" t="s">
        <v>227</v>
      </c>
      <c r="S511">
        <v>0</v>
      </c>
      <c r="T511">
        <v>0</v>
      </c>
      <c r="U511">
        <v>0</v>
      </c>
      <c r="V511">
        <v>1016</v>
      </c>
      <c r="W511">
        <v>700</v>
      </c>
      <c r="X511">
        <v>1006001</v>
      </c>
      <c r="Y511">
        <v>400</v>
      </c>
      <c r="Z511">
        <v>350</v>
      </c>
    </row>
    <row r="512" spans="1:26">
      <c r="A512">
        <v>6006102</v>
      </c>
      <c r="B512" t="s">
        <v>241</v>
      </c>
      <c r="C512">
        <v>2</v>
      </c>
      <c r="D512">
        <v>2001</v>
      </c>
      <c r="E512">
        <v>350</v>
      </c>
      <c r="F512">
        <v>42000</v>
      </c>
      <c r="G512">
        <v>500</v>
      </c>
      <c r="H512">
        <f t="shared" si="14"/>
        <v>11006102</v>
      </c>
      <c r="I512">
        <v>22000</v>
      </c>
      <c r="J512">
        <v>1006002</v>
      </c>
      <c r="K512" t="s">
        <v>243</v>
      </c>
      <c r="L512" t="s">
        <v>241</v>
      </c>
      <c r="M512">
        <v>1</v>
      </c>
      <c r="N512">
        <v>0</v>
      </c>
      <c r="O512">
        <v>0</v>
      </c>
      <c r="R512" t="s">
        <v>60</v>
      </c>
      <c r="S512">
        <v>0</v>
      </c>
      <c r="T512">
        <v>1006102</v>
      </c>
      <c r="U512">
        <v>500</v>
      </c>
      <c r="V512">
        <v>1016</v>
      </c>
      <c r="W512">
        <v>1500</v>
      </c>
      <c r="X512">
        <v>0</v>
      </c>
      <c r="Y512">
        <v>0</v>
      </c>
      <c r="Z512">
        <v>0</v>
      </c>
    </row>
    <row r="513" spans="1:26">
      <c r="A513">
        <v>6006201</v>
      </c>
      <c r="B513" t="s">
        <v>245</v>
      </c>
      <c r="C513">
        <v>1</v>
      </c>
      <c r="D513">
        <v>1001</v>
      </c>
      <c r="E513">
        <v>350</v>
      </c>
      <c r="F513">
        <v>13000</v>
      </c>
      <c r="G513">
        <v>0</v>
      </c>
      <c r="H513">
        <f t="shared" si="14"/>
        <v>11006201</v>
      </c>
      <c r="I513">
        <v>1000</v>
      </c>
      <c r="J513">
        <v>0</v>
      </c>
      <c r="K513" t="s">
        <v>245</v>
      </c>
      <c r="L513" t="s">
        <v>245</v>
      </c>
      <c r="M513">
        <v>1</v>
      </c>
      <c r="N513">
        <v>0</v>
      </c>
      <c r="O513">
        <v>0</v>
      </c>
      <c r="R513" t="s">
        <v>227</v>
      </c>
      <c r="S513">
        <v>0</v>
      </c>
      <c r="T513">
        <v>0</v>
      </c>
      <c r="U513">
        <v>0</v>
      </c>
      <c r="V513">
        <v>1016</v>
      </c>
      <c r="W513">
        <v>700</v>
      </c>
      <c r="X513">
        <v>1006001</v>
      </c>
      <c r="Y513">
        <v>500</v>
      </c>
      <c r="Z513">
        <v>350</v>
      </c>
    </row>
    <row r="514" spans="1:26">
      <c r="A514">
        <v>6006202</v>
      </c>
      <c r="B514" t="s">
        <v>203</v>
      </c>
      <c r="C514">
        <v>2</v>
      </c>
      <c r="D514">
        <v>2001</v>
      </c>
      <c r="E514">
        <v>350</v>
      </c>
      <c r="F514">
        <v>20000</v>
      </c>
      <c r="G514">
        <v>500</v>
      </c>
      <c r="H514">
        <f t="shared" si="14"/>
        <v>11006202</v>
      </c>
      <c r="I514">
        <v>22000</v>
      </c>
      <c r="J514">
        <v>1006002</v>
      </c>
      <c r="K514" t="s">
        <v>247</v>
      </c>
      <c r="L514" t="s">
        <v>203</v>
      </c>
      <c r="M514">
        <v>1</v>
      </c>
      <c r="N514">
        <v>0</v>
      </c>
      <c r="O514">
        <v>0</v>
      </c>
      <c r="R514" t="s">
        <v>60</v>
      </c>
      <c r="S514">
        <v>0</v>
      </c>
      <c r="T514">
        <v>1006202</v>
      </c>
      <c r="U514">
        <v>600</v>
      </c>
      <c r="V514">
        <v>1016</v>
      </c>
      <c r="W514" t="s">
        <v>249</v>
      </c>
      <c r="X514">
        <v>0</v>
      </c>
      <c r="Y514">
        <v>0</v>
      </c>
      <c r="Z514">
        <v>0</v>
      </c>
    </row>
    <row r="515" spans="1:26">
      <c r="A515">
        <v>6007001</v>
      </c>
      <c r="B515" t="s">
        <v>250</v>
      </c>
      <c r="C515">
        <v>1</v>
      </c>
      <c r="D515">
        <v>1001</v>
      </c>
      <c r="E515">
        <v>350</v>
      </c>
      <c r="F515">
        <v>10000</v>
      </c>
      <c r="G515">
        <v>0</v>
      </c>
      <c r="H515">
        <f t="shared" si="14"/>
        <v>11007001</v>
      </c>
      <c r="I515">
        <v>1000</v>
      </c>
      <c r="J515">
        <v>0</v>
      </c>
      <c r="K515" t="s">
        <v>250</v>
      </c>
      <c r="L515" t="s">
        <v>250</v>
      </c>
      <c r="M515">
        <v>1</v>
      </c>
      <c r="N515">
        <v>0</v>
      </c>
      <c r="O515">
        <v>0</v>
      </c>
      <c r="R515" t="s">
        <v>227</v>
      </c>
      <c r="S515">
        <v>0</v>
      </c>
      <c r="T515">
        <v>0</v>
      </c>
      <c r="U515">
        <v>0</v>
      </c>
      <c r="V515">
        <v>1011</v>
      </c>
      <c r="W515">
        <v>600</v>
      </c>
      <c r="X515">
        <v>1007001</v>
      </c>
      <c r="Y515">
        <v>300</v>
      </c>
      <c r="Z515">
        <v>350</v>
      </c>
    </row>
    <row r="516" spans="1:26">
      <c r="A516">
        <v>6007002</v>
      </c>
      <c r="B516" t="s">
        <v>82</v>
      </c>
      <c r="C516">
        <v>2</v>
      </c>
      <c r="D516">
        <v>2001</v>
      </c>
      <c r="E516">
        <v>350</v>
      </c>
      <c r="F516">
        <v>21000</v>
      </c>
      <c r="G516">
        <v>500</v>
      </c>
      <c r="H516">
        <f t="shared" si="14"/>
        <v>11007002</v>
      </c>
      <c r="I516">
        <v>7000</v>
      </c>
      <c r="J516">
        <v>1007002</v>
      </c>
      <c r="K516" t="s">
        <v>252</v>
      </c>
      <c r="L516" t="s">
        <v>82</v>
      </c>
      <c r="M516">
        <v>1</v>
      </c>
      <c r="N516">
        <v>0</v>
      </c>
      <c r="O516">
        <v>0</v>
      </c>
      <c r="R516" t="s">
        <v>60</v>
      </c>
      <c r="S516">
        <v>0</v>
      </c>
      <c r="T516">
        <v>1007002</v>
      </c>
      <c r="U516">
        <v>900</v>
      </c>
      <c r="V516">
        <v>1011</v>
      </c>
      <c r="W516">
        <v>1400</v>
      </c>
      <c r="X516">
        <v>0</v>
      </c>
      <c r="Y516">
        <v>0</v>
      </c>
      <c r="Z516">
        <v>0</v>
      </c>
    </row>
    <row r="517" spans="1:26">
      <c r="A517">
        <v>6007101</v>
      </c>
      <c r="B517" t="s">
        <v>254</v>
      </c>
      <c r="C517">
        <v>1</v>
      </c>
      <c r="D517">
        <v>1001</v>
      </c>
      <c r="E517">
        <v>350</v>
      </c>
      <c r="F517">
        <v>10000</v>
      </c>
      <c r="G517">
        <v>0</v>
      </c>
      <c r="H517">
        <f t="shared" si="14"/>
        <v>11007101</v>
      </c>
      <c r="I517">
        <v>1000</v>
      </c>
      <c r="J517">
        <v>0</v>
      </c>
      <c r="K517" t="s">
        <v>254</v>
      </c>
      <c r="L517" t="s">
        <v>254</v>
      </c>
      <c r="M517">
        <v>1</v>
      </c>
      <c r="N517">
        <v>0</v>
      </c>
      <c r="O517">
        <v>0</v>
      </c>
      <c r="R517" t="s">
        <v>227</v>
      </c>
      <c r="S517">
        <v>0</v>
      </c>
      <c r="T517">
        <v>0</v>
      </c>
      <c r="U517">
        <v>0</v>
      </c>
      <c r="V517">
        <v>1011</v>
      </c>
      <c r="W517">
        <v>700</v>
      </c>
      <c r="X517">
        <v>1007001</v>
      </c>
      <c r="Y517">
        <v>400</v>
      </c>
      <c r="Z517">
        <v>350</v>
      </c>
    </row>
    <row r="518" spans="1:26">
      <c r="A518">
        <v>6007102</v>
      </c>
      <c r="B518" t="s">
        <v>255</v>
      </c>
      <c r="C518">
        <v>2</v>
      </c>
      <c r="D518">
        <v>2001</v>
      </c>
      <c r="E518">
        <v>350</v>
      </c>
      <c r="F518">
        <v>21000</v>
      </c>
      <c r="G518">
        <v>500</v>
      </c>
      <c r="H518">
        <f t="shared" si="14"/>
        <v>11007102</v>
      </c>
      <c r="I518">
        <v>7000</v>
      </c>
      <c r="J518">
        <v>1007002</v>
      </c>
      <c r="K518" t="s">
        <v>257</v>
      </c>
      <c r="L518" t="s">
        <v>255</v>
      </c>
      <c r="M518">
        <v>1</v>
      </c>
      <c r="N518">
        <v>0</v>
      </c>
      <c r="O518">
        <v>0</v>
      </c>
      <c r="R518" t="s">
        <v>60</v>
      </c>
      <c r="S518">
        <v>0</v>
      </c>
      <c r="T518">
        <v>1007102</v>
      </c>
      <c r="U518">
        <v>1000</v>
      </c>
      <c r="V518">
        <v>1011</v>
      </c>
      <c r="W518">
        <v>1500</v>
      </c>
      <c r="X518">
        <v>0</v>
      </c>
      <c r="Y518">
        <v>0</v>
      </c>
      <c r="Z518">
        <v>0</v>
      </c>
    </row>
    <row r="519" spans="1:26">
      <c r="A519">
        <v>6009001</v>
      </c>
      <c r="B519" t="s">
        <v>259</v>
      </c>
      <c r="C519">
        <v>1</v>
      </c>
      <c r="D519">
        <v>1001</v>
      </c>
      <c r="E519">
        <v>350</v>
      </c>
      <c r="F519">
        <v>10000</v>
      </c>
      <c r="G519">
        <v>0</v>
      </c>
      <c r="H519">
        <f t="shared" si="14"/>
        <v>11009001</v>
      </c>
      <c r="I519">
        <v>1000</v>
      </c>
      <c r="J519">
        <v>0</v>
      </c>
      <c r="K519" t="s">
        <v>259</v>
      </c>
      <c r="L519" t="s">
        <v>259</v>
      </c>
      <c r="M519">
        <v>1</v>
      </c>
      <c r="N519">
        <v>0</v>
      </c>
      <c r="O519">
        <v>0</v>
      </c>
      <c r="R519" t="s">
        <v>227</v>
      </c>
      <c r="S519">
        <v>0</v>
      </c>
      <c r="T519">
        <v>0</v>
      </c>
      <c r="U519">
        <v>0</v>
      </c>
      <c r="V519">
        <v>1011</v>
      </c>
      <c r="W519">
        <v>700</v>
      </c>
      <c r="X519">
        <v>1009001</v>
      </c>
      <c r="Y519">
        <v>400</v>
      </c>
      <c r="Z519">
        <v>350</v>
      </c>
    </row>
    <row r="520" spans="1:26">
      <c r="A520">
        <v>6009002</v>
      </c>
      <c r="B520" t="s">
        <v>154</v>
      </c>
      <c r="C520">
        <v>2</v>
      </c>
      <c r="D520">
        <v>2001</v>
      </c>
      <c r="E520">
        <v>350</v>
      </c>
      <c r="F520">
        <v>3500</v>
      </c>
      <c r="G520">
        <v>500</v>
      </c>
      <c r="H520">
        <f t="shared" si="14"/>
        <v>11009002</v>
      </c>
      <c r="I520">
        <v>7000</v>
      </c>
      <c r="J520">
        <v>1009002</v>
      </c>
      <c r="K520" t="s">
        <v>261</v>
      </c>
      <c r="L520" t="s">
        <v>154</v>
      </c>
      <c r="M520">
        <v>1</v>
      </c>
      <c r="N520">
        <v>0</v>
      </c>
      <c r="O520">
        <v>0</v>
      </c>
      <c r="R520" t="s">
        <v>60</v>
      </c>
      <c r="S520">
        <v>0</v>
      </c>
      <c r="T520">
        <v>1009002</v>
      </c>
      <c r="U520">
        <v>500</v>
      </c>
      <c r="V520">
        <v>1011</v>
      </c>
      <c r="W520" t="s">
        <v>263</v>
      </c>
      <c r="X520">
        <v>0</v>
      </c>
      <c r="Y520">
        <v>0</v>
      </c>
      <c r="Z520">
        <v>0</v>
      </c>
    </row>
    <row r="521" spans="1:26">
      <c r="A521">
        <v>6009101</v>
      </c>
      <c r="B521" t="s">
        <v>264</v>
      </c>
      <c r="C521">
        <v>1</v>
      </c>
      <c r="D521">
        <v>1001</v>
      </c>
      <c r="E521">
        <v>350</v>
      </c>
      <c r="F521">
        <v>11000</v>
      </c>
      <c r="G521">
        <v>0</v>
      </c>
      <c r="H521">
        <f t="shared" si="14"/>
        <v>11009101</v>
      </c>
      <c r="I521">
        <v>1000</v>
      </c>
      <c r="J521">
        <v>0</v>
      </c>
      <c r="K521" t="s">
        <v>264</v>
      </c>
      <c r="L521" t="s">
        <v>264</v>
      </c>
      <c r="M521">
        <v>1</v>
      </c>
      <c r="N521">
        <v>0</v>
      </c>
      <c r="O521">
        <v>0</v>
      </c>
      <c r="R521" t="s">
        <v>227</v>
      </c>
      <c r="S521">
        <v>0</v>
      </c>
      <c r="T521">
        <v>0</v>
      </c>
      <c r="U521">
        <v>0</v>
      </c>
      <c r="V521">
        <v>1011</v>
      </c>
      <c r="W521">
        <v>800</v>
      </c>
      <c r="X521">
        <v>1009001</v>
      </c>
      <c r="Y521">
        <v>500</v>
      </c>
      <c r="Z521">
        <v>350</v>
      </c>
    </row>
    <row r="522" spans="1:26">
      <c r="A522">
        <v>6009102</v>
      </c>
      <c r="B522" t="s">
        <v>265</v>
      </c>
      <c r="C522">
        <v>2</v>
      </c>
      <c r="D522">
        <v>2001</v>
      </c>
      <c r="E522">
        <v>350</v>
      </c>
      <c r="F522">
        <v>6000</v>
      </c>
      <c r="G522">
        <v>500</v>
      </c>
      <c r="H522">
        <f t="shared" si="14"/>
        <v>11009102</v>
      </c>
      <c r="I522">
        <v>7000</v>
      </c>
      <c r="J522">
        <v>1009002</v>
      </c>
      <c r="K522" t="s">
        <v>267</v>
      </c>
      <c r="L522" t="s">
        <v>265</v>
      </c>
      <c r="M522">
        <v>1</v>
      </c>
      <c r="N522">
        <v>0</v>
      </c>
      <c r="O522">
        <v>0</v>
      </c>
      <c r="R522" t="s">
        <v>60</v>
      </c>
      <c r="S522">
        <v>0</v>
      </c>
      <c r="T522">
        <v>1009002</v>
      </c>
      <c r="U522">
        <v>700</v>
      </c>
      <c r="V522">
        <v>1011</v>
      </c>
      <c r="W522" t="s">
        <v>269</v>
      </c>
      <c r="X522">
        <v>0</v>
      </c>
      <c r="Y522">
        <v>0</v>
      </c>
      <c r="Z522">
        <v>0</v>
      </c>
    </row>
    <row r="523" spans="1:26">
      <c r="A523">
        <v>6010001</v>
      </c>
      <c r="B523" t="s">
        <v>270</v>
      </c>
      <c r="C523">
        <v>1</v>
      </c>
      <c r="D523">
        <v>1001</v>
      </c>
      <c r="E523">
        <v>350</v>
      </c>
      <c r="F523">
        <v>10000</v>
      </c>
      <c r="G523">
        <v>0</v>
      </c>
      <c r="H523">
        <f t="shared" si="14"/>
        <v>11010001</v>
      </c>
      <c r="I523">
        <v>1000</v>
      </c>
      <c r="J523">
        <v>0</v>
      </c>
      <c r="K523" t="s">
        <v>270</v>
      </c>
      <c r="L523" t="s">
        <v>270</v>
      </c>
      <c r="M523">
        <v>1</v>
      </c>
      <c r="N523">
        <v>0</v>
      </c>
      <c r="O523">
        <v>0</v>
      </c>
      <c r="R523" t="s">
        <v>227</v>
      </c>
      <c r="S523">
        <v>0</v>
      </c>
      <c r="T523">
        <v>0</v>
      </c>
      <c r="U523">
        <v>0</v>
      </c>
      <c r="V523">
        <v>1013</v>
      </c>
      <c r="W523">
        <v>800</v>
      </c>
      <c r="X523">
        <v>1010001</v>
      </c>
      <c r="Y523">
        <v>500</v>
      </c>
      <c r="Z523">
        <v>350</v>
      </c>
    </row>
    <row r="524" spans="1:26">
      <c r="A524">
        <v>6010002</v>
      </c>
      <c r="B524" t="s">
        <v>271</v>
      </c>
      <c r="C524">
        <v>2</v>
      </c>
      <c r="D524">
        <v>2001</v>
      </c>
      <c r="E524">
        <v>350</v>
      </c>
      <c r="F524">
        <v>21000</v>
      </c>
      <c r="G524">
        <v>500</v>
      </c>
      <c r="H524">
        <f t="shared" si="14"/>
        <v>11010002</v>
      </c>
      <c r="I524">
        <v>7000</v>
      </c>
      <c r="J524">
        <v>1010002</v>
      </c>
      <c r="K524" t="s">
        <v>273</v>
      </c>
      <c r="L524" t="s">
        <v>271</v>
      </c>
      <c r="M524">
        <v>1</v>
      </c>
      <c r="N524">
        <v>0</v>
      </c>
      <c r="O524">
        <v>0</v>
      </c>
      <c r="R524" t="s">
        <v>60</v>
      </c>
      <c r="S524">
        <v>0</v>
      </c>
      <c r="T524">
        <v>1010002</v>
      </c>
      <c r="U524">
        <v>600</v>
      </c>
      <c r="V524">
        <v>1013</v>
      </c>
      <c r="W524">
        <v>1200</v>
      </c>
      <c r="X524">
        <v>0</v>
      </c>
      <c r="Y524">
        <v>0</v>
      </c>
      <c r="Z524">
        <v>0</v>
      </c>
    </row>
    <row r="525" spans="1:26">
      <c r="A525">
        <v>6010101</v>
      </c>
      <c r="B525" t="s">
        <v>275</v>
      </c>
      <c r="C525">
        <v>1</v>
      </c>
      <c r="D525">
        <v>1001</v>
      </c>
      <c r="E525">
        <v>350</v>
      </c>
      <c r="F525">
        <v>11000</v>
      </c>
      <c r="G525">
        <v>0</v>
      </c>
      <c r="H525">
        <f t="shared" si="14"/>
        <v>11010101</v>
      </c>
      <c r="I525">
        <v>1000</v>
      </c>
      <c r="J525">
        <v>0</v>
      </c>
      <c r="K525" t="s">
        <v>275</v>
      </c>
      <c r="L525" t="s">
        <v>275</v>
      </c>
      <c r="M525">
        <v>1</v>
      </c>
      <c r="N525">
        <v>0</v>
      </c>
      <c r="O525">
        <v>0</v>
      </c>
      <c r="R525" t="s">
        <v>227</v>
      </c>
      <c r="S525">
        <v>0</v>
      </c>
      <c r="T525">
        <v>0</v>
      </c>
      <c r="U525">
        <v>0</v>
      </c>
      <c r="V525">
        <v>1013</v>
      </c>
      <c r="W525">
        <v>700</v>
      </c>
      <c r="X525">
        <v>1010001</v>
      </c>
      <c r="Y525">
        <v>400</v>
      </c>
      <c r="Z525">
        <v>350</v>
      </c>
    </row>
    <row r="526" spans="1:26">
      <c r="A526">
        <v>6010102</v>
      </c>
      <c r="B526" t="s">
        <v>56</v>
      </c>
      <c r="C526">
        <v>2</v>
      </c>
      <c r="D526">
        <v>2001</v>
      </c>
      <c r="E526">
        <v>350</v>
      </c>
      <c r="F526">
        <v>21000</v>
      </c>
      <c r="G526">
        <v>500</v>
      </c>
      <c r="H526">
        <f t="shared" si="14"/>
        <v>11010102</v>
      </c>
      <c r="I526">
        <v>7000</v>
      </c>
      <c r="J526">
        <v>1010002</v>
      </c>
      <c r="K526" t="s">
        <v>277</v>
      </c>
      <c r="L526" t="s">
        <v>56</v>
      </c>
      <c r="M526">
        <v>1</v>
      </c>
      <c r="N526">
        <v>0</v>
      </c>
      <c r="O526">
        <v>0</v>
      </c>
      <c r="R526" t="s">
        <v>60</v>
      </c>
      <c r="S526">
        <v>0</v>
      </c>
      <c r="T526">
        <v>1010102</v>
      </c>
      <c r="U526">
        <v>500</v>
      </c>
      <c r="V526">
        <v>1013</v>
      </c>
      <c r="W526" t="s">
        <v>279</v>
      </c>
      <c r="X526">
        <v>0</v>
      </c>
      <c r="Y526">
        <v>0</v>
      </c>
      <c r="Z526">
        <v>0</v>
      </c>
    </row>
    <row r="527" spans="1:26">
      <c r="A527">
        <v>6010201</v>
      </c>
      <c r="B527" t="s">
        <v>280</v>
      </c>
      <c r="C527">
        <v>1</v>
      </c>
      <c r="D527">
        <v>1001</v>
      </c>
      <c r="E527">
        <v>350</v>
      </c>
      <c r="F527">
        <v>11000</v>
      </c>
      <c r="G527">
        <v>0</v>
      </c>
      <c r="H527">
        <f t="shared" si="14"/>
        <v>11010201</v>
      </c>
      <c r="I527">
        <v>1000</v>
      </c>
      <c r="J527">
        <v>0</v>
      </c>
      <c r="K527" t="s">
        <v>280</v>
      </c>
      <c r="L527" t="s">
        <v>280</v>
      </c>
      <c r="M527">
        <v>1</v>
      </c>
      <c r="N527">
        <v>0</v>
      </c>
      <c r="O527">
        <v>0</v>
      </c>
      <c r="R527" t="s">
        <v>227</v>
      </c>
      <c r="S527">
        <v>0</v>
      </c>
      <c r="T527">
        <v>0</v>
      </c>
      <c r="U527">
        <v>0</v>
      </c>
      <c r="V527">
        <v>1013</v>
      </c>
      <c r="W527">
        <v>700</v>
      </c>
      <c r="X527">
        <v>1010001</v>
      </c>
      <c r="Y527">
        <v>400</v>
      </c>
      <c r="Z527">
        <v>350</v>
      </c>
    </row>
    <row r="528" spans="1:26">
      <c r="A528">
        <v>6010202</v>
      </c>
      <c r="B528" t="s">
        <v>208</v>
      </c>
      <c r="C528">
        <v>2</v>
      </c>
      <c r="D528">
        <v>2001</v>
      </c>
      <c r="E528">
        <v>350</v>
      </c>
      <c r="F528">
        <v>11000</v>
      </c>
      <c r="G528">
        <v>500</v>
      </c>
      <c r="H528">
        <f t="shared" si="14"/>
        <v>11010202</v>
      </c>
      <c r="I528">
        <v>7000</v>
      </c>
      <c r="J528">
        <v>1010202</v>
      </c>
      <c r="K528" t="s">
        <v>282</v>
      </c>
      <c r="L528" t="s">
        <v>208</v>
      </c>
      <c r="M528">
        <v>1</v>
      </c>
      <c r="N528">
        <v>0</v>
      </c>
      <c r="O528">
        <v>0</v>
      </c>
      <c r="R528" t="s">
        <v>60</v>
      </c>
      <c r="S528">
        <v>0</v>
      </c>
      <c r="T528">
        <v>1010202</v>
      </c>
      <c r="U528">
        <v>1100</v>
      </c>
      <c r="V528">
        <v>1013</v>
      </c>
      <c r="W528" t="s">
        <v>284</v>
      </c>
      <c r="X528">
        <v>0</v>
      </c>
      <c r="Y528">
        <v>0</v>
      </c>
      <c r="Z528">
        <v>0</v>
      </c>
    </row>
    <row r="529" spans="1:26">
      <c r="A529">
        <v>6011001</v>
      </c>
      <c r="B529" t="s">
        <v>285</v>
      </c>
      <c r="C529">
        <v>1</v>
      </c>
      <c r="D529">
        <v>1001</v>
      </c>
      <c r="E529">
        <v>350</v>
      </c>
      <c r="F529">
        <v>10000</v>
      </c>
      <c r="G529">
        <v>0</v>
      </c>
      <c r="H529">
        <f t="shared" si="14"/>
        <v>11011001</v>
      </c>
      <c r="I529">
        <v>1000</v>
      </c>
      <c r="J529">
        <v>0</v>
      </c>
      <c r="K529" t="s">
        <v>285</v>
      </c>
      <c r="L529" t="s">
        <v>285</v>
      </c>
      <c r="M529">
        <v>1</v>
      </c>
      <c r="N529">
        <v>0</v>
      </c>
      <c r="O529">
        <v>0</v>
      </c>
      <c r="R529" t="s">
        <v>227</v>
      </c>
      <c r="S529">
        <v>0</v>
      </c>
      <c r="T529">
        <v>0</v>
      </c>
      <c r="U529">
        <v>0</v>
      </c>
      <c r="V529">
        <v>1013</v>
      </c>
      <c r="W529">
        <v>700</v>
      </c>
      <c r="X529">
        <v>1011001</v>
      </c>
      <c r="Y529">
        <v>400</v>
      </c>
      <c r="Z529">
        <v>350</v>
      </c>
    </row>
    <row r="530" spans="1:26">
      <c r="A530">
        <v>6011002</v>
      </c>
      <c r="B530" t="s">
        <v>286</v>
      </c>
      <c r="C530">
        <v>2</v>
      </c>
      <c r="D530">
        <v>2001</v>
      </c>
      <c r="E530">
        <v>350</v>
      </c>
      <c r="F530">
        <v>5400</v>
      </c>
      <c r="G530">
        <v>500</v>
      </c>
      <c r="H530">
        <f t="shared" si="14"/>
        <v>11011002</v>
      </c>
      <c r="I530">
        <v>7000</v>
      </c>
      <c r="J530">
        <v>1011002</v>
      </c>
      <c r="K530" t="s">
        <v>288</v>
      </c>
      <c r="L530" t="s">
        <v>286</v>
      </c>
      <c r="M530">
        <v>1</v>
      </c>
      <c r="N530">
        <v>0</v>
      </c>
      <c r="O530">
        <v>0</v>
      </c>
      <c r="R530" t="s">
        <v>60</v>
      </c>
      <c r="S530">
        <v>0</v>
      </c>
      <c r="T530">
        <v>1011002</v>
      </c>
      <c r="U530">
        <v>300</v>
      </c>
      <c r="V530">
        <v>1013</v>
      </c>
      <c r="W530" t="s">
        <v>969</v>
      </c>
      <c r="X530">
        <v>0</v>
      </c>
      <c r="Y530">
        <v>0</v>
      </c>
      <c r="Z530">
        <v>0</v>
      </c>
    </row>
    <row r="531" spans="1:26">
      <c r="A531">
        <v>6011101</v>
      </c>
      <c r="B531" t="s">
        <v>291</v>
      </c>
      <c r="C531">
        <v>1</v>
      </c>
      <c r="D531">
        <v>1001</v>
      </c>
      <c r="E531">
        <v>350</v>
      </c>
      <c r="F531">
        <v>11000</v>
      </c>
      <c r="G531">
        <v>0</v>
      </c>
      <c r="H531">
        <f t="shared" si="14"/>
        <v>11011101</v>
      </c>
      <c r="I531">
        <v>1000</v>
      </c>
      <c r="J531">
        <v>0</v>
      </c>
      <c r="K531" t="s">
        <v>291</v>
      </c>
      <c r="L531" t="s">
        <v>291</v>
      </c>
      <c r="M531">
        <v>1</v>
      </c>
      <c r="N531">
        <v>0</v>
      </c>
      <c r="O531">
        <v>0</v>
      </c>
      <c r="R531" t="s">
        <v>227</v>
      </c>
      <c r="S531">
        <v>0</v>
      </c>
      <c r="T531">
        <v>0</v>
      </c>
      <c r="U531">
        <v>0</v>
      </c>
      <c r="V531">
        <v>1013</v>
      </c>
      <c r="W531">
        <v>700</v>
      </c>
      <c r="X531">
        <v>1011001</v>
      </c>
      <c r="Y531">
        <v>400</v>
      </c>
      <c r="Z531">
        <v>350</v>
      </c>
    </row>
    <row r="532" spans="1:26">
      <c r="A532">
        <v>6011102</v>
      </c>
      <c r="B532" t="s">
        <v>116</v>
      </c>
      <c r="C532">
        <v>2</v>
      </c>
      <c r="D532">
        <v>2001</v>
      </c>
      <c r="E532">
        <v>350</v>
      </c>
      <c r="F532">
        <v>10000</v>
      </c>
      <c r="G532">
        <v>500</v>
      </c>
      <c r="H532">
        <f t="shared" si="14"/>
        <v>11011102</v>
      </c>
      <c r="I532">
        <v>7000</v>
      </c>
      <c r="J532">
        <v>1011002</v>
      </c>
      <c r="K532" t="s">
        <v>293</v>
      </c>
      <c r="L532" t="s">
        <v>116</v>
      </c>
      <c r="M532">
        <v>1</v>
      </c>
      <c r="N532">
        <v>0</v>
      </c>
      <c r="O532">
        <v>0</v>
      </c>
      <c r="R532" t="s">
        <v>60</v>
      </c>
      <c r="S532">
        <v>0</v>
      </c>
      <c r="T532">
        <v>1011002</v>
      </c>
      <c r="U532">
        <v>500</v>
      </c>
      <c r="V532">
        <v>1013</v>
      </c>
      <c r="W532" t="s">
        <v>970</v>
      </c>
      <c r="X532">
        <v>0</v>
      </c>
      <c r="Y532">
        <v>0</v>
      </c>
      <c r="Z532">
        <v>0</v>
      </c>
    </row>
    <row r="533" spans="1:26">
      <c r="A533">
        <v>6012001</v>
      </c>
      <c r="B533" t="s">
        <v>295</v>
      </c>
      <c r="C533">
        <v>1</v>
      </c>
      <c r="D533">
        <v>1001</v>
      </c>
      <c r="E533">
        <v>350</v>
      </c>
      <c r="F533">
        <v>10000</v>
      </c>
      <c r="G533">
        <v>0</v>
      </c>
      <c r="H533">
        <f t="shared" si="14"/>
        <v>11012001</v>
      </c>
      <c r="I533">
        <v>1000</v>
      </c>
      <c r="J533">
        <v>0</v>
      </c>
      <c r="K533" t="s">
        <v>295</v>
      </c>
      <c r="L533" t="s">
        <v>295</v>
      </c>
      <c r="M533">
        <v>1</v>
      </c>
      <c r="N533">
        <v>0</v>
      </c>
      <c r="O533">
        <v>0</v>
      </c>
      <c r="R533" t="s">
        <v>227</v>
      </c>
      <c r="S533">
        <v>0</v>
      </c>
      <c r="T533">
        <v>0</v>
      </c>
      <c r="U533">
        <v>0</v>
      </c>
      <c r="V533">
        <v>1013</v>
      </c>
      <c r="W533">
        <v>600</v>
      </c>
      <c r="X533">
        <v>1012001</v>
      </c>
      <c r="Y533">
        <v>300</v>
      </c>
      <c r="Z533">
        <v>350</v>
      </c>
    </row>
    <row r="534" spans="1:26">
      <c r="A534">
        <v>6012002</v>
      </c>
      <c r="B534" t="s">
        <v>296</v>
      </c>
      <c r="C534">
        <v>2</v>
      </c>
      <c r="D534">
        <v>2001</v>
      </c>
      <c r="E534">
        <v>350</v>
      </c>
      <c r="F534">
        <v>4500</v>
      </c>
      <c r="G534">
        <v>500</v>
      </c>
      <c r="H534">
        <f t="shared" si="14"/>
        <v>11012002</v>
      </c>
      <c r="I534">
        <v>7000</v>
      </c>
      <c r="J534">
        <v>1012002</v>
      </c>
      <c r="K534" t="s">
        <v>298</v>
      </c>
      <c r="L534" t="s">
        <v>296</v>
      </c>
      <c r="M534">
        <v>1</v>
      </c>
      <c r="N534">
        <v>0</v>
      </c>
      <c r="O534">
        <v>0</v>
      </c>
      <c r="R534" t="s">
        <v>60</v>
      </c>
      <c r="S534">
        <v>0</v>
      </c>
      <c r="T534">
        <v>1012002</v>
      </c>
      <c r="U534">
        <v>700</v>
      </c>
      <c r="V534">
        <v>1013</v>
      </c>
      <c r="W534" t="s">
        <v>971</v>
      </c>
      <c r="X534">
        <v>0</v>
      </c>
      <c r="Y534">
        <v>0</v>
      </c>
      <c r="Z534">
        <v>0</v>
      </c>
    </row>
    <row r="535" spans="1:26">
      <c r="A535">
        <v>6012101</v>
      </c>
      <c r="B535" t="s">
        <v>301</v>
      </c>
      <c r="C535">
        <v>1</v>
      </c>
      <c r="D535">
        <v>1001</v>
      </c>
      <c r="E535">
        <v>350</v>
      </c>
      <c r="F535">
        <v>11000</v>
      </c>
      <c r="G535">
        <v>0</v>
      </c>
      <c r="H535">
        <f t="shared" si="14"/>
        <v>11012101</v>
      </c>
      <c r="I535">
        <v>1000</v>
      </c>
      <c r="J535">
        <v>0</v>
      </c>
      <c r="K535" t="s">
        <v>301</v>
      </c>
      <c r="L535" t="s">
        <v>301</v>
      </c>
      <c r="M535">
        <v>1</v>
      </c>
      <c r="N535">
        <v>0</v>
      </c>
      <c r="O535">
        <v>0</v>
      </c>
      <c r="R535" t="s">
        <v>227</v>
      </c>
      <c r="S535">
        <v>0</v>
      </c>
      <c r="T535">
        <v>0</v>
      </c>
      <c r="U535">
        <v>0</v>
      </c>
      <c r="V535">
        <v>1013</v>
      </c>
      <c r="W535">
        <v>600</v>
      </c>
      <c r="X535">
        <v>1012001</v>
      </c>
      <c r="Y535">
        <v>300</v>
      </c>
      <c r="Z535">
        <v>350</v>
      </c>
    </row>
    <row r="536" spans="1:26">
      <c r="A536">
        <v>6012102</v>
      </c>
      <c r="B536" t="s">
        <v>130</v>
      </c>
      <c r="C536">
        <v>2</v>
      </c>
      <c r="D536">
        <v>2001</v>
      </c>
      <c r="E536">
        <v>350</v>
      </c>
      <c r="F536">
        <v>8000</v>
      </c>
      <c r="G536">
        <v>500</v>
      </c>
      <c r="H536">
        <f t="shared" si="14"/>
        <v>11012102</v>
      </c>
      <c r="I536">
        <v>7000</v>
      </c>
      <c r="J536">
        <v>1012002</v>
      </c>
      <c r="K536" t="s">
        <v>303</v>
      </c>
      <c r="L536" t="s">
        <v>130</v>
      </c>
      <c r="M536">
        <v>1</v>
      </c>
      <c r="N536">
        <v>0</v>
      </c>
      <c r="O536">
        <v>0</v>
      </c>
      <c r="R536" t="s">
        <v>60</v>
      </c>
      <c r="S536">
        <v>0</v>
      </c>
      <c r="T536">
        <v>1012002</v>
      </c>
      <c r="U536">
        <v>700</v>
      </c>
      <c r="V536">
        <v>1013</v>
      </c>
      <c r="W536" t="s">
        <v>971</v>
      </c>
      <c r="X536">
        <v>0</v>
      </c>
      <c r="Y536">
        <v>0</v>
      </c>
      <c r="Z536">
        <v>0</v>
      </c>
    </row>
    <row r="537" spans="1:26">
      <c r="A537">
        <v>6012201</v>
      </c>
      <c r="B537" t="s">
        <v>305</v>
      </c>
      <c r="C537">
        <v>1</v>
      </c>
      <c r="D537">
        <v>1001</v>
      </c>
      <c r="E537">
        <v>350</v>
      </c>
      <c r="F537">
        <v>11000</v>
      </c>
      <c r="G537">
        <v>0</v>
      </c>
      <c r="H537">
        <f t="shared" si="14"/>
        <v>11012201</v>
      </c>
      <c r="I537">
        <v>1000</v>
      </c>
      <c r="J537">
        <v>0</v>
      </c>
      <c r="K537" t="s">
        <v>305</v>
      </c>
      <c r="L537" t="s">
        <v>305</v>
      </c>
      <c r="M537">
        <v>1</v>
      </c>
      <c r="N537">
        <v>0</v>
      </c>
      <c r="O537">
        <v>0</v>
      </c>
      <c r="R537" t="s">
        <v>227</v>
      </c>
      <c r="S537">
        <v>0</v>
      </c>
      <c r="T537">
        <v>0</v>
      </c>
      <c r="U537">
        <v>0</v>
      </c>
      <c r="V537">
        <v>1013</v>
      </c>
      <c r="W537">
        <v>600</v>
      </c>
      <c r="X537">
        <v>1012001</v>
      </c>
      <c r="Y537">
        <v>300</v>
      </c>
      <c r="Z537">
        <v>350</v>
      </c>
    </row>
    <row r="538" spans="1:26">
      <c r="A538">
        <v>6012202</v>
      </c>
      <c r="B538" t="s">
        <v>178</v>
      </c>
      <c r="C538">
        <v>2</v>
      </c>
      <c r="D538">
        <v>2001</v>
      </c>
      <c r="E538">
        <v>350</v>
      </c>
      <c r="F538">
        <v>16000</v>
      </c>
      <c r="G538">
        <v>500</v>
      </c>
      <c r="H538">
        <f t="shared" si="14"/>
        <v>11012202</v>
      </c>
      <c r="I538">
        <v>7000</v>
      </c>
      <c r="J538">
        <v>1012202</v>
      </c>
      <c r="K538" t="s">
        <v>307</v>
      </c>
      <c r="L538" t="s">
        <v>178</v>
      </c>
      <c r="M538">
        <v>1</v>
      </c>
      <c r="N538">
        <v>0</v>
      </c>
      <c r="O538">
        <v>0</v>
      </c>
      <c r="R538" t="s">
        <v>60</v>
      </c>
      <c r="S538">
        <v>0</v>
      </c>
      <c r="T538">
        <v>1012202</v>
      </c>
      <c r="U538">
        <v>0</v>
      </c>
      <c r="V538">
        <v>1013</v>
      </c>
      <c r="W538" t="s">
        <v>182</v>
      </c>
      <c r="X538">
        <v>0</v>
      </c>
      <c r="Y538">
        <v>0</v>
      </c>
      <c r="Z538">
        <v>0</v>
      </c>
    </row>
    <row r="539" spans="1:26">
      <c r="A539">
        <v>6013001</v>
      </c>
      <c r="B539" t="s">
        <v>309</v>
      </c>
      <c r="C539">
        <v>1</v>
      </c>
      <c r="D539">
        <v>1001</v>
      </c>
      <c r="E539">
        <v>350</v>
      </c>
      <c r="F539">
        <v>10000</v>
      </c>
      <c r="G539">
        <v>0</v>
      </c>
      <c r="H539">
        <f t="shared" si="14"/>
        <v>11013001</v>
      </c>
      <c r="I539">
        <v>1000</v>
      </c>
      <c r="J539">
        <v>0</v>
      </c>
      <c r="K539" t="s">
        <v>309</v>
      </c>
      <c r="L539" t="s">
        <v>309</v>
      </c>
      <c r="M539">
        <v>1</v>
      </c>
      <c r="N539">
        <v>0</v>
      </c>
      <c r="O539">
        <v>0</v>
      </c>
      <c r="R539" t="s">
        <v>227</v>
      </c>
      <c r="S539">
        <v>0</v>
      </c>
      <c r="T539">
        <v>0</v>
      </c>
      <c r="U539">
        <v>0</v>
      </c>
      <c r="V539">
        <v>1013</v>
      </c>
      <c r="W539">
        <v>800</v>
      </c>
      <c r="X539">
        <v>1013001</v>
      </c>
      <c r="Y539">
        <v>500</v>
      </c>
      <c r="Z539">
        <v>350</v>
      </c>
    </row>
    <row r="540" spans="1:26">
      <c r="A540">
        <v>6013002</v>
      </c>
      <c r="B540" t="s">
        <v>310</v>
      </c>
      <c r="C540">
        <v>2</v>
      </c>
      <c r="D540">
        <v>2001</v>
      </c>
      <c r="E540">
        <v>350</v>
      </c>
      <c r="F540">
        <v>3000</v>
      </c>
      <c r="G540">
        <v>500</v>
      </c>
      <c r="H540">
        <f t="shared" si="14"/>
        <v>11013002</v>
      </c>
      <c r="I540">
        <v>7000</v>
      </c>
      <c r="J540">
        <v>1013002</v>
      </c>
      <c r="K540" t="s">
        <v>312</v>
      </c>
      <c r="L540" t="s">
        <v>310</v>
      </c>
      <c r="M540">
        <v>1</v>
      </c>
      <c r="N540">
        <v>0</v>
      </c>
      <c r="O540">
        <v>0</v>
      </c>
      <c r="R540" t="s">
        <v>60</v>
      </c>
      <c r="S540">
        <v>0</v>
      </c>
      <c r="T540">
        <v>1013002</v>
      </c>
      <c r="U540">
        <v>500</v>
      </c>
      <c r="V540">
        <v>1013</v>
      </c>
      <c r="W540" t="s">
        <v>314</v>
      </c>
      <c r="X540">
        <v>0</v>
      </c>
      <c r="Y540">
        <v>0</v>
      </c>
      <c r="Z540">
        <v>0</v>
      </c>
    </row>
    <row r="541" spans="1:26">
      <c r="A541">
        <v>6013101</v>
      </c>
      <c r="B541" t="s">
        <v>315</v>
      </c>
      <c r="C541">
        <v>1</v>
      </c>
      <c r="D541">
        <v>1001</v>
      </c>
      <c r="E541">
        <v>350</v>
      </c>
      <c r="F541">
        <v>11000</v>
      </c>
      <c r="G541">
        <v>0</v>
      </c>
      <c r="H541">
        <f t="shared" si="14"/>
        <v>11013101</v>
      </c>
      <c r="I541">
        <v>1000</v>
      </c>
      <c r="J541">
        <v>0</v>
      </c>
      <c r="K541" t="s">
        <v>315</v>
      </c>
      <c r="L541" t="s">
        <v>315</v>
      </c>
      <c r="M541">
        <v>1</v>
      </c>
      <c r="N541">
        <v>0</v>
      </c>
      <c r="O541">
        <v>0</v>
      </c>
      <c r="R541" t="s">
        <v>227</v>
      </c>
      <c r="S541">
        <v>0</v>
      </c>
      <c r="T541">
        <v>0</v>
      </c>
      <c r="U541">
        <v>0</v>
      </c>
      <c r="V541">
        <v>1013</v>
      </c>
      <c r="W541">
        <v>700</v>
      </c>
      <c r="X541">
        <v>1013001</v>
      </c>
      <c r="Y541">
        <v>400</v>
      </c>
      <c r="Z541">
        <v>350</v>
      </c>
    </row>
    <row r="542" spans="1:26">
      <c r="A542">
        <v>6013102</v>
      </c>
      <c r="B542" t="s">
        <v>87</v>
      </c>
      <c r="C542">
        <v>2</v>
      </c>
      <c r="D542">
        <v>2001</v>
      </c>
      <c r="E542">
        <v>350</v>
      </c>
      <c r="F542">
        <v>3000</v>
      </c>
      <c r="G542">
        <v>500</v>
      </c>
      <c r="H542">
        <f t="shared" si="14"/>
        <v>11013102</v>
      </c>
      <c r="I542">
        <v>7000</v>
      </c>
      <c r="J542">
        <v>1013002</v>
      </c>
      <c r="K542" t="s">
        <v>317</v>
      </c>
      <c r="L542" t="s">
        <v>87</v>
      </c>
      <c r="M542">
        <v>1</v>
      </c>
      <c r="N542">
        <v>0</v>
      </c>
      <c r="O542">
        <v>0</v>
      </c>
      <c r="R542" t="s">
        <v>60</v>
      </c>
      <c r="S542">
        <v>0</v>
      </c>
      <c r="T542">
        <v>1013002</v>
      </c>
      <c r="U542">
        <v>600</v>
      </c>
      <c r="V542">
        <v>1013</v>
      </c>
      <c r="W542" t="s">
        <v>319</v>
      </c>
      <c r="X542">
        <v>0</v>
      </c>
      <c r="Y542">
        <v>0</v>
      </c>
      <c r="Z542">
        <v>0</v>
      </c>
    </row>
    <row r="543" spans="1:26">
      <c r="A543">
        <v>6014001</v>
      </c>
      <c r="B543" t="s">
        <v>320</v>
      </c>
      <c r="C543">
        <v>1</v>
      </c>
      <c r="D543">
        <v>1001</v>
      </c>
      <c r="E543">
        <v>350</v>
      </c>
      <c r="F543">
        <v>10000</v>
      </c>
      <c r="G543">
        <v>0</v>
      </c>
      <c r="H543">
        <f t="shared" si="14"/>
        <v>11014001</v>
      </c>
      <c r="I543">
        <v>1000</v>
      </c>
      <c r="J543">
        <v>0</v>
      </c>
      <c r="K543" t="s">
        <v>320</v>
      </c>
      <c r="L543" t="s">
        <v>320</v>
      </c>
      <c r="M543">
        <v>1</v>
      </c>
      <c r="N543">
        <v>0</v>
      </c>
      <c r="O543">
        <v>0</v>
      </c>
      <c r="R543" t="s">
        <v>227</v>
      </c>
      <c r="S543">
        <v>0</v>
      </c>
      <c r="T543">
        <v>0</v>
      </c>
      <c r="U543">
        <v>0</v>
      </c>
      <c r="V543">
        <v>1014</v>
      </c>
      <c r="W543">
        <v>700</v>
      </c>
      <c r="X543">
        <v>1014001</v>
      </c>
      <c r="Y543">
        <v>400</v>
      </c>
      <c r="Z543">
        <v>350</v>
      </c>
    </row>
    <row r="544" spans="1:26">
      <c r="A544">
        <v>6014002</v>
      </c>
      <c r="B544" t="s">
        <v>321</v>
      </c>
      <c r="C544">
        <v>2</v>
      </c>
      <c r="D544">
        <v>2001</v>
      </c>
      <c r="E544">
        <v>350</v>
      </c>
      <c r="F544">
        <v>21000</v>
      </c>
      <c r="G544">
        <v>500</v>
      </c>
      <c r="H544">
        <f t="shared" si="14"/>
        <v>11014002</v>
      </c>
      <c r="I544">
        <v>18000</v>
      </c>
      <c r="J544">
        <v>1014002</v>
      </c>
      <c r="K544" t="s">
        <v>323</v>
      </c>
      <c r="L544" t="s">
        <v>321</v>
      </c>
      <c r="M544">
        <v>1</v>
      </c>
      <c r="N544">
        <v>0</v>
      </c>
      <c r="O544">
        <v>0</v>
      </c>
      <c r="R544" t="s">
        <v>60</v>
      </c>
      <c r="S544">
        <v>0</v>
      </c>
      <c r="T544">
        <v>1014002</v>
      </c>
      <c r="U544">
        <v>600</v>
      </c>
      <c r="V544">
        <v>1014</v>
      </c>
      <c r="W544">
        <v>1050</v>
      </c>
      <c r="X544">
        <v>0</v>
      </c>
      <c r="Y544">
        <v>0</v>
      </c>
      <c r="Z544">
        <v>0</v>
      </c>
    </row>
    <row r="545" spans="1:26">
      <c r="A545">
        <v>6014101</v>
      </c>
      <c r="B545" t="s">
        <v>325</v>
      </c>
      <c r="C545">
        <v>1</v>
      </c>
      <c r="D545">
        <v>1001</v>
      </c>
      <c r="E545">
        <v>350</v>
      </c>
      <c r="F545">
        <v>11000</v>
      </c>
      <c r="G545">
        <v>0</v>
      </c>
      <c r="H545">
        <f t="shared" si="14"/>
        <v>11014101</v>
      </c>
      <c r="I545">
        <v>1000</v>
      </c>
      <c r="J545">
        <v>0</v>
      </c>
      <c r="K545" t="s">
        <v>325</v>
      </c>
      <c r="L545" t="s">
        <v>325</v>
      </c>
      <c r="M545">
        <v>1</v>
      </c>
      <c r="N545">
        <v>0</v>
      </c>
      <c r="O545">
        <v>0</v>
      </c>
      <c r="R545" t="s">
        <v>227</v>
      </c>
      <c r="S545">
        <v>0</v>
      </c>
      <c r="T545">
        <v>0</v>
      </c>
      <c r="U545">
        <v>0</v>
      </c>
      <c r="V545">
        <v>1014</v>
      </c>
      <c r="W545">
        <v>700</v>
      </c>
      <c r="X545">
        <v>1014001</v>
      </c>
      <c r="Y545">
        <v>400</v>
      </c>
      <c r="Z545">
        <v>350</v>
      </c>
    </row>
    <row r="546" spans="1:26">
      <c r="A546">
        <v>6014102</v>
      </c>
      <c r="B546" t="s">
        <v>326</v>
      </c>
      <c r="C546">
        <v>2</v>
      </c>
      <c r="D546">
        <v>2001</v>
      </c>
      <c r="E546">
        <v>350</v>
      </c>
      <c r="F546">
        <v>42000</v>
      </c>
      <c r="G546">
        <v>500</v>
      </c>
      <c r="H546">
        <f t="shared" si="14"/>
        <v>11014102</v>
      </c>
      <c r="I546">
        <v>18000</v>
      </c>
      <c r="J546">
        <v>1014002</v>
      </c>
      <c r="K546" t="s">
        <v>328</v>
      </c>
      <c r="L546" t="s">
        <v>326</v>
      </c>
      <c r="M546">
        <v>1</v>
      </c>
      <c r="N546">
        <v>0</v>
      </c>
      <c r="O546">
        <v>0</v>
      </c>
      <c r="R546" t="s">
        <v>60</v>
      </c>
      <c r="S546">
        <v>0</v>
      </c>
      <c r="T546">
        <v>1014102</v>
      </c>
      <c r="U546">
        <v>700</v>
      </c>
      <c r="V546">
        <v>1014</v>
      </c>
      <c r="W546">
        <v>1700</v>
      </c>
      <c r="X546">
        <v>0</v>
      </c>
      <c r="Y546">
        <v>0</v>
      </c>
      <c r="Z546">
        <v>0</v>
      </c>
    </row>
    <row r="547" spans="1:26">
      <c r="A547">
        <v>6015001</v>
      </c>
      <c r="B547" t="s">
        <v>330</v>
      </c>
      <c r="C547">
        <v>1</v>
      </c>
      <c r="D547">
        <v>1001</v>
      </c>
      <c r="E547">
        <v>350</v>
      </c>
      <c r="F547">
        <v>10000</v>
      </c>
      <c r="G547">
        <v>0</v>
      </c>
      <c r="H547">
        <f t="shared" si="14"/>
        <v>11015001</v>
      </c>
      <c r="I547">
        <v>1000</v>
      </c>
      <c r="J547">
        <v>0</v>
      </c>
      <c r="K547" t="s">
        <v>330</v>
      </c>
      <c r="L547" t="s">
        <v>330</v>
      </c>
      <c r="M547">
        <v>1</v>
      </c>
      <c r="N547">
        <v>0</v>
      </c>
      <c r="O547">
        <v>0</v>
      </c>
      <c r="R547" t="s">
        <v>227</v>
      </c>
      <c r="S547">
        <v>0</v>
      </c>
      <c r="T547">
        <v>0</v>
      </c>
      <c r="U547">
        <v>0</v>
      </c>
      <c r="V547">
        <v>1014</v>
      </c>
      <c r="W547">
        <v>700</v>
      </c>
      <c r="X547">
        <v>1015001</v>
      </c>
      <c r="Y547">
        <v>400</v>
      </c>
      <c r="Z547">
        <v>350</v>
      </c>
    </row>
    <row r="548" spans="1:26">
      <c r="A548">
        <v>6015002</v>
      </c>
      <c r="B548" t="s">
        <v>106</v>
      </c>
      <c r="C548">
        <v>2</v>
      </c>
      <c r="D548">
        <v>2001</v>
      </c>
      <c r="E548">
        <v>350</v>
      </c>
      <c r="F548">
        <v>21000</v>
      </c>
      <c r="G548">
        <v>500</v>
      </c>
      <c r="H548">
        <f t="shared" si="14"/>
        <v>11015002</v>
      </c>
      <c r="I548">
        <v>18000</v>
      </c>
      <c r="J548">
        <v>1015002</v>
      </c>
      <c r="K548" t="s">
        <v>332</v>
      </c>
      <c r="L548" t="s">
        <v>106</v>
      </c>
      <c r="M548">
        <v>1</v>
      </c>
      <c r="N548">
        <v>0</v>
      </c>
      <c r="O548">
        <v>0</v>
      </c>
      <c r="R548" t="s">
        <v>60</v>
      </c>
      <c r="S548">
        <v>0</v>
      </c>
      <c r="T548">
        <v>1015002</v>
      </c>
      <c r="U548">
        <v>300</v>
      </c>
      <c r="V548">
        <v>1014</v>
      </c>
      <c r="W548">
        <v>1150</v>
      </c>
      <c r="X548">
        <v>0</v>
      </c>
      <c r="Y548">
        <v>0</v>
      </c>
      <c r="Z548">
        <v>0</v>
      </c>
    </row>
    <row r="549" spans="1:26">
      <c r="A549">
        <v>6015101</v>
      </c>
      <c r="B549" t="s">
        <v>334</v>
      </c>
      <c r="C549">
        <v>1</v>
      </c>
      <c r="D549">
        <v>1001</v>
      </c>
      <c r="E549">
        <v>350</v>
      </c>
      <c r="F549">
        <v>11000</v>
      </c>
      <c r="G549">
        <v>0</v>
      </c>
      <c r="H549">
        <f t="shared" si="14"/>
        <v>11015101</v>
      </c>
      <c r="I549">
        <v>1000</v>
      </c>
      <c r="J549">
        <v>0</v>
      </c>
      <c r="K549" t="s">
        <v>334</v>
      </c>
      <c r="L549" t="s">
        <v>334</v>
      </c>
      <c r="M549">
        <v>1</v>
      </c>
      <c r="N549">
        <v>0</v>
      </c>
      <c r="O549">
        <v>0</v>
      </c>
      <c r="R549" t="s">
        <v>227</v>
      </c>
      <c r="S549">
        <v>0</v>
      </c>
      <c r="T549">
        <v>0</v>
      </c>
      <c r="U549">
        <v>0</v>
      </c>
      <c r="V549">
        <v>1014</v>
      </c>
      <c r="W549">
        <v>700</v>
      </c>
      <c r="X549">
        <v>1015001</v>
      </c>
      <c r="Y549">
        <v>400</v>
      </c>
      <c r="Z549">
        <v>350</v>
      </c>
    </row>
    <row r="550" spans="1:26">
      <c r="A550">
        <v>6015102</v>
      </c>
      <c r="B550" t="s">
        <v>335</v>
      </c>
      <c r="C550">
        <v>2</v>
      </c>
      <c r="D550">
        <v>2001</v>
      </c>
      <c r="E550">
        <v>350</v>
      </c>
      <c r="F550">
        <v>42000</v>
      </c>
      <c r="G550">
        <v>500</v>
      </c>
      <c r="H550">
        <f t="shared" si="14"/>
        <v>11015102</v>
      </c>
      <c r="I550">
        <v>18000</v>
      </c>
      <c r="J550">
        <v>1015002</v>
      </c>
      <c r="K550" t="s">
        <v>337</v>
      </c>
      <c r="L550" t="s">
        <v>335</v>
      </c>
      <c r="M550">
        <v>1</v>
      </c>
      <c r="N550">
        <v>0</v>
      </c>
      <c r="O550">
        <v>0</v>
      </c>
      <c r="R550" t="s">
        <v>60</v>
      </c>
      <c r="S550">
        <v>0</v>
      </c>
      <c r="T550">
        <v>1015002</v>
      </c>
      <c r="U550">
        <v>1100</v>
      </c>
      <c r="V550">
        <v>1014</v>
      </c>
      <c r="W550">
        <v>1950</v>
      </c>
      <c r="X550">
        <v>0</v>
      </c>
      <c r="Y550">
        <v>0</v>
      </c>
      <c r="Z550">
        <v>0</v>
      </c>
    </row>
    <row r="551" spans="1:26">
      <c r="A551">
        <v>6016001</v>
      </c>
      <c r="B551" t="s">
        <v>339</v>
      </c>
      <c r="C551">
        <v>1</v>
      </c>
      <c r="D551">
        <v>1001</v>
      </c>
      <c r="E551">
        <v>350</v>
      </c>
      <c r="F551">
        <v>11000</v>
      </c>
      <c r="G551">
        <v>0</v>
      </c>
      <c r="H551">
        <f t="shared" si="14"/>
        <v>11016001</v>
      </c>
      <c r="I551">
        <v>1000</v>
      </c>
      <c r="J551">
        <v>0</v>
      </c>
      <c r="K551" t="s">
        <v>339</v>
      </c>
      <c r="L551" t="s">
        <v>339</v>
      </c>
      <c r="M551">
        <v>1</v>
      </c>
      <c r="N551">
        <v>0</v>
      </c>
      <c r="O551">
        <v>0</v>
      </c>
      <c r="R551" t="s">
        <v>227</v>
      </c>
      <c r="S551">
        <v>0</v>
      </c>
      <c r="T551">
        <v>0</v>
      </c>
      <c r="U551">
        <v>0</v>
      </c>
      <c r="V551">
        <v>1014</v>
      </c>
      <c r="W551">
        <v>700</v>
      </c>
      <c r="X551">
        <v>1016001</v>
      </c>
      <c r="Y551">
        <v>400</v>
      </c>
      <c r="Z551">
        <v>350</v>
      </c>
    </row>
    <row r="552" spans="1:26">
      <c r="A552">
        <v>6016002</v>
      </c>
      <c r="B552" t="s">
        <v>340</v>
      </c>
      <c r="C552">
        <v>2</v>
      </c>
      <c r="D552">
        <v>2002</v>
      </c>
      <c r="E552">
        <v>350</v>
      </c>
      <c r="F552">
        <v>21000</v>
      </c>
      <c r="G552">
        <v>500</v>
      </c>
      <c r="H552">
        <f t="shared" si="14"/>
        <v>11016002</v>
      </c>
      <c r="I552">
        <v>18000</v>
      </c>
      <c r="J552">
        <v>1016002</v>
      </c>
      <c r="K552" t="s">
        <v>342</v>
      </c>
      <c r="L552" t="s">
        <v>340</v>
      </c>
      <c r="M552">
        <v>1</v>
      </c>
      <c r="N552">
        <v>0</v>
      </c>
      <c r="O552">
        <v>0</v>
      </c>
      <c r="R552" t="s">
        <v>60</v>
      </c>
      <c r="S552">
        <v>0</v>
      </c>
      <c r="T552">
        <v>1016002</v>
      </c>
      <c r="U552">
        <v>700</v>
      </c>
      <c r="V552">
        <v>1014</v>
      </c>
      <c r="W552">
        <v>1350</v>
      </c>
      <c r="X552">
        <v>0</v>
      </c>
      <c r="Y552">
        <v>0</v>
      </c>
      <c r="Z552">
        <v>0</v>
      </c>
    </row>
    <row r="553" spans="1:26">
      <c r="A553">
        <v>6016101</v>
      </c>
      <c r="B553" t="s">
        <v>344</v>
      </c>
      <c r="C553">
        <v>1</v>
      </c>
      <c r="D553">
        <v>1001</v>
      </c>
      <c r="E553">
        <v>350</v>
      </c>
      <c r="F553">
        <v>11000</v>
      </c>
      <c r="G553">
        <v>0</v>
      </c>
      <c r="H553">
        <f t="shared" si="14"/>
        <v>11016101</v>
      </c>
      <c r="I553">
        <v>1000</v>
      </c>
      <c r="J553">
        <v>0</v>
      </c>
      <c r="K553" t="s">
        <v>344</v>
      </c>
      <c r="L553" t="s">
        <v>344</v>
      </c>
      <c r="M553">
        <v>1</v>
      </c>
      <c r="N553">
        <v>0</v>
      </c>
      <c r="O553">
        <v>0</v>
      </c>
      <c r="R553" t="s">
        <v>227</v>
      </c>
      <c r="S553">
        <v>0</v>
      </c>
      <c r="T553">
        <v>0</v>
      </c>
      <c r="U553">
        <v>0</v>
      </c>
      <c r="V553">
        <v>1014</v>
      </c>
      <c r="W553">
        <v>700</v>
      </c>
      <c r="X553">
        <v>1016001</v>
      </c>
      <c r="Y553">
        <v>400</v>
      </c>
      <c r="Z553">
        <v>350</v>
      </c>
    </row>
    <row r="554" spans="1:26">
      <c r="A554">
        <v>6016102</v>
      </c>
      <c r="B554" t="s">
        <v>345</v>
      </c>
      <c r="C554">
        <v>2</v>
      </c>
      <c r="D554">
        <v>2001</v>
      </c>
      <c r="E554">
        <v>350</v>
      </c>
      <c r="F554">
        <v>42000</v>
      </c>
      <c r="G554">
        <v>500</v>
      </c>
      <c r="H554">
        <f t="shared" si="14"/>
        <v>11016102</v>
      </c>
      <c r="I554">
        <v>18000</v>
      </c>
      <c r="J554">
        <v>1016102</v>
      </c>
      <c r="K554" t="s">
        <v>347</v>
      </c>
      <c r="L554" t="s">
        <v>345</v>
      </c>
      <c r="M554">
        <v>1</v>
      </c>
      <c r="N554">
        <v>0</v>
      </c>
      <c r="O554">
        <v>0</v>
      </c>
      <c r="R554" t="s">
        <v>60</v>
      </c>
      <c r="S554">
        <v>0</v>
      </c>
      <c r="T554">
        <v>1016102</v>
      </c>
      <c r="U554">
        <v>600</v>
      </c>
      <c r="V554">
        <v>1014</v>
      </c>
      <c r="W554">
        <v>1250</v>
      </c>
      <c r="X554">
        <v>0</v>
      </c>
      <c r="Y554">
        <v>0</v>
      </c>
      <c r="Z554">
        <v>0</v>
      </c>
    </row>
    <row r="555" spans="1:26">
      <c r="A555">
        <v>6017001</v>
      </c>
      <c r="B555" t="s">
        <v>349</v>
      </c>
      <c r="C555">
        <v>1</v>
      </c>
      <c r="D555">
        <v>1001</v>
      </c>
      <c r="E555">
        <v>350</v>
      </c>
      <c r="F555">
        <v>11000</v>
      </c>
      <c r="G555">
        <v>0</v>
      </c>
      <c r="H555">
        <f t="shared" si="14"/>
        <v>11017001</v>
      </c>
      <c r="I555">
        <v>1000</v>
      </c>
      <c r="J555">
        <v>0</v>
      </c>
      <c r="K555" t="s">
        <v>349</v>
      </c>
      <c r="L555" t="s">
        <v>349</v>
      </c>
      <c r="M555">
        <v>1</v>
      </c>
      <c r="N555">
        <v>0</v>
      </c>
      <c r="O555">
        <v>0</v>
      </c>
      <c r="R555" t="s">
        <v>227</v>
      </c>
      <c r="S555">
        <v>0</v>
      </c>
      <c r="T555">
        <v>0</v>
      </c>
      <c r="U555">
        <v>0</v>
      </c>
      <c r="V555">
        <v>1014</v>
      </c>
      <c r="W555">
        <v>700</v>
      </c>
      <c r="X555">
        <v>1017001</v>
      </c>
      <c r="Y555">
        <v>400</v>
      </c>
      <c r="Z555">
        <v>350</v>
      </c>
    </row>
    <row r="556" spans="1:26">
      <c r="A556">
        <v>6017002</v>
      </c>
      <c r="B556" t="s">
        <v>350</v>
      </c>
      <c r="C556">
        <v>2</v>
      </c>
      <c r="D556">
        <v>2002</v>
      </c>
      <c r="E556">
        <v>350</v>
      </c>
      <c r="F556">
        <v>21000</v>
      </c>
      <c r="G556">
        <v>500</v>
      </c>
      <c r="H556">
        <f t="shared" si="14"/>
        <v>11017002</v>
      </c>
      <c r="I556">
        <v>18000</v>
      </c>
      <c r="J556">
        <v>1017002</v>
      </c>
      <c r="K556" t="s">
        <v>352</v>
      </c>
      <c r="L556" t="s">
        <v>350</v>
      </c>
      <c r="M556">
        <v>1</v>
      </c>
      <c r="N556">
        <v>0</v>
      </c>
      <c r="O556">
        <v>0</v>
      </c>
      <c r="R556" t="s">
        <v>60</v>
      </c>
      <c r="S556">
        <v>0</v>
      </c>
      <c r="T556">
        <v>1017002</v>
      </c>
      <c r="U556">
        <v>2000</v>
      </c>
      <c r="V556">
        <v>1014</v>
      </c>
      <c r="W556">
        <v>2100</v>
      </c>
      <c r="X556">
        <v>0</v>
      </c>
      <c r="Y556">
        <v>0</v>
      </c>
      <c r="Z556">
        <v>0</v>
      </c>
    </row>
    <row r="557" spans="1:26">
      <c r="A557">
        <v>6017101</v>
      </c>
      <c r="B557" t="s">
        <v>354</v>
      </c>
      <c r="C557">
        <v>1</v>
      </c>
      <c r="D557">
        <v>1001</v>
      </c>
      <c r="E557">
        <v>350</v>
      </c>
      <c r="F557">
        <v>11000</v>
      </c>
      <c r="G557">
        <v>0</v>
      </c>
      <c r="H557">
        <f t="shared" si="14"/>
        <v>11017101</v>
      </c>
      <c r="I557">
        <v>1000</v>
      </c>
      <c r="J557">
        <v>0</v>
      </c>
      <c r="K557" t="s">
        <v>354</v>
      </c>
      <c r="L557" t="s">
        <v>354</v>
      </c>
      <c r="M557">
        <v>1</v>
      </c>
      <c r="N557">
        <v>0</v>
      </c>
      <c r="O557">
        <v>0</v>
      </c>
      <c r="R557" t="s">
        <v>227</v>
      </c>
      <c r="S557">
        <v>0</v>
      </c>
      <c r="T557">
        <v>0</v>
      </c>
      <c r="U557">
        <v>0</v>
      </c>
      <c r="V557">
        <v>1014</v>
      </c>
      <c r="W557">
        <v>700</v>
      </c>
      <c r="X557">
        <v>1017001</v>
      </c>
      <c r="Y557">
        <v>400</v>
      </c>
      <c r="Z557">
        <v>350</v>
      </c>
    </row>
    <row r="558" spans="1:26">
      <c r="A558">
        <v>6017102</v>
      </c>
      <c r="B558" t="s">
        <v>355</v>
      </c>
      <c r="C558">
        <v>2</v>
      </c>
      <c r="D558">
        <v>2001</v>
      </c>
      <c r="E558">
        <v>350</v>
      </c>
      <c r="F558">
        <v>42000</v>
      </c>
      <c r="G558">
        <v>500</v>
      </c>
      <c r="H558">
        <f t="shared" si="14"/>
        <v>11017102</v>
      </c>
      <c r="I558">
        <v>18000</v>
      </c>
      <c r="J558">
        <v>1017002</v>
      </c>
      <c r="K558" t="s">
        <v>357</v>
      </c>
      <c r="L558" t="s">
        <v>355</v>
      </c>
      <c r="M558">
        <v>1</v>
      </c>
      <c r="N558">
        <v>0</v>
      </c>
      <c r="O558">
        <v>0</v>
      </c>
      <c r="R558" t="s">
        <v>60</v>
      </c>
      <c r="S558">
        <v>0</v>
      </c>
      <c r="T558">
        <v>1017102</v>
      </c>
      <c r="U558">
        <v>2000</v>
      </c>
      <c r="V558">
        <v>1014</v>
      </c>
      <c r="W558">
        <v>2100</v>
      </c>
      <c r="X558">
        <v>0</v>
      </c>
      <c r="Y558">
        <v>0</v>
      </c>
      <c r="Z558">
        <v>0</v>
      </c>
    </row>
    <row r="559" spans="1:26">
      <c r="A559">
        <v>6018001</v>
      </c>
      <c r="B559" t="s">
        <v>359</v>
      </c>
      <c r="C559">
        <v>1</v>
      </c>
      <c r="D559">
        <v>1001</v>
      </c>
      <c r="E559">
        <v>350</v>
      </c>
      <c r="F559">
        <v>10000</v>
      </c>
      <c r="G559">
        <v>0</v>
      </c>
      <c r="H559">
        <f t="shared" si="14"/>
        <v>11018001</v>
      </c>
      <c r="I559">
        <v>1000</v>
      </c>
      <c r="J559">
        <v>0</v>
      </c>
      <c r="K559" t="s">
        <v>359</v>
      </c>
      <c r="L559" t="s">
        <v>359</v>
      </c>
      <c r="M559">
        <v>1</v>
      </c>
      <c r="N559">
        <v>0</v>
      </c>
      <c r="O559">
        <v>0</v>
      </c>
      <c r="R559" t="s">
        <v>227</v>
      </c>
      <c r="S559">
        <v>0</v>
      </c>
      <c r="T559">
        <v>0</v>
      </c>
      <c r="U559">
        <v>0</v>
      </c>
      <c r="V559">
        <v>1014</v>
      </c>
      <c r="W559">
        <v>700</v>
      </c>
      <c r="X559">
        <v>1018001</v>
      </c>
      <c r="Y559">
        <v>400</v>
      </c>
      <c r="Z559">
        <v>350</v>
      </c>
    </row>
    <row r="560" spans="1:26">
      <c r="A560">
        <v>6018002</v>
      </c>
      <c r="B560" t="s">
        <v>360</v>
      </c>
      <c r="C560">
        <v>2</v>
      </c>
      <c r="D560">
        <v>2001</v>
      </c>
      <c r="E560">
        <v>350</v>
      </c>
      <c r="F560">
        <v>3800</v>
      </c>
      <c r="G560">
        <v>500</v>
      </c>
      <c r="H560">
        <f t="shared" si="14"/>
        <v>11018002</v>
      </c>
      <c r="I560">
        <v>18000</v>
      </c>
      <c r="J560">
        <v>1018002</v>
      </c>
      <c r="K560" t="s">
        <v>362</v>
      </c>
      <c r="L560" t="s">
        <v>360</v>
      </c>
      <c r="M560">
        <v>1</v>
      </c>
      <c r="N560">
        <v>0</v>
      </c>
      <c r="O560">
        <v>0</v>
      </c>
      <c r="R560" t="s">
        <v>60</v>
      </c>
      <c r="S560">
        <v>0</v>
      </c>
      <c r="T560">
        <v>1018002</v>
      </c>
      <c r="U560">
        <v>700</v>
      </c>
      <c r="V560">
        <v>1014</v>
      </c>
      <c r="W560" t="s">
        <v>364</v>
      </c>
      <c r="X560">
        <v>0</v>
      </c>
      <c r="Y560">
        <v>0</v>
      </c>
      <c r="Z560">
        <v>0</v>
      </c>
    </row>
    <row r="561" spans="1:26">
      <c r="A561">
        <v>6018101</v>
      </c>
      <c r="B561" t="s">
        <v>365</v>
      </c>
      <c r="C561">
        <v>1</v>
      </c>
      <c r="D561">
        <v>1001</v>
      </c>
      <c r="E561">
        <v>350</v>
      </c>
      <c r="F561">
        <v>10000</v>
      </c>
      <c r="G561">
        <v>0</v>
      </c>
      <c r="H561">
        <f t="shared" si="14"/>
        <v>11018101</v>
      </c>
      <c r="I561">
        <v>1000</v>
      </c>
      <c r="J561">
        <v>0</v>
      </c>
      <c r="K561" t="s">
        <v>365</v>
      </c>
      <c r="L561" t="s">
        <v>365</v>
      </c>
      <c r="M561">
        <v>1</v>
      </c>
      <c r="N561">
        <v>0</v>
      </c>
      <c r="O561">
        <v>0</v>
      </c>
      <c r="R561" t="s">
        <v>227</v>
      </c>
      <c r="S561">
        <v>0</v>
      </c>
      <c r="T561">
        <v>0</v>
      </c>
      <c r="U561">
        <v>0</v>
      </c>
      <c r="V561">
        <v>1014</v>
      </c>
      <c r="W561">
        <v>700</v>
      </c>
      <c r="X561">
        <v>1018001</v>
      </c>
      <c r="Y561">
        <v>400</v>
      </c>
      <c r="Z561">
        <v>350</v>
      </c>
    </row>
    <row r="562" spans="1:26">
      <c r="A562">
        <v>6018102</v>
      </c>
      <c r="B562" t="s">
        <v>366</v>
      </c>
      <c r="C562">
        <v>2</v>
      </c>
      <c r="D562">
        <v>2001</v>
      </c>
      <c r="E562">
        <v>350</v>
      </c>
      <c r="F562">
        <v>8000</v>
      </c>
      <c r="G562">
        <v>500</v>
      </c>
      <c r="H562">
        <f t="shared" si="14"/>
        <v>11018102</v>
      </c>
      <c r="I562">
        <v>18000</v>
      </c>
      <c r="J562">
        <v>1018102</v>
      </c>
      <c r="K562" t="s">
        <v>368</v>
      </c>
      <c r="L562" t="s">
        <v>366</v>
      </c>
      <c r="M562">
        <v>1</v>
      </c>
      <c r="N562">
        <v>0</v>
      </c>
      <c r="O562">
        <v>0</v>
      </c>
      <c r="R562" t="s">
        <v>60</v>
      </c>
      <c r="S562">
        <v>0</v>
      </c>
      <c r="T562">
        <v>1018102</v>
      </c>
      <c r="U562">
        <v>900</v>
      </c>
      <c r="V562">
        <v>1014</v>
      </c>
      <c r="W562" t="s">
        <v>370</v>
      </c>
      <c r="X562">
        <v>0</v>
      </c>
      <c r="Y562">
        <v>0</v>
      </c>
      <c r="Z562">
        <v>0</v>
      </c>
    </row>
    <row r="563" spans="1:26">
      <c r="A563">
        <v>6019001</v>
      </c>
      <c r="B563" t="s">
        <v>371</v>
      </c>
      <c r="C563">
        <v>1</v>
      </c>
      <c r="D563">
        <v>1001</v>
      </c>
      <c r="E563">
        <v>350</v>
      </c>
      <c r="F563">
        <v>11000</v>
      </c>
      <c r="G563">
        <v>0</v>
      </c>
      <c r="H563">
        <f t="shared" si="14"/>
        <v>11019001</v>
      </c>
      <c r="I563">
        <v>1000</v>
      </c>
      <c r="J563">
        <v>0</v>
      </c>
      <c r="K563" t="s">
        <v>371</v>
      </c>
      <c r="L563" t="s">
        <v>371</v>
      </c>
      <c r="M563">
        <v>1</v>
      </c>
      <c r="N563">
        <v>0</v>
      </c>
      <c r="O563">
        <v>0</v>
      </c>
      <c r="R563" t="s">
        <v>227</v>
      </c>
      <c r="S563">
        <v>0</v>
      </c>
      <c r="T563">
        <v>0</v>
      </c>
      <c r="U563">
        <v>0</v>
      </c>
      <c r="V563">
        <v>1014</v>
      </c>
      <c r="W563">
        <v>700</v>
      </c>
      <c r="X563">
        <v>1019001</v>
      </c>
      <c r="Y563">
        <v>400</v>
      </c>
      <c r="Z563">
        <v>350</v>
      </c>
    </row>
    <row r="564" spans="1:26">
      <c r="A564">
        <v>6019002</v>
      </c>
      <c r="B564" t="s">
        <v>372</v>
      </c>
      <c r="C564">
        <v>2</v>
      </c>
      <c r="D564">
        <v>2001</v>
      </c>
      <c r="E564">
        <v>350</v>
      </c>
      <c r="F564">
        <v>5100</v>
      </c>
      <c r="G564">
        <v>500</v>
      </c>
      <c r="H564">
        <f t="shared" si="14"/>
        <v>11019002</v>
      </c>
      <c r="I564">
        <v>16000</v>
      </c>
      <c r="J564">
        <v>1019002</v>
      </c>
      <c r="K564" t="s">
        <v>374</v>
      </c>
      <c r="L564" t="s">
        <v>372</v>
      </c>
      <c r="M564">
        <v>1</v>
      </c>
      <c r="N564">
        <v>0</v>
      </c>
      <c r="O564">
        <v>0</v>
      </c>
      <c r="R564" t="s">
        <v>60</v>
      </c>
      <c r="S564">
        <v>0</v>
      </c>
      <c r="T564">
        <v>1019002</v>
      </c>
      <c r="U564">
        <v>0</v>
      </c>
      <c r="V564">
        <v>1014</v>
      </c>
      <c r="W564" t="s">
        <v>376</v>
      </c>
      <c r="X564">
        <v>0</v>
      </c>
      <c r="Y564">
        <v>0</v>
      </c>
      <c r="Z564">
        <v>0</v>
      </c>
    </row>
    <row r="565" spans="1:26">
      <c r="A565">
        <v>6019101</v>
      </c>
      <c r="B565" t="s">
        <v>377</v>
      </c>
      <c r="C565">
        <v>1</v>
      </c>
      <c r="D565">
        <v>1001</v>
      </c>
      <c r="E565">
        <v>350</v>
      </c>
      <c r="F565">
        <v>11000</v>
      </c>
      <c r="G565">
        <v>0</v>
      </c>
      <c r="H565">
        <f t="shared" si="14"/>
        <v>11019101</v>
      </c>
      <c r="I565">
        <v>1000</v>
      </c>
      <c r="J565">
        <v>0</v>
      </c>
      <c r="K565" t="s">
        <v>377</v>
      </c>
      <c r="L565" t="s">
        <v>377</v>
      </c>
      <c r="M565">
        <v>1</v>
      </c>
      <c r="N565">
        <v>0</v>
      </c>
      <c r="O565">
        <v>0</v>
      </c>
      <c r="R565" t="s">
        <v>227</v>
      </c>
      <c r="S565">
        <v>0</v>
      </c>
      <c r="T565">
        <v>0</v>
      </c>
      <c r="U565">
        <v>0</v>
      </c>
      <c r="V565">
        <v>1014</v>
      </c>
      <c r="W565">
        <v>700</v>
      </c>
      <c r="X565">
        <v>1019001</v>
      </c>
      <c r="Y565">
        <v>400</v>
      </c>
      <c r="Z565">
        <v>350</v>
      </c>
    </row>
    <row r="566" spans="1:26">
      <c r="A566">
        <v>6019102</v>
      </c>
      <c r="B566" t="s">
        <v>111</v>
      </c>
      <c r="C566">
        <v>2</v>
      </c>
      <c r="D566">
        <v>2001</v>
      </c>
      <c r="E566">
        <v>350</v>
      </c>
      <c r="F566">
        <v>5100</v>
      </c>
      <c r="G566">
        <v>500</v>
      </c>
      <c r="H566">
        <f t="shared" si="14"/>
        <v>11019102</v>
      </c>
      <c r="I566">
        <v>16000</v>
      </c>
      <c r="J566">
        <v>1019102</v>
      </c>
      <c r="K566" t="s">
        <v>379</v>
      </c>
      <c r="L566" t="s">
        <v>111</v>
      </c>
      <c r="M566">
        <v>1</v>
      </c>
      <c r="N566">
        <v>0</v>
      </c>
      <c r="O566">
        <v>0</v>
      </c>
      <c r="R566" t="s">
        <v>60</v>
      </c>
      <c r="S566">
        <v>0</v>
      </c>
      <c r="T566">
        <v>1019102</v>
      </c>
      <c r="U566">
        <v>500</v>
      </c>
      <c r="V566">
        <v>1014</v>
      </c>
      <c r="W566" t="s">
        <v>381</v>
      </c>
      <c r="X566">
        <v>0</v>
      </c>
      <c r="Y566">
        <v>0</v>
      </c>
      <c r="Z566">
        <v>0</v>
      </c>
    </row>
    <row r="567" spans="1:26">
      <c r="A567">
        <v>6019201</v>
      </c>
      <c r="B567" t="s">
        <v>382</v>
      </c>
      <c r="C567">
        <v>1</v>
      </c>
      <c r="D567">
        <v>1001</v>
      </c>
      <c r="E567">
        <v>350</v>
      </c>
      <c r="F567">
        <v>13000</v>
      </c>
      <c r="G567">
        <v>0</v>
      </c>
      <c r="H567">
        <f t="shared" si="14"/>
        <v>11019201</v>
      </c>
      <c r="I567">
        <v>1000</v>
      </c>
      <c r="J567">
        <v>0</v>
      </c>
      <c r="K567" t="s">
        <v>382</v>
      </c>
      <c r="L567" t="s">
        <v>382</v>
      </c>
      <c r="M567">
        <v>1</v>
      </c>
      <c r="N567">
        <v>0</v>
      </c>
      <c r="O567">
        <v>0</v>
      </c>
      <c r="R567" t="s">
        <v>227</v>
      </c>
      <c r="S567">
        <v>0</v>
      </c>
      <c r="T567">
        <v>0</v>
      </c>
      <c r="U567">
        <v>0</v>
      </c>
      <c r="V567">
        <v>1014</v>
      </c>
      <c r="W567">
        <v>700</v>
      </c>
      <c r="X567">
        <v>1019001</v>
      </c>
      <c r="Y567">
        <v>400</v>
      </c>
      <c r="Z567">
        <v>350</v>
      </c>
    </row>
    <row r="568" spans="1:26">
      <c r="A568">
        <v>6019202</v>
      </c>
      <c r="B568" t="s">
        <v>383</v>
      </c>
      <c r="C568">
        <v>2</v>
      </c>
      <c r="D568">
        <v>2002</v>
      </c>
      <c r="E568">
        <v>350</v>
      </c>
      <c r="F568">
        <v>88000</v>
      </c>
      <c r="G568">
        <v>500</v>
      </c>
      <c r="H568">
        <f t="shared" si="14"/>
        <v>11019202</v>
      </c>
      <c r="I568">
        <v>16000</v>
      </c>
      <c r="J568">
        <v>1019202</v>
      </c>
      <c r="K568" t="s">
        <v>385</v>
      </c>
      <c r="L568" t="s">
        <v>383</v>
      </c>
      <c r="M568">
        <v>1</v>
      </c>
      <c r="N568">
        <v>0</v>
      </c>
      <c r="O568">
        <v>0</v>
      </c>
      <c r="R568" t="s">
        <v>60</v>
      </c>
      <c r="S568">
        <v>0</v>
      </c>
      <c r="T568">
        <v>1019202</v>
      </c>
      <c r="U568">
        <v>1700</v>
      </c>
      <c r="V568">
        <v>1014</v>
      </c>
      <c r="W568">
        <v>1850</v>
      </c>
      <c r="X568">
        <v>0</v>
      </c>
      <c r="Y568">
        <v>0</v>
      </c>
      <c r="Z568">
        <v>0</v>
      </c>
    </row>
    <row r="569" spans="1:26">
      <c r="A569">
        <v>6021001</v>
      </c>
      <c r="B569" t="s">
        <v>387</v>
      </c>
      <c r="C569">
        <v>1</v>
      </c>
      <c r="D569">
        <v>1001</v>
      </c>
      <c r="E569">
        <v>350</v>
      </c>
      <c r="F569">
        <v>10000</v>
      </c>
      <c r="G569">
        <v>0</v>
      </c>
      <c r="H569">
        <f t="shared" si="14"/>
        <v>11021001</v>
      </c>
      <c r="I569">
        <v>1000</v>
      </c>
      <c r="J569">
        <v>0</v>
      </c>
      <c r="K569" t="s">
        <v>387</v>
      </c>
      <c r="L569" t="s">
        <v>387</v>
      </c>
      <c r="M569">
        <v>1</v>
      </c>
      <c r="N569">
        <v>0</v>
      </c>
      <c r="O569">
        <v>0</v>
      </c>
      <c r="R569" t="s">
        <v>227</v>
      </c>
      <c r="S569">
        <v>0</v>
      </c>
      <c r="T569">
        <v>0</v>
      </c>
      <c r="U569">
        <v>0</v>
      </c>
      <c r="V569">
        <v>1014</v>
      </c>
      <c r="W569">
        <v>700</v>
      </c>
      <c r="X569">
        <v>1021001</v>
      </c>
      <c r="Y569">
        <v>400</v>
      </c>
      <c r="Z569">
        <v>350</v>
      </c>
    </row>
    <row r="570" spans="1:26">
      <c r="A570">
        <v>6021002</v>
      </c>
      <c r="B570" t="s">
        <v>388</v>
      </c>
      <c r="C570">
        <v>2</v>
      </c>
      <c r="D570">
        <v>2001</v>
      </c>
      <c r="E570">
        <v>350</v>
      </c>
      <c r="F570">
        <v>22000</v>
      </c>
      <c r="G570">
        <v>500</v>
      </c>
      <c r="H570">
        <f t="shared" si="14"/>
        <v>11021002</v>
      </c>
      <c r="I570">
        <v>5500</v>
      </c>
      <c r="J570">
        <v>1021002</v>
      </c>
      <c r="K570" t="s">
        <v>390</v>
      </c>
      <c r="L570" t="s">
        <v>388</v>
      </c>
      <c r="M570">
        <v>1</v>
      </c>
      <c r="N570">
        <v>0</v>
      </c>
      <c r="O570">
        <v>0</v>
      </c>
      <c r="R570" t="s">
        <v>60</v>
      </c>
      <c r="S570">
        <v>0</v>
      </c>
      <c r="T570">
        <v>1021002</v>
      </c>
      <c r="U570">
        <v>1100</v>
      </c>
      <c r="V570">
        <v>1014</v>
      </c>
      <c r="W570" t="s">
        <v>392</v>
      </c>
      <c r="X570">
        <v>0</v>
      </c>
      <c r="Y570">
        <v>0</v>
      </c>
      <c r="Z570">
        <v>0</v>
      </c>
    </row>
    <row r="571" spans="1:26">
      <c r="A571">
        <v>6021101</v>
      </c>
      <c r="B571" t="s">
        <v>393</v>
      </c>
      <c r="C571">
        <v>1</v>
      </c>
      <c r="D571">
        <v>1001</v>
      </c>
      <c r="E571">
        <v>350</v>
      </c>
      <c r="F571">
        <v>11000</v>
      </c>
      <c r="G571">
        <v>0</v>
      </c>
      <c r="H571">
        <f t="shared" si="14"/>
        <v>11021101</v>
      </c>
      <c r="I571">
        <v>1000</v>
      </c>
      <c r="J571">
        <v>0</v>
      </c>
      <c r="K571" t="s">
        <v>393</v>
      </c>
      <c r="L571" t="s">
        <v>393</v>
      </c>
      <c r="M571">
        <v>1</v>
      </c>
      <c r="N571">
        <v>0</v>
      </c>
      <c r="O571">
        <v>0</v>
      </c>
      <c r="R571" t="s">
        <v>227</v>
      </c>
      <c r="S571">
        <v>0</v>
      </c>
      <c r="T571">
        <v>0</v>
      </c>
      <c r="U571">
        <v>0</v>
      </c>
      <c r="V571">
        <v>1014</v>
      </c>
      <c r="W571">
        <v>700</v>
      </c>
      <c r="X571">
        <v>1021001</v>
      </c>
      <c r="Y571">
        <v>400</v>
      </c>
      <c r="Z571">
        <v>350</v>
      </c>
    </row>
    <row r="572" spans="1:26">
      <c r="A572">
        <v>6021102</v>
      </c>
      <c r="B572" t="s">
        <v>165</v>
      </c>
      <c r="C572">
        <v>2</v>
      </c>
      <c r="D572">
        <v>2001</v>
      </c>
      <c r="E572">
        <v>350</v>
      </c>
      <c r="F572">
        <v>7000</v>
      </c>
      <c r="G572">
        <v>500</v>
      </c>
      <c r="H572">
        <f t="shared" si="14"/>
        <v>11021102</v>
      </c>
      <c r="I572">
        <v>11000</v>
      </c>
      <c r="J572">
        <v>1021002</v>
      </c>
      <c r="K572" t="s">
        <v>395</v>
      </c>
      <c r="L572" t="s">
        <v>165</v>
      </c>
      <c r="M572">
        <v>1</v>
      </c>
      <c r="N572">
        <v>0</v>
      </c>
      <c r="O572">
        <v>0</v>
      </c>
      <c r="R572" t="s">
        <v>60</v>
      </c>
      <c r="S572">
        <v>0</v>
      </c>
      <c r="T572">
        <v>1021102</v>
      </c>
      <c r="U572">
        <v>400</v>
      </c>
      <c r="V572">
        <v>1014</v>
      </c>
      <c r="W572" t="s">
        <v>397</v>
      </c>
      <c r="X572">
        <v>0</v>
      </c>
      <c r="Y572">
        <v>0</v>
      </c>
      <c r="Z572">
        <v>0</v>
      </c>
    </row>
    <row r="573" spans="1:26">
      <c r="A573">
        <v>6022001</v>
      </c>
      <c r="B573" t="s">
        <v>398</v>
      </c>
      <c r="C573">
        <v>1</v>
      </c>
      <c r="D573">
        <v>1001</v>
      </c>
      <c r="E573">
        <v>350</v>
      </c>
      <c r="F573">
        <v>10000</v>
      </c>
      <c r="G573">
        <v>0</v>
      </c>
      <c r="H573">
        <f t="shared" si="14"/>
        <v>11022001</v>
      </c>
      <c r="I573">
        <v>1000</v>
      </c>
      <c r="J573">
        <v>0</v>
      </c>
      <c r="K573" t="s">
        <v>398</v>
      </c>
      <c r="L573" t="s">
        <v>398</v>
      </c>
      <c r="M573">
        <v>1</v>
      </c>
      <c r="N573">
        <v>0</v>
      </c>
      <c r="O573">
        <v>0</v>
      </c>
      <c r="R573" t="s">
        <v>227</v>
      </c>
      <c r="S573">
        <v>0</v>
      </c>
      <c r="T573">
        <v>0</v>
      </c>
      <c r="U573">
        <v>0</v>
      </c>
      <c r="V573">
        <v>1014</v>
      </c>
      <c r="W573">
        <v>700</v>
      </c>
      <c r="X573">
        <v>1022001</v>
      </c>
      <c r="Y573">
        <v>400</v>
      </c>
      <c r="Z573">
        <v>350</v>
      </c>
    </row>
    <row r="574" spans="1:26">
      <c r="A574">
        <v>6022002</v>
      </c>
      <c r="B574" t="s">
        <v>399</v>
      </c>
      <c r="C574">
        <v>2</v>
      </c>
      <c r="D574">
        <v>2001</v>
      </c>
      <c r="E574">
        <v>350</v>
      </c>
      <c r="F574">
        <v>22000</v>
      </c>
      <c r="G574">
        <v>500</v>
      </c>
      <c r="H574">
        <f t="shared" ref="H574:H637" si="15">A574+5000000</f>
        <v>11022002</v>
      </c>
      <c r="I574">
        <v>22000</v>
      </c>
      <c r="J574">
        <v>1022002</v>
      </c>
      <c r="K574" t="s">
        <v>401</v>
      </c>
      <c r="L574" t="s">
        <v>399</v>
      </c>
      <c r="M574">
        <v>1</v>
      </c>
      <c r="N574">
        <v>0</v>
      </c>
      <c r="O574">
        <v>0</v>
      </c>
      <c r="R574" t="s">
        <v>60</v>
      </c>
      <c r="S574">
        <v>0</v>
      </c>
      <c r="T574">
        <v>1022002</v>
      </c>
      <c r="U574">
        <v>600</v>
      </c>
      <c r="V574">
        <v>1014</v>
      </c>
      <c r="W574">
        <v>700</v>
      </c>
      <c r="X574">
        <v>0</v>
      </c>
      <c r="Y574">
        <v>0</v>
      </c>
      <c r="Z574">
        <v>0</v>
      </c>
    </row>
    <row r="575" spans="1:26">
      <c r="A575">
        <v>6022101</v>
      </c>
      <c r="B575" t="s">
        <v>403</v>
      </c>
      <c r="C575">
        <v>1</v>
      </c>
      <c r="D575">
        <v>1001</v>
      </c>
      <c r="E575">
        <v>350</v>
      </c>
      <c r="F575">
        <v>11000</v>
      </c>
      <c r="G575">
        <v>0</v>
      </c>
      <c r="H575">
        <f t="shared" si="15"/>
        <v>11022101</v>
      </c>
      <c r="I575">
        <v>1000</v>
      </c>
      <c r="J575">
        <v>0</v>
      </c>
      <c r="K575" t="s">
        <v>403</v>
      </c>
      <c r="L575" t="s">
        <v>403</v>
      </c>
      <c r="M575">
        <v>1</v>
      </c>
      <c r="N575">
        <v>0</v>
      </c>
      <c r="O575">
        <v>0</v>
      </c>
      <c r="R575" t="s">
        <v>227</v>
      </c>
      <c r="S575">
        <v>0</v>
      </c>
      <c r="T575">
        <v>0</v>
      </c>
      <c r="U575">
        <v>0</v>
      </c>
      <c r="V575">
        <v>1014</v>
      </c>
      <c r="W575">
        <v>600</v>
      </c>
      <c r="X575">
        <v>1022001</v>
      </c>
      <c r="Y575">
        <v>300</v>
      </c>
      <c r="Z575">
        <v>350</v>
      </c>
    </row>
    <row r="576" spans="1:26">
      <c r="A576">
        <v>6022102</v>
      </c>
      <c r="B576" t="s">
        <v>404</v>
      </c>
      <c r="C576">
        <v>2</v>
      </c>
      <c r="D576">
        <v>2001</v>
      </c>
      <c r="E576">
        <v>350</v>
      </c>
      <c r="F576">
        <v>7000</v>
      </c>
      <c r="G576">
        <v>500</v>
      </c>
      <c r="H576">
        <f t="shared" si="15"/>
        <v>11022102</v>
      </c>
      <c r="I576">
        <v>22000</v>
      </c>
      <c r="J576">
        <v>1022002</v>
      </c>
      <c r="K576" t="s">
        <v>406</v>
      </c>
      <c r="L576" t="s">
        <v>404</v>
      </c>
      <c r="M576">
        <v>1</v>
      </c>
      <c r="N576">
        <v>0</v>
      </c>
      <c r="O576">
        <v>0</v>
      </c>
      <c r="R576" t="s">
        <v>60</v>
      </c>
      <c r="S576">
        <v>0</v>
      </c>
      <c r="T576">
        <v>1022002</v>
      </c>
      <c r="U576">
        <v>700</v>
      </c>
      <c r="V576">
        <v>1014</v>
      </c>
      <c r="W576" t="s">
        <v>408</v>
      </c>
      <c r="X576">
        <v>0</v>
      </c>
      <c r="Y576">
        <v>0</v>
      </c>
      <c r="Z576">
        <v>0</v>
      </c>
    </row>
    <row r="577" spans="1:26">
      <c r="A577">
        <v>6023001</v>
      </c>
      <c r="B577" t="s">
        <v>409</v>
      </c>
      <c r="C577">
        <v>1</v>
      </c>
      <c r="D577">
        <v>1001</v>
      </c>
      <c r="E577">
        <v>350</v>
      </c>
      <c r="F577">
        <v>10000</v>
      </c>
      <c r="G577">
        <v>0</v>
      </c>
      <c r="H577">
        <f t="shared" si="15"/>
        <v>11023001</v>
      </c>
      <c r="I577">
        <v>1000</v>
      </c>
      <c r="J577">
        <v>0</v>
      </c>
      <c r="K577" t="s">
        <v>409</v>
      </c>
      <c r="L577" t="s">
        <v>409</v>
      </c>
      <c r="M577">
        <v>1</v>
      </c>
      <c r="N577">
        <v>0</v>
      </c>
      <c r="O577">
        <v>0</v>
      </c>
      <c r="R577" t="s">
        <v>227</v>
      </c>
      <c r="S577">
        <v>0</v>
      </c>
      <c r="T577">
        <v>0</v>
      </c>
      <c r="U577">
        <v>0</v>
      </c>
      <c r="V577">
        <v>1012</v>
      </c>
      <c r="W577">
        <v>700</v>
      </c>
      <c r="X577">
        <v>1023001</v>
      </c>
      <c r="Y577">
        <v>400</v>
      </c>
      <c r="Z577">
        <v>350</v>
      </c>
    </row>
    <row r="578" spans="1:26">
      <c r="A578">
        <v>6023002</v>
      </c>
      <c r="B578" t="s">
        <v>410</v>
      </c>
      <c r="C578">
        <v>2</v>
      </c>
      <c r="D578">
        <v>2001</v>
      </c>
      <c r="E578">
        <v>350</v>
      </c>
      <c r="F578">
        <v>3000</v>
      </c>
      <c r="G578">
        <v>500</v>
      </c>
      <c r="H578">
        <f t="shared" si="15"/>
        <v>11023002</v>
      </c>
      <c r="I578">
        <v>14000</v>
      </c>
      <c r="J578">
        <v>1023002</v>
      </c>
      <c r="K578" t="s">
        <v>412</v>
      </c>
      <c r="L578" t="s">
        <v>410</v>
      </c>
      <c r="M578">
        <v>1</v>
      </c>
      <c r="N578">
        <v>0</v>
      </c>
      <c r="O578">
        <v>0</v>
      </c>
      <c r="R578" t="s">
        <v>60</v>
      </c>
      <c r="S578">
        <v>0</v>
      </c>
      <c r="T578">
        <v>1023002</v>
      </c>
      <c r="U578">
        <v>800</v>
      </c>
      <c r="V578">
        <v>1012</v>
      </c>
      <c r="W578" t="s">
        <v>414</v>
      </c>
      <c r="X578">
        <v>0</v>
      </c>
      <c r="Y578">
        <v>0</v>
      </c>
      <c r="Z578">
        <v>0</v>
      </c>
    </row>
    <row r="579" spans="1:26">
      <c r="A579">
        <v>6023101</v>
      </c>
      <c r="B579" t="s">
        <v>415</v>
      </c>
      <c r="C579">
        <v>1</v>
      </c>
      <c r="D579">
        <v>1001</v>
      </c>
      <c r="E579">
        <v>350</v>
      </c>
      <c r="F579">
        <v>10000</v>
      </c>
      <c r="G579">
        <v>0</v>
      </c>
      <c r="H579">
        <f t="shared" si="15"/>
        <v>11023101</v>
      </c>
      <c r="I579">
        <v>1000</v>
      </c>
      <c r="J579">
        <v>0</v>
      </c>
      <c r="K579" t="s">
        <v>415</v>
      </c>
      <c r="L579" t="s">
        <v>415</v>
      </c>
      <c r="M579">
        <v>1</v>
      </c>
      <c r="N579">
        <v>0</v>
      </c>
      <c r="O579">
        <v>0</v>
      </c>
      <c r="R579" t="s">
        <v>227</v>
      </c>
      <c r="S579">
        <v>0</v>
      </c>
      <c r="T579">
        <v>0</v>
      </c>
      <c r="U579">
        <v>0</v>
      </c>
      <c r="V579">
        <v>1012</v>
      </c>
      <c r="W579">
        <v>600</v>
      </c>
      <c r="X579">
        <v>1023001</v>
      </c>
      <c r="Y579">
        <v>300</v>
      </c>
      <c r="Z579">
        <v>350</v>
      </c>
    </row>
    <row r="580" spans="1:26">
      <c r="A580">
        <v>6023102</v>
      </c>
      <c r="B580" t="s">
        <v>169</v>
      </c>
      <c r="C580">
        <v>2</v>
      </c>
      <c r="D580">
        <v>2001</v>
      </c>
      <c r="E580">
        <v>350</v>
      </c>
      <c r="F580">
        <v>6000</v>
      </c>
      <c r="G580">
        <v>500</v>
      </c>
      <c r="H580">
        <f t="shared" si="15"/>
        <v>11023102</v>
      </c>
      <c r="I580">
        <v>14000</v>
      </c>
      <c r="J580">
        <v>1023002</v>
      </c>
      <c r="K580" t="s">
        <v>417</v>
      </c>
      <c r="L580" t="s">
        <v>169</v>
      </c>
      <c r="M580">
        <v>1</v>
      </c>
      <c r="N580">
        <v>0</v>
      </c>
      <c r="O580">
        <v>0</v>
      </c>
      <c r="R580" t="s">
        <v>60</v>
      </c>
      <c r="S580">
        <v>0</v>
      </c>
      <c r="T580">
        <v>1023102</v>
      </c>
      <c r="U580">
        <v>0</v>
      </c>
      <c r="V580">
        <v>1012</v>
      </c>
      <c r="W580" t="s">
        <v>419</v>
      </c>
      <c r="X580">
        <v>0</v>
      </c>
      <c r="Y580">
        <v>0</v>
      </c>
      <c r="Z580">
        <v>0</v>
      </c>
    </row>
    <row r="581" spans="1:26">
      <c r="A581">
        <v>6025001</v>
      </c>
      <c r="B581" t="s">
        <v>420</v>
      </c>
      <c r="C581">
        <v>1</v>
      </c>
      <c r="D581">
        <v>1001</v>
      </c>
      <c r="E581">
        <v>350</v>
      </c>
      <c r="F581">
        <v>10000</v>
      </c>
      <c r="G581">
        <v>0</v>
      </c>
      <c r="H581">
        <f t="shared" si="15"/>
        <v>11025001</v>
      </c>
      <c r="I581">
        <v>1000</v>
      </c>
      <c r="J581">
        <v>0</v>
      </c>
      <c r="K581" t="s">
        <v>420</v>
      </c>
      <c r="L581" t="s">
        <v>420</v>
      </c>
      <c r="M581">
        <v>1</v>
      </c>
      <c r="N581">
        <v>0</v>
      </c>
      <c r="O581">
        <v>0</v>
      </c>
      <c r="R581" t="s">
        <v>227</v>
      </c>
      <c r="S581">
        <v>0</v>
      </c>
      <c r="T581">
        <v>0</v>
      </c>
      <c r="U581">
        <v>0</v>
      </c>
      <c r="V581">
        <v>1012</v>
      </c>
      <c r="W581">
        <v>700</v>
      </c>
      <c r="X581">
        <v>1025001</v>
      </c>
      <c r="Y581">
        <v>400</v>
      </c>
      <c r="Z581">
        <v>350</v>
      </c>
    </row>
    <row r="582" spans="1:26">
      <c r="A582">
        <v>6025002</v>
      </c>
      <c r="B582" t="s">
        <v>421</v>
      </c>
      <c r="C582">
        <v>2</v>
      </c>
      <c r="D582">
        <v>2001</v>
      </c>
      <c r="E582">
        <v>350</v>
      </c>
      <c r="F582">
        <v>11000</v>
      </c>
      <c r="G582">
        <v>500</v>
      </c>
      <c r="H582">
        <f t="shared" si="15"/>
        <v>11025002</v>
      </c>
      <c r="I582">
        <v>14000</v>
      </c>
      <c r="J582">
        <v>1025002</v>
      </c>
      <c r="K582" t="s">
        <v>423</v>
      </c>
      <c r="L582" t="s">
        <v>421</v>
      </c>
      <c r="M582">
        <v>1</v>
      </c>
      <c r="N582">
        <v>0</v>
      </c>
      <c r="O582">
        <v>0</v>
      </c>
      <c r="R582" t="s">
        <v>60</v>
      </c>
      <c r="S582">
        <v>0</v>
      </c>
      <c r="T582">
        <v>1025002</v>
      </c>
      <c r="U582">
        <v>400</v>
      </c>
      <c r="V582">
        <v>1012</v>
      </c>
      <c r="W582">
        <v>1000</v>
      </c>
      <c r="X582">
        <v>0</v>
      </c>
      <c r="Y582">
        <v>0</v>
      </c>
      <c r="Z582">
        <v>0</v>
      </c>
    </row>
    <row r="583" spans="1:26">
      <c r="A583">
        <v>6025101</v>
      </c>
      <c r="B583" t="s">
        <v>425</v>
      </c>
      <c r="C583">
        <v>1</v>
      </c>
      <c r="D583">
        <v>1001</v>
      </c>
      <c r="E583">
        <v>350</v>
      </c>
      <c r="F583">
        <v>10000</v>
      </c>
      <c r="G583">
        <v>0</v>
      </c>
      <c r="H583">
        <f t="shared" si="15"/>
        <v>11025101</v>
      </c>
      <c r="I583">
        <v>1000</v>
      </c>
      <c r="J583">
        <v>0</v>
      </c>
      <c r="K583" t="s">
        <v>425</v>
      </c>
      <c r="L583" t="s">
        <v>425</v>
      </c>
      <c r="M583">
        <v>1</v>
      </c>
      <c r="N583">
        <v>0</v>
      </c>
      <c r="O583">
        <v>0</v>
      </c>
      <c r="R583" t="s">
        <v>227</v>
      </c>
      <c r="S583">
        <v>0</v>
      </c>
      <c r="T583">
        <v>0</v>
      </c>
      <c r="U583">
        <v>0</v>
      </c>
      <c r="V583">
        <v>1012</v>
      </c>
      <c r="W583">
        <v>700</v>
      </c>
      <c r="X583">
        <v>1025001</v>
      </c>
      <c r="Y583">
        <v>400</v>
      </c>
      <c r="Z583">
        <v>350</v>
      </c>
    </row>
    <row r="584" spans="1:26">
      <c r="A584">
        <v>6025102</v>
      </c>
      <c r="B584" t="s">
        <v>149</v>
      </c>
      <c r="C584">
        <v>2</v>
      </c>
      <c r="D584">
        <v>2001</v>
      </c>
      <c r="E584">
        <v>350</v>
      </c>
      <c r="F584">
        <v>5500</v>
      </c>
      <c r="G584">
        <v>500</v>
      </c>
      <c r="H584">
        <f t="shared" si="15"/>
        <v>11025102</v>
      </c>
      <c r="I584">
        <v>14000</v>
      </c>
      <c r="J584">
        <v>1025002</v>
      </c>
      <c r="K584" t="s">
        <v>427</v>
      </c>
      <c r="L584" t="s">
        <v>149</v>
      </c>
      <c r="M584">
        <v>1</v>
      </c>
      <c r="N584">
        <v>0</v>
      </c>
      <c r="O584">
        <v>0</v>
      </c>
      <c r="R584" t="s">
        <v>60</v>
      </c>
      <c r="S584">
        <v>0</v>
      </c>
      <c r="T584">
        <v>1025102</v>
      </c>
      <c r="U584">
        <v>0</v>
      </c>
      <c r="V584">
        <v>1012</v>
      </c>
      <c r="W584" t="s">
        <v>429</v>
      </c>
      <c r="X584">
        <v>0</v>
      </c>
      <c r="Y584">
        <v>0</v>
      </c>
      <c r="Z584">
        <v>0</v>
      </c>
    </row>
    <row r="585" spans="1:26">
      <c r="A585">
        <v>6026001</v>
      </c>
      <c r="B585" t="s">
        <v>430</v>
      </c>
      <c r="C585">
        <v>1</v>
      </c>
      <c r="D585">
        <v>1001</v>
      </c>
      <c r="E585">
        <v>350</v>
      </c>
      <c r="F585">
        <v>10000</v>
      </c>
      <c r="G585">
        <v>0</v>
      </c>
      <c r="H585">
        <f t="shared" si="15"/>
        <v>11026001</v>
      </c>
      <c r="I585">
        <v>1000</v>
      </c>
      <c r="J585">
        <v>0</v>
      </c>
      <c r="K585" t="s">
        <v>430</v>
      </c>
      <c r="L585" t="s">
        <v>430</v>
      </c>
      <c r="M585">
        <v>1</v>
      </c>
      <c r="N585">
        <v>0</v>
      </c>
      <c r="O585">
        <v>0</v>
      </c>
      <c r="R585" t="s">
        <v>227</v>
      </c>
      <c r="S585">
        <v>0</v>
      </c>
      <c r="T585">
        <v>0</v>
      </c>
      <c r="U585">
        <v>0</v>
      </c>
      <c r="V585">
        <v>1012</v>
      </c>
      <c r="W585">
        <v>800</v>
      </c>
      <c r="X585">
        <v>1026001</v>
      </c>
      <c r="Y585">
        <v>500</v>
      </c>
      <c r="Z585">
        <v>350</v>
      </c>
    </row>
    <row r="586" spans="1:26">
      <c r="A586">
        <v>6026002</v>
      </c>
      <c r="B586" t="s">
        <v>431</v>
      </c>
      <c r="C586">
        <v>2</v>
      </c>
      <c r="D586">
        <v>2001</v>
      </c>
      <c r="E586">
        <v>350</v>
      </c>
      <c r="F586">
        <v>21000</v>
      </c>
      <c r="G586">
        <v>500</v>
      </c>
      <c r="H586">
        <f t="shared" si="15"/>
        <v>11026002</v>
      </c>
      <c r="I586">
        <v>16000</v>
      </c>
      <c r="J586">
        <v>1026002</v>
      </c>
      <c r="K586" t="s">
        <v>433</v>
      </c>
      <c r="L586" t="s">
        <v>431</v>
      </c>
      <c r="M586">
        <v>1</v>
      </c>
      <c r="N586">
        <v>0</v>
      </c>
      <c r="O586">
        <v>0</v>
      </c>
      <c r="R586" t="s">
        <v>60</v>
      </c>
      <c r="S586">
        <v>0</v>
      </c>
      <c r="T586">
        <v>1026002</v>
      </c>
      <c r="U586">
        <v>500</v>
      </c>
      <c r="V586">
        <v>1012</v>
      </c>
      <c r="W586">
        <v>1450</v>
      </c>
      <c r="X586">
        <v>0</v>
      </c>
      <c r="Y586">
        <v>0</v>
      </c>
      <c r="Z586">
        <v>0</v>
      </c>
    </row>
    <row r="587" spans="1:26">
      <c r="A587">
        <v>6027001</v>
      </c>
      <c r="B587" t="s">
        <v>435</v>
      </c>
      <c r="C587">
        <v>1</v>
      </c>
      <c r="D587">
        <v>1001</v>
      </c>
      <c r="E587">
        <v>350</v>
      </c>
      <c r="F587">
        <v>10000</v>
      </c>
      <c r="G587">
        <v>0</v>
      </c>
      <c r="H587">
        <f t="shared" si="15"/>
        <v>11027001</v>
      </c>
      <c r="I587">
        <v>1000</v>
      </c>
      <c r="J587">
        <v>0</v>
      </c>
      <c r="K587" t="s">
        <v>435</v>
      </c>
      <c r="L587" t="s">
        <v>435</v>
      </c>
      <c r="M587">
        <v>1</v>
      </c>
      <c r="N587">
        <v>0</v>
      </c>
      <c r="O587">
        <v>0</v>
      </c>
      <c r="R587" t="s">
        <v>227</v>
      </c>
      <c r="S587">
        <v>0</v>
      </c>
      <c r="T587">
        <v>0</v>
      </c>
      <c r="U587">
        <v>0</v>
      </c>
      <c r="V587">
        <v>1012</v>
      </c>
      <c r="W587">
        <v>700</v>
      </c>
      <c r="X587">
        <v>1027001</v>
      </c>
      <c r="Y587">
        <v>400</v>
      </c>
      <c r="Z587">
        <v>350</v>
      </c>
    </row>
    <row r="588" spans="1:26">
      <c r="A588">
        <v>6027002</v>
      </c>
      <c r="B588" t="s">
        <v>436</v>
      </c>
      <c r="C588">
        <v>2</v>
      </c>
      <c r="D588">
        <v>2001</v>
      </c>
      <c r="E588">
        <v>350</v>
      </c>
      <c r="F588">
        <v>21000</v>
      </c>
      <c r="G588">
        <v>500</v>
      </c>
      <c r="H588">
        <f t="shared" si="15"/>
        <v>11027002</v>
      </c>
      <c r="I588">
        <v>16000</v>
      </c>
      <c r="J588">
        <v>1027002</v>
      </c>
      <c r="K588" t="s">
        <v>438</v>
      </c>
      <c r="L588" t="s">
        <v>436</v>
      </c>
      <c r="M588">
        <v>1</v>
      </c>
      <c r="N588">
        <v>0</v>
      </c>
      <c r="O588">
        <v>0</v>
      </c>
      <c r="R588" t="s">
        <v>60</v>
      </c>
      <c r="S588">
        <v>0</v>
      </c>
      <c r="T588">
        <v>1027002</v>
      </c>
      <c r="U588">
        <v>500</v>
      </c>
      <c r="V588">
        <v>1012</v>
      </c>
      <c r="W588">
        <v>1300</v>
      </c>
      <c r="X588">
        <v>0</v>
      </c>
      <c r="Y588">
        <v>0</v>
      </c>
      <c r="Z588">
        <v>0</v>
      </c>
    </row>
    <row r="589" spans="1:26">
      <c r="A589">
        <v>6027101</v>
      </c>
      <c r="B589" t="s">
        <v>440</v>
      </c>
      <c r="C589">
        <v>1</v>
      </c>
      <c r="D589">
        <v>1001</v>
      </c>
      <c r="E589">
        <v>350</v>
      </c>
      <c r="F589">
        <v>10000</v>
      </c>
      <c r="G589">
        <v>0</v>
      </c>
      <c r="H589">
        <f t="shared" si="15"/>
        <v>11027101</v>
      </c>
      <c r="I589">
        <v>1000</v>
      </c>
      <c r="J589">
        <v>0</v>
      </c>
      <c r="K589" t="s">
        <v>440</v>
      </c>
      <c r="L589" t="s">
        <v>440</v>
      </c>
      <c r="M589">
        <v>1</v>
      </c>
      <c r="N589">
        <v>0</v>
      </c>
      <c r="O589">
        <v>0</v>
      </c>
      <c r="R589" t="s">
        <v>227</v>
      </c>
      <c r="S589">
        <v>0</v>
      </c>
      <c r="T589">
        <v>0</v>
      </c>
      <c r="U589">
        <v>0</v>
      </c>
      <c r="V589">
        <v>1012</v>
      </c>
      <c r="W589">
        <v>700</v>
      </c>
      <c r="X589">
        <v>1027001</v>
      </c>
      <c r="Y589">
        <v>400</v>
      </c>
      <c r="Z589">
        <v>350</v>
      </c>
    </row>
    <row r="590" spans="1:26">
      <c r="A590">
        <v>6027102</v>
      </c>
      <c r="B590" t="s">
        <v>441</v>
      </c>
      <c r="C590">
        <v>2</v>
      </c>
      <c r="D590">
        <v>2001</v>
      </c>
      <c r="E590">
        <v>350</v>
      </c>
      <c r="F590">
        <v>42000</v>
      </c>
      <c r="G590">
        <v>500</v>
      </c>
      <c r="H590">
        <f t="shared" si="15"/>
        <v>11027102</v>
      </c>
      <c r="I590">
        <v>16000</v>
      </c>
      <c r="J590">
        <v>1027002</v>
      </c>
      <c r="K590" t="s">
        <v>443</v>
      </c>
      <c r="L590" t="s">
        <v>441</v>
      </c>
      <c r="M590">
        <v>1</v>
      </c>
      <c r="N590">
        <v>0</v>
      </c>
      <c r="O590">
        <v>0</v>
      </c>
      <c r="R590" t="s">
        <v>60</v>
      </c>
      <c r="S590">
        <v>0</v>
      </c>
      <c r="T590">
        <v>1027002</v>
      </c>
      <c r="U590">
        <v>500</v>
      </c>
      <c r="V590">
        <v>1012</v>
      </c>
      <c r="W590">
        <v>1300</v>
      </c>
      <c r="X590">
        <v>0</v>
      </c>
      <c r="Y590">
        <v>0</v>
      </c>
      <c r="Z590">
        <v>0</v>
      </c>
    </row>
    <row r="591" spans="1:26">
      <c r="A591">
        <v>6030001</v>
      </c>
      <c r="B591" t="s">
        <v>445</v>
      </c>
      <c r="C591">
        <v>1</v>
      </c>
      <c r="D591">
        <v>1001</v>
      </c>
      <c r="E591">
        <v>350</v>
      </c>
      <c r="F591">
        <v>10000</v>
      </c>
      <c r="G591">
        <v>0</v>
      </c>
      <c r="H591">
        <f t="shared" si="15"/>
        <v>11030001</v>
      </c>
      <c r="I591">
        <v>1000</v>
      </c>
      <c r="J591">
        <v>0</v>
      </c>
      <c r="K591" t="s">
        <v>445</v>
      </c>
      <c r="L591" t="s">
        <v>445</v>
      </c>
      <c r="M591">
        <v>1</v>
      </c>
      <c r="N591">
        <v>0</v>
      </c>
      <c r="O591">
        <v>0</v>
      </c>
      <c r="R591" t="s">
        <v>227</v>
      </c>
      <c r="S591">
        <v>0</v>
      </c>
      <c r="T591">
        <v>0</v>
      </c>
      <c r="U591">
        <v>0</v>
      </c>
      <c r="V591">
        <v>1012</v>
      </c>
      <c r="W591">
        <v>800</v>
      </c>
      <c r="X591">
        <v>1030001</v>
      </c>
      <c r="Y591">
        <v>500</v>
      </c>
      <c r="Z591">
        <v>350</v>
      </c>
    </row>
    <row r="592" spans="1:26">
      <c r="A592">
        <v>6030002</v>
      </c>
      <c r="B592" t="s">
        <v>446</v>
      </c>
      <c r="C592">
        <v>2</v>
      </c>
      <c r="D592">
        <v>2001</v>
      </c>
      <c r="E592">
        <v>350</v>
      </c>
      <c r="F592">
        <v>21000</v>
      </c>
      <c r="G592">
        <v>500</v>
      </c>
      <c r="H592">
        <f t="shared" si="15"/>
        <v>11030002</v>
      </c>
      <c r="I592">
        <v>16000</v>
      </c>
      <c r="J592">
        <v>1030002</v>
      </c>
      <c r="K592" t="s">
        <v>448</v>
      </c>
      <c r="L592" t="s">
        <v>446</v>
      </c>
      <c r="M592">
        <v>1</v>
      </c>
      <c r="N592">
        <v>0</v>
      </c>
      <c r="O592">
        <v>0</v>
      </c>
      <c r="R592" t="s">
        <v>60</v>
      </c>
      <c r="S592">
        <v>0</v>
      </c>
      <c r="T592">
        <v>1030002</v>
      </c>
      <c r="U592">
        <v>700</v>
      </c>
      <c r="V592">
        <v>1012</v>
      </c>
      <c r="W592">
        <v>2150</v>
      </c>
      <c r="X592">
        <v>0</v>
      </c>
      <c r="Y592">
        <v>0</v>
      </c>
      <c r="Z592">
        <v>0</v>
      </c>
    </row>
    <row r="593" spans="1:26">
      <c r="A593">
        <v>6030101</v>
      </c>
      <c r="B593" t="s">
        <v>450</v>
      </c>
      <c r="C593">
        <v>1</v>
      </c>
      <c r="D593">
        <v>1001</v>
      </c>
      <c r="E593">
        <v>350</v>
      </c>
      <c r="F593">
        <v>11000</v>
      </c>
      <c r="G593">
        <v>0</v>
      </c>
      <c r="H593">
        <f t="shared" si="15"/>
        <v>11030101</v>
      </c>
      <c r="I593">
        <v>1000</v>
      </c>
      <c r="J593">
        <v>0</v>
      </c>
      <c r="K593" t="s">
        <v>450</v>
      </c>
      <c r="L593" t="s">
        <v>450</v>
      </c>
      <c r="M593">
        <v>1</v>
      </c>
      <c r="N593">
        <v>0</v>
      </c>
      <c r="O593">
        <v>0</v>
      </c>
      <c r="R593" t="s">
        <v>227</v>
      </c>
      <c r="S593">
        <v>0</v>
      </c>
      <c r="T593">
        <v>0</v>
      </c>
      <c r="U593">
        <v>0</v>
      </c>
      <c r="V593">
        <v>1012</v>
      </c>
      <c r="W593">
        <v>700</v>
      </c>
      <c r="X593">
        <v>1030001</v>
      </c>
      <c r="Y593">
        <v>400</v>
      </c>
      <c r="Z593">
        <v>350</v>
      </c>
    </row>
    <row r="594" spans="1:26">
      <c r="A594">
        <v>6030102</v>
      </c>
      <c r="B594" t="s">
        <v>121</v>
      </c>
      <c r="C594">
        <v>2</v>
      </c>
      <c r="D594">
        <v>2001</v>
      </c>
      <c r="E594">
        <v>350</v>
      </c>
      <c r="F594">
        <v>42000</v>
      </c>
      <c r="G594">
        <v>500</v>
      </c>
      <c r="H594">
        <f t="shared" si="15"/>
        <v>11030102</v>
      </c>
      <c r="I594">
        <v>16000</v>
      </c>
      <c r="J594">
        <v>1030002</v>
      </c>
      <c r="K594" t="s">
        <v>452</v>
      </c>
      <c r="L594" t="s">
        <v>121</v>
      </c>
      <c r="M594">
        <v>1</v>
      </c>
      <c r="N594">
        <v>0</v>
      </c>
      <c r="O594">
        <v>0</v>
      </c>
      <c r="R594" t="s">
        <v>60</v>
      </c>
      <c r="S594">
        <v>0</v>
      </c>
      <c r="T594">
        <v>1030002</v>
      </c>
      <c r="U594">
        <v>600</v>
      </c>
      <c r="V594">
        <v>1012</v>
      </c>
      <c r="W594">
        <v>2050</v>
      </c>
      <c r="X594">
        <v>0</v>
      </c>
      <c r="Y594">
        <v>0</v>
      </c>
      <c r="Z594">
        <v>0</v>
      </c>
    </row>
    <row r="595" spans="1:26">
      <c r="A595">
        <v>6032001</v>
      </c>
      <c r="B595" t="s">
        <v>454</v>
      </c>
      <c r="C595">
        <v>1</v>
      </c>
      <c r="D595">
        <v>1001</v>
      </c>
      <c r="E595">
        <v>350</v>
      </c>
      <c r="F595">
        <v>10000</v>
      </c>
      <c r="G595">
        <v>0</v>
      </c>
      <c r="H595">
        <f t="shared" si="15"/>
        <v>11032001</v>
      </c>
      <c r="I595">
        <v>1000</v>
      </c>
      <c r="J595">
        <v>0</v>
      </c>
      <c r="K595" t="s">
        <v>454</v>
      </c>
      <c r="L595" t="s">
        <v>454</v>
      </c>
      <c r="M595">
        <v>1</v>
      </c>
      <c r="N595">
        <v>0</v>
      </c>
      <c r="O595">
        <v>0</v>
      </c>
      <c r="R595" t="s">
        <v>227</v>
      </c>
      <c r="S595">
        <v>0</v>
      </c>
      <c r="T595">
        <v>0</v>
      </c>
      <c r="U595">
        <v>0</v>
      </c>
      <c r="V595">
        <v>1014</v>
      </c>
      <c r="W595">
        <v>700</v>
      </c>
      <c r="X595">
        <v>1032001</v>
      </c>
      <c r="Y595">
        <v>400</v>
      </c>
      <c r="Z595">
        <v>350</v>
      </c>
    </row>
    <row r="596" spans="1:26">
      <c r="A596">
        <v>6032002</v>
      </c>
      <c r="B596" t="s">
        <v>455</v>
      </c>
      <c r="C596">
        <v>2</v>
      </c>
      <c r="D596">
        <v>2001</v>
      </c>
      <c r="E596">
        <v>350</v>
      </c>
      <c r="F596">
        <v>9500</v>
      </c>
      <c r="G596">
        <v>500</v>
      </c>
      <c r="H596">
        <f t="shared" si="15"/>
        <v>11032002</v>
      </c>
      <c r="I596">
        <v>18000</v>
      </c>
      <c r="J596">
        <v>1032002</v>
      </c>
      <c r="K596" t="s">
        <v>457</v>
      </c>
      <c r="L596" t="s">
        <v>455</v>
      </c>
      <c r="M596">
        <v>1</v>
      </c>
      <c r="N596">
        <v>0</v>
      </c>
      <c r="O596">
        <v>0</v>
      </c>
      <c r="R596" t="s">
        <v>60</v>
      </c>
      <c r="S596">
        <v>0</v>
      </c>
      <c r="T596">
        <v>1032002</v>
      </c>
      <c r="U596">
        <v>400</v>
      </c>
      <c r="V596">
        <v>1014</v>
      </c>
      <c r="W596" t="s">
        <v>972</v>
      </c>
      <c r="X596">
        <v>0</v>
      </c>
      <c r="Y596">
        <v>0</v>
      </c>
      <c r="Z596">
        <v>0</v>
      </c>
    </row>
    <row r="597" spans="1:26">
      <c r="A597">
        <v>6032101</v>
      </c>
      <c r="B597" t="s">
        <v>460</v>
      </c>
      <c r="C597">
        <v>1</v>
      </c>
      <c r="D597">
        <v>1001</v>
      </c>
      <c r="E597">
        <v>350</v>
      </c>
      <c r="F597">
        <v>10000</v>
      </c>
      <c r="G597">
        <v>0</v>
      </c>
      <c r="H597">
        <f t="shared" si="15"/>
        <v>11032101</v>
      </c>
      <c r="I597">
        <v>1000</v>
      </c>
      <c r="J597">
        <v>0</v>
      </c>
      <c r="K597" t="s">
        <v>460</v>
      </c>
      <c r="L597" t="s">
        <v>460</v>
      </c>
      <c r="M597">
        <v>1</v>
      </c>
      <c r="N597">
        <v>0</v>
      </c>
      <c r="O597">
        <v>0</v>
      </c>
      <c r="R597" t="s">
        <v>227</v>
      </c>
      <c r="S597">
        <v>0</v>
      </c>
      <c r="T597">
        <v>0</v>
      </c>
      <c r="U597">
        <v>0</v>
      </c>
      <c r="V597">
        <v>1014</v>
      </c>
      <c r="W597">
        <v>700</v>
      </c>
      <c r="X597">
        <v>1032001</v>
      </c>
      <c r="Y597">
        <v>400</v>
      </c>
      <c r="Z597">
        <v>350</v>
      </c>
    </row>
    <row r="598" spans="1:26">
      <c r="A598">
        <v>6032102</v>
      </c>
      <c r="B598" t="s">
        <v>461</v>
      </c>
      <c r="C598">
        <v>2</v>
      </c>
      <c r="D598">
        <v>2001</v>
      </c>
      <c r="E598">
        <v>350</v>
      </c>
      <c r="F598">
        <v>21000</v>
      </c>
      <c r="G598">
        <v>500</v>
      </c>
      <c r="H598">
        <f t="shared" si="15"/>
        <v>11032102</v>
      </c>
      <c r="I598">
        <v>18000</v>
      </c>
      <c r="J598">
        <v>1032002</v>
      </c>
      <c r="K598" t="s">
        <v>463</v>
      </c>
      <c r="L598" t="s">
        <v>461</v>
      </c>
      <c r="M598">
        <v>1</v>
      </c>
      <c r="N598">
        <v>0</v>
      </c>
      <c r="O598">
        <v>0</v>
      </c>
      <c r="R598" t="s">
        <v>60</v>
      </c>
      <c r="S598">
        <v>0</v>
      </c>
      <c r="T598">
        <v>1032002</v>
      </c>
      <c r="U598">
        <v>400</v>
      </c>
      <c r="V598">
        <v>1014</v>
      </c>
      <c r="W598" t="s">
        <v>972</v>
      </c>
      <c r="X598">
        <v>0</v>
      </c>
      <c r="Y598">
        <v>0</v>
      </c>
      <c r="Z598">
        <v>0</v>
      </c>
    </row>
    <row r="599" spans="1:26">
      <c r="A599">
        <v>6033001</v>
      </c>
      <c r="B599" t="s">
        <v>465</v>
      </c>
      <c r="C599">
        <v>1</v>
      </c>
      <c r="D599">
        <v>1001</v>
      </c>
      <c r="E599">
        <v>350</v>
      </c>
      <c r="F599">
        <v>10000</v>
      </c>
      <c r="G599">
        <v>0</v>
      </c>
      <c r="H599">
        <f t="shared" si="15"/>
        <v>11033001</v>
      </c>
      <c r="I599">
        <v>1000</v>
      </c>
      <c r="J599">
        <v>0</v>
      </c>
      <c r="K599" t="s">
        <v>465</v>
      </c>
      <c r="L599" t="s">
        <v>465</v>
      </c>
      <c r="M599">
        <v>1</v>
      </c>
      <c r="N599">
        <v>0</v>
      </c>
      <c r="O599">
        <v>0</v>
      </c>
      <c r="R599" t="s">
        <v>227</v>
      </c>
      <c r="S599">
        <v>0</v>
      </c>
      <c r="T599">
        <v>0</v>
      </c>
      <c r="U599">
        <v>0</v>
      </c>
      <c r="V599">
        <v>1012</v>
      </c>
      <c r="W599">
        <v>700</v>
      </c>
      <c r="X599">
        <v>1033001</v>
      </c>
      <c r="Y599">
        <v>400</v>
      </c>
      <c r="Z599">
        <v>350</v>
      </c>
    </row>
    <row r="600" spans="1:26">
      <c r="A600">
        <v>6033002</v>
      </c>
      <c r="B600" t="s">
        <v>466</v>
      </c>
      <c r="C600">
        <v>2</v>
      </c>
      <c r="D600">
        <v>2001</v>
      </c>
      <c r="E600">
        <v>350</v>
      </c>
      <c r="F600">
        <v>4400</v>
      </c>
      <c r="G600">
        <v>500</v>
      </c>
      <c r="H600">
        <f t="shared" si="15"/>
        <v>11033002</v>
      </c>
      <c r="I600">
        <v>12000</v>
      </c>
      <c r="J600">
        <v>1033002</v>
      </c>
      <c r="K600" t="s">
        <v>468</v>
      </c>
      <c r="L600" t="s">
        <v>466</v>
      </c>
      <c r="M600">
        <v>1</v>
      </c>
      <c r="N600">
        <v>0</v>
      </c>
      <c r="O600">
        <v>0</v>
      </c>
      <c r="R600" t="s">
        <v>60</v>
      </c>
      <c r="S600">
        <v>0</v>
      </c>
      <c r="T600">
        <v>1033002</v>
      </c>
      <c r="U600">
        <v>1300</v>
      </c>
      <c r="V600">
        <v>1012</v>
      </c>
      <c r="W600" t="s">
        <v>470</v>
      </c>
      <c r="X600">
        <v>0</v>
      </c>
      <c r="Y600">
        <v>0</v>
      </c>
      <c r="Z600">
        <v>0</v>
      </c>
    </row>
    <row r="601" spans="1:26">
      <c r="A601">
        <v>6033101</v>
      </c>
      <c r="B601" t="s">
        <v>471</v>
      </c>
      <c r="C601">
        <v>1</v>
      </c>
      <c r="D601">
        <v>1001</v>
      </c>
      <c r="E601">
        <v>350</v>
      </c>
      <c r="F601">
        <v>11000</v>
      </c>
      <c r="G601">
        <v>0</v>
      </c>
      <c r="H601">
        <f t="shared" si="15"/>
        <v>11033101</v>
      </c>
      <c r="I601">
        <v>1000</v>
      </c>
      <c r="J601">
        <v>0</v>
      </c>
      <c r="K601" t="s">
        <v>471</v>
      </c>
      <c r="L601" t="s">
        <v>471</v>
      </c>
      <c r="M601">
        <v>1</v>
      </c>
      <c r="N601">
        <v>0</v>
      </c>
      <c r="O601">
        <v>0</v>
      </c>
      <c r="R601" t="s">
        <v>227</v>
      </c>
      <c r="S601">
        <v>0</v>
      </c>
      <c r="T601">
        <v>0</v>
      </c>
      <c r="U601">
        <v>0</v>
      </c>
      <c r="V601">
        <v>1012</v>
      </c>
      <c r="W601">
        <v>600</v>
      </c>
      <c r="X601">
        <v>1033001</v>
      </c>
      <c r="Y601">
        <v>300</v>
      </c>
      <c r="Z601">
        <v>350</v>
      </c>
    </row>
    <row r="602" spans="1:26">
      <c r="A602">
        <v>6033102</v>
      </c>
      <c r="B602" t="s">
        <v>472</v>
      </c>
      <c r="C602">
        <v>2</v>
      </c>
      <c r="D602">
        <v>2001</v>
      </c>
      <c r="E602">
        <v>350</v>
      </c>
      <c r="F602">
        <v>8200</v>
      </c>
      <c r="G602">
        <v>500</v>
      </c>
      <c r="H602">
        <f t="shared" si="15"/>
        <v>11033102</v>
      </c>
      <c r="I602">
        <v>12000</v>
      </c>
      <c r="J602">
        <v>1033002</v>
      </c>
      <c r="K602" t="s">
        <v>474</v>
      </c>
      <c r="L602" t="s">
        <v>472</v>
      </c>
      <c r="M602">
        <v>1</v>
      </c>
      <c r="N602">
        <v>0</v>
      </c>
      <c r="O602">
        <v>0</v>
      </c>
      <c r="R602" t="s">
        <v>60</v>
      </c>
      <c r="S602">
        <v>0</v>
      </c>
      <c r="T602">
        <v>1033002</v>
      </c>
      <c r="U602">
        <v>500</v>
      </c>
      <c r="V602">
        <v>1012</v>
      </c>
      <c r="W602" t="s">
        <v>476</v>
      </c>
      <c r="X602">
        <v>0</v>
      </c>
      <c r="Y602">
        <v>0</v>
      </c>
      <c r="Z602">
        <v>0</v>
      </c>
    </row>
    <row r="603" spans="1:26">
      <c r="A603">
        <v>6033201</v>
      </c>
      <c r="B603" t="s">
        <v>477</v>
      </c>
      <c r="C603">
        <v>1</v>
      </c>
      <c r="D603">
        <v>1001</v>
      </c>
      <c r="E603">
        <v>350</v>
      </c>
      <c r="F603">
        <v>11000</v>
      </c>
      <c r="G603">
        <v>0</v>
      </c>
      <c r="H603">
        <f t="shared" si="15"/>
        <v>11033201</v>
      </c>
      <c r="I603">
        <v>1000</v>
      </c>
      <c r="J603">
        <v>0</v>
      </c>
      <c r="K603" t="s">
        <v>477</v>
      </c>
      <c r="L603" t="s">
        <v>477</v>
      </c>
      <c r="M603">
        <v>1</v>
      </c>
      <c r="N603">
        <v>0</v>
      </c>
      <c r="O603">
        <v>0</v>
      </c>
      <c r="R603" t="s">
        <v>227</v>
      </c>
      <c r="S603">
        <v>0</v>
      </c>
      <c r="T603">
        <v>0</v>
      </c>
      <c r="U603">
        <v>0</v>
      </c>
      <c r="V603">
        <v>1012</v>
      </c>
      <c r="W603">
        <v>700</v>
      </c>
      <c r="X603">
        <v>1033001</v>
      </c>
      <c r="Y603">
        <v>400</v>
      </c>
      <c r="Z603">
        <v>350</v>
      </c>
    </row>
    <row r="604" spans="1:26">
      <c r="A604">
        <v>6033202</v>
      </c>
      <c r="B604" t="s">
        <v>478</v>
      </c>
      <c r="C604">
        <v>2</v>
      </c>
      <c r="D604">
        <v>2001</v>
      </c>
      <c r="E604">
        <v>350</v>
      </c>
      <c r="F604">
        <v>8200</v>
      </c>
      <c r="G604">
        <v>500</v>
      </c>
      <c r="H604">
        <f t="shared" si="15"/>
        <v>11033202</v>
      </c>
      <c r="I604">
        <v>12000</v>
      </c>
      <c r="J604">
        <v>1033202</v>
      </c>
      <c r="K604" t="s">
        <v>480</v>
      </c>
      <c r="L604" t="s">
        <v>478</v>
      </c>
      <c r="M604">
        <v>1</v>
      </c>
      <c r="N604">
        <v>0</v>
      </c>
      <c r="O604">
        <v>0</v>
      </c>
      <c r="R604" t="s">
        <v>60</v>
      </c>
      <c r="S604">
        <v>0</v>
      </c>
      <c r="T604">
        <v>1033202</v>
      </c>
      <c r="U604">
        <v>1400</v>
      </c>
      <c r="V604">
        <v>1012</v>
      </c>
      <c r="W604" t="s">
        <v>482</v>
      </c>
      <c r="X604">
        <v>0</v>
      </c>
      <c r="Y604">
        <v>0</v>
      </c>
      <c r="Z604">
        <v>0</v>
      </c>
    </row>
    <row r="605" spans="1:26">
      <c r="A605">
        <v>6035001</v>
      </c>
      <c r="B605" t="s">
        <v>483</v>
      </c>
      <c r="C605">
        <v>1</v>
      </c>
      <c r="D605">
        <v>1001</v>
      </c>
      <c r="E605">
        <v>350</v>
      </c>
      <c r="F605">
        <v>10000</v>
      </c>
      <c r="G605">
        <v>0</v>
      </c>
      <c r="H605">
        <f t="shared" si="15"/>
        <v>11035001</v>
      </c>
      <c r="I605">
        <v>1000</v>
      </c>
      <c r="J605">
        <v>0</v>
      </c>
      <c r="K605" t="s">
        <v>483</v>
      </c>
      <c r="L605" t="s">
        <v>483</v>
      </c>
      <c r="M605">
        <v>1</v>
      </c>
      <c r="N605">
        <v>0</v>
      </c>
      <c r="O605">
        <v>0</v>
      </c>
      <c r="R605" t="s">
        <v>227</v>
      </c>
      <c r="S605">
        <v>0</v>
      </c>
      <c r="T605">
        <v>0</v>
      </c>
      <c r="U605">
        <v>0</v>
      </c>
      <c r="V605">
        <v>1016</v>
      </c>
      <c r="W605">
        <v>700</v>
      </c>
      <c r="X605">
        <v>1035001</v>
      </c>
      <c r="Y605">
        <v>400</v>
      </c>
      <c r="Z605">
        <v>350</v>
      </c>
    </row>
    <row r="606" spans="1:26">
      <c r="A606">
        <v>6035002</v>
      </c>
      <c r="B606" t="s">
        <v>135</v>
      </c>
      <c r="C606">
        <v>2</v>
      </c>
      <c r="D606">
        <v>2001</v>
      </c>
      <c r="E606">
        <v>350</v>
      </c>
      <c r="F606">
        <v>2100</v>
      </c>
      <c r="G606">
        <v>500</v>
      </c>
      <c r="H606">
        <f t="shared" si="15"/>
        <v>11035002</v>
      </c>
      <c r="I606">
        <v>18000</v>
      </c>
      <c r="J606">
        <v>1035002</v>
      </c>
      <c r="K606" t="s">
        <v>485</v>
      </c>
      <c r="L606" t="s">
        <v>135</v>
      </c>
      <c r="M606">
        <v>1</v>
      </c>
      <c r="N606">
        <v>0</v>
      </c>
      <c r="O606">
        <v>0</v>
      </c>
      <c r="R606" t="s">
        <v>60</v>
      </c>
      <c r="S606">
        <v>0</v>
      </c>
      <c r="T606">
        <v>1035002</v>
      </c>
      <c r="U606">
        <v>600</v>
      </c>
      <c r="V606">
        <v>1016</v>
      </c>
      <c r="W606" t="s">
        <v>487</v>
      </c>
      <c r="X606">
        <v>0</v>
      </c>
      <c r="Y606">
        <v>0</v>
      </c>
      <c r="Z606">
        <v>0</v>
      </c>
    </row>
    <row r="607" spans="1:26">
      <c r="A607">
        <v>6035101</v>
      </c>
      <c r="B607" t="s">
        <v>488</v>
      </c>
      <c r="C607">
        <v>1</v>
      </c>
      <c r="D607">
        <v>1001</v>
      </c>
      <c r="E607">
        <v>350</v>
      </c>
      <c r="F607">
        <v>10000</v>
      </c>
      <c r="G607">
        <v>0</v>
      </c>
      <c r="H607">
        <f t="shared" si="15"/>
        <v>11035101</v>
      </c>
      <c r="I607">
        <v>1000</v>
      </c>
      <c r="J607">
        <v>0</v>
      </c>
      <c r="K607" t="s">
        <v>488</v>
      </c>
      <c r="L607" t="s">
        <v>488</v>
      </c>
      <c r="M607">
        <v>1</v>
      </c>
      <c r="N607">
        <v>0</v>
      </c>
      <c r="O607">
        <v>0</v>
      </c>
      <c r="R607" t="s">
        <v>227</v>
      </c>
      <c r="S607">
        <v>0</v>
      </c>
      <c r="T607">
        <v>0</v>
      </c>
      <c r="U607">
        <v>0</v>
      </c>
      <c r="V607">
        <v>1016</v>
      </c>
      <c r="W607">
        <v>800</v>
      </c>
      <c r="X607">
        <v>1035001</v>
      </c>
      <c r="Y607">
        <v>500</v>
      </c>
      <c r="Z607">
        <v>350</v>
      </c>
    </row>
    <row r="608" spans="1:26">
      <c r="A608">
        <v>6035102</v>
      </c>
      <c r="B608" t="s">
        <v>489</v>
      </c>
      <c r="C608">
        <v>2</v>
      </c>
      <c r="D608">
        <v>2001</v>
      </c>
      <c r="E608">
        <v>350</v>
      </c>
      <c r="F608">
        <v>4200</v>
      </c>
      <c r="G608">
        <v>500</v>
      </c>
      <c r="H608">
        <f t="shared" si="15"/>
        <v>11035102</v>
      </c>
      <c r="I608">
        <v>18000</v>
      </c>
      <c r="J608">
        <v>1035002</v>
      </c>
      <c r="K608" t="s">
        <v>491</v>
      </c>
      <c r="L608" t="s">
        <v>489</v>
      </c>
      <c r="M608">
        <v>1</v>
      </c>
      <c r="N608">
        <v>0</v>
      </c>
      <c r="O608">
        <v>0</v>
      </c>
      <c r="R608" t="s">
        <v>60</v>
      </c>
      <c r="S608">
        <v>0</v>
      </c>
      <c r="T608">
        <v>1035002</v>
      </c>
      <c r="U608">
        <v>700</v>
      </c>
      <c r="V608">
        <v>1016</v>
      </c>
      <c r="W608" t="s">
        <v>493</v>
      </c>
      <c r="X608">
        <v>0</v>
      </c>
      <c r="Y608">
        <v>0</v>
      </c>
      <c r="Z608">
        <v>0</v>
      </c>
    </row>
    <row r="609" spans="1:26">
      <c r="A609">
        <v>6035201</v>
      </c>
      <c r="B609" t="s">
        <v>494</v>
      </c>
      <c r="C609">
        <v>1</v>
      </c>
      <c r="D609">
        <v>1001</v>
      </c>
      <c r="E609">
        <v>350</v>
      </c>
      <c r="F609">
        <v>10000</v>
      </c>
      <c r="G609">
        <v>0</v>
      </c>
      <c r="H609">
        <f t="shared" si="15"/>
        <v>11035201</v>
      </c>
      <c r="I609">
        <v>1000</v>
      </c>
      <c r="J609">
        <v>0</v>
      </c>
      <c r="K609" t="s">
        <v>494</v>
      </c>
      <c r="L609" t="s">
        <v>494</v>
      </c>
      <c r="M609">
        <v>1</v>
      </c>
      <c r="N609">
        <v>0</v>
      </c>
      <c r="O609">
        <v>0</v>
      </c>
      <c r="R609" t="s">
        <v>227</v>
      </c>
      <c r="S609">
        <v>0</v>
      </c>
      <c r="T609">
        <v>0</v>
      </c>
      <c r="U609">
        <v>0</v>
      </c>
      <c r="V609">
        <v>1016</v>
      </c>
      <c r="W609">
        <v>800</v>
      </c>
      <c r="X609">
        <v>1035001</v>
      </c>
      <c r="Y609">
        <v>500</v>
      </c>
      <c r="Z609">
        <v>350</v>
      </c>
    </row>
    <row r="610" spans="1:26">
      <c r="A610">
        <v>6035202</v>
      </c>
      <c r="B610" t="s">
        <v>184</v>
      </c>
      <c r="C610">
        <v>2</v>
      </c>
      <c r="D610">
        <v>2001</v>
      </c>
      <c r="E610">
        <v>350</v>
      </c>
      <c r="F610">
        <v>10000</v>
      </c>
      <c r="G610">
        <v>500</v>
      </c>
      <c r="H610">
        <f t="shared" si="15"/>
        <v>11035202</v>
      </c>
      <c r="I610">
        <v>18000</v>
      </c>
      <c r="J610">
        <v>1035202</v>
      </c>
      <c r="K610" t="s">
        <v>496</v>
      </c>
      <c r="L610" t="s">
        <v>184</v>
      </c>
      <c r="M610">
        <v>1</v>
      </c>
      <c r="N610">
        <v>0</v>
      </c>
      <c r="O610">
        <v>0</v>
      </c>
      <c r="R610" t="s">
        <v>60</v>
      </c>
      <c r="S610">
        <v>0</v>
      </c>
      <c r="T610">
        <v>1035202</v>
      </c>
      <c r="U610">
        <v>1500</v>
      </c>
      <c r="V610">
        <v>1016</v>
      </c>
      <c r="W610" t="s">
        <v>498</v>
      </c>
      <c r="X610">
        <v>0</v>
      </c>
      <c r="Y610">
        <v>0</v>
      </c>
      <c r="Z610">
        <v>0</v>
      </c>
    </row>
    <row r="611" spans="1:26">
      <c r="A611">
        <v>6036001</v>
      </c>
      <c r="B611" t="s">
        <v>499</v>
      </c>
      <c r="C611">
        <v>1</v>
      </c>
      <c r="D611">
        <v>1001</v>
      </c>
      <c r="E611">
        <v>350</v>
      </c>
      <c r="F611">
        <v>10000</v>
      </c>
      <c r="G611">
        <v>0</v>
      </c>
      <c r="H611">
        <f t="shared" si="15"/>
        <v>11036001</v>
      </c>
      <c r="I611">
        <v>1000</v>
      </c>
      <c r="J611">
        <v>0</v>
      </c>
      <c r="K611" t="s">
        <v>499</v>
      </c>
      <c r="L611" t="s">
        <v>499</v>
      </c>
      <c r="M611">
        <v>1</v>
      </c>
      <c r="N611">
        <v>0</v>
      </c>
      <c r="O611">
        <v>0</v>
      </c>
      <c r="R611" t="s">
        <v>227</v>
      </c>
      <c r="S611">
        <v>0</v>
      </c>
      <c r="T611">
        <v>0</v>
      </c>
      <c r="U611">
        <v>0</v>
      </c>
      <c r="V611">
        <v>1016</v>
      </c>
      <c r="W611">
        <v>700</v>
      </c>
      <c r="X611">
        <v>1036001</v>
      </c>
      <c r="Y611">
        <v>400</v>
      </c>
      <c r="Z611">
        <v>350</v>
      </c>
    </row>
    <row r="612" spans="1:26">
      <c r="A612">
        <v>6036002</v>
      </c>
      <c r="B612" t="s">
        <v>500</v>
      </c>
      <c r="C612">
        <v>2</v>
      </c>
      <c r="D612">
        <v>2001</v>
      </c>
      <c r="E612">
        <v>350</v>
      </c>
      <c r="F612">
        <v>4200</v>
      </c>
      <c r="G612">
        <v>500</v>
      </c>
      <c r="H612">
        <f t="shared" si="15"/>
        <v>11036002</v>
      </c>
      <c r="I612">
        <v>7000</v>
      </c>
      <c r="J612">
        <v>1036001</v>
      </c>
      <c r="K612" t="s">
        <v>502</v>
      </c>
      <c r="L612" t="s">
        <v>504</v>
      </c>
      <c r="M612">
        <v>1</v>
      </c>
      <c r="N612">
        <v>0</v>
      </c>
      <c r="O612">
        <v>0</v>
      </c>
      <c r="R612" t="s">
        <v>60</v>
      </c>
      <c r="S612">
        <v>0</v>
      </c>
      <c r="T612">
        <v>1036002</v>
      </c>
      <c r="U612">
        <v>300</v>
      </c>
      <c r="V612">
        <v>1016</v>
      </c>
      <c r="W612" t="s">
        <v>505</v>
      </c>
      <c r="X612">
        <v>0</v>
      </c>
      <c r="Y612">
        <v>0</v>
      </c>
      <c r="Z612">
        <v>0</v>
      </c>
    </row>
    <row r="613" spans="1:26">
      <c r="A613">
        <v>6036101</v>
      </c>
      <c r="B613" t="s">
        <v>506</v>
      </c>
      <c r="C613">
        <v>1</v>
      </c>
      <c r="D613">
        <v>1001</v>
      </c>
      <c r="E613">
        <v>350</v>
      </c>
      <c r="F613">
        <v>11000</v>
      </c>
      <c r="G613">
        <v>0</v>
      </c>
      <c r="H613">
        <f t="shared" si="15"/>
        <v>11036101</v>
      </c>
      <c r="I613">
        <v>1000</v>
      </c>
      <c r="J613">
        <v>0</v>
      </c>
      <c r="K613" t="s">
        <v>506</v>
      </c>
      <c r="L613" t="s">
        <v>506</v>
      </c>
      <c r="M613">
        <v>1</v>
      </c>
      <c r="N613">
        <v>0</v>
      </c>
      <c r="O613">
        <v>0</v>
      </c>
      <c r="R613" t="s">
        <v>227</v>
      </c>
      <c r="S613">
        <v>0</v>
      </c>
      <c r="T613">
        <v>0</v>
      </c>
      <c r="U613">
        <v>0</v>
      </c>
      <c r="V613">
        <v>1016</v>
      </c>
      <c r="W613">
        <v>700</v>
      </c>
      <c r="X613">
        <v>1036001</v>
      </c>
      <c r="Y613">
        <v>400</v>
      </c>
      <c r="Z613">
        <v>350</v>
      </c>
    </row>
    <row r="614" spans="1:26">
      <c r="A614">
        <v>6036102</v>
      </c>
      <c r="B614" t="s">
        <v>507</v>
      </c>
      <c r="C614">
        <v>2</v>
      </c>
      <c r="D614">
        <v>2001</v>
      </c>
      <c r="E614">
        <v>350</v>
      </c>
      <c r="F614">
        <v>8400</v>
      </c>
      <c r="G614">
        <v>500</v>
      </c>
      <c r="H614">
        <f t="shared" si="15"/>
        <v>11036102</v>
      </c>
      <c r="I614">
        <v>7000</v>
      </c>
      <c r="J614">
        <v>1036001</v>
      </c>
      <c r="K614" t="s">
        <v>509</v>
      </c>
      <c r="L614" t="s">
        <v>511</v>
      </c>
      <c r="M614">
        <v>1</v>
      </c>
      <c r="N614">
        <v>0</v>
      </c>
      <c r="O614">
        <v>0</v>
      </c>
      <c r="R614" t="s">
        <v>60</v>
      </c>
      <c r="S614">
        <v>0</v>
      </c>
      <c r="T614">
        <v>1036102</v>
      </c>
      <c r="U614">
        <v>300</v>
      </c>
      <c r="V614">
        <v>1016</v>
      </c>
      <c r="W614" t="s">
        <v>505</v>
      </c>
      <c r="X614">
        <v>0</v>
      </c>
      <c r="Y614">
        <v>0</v>
      </c>
      <c r="Z614">
        <v>0</v>
      </c>
    </row>
    <row r="615" spans="1:26">
      <c r="A615">
        <v>6038001</v>
      </c>
      <c r="B615" t="s">
        <v>512</v>
      </c>
      <c r="C615">
        <v>1</v>
      </c>
      <c r="D615">
        <v>1001</v>
      </c>
      <c r="E615">
        <v>350</v>
      </c>
      <c r="F615">
        <v>10000</v>
      </c>
      <c r="G615">
        <v>0</v>
      </c>
      <c r="H615">
        <f t="shared" si="15"/>
        <v>11038001</v>
      </c>
      <c r="I615">
        <v>1000</v>
      </c>
      <c r="J615">
        <v>0</v>
      </c>
      <c r="K615" t="s">
        <v>512</v>
      </c>
      <c r="L615" t="s">
        <v>512</v>
      </c>
      <c r="M615">
        <v>1</v>
      </c>
      <c r="N615">
        <v>0</v>
      </c>
      <c r="O615">
        <v>0</v>
      </c>
      <c r="R615" t="s">
        <v>227</v>
      </c>
      <c r="S615">
        <v>0</v>
      </c>
      <c r="T615">
        <v>0</v>
      </c>
      <c r="U615">
        <v>0</v>
      </c>
      <c r="V615">
        <v>1016</v>
      </c>
      <c r="W615">
        <v>700</v>
      </c>
      <c r="X615">
        <v>1038001</v>
      </c>
      <c r="Y615">
        <v>400</v>
      </c>
      <c r="Z615">
        <v>350</v>
      </c>
    </row>
    <row r="616" spans="1:26">
      <c r="A616">
        <v>6038002</v>
      </c>
      <c r="B616" t="s">
        <v>513</v>
      </c>
      <c r="C616">
        <v>2</v>
      </c>
      <c r="D616">
        <v>2001</v>
      </c>
      <c r="E616">
        <v>350</v>
      </c>
      <c r="F616">
        <v>3850</v>
      </c>
      <c r="G616">
        <v>500</v>
      </c>
      <c r="H616">
        <f t="shared" si="15"/>
        <v>11038002</v>
      </c>
      <c r="I616">
        <v>14000</v>
      </c>
      <c r="J616">
        <v>1038002</v>
      </c>
      <c r="K616" t="s">
        <v>515</v>
      </c>
      <c r="L616" t="s">
        <v>513</v>
      </c>
      <c r="M616">
        <v>1</v>
      </c>
      <c r="N616">
        <v>0</v>
      </c>
      <c r="O616">
        <v>0</v>
      </c>
      <c r="R616" t="s">
        <v>60</v>
      </c>
      <c r="S616">
        <v>0</v>
      </c>
      <c r="T616">
        <v>1038002</v>
      </c>
      <c r="U616">
        <v>700</v>
      </c>
      <c r="V616">
        <v>1016</v>
      </c>
      <c r="W616" t="s">
        <v>517</v>
      </c>
      <c r="X616">
        <v>0</v>
      </c>
      <c r="Y616">
        <v>0</v>
      </c>
      <c r="Z616">
        <v>0</v>
      </c>
    </row>
    <row r="617" spans="1:26">
      <c r="A617">
        <v>6038101</v>
      </c>
      <c r="B617" t="s">
        <v>518</v>
      </c>
      <c r="C617">
        <v>1</v>
      </c>
      <c r="D617">
        <v>1001</v>
      </c>
      <c r="E617">
        <v>350</v>
      </c>
      <c r="F617">
        <v>10000</v>
      </c>
      <c r="G617">
        <v>0</v>
      </c>
      <c r="H617">
        <f t="shared" si="15"/>
        <v>11038101</v>
      </c>
      <c r="I617">
        <v>1000</v>
      </c>
      <c r="J617">
        <v>0</v>
      </c>
      <c r="K617" t="s">
        <v>518</v>
      </c>
      <c r="L617" t="s">
        <v>518</v>
      </c>
      <c r="M617">
        <v>1</v>
      </c>
      <c r="N617">
        <v>0</v>
      </c>
      <c r="O617">
        <v>0</v>
      </c>
      <c r="R617" t="s">
        <v>227</v>
      </c>
      <c r="S617">
        <v>0</v>
      </c>
      <c r="T617">
        <v>0</v>
      </c>
      <c r="U617">
        <v>0</v>
      </c>
      <c r="V617">
        <v>1014</v>
      </c>
      <c r="W617">
        <v>600</v>
      </c>
      <c r="X617">
        <v>1038001</v>
      </c>
      <c r="Y617">
        <v>300</v>
      </c>
      <c r="Z617">
        <v>350</v>
      </c>
    </row>
    <row r="618" spans="1:26">
      <c r="A618">
        <v>6038102</v>
      </c>
      <c r="B618" t="s">
        <v>519</v>
      </c>
      <c r="C618">
        <v>2</v>
      </c>
      <c r="D618">
        <v>2001</v>
      </c>
      <c r="E618">
        <v>350</v>
      </c>
      <c r="F618">
        <v>8500</v>
      </c>
      <c r="G618">
        <v>500</v>
      </c>
      <c r="H618">
        <f t="shared" si="15"/>
        <v>11038102</v>
      </c>
      <c r="I618">
        <v>14000</v>
      </c>
      <c r="J618">
        <v>1038002</v>
      </c>
      <c r="K618" t="s">
        <v>521</v>
      </c>
      <c r="L618" t="s">
        <v>519</v>
      </c>
      <c r="M618">
        <v>1</v>
      </c>
      <c r="N618">
        <v>0</v>
      </c>
      <c r="O618">
        <v>0</v>
      </c>
      <c r="R618" t="s">
        <v>60</v>
      </c>
      <c r="S618">
        <v>0</v>
      </c>
      <c r="T618">
        <v>1038002</v>
      </c>
      <c r="U618">
        <v>700</v>
      </c>
      <c r="V618">
        <v>1014</v>
      </c>
      <c r="W618" t="s">
        <v>517</v>
      </c>
      <c r="X618">
        <v>0</v>
      </c>
      <c r="Y618">
        <v>0</v>
      </c>
      <c r="Z618">
        <v>0</v>
      </c>
    </row>
    <row r="619" spans="1:26">
      <c r="A619">
        <v>6039001</v>
      </c>
      <c r="B619" t="s">
        <v>523</v>
      </c>
      <c r="C619">
        <v>1</v>
      </c>
      <c r="D619">
        <v>1001</v>
      </c>
      <c r="E619">
        <v>350</v>
      </c>
      <c r="F619">
        <v>10000</v>
      </c>
      <c r="G619">
        <v>0</v>
      </c>
      <c r="H619">
        <f t="shared" si="15"/>
        <v>11039001</v>
      </c>
      <c r="I619">
        <v>1000</v>
      </c>
      <c r="J619">
        <v>0</v>
      </c>
      <c r="K619" t="s">
        <v>523</v>
      </c>
      <c r="L619" t="s">
        <v>523</v>
      </c>
      <c r="M619">
        <v>1</v>
      </c>
      <c r="N619">
        <v>0</v>
      </c>
      <c r="O619">
        <v>0</v>
      </c>
      <c r="R619" t="s">
        <v>227</v>
      </c>
      <c r="S619">
        <v>0</v>
      </c>
      <c r="T619">
        <v>0</v>
      </c>
      <c r="U619">
        <v>0</v>
      </c>
      <c r="V619">
        <v>1011</v>
      </c>
      <c r="W619">
        <v>700</v>
      </c>
      <c r="X619">
        <v>1039001</v>
      </c>
      <c r="Y619">
        <v>400</v>
      </c>
      <c r="Z619">
        <v>350</v>
      </c>
    </row>
    <row r="620" spans="1:26">
      <c r="A620">
        <v>6039002</v>
      </c>
      <c r="B620" t="s">
        <v>63</v>
      </c>
      <c r="C620">
        <v>2</v>
      </c>
      <c r="D620">
        <v>2001</v>
      </c>
      <c r="E620">
        <v>350</v>
      </c>
      <c r="F620">
        <v>3000</v>
      </c>
      <c r="G620">
        <v>500</v>
      </c>
      <c r="H620">
        <f t="shared" si="15"/>
        <v>11039002</v>
      </c>
      <c r="I620">
        <v>18000</v>
      </c>
      <c r="J620">
        <v>1039002</v>
      </c>
      <c r="K620" t="s">
        <v>525</v>
      </c>
      <c r="L620" t="s">
        <v>63</v>
      </c>
      <c r="M620">
        <v>1</v>
      </c>
      <c r="N620">
        <v>0</v>
      </c>
      <c r="O620">
        <v>0</v>
      </c>
      <c r="R620" t="s">
        <v>60</v>
      </c>
      <c r="S620">
        <v>0</v>
      </c>
      <c r="T620">
        <v>1039002</v>
      </c>
      <c r="U620">
        <v>600</v>
      </c>
      <c r="V620">
        <v>1011</v>
      </c>
      <c r="W620" t="s">
        <v>527</v>
      </c>
      <c r="X620">
        <v>0</v>
      </c>
      <c r="Y620">
        <v>0</v>
      </c>
      <c r="Z620">
        <v>0</v>
      </c>
    </row>
    <row r="621" spans="1:26">
      <c r="A621">
        <v>6039101</v>
      </c>
      <c r="B621" t="s">
        <v>528</v>
      </c>
      <c r="C621">
        <v>1</v>
      </c>
      <c r="D621">
        <v>1001</v>
      </c>
      <c r="E621">
        <v>350</v>
      </c>
      <c r="F621">
        <v>10000</v>
      </c>
      <c r="G621">
        <v>0</v>
      </c>
      <c r="H621">
        <f t="shared" si="15"/>
        <v>11039101</v>
      </c>
      <c r="I621">
        <v>1000</v>
      </c>
      <c r="J621">
        <v>0</v>
      </c>
      <c r="K621" t="s">
        <v>528</v>
      </c>
      <c r="L621" t="s">
        <v>528</v>
      </c>
      <c r="M621">
        <v>1</v>
      </c>
      <c r="N621">
        <v>0</v>
      </c>
      <c r="O621">
        <v>0</v>
      </c>
      <c r="R621" t="s">
        <v>227</v>
      </c>
      <c r="S621">
        <v>0</v>
      </c>
      <c r="T621">
        <v>0</v>
      </c>
      <c r="U621">
        <v>0</v>
      </c>
      <c r="V621">
        <v>1011</v>
      </c>
      <c r="W621">
        <v>700</v>
      </c>
      <c r="X621">
        <v>1039001</v>
      </c>
      <c r="Y621">
        <v>400</v>
      </c>
      <c r="Z621">
        <v>350</v>
      </c>
    </row>
    <row r="622" spans="1:26">
      <c r="A622">
        <v>6039102</v>
      </c>
      <c r="B622" t="s">
        <v>529</v>
      </c>
      <c r="C622">
        <v>2</v>
      </c>
      <c r="D622">
        <v>2001</v>
      </c>
      <c r="E622">
        <v>350</v>
      </c>
      <c r="F622">
        <v>6000</v>
      </c>
      <c r="G622">
        <v>500</v>
      </c>
      <c r="H622">
        <f t="shared" si="15"/>
        <v>11039102</v>
      </c>
      <c r="I622">
        <v>18000</v>
      </c>
      <c r="J622">
        <v>1039002</v>
      </c>
      <c r="K622" t="s">
        <v>531</v>
      </c>
      <c r="L622" t="s">
        <v>529</v>
      </c>
      <c r="M622">
        <v>1</v>
      </c>
      <c r="N622">
        <v>0</v>
      </c>
      <c r="O622">
        <v>0</v>
      </c>
      <c r="R622" t="s">
        <v>60</v>
      </c>
      <c r="S622">
        <v>0</v>
      </c>
      <c r="T622">
        <v>1039102</v>
      </c>
      <c r="U622">
        <v>700</v>
      </c>
      <c r="V622">
        <v>1011</v>
      </c>
      <c r="W622" t="s">
        <v>533</v>
      </c>
      <c r="X622">
        <v>0</v>
      </c>
      <c r="Y622">
        <v>0</v>
      </c>
      <c r="Z622">
        <v>0</v>
      </c>
    </row>
    <row r="623" spans="1:26">
      <c r="A623">
        <v>6039201</v>
      </c>
      <c r="B623" t="s">
        <v>534</v>
      </c>
      <c r="C623">
        <v>1</v>
      </c>
      <c r="D623">
        <v>1001</v>
      </c>
      <c r="E623">
        <v>350</v>
      </c>
      <c r="F623">
        <v>10000</v>
      </c>
      <c r="G623">
        <v>0</v>
      </c>
      <c r="H623">
        <f t="shared" si="15"/>
        <v>11039201</v>
      </c>
      <c r="I623">
        <v>1000</v>
      </c>
      <c r="J623">
        <v>0</v>
      </c>
      <c r="K623" t="s">
        <v>534</v>
      </c>
      <c r="L623" t="s">
        <v>534</v>
      </c>
      <c r="M623">
        <v>1</v>
      </c>
      <c r="N623">
        <v>0</v>
      </c>
      <c r="O623">
        <v>0</v>
      </c>
      <c r="R623" t="s">
        <v>227</v>
      </c>
      <c r="S623">
        <v>0</v>
      </c>
      <c r="T623">
        <v>0</v>
      </c>
      <c r="U623">
        <v>0</v>
      </c>
      <c r="V623">
        <v>1011</v>
      </c>
      <c r="W623">
        <v>700</v>
      </c>
      <c r="X623">
        <v>1039201</v>
      </c>
      <c r="Y623">
        <v>400</v>
      </c>
      <c r="Z623">
        <v>350</v>
      </c>
    </row>
    <row r="624" spans="1:26">
      <c r="A624">
        <v>6039202</v>
      </c>
      <c r="B624" t="s">
        <v>535</v>
      </c>
      <c r="C624">
        <v>2</v>
      </c>
      <c r="D624">
        <v>2001</v>
      </c>
      <c r="E624">
        <v>350</v>
      </c>
      <c r="F624">
        <v>12000</v>
      </c>
      <c r="G624">
        <v>500</v>
      </c>
      <c r="H624">
        <f t="shared" si="15"/>
        <v>11039202</v>
      </c>
      <c r="I624">
        <v>18000</v>
      </c>
      <c r="J624">
        <v>1039202</v>
      </c>
      <c r="K624" t="s">
        <v>537</v>
      </c>
      <c r="L624" t="s">
        <v>535</v>
      </c>
      <c r="M624">
        <v>1</v>
      </c>
      <c r="N624">
        <v>0</v>
      </c>
      <c r="O624">
        <v>0</v>
      </c>
      <c r="R624" t="s">
        <v>60</v>
      </c>
      <c r="S624">
        <v>0</v>
      </c>
      <c r="T624">
        <v>1039202</v>
      </c>
      <c r="U624">
        <v>600</v>
      </c>
      <c r="V624">
        <v>1011</v>
      </c>
      <c r="W624" t="s">
        <v>527</v>
      </c>
      <c r="X624">
        <v>0</v>
      </c>
      <c r="Y624">
        <v>0</v>
      </c>
      <c r="Z624">
        <v>0</v>
      </c>
    </row>
    <row r="625" spans="1:26">
      <c r="A625">
        <v>6041001</v>
      </c>
      <c r="B625" t="s">
        <v>539</v>
      </c>
      <c r="C625">
        <v>1</v>
      </c>
      <c r="D625">
        <v>1001</v>
      </c>
      <c r="E625">
        <v>350</v>
      </c>
      <c r="F625">
        <v>10000</v>
      </c>
      <c r="G625">
        <v>0</v>
      </c>
      <c r="H625">
        <f t="shared" si="15"/>
        <v>11041001</v>
      </c>
      <c r="I625">
        <v>1000</v>
      </c>
      <c r="J625">
        <v>0</v>
      </c>
      <c r="K625" t="s">
        <v>539</v>
      </c>
      <c r="L625" t="s">
        <v>539</v>
      </c>
      <c r="M625">
        <v>1</v>
      </c>
      <c r="N625">
        <v>0</v>
      </c>
      <c r="O625">
        <v>0</v>
      </c>
      <c r="R625" t="s">
        <v>227</v>
      </c>
      <c r="S625">
        <v>0</v>
      </c>
      <c r="T625">
        <v>0</v>
      </c>
      <c r="U625">
        <v>0</v>
      </c>
      <c r="V625">
        <v>1016</v>
      </c>
      <c r="W625">
        <v>800</v>
      </c>
      <c r="X625">
        <v>1041001</v>
      </c>
      <c r="Y625">
        <v>500</v>
      </c>
      <c r="Z625">
        <v>350</v>
      </c>
    </row>
    <row r="626" spans="1:26">
      <c r="A626">
        <v>6041002</v>
      </c>
      <c r="B626" t="s">
        <v>92</v>
      </c>
      <c r="C626">
        <v>2</v>
      </c>
      <c r="D626">
        <v>2001</v>
      </c>
      <c r="E626">
        <v>350</v>
      </c>
      <c r="F626">
        <v>3600</v>
      </c>
      <c r="G626">
        <v>500</v>
      </c>
      <c r="H626">
        <f t="shared" si="15"/>
        <v>11041002</v>
      </c>
      <c r="I626">
        <v>7000</v>
      </c>
      <c r="J626">
        <v>1041002</v>
      </c>
      <c r="K626" t="s">
        <v>541</v>
      </c>
      <c r="L626" t="s">
        <v>92</v>
      </c>
      <c r="M626">
        <v>1</v>
      </c>
      <c r="N626">
        <v>0</v>
      </c>
      <c r="O626">
        <v>0</v>
      </c>
      <c r="R626" t="s">
        <v>60</v>
      </c>
      <c r="S626">
        <v>0</v>
      </c>
      <c r="T626">
        <v>1041002</v>
      </c>
      <c r="U626">
        <v>700</v>
      </c>
      <c r="V626">
        <v>1016</v>
      </c>
      <c r="W626" t="s">
        <v>543</v>
      </c>
      <c r="X626">
        <v>0</v>
      </c>
      <c r="Y626">
        <v>0</v>
      </c>
      <c r="Z626">
        <v>0</v>
      </c>
    </row>
    <row r="627" spans="1:26">
      <c r="A627">
        <v>6041101</v>
      </c>
      <c r="B627" t="s">
        <v>544</v>
      </c>
      <c r="C627">
        <v>1</v>
      </c>
      <c r="D627">
        <v>1001</v>
      </c>
      <c r="E627">
        <v>350</v>
      </c>
      <c r="F627">
        <v>11000</v>
      </c>
      <c r="G627">
        <v>0</v>
      </c>
      <c r="H627">
        <f t="shared" si="15"/>
        <v>11041101</v>
      </c>
      <c r="I627">
        <v>1000</v>
      </c>
      <c r="J627">
        <v>0</v>
      </c>
      <c r="K627" t="s">
        <v>544</v>
      </c>
      <c r="L627" t="s">
        <v>544</v>
      </c>
      <c r="M627">
        <v>1</v>
      </c>
      <c r="N627">
        <v>0</v>
      </c>
      <c r="O627">
        <v>0</v>
      </c>
      <c r="R627" t="s">
        <v>227</v>
      </c>
      <c r="S627">
        <v>0</v>
      </c>
      <c r="T627">
        <v>0</v>
      </c>
      <c r="U627">
        <v>0</v>
      </c>
      <c r="V627">
        <v>1016</v>
      </c>
      <c r="W627">
        <v>700</v>
      </c>
      <c r="X627">
        <v>1041001</v>
      </c>
      <c r="Y627">
        <v>400</v>
      </c>
      <c r="Z627">
        <v>350</v>
      </c>
    </row>
    <row r="628" spans="1:26">
      <c r="A628">
        <v>6041102</v>
      </c>
      <c r="B628" t="s">
        <v>545</v>
      </c>
      <c r="C628">
        <v>2</v>
      </c>
      <c r="D628">
        <v>2001</v>
      </c>
      <c r="E628">
        <v>350</v>
      </c>
      <c r="F628">
        <v>7000</v>
      </c>
      <c r="G628">
        <v>500</v>
      </c>
      <c r="H628">
        <f t="shared" si="15"/>
        <v>11041102</v>
      </c>
      <c r="I628">
        <v>7000</v>
      </c>
      <c r="J628">
        <v>1041002</v>
      </c>
      <c r="K628" t="s">
        <v>547</v>
      </c>
      <c r="L628" t="s">
        <v>545</v>
      </c>
      <c r="M628">
        <v>1</v>
      </c>
      <c r="N628">
        <v>0</v>
      </c>
      <c r="O628">
        <v>0</v>
      </c>
      <c r="R628" t="s">
        <v>60</v>
      </c>
      <c r="S628">
        <v>0</v>
      </c>
      <c r="T628">
        <v>1041002</v>
      </c>
      <c r="U628">
        <v>700</v>
      </c>
      <c r="V628">
        <v>1016</v>
      </c>
      <c r="W628" t="s">
        <v>543</v>
      </c>
      <c r="X628">
        <v>0</v>
      </c>
      <c r="Y628">
        <v>0</v>
      </c>
      <c r="Z628">
        <v>0</v>
      </c>
    </row>
    <row r="629" spans="1:26">
      <c r="A629">
        <v>6042001</v>
      </c>
      <c r="B629" t="s">
        <v>549</v>
      </c>
      <c r="C629">
        <v>1</v>
      </c>
      <c r="D629">
        <v>1001</v>
      </c>
      <c r="E629">
        <v>350</v>
      </c>
      <c r="F629">
        <v>10000</v>
      </c>
      <c r="G629">
        <v>0</v>
      </c>
      <c r="H629">
        <f t="shared" si="15"/>
        <v>11042001</v>
      </c>
      <c r="I629">
        <v>1000</v>
      </c>
      <c r="J629">
        <v>0</v>
      </c>
      <c r="K629" t="s">
        <v>549</v>
      </c>
      <c r="L629" t="s">
        <v>549</v>
      </c>
      <c r="M629">
        <v>1</v>
      </c>
      <c r="N629">
        <v>0</v>
      </c>
      <c r="O629">
        <v>0</v>
      </c>
      <c r="R629" t="s">
        <v>227</v>
      </c>
      <c r="S629">
        <v>0</v>
      </c>
      <c r="T629">
        <v>0</v>
      </c>
      <c r="U629">
        <v>0</v>
      </c>
      <c r="V629">
        <v>1016</v>
      </c>
      <c r="W629">
        <v>700</v>
      </c>
      <c r="X629">
        <v>1042001</v>
      </c>
      <c r="Y629">
        <v>400</v>
      </c>
      <c r="Z629">
        <v>350</v>
      </c>
    </row>
    <row r="630" spans="1:26">
      <c r="A630">
        <v>6042002</v>
      </c>
      <c r="B630" t="s">
        <v>550</v>
      </c>
      <c r="C630">
        <v>2</v>
      </c>
      <c r="D630">
        <v>2001</v>
      </c>
      <c r="E630">
        <v>350</v>
      </c>
      <c r="F630">
        <v>7000</v>
      </c>
      <c r="G630">
        <v>500</v>
      </c>
      <c r="H630">
        <f t="shared" si="15"/>
        <v>11042002</v>
      </c>
      <c r="I630">
        <v>18000</v>
      </c>
      <c r="J630">
        <v>1042002</v>
      </c>
      <c r="K630" t="s">
        <v>552</v>
      </c>
      <c r="L630" t="s">
        <v>550</v>
      </c>
      <c r="M630">
        <v>1</v>
      </c>
      <c r="N630">
        <v>0</v>
      </c>
      <c r="O630">
        <v>0</v>
      </c>
      <c r="R630" t="s">
        <v>60</v>
      </c>
      <c r="S630">
        <v>0</v>
      </c>
      <c r="T630">
        <v>1042002</v>
      </c>
      <c r="U630">
        <v>900</v>
      </c>
      <c r="V630">
        <v>1016</v>
      </c>
      <c r="W630" t="s">
        <v>973</v>
      </c>
      <c r="X630">
        <v>0</v>
      </c>
      <c r="Y630">
        <v>0</v>
      </c>
      <c r="Z630">
        <v>0</v>
      </c>
    </row>
    <row r="631" spans="1:26">
      <c r="A631">
        <v>6042101</v>
      </c>
      <c r="B631" t="s">
        <v>554</v>
      </c>
      <c r="C631">
        <v>1</v>
      </c>
      <c r="D631">
        <v>1001</v>
      </c>
      <c r="E631">
        <v>350</v>
      </c>
      <c r="F631">
        <v>11000</v>
      </c>
      <c r="G631">
        <v>0</v>
      </c>
      <c r="H631">
        <f t="shared" si="15"/>
        <v>11042101</v>
      </c>
      <c r="I631">
        <v>1000</v>
      </c>
      <c r="J631">
        <v>0</v>
      </c>
      <c r="K631" t="s">
        <v>554</v>
      </c>
      <c r="L631" t="s">
        <v>554</v>
      </c>
      <c r="M631">
        <v>1</v>
      </c>
      <c r="N631">
        <v>0</v>
      </c>
      <c r="O631">
        <v>0</v>
      </c>
      <c r="R631" t="s">
        <v>227</v>
      </c>
      <c r="S631">
        <v>0</v>
      </c>
      <c r="T631">
        <v>0</v>
      </c>
      <c r="U631">
        <v>0</v>
      </c>
      <c r="V631">
        <v>1016</v>
      </c>
      <c r="W631">
        <v>700</v>
      </c>
      <c r="X631">
        <v>1042001</v>
      </c>
      <c r="Y631">
        <v>400</v>
      </c>
      <c r="Z631">
        <v>350</v>
      </c>
    </row>
    <row r="632" spans="1:26">
      <c r="A632">
        <v>6042102</v>
      </c>
      <c r="B632" t="s">
        <v>555</v>
      </c>
      <c r="C632">
        <v>2</v>
      </c>
      <c r="D632">
        <v>2001</v>
      </c>
      <c r="E632">
        <v>350</v>
      </c>
      <c r="F632">
        <v>14000</v>
      </c>
      <c r="G632">
        <v>500</v>
      </c>
      <c r="H632">
        <f t="shared" si="15"/>
        <v>11042102</v>
      </c>
      <c r="I632">
        <v>18000</v>
      </c>
      <c r="J632">
        <v>1042002</v>
      </c>
      <c r="K632" t="s">
        <v>557</v>
      </c>
      <c r="L632" t="s">
        <v>555</v>
      </c>
      <c r="M632">
        <v>1</v>
      </c>
      <c r="N632">
        <v>0</v>
      </c>
      <c r="O632">
        <v>0</v>
      </c>
      <c r="R632" t="s">
        <v>60</v>
      </c>
      <c r="S632">
        <v>0</v>
      </c>
      <c r="T632">
        <v>1042002</v>
      </c>
      <c r="U632">
        <v>500</v>
      </c>
      <c r="V632">
        <v>1016</v>
      </c>
      <c r="W632" t="s">
        <v>559</v>
      </c>
      <c r="X632">
        <v>0</v>
      </c>
      <c r="Y632">
        <v>0</v>
      </c>
      <c r="Z632">
        <v>0</v>
      </c>
    </row>
    <row r="633" spans="1:26">
      <c r="A633">
        <v>6045001</v>
      </c>
      <c r="B633" t="s">
        <v>560</v>
      </c>
      <c r="C633">
        <v>1</v>
      </c>
      <c r="D633">
        <v>1001</v>
      </c>
      <c r="E633">
        <v>350</v>
      </c>
      <c r="F633">
        <v>10000</v>
      </c>
      <c r="G633">
        <v>0</v>
      </c>
      <c r="H633">
        <f t="shared" si="15"/>
        <v>11045001</v>
      </c>
      <c r="I633">
        <v>1000</v>
      </c>
      <c r="J633">
        <v>0</v>
      </c>
      <c r="K633" t="s">
        <v>560</v>
      </c>
      <c r="L633" t="s">
        <v>560</v>
      </c>
      <c r="M633">
        <v>1</v>
      </c>
      <c r="N633">
        <v>0</v>
      </c>
      <c r="O633">
        <v>0</v>
      </c>
      <c r="R633" t="s">
        <v>227</v>
      </c>
      <c r="S633">
        <v>0</v>
      </c>
      <c r="T633">
        <v>0</v>
      </c>
      <c r="U633">
        <v>0</v>
      </c>
      <c r="V633">
        <v>1015</v>
      </c>
      <c r="W633">
        <v>700</v>
      </c>
      <c r="X633">
        <v>1045001</v>
      </c>
      <c r="Y633">
        <v>400</v>
      </c>
      <c r="Z633">
        <v>350</v>
      </c>
    </row>
    <row r="634" spans="1:26">
      <c r="A634">
        <v>6045002</v>
      </c>
      <c r="B634" t="s">
        <v>561</v>
      </c>
      <c r="C634">
        <v>2</v>
      </c>
      <c r="D634">
        <v>2001</v>
      </c>
      <c r="E634">
        <v>350</v>
      </c>
      <c r="F634">
        <v>21000</v>
      </c>
      <c r="G634">
        <v>500</v>
      </c>
      <c r="H634">
        <f t="shared" si="15"/>
        <v>11045002</v>
      </c>
      <c r="I634">
        <v>15000</v>
      </c>
      <c r="J634">
        <v>1045002</v>
      </c>
      <c r="K634" t="s">
        <v>563</v>
      </c>
      <c r="L634" t="s">
        <v>561</v>
      </c>
      <c r="M634">
        <v>1</v>
      </c>
      <c r="N634">
        <v>0</v>
      </c>
      <c r="O634">
        <v>0</v>
      </c>
      <c r="R634" t="s">
        <v>60</v>
      </c>
      <c r="S634">
        <v>0</v>
      </c>
      <c r="T634">
        <v>1045002</v>
      </c>
      <c r="U634">
        <v>2000</v>
      </c>
      <c r="V634">
        <v>1015</v>
      </c>
      <c r="W634">
        <v>2650</v>
      </c>
      <c r="X634">
        <v>0</v>
      </c>
      <c r="Y634">
        <v>0</v>
      </c>
      <c r="Z634">
        <v>0</v>
      </c>
    </row>
    <row r="635" spans="1:26">
      <c r="A635">
        <v>6045101</v>
      </c>
      <c r="B635" t="s">
        <v>565</v>
      </c>
      <c r="C635">
        <v>1</v>
      </c>
      <c r="D635">
        <v>1001</v>
      </c>
      <c r="E635">
        <v>350</v>
      </c>
      <c r="F635">
        <v>11000</v>
      </c>
      <c r="G635">
        <v>0</v>
      </c>
      <c r="H635">
        <f t="shared" si="15"/>
        <v>11045101</v>
      </c>
      <c r="I635">
        <v>1000</v>
      </c>
      <c r="J635">
        <v>0</v>
      </c>
      <c r="K635" t="s">
        <v>565</v>
      </c>
      <c r="L635" t="s">
        <v>565</v>
      </c>
      <c r="M635">
        <v>1</v>
      </c>
      <c r="N635">
        <v>0</v>
      </c>
      <c r="O635">
        <v>0</v>
      </c>
      <c r="R635" t="s">
        <v>227</v>
      </c>
      <c r="S635">
        <v>0</v>
      </c>
      <c r="T635">
        <v>0</v>
      </c>
      <c r="U635">
        <v>0</v>
      </c>
      <c r="V635">
        <v>1015</v>
      </c>
      <c r="W635">
        <v>700</v>
      </c>
      <c r="X635">
        <v>1045001</v>
      </c>
      <c r="Y635">
        <v>400</v>
      </c>
      <c r="Z635">
        <v>350</v>
      </c>
    </row>
    <row r="636" spans="1:26">
      <c r="A636">
        <v>6045102</v>
      </c>
      <c r="B636" t="s">
        <v>213</v>
      </c>
      <c r="C636">
        <v>2</v>
      </c>
      <c r="D636">
        <v>2001</v>
      </c>
      <c r="E636">
        <v>350</v>
      </c>
      <c r="F636">
        <v>8000</v>
      </c>
      <c r="G636">
        <v>500</v>
      </c>
      <c r="H636">
        <f t="shared" si="15"/>
        <v>11045102</v>
      </c>
      <c r="I636">
        <v>15000</v>
      </c>
      <c r="J636">
        <v>1045102</v>
      </c>
      <c r="K636" t="s">
        <v>567</v>
      </c>
      <c r="L636" t="s">
        <v>213</v>
      </c>
      <c r="M636">
        <v>1</v>
      </c>
      <c r="N636">
        <v>0</v>
      </c>
      <c r="O636">
        <v>0</v>
      </c>
      <c r="R636" t="s">
        <v>60</v>
      </c>
      <c r="S636">
        <v>0</v>
      </c>
      <c r="T636">
        <v>1045102</v>
      </c>
      <c r="U636">
        <v>800</v>
      </c>
      <c r="V636">
        <v>1015</v>
      </c>
      <c r="W636" t="s">
        <v>569</v>
      </c>
      <c r="X636">
        <v>0</v>
      </c>
      <c r="Y636">
        <v>0</v>
      </c>
      <c r="Z636">
        <v>0</v>
      </c>
    </row>
    <row r="637" spans="1:26">
      <c r="A637">
        <v>6046001</v>
      </c>
      <c r="B637" t="s">
        <v>570</v>
      </c>
      <c r="C637">
        <v>1</v>
      </c>
      <c r="D637">
        <v>1001</v>
      </c>
      <c r="E637">
        <v>350</v>
      </c>
      <c r="F637">
        <v>10000</v>
      </c>
      <c r="G637">
        <v>0</v>
      </c>
      <c r="H637">
        <f t="shared" si="15"/>
        <v>11046001</v>
      </c>
      <c r="I637">
        <v>1000</v>
      </c>
      <c r="J637">
        <v>0</v>
      </c>
      <c r="K637" t="s">
        <v>570</v>
      </c>
      <c r="L637" t="s">
        <v>570</v>
      </c>
      <c r="M637">
        <v>1</v>
      </c>
      <c r="N637">
        <v>0</v>
      </c>
      <c r="O637">
        <v>0</v>
      </c>
      <c r="R637" t="s">
        <v>227</v>
      </c>
      <c r="S637">
        <v>0</v>
      </c>
      <c r="T637">
        <v>0</v>
      </c>
      <c r="U637">
        <v>0</v>
      </c>
      <c r="V637">
        <v>1015</v>
      </c>
      <c r="W637">
        <v>800</v>
      </c>
      <c r="X637">
        <v>1046001</v>
      </c>
      <c r="Y637">
        <v>500</v>
      </c>
      <c r="Z637">
        <v>350</v>
      </c>
    </row>
    <row r="638" spans="1:26">
      <c r="A638">
        <v>6046002</v>
      </c>
      <c r="B638" t="s">
        <v>571</v>
      </c>
      <c r="C638">
        <v>2</v>
      </c>
      <c r="D638">
        <v>2001</v>
      </c>
      <c r="E638">
        <v>350</v>
      </c>
      <c r="F638">
        <v>4800</v>
      </c>
      <c r="G638">
        <v>500</v>
      </c>
      <c r="H638">
        <f t="shared" ref="H638:H692" si="16">A638+5000000</f>
        <v>11046002</v>
      </c>
      <c r="I638">
        <v>15000</v>
      </c>
      <c r="J638">
        <v>1046002</v>
      </c>
      <c r="K638" t="s">
        <v>573</v>
      </c>
      <c r="L638" t="s">
        <v>571</v>
      </c>
      <c r="M638">
        <v>1</v>
      </c>
      <c r="N638">
        <v>0</v>
      </c>
      <c r="O638">
        <v>0</v>
      </c>
      <c r="R638" t="s">
        <v>60</v>
      </c>
      <c r="S638">
        <v>0</v>
      </c>
      <c r="T638">
        <v>1046002</v>
      </c>
      <c r="U638">
        <v>1000</v>
      </c>
      <c r="V638">
        <v>1015</v>
      </c>
      <c r="W638" t="s">
        <v>974</v>
      </c>
      <c r="X638">
        <v>0</v>
      </c>
      <c r="Y638">
        <v>0</v>
      </c>
      <c r="Z638">
        <v>0</v>
      </c>
    </row>
    <row r="639" spans="1:26">
      <c r="A639">
        <v>6046101</v>
      </c>
      <c r="B639" t="s">
        <v>576</v>
      </c>
      <c r="C639">
        <v>1</v>
      </c>
      <c r="D639">
        <v>1001</v>
      </c>
      <c r="E639">
        <v>350</v>
      </c>
      <c r="F639">
        <v>11000</v>
      </c>
      <c r="G639">
        <v>0</v>
      </c>
      <c r="H639">
        <f t="shared" si="16"/>
        <v>11046101</v>
      </c>
      <c r="I639">
        <v>1000</v>
      </c>
      <c r="J639">
        <v>0</v>
      </c>
      <c r="K639" t="s">
        <v>576</v>
      </c>
      <c r="L639" t="s">
        <v>576</v>
      </c>
      <c r="M639">
        <v>1</v>
      </c>
      <c r="N639">
        <v>0</v>
      </c>
      <c r="O639">
        <v>0</v>
      </c>
      <c r="R639" t="s">
        <v>227</v>
      </c>
      <c r="S639">
        <v>0</v>
      </c>
      <c r="T639">
        <v>0</v>
      </c>
      <c r="U639">
        <v>0</v>
      </c>
      <c r="V639">
        <v>1015</v>
      </c>
      <c r="W639">
        <v>700</v>
      </c>
      <c r="X639">
        <v>1046001</v>
      </c>
      <c r="Y639">
        <v>400</v>
      </c>
      <c r="Z639">
        <v>350</v>
      </c>
    </row>
    <row r="640" spans="1:26">
      <c r="A640">
        <v>6046102</v>
      </c>
      <c r="B640" t="s">
        <v>68</v>
      </c>
      <c r="C640">
        <v>2</v>
      </c>
      <c r="D640">
        <v>2001</v>
      </c>
      <c r="E640">
        <v>350</v>
      </c>
      <c r="F640">
        <v>9600</v>
      </c>
      <c r="G640">
        <v>500</v>
      </c>
      <c r="H640">
        <f t="shared" si="16"/>
        <v>11046102</v>
      </c>
      <c r="I640">
        <v>15000</v>
      </c>
      <c r="J640">
        <v>1046002</v>
      </c>
      <c r="K640" t="s">
        <v>578</v>
      </c>
      <c r="L640" t="s">
        <v>68</v>
      </c>
      <c r="M640">
        <v>1</v>
      </c>
      <c r="N640">
        <v>0</v>
      </c>
      <c r="O640">
        <v>0</v>
      </c>
      <c r="R640" t="s">
        <v>60</v>
      </c>
      <c r="S640">
        <v>0</v>
      </c>
      <c r="T640">
        <v>1046002</v>
      </c>
      <c r="U640">
        <v>800</v>
      </c>
      <c r="V640">
        <v>1015</v>
      </c>
      <c r="W640" t="s">
        <v>974</v>
      </c>
      <c r="X640">
        <v>0</v>
      </c>
      <c r="Y640">
        <v>0</v>
      </c>
      <c r="Z640">
        <v>0</v>
      </c>
    </row>
    <row r="641" spans="1:26">
      <c r="A641">
        <v>6047001</v>
      </c>
      <c r="B641" t="s">
        <v>581</v>
      </c>
      <c r="C641">
        <v>1</v>
      </c>
      <c r="D641">
        <v>1001</v>
      </c>
      <c r="E641">
        <v>350</v>
      </c>
      <c r="F641">
        <v>10000</v>
      </c>
      <c r="G641">
        <v>0</v>
      </c>
      <c r="H641">
        <f t="shared" si="16"/>
        <v>11047001</v>
      </c>
      <c r="I641">
        <v>1000</v>
      </c>
      <c r="J641">
        <v>0</v>
      </c>
      <c r="K641" t="s">
        <v>581</v>
      </c>
      <c r="L641" t="s">
        <v>581</v>
      </c>
      <c r="M641">
        <v>1</v>
      </c>
      <c r="N641">
        <v>0</v>
      </c>
      <c r="O641">
        <v>0</v>
      </c>
      <c r="R641" t="s">
        <v>227</v>
      </c>
      <c r="S641">
        <v>0</v>
      </c>
      <c r="T641">
        <v>0</v>
      </c>
      <c r="U641">
        <v>0</v>
      </c>
      <c r="V641">
        <v>1015</v>
      </c>
      <c r="W641">
        <v>700</v>
      </c>
      <c r="X641">
        <v>1047001</v>
      </c>
      <c r="Y641">
        <v>400</v>
      </c>
      <c r="Z641">
        <v>350</v>
      </c>
    </row>
    <row r="642" spans="1:26">
      <c r="A642">
        <v>6047002</v>
      </c>
      <c r="B642" t="s">
        <v>582</v>
      </c>
      <c r="C642">
        <v>2</v>
      </c>
      <c r="D642">
        <v>2001</v>
      </c>
      <c r="E642">
        <v>350</v>
      </c>
      <c r="F642">
        <v>5200</v>
      </c>
      <c r="G642">
        <v>500</v>
      </c>
      <c r="H642">
        <f t="shared" si="16"/>
        <v>11047002</v>
      </c>
      <c r="I642">
        <v>15000</v>
      </c>
      <c r="J642">
        <v>1047002</v>
      </c>
      <c r="K642" t="s">
        <v>584</v>
      </c>
      <c r="L642" t="s">
        <v>582</v>
      </c>
      <c r="M642">
        <v>1</v>
      </c>
      <c r="N642">
        <v>0</v>
      </c>
      <c r="O642">
        <v>0</v>
      </c>
      <c r="R642" t="s">
        <v>60</v>
      </c>
      <c r="S642">
        <v>0</v>
      </c>
      <c r="T642">
        <v>1047002</v>
      </c>
      <c r="U642">
        <v>500</v>
      </c>
      <c r="V642">
        <v>1015</v>
      </c>
      <c r="W642" t="s">
        <v>586</v>
      </c>
      <c r="X642">
        <v>0</v>
      </c>
      <c r="Y642">
        <v>0</v>
      </c>
      <c r="Z642">
        <v>0</v>
      </c>
    </row>
    <row r="643" spans="1:26">
      <c r="A643">
        <v>6047101</v>
      </c>
      <c r="B643" t="s">
        <v>587</v>
      </c>
      <c r="C643">
        <v>1</v>
      </c>
      <c r="D643">
        <v>1001</v>
      </c>
      <c r="E643">
        <v>350</v>
      </c>
      <c r="F643">
        <v>10000</v>
      </c>
      <c r="G643">
        <v>0</v>
      </c>
      <c r="H643">
        <f t="shared" si="16"/>
        <v>11047101</v>
      </c>
      <c r="I643">
        <v>1000</v>
      </c>
      <c r="J643">
        <v>0</v>
      </c>
      <c r="K643" t="s">
        <v>587</v>
      </c>
      <c r="L643" t="s">
        <v>587</v>
      </c>
      <c r="M643">
        <v>1</v>
      </c>
      <c r="N643">
        <v>0</v>
      </c>
      <c r="O643">
        <v>0</v>
      </c>
      <c r="R643" t="s">
        <v>227</v>
      </c>
      <c r="S643">
        <v>0</v>
      </c>
      <c r="T643">
        <v>0</v>
      </c>
      <c r="U643">
        <v>0</v>
      </c>
      <c r="V643">
        <v>1015</v>
      </c>
      <c r="W643">
        <v>700</v>
      </c>
      <c r="X643">
        <v>1047001</v>
      </c>
      <c r="Y643">
        <v>400</v>
      </c>
      <c r="Z643">
        <v>350</v>
      </c>
    </row>
    <row r="644" spans="1:26">
      <c r="A644">
        <v>6047102</v>
      </c>
      <c r="B644" t="s">
        <v>588</v>
      </c>
      <c r="C644">
        <v>2</v>
      </c>
      <c r="D644">
        <v>2001</v>
      </c>
      <c r="E644">
        <v>350</v>
      </c>
      <c r="F644">
        <v>10400</v>
      </c>
      <c r="G644">
        <v>500</v>
      </c>
      <c r="H644">
        <f t="shared" si="16"/>
        <v>11047102</v>
      </c>
      <c r="I644">
        <v>15000</v>
      </c>
      <c r="J644">
        <v>1047002</v>
      </c>
      <c r="K644" t="s">
        <v>590</v>
      </c>
      <c r="L644" t="s">
        <v>588</v>
      </c>
      <c r="M644">
        <v>1</v>
      </c>
      <c r="N644">
        <v>0</v>
      </c>
      <c r="O644">
        <v>0</v>
      </c>
      <c r="R644" t="s">
        <v>60</v>
      </c>
      <c r="S644">
        <v>0</v>
      </c>
      <c r="T644">
        <v>1047002</v>
      </c>
      <c r="U644">
        <v>900</v>
      </c>
      <c r="V644">
        <v>1015</v>
      </c>
      <c r="W644" t="s">
        <v>592</v>
      </c>
      <c r="X644">
        <v>0</v>
      </c>
      <c r="Y644">
        <v>0</v>
      </c>
      <c r="Z644">
        <v>0</v>
      </c>
    </row>
    <row r="645" spans="1:26">
      <c r="A645">
        <v>6050001</v>
      </c>
      <c r="B645" t="s">
        <v>593</v>
      </c>
      <c r="C645">
        <v>1</v>
      </c>
      <c r="D645">
        <v>1001</v>
      </c>
      <c r="E645">
        <v>350</v>
      </c>
      <c r="F645">
        <v>10000</v>
      </c>
      <c r="G645">
        <v>0</v>
      </c>
      <c r="H645">
        <f t="shared" si="16"/>
        <v>11050001</v>
      </c>
      <c r="I645">
        <v>1000</v>
      </c>
      <c r="J645">
        <v>0</v>
      </c>
      <c r="K645" t="s">
        <v>593</v>
      </c>
      <c r="L645" t="s">
        <v>593</v>
      </c>
      <c r="M645">
        <v>1</v>
      </c>
      <c r="N645">
        <v>0</v>
      </c>
      <c r="O645">
        <v>0</v>
      </c>
      <c r="R645" t="s">
        <v>227</v>
      </c>
      <c r="S645">
        <v>0</v>
      </c>
      <c r="T645">
        <v>0</v>
      </c>
      <c r="U645">
        <v>0</v>
      </c>
      <c r="V645">
        <v>1012</v>
      </c>
      <c r="W645">
        <v>700</v>
      </c>
      <c r="X645">
        <v>1050001</v>
      </c>
      <c r="Y645">
        <v>400</v>
      </c>
      <c r="Z645">
        <v>350</v>
      </c>
    </row>
    <row r="646" spans="1:26">
      <c r="A646">
        <v>6050002</v>
      </c>
      <c r="B646" t="s">
        <v>594</v>
      </c>
      <c r="C646">
        <v>2</v>
      </c>
      <c r="D646">
        <v>2001</v>
      </c>
      <c r="E646">
        <v>350</v>
      </c>
      <c r="F646">
        <v>2600</v>
      </c>
      <c r="G646">
        <v>500</v>
      </c>
      <c r="H646">
        <f t="shared" si="16"/>
        <v>11050002</v>
      </c>
      <c r="I646">
        <v>12000</v>
      </c>
      <c r="J646">
        <v>1050002</v>
      </c>
      <c r="K646" t="s">
        <v>596</v>
      </c>
      <c r="L646" t="s">
        <v>594</v>
      </c>
      <c r="M646">
        <v>1</v>
      </c>
      <c r="N646">
        <v>0</v>
      </c>
      <c r="O646">
        <v>0</v>
      </c>
      <c r="R646" t="s">
        <v>60</v>
      </c>
      <c r="S646">
        <v>0</v>
      </c>
      <c r="T646">
        <v>1050002</v>
      </c>
      <c r="U646">
        <v>1000</v>
      </c>
      <c r="V646">
        <v>1012</v>
      </c>
      <c r="W646" t="s">
        <v>598</v>
      </c>
      <c r="X646">
        <v>0</v>
      </c>
      <c r="Y646">
        <v>0</v>
      </c>
      <c r="Z646">
        <v>0</v>
      </c>
    </row>
    <row r="647" spans="1:26">
      <c r="A647">
        <v>6050101</v>
      </c>
      <c r="B647" t="s">
        <v>599</v>
      </c>
      <c r="C647">
        <v>1</v>
      </c>
      <c r="D647">
        <v>1001</v>
      </c>
      <c r="E647">
        <v>350</v>
      </c>
      <c r="F647">
        <v>11000</v>
      </c>
      <c r="G647">
        <v>0</v>
      </c>
      <c r="H647">
        <f t="shared" si="16"/>
        <v>11050101</v>
      </c>
      <c r="I647">
        <v>1000</v>
      </c>
      <c r="J647">
        <v>0</v>
      </c>
      <c r="K647" t="s">
        <v>599</v>
      </c>
      <c r="L647" t="s">
        <v>599</v>
      </c>
      <c r="M647">
        <v>1</v>
      </c>
      <c r="N647">
        <v>0</v>
      </c>
      <c r="O647">
        <v>0</v>
      </c>
      <c r="R647" t="s">
        <v>227</v>
      </c>
      <c r="S647">
        <v>0</v>
      </c>
      <c r="T647">
        <v>0</v>
      </c>
      <c r="U647">
        <v>0</v>
      </c>
      <c r="V647">
        <v>1012</v>
      </c>
      <c r="W647">
        <v>700</v>
      </c>
      <c r="X647">
        <v>1050001</v>
      </c>
      <c r="Y647">
        <v>400</v>
      </c>
      <c r="Z647">
        <v>350</v>
      </c>
    </row>
    <row r="648" spans="1:26">
      <c r="A648">
        <v>6050102</v>
      </c>
      <c r="B648" t="s">
        <v>600</v>
      </c>
      <c r="C648">
        <v>2</v>
      </c>
      <c r="D648">
        <v>2001</v>
      </c>
      <c r="E648">
        <v>350</v>
      </c>
      <c r="F648">
        <v>4800</v>
      </c>
      <c r="G648">
        <v>500</v>
      </c>
      <c r="H648">
        <f t="shared" si="16"/>
        <v>11050102</v>
      </c>
      <c r="I648">
        <v>12000</v>
      </c>
      <c r="J648">
        <v>1050002</v>
      </c>
      <c r="K648" t="s">
        <v>602</v>
      </c>
      <c r="L648" t="s">
        <v>600</v>
      </c>
      <c r="M648">
        <v>1</v>
      </c>
      <c r="N648">
        <v>0</v>
      </c>
      <c r="O648">
        <v>0</v>
      </c>
      <c r="R648" t="s">
        <v>60</v>
      </c>
      <c r="S648">
        <v>0</v>
      </c>
      <c r="T648">
        <v>1050002</v>
      </c>
      <c r="U648">
        <v>400</v>
      </c>
      <c r="V648">
        <v>1012</v>
      </c>
      <c r="W648" t="s">
        <v>604</v>
      </c>
      <c r="X648">
        <v>0</v>
      </c>
      <c r="Y648">
        <v>0</v>
      </c>
      <c r="Z648">
        <v>0</v>
      </c>
    </row>
    <row r="649" spans="1:26">
      <c r="A649">
        <v>6051001</v>
      </c>
      <c r="B649" t="s">
        <v>605</v>
      </c>
      <c r="C649">
        <v>1</v>
      </c>
      <c r="D649">
        <v>1001</v>
      </c>
      <c r="E649">
        <v>350</v>
      </c>
      <c r="F649">
        <v>10000</v>
      </c>
      <c r="G649">
        <v>0</v>
      </c>
      <c r="H649">
        <f t="shared" si="16"/>
        <v>11051001</v>
      </c>
      <c r="I649">
        <v>1000</v>
      </c>
      <c r="J649">
        <v>0</v>
      </c>
      <c r="K649" t="s">
        <v>605</v>
      </c>
      <c r="L649" t="s">
        <v>605</v>
      </c>
      <c r="M649">
        <v>1</v>
      </c>
      <c r="N649">
        <v>0</v>
      </c>
      <c r="O649">
        <v>0</v>
      </c>
      <c r="R649" t="s">
        <v>227</v>
      </c>
      <c r="S649">
        <v>0</v>
      </c>
      <c r="T649">
        <v>0</v>
      </c>
      <c r="U649">
        <v>0</v>
      </c>
      <c r="V649">
        <v>1015</v>
      </c>
      <c r="W649">
        <v>700</v>
      </c>
      <c r="X649">
        <v>1051001</v>
      </c>
      <c r="Y649">
        <v>400</v>
      </c>
      <c r="Z649">
        <v>350</v>
      </c>
    </row>
    <row r="650" spans="1:26">
      <c r="A650">
        <v>6051002</v>
      </c>
      <c r="B650" t="s">
        <v>606</v>
      </c>
      <c r="C650">
        <v>2</v>
      </c>
      <c r="D650">
        <v>2001</v>
      </c>
      <c r="E650">
        <v>350</v>
      </c>
      <c r="F650">
        <v>3000</v>
      </c>
      <c r="G650">
        <v>500</v>
      </c>
      <c r="H650">
        <f t="shared" si="16"/>
        <v>11051002</v>
      </c>
      <c r="I650">
        <v>15000</v>
      </c>
      <c r="J650">
        <v>1051002</v>
      </c>
      <c r="K650" t="s">
        <v>608</v>
      </c>
      <c r="L650" t="s">
        <v>606</v>
      </c>
      <c r="M650">
        <v>1</v>
      </c>
      <c r="N650">
        <v>0</v>
      </c>
      <c r="O650">
        <v>0</v>
      </c>
      <c r="R650" t="s">
        <v>60</v>
      </c>
      <c r="S650">
        <v>0</v>
      </c>
      <c r="T650">
        <v>1051002</v>
      </c>
      <c r="U650">
        <v>700</v>
      </c>
      <c r="V650">
        <v>1015</v>
      </c>
      <c r="W650" t="s">
        <v>610</v>
      </c>
      <c r="X650">
        <v>0</v>
      </c>
      <c r="Y650">
        <v>0</v>
      </c>
      <c r="Z650">
        <v>0</v>
      </c>
    </row>
    <row r="651" spans="1:26">
      <c r="A651">
        <v>6051101</v>
      </c>
      <c r="B651" t="s">
        <v>611</v>
      </c>
      <c r="C651">
        <v>1</v>
      </c>
      <c r="D651">
        <v>1001</v>
      </c>
      <c r="E651">
        <v>350</v>
      </c>
      <c r="F651">
        <v>11000</v>
      </c>
      <c r="G651">
        <v>0</v>
      </c>
      <c r="H651">
        <f t="shared" si="16"/>
        <v>11051101</v>
      </c>
      <c r="I651">
        <v>1000</v>
      </c>
      <c r="J651">
        <v>0</v>
      </c>
      <c r="K651" t="s">
        <v>611</v>
      </c>
      <c r="L651" t="s">
        <v>611</v>
      </c>
      <c r="M651">
        <v>1</v>
      </c>
      <c r="N651">
        <v>0</v>
      </c>
      <c r="O651">
        <v>0</v>
      </c>
      <c r="R651" t="s">
        <v>227</v>
      </c>
      <c r="S651">
        <v>0</v>
      </c>
      <c r="T651">
        <v>0</v>
      </c>
      <c r="U651">
        <v>0</v>
      </c>
      <c r="V651">
        <v>1015</v>
      </c>
      <c r="W651">
        <v>700</v>
      </c>
      <c r="X651">
        <v>1051001</v>
      </c>
      <c r="Y651">
        <v>400</v>
      </c>
      <c r="Z651">
        <v>350</v>
      </c>
    </row>
    <row r="652" spans="1:26">
      <c r="A652">
        <v>6051102</v>
      </c>
      <c r="B652" t="s">
        <v>97</v>
      </c>
      <c r="C652">
        <v>2</v>
      </c>
      <c r="D652">
        <v>2001</v>
      </c>
      <c r="E652">
        <v>350</v>
      </c>
      <c r="F652">
        <v>6000</v>
      </c>
      <c r="G652">
        <v>500</v>
      </c>
      <c r="H652">
        <f t="shared" si="16"/>
        <v>11051102</v>
      </c>
      <c r="I652">
        <v>15000</v>
      </c>
      <c r="J652">
        <v>1051002</v>
      </c>
      <c r="K652" t="s">
        <v>613</v>
      </c>
      <c r="L652" t="s">
        <v>97</v>
      </c>
      <c r="M652">
        <v>1</v>
      </c>
      <c r="N652">
        <v>0</v>
      </c>
      <c r="O652">
        <v>0</v>
      </c>
      <c r="R652" t="s">
        <v>60</v>
      </c>
      <c r="S652">
        <v>0</v>
      </c>
      <c r="T652">
        <v>1051002</v>
      </c>
      <c r="U652">
        <v>700</v>
      </c>
      <c r="V652">
        <v>1015</v>
      </c>
      <c r="W652" t="s">
        <v>610</v>
      </c>
      <c r="X652">
        <v>0</v>
      </c>
      <c r="Y652">
        <v>0</v>
      </c>
      <c r="Z652">
        <v>0</v>
      </c>
    </row>
    <row r="653" spans="1:26">
      <c r="A653">
        <v>6051201</v>
      </c>
      <c r="B653" t="s">
        <v>615</v>
      </c>
      <c r="C653">
        <v>1</v>
      </c>
      <c r="D653">
        <v>1001</v>
      </c>
      <c r="E653">
        <v>350</v>
      </c>
      <c r="F653">
        <v>11000</v>
      </c>
      <c r="G653">
        <v>0</v>
      </c>
      <c r="H653">
        <f t="shared" si="16"/>
        <v>11051201</v>
      </c>
      <c r="I653">
        <v>1000</v>
      </c>
      <c r="J653">
        <v>0</v>
      </c>
      <c r="K653" t="s">
        <v>615</v>
      </c>
      <c r="L653" t="s">
        <v>615</v>
      </c>
      <c r="M653">
        <v>1</v>
      </c>
      <c r="N653">
        <v>0</v>
      </c>
      <c r="O653">
        <v>0</v>
      </c>
      <c r="R653" t="s">
        <v>227</v>
      </c>
      <c r="S653">
        <v>0</v>
      </c>
      <c r="T653">
        <v>0</v>
      </c>
      <c r="U653">
        <v>0</v>
      </c>
      <c r="V653">
        <v>1015</v>
      </c>
      <c r="W653">
        <v>700</v>
      </c>
      <c r="X653">
        <v>1051001</v>
      </c>
      <c r="Y653">
        <v>400</v>
      </c>
      <c r="Z653">
        <v>350</v>
      </c>
    </row>
    <row r="654" spans="1:26">
      <c r="A654">
        <v>6051202</v>
      </c>
      <c r="B654" t="s">
        <v>616</v>
      </c>
      <c r="C654">
        <v>2</v>
      </c>
      <c r="D654">
        <v>2001</v>
      </c>
      <c r="E654">
        <v>350</v>
      </c>
      <c r="F654">
        <v>12000</v>
      </c>
      <c r="G654">
        <v>500</v>
      </c>
      <c r="H654">
        <f t="shared" si="16"/>
        <v>11051202</v>
      </c>
      <c r="I654">
        <v>15000</v>
      </c>
      <c r="J654">
        <v>1051202</v>
      </c>
      <c r="K654" t="s">
        <v>618</v>
      </c>
      <c r="L654" t="s">
        <v>616</v>
      </c>
      <c r="M654">
        <v>1</v>
      </c>
      <c r="N654">
        <v>0</v>
      </c>
      <c r="O654">
        <v>0</v>
      </c>
      <c r="R654" t="s">
        <v>60</v>
      </c>
      <c r="S654">
        <v>0</v>
      </c>
      <c r="T654">
        <v>1051202</v>
      </c>
      <c r="U654">
        <v>500</v>
      </c>
      <c r="V654">
        <v>1015</v>
      </c>
      <c r="W654" t="s">
        <v>620</v>
      </c>
      <c r="X654">
        <v>0</v>
      </c>
      <c r="Y654">
        <v>0</v>
      </c>
      <c r="Z654">
        <v>0</v>
      </c>
    </row>
    <row r="655" spans="1:26">
      <c r="A655">
        <v>6052001</v>
      </c>
      <c r="B655" t="s">
        <v>621</v>
      </c>
      <c r="C655">
        <v>1</v>
      </c>
      <c r="D655">
        <v>1001</v>
      </c>
      <c r="E655">
        <v>350</v>
      </c>
      <c r="F655">
        <v>10000</v>
      </c>
      <c r="G655">
        <v>0</v>
      </c>
      <c r="H655">
        <f t="shared" si="16"/>
        <v>11052001</v>
      </c>
      <c r="I655">
        <v>1000</v>
      </c>
      <c r="J655">
        <v>0</v>
      </c>
      <c r="K655" t="s">
        <v>621</v>
      </c>
      <c r="L655" t="s">
        <v>621</v>
      </c>
      <c r="M655">
        <v>1</v>
      </c>
      <c r="N655">
        <v>0</v>
      </c>
      <c r="O655">
        <v>0</v>
      </c>
      <c r="R655" t="s">
        <v>227</v>
      </c>
      <c r="S655">
        <v>0</v>
      </c>
      <c r="T655">
        <v>0</v>
      </c>
      <c r="U655">
        <v>0</v>
      </c>
      <c r="V655">
        <v>1015</v>
      </c>
      <c r="W655">
        <v>700</v>
      </c>
      <c r="X655">
        <v>1052001</v>
      </c>
      <c r="Y655">
        <v>400</v>
      </c>
      <c r="Z655">
        <v>350</v>
      </c>
    </row>
    <row r="656" spans="1:26">
      <c r="A656">
        <v>6052002</v>
      </c>
      <c r="B656" t="s">
        <v>622</v>
      </c>
      <c r="C656">
        <v>2</v>
      </c>
      <c r="D656">
        <v>2001</v>
      </c>
      <c r="E656">
        <v>350</v>
      </c>
      <c r="F656">
        <v>21000</v>
      </c>
      <c r="G656">
        <v>500</v>
      </c>
      <c r="H656">
        <f t="shared" si="16"/>
        <v>11052002</v>
      </c>
      <c r="I656">
        <v>15000</v>
      </c>
      <c r="J656">
        <v>1052002</v>
      </c>
      <c r="K656" t="s">
        <v>624</v>
      </c>
      <c r="L656" t="s">
        <v>622</v>
      </c>
      <c r="M656">
        <v>1</v>
      </c>
      <c r="N656">
        <v>0</v>
      </c>
      <c r="O656">
        <v>0</v>
      </c>
      <c r="R656" t="s">
        <v>60</v>
      </c>
      <c r="S656">
        <v>0</v>
      </c>
      <c r="T656">
        <v>1052002</v>
      </c>
      <c r="U656">
        <v>0</v>
      </c>
      <c r="V656">
        <v>1015</v>
      </c>
      <c r="W656">
        <v>700</v>
      </c>
      <c r="X656">
        <v>0</v>
      </c>
      <c r="Y656">
        <v>0</v>
      </c>
      <c r="Z656">
        <v>0</v>
      </c>
    </row>
    <row r="657" spans="1:26">
      <c r="A657">
        <v>6052101</v>
      </c>
      <c r="B657" t="s">
        <v>626</v>
      </c>
      <c r="C657">
        <v>1</v>
      </c>
      <c r="D657">
        <v>1001</v>
      </c>
      <c r="E657">
        <v>350</v>
      </c>
      <c r="F657">
        <v>11000</v>
      </c>
      <c r="G657">
        <v>0</v>
      </c>
      <c r="H657">
        <f t="shared" si="16"/>
        <v>11052101</v>
      </c>
      <c r="I657">
        <v>1000</v>
      </c>
      <c r="J657">
        <v>0</v>
      </c>
      <c r="K657" t="s">
        <v>626</v>
      </c>
      <c r="L657" t="s">
        <v>626</v>
      </c>
      <c r="M657">
        <v>1</v>
      </c>
      <c r="N657">
        <v>0</v>
      </c>
      <c r="O657">
        <v>0</v>
      </c>
      <c r="R657" t="s">
        <v>227</v>
      </c>
      <c r="S657">
        <v>0</v>
      </c>
      <c r="T657">
        <v>0</v>
      </c>
      <c r="U657">
        <v>0</v>
      </c>
      <c r="V657">
        <v>1015</v>
      </c>
      <c r="W657">
        <v>700</v>
      </c>
      <c r="X657">
        <v>1052001</v>
      </c>
      <c r="Y657">
        <v>400</v>
      </c>
      <c r="Z657">
        <v>350</v>
      </c>
    </row>
    <row r="658" spans="1:26">
      <c r="A658">
        <v>6052102</v>
      </c>
      <c r="B658" t="s">
        <v>173</v>
      </c>
      <c r="C658">
        <v>2</v>
      </c>
      <c r="D658">
        <v>2001</v>
      </c>
      <c r="E658">
        <v>350</v>
      </c>
      <c r="F658">
        <v>11000</v>
      </c>
      <c r="G658">
        <v>500</v>
      </c>
      <c r="H658">
        <f t="shared" si="16"/>
        <v>11052102</v>
      </c>
      <c r="I658">
        <v>15000</v>
      </c>
      <c r="J658">
        <v>1052102</v>
      </c>
      <c r="K658" t="s">
        <v>628</v>
      </c>
      <c r="L658" t="s">
        <v>173</v>
      </c>
      <c r="M658">
        <v>1</v>
      </c>
      <c r="N658">
        <v>0</v>
      </c>
      <c r="O658">
        <v>0</v>
      </c>
      <c r="R658" t="s">
        <v>60</v>
      </c>
      <c r="S658">
        <v>0</v>
      </c>
      <c r="T658">
        <v>1052102</v>
      </c>
      <c r="U658">
        <v>0</v>
      </c>
      <c r="V658">
        <v>1015</v>
      </c>
      <c r="W658" t="s">
        <v>630</v>
      </c>
      <c r="X658">
        <v>0</v>
      </c>
      <c r="Y658">
        <v>0</v>
      </c>
      <c r="Z658">
        <v>0</v>
      </c>
    </row>
    <row r="659" spans="1:26">
      <c r="A659">
        <v>6052201</v>
      </c>
      <c r="B659" t="s">
        <v>631</v>
      </c>
      <c r="C659">
        <v>1</v>
      </c>
      <c r="D659">
        <v>1001</v>
      </c>
      <c r="E659">
        <v>350</v>
      </c>
      <c r="F659">
        <v>11000</v>
      </c>
      <c r="G659">
        <v>0</v>
      </c>
      <c r="H659">
        <f t="shared" si="16"/>
        <v>11052201</v>
      </c>
      <c r="I659">
        <v>1000</v>
      </c>
      <c r="J659">
        <v>0</v>
      </c>
      <c r="K659" t="s">
        <v>631</v>
      </c>
      <c r="L659" t="s">
        <v>631</v>
      </c>
      <c r="M659">
        <v>1</v>
      </c>
      <c r="N659">
        <v>0</v>
      </c>
      <c r="O659">
        <v>0</v>
      </c>
      <c r="R659" t="s">
        <v>227</v>
      </c>
      <c r="S659">
        <v>0</v>
      </c>
      <c r="T659">
        <v>0</v>
      </c>
      <c r="U659">
        <v>0</v>
      </c>
      <c r="V659">
        <v>1015</v>
      </c>
      <c r="W659">
        <v>700</v>
      </c>
      <c r="X659">
        <v>1052001</v>
      </c>
      <c r="Y659">
        <v>400</v>
      </c>
      <c r="Z659">
        <v>350</v>
      </c>
    </row>
    <row r="660" spans="1:26">
      <c r="A660">
        <v>6052202</v>
      </c>
      <c r="B660" t="s">
        <v>223</v>
      </c>
      <c r="C660">
        <v>2</v>
      </c>
      <c r="D660">
        <v>2001</v>
      </c>
      <c r="E660">
        <v>350</v>
      </c>
      <c r="F660">
        <v>84000</v>
      </c>
      <c r="G660">
        <v>500</v>
      </c>
      <c r="H660">
        <f t="shared" si="16"/>
        <v>11052202</v>
      </c>
      <c r="I660">
        <v>17000</v>
      </c>
      <c r="J660">
        <v>1052202</v>
      </c>
      <c r="K660" t="s">
        <v>633</v>
      </c>
      <c r="L660" t="s">
        <v>223</v>
      </c>
      <c r="M660">
        <v>1</v>
      </c>
      <c r="N660">
        <v>0</v>
      </c>
      <c r="O660">
        <v>0</v>
      </c>
      <c r="R660" t="s">
        <v>60</v>
      </c>
      <c r="S660">
        <v>0</v>
      </c>
      <c r="T660">
        <v>1052202</v>
      </c>
      <c r="U660">
        <v>100</v>
      </c>
      <c r="V660">
        <v>1015</v>
      </c>
      <c r="W660">
        <v>1000</v>
      </c>
      <c r="X660">
        <v>0</v>
      </c>
      <c r="Y660">
        <v>0</v>
      </c>
      <c r="Z660">
        <v>0</v>
      </c>
    </row>
    <row r="661" spans="1:26">
      <c r="A661">
        <v>6053001</v>
      </c>
      <c r="B661" t="s">
        <v>635</v>
      </c>
      <c r="C661">
        <v>1</v>
      </c>
      <c r="D661">
        <v>1001</v>
      </c>
      <c r="E661">
        <v>350</v>
      </c>
      <c r="F661">
        <v>10000</v>
      </c>
      <c r="G661">
        <v>0</v>
      </c>
      <c r="H661">
        <f t="shared" si="16"/>
        <v>11053001</v>
      </c>
      <c r="I661">
        <v>1000</v>
      </c>
      <c r="J661">
        <v>0</v>
      </c>
      <c r="K661" t="s">
        <v>635</v>
      </c>
      <c r="L661" t="s">
        <v>635</v>
      </c>
      <c r="M661">
        <v>1</v>
      </c>
      <c r="N661">
        <v>0</v>
      </c>
      <c r="O661">
        <v>0</v>
      </c>
      <c r="R661" t="s">
        <v>227</v>
      </c>
      <c r="S661">
        <v>0</v>
      </c>
      <c r="T661">
        <v>0</v>
      </c>
      <c r="U661">
        <v>0</v>
      </c>
      <c r="V661">
        <v>1015</v>
      </c>
      <c r="W661">
        <v>700</v>
      </c>
      <c r="X661">
        <v>1053001</v>
      </c>
      <c r="Y661">
        <v>400</v>
      </c>
      <c r="Z661">
        <v>350</v>
      </c>
    </row>
    <row r="662" spans="1:26">
      <c r="A662">
        <v>6053002</v>
      </c>
      <c r="B662" t="s">
        <v>144</v>
      </c>
      <c r="C662">
        <v>2</v>
      </c>
      <c r="D662">
        <v>2001</v>
      </c>
      <c r="E662">
        <v>350</v>
      </c>
      <c r="F662">
        <v>3500</v>
      </c>
      <c r="G662">
        <v>500</v>
      </c>
      <c r="H662">
        <f t="shared" si="16"/>
        <v>11053002</v>
      </c>
      <c r="I662">
        <v>15000</v>
      </c>
      <c r="J662">
        <v>1053002</v>
      </c>
      <c r="K662" t="s">
        <v>637</v>
      </c>
      <c r="L662" t="s">
        <v>144</v>
      </c>
      <c r="M662">
        <v>1</v>
      </c>
      <c r="N662">
        <v>0</v>
      </c>
      <c r="O662">
        <v>0</v>
      </c>
      <c r="R662" t="s">
        <v>60</v>
      </c>
      <c r="S662">
        <v>0</v>
      </c>
      <c r="T662">
        <v>1053002</v>
      </c>
      <c r="U662">
        <v>1000</v>
      </c>
      <c r="V662">
        <v>1015</v>
      </c>
      <c r="W662" t="s">
        <v>639</v>
      </c>
      <c r="X662">
        <v>0</v>
      </c>
      <c r="Y662">
        <v>0</v>
      </c>
      <c r="Z662">
        <v>0</v>
      </c>
    </row>
    <row r="663" spans="1:26">
      <c r="A663">
        <v>6053101</v>
      </c>
      <c r="B663" t="s">
        <v>640</v>
      </c>
      <c r="C663">
        <v>1</v>
      </c>
      <c r="D663">
        <v>1001</v>
      </c>
      <c r="E663">
        <v>350</v>
      </c>
      <c r="F663">
        <v>11000</v>
      </c>
      <c r="G663">
        <v>0</v>
      </c>
      <c r="H663">
        <f t="shared" si="16"/>
        <v>11053101</v>
      </c>
      <c r="I663">
        <v>1000</v>
      </c>
      <c r="J663">
        <v>0</v>
      </c>
      <c r="K663" t="s">
        <v>640</v>
      </c>
      <c r="L663" t="s">
        <v>640</v>
      </c>
      <c r="M663">
        <v>1</v>
      </c>
      <c r="N663">
        <v>0</v>
      </c>
      <c r="O663">
        <v>0</v>
      </c>
      <c r="R663" t="s">
        <v>227</v>
      </c>
      <c r="S663">
        <v>0</v>
      </c>
      <c r="T663">
        <v>0</v>
      </c>
      <c r="U663">
        <v>0</v>
      </c>
      <c r="V663">
        <v>1015</v>
      </c>
      <c r="W663">
        <v>700</v>
      </c>
      <c r="X663">
        <v>1053001</v>
      </c>
      <c r="Y663">
        <v>400</v>
      </c>
      <c r="Z663">
        <v>350</v>
      </c>
    </row>
    <row r="664" spans="1:26">
      <c r="A664">
        <v>6053102</v>
      </c>
      <c r="B664" t="s">
        <v>641</v>
      </c>
      <c r="C664">
        <v>2</v>
      </c>
      <c r="D664">
        <v>2001</v>
      </c>
      <c r="E664">
        <v>350</v>
      </c>
      <c r="F664">
        <v>7000</v>
      </c>
      <c r="G664">
        <v>500</v>
      </c>
      <c r="H664">
        <f t="shared" si="16"/>
        <v>11053102</v>
      </c>
      <c r="I664">
        <v>15000</v>
      </c>
      <c r="J664">
        <v>1053002</v>
      </c>
      <c r="K664" t="s">
        <v>643</v>
      </c>
      <c r="L664" t="s">
        <v>641</v>
      </c>
      <c r="M664">
        <v>1</v>
      </c>
      <c r="N664">
        <v>0</v>
      </c>
      <c r="O664">
        <v>0</v>
      </c>
      <c r="R664" t="s">
        <v>60</v>
      </c>
      <c r="S664">
        <v>0</v>
      </c>
      <c r="T664">
        <v>1053002</v>
      </c>
      <c r="U664">
        <v>1000</v>
      </c>
      <c r="V664">
        <v>1015</v>
      </c>
      <c r="W664" t="s">
        <v>639</v>
      </c>
      <c r="X664">
        <v>0</v>
      </c>
      <c r="Y664">
        <v>0</v>
      </c>
      <c r="Z664">
        <v>0</v>
      </c>
    </row>
    <row r="665" spans="1:26">
      <c r="A665">
        <v>6056001</v>
      </c>
      <c r="B665" t="s">
        <v>645</v>
      </c>
      <c r="C665">
        <v>1</v>
      </c>
      <c r="D665">
        <v>1001</v>
      </c>
      <c r="E665">
        <v>350</v>
      </c>
      <c r="F665">
        <v>10000</v>
      </c>
      <c r="G665">
        <v>0</v>
      </c>
      <c r="H665">
        <f t="shared" si="16"/>
        <v>11056001</v>
      </c>
      <c r="I665">
        <v>1000</v>
      </c>
      <c r="J665">
        <v>0</v>
      </c>
      <c r="K665" t="s">
        <v>645</v>
      </c>
      <c r="L665" t="s">
        <v>645</v>
      </c>
      <c r="M665">
        <v>1</v>
      </c>
      <c r="N665">
        <v>0</v>
      </c>
      <c r="O665">
        <v>0</v>
      </c>
      <c r="R665" t="s">
        <v>227</v>
      </c>
      <c r="S665">
        <v>0</v>
      </c>
      <c r="T665">
        <v>0</v>
      </c>
      <c r="U665">
        <v>0</v>
      </c>
      <c r="V665">
        <v>1011</v>
      </c>
      <c r="W665">
        <v>700</v>
      </c>
      <c r="X665">
        <v>1056001</v>
      </c>
      <c r="Y665">
        <v>400</v>
      </c>
      <c r="Z665">
        <v>350</v>
      </c>
    </row>
    <row r="666" spans="1:26">
      <c r="A666">
        <v>6056002</v>
      </c>
      <c r="B666" t="s">
        <v>646</v>
      </c>
      <c r="C666">
        <v>2</v>
      </c>
      <c r="D666">
        <v>2001</v>
      </c>
      <c r="E666">
        <v>350</v>
      </c>
      <c r="F666">
        <v>5500</v>
      </c>
      <c r="G666">
        <v>500</v>
      </c>
      <c r="H666">
        <f t="shared" si="16"/>
        <v>11056002</v>
      </c>
      <c r="I666">
        <v>11000</v>
      </c>
      <c r="J666">
        <v>1056002</v>
      </c>
      <c r="K666" t="s">
        <v>648</v>
      </c>
      <c r="L666" t="s">
        <v>646</v>
      </c>
      <c r="M666">
        <v>1</v>
      </c>
      <c r="N666">
        <v>0</v>
      </c>
      <c r="O666">
        <v>0</v>
      </c>
      <c r="R666" t="s">
        <v>60</v>
      </c>
      <c r="S666">
        <v>0</v>
      </c>
      <c r="T666">
        <v>1056002</v>
      </c>
      <c r="U666">
        <v>700</v>
      </c>
      <c r="V666">
        <v>1011</v>
      </c>
      <c r="W666" t="s">
        <v>586</v>
      </c>
      <c r="X666">
        <v>0</v>
      </c>
      <c r="Y666">
        <v>0</v>
      </c>
      <c r="Z666">
        <v>0</v>
      </c>
    </row>
    <row r="667" spans="1:26">
      <c r="A667">
        <v>6056101</v>
      </c>
      <c r="B667" t="s">
        <v>651</v>
      </c>
      <c r="C667">
        <v>1</v>
      </c>
      <c r="D667">
        <v>1001</v>
      </c>
      <c r="E667">
        <v>350</v>
      </c>
      <c r="F667">
        <v>11000</v>
      </c>
      <c r="G667">
        <v>0</v>
      </c>
      <c r="H667">
        <f t="shared" si="16"/>
        <v>11056101</v>
      </c>
      <c r="I667">
        <v>1000</v>
      </c>
      <c r="J667">
        <v>0</v>
      </c>
      <c r="K667" t="s">
        <v>651</v>
      </c>
      <c r="L667" t="s">
        <v>651</v>
      </c>
      <c r="M667">
        <v>1</v>
      </c>
      <c r="N667">
        <v>0</v>
      </c>
      <c r="O667">
        <v>0</v>
      </c>
      <c r="R667" t="s">
        <v>227</v>
      </c>
      <c r="S667">
        <v>0</v>
      </c>
      <c r="T667">
        <v>0</v>
      </c>
      <c r="U667">
        <v>0</v>
      </c>
      <c r="V667">
        <v>1011</v>
      </c>
      <c r="W667">
        <v>600</v>
      </c>
      <c r="X667">
        <v>1056001</v>
      </c>
      <c r="Y667">
        <v>300</v>
      </c>
      <c r="Z667">
        <v>350</v>
      </c>
    </row>
    <row r="668" spans="1:26">
      <c r="A668">
        <v>6056102</v>
      </c>
      <c r="B668" t="s">
        <v>652</v>
      </c>
      <c r="C668">
        <v>2</v>
      </c>
      <c r="D668">
        <v>2001</v>
      </c>
      <c r="E668">
        <v>350</v>
      </c>
      <c r="F668">
        <v>8000</v>
      </c>
      <c r="G668">
        <v>500</v>
      </c>
      <c r="H668">
        <f t="shared" si="16"/>
        <v>11056102</v>
      </c>
      <c r="I668">
        <v>11000</v>
      </c>
      <c r="J668">
        <v>1056002</v>
      </c>
      <c r="K668" t="s">
        <v>654</v>
      </c>
      <c r="L668" t="s">
        <v>652</v>
      </c>
      <c r="M668">
        <v>1</v>
      </c>
      <c r="N668">
        <v>0</v>
      </c>
      <c r="O668">
        <v>0</v>
      </c>
      <c r="R668" t="s">
        <v>60</v>
      </c>
      <c r="S668">
        <v>0</v>
      </c>
      <c r="T668">
        <v>1056002</v>
      </c>
      <c r="U668">
        <v>600</v>
      </c>
      <c r="V668">
        <v>1011</v>
      </c>
      <c r="W668" t="s">
        <v>586</v>
      </c>
      <c r="X668">
        <v>0</v>
      </c>
      <c r="Y668">
        <v>0</v>
      </c>
      <c r="Z668">
        <v>0</v>
      </c>
    </row>
    <row r="669" spans="1:26">
      <c r="A669">
        <v>6056201</v>
      </c>
      <c r="B669" t="s">
        <v>656</v>
      </c>
      <c r="C669">
        <v>1</v>
      </c>
      <c r="D669">
        <v>1001</v>
      </c>
      <c r="E669">
        <v>350</v>
      </c>
      <c r="F669">
        <v>11000</v>
      </c>
      <c r="G669">
        <v>0</v>
      </c>
      <c r="H669">
        <f t="shared" si="16"/>
        <v>11056201</v>
      </c>
      <c r="I669">
        <v>1000</v>
      </c>
      <c r="J669">
        <v>0</v>
      </c>
      <c r="K669" t="s">
        <v>656</v>
      </c>
      <c r="L669" t="s">
        <v>656</v>
      </c>
      <c r="M669">
        <v>1</v>
      </c>
      <c r="N669">
        <v>0</v>
      </c>
      <c r="O669">
        <v>0</v>
      </c>
      <c r="R669" t="s">
        <v>227</v>
      </c>
      <c r="S669">
        <v>0</v>
      </c>
      <c r="T669">
        <v>0</v>
      </c>
      <c r="U669">
        <v>0</v>
      </c>
      <c r="V669">
        <v>1011</v>
      </c>
      <c r="W669">
        <v>700</v>
      </c>
      <c r="X669">
        <v>1056201</v>
      </c>
      <c r="Y669">
        <v>400</v>
      </c>
      <c r="Z669">
        <v>350</v>
      </c>
    </row>
    <row r="670" spans="1:26">
      <c r="A670">
        <v>6056202</v>
      </c>
      <c r="B670" t="s">
        <v>189</v>
      </c>
      <c r="C670">
        <v>2</v>
      </c>
      <c r="D670">
        <v>2001</v>
      </c>
      <c r="E670">
        <v>350</v>
      </c>
      <c r="F670">
        <v>20000</v>
      </c>
      <c r="G670">
        <v>500</v>
      </c>
      <c r="H670">
        <f t="shared" si="16"/>
        <v>11056202</v>
      </c>
      <c r="I670">
        <v>11000</v>
      </c>
      <c r="J670">
        <v>1056202</v>
      </c>
      <c r="K670" t="s">
        <v>658</v>
      </c>
      <c r="L670" t="s">
        <v>189</v>
      </c>
      <c r="M670">
        <v>1</v>
      </c>
      <c r="N670">
        <v>0</v>
      </c>
      <c r="O670">
        <v>0</v>
      </c>
      <c r="R670" t="s">
        <v>60</v>
      </c>
      <c r="S670">
        <v>0</v>
      </c>
      <c r="T670">
        <v>1056202</v>
      </c>
      <c r="U670">
        <v>700</v>
      </c>
      <c r="V670">
        <v>1011</v>
      </c>
      <c r="W670" t="s">
        <v>660</v>
      </c>
      <c r="X670">
        <v>0</v>
      </c>
      <c r="Y670">
        <v>0</v>
      </c>
      <c r="Z670">
        <v>0</v>
      </c>
    </row>
    <row r="671" spans="1:26">
      <c r="A671">
        <v>6057001</v>
      </c>
      <c r="B671" t="s">
        <v>661</v>
      </c>
      <c r="C671">
        <v>1</v>
      </c>
      <c r="D671">
        <v>1001</v>
      </c>
      <c r="E671">
        <v>350</v>
      </c>
      <c r="F671">
        <v>11000</v>
      </c>
      <c r="G671">
        <v>0</v>
      </c>
      <c r="H671">
        <f t="shared" si="16"/>
        <v>11057001</v>
      </c>
      <c r="I671">
        <v>1000</v>
      </c>
      <c r="J671">
        <v>0</v>
      </c>
      <c r="K671" t="s">
        <v>661</v>
      </c>
      <c r="L671" t="s">
        <v>661</v>
      </c>
      <c r="M671">
        <v>1</v>
      </c>
      <c r="N671">
        <v>0</v>
      </c>
      <c r="O671">
        <v>0</v>
      </c>
      <c r="R671" t="s">
        <v>227</v>
      </c>
      <c r="S671">
        <v>0</v>
      </c>
      <c r="T671">
        <v>0</v>
      </c>
      <c r="U671">
        <v>0</v>
      </c>
      <c r="V671">
        <v>1011</v>
      </c>
      <c r="W671">
        <v>700</v>
      </c>
      <c r="X671">
        <v>1057001</v>
      </c>
      <c r="Y671">
        <v>400</v>
      </c>
      <c r="Z671">
        <v>350</v>
      </c>
    </row>
    <row r="672" spans="1:26">
      <c r="A672">
        <v>6057002</v>
      </c>
      <c r="B672" t="s">
        <v>662</v>
      </c>
      <c r="C672">
        <v>2</v>
      </c>
      <c r="D672">
        <v>2001</v>
      </c>
      <c r="E672">
        <v>350</v>
      </c>
      <c r="F672">
        <v>42000</v>
      </c>
      <c r="G672">
        <v>500</v>
      </c>
      <c r="H672">
        <f t="shared" si="16"/>
        <v>11057002</v>
      </c>
      <c r="I672">
        <v>7000</v>
      </c>
      <c r="J672">
        <v>1057002</v>
      </c>
      <c r="K672" t="s">
        <v>664</v>
      </c>
      <c r="L672" t="s">
        <v>662</v>
      </c>
      <c r="M672">
        <v>1</v>
      </c>
      <c r="N672">
        <v>0</v>
      </c>
      <c r="O672">
        <v>0</v>
      </c>
      <c r="R672" t="s">
        <v>60</v>
      </c>
      <c r="S672">
        <v>0</v>
      </c>
      <c r="T672">
        <v>1057002</v>
      </c>
      <c r="U672">
        <v>500</v>
      </c>
      <c r="V672">
        <v>1011</v>
      </c>
      <c r="W672">
        <v>1000</v>
      </c>
      <c r="X672">
        <v>0</v>
      </c>
      <c r="Y672">
        <v>0</v>
      </c>
      <c r="Z672">
        <v>0</v>
      </c>
    </row>
    <row r="673" spans="1:26">
      <c r="A673">
        <v>6057101</v>
      </c>
      <c r="B673" t="s">
        <v>666</v>
      </c>
      <c r="C673">
        <v>1</v>
      </c>
      <c r="D673">
        <v>1001</v>
      </c>
      <c r="E673">
        <v>350</v>
      </c>
      <c r="F673">
        <v>10000</v>
      </c>
      <c r="G673">
        <v>0</v>
      </c>
      <c r="H673">
        <f t="shared" si="16"/>
        <v>11057101</v>
      </c>
      <c r="I673">
        <v>1000</v>
      </c>
      <c r="J673">
        <v>0</v>
      </c>
      <c r="K673" t="s">
        <v>666</v>
      </c>
      <c r="L673" t="s">
        <v>666</v>
      </c>
      <c r="M673">
        <v>1</v>
      </c>
      <c r="N673">
        <v>0</v>
      </c>
      <c r="O673">
        <v>0</v>
      </c>
      <c r="R673" t="s">
        <v>227</v>
      </c>
      <c r="S673">
        <v>0</v>
      </c>
      <c r="T673">
        <v>0</v>
      </c>
      <c r="U673">
        <v>0</v>
      </c>
      <c r="V673">
        <v>1011</v>
      </c>
      <c r="W673">
        <v>700</v>
      </c>
      <c r="X673">
        <v>1057001</v>
      </c>
      <c r="Y673">
        <v>400</v>
      </c>
      <c r="Z673">
        <v>350</v>
      </c>
    </row>
    <row r="674" spans="1:26">
      <c r="A674">
        <v>6057102</v>
      </c>
      <c r="B674" t="s">
        <v>667</v>
      </c>
      <c r="C674">
        <v>2</v>
      </c>
      <c r="D674">
        <v>2001</v>
      </c>
      <c r="E674">
        <v>350</v>
      </c>
      <c r="F674">
        <v>22000</v>
      </c>
      <c r="G674">
        <v>500</v>
      </c>
      <c r="H674">
        <f t="shared" si="16"/>
        <v>11057102</v>
      </c>
      <c r="I674">
        <v>7000</v>
      </c>
      <c r="J674">
        <v>1057002</v>
      </c>
      <c r="K674" t="s">
        <v>669</v>
      </c>
      <c r="L674" t="s">
        <v>667</v>
      </c>
      <c r="M674">
        <v>1</v>
      </c>
      <c r="N674">
        <v>0</v>
      </c>
      <c r="O674">
        <v>0</v>
      </c>
      <c r="R674" t="s">
        <v>60</v>
      </c>
      <c r="S674">
        <v>0</v>
      </c>
      <c r="T674">
        <v>1057002</v>
      </c>
      <c r="U674">
        <v>500</v>
      </c>
      <c r="V674">
        <v>1011</v>
      </c>
      <c r="W674">
        <v>1100</v>
      </c>
      <c r="X674">
        <v>0</v>
      </c>
      <c r="Y674">
        <v>0</v>
      </c>
      <c r="Z674">
        <v>0</v>
      </c>
    </row>
    <row r="675" spans="1:26">
      <c r="A675">
        <v>6058001</v>
      </c>
      <c r="B675" t="s">
        <v>671</v>
      </c>
      <c r="C675">
        <v>1</v>
      </c>
      <c r="D675">
        <v>1001</v>
      </c>
      <c r="E675">
        <v>350</v>
      </c>
      <c r="F675">
        <v>10000</v>
      </c>
      <c r="G675">
        <v>0</v>
      </c>
      <c r="H675">
        <f t="shared" si="16"/>
        <v>11058001</v>
      </c>
      <c r="I675">
        <v>1000</v>
      </c>
      <c r="J675">
        <v>0</v>
      </c>
      <c r="K675" t="s">
        <v>671</v>
      </c>
      <c r="L675" t="s">
        <v>671</v>
      </c>
      <c r="M675">
        <v>1</v>
      </c>
      <c r="N675">
        <v>0</v>
      </c>
      <c r="O675">
        <v>0</v>
      </c>
      <c r="R675" t="s">
        <v>227</v>
      </c>
      <c r="S675">
        <v>0</v>
      </c>
      <c r="T675">
        <v>0</v>
      </c>
      <c r="U675">
        <v>0</v>
      </c>
      <c r="V675">
        <v>1013</v>
      </c>
      <c r="W675">
        <v>700</v>
      </c>
      <c r="X675">
        <v>1058001</v>
      </c>
      <c r="Y675">
        <v>400</v>
      </c>
      <c r="Z675">
        <v>350</v>
      </c>
    </row>
    <row r="676" spans="1:26">
      <c r="A676">
        <v>6058002</v>
      </c>
      <c r="B676" t="s">
        <v>73</v>
      </c>
      <c r="C676">
        <v>2</v>
      </c>
      <c r="D676">
        <v>2001</v>
      </c>
      <c r="E676">
        <v>350</v>
      </c>
      <c r="F676">
        <v>21000</v>
      </c>
      <c r="G676">
        <v>500</v>
      </c>
      <c r="H676">
        <f t="shared" si="16"/>
        <v>11058002</v>
      </c>
      <c r="I676">
        <v>9000</v>
      </c>
      <c r="J676">
        <v>1058002</v>
      </c>
      <c r="K676" t="s">
        <v>673</v>
      </c>
      <c r="L676" t="s">
        <v>73</v>
      </c>
      <c r="M676">
        <v>1</v>
      </c>
      <c r="N676">
        <v>0</v>
      </c>
      <c r="O676">
        <v>0</v>
      </c>
      <c r="R676" t="s">
        <v>60</v>
      </c>
      <c r="S676">
        <v>0</v>
      </c>
      <c r="T676">
        <v>1058002</v>
      </c>
      <c r="U676">
        <v>400</v>
      </c>
      <c r="V676">
        <v>1013</v>
      </c>
      <c r="W676">
        <v>2000</v>
      </c>
      <c r="X676">
        <v>0</v>
      </c>
      <c r="Y676">
        <v>0</v>
      </c>
      <c r="Z676">
        <v>0</v>
      </c>
    </row>
    <row r="677" spans="1:26">
      <c r="A677">
        <v>6058101</v>
      </c>
      <c r="B677" t="s">
        <v>675</v>
      </c>
      <c r="C677">
        <v>1</v>
      </c>
      <c r="D677">
        <v>1001</v>
      </c>
      <c r="E677">
        <v>350</v>
      </c>
      <c r="F677">
        <v>10000</v>
      </c>
      <c r="G677">
        <v>0</v>
      </c>
      <c r="H677">
        <f t="shared" si="16"/>
        <v>11058101</v>
      </c>
      <c r="I677">
        <v>1000</v>
      </c>
      <c r="J677">
        <v>0</v>
      </c>
      <c r="K677" t="s">
        <v>675</v>
      </c>
      <c r="L677" t="s">
        <v>675</v>
      </c>
      <c r="M677">
        <v>1</v>
      </c>
      <c r="N677">
        <v>0</v>
      </c>
      <c r="O677">
        <v>0</v>
      </c>
      <c r="R677" t="s">
        <v>227</v>
      </c>
      <c r="S677">
        <v>0</v>
      </c>
      <c r="T677">
        <v>0</v>
      </c>
      <c r="U677">
        <v>0</v>
      </c>
      <c r="V677">
        <v>1013</v>
      </c>
      <c r="W677">
        <v>700</v>
      </c>
      <c r="X677">
        <v>1058001</v>
      </c>
      <c r="Y677">
        <v>400</v>
      </c>
      <c r="Z677">
        <v>350</v>
      </c>
    </row>
    <row r="678" spans="1:26">
      <c r="A678">
        <v>6058102</v>
      </c>
      <c r="B678" t="s">
        <v>676</v>
      </c>
      <c r="C678">
        <v>2</v>
      </c>
      <c r="D678">
        <v>2001</v>
      </c>
      <c r="E678">
        <v>350</v>
      </c>
      <c r="F678">
        <v>42000</v>
      </c>
      <c r="G678">
        <v>500</v>
      </c>
      <c r="H678">
        <f t="shared" si="16"/>
        <v>11058102</v>
      </c>
      <c r="I678">
        <v>9000</v>
      </c>
      <c r="J678">
        <v>1058002</v>
      </c>
      <c r="K678" t="s">
        <v>678</v>
      </c>
      <c r="L678" t="s">
        <v>676</v>
      </c>
      <c r="M678">
        <v>1</v>
      </c>
      <c r="N678">
        <v>0</v>
      </c>
      <c r="O678">
        <v>0</v>
      </c>
      <c r="R678" t="s">
        <v>60</v>
      </c>
      <c r="S678">
        <v>0</v>
      </c>
      <c r="T678">
        <v>1058002</v>
      </c>
      <c r="U678">
        <v>400</v>
      </c>
      <c r="V678">
        <v>1013</v>
      </c>
      <c r="W678">
        <v>2000</v>
      </c>
      <c r="X678">
        <v>0</v>
      </c>
      <c r="Y678">
        <v>0</v>
      </c>
      <c r="Z678">
        <v>0</v>
      </c>
    </row>
    <row r="679" spans="1:26">
      <c r="A679">
        <v>6058201</v>
      </c>
      <c r="B679" t="s">
        <v>681</v>
      </c>
      <c r="C679">
        <v>1</v>
      </c>
      <c r="D679">
        <v>1001</v>
      </c>
      <c r="E679">
        <v>350</v>
      </c>
      <c r="F679">
        <v>10000</v>
      </c>
      <c r="G679">
        <v>0</v>
      </c>
      <c r="H679">
        <f t="shared" si="16"/>
        <v>11058201</v>
      </c>
      <c r="I679">
        <v>1000</v>
      </c>
      <c r="J679">
        <v>0</v>
      </c>
      <c r="K679" t="s">
        <v>681</v>
      </c>
      <c r="L679" t="s">
        <v>681</v>
      </c>
      <c r="M679">
        <v>1</v>
      </c>
      <c r="N679">
        <v>0</v>
      </c>
      <c r="O679">
        <v>0</v>
      </c>
      <c r="R679" t="s">
        <v>227</v>
      </c>
      <c r="S679">
        <v>0</v>
      </c>
      <c r="T679">
        <v>0</v>
      </c>
      <c r="U679">
        <v>0</v>
      </c>
      <c r="V679">
        <v>1013</v>
      </c>
      <c r="W679">
        <v>700</v>
      </c>
      <c r="X679">
        <v>1058001</v>
      </c>
      <c r="Y679">
        <v>400</v>
      </c>
      <c r="Z679">
        <v>350</v>
      </c>
    </row>
    <row r="680" spans="1:26">
      <c r="A680">
        <v>6058202</v>
      </c>
      <c r="B680" t="s">
        <v>682</v>
      </c>
      <c r="C680">
        <v>2</v>
      </c>
      <c r="D680">
        <v>2001</v>
      </c>
      <c r="E680">
        <v>350</v>
      </c>
      <c r="F680">
        <v>14000</v>
      </c>
      <c r="G680">
        <v>500</v>
      </c>
      <c r="H680">
        <f t="shared" si="16"/>
        <v>11058202</v>
      </c>
      <c r="I680">
        <v>9000</v>
      </c>
      <c r="J680">
        <v>1058202</v>
      </c>
      <c r="K680" t="s">
        <v>684</v>
      </c>
      <c r="L680" t="s">
        <v>682</v>
      </c>
      <c r="M680">
        <v>1</v>
      </c>
      <c r="N680">
        <v>0</v>
      </c>
      <c r="O680">
        <v>0</v>
      </c>
      <c r="R680" t="s">
        <v>60</v>
      </c>
      <c r="S680">
        <v>0</v>
      </c>
      <c r="T680">
        <v>1058202</v>
      </c>
      <c r="U680">
        <v>700</v>
      </c>
      <c r="V680">
        <v>1013</v>
      </c>
      <c r="W680" t="s">
        <v>686</v>
      </c>
      <c r="X680">
        <v>0</v>
      </c>
      <c r="Y680">
        <v>0</v>
      </c>
      <c r="Z680">
        <v>0</v>
      </c>
    </row>
    <row r="681" spans="1:26">
      <c r="A681">
        <v>6059001</v>
      </c>
      <c r="B681" t="s">
        <v>687</v>
      </c>
      <c r="C681">
        <v>1</v>
      </c>
      <c r="D681">
        <v>1001</v>
      </c>
      <c r="E681">
        <v>350</v>
      </c>
      <c r="F681">
        <v>10000</v>
      </c>
      <c r="G681">
        <v>0</v>
      </c>
      <c r="H681">
        <f t="shared" si="16"/>
        <v>11059001</v>
      </c>
      <c r="I681">
        <v>1000</v>
      </c>
      <c r="J681">
        <v>0</v>
      </c>
      <c r="K681" t="s">
        <v>687</v>
      </c>
      <c r="L681" t="s">
        <v>687</v>
      </c>
      <c r="M681">
        <v>1</v>
      </c>
      <c r="N681">
        <v>0</v>
      </c>
      <c r="O681">
        <v>0</v>
      </c>
      <c r="R681" t="s">
        <v>227</v>
      </c>
      <c r="S681">
        <v>0</v>
      </c>
      <c r="T681">
        <v>0</v>
      </c>
      <c r="U681">
        <v>0</v>
      </c>
      <c r="V681">
        <v>1011</v>
      </c>
      <c r="W681">
        <v>600</v>
      </c>
      <c r="X681">
        <v>1059001</v>
      </c>
      <c r="Y681">
        <v>300</v>
      </c>
      <c r="Z681">
        <v>350</v>
      </c>
    </row>
    <row r="682" spans="1:26">
      <c r="A682">
        <v>6059002</v>
      </c>
      <c r="B682" t="s">
        <v>688</v>
      </c>
      <c r="C682">
        <v>2</v>
      </c>
      <c r="D682">
        <v>2001</v>
      </c>
      <c r="E682">
        <v>350</v>
      </c>
      <c r="F682">
        <v>3500</v>
      </c>
      <c r="G682">
        <v>500</v>
      </c>
      <c r="H682">
        <f t="shared" si="16"/>
        <v>11059002</v>
      </c>
      <c r="I682">
        <v>7000</v>
      </c>
      <c r="J682">
        <v>1059002</v>
      </c>
      <c r="K682" t="s">
        <v>690</v>
      </c>
      <c r="L682" t="s">
        <v>688</v>
      </c>
      <c r="M682">
        <v>1</v>
      </c>
      <c r="N682">
        <v>0</v>
      </c>
      <c r="O682">
        <v>0</v>
      </c>
      <c r="R682" t="s">
        <v>60</v>
      </c>
      <c r="S682">
        <v>0</v>
      </c>
      <c r="T682">
        <v>1059002</v>
      </c>
      <c r="U682">
        <v>1400</v>
      </c>
      <c r="V682">
        <v>1011</v>
      </c>
      <c r="W682" t="s">
        <v>975</v>
      </c>
      <c r="X682">
        <v>0</v>
      </c>
      <c r="Y682">
        <v>0</v>
      </c>
      <c r="Z682">
        <v>0</v>
      </c>
    </row>
    <row r="683" spans="1:26">
      <c r="A683">
        <v>6059101</v>
      </c>
      <c r="B683" t="s">
        <v>692</v>
      </c>
      <c r="C683">
        <v>1</v>
      </c>
      <c r="D683">
        <v>1001</v>
      </c>
      <c r="E683">
        <v>350</v>
      </c>
      <c r="F683">
        <v>11000</v>
      </c>
      <c r="G683">
        <v>0</v>
      </c>
      <c r="H683">
        <f t="shared" si="16"/>
        <v>11059101</v>
      </c>
      <c r="I683">
        <v>1000</v>
      </c>
      <c r="J683">
        <v>0</v>
      </c>
      <c r="K683" t="s">
        <v>692</v>
      </c>
      <c r="L683" t="s">
        <v>692</v>
      </c>
      <c r="M683">
        <v>1</v>
      </c>
      <c r="N683">
        <v>0</v>
      </c>
      <c r="O683">
        <v>0</v>
      </c>
      <c r="R683" t="s">
        <v>227</v>
      </c>
      <c r="S683">
        <v>0</v>
      </c>
      <c r="T683">
        <v>0</v>
      </c>
      <c r="U683">
        <v>0</v>
      </c>
      <c r="V683">
        <v>1011</v>
      </c>
      <c r="W683">
        <v>700</v>
      </c>
      <c r="X683">
        <v>1059001</v>
      </c>
      <c r="Y683">
        <v>400</v>
      </c>
      <c r="Z683">
        <v>350</v>
      </c>
    </row>
    <row r="684" spans="1:26">
      <c r="A684">
        <v>6059102</v>
      </c>
      <c r="B684" t="s">
        <v>693</v>
      </c>
      <c r="C684">
        <v>2</v>
      </c>
      <c r="D684">
        <v>2001</v>
      </c>
      <c r="E684">
        <v>350</v>
      </c>
      <c r="F684">
        <v>6000</v>
      </c>
      <c r="G684">
        <v>500</v>
      </c>
      <c r="H684">
        <f t="shared" si="16"/>
        <v>11059102</v>
      </c>
      <c r="I684">
        <v>7000</v>
      </c>
      <c r="J684">
        <v>1059002</v>
      </c>
      <c r="K684" t="s">
        <v>695</v>
      </c>
      <c r="L684" t="s">
        <v>693</v>
      </c>
      <c r="M684">
        <v>1</v>
      </c>
      <c r="N684">
        <v>0</v>
      </c>
      <c r="O684">
        <v>0</v>
      </c>
      <c r="R684" t="s">
        <v>60</v>
      </c>
      <c r="S684">
        <v>0</v>
      </c>
      <c r="T684">
        <v>1059002</v>
      </c>
      <c r="U684">
        <v>800</v>
      </c>
      <c r="V684">
        <v>1011</v>
      </c>
      <c r="W684" t="s">
        <v>975</v>
      </c>
      <c r="X684">
        <v>0</v>
      </c>
      <c r="Y684">
        <v>0</v>
      </c>
      <c r="Z684">
        <v>0</v>
      </c>
    </row>
    <row r="685" spans="1:26">
      <c r="A685">
        <v>6060001</v>
      </c>
      <c r="B685" t="s">
        <v>698</v>
      </c>
      <c r="C685">
        <v>1</v>
      </c>
      <c r="D685">
        <v>1001</v>
      </c>
      <c r="E685">
        <v>350</v>
      </c>
      <c r="F685">
        <v>10000</v>
      </c>
      <c r="G685">
        <v>0</v>
      </c>
      <c r="H685">
        <f t="shared" si="16"/>
        <v>11060001</v>
      </c>
      <c r="I685">
        <v>1000</v>
      </c>
      <c r="J685">
        <v>0</v>
      </c>
      <c r="K685" t="s">
        <v>698</v>
      </c>
      <c r="L685" t="s">
        <v>698</v>
      </c>
      <c r="M685">
        <v>1</v>
      </c>
      <c r="N685">
        <v>0</v>
      </c>
      <c r="O685">
        <v>0</v>
      </c>
      <c r="R685" t="s">
        <v>227</v>
      </c>
      <c r="S685">
        <v>0</v>
      </c>
      <c r="T685">
        <v>0</v>
      </c>
      <c r="U685">
        <v>0</v>
      </c>
      <c r="V685">
        <v>1011</v>
      </c>
      <c r="W685">
        <v>700</v>
      </c>
      <c r="X685">
        <v>1060001</v>
      </c>
      <c r="Y685">
        <v>400</v>
      </c>
      <c r="Z685">
        <v>350</v>
      </c>
    </row>
    <row r="686" spans="1:26">
      <c r="A686">
        <v>6060002</v>
      </c>
      <c r="B686" t="s">
        <v>699</v>
      </c>
      <c r="C686">
        <v>2</v>
      </c>
      <c r="D686">
        <v>2001</v>
      </c>
      <c r="E686">
        <v>350</v>
      </c>
      <c r="F686">
        <v>4300</v>
      </c>
      <c r="G686">
        <v>500</v>
      </c>
      <c r="H686">
        <f t="shared" si="16"/>
        <v>11060002</v>
      </c>
      <c r="I686">
        <v>18000</v>
      </c>
      <c r="J686">
        <v>1060002</v>
      </c>
      <c r="K686" t="s">
        <v>701</v>
      </c>
      <c r="L686" t="s">
        <v>699</v>
      </c>
      <c r="M686">
        <v>1</v>
      </c>
      <c r="N686">
        <v>0</v>
      </c>
      <c r="O686">
        <v>0</v>
      </c>
      <c r="R686" t="s">
        <v>60</v>
      </c>
      <c r="S686">
        <v>0</v>
      </c>
      <c r="T686">
        <v>1060002</v>
      </c>
      <c r="U686">
        <v>1400</v>
      </c>
      <c r="V686">
        <v>1011</v>
      </c>
      <c r="W686" t="s">
        <v>976</v>
      </c>
      <c r="X686">
        <v>0</v>
      </c>
      <c r="Y686">
        <v>0</v>
      </c>
      <c r="Z686">
        <v>0</v>
      </c>
    </row>
    <row r="687" spans="1:26">
      <c r="A687">
        <v>6060101</v>
      </c>
      <c r="B687" t="s">
        <v>704</v>
      </c>
      <c r="C687">
        <v>1</v>
      </c>
      <c r="D687">
        <v>1001</v>
      </c>
      <c r="E687">
        <v>350</v>
      </c>
      <c r="F687">
        <v>10000</v>
      </c>
      <c r="G687">
        <v>0</v>
      </c>
      <c r="H687">
        <f t="shared" si="16"/>
        <v>11060101</v>
      </c>
      <c r="I687">
        <v>1000</v>
      </c>
      <c r="J687">
        <v>0</v>
      </c>
      <c r="K687" t="s">
        <v>704</v>
      </c>
      <c r="L687" t="s">
        <v>704</v>
      </c>
      <c r="M687">
        <v>1</v>
      </c>
      <c r="N687">
        <v>0</v>
      </c>
      <c r="O687">
        <v>0</v>
      </c>
      <c r="R687" t="s">
        <v>227</v>
      </c>
      <c r="S687">
        <v>0</v>
      </c>
      <c r="T687">
        <v>0</v>
      </c>
      <c r="U687">
        <v>0</v>
      </c>
      <c r="V687">
        <v>1011</v>
      </c>
      <c r="W687">
        <v>700</v>
      </c>
      <c r="X687">
        <v>1060001</v>
      </c>
      <c r="Y687">
        <v>400</v>
      </c>
      <c r="Z687">
        <v>350</v>
      </c>
    </row>
    <row r="688" spans="1:26">
      <c r="A688">
        <v>6060102</v>
      </c>
      <c r="B688" t="s">
        <v>705</v>
      </c>
      <c r="C688">
        <v>2</v>
      </c>
      <c r="D688">
        <v>2001</v>
      </c>
      <c r="E688">
        <v>350</v>
      </c>
      <c r="F688">
        <v>8500</v>
      </c>
      <c r="G688">
        <v>500</v>
      </c>
      <c r="H688">
        <f t="shared" si="16"/>
        <v>11060102</v>
      </c>
      <c r="I688">
        <v>18000</v>
      </c>
      <c r="J688">
        <v>1060002</v>
      </c>
      <c r="K688" t="s">
        <v>707</v>
      </c>
      <c r="L688" t="s">
        <v>705</v>
      </c>
      <c r="M688">
        <v>1</v>
      </c>
      <c r="N688">
        <v>0</v>
      </c>
      <c r="O688">
        <v>0</v>
      </c>
      <c r="R688" t="s">
        <v>60</v>
      </c>
      <c r="S688">
        <v>0</v>
      </c>
      <c r="T688">
        <v>1060002</v>
      </c>
      <c r="U688">
        <v>1400</v>
      </c>
      <c r="V688">
        <v>1011</v>
      </c>
      <c r="W688" t="s">
        <v>976</v>
      </c>
      <c r="X688">
        <v>0</v>
      </c>
      <c r="Y688">
        <v>0</v>
      </c>
      <c r="Z688">
        <v>0</v>
      </c>
    </row>
    <row r="689" spans="1:26">
      <c r="A689">
        <v>6062001</v>
      </c>
      <c r="B689" t="s">
        <v>710</v>
      </c>
      <c r="C689">
        <v>1</v>
      </c>
      <c r="D689">
        <v>1001</v>
      </c>
      <c r="E689">
        <v>350</v>
      </c>
      <c r="F689">
        <v>10000</v>
      </c>
      <c r="G689">
        <v>0</v>
      </c>
      <c r="H689">
        <f t="shared" si="16"/>
        <v>11062001</v>
      </c>
      <c r="I689">
        <v>1000</v>
      </c>
      <c r="J689">
        <v>0</v>
      </c>
      <c r="K689" t="s">
        <v>710</v>
      </c>
      <c r="L689" t="s">
        <v>710</v>
      </c>
      <c r="M689">
        <v>1</v>
      </c>
      <c r="N689">
        <v>0</v>
      </c>
      <c r="O689">
        <v>0</v>
      </c>
      <c r="R689" t="s">
        <v>227</v>
      </c>
      <c r="S689">
        <v>0</v>
      </c>
      <c r="T689">
        <v>0</v>
      </c>
      <c r="U689">
        <v>0</v>
      </c>
      <c r="V689">
        <v>1011</v>
      </c>
      <c r="W689">
        <v>700</v>
      </c>
      <c r="X689">
        <v>1060001</v>
      </c>
      <c r="Y689">
        <v>400</v>
      </c>
      <c r="Z689">
        <v>350</v>
      </c>
    </row>
    <row r="690" spans="1:26">
      <c r="A690">
        <v>6062002</v>
      </c>
      <c r="B690" t="s">
        <v>711</v>
      </c>
      <c r="C690">
        <v>2</v>
      </c>
      <c r="D690">
        <v>2001</v>
      </c>
      <c r="E690">
        <v>350</v>
      </c>
      <c r="F690">
        <v>10500</v>
      </c>
      <c r="G690">
        <v>500</v>
      </c>
      <c r="H690">
        <f t="shared" si="16"/>
        <v>11062002</v>
      </c>
      <c r="I690">
        <v>18000</v>
      </c>
      <c r="J690">
        <v>1062002</v>
      </c>
      <c r="K690" t="s">
        <v>713</v>
      </c>
      <c r="L690" t="s">
        <v>711</v>
      </c>
      <c r="M690">
        <v>1</v>
      </c>
      <c r="N690">
        <v>0</v>
      </c>
      <c r="O690">
        <v>0</v>
      </c>
      <c r="R690" t="s">
        <v>60</v>
      </c>
      <c r="S690">
        <v>0</v>
      </c>
      <c r="T690">
        <v>1062002</v>
      </c>
      <c r="U690">
        <v>1000</v>
      </c>
      <c r="V690">
        <v>1011</v>
      </c>
      <c r="W690" t="s">
        <v>715</v>
      </c>
      <c r="X690">
        <v>0</v>
      </c>
      <c r="Y690">
        <v>0</v>
      </c>
      <c r="Z690">
        <v>0</v>
      </c>
    </row>
    <row r="691" spans="1:26">
      <c r="A691">
        <v>6062101</v>
      </c>
      <c r="B691" t="s">
        <v>716</v>
      </c>
      <c r="C691">
        <v>1</v>
      </c>
      <c r="D691">
        <v>1001</v>
      </c>
      <c r="E691">
        <v>350</v>
      </c>
      <c r="F691">
        <v>10000</v>
      </c>
      <c r="G691">
        <v>0</v>
      </c>
      <c r="H691">
        <f t="shared" si="16"/>
        <v>11062101</v>
      </c>
      <c r="I691">
        <v>1000</v>
      </c>
      <c r="J691">
        <v>0</v>
      </c>
      <c r="K691" t="s">
        <v>716</v>
      </c>
      <c r="L691" t="s">
        <v>716</v>
      </c>
      <c r="M691">
        <v>1</v>
      </c>
      <c r="N691">
        <v>0</v>
      </c>
      <c r="O691">
        <v>0</v>
      </c>
      <c r="R691" t="s">
        <v>227</v>
      </c>
      <c r="S691">
        <v>0</v>
      </c>
      <c r="T691">
        <v>0</v>
      </c>
      <c r="U691">
        <v>0</v>
      </c>
      <c r="V691">
        <v>1011</v>
      </c>
      <c r="W691">
        <v>700</v>
      </c>
      <c r="X691">
        <v>1060001</v>
      </c>
      <c r="Y691">
        <v>400</v>
      </c>
      <c r="Z691">
        <v>350</v>
      </c>
    </row>
    <row r="692" spans="1:26">
      <c r="A692">
        <v>6062102</v>
      </c>
      <c r="B692" t="s">
        <v>717</v>
      </c>
      <c r="C692">
        <v>2</v>
      </c>
      <c r="D692">
        <v>2001</v>
      </c>
      <c r="E692">
        <v>350</v>
      </c>
      <c r="F692">
        <v>21000</v>
      </c>
      <c r="G692">
        <v>500</v>
      </c>
      <c r="H692">
        <f t="shared" si="16"/>
        <v>11062102</v>
      </c>
      <c r="I692">
        <v>18000</v>
      </c>
      <c r="J692">
        <v>1062002</v>
      </c>
      <c r="K692" t="s">
        <v>719</v>
      </c>
      <c r="L692" t="s">
        <v>717</v>
      </c>
      <c r="M692">
        <v>1</v>
      </c>
      <c r="N692">
        <v>0</v>
      </c>
      <c r="O692">
        <v>0</v>
      </c>
      <c r="R692" t="s">
        <v>60</v>
      </c>
      <c r="S692">
        <v>0</v>
      </c>
      <c r="T692">
        <v>1062002</v>
      </c>
      <c r="U692">
        <v>1000</v>
      </c>
      <c r="V692">
        <v>1011</v>
      </c>
      <c r="W692" t="s">
        <v>715</v>
      </c>
      <c r="X692">
        <v>0</v>
      </c>
      <c r="Y692">
        <v>0</v>
      </c>
      <c r="Z692">
        <v>0</v>
      </c>
    </row>
  </sheetData>
  <conditionalFormatting sqref="T9">
    <cfRule type="duplicateValues" dxfId="0" priority="471"/>
  </conditionalFormatting>
  <conditionalFormatting sqref="A18">
    <cfRule type="duplicateValues" dxfId="0" priority="160"/>
  </conditionalFormatting>
  <conditionalFormatting sqref="H18">
    <cfRule type="duplicateValues" dxfId="0" priority="158"/>
  </conditionalFormatting>
  <conditionalFormatting sqref="X18">
    <cfRule type="duplicateValues" dxfId="0" priority="154"/>
  </conditionalFormatting>
  <conditionalFormatting sqref="T19">
    <cfRule type="duplicateValues" dxfId="0" priority="151"/>
  </conditionalFormatting>
  <conditionalFormatting sqref="A20">
    <cfRule type="duplicateValues" dxfId="0" priority="51"/>
  </conditionalFormatting>
  <conditionalFormatting sqref="H20">
    <cfRule type="duplicateValues" dxfId="0" priority="49"/>
  </conditionalFormatting>
  <conditionalFormatting sqref="K20">
    <cfRule type="duplicateValues" dxfId="0" priority="40"/>
  </conditionalFormatting>
  <conditionalFormatting sqref="L20">
    <cfRule type="duplicateValues" dxfId="0" priority="38"/>
  </conditionalFormatting>
  <conditionalFormatting sqref="X20">
    <cfRule type="duplicateValues" dxfId="0" priority="45"/>
  </conditionalFormatting>
  <conditionalFormatting sqref="L21">
    <cfRule type="duplicateValues" dxfId="0" priority="36"/>
  </conditionalFormatting>
  <conditionalFormatting sqref="T21">
    <cfRule type="duplicateValues" dxfId="0" priority="42"/>
  </conditionalFormatting>
  <conditionalFormatting sqref="X46">
    <cfRule type="duplicateValues" dxfId="0" priority="230"/>
  </conditionalFormatting>
  <conditionalFormatting sqref="T47">
    <cfRule type="duplicateValues" dxfId="0" priority="228"/>
  </conditionalFormatting>
  <conditionalFormatting sqref="X48">
    <cfRule type="duplicateValues" dxfId="0" priority="229"/>
  </conditionalFormatting>
  <conditionalFormatting sqref="T49">
    <cfRule type="duplicateValues" dxfId="0" priority="227"/>
  </conditionalFormatting>
  <conditionalFormatting sqref="X58">
    <cfRule type="duplicateValues" dxfId="0" priority="219"/>
  </conditionalFormatting>
  <conditionalFormatting sqref="T59">
    <cfRule type="duplicateValues" dxfId="0" priority="213"/>
  </conditionalFormatting>
  <conditionalFormatting sqref="X60">
    <cfRule type="duplicateValues" dxfId="0" priority="216"/>
  </conditionalFormatting>
  <conditionalFormatting sqref="T61">
    <cfRule type="duplicateValues" dxfId="0" priority="210"/>
  </conditionalFormatting>
  <conditionalFormatting sqref="A73">
    <cfRule type="duplicateValues" dxfId="0" priority="139"/>
  </conditionalFormatting>
  <conditionalFormatting sqref="B73">
    <cfRule type="duplicateValues" dxfId="0" priority="137"/>
  </conditionalFormatting>
  <conditionalFormatting sqref="H74">
    <cfRule type="duplicateValues" dxfId="0" priority="141"/>
  </conditionalFormatting>
  <conditionalFormatting sqref="A77">
    <cfRule type="duplicateValues" dxfId="0" priority="461"/>
  </conditionalFormatting>
  <conditionalFormatting sqref="B77">
    <cfRule type="duplicateValues" dxfId="0" priority="459"/>
  </conditionalFormatting>
  <conditionalFormatting sqref="H78">
    <cfRule type="duplicateValues" dxfId="0" priority="469"/>
  </conditionalFormatting>
  <conditionalFormatting sqref="K84">
    <cfRule type="duplicateValues" dxfId="0" priority="24"/>
  </conditionalFormatting>
  <conditionalFormatting sqref="J85">
    <cfRule type="duplicateValues" dxfId="0" priority="4"/>
  </conditionalFormatting>
  <conditionalFormatting sqref="J87">
    <cfRule type="duplicateValues" dxfId="0" priority="1"/>
  </conditionalFormatting>
  <conditionalFormatting sqref="H104">
    <cfRule type="duplicateValues" dxfId="0" priority="467"/>
  </conditionalFormatting>
  <conditionalFormatting sqref="H106">
    <cfRule type="duplicateValues" dxfId="0" priority="301"/>
  </conditionalFormatting>
  <conditionalFormatting sqref="H111">
    <cfRule type="duplicateValues" dxfId="0" priority="465"/>
  </conditionalFormatting>
  <conditionalFormatting sqref="A112">
    <cfRule type="duplicateValues" dxfId="0" priority="110"/>
  </conditionalFormatting>
  <conditionalFormatting sqref="A113">
    <cfRule type="duplicateValues" dxfId="0" priority="114"/>
  </conditionalFormatting>
  <conditionalFormatting sqref="H113">
    <cfRule type="duplicateValues" dxfId="0" priority="112"/>
  </conditionalFormatting>
  <conditionalFormatting sqref="J113">
    <cfRule type="duplicateValues" dxfId="0" priority="19"/>
  </conditionalFormatting>
  <conditionalFormatting sqref="A114">
    <cfRule type="duplicateValues" dxfId="0" priority="103"/>
  </conditionalFormatting>
  <conditionalFormatting sqref="X114">
    <cfRule type="duplicateValues" dxfId="0" priority="95"/>
  </conditionalFormatting>
  <conditionalFormatting sqref="H115">
    <cfRule type="duplicateValues" dxfId="0" priority="105"/>
  </conditionalFormatting>
  <conditionalFormatting sqref="J115">
    <cfRule type="duplicateValues" dxfId="0" priority="16"/>
  </conditionalFormatting>
  <conditionalFormatting sqref="T115">
    <cfRule type="duplicateValues" dxfId="0" priority="89"/>
  </conditionalFormatting>
  <conditionalFormatting sqref="X116">
    <cfRule type="duplicateValues" dxfId="0" priority="92"/>
  </conditionalFormatting>
  <conditionalFormatting sqref="A117">
    <cfRule type="duplicateValues" dxfId="0" priority="101"/>
  </conditionalFormatting>
  <conditionalFormatting sqref="H117">
    <cfRule type="duplicateValues" dxfId="0" priority="99"/>
  </conditionalFormatting>
  <conditionalFormatting sqref="J117">
    <cfRule type="duplicateValues" dxfId="0" priority="13"/>
  </conditionalFormatting>
  <conditionalFormatting sqref="T117">
    <cfRule type="duplicateValues" dxfId="0" priority="86"/>
  </conditionalFormatting>
  <conditionalFormatting sqref="H119">
    <cfRule type="duplicateValues" dxfId="0" priority="425"/>
  </conditionalFormatting>
  <conditionalFormatting sqref="H123">
    <cfRule type="duplicateValues" dxfId="0" priority="393"/>
  </conditionalFormatting>
  <conditionalFormatting sqref="A124">
    <cfRule type="duplicateValues" dxfId="0" priority="331"/>
  </conditionalFormatting>
  <conditionalFormatting sqref="A125">
    <cfRule type="duplicateValues" dxfId="0" priority="329"/>
  </conditionalFormatting>
  <conditionalFormatting sqref="H125">
    <cfRule type="duplicateValues" dxfId="0" priority="327"/>
  </conditionalFormatting>
  <conditionalFormatting sqref="A126">
    <cfRule type="duplicateValues" dxfId="0" priority="315"/>
  </conditionalFormatting>
  <conditionalFormatting sqref="A127">
    <cfRule type="duplicateValues" dxfId="0" priority="313"/>
  </conditionalFormatting>
  <conditionalFormatting sqref="H127">
    <cfRule type="duplicateValues" dxfId="0" priority="311"/>
  </conditionalFormatting>
  <conditionalFormatting sqref="H131">
    <cfRule type="duplicateValues" dxfId="0" priority="389"/>
  </conditionalFormatting>
  <conditionalFormatting sqref="H133">
    <cfRule type="duplicateValues" dxfId="0" priority="417"/>
  </conditionalFormatting>
  <conditionalFormatting sqref="H135">
    <cfRule type="duplicateValues" dxfId="0" priority="413"/>
  </conditionalFormatting>
  <conditionalFormatting sqref="A136">
    <cfRule type="duplicateValues" dxfId="0" priority="255"/>
  </conditionalFormatting>
  <conditionalFormatting sqref="H137">
    <cfRule type="duplicateValues" dxfId="0" priority="251"/>
  </conditionalFormatting>
  <conditionalFormatting sqref="A139">
    <cfRule type="duplicateValues" dxfId="0" priority="257"/>
  </conditionalFormatting>
  <conditionalFormatting sqref="H139">
    <cfRule type="duplicateValues" dxfId="0" priority="249"/>
  </conditionalFormatting>
  <conditionalFormatting sqref="H141">
    <cfRule type="duplicateValues" dxfId="0" priority="409"/>
  </conditionalFormatting>
  <conditionalFormatting sqref="H143">
    <cfRule type="duplicateValues" dxfId="0" priority="407"/>
  </conditionalFormatting>
  <conditionalFormatting sqref="A144">
    <cfRule type="duplicateValues" dxfId="0" priority="299"/>
  </conditionalFormatting>
  <conditionalFormatting sqref="A145">
    <cfRule type="duplicateValues" dxfId="0" priority="297"/>
  </conditionalFormatting>
  <conditionalFormatting sqref="H145">
    <cfRule type="duplicateValues" dxfId="0" priority="295"/>
  </conditionalFormatting>
  <conditionalFormatting sqref="A146">
    <cfRule type="duplicateValues" dxfId="0" priority="246"/>
  </conditionalFormatting>
  <conditionalFormatting sqref="A147">
    <cfRule type="duplicateValues" dxfId="0" priority="244"/>
  </conditionalFormatting>
  <conditionalFormatting sqref="H147">
    <cfRule type="duplicateValues" dxfId="0" priority="242"/>
  </conditionalFormatting>
  <conditionalFormatting sqref="B150">
    <cfRule type="duplicateValues" dxfId="0" priority="405"/>
  </conditionalFormatting>
  <conditionalFormatting sqref="A152">
    <cfRule type="duplicateValues" dxfId="0" priority="206"/>
  </conditionalFormatting>
  <conditionalFormatting sqref="X152">
    <cfRule type="duplicateValues" dxfId="0" priority="196"/>
  </conditionalFormatting>
  <conditionalFormatting sqref="H153">
    <cfRule type="duplicateValues" dxfId="0" priority="202"/>
  </conditionalFormatting>
  <conditionalFormatting sqref="T153">
    <cfRule type="duplicateValues" dxfId="0" priority="190"/>
  </conditionalFormatting>
  <conditionalFormatting sqref="X154">
    <cfRule type="duplicateValues" dxfId="0" priority="193"/>
  </conditionalFormatting>
  <conditionalFormatting sqref="A155">
    <cfRule type="duplicateValues" dxfId="0" priority="208"/>
  </conditionalFormatting>
  <conditionalFormatting sqref="H155">
    <cfRule type="duplicateValues" dxfId="0" priority="200"/>
  </conditionalFormatting>
  <conditionalFormatting sqref="T155">
    <cfRule type="duplicateValues" dxfId="0" priority="187"/>
  </conditionalFormatting>
  <conditionalFormatting sqref="A156">
    <cfRule type="duplicateValues" dxfId="0" priority="82"/>
  </conditionalFormatting>
  <conditionalFormatting sqref="X156">
    <cfRule type="duplicateValues" dxfId="0" priority="76"/>
  </conditionalFormatting>
  <conditionalFormatting sqref="A157">
    <cfRule type="duplicateValues" dxfId="0" priority="84"/>
  </conditionalFormatting>
  <conditionalFormatting sqref="H157">
    <cfRule type="duplicateValues" dxfId="0" priority="80"/>
  </conditionalFormatting>
  <conditionalFormatting sqref="J157">
    <cfRule type="duplicateValues" dxfId="0" priority="10"/>
  </conditionalFormatting>
  <conditionalFormatting sqref="T157">
    <cfRule type="duplicateValues" dxfId="0" priority="73"/>
  </conditionalFormatting>
  <conditionalFormatting sqref="A158">
    <cfRule type="duplicateValues" dxfId="0" priority="323"/>
  </conditionalFormatting>
  <conditionalFormatting sqref="H159">
    <cfRule type="duplicateValues" dxfId="0" priority="319"/>
  </conditionalFormatting>
  <conditionalFormatting sqref="A161">
    <cfRule type="duplicateValues" dxfId="0" priority="325"/>
  </conditionalFormatting>
  <conditionalFormatting sqref="H161">
    <cfRule type="duplicateValues" dxfId="0" priority="317"/>
  </conditionalFormatting>
  <conditionalFormatting sqref="A162">
    <cfRule type="duplicateValues" dxfId="0" priority="129"/>
  </conditionalFormatting>
  <conditionalFormatting sqref="A163">
    <cfRule type="duplicateValues" dxfId="0" priority="131"/>
  </conditionalFormatting>
  <conditionalFormatting sqref="H163">
    <cfRule type="duplicateValues" dxfId="0" priority="127"/>
  </conditionalFormatting>
  <conditionalFormatting sqref="A164">
    <cfRule type="duplicateValues" dxfId="0" priority="183"/>
  </conditionalFormatting>
  <conditionalFormatting sqref="X164">
    <cfRule type="duplicateValues" dxfId="0" priority="173"/>
  </conditionalFormatting>
  <conditionalFormatting sqref="H165">
    <cfRule type="duplicateValues" dxfId="0" priority="179"/>
  </conditionalFormatting>
  <conditionalFormatting sqref="T165">
    <cfRule type="duplicateValues" dxfId="0" priority="167"/>
  </conditionalFormatting>
  <conditionalFormatting sqref="X166">
    <cfRule type="duplicateValues" dxfId="0" priority="170"/>
  </conditionalFormatting>
  <conditionalFormatting sqref="A167">
    <cfRule type="duplicateValues" dxfId="0" priority="185"/>
  </conditionalFormatting>
  <conditionalFormatting sqref="H167">
    <cfRule type="duplicateValues" dxfId="0" priority="177"/>
  </conditionalFormatting>
  <conditionalFormatting sqref="T167">
    <cfRule type="duplicateValues" dxfId="0" priority="164"/>
  </conditionalFormatting>
  <conditionalFormatting sqref="B168">
    <cfRule type="duplicateValues" dxfId="0" priority="403"/>
  </conditionalFormatting>
  <conditionalFormatting sqref="B170">
    <cfRule type="duplicateValues" dxfId="0" priority="401"/>
  </conditionalFormatting>
  <conditionalFormatting sqref="B172">
    <cfRule type="duplicateValues" dxfId="0" priority="399"/>
  </conditionalFormatting>
  <conditionalFormatting sqref="B174">
    <cfRule type="duplicateValues" dxfId="0" priority="385"/>
  </conditionalFormatting>
  <conditionalFormatting sqref="X175">
    <cfRule type="duplicateValues" dxfId="0" priority="398"/>
  </conditionalFormatting>
  <conditionalFormatting sqref="X177">
    <cfRule type="duplicateValues" dxfId="0" priority="364"/>
  </conditionalFormatting>
  <conditionalFormatting sqref="X178">
    <cfRule type="duplicateValues" dxfId="0" priority="235"/>
  </conditionalFormatting>
  <conditionalFormatting sqref="T179">
    <cfRule type="duplicateValues" dxfId="0" priority="232"/>
  </conditionalFormatting>
  <conditionalFormatting sqref="X180">
    <cfRule type="duplicateValues" dxfId="0" priority="58"/>
  </conditionalFormatting>
  <conditionalFormatting sqref="T181">
    <cfRule type="duplicateValues" dxfId="0" priority="55"/>
  </conditionalFormatting>
  <conditionalFormatting sqref="X182">
    <cfRule type="duplicateValues" dxfId="0" priority="67"/>
  </conditionalFormatting>
  <conditionalFormatting sqref="J183">
    <cfRule type="duplicateValues" dxfId="0" priority="7"/>
  </conditionalFormatting>
  <conditionalFormatting sqref="T183">
    <cfRule type="duplicateValues" dxfId="0" priority="64"/>
  </conditionalFormatting>
  <conditionalFormatting sqref="A184">
    <cfRule type="duplicateValues" dxfId="0" priority="343"/>
  </conditionalFormatting>
  <conditionalFormatting sqref="H184">
    <cfRule type="duplicateValues" dxfId="0" priority="341"/>
  </conditionalFormatting>
  <conditionalFormatting sqref="B190">
    <cfRule type="duplicateValues" dxfId="0" priority="360"/>
  </conditionalFormatting>
  <conditionalFormatting sqref="X191">
    <cfRule type="duplicateValues" dxfId="0" priority="357"/>
  </conditionalFormatting>
  <conditionalFormatting sqref="A192:B192">
    <cfRule type="duplicateValues" dxfId="0" priority="124"/>
  </conditionalFormatting>
  <conditionalFormatting sqref="B194">
    <cfRule type="duplicateValues" dxfId="0" priority="120"/>
  </conditionalFormatting>
  <conditionalFormatting sqref="A195:B195">
    <cfRule type="duplicateValues" dxfId="0" priority="118"/>
  </conditionalFormatting>
  <conditionalFormatting sqref="X195">
    <cfRule type="duplicateValues" dxfId="0" priority="117"/>
  </conditionalFormatting>
  <conditionalFormatting sqref="B198">
    <cfRule type="duplicateValues" dxfId="0" priority="353"/>
  </conditionalFormatting>
  <conditionalFormatting sqref="B200">
    <cfRule type="duplicateValues" dxfId="0" priority="381"/>
  </conditionalFormatting>
  <conditionalFormatting sqref="B202">
    <cfRule type="duplicateValues" dxfId="0" priority="377"/>
  </conditionalFormatting>
  <conditionalFormatting sqref="B204">
    <cfRule type="duplicateValues" dxfId="0" priority="373"/>
  </conditionalFormatting>
  <conditionalFormatting sqref="B206">
    <cfRule type="duplicateValues" dxfId="0" priority="369"/>
  </conditionalFormatting>
  <conditionalFormatting sqref="B208">
    <cfRule type="duplicateValues" dxfId="0" priority="349"/>
  </conditionalFormatting>
  <conditionalFormatting sqref="X209">
    <cfRule type="duplicateValues" dxfId="0" priority="397"/>
  </conditionalFormatting>
  <conditionalFormatting sqref="A253">
    <cfRule type="duplicateValues" dxfId="0" priority="449"/>
  </conditionalFormatting>
  <conditionalFormatting sqref="A259">
    <cfRule type="duplicateValues" dxfId="0" priority="447"/>
  </conditionalFormatting>
  <conditionalFormatting sqref="A265">
    <cfRule type="duplicateValues" dxfId="0" priority="445"/>
  </conditionalFormatting>
  <conditionalFormatting sqref="A271">
    <cfRule type="duplicateValues" dxfId="0" priority="443"/>
  </conditionalFormatting>
  <conditionalFormatting sqref="A278">
    <cfRule type="duplicateValues" dxfId="0" priority="441"/>
  </conditionalFormatting>
  <conditionalFormatting sqref="A284">
    <cfRule type="duplicateValues" dxfId="0" priority="439"/>
  </conditionalFormatting>
  <conditionalFormatting sqref="A290">
    <cfRule type="duplicateValues" dxfId="0" priority="437"/>
  </conditionalFormatting>
  <conditionalFormatting sqref="A296">
    <cfRule type="duplicateValues" dxfId="0" priority="435"/>
  </conditionalFormatting>
  <conditionalFormatting sqref="A372">
    <cfRule type="duplicateValues" dxfId="0" priority="283"/>
  </conditionalFormatting>
  <conditionalFormatting sqref="A383">
    <cfRule type="duplicateValues" dxfId="0" priority="277"/>
  </conditionalFormatting>
  <conditionalFormatting sqref="A394">
    <cfRule type="duplicateValues" dxfId="0" priority="271"/>
  </conditionalFormatting>
  <conditionalFormatting sqref="A405">
    <cfRule type="duplicateValues" dxfId="0" priority="265"/>
  </conditionalFormatting>
  <conditionalFormatting sqref="A18:A19">
    <cfRule type="duplicateValues" dxfId="0" priority="157"/>
  </conditionalFormatting>
  <conditionalFormatting sqref="A20:A21">
    <cfRule type="duplicateValues" dxfId="0" priority="48"/>
  </conditionalFormatting>
  <conditionalFormatting sqref="A30:A31">
    <cfRule type="duplicateValues" dxfId="0" priority="148"/>
  </conditionalFormatting>
  <conditionalFormatting sqref="A32:A33">
    <cfRule type="duplicateValues" dxfId="0" priority="262"/>
  </conditionalFormatting>
  <conditionalFormatting sqref="A34:A35">
    <cfRule type="duplicateValues" dxfId="0" priority="259"/>
  </conditionalFormatting>
  <conditionalFormatting sqref="A46:A49">
    <cfRule type="duplicateValues" dxfId="0" priority="231"/>
  </conditionalFormatting>
  <conditionalFormatting sqref="A58:A61">
    <cfRule type="duplicateValues" dxfId="0" priority="222"/>
  </conditionalFormatting>
  <conditionalFormatting sqref="A64:A65">
    <cfRule type="duplicateValues" dxfId="0" priority="145"/>
  </conditionalFormatting>
  <conditionalFormatting sqref="A66:A67">
    <cfRule type="duplicateValues" dxfId="0" priority="335"/>
  </conditionalFormatting>
  <conditionalFormatting sqref="A68:A69">
    <cfRule type="duplicateValues" dxfId="0" priority="453"/>
  </conditionalFormatting>
  <conditionalFormatting sqref="A70:A71">
    <cfRule type="duplicateValues" dxfId="0" priority="347"/>
  </conditionalFormatting>
  <conditionalFormatting sqref="A72:A75">
    <cfRule type="duplicateValues" dxfId="0" priority="136"/>
  </conditionalFormatting>
  <conditionalFormatting sqref="A80:A81">
    <cfRule type="duplicateValues" dxfId="0" priority="133"/>
  </conditionalFormatting>
  <conditionalFormatting sqref="A84:A85">
    <cfRule type="duplicateValues" dxfId="0" priority="30"/>
  </conditionalFormatting>
  <conditionalFormatting sqref="A86:A87">
    <cfRule type="duplicateValues" dxfId="0" priority="33"/>
  </conditionalFormatting>
  <conditionalFormatting sqref="A106:A107">
    <cfRule type="duplicateValues" dxfId="0" priority="303"/>
  </conditionalFormatting>
  <conditionalFormatting sqref="A109:A110">
    <cfRule type="duplicateValues" dxfId="0" priority="367"/>
  </conditionalFormatting>
  <conditionalFormatting sqref="A112:A113">
    <cfRule type="duplicateValues" dxfId="0" priority="109"/>
  </conditionalFormatting>
  <conditionalFormatting sqref="A114:A117">
    <cfRule type="duplicateValues" dxfId="0" priority="98"/>
  </conditionalFormatting>
  <conditionalFormatting sqref="A115:A116">
    <cfRule type="duplicateValues" dxfId="0" priority="107"/>
  </conditionalFormatting>
  <conditionalFormatting sqref="A119:A120">
    <cfRule type="duplicateValues" dxfId="0" priority="478"/>
  </conditionalFormatting>
  <conditionalFormatting sqref="A131:A132">
    <cfRule type="duplicateValues" dxfId="0" priority="391"/>
  </conditionalFormatting>
  <conditionalFormatting sqref="A133:A134">
    <cfRule type="duplicateValues" dxfId="0" priority="419"/>
  </conditionalFormatting>
  <conditionalFormatting sqref="A136:A139">
    <cfRule type="duplicateValues" dxfId="0" priority="248"/>
  </conditionalFormatting>
  <conditionalFormatting sqref="A137:A138">
    <cfRule type="duplicateValues" dxfId="0" priority="253"/>
  </conditionalFormatting>
  <conditionalFormatting sqref="A141:A142">
    <cfRule type="duplicateValues" dxfId="0" priority="411"/>
  </conditionalFormatting>
  <conditionalFormatting sqref="A146:A147">
    <cfRule type="duplicateValues" dxfId="0" priority="241"/>
  </conditionalFormatting>
  <conditionalFormatting sqref="A152:A155">
    <cfRule type="duplicateValues" dxfId="0" priority="199"/>
  </conditionalFormatting>
  <conditionalFormatting sqref="A153:A154">
    <cfRule type="duplicateValues" dxfId="0" priority="204"/>
  </conditionalFormatting>
  <conditionalFormatting sqref="A156:A157">
    <cfRule type="duplicateValues" dxfId="0" priority="79"/>
  </conditionalFormatting>
  <conditionalFormatting sqref="A159:A160">
    <cfRule type="duplicateValues" dxfId="0" priority="321"/>
  </conditionalFormatting>
  <conditionalFormatting sqref="A162:A163">
    <cfRule type="duplicateValues" dxfId="0" priority="126"/>
  </conditionalFormatting>
  <conditionalFormatting sqref="A164:A167">
    <cfRule type="duplicateValues" dxfId="0" priority="176"/>
  </conditionalFormatting>
  <conditionalFormatting sqref="A165:A166">
    <cfRule type="duplicateValues" dxfId="0" priority="181"/>
  </conditionalFormatting>
  <conditionalFormatting sqref="A178:A179">
    <cfRule type="duplicateValues" dxfId="0" priority="238"/>
  </conditionalFormatting>
  <conditionalFormatting sqref="A180:A181">
    <cfRule type="duplicateValues" dxfId="0" priority="61"/>
  </conditionalFormatting>
  <conditionalFormatting sqref="A182:A183">
    <cfRule type="duplicateValues" dxfId="0" priority="70"/>
  </conditionalFormatting>
  <conditionalFormatting sqref="A192:A195">
    <cfRule type="duplicateValues" dxfId="0" priority="116"/>
  </conditionalFormatting>
  <conditionalFormatting sqref="A246:A247">
    <cfRule type="duplicateValues" dxfId="0" priority="451"/>
  </conditionalFormatting>
  <conditionalFormatting sqref="A318:A327">
    <cfRule type="duplicateValues" dxfId="0" priority="484"/>
  </conditionalFormatting>
  <conditionalFormatting sqref="A329:A338">
    <cfRule type="duplicateValues" dxfId="0" priority="486"/>
  </conditionalFormatting>
  <conditionalFormatting sqref="A340:A349">
    <cfRule type="duplicateValues" dxfId="0" priority="488"/>
  </conditionalFormatting>
  <conditionalFormatting sqref="A351:A360">
    <cfRule type="duplicateValues" dxfId="0" priority="490"/>
  </conditionalFormatting>
  <conditionalFormatting sqref="A362:A371">
    <cfRule type="duplicateValues" dxfId="0" priority="492"/>
  </conditionalFormatting>
  <conditionalFormatting sqref="A373:A382">
    <cfRule type="duplicateValues" dxfId="0" priority="285"/>
  </conditionalFormatting>
  <conditionalFormatting sqref="A384:A393">
    <cfRule type="duplicateValues" dxfId="0" priority="279"/>
  </conditionalFormatting>
  <conditionalFormatting sqref="A395:A404">
    <cfRule type="duplicateValues" dxfId="0" priority="273"/>
  </conditionalFormatting>
  <conditionalFormatting sqref="A406:A415">
    <cfRule type="duplicateValues" dxfId="0" priority="267"/>
  </conditionalFormatting>
  <conditionalFormatting sqref="A506:A507">
    <cfRule type="duplicateValues" dxfId="0" priority="499"/>
  </conditionalFormatting>
  <conditionalFormatting sqref="B506:B507">
    <cfRule type="duplicateValues" dxfId="0" priority="501"/>
  </conditionalFormatting>
  <conditionalFormatting sqref="H4:H5">
    <cfRule type="duplicateValues" dxfId="0" priority="427"/>
  </conditionalFormatting>
  <conditionalFormatting sqref="H6:H7">
    <cfRule type="duplicateValues" dxfId="0" priority="429"/>
  </conditionalFormatting>
  <conditionalFormatting sqref="H8:H9">
    <cfRule type="duplicateValues" dxfId="0" priority="431"/>
  </conditionalFormatting>
  <conditionalFormatting sqref="H300:H305">
    <cfRule type="duplicateValues" dxfId="0" priority="293"/>
  </conditionalFormatting>
  <conditionalFormatting sqref="H372:H382">
    <cfRule type="duplicateValues" dxfId="0" priority="287"/>
  </conditionalFormatting>
  <conditionalFormatting sqref="H383:H393">
    <cfRule type="duplicateValues" dxfId="0" priority="281"/>
  </conditionalFormatting>
  <conditionalFormatting sqref="H394:H404">
    <cfRule type="duplicateValues" dxfId="0" priority="275"/>
  </conditionalFormatting>
  <conditionalFormatting sqref="H405:H415">
    <cfRule type="duplicateValues" dxfId="0" priority="269"/>
  </conditionalFormatting>
  <conditionalFormatting sqref="K85:K87">
    <cfRule type="duplicateValues" dxfId="0" priority="22"/>
  </conditionalFormatting>
  <conditionalFormatting sqref="L84:L85">
    <cfRule type="duplicateValues" dxfId="0" priority="26"/>
  </conditionalFormatting>
  <conditionalFormatting sqref="L86:L87">
    <cfRule type="duplicateValues" dxfId="0" priority="28"/>
  </conditionalFormatting>
  <conditionalFormatting sqref="A416:A505 A361 A350 A339 A328 A104:A105 A248:A252 A254:A258 A260:A264 A266:A270 A273:A276 A279:A282 A285:A288 A291:A294 A297:A299 A1:A17 A211:A245 A111 A108 A306:A317 A22 A118 A508:A1048576">
    <cfRule type="duplicateValues" dxfId="0" priority="496"/>
  </conditionalFormatting>
  <conditionalFormatting sqref="A184:A191 A140:A145 A36:A45 A1:A17 A148:A151 A50:A57 A62:A63 A158:A161 A168:A177 A22:A29 A66:A71 A76:A79 A82:A83 A196:A505 A118:A135 A88:A111 A508:A1048576">
    <cfRule type="duplicateValues" dxfId="0" priority="498"/>
  </conditionalFormatting>
  <conditionalFormatting sqref="A76:B76 A23:B29 A78:B79 B10:B17 A94:B95 B22">
    <cfRule type="duplicateValues" dxfId="0" priority="476"/>
  </conditionalFormatting>
  <conditionalFormatting sqref="H10:H17 H22">
    <cfRule type="duplicateValues" dxfId="0" priority="433"/>
  </conditionalFormatting>
  <conditionalFormatting sqref="A19:B19 B18">
    <cfRule type="duplicateValues" dxfId="0" priority="162"/>
  </conditionalFormatting>
  <conditionalFormatting sqref="A21:B21 B20">
    <cfRule type="duplicateValues" dxfId="0" priority="53"/>
  </conditionalFormatting>
  <conditionalFormatting sqref="A30:B31">
    <cfRule type="duplicateValues" dxfId="0" priority="149"/>
  </conditionalFormatting>
  <conditionalFormatting sqref="A32:B33">
    <cfRule type="duplicateValues" dxfId="0" priority="263"/>
  </conditionalFormatting>
  <conditionalFormatting sqref="A34:B35">
    <cfRule type="duplicateValues" dxfId="0" priority="260"/>
  </conditionalFormatting>
  <conditionalFormatting sqref="A36:B37">
    <cfRule type="duplicateValues" dxfId="0" priority="463"/>
  </conditionalFormatting>
  <conditionalFormatting sqref="A38:B39">
    <cfRule type="duplicateValues" dxfId="0" priority="472"/>
  </conditionalFormatting>
  <conditionalFormatting sqref="A40:B41">
    <cfRule type="duplicateValues" dxfId="0" priority="339"/>
  </conditionalFormatting>
  <conditionalFormatting sqref="A42:B45">
    <cfRule type="duplicateValues" dxfId="0" priority="474"/>
  </conditionalFormatting>
  <conditionalFormatting sqref="A54:B55">
    <cfRule type="duplicateValues" dxfId="0" priority="337"/>
  </conditionalFormatting>
  <conditionalFormatting sqref="A56:B57">
    <cfRule type="duplicateValues" dxfId="0" priority="457"/>
  </conditionalFormatting>
  <conditionalFormatting sqref="A58:B59">
    <cfRule type="duplicateValues" dxfId="0" priority="223"/>
  </conditionalFormatting>
  <conditionalFormatting sqref="A60:B61">
    <cfRule type="duplicateValues" dxfId="0" priority="225"/>
  </conditionalFormatting>
  <conditionalFormatting sqref="A62:B63">
    <cfRule type="duplicateValues" dxfId="0" priority="455"/>
  </conditionalFormatting>
  <conditionalFormatting sqref="A64:B65">
    <cfRule type="duplicateValues" dxfId="0" priority="146"/>
  </conditionalFormatting>
  <conditionalFormatting sqref="A72:B72 A74:B75">
    <cfRule type="duplicateValues" dxfId="0" priority="143"/>
  </conditionalFormatting>
  <conditionalFormatting sqref="A80:B81">
    <cfRule type="duplicateValues" dxfId="0" priority="134"/>
  </conditionalFormatting>
  <conditionalFormatting sqref="A82:B83">
    <cfRule type="duplicateValues" dxfId="0" priority="333"/>
  </conditionalFormatting>
  <conditionalFormatting sqref="A84:B85">
    <cfRule type="duplicateValues" dxfId="0" priority="31"/>
  </conditionalFormatting>
  <conditionalFormatting sqref="A86:B87">
    <cfRule type="duplicateValues" dxfId="0" priority="34"/>
  </conditionalFormatting>
  <conditionalFormatting sqref="A88:B89">
    <cfRule type="duplicateValues" dxfId="0" priority="309"/>
  </conditionalFormatting>
  <conditionalFormatting sqref="A90:B91">
    <cfRule type="duplicateValues" dxfId="0" priority="307"/>
  </conditionalFormatting>
  <conditionalFormatting sqref="A92:B93">
    <cfRule type="duplicateValues" dxfId="0" priority="305"/>
  </conditionalFormatting>
  <conditionalFormatting sqref="A121:A122 A129:A130">
    <cfRule type="duplicateValues" dxfId="0" priority="423"/>
  </conditionalFormatting>
  <conditionalFormatting sqref="H129 H121">
    <cfRule type="duplicateValues" dxfId="0" priority="421"/>
  </conditionalFormatting>
  <conditionalFormatting sqref="A123 A128">
    <cfRule type="duplicateValues" dxfId="0" priority="395"/>
  </conditionalFormatting>
  <conditionalFormatting sqref="A135 A140">
    <cfRule type="duplicateValues" dxfId="0" priority="415"/>
  </conditionalFormatting>
  <conditionalFormatting sqref="A143 A209:A210 A148">
    <cfRule type="duplicateValues" dxfId="0" priority="482"/>
  </conditionalFormatting>
  <conditionalFormatting sqref="A149:B151 A175:B176 A209:B210 A168:B172">
    <cfRule type="duplicateValues" dxfId="0" priority="480"/>
  </conditionalFormatting>
  <conditionalFormatting sqref="A173:B174">
    <cfRule type="duplicateValues" dxfId="0" priority="387"/>
  </conditionalFormatting>
  <conditionalFormatting sqref="A177:B177 A188:B188">
    <cfRule type="duplicateValues" dxfId="0" priority="365"/>
  </conditionalFormatting>
  <conditionalFormatting sqref="A178:B179">
    <cfRule type="duplicateValues" dxfId="0" priority="239"/>
  </conditionalFormatting>
  <conditionalFormatting sqref="A180:B181">
    <cfRule type="duplicateValues" dxfId="0" priority="62"/>
  </conditionalFormatting>
  <conditionalFormatting sqref="A182:B183">
    <cfRule type="duplicateValues" dxfId="0" priority="71"/>
  </conditionalFormatting>
  <conditionalFormatting sqref="A185:B187 B184">
    <cfRule type="duplicateValues" dxfId="0" priority="345"/>
  </conditionalFormatting>
  <conditionalFormatting sqref="A189:B190">
    <cfRule type="duplicateValues" dxfId="0" priority="362"/>
  </conditionalFormatting>
  <conditionalFormatting sqref="A191:B191 A196:B196">
    <cfRule type="duplicateValues" dxfId="0" priority="358"/>
  </conditionalFormatting>
  <conditionalFormatting sqref="A193:B194">
    <cfRule type="duplicateValues" dxfId="0" priority="122"/>
  </conditionalFormatting>
  <conditionalFormatting sqref="A197:B198">
    <cfRule type="duplicateValues" dxfId="0" priority="355"/>
  </conditionalFormatting>
  <conditionalFormatting sqref="A199:B200">
    <cfRule type="duplicateValues" dxfId="0" priority="383"/>
  </conditionalFormatting>
  <conditionalFormatting sqref="A201:B202">
    <cfRule type="duplicateValues" dxfId="0" priority="379"/>
  </conditionalFormatting>
  <conditionalFormatting sqref="A203:B204">
    <cfRule type="duplicateValues" dxfId="0" priority="375"/>
  </conditionalFormatting>
  <conditionalFormatting sqref="A205:B206">
    <cfRule type="duplicateValues" dxfId="0" priority="371"/>
  </conditionalFormatting>
  <conditionalFormatting sqref="A207:B208">
    <cfRule type="duplicateValues" dxfId="0" priority="351"/>
  </conditionalFormatting>
  <conditionalFormatting sqref="H246:H299 H306:H371">
    <cfRule type="duplicateValues" dxfId="0" priority="494"/>
  </conditionalFormatting>
  <conditionalFormatting sqref="A300 A303:A305">
    <cfRule type="duplicateValues" dxfId="0" priority="291"/>
  </conditionalFormatting>
  <conditionalFormatting sqref="A302 A304">
    <cfRule type="duplicateValues" dxfId="0" priority="289"/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2025-08-30T03:28:28Z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92B3E44169F04238B2AA60CE2421F816_12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