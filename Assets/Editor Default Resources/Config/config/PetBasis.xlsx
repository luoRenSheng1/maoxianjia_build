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ustomStorage/customStorage.xml" ContentType="application/vnd.wps-officedocument.customStorage+xml"/>
  <Override PartName="/xl/drawings/drawing1.xml" ContentType="application/vnd.openxmlformats-officedocument.drawing+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bookViews>
  <sheets>
    <sheet name="Sheet1" sheetId="1" r:id="rId1"/>
    <sheet name="Sheet3" sheetId="3" r:id="rId2"/>
    <sheet name="Sheet2" sheetId="2" r:id="rId3"/>
    <sheet name="Sheet5" sheetId="5" r:id="rId4"/>
    <sheet name="Sheet6" sheetId="6" r:id="rId5"/>
    <sheet name="未使用" sheetId="9" r:id="rId6"/>
  </sheets>
  <externalReferences>
    <externalReference r:id="rId7"/>
  </externalReferences>
  <definedNames>
    <definedName name="_xlnm._FilterDatabase" localSheetId="0" hidden="1">Sheet1!$A$1:$R$38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Administrator</author>
    <author>作者</author>
    <author>User</author>
  </authors>
  <commentList>
    <comment ref="D3" authorId="0">
      <text>
        <r>
          <rPr>
            <b/>
            <sz val="9"/>
            <rFont val="宋体"/>
            <charset val="134"/>
          </rPr>
          <t>Administrator:</t>
        </r>
        <r>
          <rPr>
            <sz val="9"/>
            <rFont val="宋体"/>
            <charset val="134"/>
          </rPr>
          <t xml:space="preserve">
1=伤害
2=防御
3=回复
4=辅助
</t>
        </r>
      </text>
    </comment>
    <comment ref="E3" authorId="1">
      <text>
        <r>
          <rPr>
            <b/>
            <sz val="9"/>
            <rFont val="宋体"/>
            <charset val="134"/>
          </rPr>
          <t>作者:</t>
        </r>
        <r>
          <rPr>
            <sz val="9"/>
            <rFont val="宋体"/>
            <charset val="134"/>
          </rPr>
          <t xml:space="preserve">
1=普通-灰
2=良好-绿
3=稀有-蓝
4=史诗-紫
5=传说-橙
6=神话-粉
7=不朽-红</t>
        </r>
      </text>
    </comment>
    <comment ref="M3" authorId="2">
      <text>
        <r>
          <rPr>
            <b/>
            <sz val="9"/>
            <rFont val="宋体"/>
            <charset val="134"/>
          </rPr>
          <t>User:</t>
        </r>
        <r>
          <rPr>
            <sz val="9"/>
            <rFont val="宋体"/>
            <charset val="134"/>
          </rPr>
          <t xml:space="preserve">
继承主角主属性的比例，百分比</t>
        </r>
      </text>
    </comment>
  </commentList>
</comments>
</file>

<file path=xl/comments2.xml><?xml version="1.0" encoding="utf-8"?>
<comments xmlns="http://schemas.openxmlformats.org/spreadsheetml/2006/main">
  <authors>
    <author>Administrator</author>
    <author>作者</author>
    <author>User</author>
  </authors>
  <commentList>
    <comment ref="F3" authorId="0">
      <text>
        <r>
          <rPr>
            <b/>
            <sz val="9"/>
            <rFont val="宋体"/>
            <charset val="134"/>
          </rPr>
          <t>Administrator:</t>
        </r>
        <r>
          <rPr>
            <sz val="9"/>
            <rFont val="宋体"/>
            <charset val="134"/>
          </rPr>
          <t xml:space="preserve">
1=伤害
2=防御
3=回复
4=辅助
</t>
        </r>
      </text>
    </comment>
    <comment ref="G3" authorId="1">
      <text>
        <r>
          <rPr>
            <b/>
            <sz val="9"/>
            <rFont val="宋体"/>
            <charset val="134"/>
          </rPr>
          <t>作者:</t>
        </r>
        <r>
          <rPr>
            <sz val="9"/>
            <rFont val="宋体"/>
            <charset val="134"/>
          </rPr>
          <t xml:space="preserve">
1=普通-灰
2=良好-绿
3=稀有-蓝
4=史诗-紫
5=传说-橙
6=神话-粉
7=不朽-红</t>
        </r>
      </text>
    </comment>
    <comment ref="M3" authorId="0">
      <text>
        <r>
          <rPr>
            <b/>
            <sz val="9"/>
            <rFont val="宋体"/>
            <charset val="134"/>
          </rPr>
          <t>Administrator:</t>
        </r>
        <r>
          <rPr>
            <sz val="9"/>
            <rFont val="宋体"/>
            <charset val="134"/>
          </rPr>
          <t xml:space="preserve">
1=伤害
2=防御
3=回复
4=辅助
</t>
        </r>
      </text>
    </comment>
    <comment ref="N3" authorId="1">
      <text>
        <r>
          <rPr>
            <b/>
            <sz val="9"/>
            <rFont val="宋体"/>
            <charset val="134"/>
          </rPr>
          <t>作者:</t>
        </r>
        <r>
          <rPr>
            <sz val="9"/>
            <rFont val="宋体"/>
            <charset val="134"/>
          </rPr>
          <t xml:space="preserve">
1=普通-灰
2=良好-绿
3=稀有-蓝
4=史诗-紫
5=传说-橙
6=神话-粉
7=不朽-红</t>
        </r>
      </text>
    </comment>
    <comment ref="V3" authorId="2">
      <text>
        <r>
          <rPr>
            <b/>
            <sz val="9"/>
            <rFont val="宋体"/>
            <charset val="134"/>
          </rPr>
          <t>User:</t>
        </r>
        <r>
          <rPr>
            <sz val="9"/>
            <rFont val="宋体"/>
            <charset val="134"/>
          </rPr>
          <t xml:space="preserve">
继承主角主属性的比例，百分比</t>
        </r>
      </text>
    </comment>
  </commentList>
</comments>
</file>

<file path=xl/sharedStrings.xml><?xml version="1.0" encoding="utf-8"?>
<sst xmlns="http://schemas.openxmlformats.org/spreadsheetml/2006/main" count="3184" uniqueCount="1205">
  <si>
    <t>Id</t>
  </si>
  <si>
    <t>Name_Note</t>
  </si>
  <si>
    <t>Name</t>
  </si>
  <si>
    <t>Type</t>
  </si>
  <si>
    <t>Quality</t>
  </si>
  <si>
    <t>AttackSkillId</t>
  </si>
  <si>
    <t>SkillGroupId</t>
  </si>
  <si>
    <t>Story_Note</t>
  </si>
  <si>
    <t>Story</t>
  </si>
  <si>
    <t>IconPath</t>
  </si>
  <si>
    <t>FullBodyImage</t>
  </si>
  <si>
    <t>PetModel</t>
  </si>
  <si>
    <t>Inherit</t>
  </si>
  <si>
    <t>Floor</t>
  </si>
  <si>
    <t>Upper</t>
  </si>
  <si>
    <t>AtkSpeed</t>
  </si>
  <si>
    <t>ModelScale</t>
  </si>
  <si>
    <t>PetQuotesId</t>
  </si>
  <si>
    <t>Int</t>
  </si>
  <si>
    <t>String</t>
  </si>
  <si>
    <t>int</t>
  </si>
  <si>
    <t>Arrayint</t>
  </si>
  <si>
    <t>唯一宠物id</t>
  </si>
  <si>
    <t>&lt;c&gt;宠物名字</t>
  </si>
  <si>
    <t>宠物名字</t>
  </si>
  <si>
    <t>宠物type</t>
  </si>
  <si>
    <t>品质</t>
  </si>
  <si>
    <t>普通攻击id</t>
  </si>
  <si>
    <t>技能组ID</t>
  </si>
  <si>
    <t>&lt;c&gt;宠物故事</t>
  </si>
  <si>
    <t>宠物故事</t>
  </si>
  <si>
    <t>头像</t>
  </si>
  <si>
    <t>宠物全身形象</t>
  </si>
  <si>
    <t>宠物战场模型</t>
  </si>
  <si>
    <t>继承属性比例</t>
  </si>
  <si>
    <t>成长率下限</t>
  </si>
  <si>
    <t>成长率上限</t>
  </si>
  <si>
    <t>攻速</t>
  </si>
  <si>
    <t>模型缩放</t>
  </si>
  <si>
    <t>宠物语录ID</t>
  </si>
  <si>
    <t>幻影猫</t>
  </si>
  <si>
    <t>PetBasis_Name_10060</t>
  </si>
  <si>
    <t>幻影猫是诞生于虚空中的神秘存在，它的灵巧与隐秘使得它成为虚空中最难以捉摸的守护者。它常常栖息在幽暗的虚空裂隙中，凭借召唤虚空之眼的能力，将入侵者瞬间引入深不可测的痛苦。</t>
  </si>
  <si>
    <t>PetBasis_Story_10060</t>
  </si>
  <si>
    <t>Pet_10060</t>
  </si>
  <si>
    <t>80|7|88|15|11|65|67|23|13|35|13|63|28|9</t>
  </si>
  <si>
    <t>冰角鹿</t>
  </si>
  <si>
    <t>PetBasis_Name_10090</t>
  </si>
  <si>
    <t>传说冰角鹿曾帮助一位迷路的旅行者找到了回家的路，从此被视为善良和希望的象征。</t>
  </si>
  <si>
    <t>PetBasis_Story_10090</t>
  </si>
  <si>
    <t>Pet_10090</t>
  </si>
  <si>
    <t>9|86|81|24|26|56|99|67|91|64|80|23|73|99</t>
  </si>
  <si>
    <t>下忍菇</t>
  </si>
  <si>
    <t>PetBasis_Name_10100</t>
  </si>
  <si>
    <t>下忍菇刚刚踏上忍者之路，技能是偷偷种蘑菇，结果每次释放毒蘑菇时，敌人只会捏着鼻子逃跑。虽然毒气效果不明显，但下忍菇坚信：“再臭的蘑菇也能赢得胜利！”</t>
  </si>
  <si>
    <t>PetBasis_Story_10100</t>
  </si>
  <si>
    <t>Pet_10100</t>
  </si>
  <si>
    <t>94|26|13|75|14|83|18|55|24|57|51|71|47|27</t>
  </si>
  <si>
    <t>上忍菇</t>
  </si>
  <si>
    <t>PetBasis_Name_10101</t>
  </si>
  <si>
    <t>经过多次失败后，下忍菇进化成了上忍菇。现在它组织起“蘑菇派对”，放出大片毒蘑菇覆盖战场。敌人闻着蘑菇味四散逃窜，上忍菇却得意地指挥毒气狂欢。</t>
  </si>
  <si>
    <t>PetBasis_Story_10101</t>
  </si>
  <si>
    <t>Pet_10101</t>
  </si>
  <si>
    <t>59|86|58|66|11|73|70|11|65|84|60|93|10|24</t>
  </si>
  <si>
    <t>小树卫</t>
  </si>
  <si>
    <t>PetBasis_Name_10110</t>
  </si>
  <si>
    <t>小树卫在一场森林大火中失去了亲人和伙伴，为了防止森林起火殃及无辜，从此肩负起守护森林的责任，日夜巡护，确保悲剧不再重演。</t>
  </si>
  <si>
    <t>PetBasis_Story_10110</t>
  </si>
  <si>
    <t>Pet_10110</t>
  </si>
  <si>
    <t>57|29|82|23|73|23|41|14|57|30|46|44|21|65</t>
  </si>
  <si>
    <t>树桩战士</t>
  </si>
  <si>
    <t>PetBasis_Name_10111</t>
  </si>
  <si>
    <t>树桩战士曾是一棵大树，在伐木的暴行中留下斧凿的痕迹，现在，它保留着斧头，用以警醒自己。面对危险时，树桩战士会毫不留情地用其巨大的枝干作为武器击败并赶跑对方。</t>
  </si>
  <si>
    <t>PetBasis_Story_10111</t>
  </si>
  <si>
    <t>Pet_10111</t>
  </si>
  <si>
    <t>藤蔓球</t>
  </si>
  <si>
    <t>PetBasis_Name_10120</t>
  </si>
  <si>
    <t>藤蔓球自称是“分身大师”，每次一遇到敌人，它都会用自己的分身扑向对方。“一个不够？那就来十个！”藤蔓球最喜欢用多重分身发起攻击，让敌人以为自己被团团包围。虽然它的分身不太聪明，但每次都能带来连续不断的“藤蔓咬咬乐”，让敌人彻底晕头转向。</t>
  </si>
  <si>
    <t>PetBasis_Story_10120</t>
  </si>
  <si>
    <t>Pet_10120</t>
  </si>
  <si>
    <t>54|59|84|37|30|45|94|72|55|80|47|14|40|44</t>
  </si>
  <si>
    <t>小灯蜂</t>
  </si>
  <si>
    <t>PetBasis_Name_10130</t>
  </si>
  <si>
    <t>宝宝蜂刚学会飞，发现自己腹部的灯泡特别好玩，一不小心就把敌人亮得晕头转向。每次它用灯泡一闪，敌人就开始抱头大叫：“谁开大灯啦？”宝宝蜂对此很自豪，经常说：“别怪我，我就是这么亮！”</t>
  </si>
  <si>
    <t>PetBasis_Story_10130</t>
  </si>
  <si>
    <t>Pet_10130</t>
  </si>
  <si>
    <t>34|6|73|35|32|62|56|75|88|15|39|76|29|49</t>
  </si>
  <si>
    <t>灵灯蜂</t>
  </si>
  <si>
    <t>PetBasis_Name_10131</t>
  </si>
  <si>
    <t>经过进化，宝宝蜂变成了灯泡蜂，灯泡也升级成了“超级高光”。它最喜欢干的事就是在战场上开着“大灯”狂闪，让所有敌人都感觉自己在参加闪光灯派对。灯泡蜂总是笑着说：“灯光师到位，接招吧！”</t>
  </si>
  <si>
    <t>PetBasis_Story_10131</t>
  </si>
  <si>
    <t>Pet_10131</t>
  </si>
  <si>
    <t>87|38|29|7|79|34|18|38|68|98|33|100|48|70</t>
  </si>
  <si>
    <t>炽焰幼虎</t>
  </si>
  <si>
    <t>PetBasis_Name_10140</t>
  </si>
  <si>
    <t>炽焰幼虎，出生于炽热的火山口，被火焰和岩浆孕育而生。从幼年起，它的爪子便带有炽热的火焰，随着每一次跳跃和撕裂，空气都会被其利爪灼烧。虽然体型尚小，但它的爆发力却不容小觑。</t>
  </si>
  <si>
    <t>PetBasis_Story_10140</t>
  </si>
  <si>
    <t>Pet_10140</t>
  </si>
  <si>
    <t>尖叫鸡</t>
  </si>
  <si>
    <t>PetBasis_Name_10160</t>
  </si>
  <si>
    <t>尖叫鸡本来是个不起眼的小鸡，直到它发现自己发出的尖叫声能让敌人耳朵怀疑人生。每次战斗，尖叫鸡都会发出那令人胆寒的尖锐音波，敌人听了不是抱头大叫，就是四处乱窜。惨叫鸡得意地说：“我这一嗓子，连我自己都吓！”</t>
  </si>
  <si>
    <t>PetBasis_Story_10160</t>
  </si>
  <si>
    <t>Pet_10160</t>
  </si>
  <si>
    <t>67|62|25|34|66|39|63|55|63|22|5|10|33|88</t>
  </si>
  <si>
    <t>勇士鸡</t>
  </si>
  <si>
    <t>PetBasis_Name_10161</t>
  </si>
  <si>
    <t>惨叫鸡进化成了勇士鸡，告别了尖叫，拿起了一把长枪！它现在的绝招是“鸡式闪电突刺”，挥舞着长枪以闪电般的速度冲向敌人</t>
  </si>
  <si>
    <t>PetBasis_Story_10161</t>
  </si>
  <si>
    <t>Pet_10161</t>
  </si>
  <si>
    <t>奶拳兔</t>
  </si>
  <si>
    <t>PetBasis_Name_10190</t>
  </si>
  <si>
    <t>奶拳兔看起来萌萌哒，挥着小拳头时，敌人还以为它在打招呼。可一旦被它冲过来“锤”了一下，敌人才发现这小拳头可不只是好看！每次出手后，奶拳兔还会回头眨巴着眼睛说：“萌只是我的伪装，疼才是我的真相！”</t>
  </si>
  <si>
    <t>PetBasis_Story_10190</t>
  </si>
  <si>
    <t>Pet_10190</t>
  </si>
  <si>
    <t>12|75|38|83|48|86|62|55|29|86|21|8|54|35</t>
  </si>
  <si>
    <t>拳击兔</t>
  </si>
  <si>
    <t>PetBasis_Name_10191</t>
  </si>
  <si>
    <t>进化后的拳击兔不再靠“萌”混迹战场，它像一阵狂风般冲向敌人，拳头像雨点一样快速落下。敌人只觉得眼前“咻咻”闪过几下，还没反应过来就已经被打成了一团。拳击兔笑着说：“速度决定一切，我就是风中拳手！”</t>
  </si>
  <si>
    <t>PetBasis_Story_10191</t>
  </si>
  <si>
    <t>Pet_10191</t>
  </si>
  <si>
    <t>幼翠龙</t>
  </si>
  <si>
    <t>PetBasis_Name_10260</t>
  </si>
  <si>
    <t>沉眠在古老的龙岭中的幼龙。</t>
  </si>
  <si>
    <t>PetBasis_Story_10260</t>
  </si>
  <si>
    <t>Pet_10260</t>
  </si>
  <si>
    <t>火药蟹</t>
  </si>
  <si>
    <t>PetBasis_Name_10301</t>
  </si>
  <si>
    <t>进化后的火药蟹不再满足于扔小炸弹了，它开始玩起火药桶，还喜欢亲自“飞”到敌人阵地去引爆。每次引爆后，火药蟹都会站在爆炸中心，笑着说：“一桶下去，狂潮四起，谁能挡得住？”敌人每次看到它飞过来都瑟瑟发抖，但火药蟹却乐在其中：“我可是爆炸界的天才！”</t>
  </si>
  <si>
    <t>PetBasis_Story_10301</t>
  </si>
  <si>
    <t>Pet_10301</t>
  </si>
  <si>
    <t>33|49|91|82|48|82|26|9|87|34|91|82|64|39</t>
  </si>
  <si>
    <t>蓬蓬羊</t>
  </si>
  <si>
    <t>PetBasis_Name_10330</t>
  </si>
  <si>
    <t>蓬蓬羊平时看起来软萌可爱，但它的羊角隐藏着不可小觑的力量。每次轻轻晃头，就能释放出震荡波，把敌人统统击飞。蓬蓬羊总是轻描淡写地说：“没什么大不了，只是晃了晃头。”它用自己的方式守护着大地，轻松却强大。</t>
  </si>
  <si>
    <t>PetBasis_Story_10330</t>
  </si>
  <si>
    <t>Pet_10330</t>
  </si>
  <si>
    <t>74|83|57|58|26|99|45|70|41|89|33|81|22|65</t>
  </si>
  <si>
    <t>巨角羊</t>
  </si>
  <si>
    <t>PetBasis_Name_10331</t>
  </si>
  <si>
    <t>进化后的巨角羊，力量稳如磐石。它的羊角能发出强力的冲击波，震撼全场。巨角羊性格沉稳，不爱张扬，但每次出手都能引起巨大的冲击，敌人只能在它面前瑟瑟发抖。它总是轻松地说：“只是随便一撞，效果出乎意料。”</t>
  </si>
  <si>
    <t>PetBasis_Story_10331</t>
  </si>
  <si>
    <t>Pet_10331</t>
  </si>
  <si>
    <t>迷眩蝙蝠</t>
  </si>
  <si>
    <t>PetBasis_Name_10350</t>
  </si>
  <si>
    <t>迷眩蝙蝠看似不起眼，但它的尖啸声可不是闹着玩的。每次发出震耳欲聋的音波，敌人们都在空气中被震得东倒西歪。虽然它常常不好意思地说：“我只是想吓吓你们，没想到这么响！”可它那穿透空气的音波可是轻松撂倒敌人的绝招。</t>
  </si>
  <si>
    <t>PetBasis_Story_10350</t>
  </si>
  <si>
    <t>Pet_10350</t>
  </si>
  <si>
    <t>28|7|85|46|40|49|14|52|1|71|22|90|66|11</t>
  </si>
  <si>
    <t>夜影伯爵</t>
  </si>
  <si>
    <t>PetBasis_Name_10351</t>
  </si>
  <si>
    <t>进化后的夜影伯爵掌握了更强的音波之力，它的尖叫声不再只是吓人，而是如刀锋般精准切割敌人。伯爵总是优雅地发出致命的音波，然后自信满满地说：“声音，也是一种艺术，你们承受得住吗？”</t>
  </si>
  <si>
    <t>PetBasis_Story_10351</t>
  </si>
  <si>
    <t>Pet_10351</t>
  </si>
  <si>
    <t>49|69|41|5|32|4|31|45|41|35|81|1|32|3</t>
  </si>
  <si>
    <t>灯灵章鱼</t>
  </si>
  <si>
    <t>PetBasis_Name_10410</t>
  </si>
  <si>
    <t>灯灵章鱼擅长在黑暗中释放出锐利的光波，光芒像利刃一样切割空气，冲击周围的敌人。它总是笑着说：“光明就是最好的武器！”在这耀眼的光芒下，敌人无处可逃。灯灵章鱼得意地补充：“在我的光芒下，黑暗无处藏身。”</t>
  </si>
  <si>
    <t>PetBasis_Story_10410</t>
  </si>
  <si>
    <t>Pet_10410</t>
  </si>
  <si>
    <t>3|39|46|90|61|56|27|35|48|87|49|27|97|88</t>
  </si>
  <si>
    <t>潜灵章鱼</t>
  </si>
  <si>
    <t>PetBasis_Name_10411</t>
  </si>
  <si>
    <t>进化后的潜灵章鱼，其光波力量已经无比强大，光芒刺眼得让敌人寸步难行。每当潜灵章鱼出现在战场，强光如探照灯般扫过一切，让敌人无处躲藏。它悠然自得地说：“别费力躲了，我的光会照亮每个角落。”</t>
  </si>
  <si>
    <t>PetBasis_Story_10411</t>
  </si>
  <si>
    <t>Pet_10411</t>
  </si>
  <si>
    <t>弹弓翼龙</t>
  </si>
  <si>
    <t>PetBasis_Name_10450</t>
  </si>
  <si>
    <t>弹弓翼龙自认为是世界上最厉害的“弹弓选手”，每次都用弹弓把自己弹射出去，砸向敌人。敌人还没反应过来，就已经被砸飞了。弹弓翼龙总是得意地说：“谁说翼龙不会玩弹弓？看我这招‘龙飞弹’！”</t>
  </si>
  <si>
    <t>PetBasis_Story_10450</t>
  </si>
  <si>
    <t>Pet_10450</t>
  </si>
  <si>
    <t>65|24|52|31|16|14|13|30|18|51|14|5|51|35</t>
  </si>
  <si>
    <t>火炮翼龙</t>
  </si>
  <si>
    <t>PetBasis_Name_10451</t>
  </si>
  <si>
    <t>进化后的火炮翼龙直接升级，变成了天空中的火力支援队。它喜欢用炽热的炮弹轰击敌人，炮弹撕裂空气，爆炸声震耳欲聋。每次发射完，它都会笑着说：“这火炮，够热乎吧？下次再给你们来个双倍爆炸套餐！”</t>
  </si>
  <si>
    <t>PetBasis_Story_10451</t>
  </si>
  <si>
    <t>Pet_10451</t>
  </si>
  <si>
    <t>音波鳄</t>
  </si>
  <si>
    <t>PetBasis_Name_10470</t>
  </si>
  <si>
    <t>音波鳄的秘密武器居然是一只麦克风！它用麦克风发出震撼的声波，每次大吼一声，音波就像利刃一样穿透敌人的防线。它挥舞着麦克风，一边说：“麦克风在手，谁敢不听我的声音？”每次敌人都被打得晕头转向，狼狈不堪</t>
  </si>
  <si>
    <t>PetBasis_Story_10470</t>
  </si>
  <si>
    <t>Pet_10470</t>
  </si>
  <si>
    <t>音响鳄</t>
  </si>
  <si>
    <t>PetBasis_Name_10471</t>
  </si>
  <si>
    <t>进化后的音响鳄成了真正的摇滚明星，它的麦克风不仅能放大声音，还能制造音波回响，让敌人们陷入混乱。每当音响鳄高举麦克风，发出巨大的音波攻击，它都会自豪地说：“准备好迎接我这‘震天动地’的表演吧！”然后敌人被震得七晕八素，它还补上一句：“音乐可以治愈，也可以摧毁！”</t>
  </si>
  <si>
    <t>PetBasis_Story_10471</t>
  </si>
  <si>
    <t>Pet_10471</t>
  </si>
  <si>
    <t>火灵猪</t>
  </si>
  <si>
    <t>PetBasis_Name_10500</t>
  </si>
  <si>
    <t>火灵猪最骄傲的就是它那燃烧的尾巴，每次甩一甩，炽热的火焰就能瞬间点燃周围的敌人。它总是自豪地说：“我的尾巴不只是装饰，还是个小火把！”每当看到敌人被烧得跳脚，它就会开心地笑：“嘿嘿，烧烤时间到了！”</t>
  </si>
  <si>
    <t>PetBasis_Story_10500</t>
  </si>
  <si>
    <t>Pet_10500</t>
  </si>
  <si>
    <t>67|6|15|92|84|62|10|21|2|23|90|53|39|34</t>
  </si>
  <si>
    <t>木宝蜥</t>
  </si>
  <si>
    <t>PetBasis_Name_10520</t>
  </si>
  <si>
    <t>木宝蜥总是拿着一根小木棍，看起来像是准备去玩耍，但它的突进速度和挥棍力度却让敌人毫无防备。每次它冲向敌人，木棍挥舞得如风般迅猛，打得敌人晕头转向。别看是根普通木棍，但在木宝蜥手里，竟成了威力巨大的武器。</t>
  </si>
  <si>
    <t>PetBasis_Story_10520</t>
  </si>
  <si>
    <t>Pet_10520</t>
  </si>
  <si>
    <t>戟手蜥</t>
  </si>
  <si>
    <t>PetBasis_Name_10521</t>
  </si>
  <si>
    <t>进化后的戟手蜥，手中的大戟锋利无比，每次刺出时，戟刃都划破空气，带着致命的力量。它的攻击总是迅捷而精准，一戟刺出，敌人便被重创倒地。戟手蜥在战场上行如闪电，凭借它的戟刃，没人敢小看它的速度和力量。</t>
  </si>
  <si>
    <t>PetBasis_Story_10521</t>
  </si>
  <si>
    <t>Pet_10521</t>
  </si>
  <si>
    <t>75|46|15|67|64|86|12|70|24|43|1|10|66|7</t>
  </si>
  <si>
    <t>小财龙</t>
  </si>
  <si>
    <t>PetBasis_Name_10530</t>
  </si>
  <si>
    <t>小财龙爱收藏各种宝物，但当它发起进攻时，这些珍宝就变成了它的武器。每次遇到敌人，它毫不犹豫地把自己的宝贝当作弹药，猛然丢出，精准砸向敌人。谁能想到，这只小龙竟然舍得把心爱的宝物拿来当武器？不过，别担心，它砸完总会再去捡回来的！</t>
  </si>
  <si>
    <t>PetBasis_Story_10530</t>
  </si>
  <si>
    <t>Pet_10530</t>
  </si>
  <si>
    <t>财宝龙</t>
  </si>
  <si>
    <t>PetBasis_Name_10531</t>
  </si>
  <si>
    <t>财宝龙对敌人毫不手软，尤其当它愤怒时，会直接甩出大量珍藏宝物。珠宝、金块、宝石纷飞，形成了一场令人眼花缭乱的“宝物风暴”，敌人被这些无情的珍宝打得东倒西歪。财宝龙不在乎损失，因为它知道，打完仗，它的宝藏只会更多。</t>
  </si>
  <si>
    <t>PetBasis_Story_10531</t>
  </si>
  <si>
    <t>Pet_10531</t>
  </si>
  <si>
    <t>导弹鲨</t>
  </si>
  <si>
    <t>PetBasis_Name_10560</t>
  </si>
  <si>
    <t>导弹鲨绝不是一条普通的鲨鱼，它能化身为导弹，瞬间冲入敌阵，引发剧烈的爆炸。看着一条鲨鱼在天上飞，然后“嘭”的一声，敌人被炸得四散而逃。</t>
  </si>
  <si>
    <t>PetBasis_Story_10560</t>
  </si>
  <si>
    <t>Pet_10560</t>
  </si>
  <si>
    <t>67|84|28|94|70|56|76|81|41|4|48|39|50|95</t>
  </si>
  <si>
    <t>鱼雷鲨</t>
  </si>
  <si>
    <t>PetBasis_Name_10561</t>
  </si>
  <si>
    <t>鱼雷鲨，速度和力量更胜一筹。它化身为鱼雷，带着摧枯拉朽的威力从水中穿梭，横扫敌阵。鱼雷鲨每次进攻都像是一场无情的“水下风暴”，敌人根本无处可躲。</t>
  </si>
  <si>
    <t>PetBasis_Story_10561</t>
  </si>
  <si>
    <t>Pet_10561</t>
  </si>
  <si>
    <t>蜜汁蜗牛</t>
  </si>
  <si>
    <t>PetBasis_Name_10580</t>
  </si>
  <si>
    <t>蜜汁蜗牛虽然行动缓慢，但它的攻击方式可是让敌人头疼。它召唤出蜜汁蜂箱，瞬间蜂群四散而出，敌人们还没反应过来，就被密密麻麻的小蜂团团围住。别小看这只慢吞吞的蜗牛，它的蜂群可是“致命蜂暴”！</t>
  </si>
  <si>
    <t>PetBasis_Story_10580</t>
  </si>
  <si>
    <t>Pet_10580</t>
  </si>
  <si>
    <t>堡垒蜗牛</t>
  </si>
  <si>
    <t>PetBasis_Name_10581</t>
  </si>
  <si>
    <t>进化后的堡垒蜗牛，不仅壳子更坚固，它的蜜汁蜂箱也更加强大。大量的蜂群如同黑云般涌出，疯狂袭击敌人。无论敌人跑得多快，蜂群总能紧紧跟上，形成一场令人无从躲避的蜂群狂潮，堡垒蜗牛静静地“观战”，显得有些悠闲。</t>
  </si>
  <si>
    <t>PetBasis_Story_10581</t>
  </si>
  <si>
    <t>Pet_10581</t>
  </si>
  <si>
    <t>技能ID</t>
  </si>
  <si>
    <t>技能名称</t>
  </si>
  <si>
    <t>技能描述（简述）</t>
  </si>
  <si>
    <t>技能描述(详细)</t>
  </si>
  <si>
    <t>故事</t>
  </si>
  <si>
    <t>波波龟</t>
  </si>
  <si>
    <t>海之波波</t>
  </si>
  <si>
    <t>海翼龟</t>
  </si>
  <si>
    <t>小火狐</t>
  </si>
  <si>
    <t>炎之火狐</t>
  </si>
  <si>
    <t>炎尾狐</t>
  </si>
  <si>
    <t>钢甲鼬</t>
  </si>
  <si>
    <t>钢铠鼬</t>
  </si>
  <si>
    <t>钢铠王</t>
  </si>
  <si>
    <t>沙漠蜥</t>
  </si>
  <si>
    <t>沙漠巨蜥</t>
  </si>
  <si>
    <t>沙漠龙王</t>
  </si>
  <si>
    <t>青叶虫</t>
  </si>
  <si>
    <t>嫩叶虫</t>
  </si>
  <si>
    <t>茂叶蛾</t>
  </si>
  <si>
    <t>虚空波动</t>
  </si>
  <si>
    <t>幻影猫召唤虚空之眼，对周围敌人造成伤害</t>
  </si>
  <si>
    <t>幻影猫召唤虚空之眼，炽烈的能量波动席卷四周，令敌人瞬间陷入痛苦。</t>
  </si>
  <si>
    <t>梦影猫</t>
  </si>
  <si>
    <t>虚空爆发</t>
  </si>
  <si>
    <t>梦影猫召唤强力虚空之眼，对周围敌人造成大量伤害</t>
  </si>
  <si>
    <t>梦影猫召唤出强力的虚空之眼，其无尽的力量爆发，重创所有周围的敌人。</t>
  </si>
  <si>
    <t>梦影猫，是虚空中力量更为强大的存在，作为幻影猫的进化形态，它能够掌控更强大的虚空力量。梦影猫生活在虚空的深层，远离凡世，但它的力量无时无刻不在影响着世界的秩序。</t>
  </si>
  <si>
    <t>虚梦猫</t>
  </si>
  <si>
    <t>虚空湮灭</t>
  </si>
  <si>
    <t>虚梦猫召唤最强的虚空之眼，对周围敌人造成巨量伤害</t>
  </si>
  <si>
    <t>虚梦猫召唤最强虚空之眼，天崩地裂般的巨量能量冲击席卷一切，令敌人无处遁形。</t>
  </si>
  <si>
    <t>作为虚空的终极守护者，虚梦猫的力量已达巅峰。它象征着虚空中的最强能量，连虚空本身都在它的控制之下。传说中，虚梦猫可以召唤出最强的虚空之眼，爆发出天崩地裂般的巨量能量冲击，席卷一切。</t>
  </si>
  <si>
    <t>行路草</t>
  </si>
  <si>
    <t>寄生种子</t>
  </si>
  <si>
    <t>行路草召唤草元素，向前方播下寄生种子，对周围敌人造成伤害</t>
  </si>
  <si>
    <t>行路草在大地上播下寄生种子，种子飞速生长，侵蚀周围的敌人并给予伤害。</t>
  </si>
  <si>
    <t>在广袤的森林深处，行路草是一种古老而神秘的植物生物。它的身体看似柔弱，却蕴藏着大自然的无穷力量。行路草喜欢安静地游走于大地之上，时而停下脚步，将寄生种子播撒在大地中。</t>
  </si>
  <si>
    <t>行路兽</t>
  </si>
  <si>
    <t>猛长寄生</t>
  </si>
  <si>
    <t>行路兽召唤草元素，向前方播下强力寄生种子，对周围敌人造成大量伤害</t>
  </si>
  <si>
    <t>行路兽引导草元素的强大力量，向前方释放强力寄生种子，种子疯狂生长，深深扎入敌人体内，造成大量的伤害。</t>
  </si>
  <si>
    <t>随着时间的推移，行路草进化为更强大的形态——行路兽。这一形态的行路兽拥有更为厚重的躯体和更强的力量，它对大地的掌控也更加深入。行路兽的行动更加沉稳，每一次踏足地面都仿佛唤醒了沉睡的草木与泥土。</t>
  </si>
  <si>
    <t>冰角突刺</t>
  </si>
  <si>
    <t>冰角鹿利用自己的冰角召唤冰锥攻击前方区域，对前方多个目标造成冰冻伤害并持续效果。</t>
  </si>
  <si>
    <t>霜角鹿</t>
  </si>
  <si>
    <t>极寒冰锥</t>
  </si>
  <si>
    <t>霜角鹿利用冰冷的冰角召唤冰锥，向前方区域发射冰锥攻击</t>
  </si>
  <si>
    <t>霜角鹿利用冰冷的冰角召唤冰锥，向前方区域发射冰锥攻击，对前方多个目标造成冰冻伤害并持续效果。</t>
  </si>
  <si>
    <t>霜角鹿虽然外表威武，但内心却十分呆萌。有传说它们曾因为贪玩，误把自己埋在雪堆里，直到第二天才被找到。</t>
  </si>
  <si>
    <t>毒菇瘴气</t>
  </si>
  <si>
    <t>下忍菇释放多个毒蘑菇制造一定范围的毒气，对周围的敌人造成毒气伤害</t>
  </si>
  <si>
    <t>下忍菇释放出一连串毒蘑菇，在一定范围内制造毒气，对周围敌人造成毒气伤害</t>
  </si>
  <si>
    <t>毒菇风暴</t>
  </si>
  <si>
    <t>上忍菇释放多个毒蘑菇制造大范围的毒气，对周围的敌人造成较大的毒气伤害。</t>
  </si>
  <si>
    <t>上忍菇释放大量毒蘑菇，扩散出大范围毒气，对周围敌人造成更强的毒气伤害</t>
  </si>
  <si>
    <t>影忍菇</t>
  </si>
  <si>
    <t>菇影连环斩</t>
  </si>
  <si>
    <t>影忍菇使用奥义，向前突击，对周围的敌人造成大范围的斩击。</t>
  </si>
  <si>
    <t>影忍菇施展奥义，向前快速突击，伴随凌厉的斩击，对大范围内的敌人造成致命伤害</t>
  </si>
  <si>
    <t>上忍菇最终进化成了影忍菇，已抛弃毒蘑菇，靠奥义“神速斩击”解决问题。它以极快速度冲刺，敌人还没反应过来，就已经被它无声无息地“斩成蘑菇片”了。</t>
  </si>
  <si>
    <t>树灵召唤</t>
  </si>
  <si>
    <t>小树卫使用元素之力召唤树灵，对前方敌人造成伤害</t>
  </si>
  <si>
    <t>小树卫唤醒元素之力，召唤树灵猛然现身，强大的树灵对前方敌人造成毁灭性打击。</t>
  </si>
  <si>
    <t>巨树灵降临</t>
  </si>
  <si>
    <t>树桩战士使用元素之力召唤更强大的树灵，对前方敌人造成大量伤害</t>
  </si>
  <si>
    <t>树桩战士召唤出更强大的树灵，巨树灵爆发的力量如风暴般席卷前方的敌人，造成大量伤害。</t>
  </si>
  <si>
    <t>噬影分身</t>
  </si>
  <si>
    <t>藤蔓球释放多个分身，向目标发动连续吞噬攻击，每个分身都会造成伤害，使目标承受多重伤害。</t>
  </si>
  <si>
    <t>尖牙蔓</t>
  </si>
  <si>
    <t>蔓影啃噬</t>
  </si>
  <si>
    <t>尖牙蔓释放多个蔓草分身，对敌人进行持续的啃噬攻击，每个分身都会造成大量伤害，使目标受到多重伤害的打击。</t>
  </si>
  <si>
    <t>尖牙蔓是藤蔓界的“啃咬专家”，它的口头禅是：“没有什么是咬不动的，咬多了自然就破！”每当战斗打响，它会召唤出无数的蔓草分身，进行疯狂的啃咬攻击。敌人常常在尖牙蔓的连环“咬咬”中毫无招架之力，甚至怀疑自己来到了巨型食肉植物的世界。尖牙蔓总是得意地说：“咬你一口不够，那就来无数口！”</t>
  </si>
  <si>
    <t>三头巨蔓</t>
  </si>
  <si>
    <t>幻影侵袭</t>
  </si>
  <si>
    <t>三头巨蔓释放毒气，制造出让敌人感受到花草地幻觉的效果，同时从幻觉中释放触手进行吞噬攻击，造成多次伤害。</t>
  </si>
  <si>
    <t>三头巨蔓是个不走寻常路的怪物，喜欢用幻觉来迷惑敌人。它通过释放毒气，让敌人以为自己置身于美丽的花草地，但等到对方刚想躺下享受时，三头巨蔓的触手突然从幻觉中冒出来，开始“悄悄”进行吞噬攻击。三头巨蔓喜欢说：“让你看看什么是真正的美景……不过最后，你会被吞掉哦！”</t>
  </si>
  <si>
    <t>耀眼闪光</t>
  </si>
  <si>
    <t>宝宝蜂用腹部的灯泡发出刺眼光芒，令范围内的敌人受到伤害。</t>
  </si>
  <si>
    <t>光晕禁锢</t>
  </si>
  <si>
    <t>灯泡蜂利用腹部的灯泡发出刺眼光芒，对大范围的敌人造成伤害。</t>
  </si>
  <si>
    <t>炽焰利爪</t>
  </si>
  <si>
    <t>炽焰幼虎向前跃出使用爪击，对周围敌人造成伤害</t>
  </si>
  <si>
    <t>炽焰幼虎一跃而起，利爪划破空气，猛烈撕裂敌人，带来炽热的伤害。</t>
  </si>
  <si>
    <t>炽焰虎</t>
  </si>
  <si>
    <t>雷霆爪击</t>
  </si>
  <si>
    <t>炽焰虎向前猛扑使用强力爪击，对周围敌人造成较大伤害</t>
  </si>
  <si>
    <t>炽焰虎如雷霆般猛扑而至，强力的爪击狠狠撕裂敌人，造成巨大的伤害。</t>
  </si>
  <si>
    <t>随着时间的推移，炽焰幼虎成长为强大的炽焰虎。它的力量宛如雷霆般不可抵挡，每一次攻击都如猛兽般迅猛而精准。炽焰虎的爪击已变得极为强大，撕裂敌人的同时带来炽热的灼烧效果。</t>
  </si>
  <si>
    <t>惊吓魔盒</t>
  </si>
  <si>
    <t>魔盒爆裂</t>
  </si>
  <si>
    <t>惊吓魔盒祭出魔盒，炸裂效果对周围敌人造成伤害</t>
  </si>
  <si>
    <t>惊吓魔盒祭出神秘魔盒，伴随一声巨响，魔盒爆裂，敌人瞬间被冲击波吞没。</t>
  </si>
  <si>
    <t>惊吓魔盒喜欢藏在角落，等敌人靠近时突然打开它的神秘魔盒，伴随着巨大的“砰”声，把敌人吓得魂飞魄散。每次魔盒爆裂后，它都会得意地说：“惊不惊喜？意不意外？</t>
  </si>
  <si>
    <t>小丑魔盒</t>
  </si>
  <si>
    <t>魔盒震荡</t>
  </si>
  <si>
    <t>小丑魔盒祭出威力更为强大的魔盒，炸裂效果对周围敌人造成大量伤害</t>
  </si>
  <si>
    <t>小丑魔盒释放出极具破坏力的魔盒，爆炸产生的震撼波动席卷四周，令敌人无处可逃。</t>
  </si>
  <si>
    <t>进化后的小丑魔盒对“惊吓”已经不满足了，它追求的是轰轰烈烈的场面！每次释放魔盒，小丑魔盒都会站在远处狂笑：“震撼吧，震撼吧！”爆炸波席卷整个战场，敌人都被震得怀疑人生，它却开心地喊着：“看，我可是爆炸艺术家！”</t>
  </si>
  <si>
    <t>尖锐音波</t>
  </si>
  <si>
    <t>尖叫鸡发出凄厉的音波攻击，对周围的敌人造成伤害</t>
  </si>
  <si>
    <t>尖叫鸡发出令人胆寒的尖锐音波，音波所过之处，敌人皆陷入混乱与痛苦。</t>
  </si>
  <si>
    <t>闪电冲刺</t>
  </si>
  <si>
    <t>勇士鸡手中长枪向前发起冲刺，对周围的敌人造成大量伤害</t>
  </si>
  <si>
    <t>勇士鸡挥舞长枪，似一道闪电般向前冲刺，带着无尽力量的枪尖刺穿敌人，造成大量伤害。</t>
  </si>
  <si>
    <t>王者鸡</t>
  </si>
  <si>
    <t>鼹鼠幼崽</t>
  </si>
  <si>
    <t>地底突袭</t>
  </si>
  <si>
    <t>鼹鼠幼崽原地消失，从地底穿出利用冲力对周围敌人造成伤害</t>
  </si>
  <si>
    <t>鼹鼠幼崽瞬间消失于地面之上，随即从地底爆发而出，冲击波撕裂周围的敌人。</t>
  </si>
  <si>
    <t>鼹鼠幼崽是个小小的冒险家，它总喜欢瞬间消失在地面上，再从地底突然出现，给敌人来个意想不到的“地底惊喜”。每次出击，它都会带来强烈的冲击波，让周围的敌人措手不及。一次，它在追逐闪电虫时意外发现了“地下突袭”的诀窍，成为了战场上的捉迷藏高手。</t>
  </si>
  <si>
    <t>鼹鼠矿工</t>
  </si>
  <si>
    <t>大地守护</t>
  </si>
  <si>
    <t>鼹鼠矿工原地消失，从地底穿出利用强大冲力对周围敌人造成大量伤害</t>
  </si>
  <si>
    <t>鼹鼠矿工如同大地的守护者，潜伏地下，突然冲出，以无比强大的冲力击溃敌人。</t>
  </si>
  <si>
    <t>进化后的鼹鼠矿工担负起了守护大地的使命，平时喜欢潜伏在地下，默默观察战局，关键时刻从地底猛然冲出，用无比强大的冲力击溃敌人。据说，它曾成功拯救一座村庄免受巨石崩塌，只因它“感觉大地在呼唤”。</t>
  </si>
  <si>
    <t>受伤小软</t>
  </si>
  <si>
    <t>毒液冲击</t>
  </si>
  <si>
    <t>受伤小软冲到敌人中心，左摇右摆利用毒液对敌人造成伤害</t>
  </si>
  <si>
    <t>受伤小软拼命冲向敌人中心，左摇右摆中释放出毒液，四处蔓延，腐蚀敌人的生命。</t>
  </si>
  <si>
    <t>受伤小软看起来软软糯糯，但一旦受伤，它就像“醉拳大师”一样，左摇右摆地冲进敌人堆里，甩出毒液四处乱飞。敌人本以为它会摔倒，结果却被毒液腐蚀得嗷嗷叫。小软还得意洋洋地说：“我晃得不是身体，是战术！”据说它一次不小心把毒液洒自己身上，结果却意外领悟了这招“摇摆毒液术”。</t>
  </si>
  <si>
    <t>战斗小软</t>
  </si>
  <si>
    <t>剑光雷霆</t>
  </si>
  <si>
    <t>战斗小软向前发起冲刺，手中的剑劈向敌人对其造成大量伤害</t>
  </si>
  <si>
    <t>战斗小软手持利剑，一往无前地冲刺向敌人，剑光如雷霆般落下，给予敌人致命的打击。</t>
  </si>
  <si>
    <t>进化后的战斗小软彻底告别了摇晃战术，改成了“剑术派”。它手持一把闪闪发光的大剑，每次冲刺都带着“剑光雷霆”的霸气。传闻有一次它冲得太猛，剑光亮瞎了自己，差点扎进草堆里。尽管如此，它依然自信满满：“只要我速度够快，敌人看都看不清我！”</t>
  </si>
  <si>
    <t>萌动拳击</t>
  </si>
  <si>
    <t>奶拳兔挥起自己的小奶拳，向敌人冲去对其造成伤害</t>
  </si>
  <si>
    <t>奶拳兔挥起小拳头，带着萌动的力量冲向敌人，虽然可爱，但绝不留情。</t>
  </si>
  <si>
    <t>狂风组合拳</t>
  </si>
  <si>
    <t>拳击兔向前冲刺打出一套组合拳，对敌人造成大量伤害</t>
  </si>
  <si>
    <t>拳击兔如风一般向敌人扑去，一连串的组合拳带着狂风骤雨般的力量击打敌人。</t>
  </si>
  <si>
    <t>拳王兔</t>
  </si>
  <si>
    <t>雷霆一击</t>
  </si>
  <si>
    <t>拳王兔蓄力向前挥出至强一拳，对前方敌人造成成吨伤害</t>
  </si>
  <si>
    <t>拳王兔全身的力量汇聚于一拳，雷霆般的冲击席卷前方，所到之处，敌人无一幸免。</t>
  </si>
  <si>
    <t>拳王兔早已登上拳击界宝座，每次出拳都是全力以赴，力量雷霆万钧。一拳挥出，敌人仿佛经历了一场“地震”般的冲击，全场瞬间被清空。拳王兔挥挥手说：“不需要多，干净利落一拳搞定！”</t>
  </si>
  <si>
    <t>角斗娃</t>
  </si>
  <si>
    <t>斗娃冲撞</t>
  </si>
  <si>
    <t>角斗娃全身向前冲撞，冲力对周围敌人造成伤害</t>
  </si>
  <si>
    <t>角斗娃全力向前冲撞，强大的冲力如同山崩地裂，将周围敌人击飞。</t>
  </si>
  <si>
    <t>角斗娃抱着它心爱的橄榄球，冲锋起来那叫一个猛烈，像是一头小型“推土机”。每次冲撞，敌人就像被卷进了“山崩地裂”的场面，通通被撞飞。它最喜欢在撞飞敌人后喊：“谁敢挡路就别怪我不客气！”</t>
  </si>
  <si>
    <t>巨角斗牛</t>
  </si>
  <si>
    <t>斗牛冲击</t>
  </si>
  <si>
    <t>巨角斗牛全身向前冲撞，巨大冲力对周围敌人造成大量伤害</t>
  </si>
  <si>
    <t>巨角斗牛全身爆发出无穷的力量，猛烈冲撞，震撼波动将周围的敌人碾压成灰。</t>
  </si>
  <si>
    <t>进化后的巨角斗牛，抱着橄榄球一冲起来就像移动的“破坏机器”。它的强力冲撞足以让敌人感受到“天崩地裂”的威力，周围的敌人瞬间被碾压成灰。一次，它冲得太猛，直接把敌方撞得七零八落，还一脸淡定地说：“抱歉，我只是在练习我的冲刺！”</t>
  </si>
  <si>
    <t>重锤兽</t>
  </si>
  <si>
    <t>地突重击</t>
  </si>
  <si>
    <t>重锤兽利用元素之力，召唤地突刺对周围敌人造成伤害</t>
  </si>
  <si>
    <t>重锤兽唤起大地之力，召唤地突刺破土而出，重击敌人，造成巨大的伤害。</t>
  </si>
  <si>
    <t>重锤兽从小就有个梦想——掌控大地的力量。每次它召唤地突刺时，都会一脸严肃地说：“让大地来帮我打！”虽然看起来憨憨的，但它的地突刺可不是闹着玩的，敌人一不小心就被重击得飞上天。它总是骄傲地拍拍地面：“你们的末日由我和大地决定！”</t>
  </si>
  <si>
    <t>重锤巨兽</t>
  </si>
  <si>
    <t>天灾地突</t>
  </si>
  <si>
    <t>重锤巨兽利用元素之力，召唤地大量突刺对周围敌人造成大量伤害</t>
  </si>
  <si>
    <t>重锤巨兽聚集无尽的元素之力，召唤大量地突刺，如同天灾降临，给予敌人毁灭性打击。</t>
  </si>
  <si>
    <t>进化后的重锤巨兽，已经完全掌控了大地和元素的力量。每次召唤大量地突刺时，敌人都感觉像经历了一场“天灾”。一次，它召唤的突刺把敌人碾成了平地，还自言自语地说：“这就是我为你们准备的大地之礼！”</t>
  </si>
  <si>
    <t>小烛灵</t>
  </si>
  <si>
    <t>火枪射击</t>
  </si>
  <si>
    <t>小烛灵将烛火幻化出的火枪，向前方进行射击对敌人造成伤害</t>
  </si>
  <si>
    <t>小烛灵将烛火化作火枪，闪电般的子弹射向前方，精准打击敌人。</t>
  </si>
  <si>
    <t>别看小烛灵个头小，它可是火枪神射手！每次把烛火化作火枪，都会自信地说：“闪开，我的子弹可是又快又准！”敌人总是被这看似不起眼的小火苗吓得四处逃窜，可小烛灵一边射击一边自豪地喊：“打得准，不赖我，是火枪太厉害！”</t>
  </si>
  <si>
    <t>烛灵枪手</t>
  </si>
  <si>
    <t>连珠火力</t>
  </si>
  <si>
    <t>烛灵枪手将烛火幻化出的火枪，向前方进行扫射对敌人造成大量伤害</t>
  </si>
  <si>
    <t>烛灵枪手幻化出无数火枪，连珠火力覆盖前方，令敌人无处遁形。</t>
  </si>
  <si>
    <t>进化后的烛灵枪手，已经不满足一把火枪了，它能同时幻化出无数火枪，简直就是一个移动火力库！连珠般的火力让敌人无处可逃。一次，它射得太欢快，差点把自己的影子也给打了，还笑着说：“不好意思，我的火枪不认人，只认目标！”</t>
  </si>
  <si>
    <t xml:space="preserve"> 火尾猴</t>
  </si>
  <si>
    <t>焰尾甩击</t>
  </si>
  <si>
    <t>火尾猴甩出自己的尾巴上的火焰，对周围的敌人造成伤害</t>
  </si>
  <si>
    <t>火尾猴挥动燃烧的尾巴，炽热的火焰如同鞭子般扫向周围的敌人，令敌人陷入烈焰的灼烧中。</t>
  </si>
  <si>
    <t>火尾猴最自豪的就是它那燃烧的尾巴，每次挥舞起来像甩鞭子似的，火焰横扫四周。它总是得意地说：“谁敢来试试我的火鞭？”虽然敌人都被烧得嗷嗷叫，但火尾猴只会哈哈大笑：“我可不是故意的，是我的尾巴太火了！”</t>
  </si>
  <si>
    <t>火焰猴</t>
  </si>
  <si>
    <t>火树流焰</t>
  </si>
  <si>
    <t>火焰猴在树枝上摇荡，下下发敌人洒出炽烈的火焰造成大量伤害</t>
  </si>
  <si>
    <t>火焰猴在树枝间灵活穿梭，随之洒落炽热的火焰，烈焰如流星般砸向敌人，带来毁灭性的高温打击</t>
  </si>
  <si>
    <t>进化后的火焰猴可不仅仅靠尾巴了，它喜欢在树枝间灵活穿梭，然后从空中洒下流星般的火焰。每次它的火焰砸中敌人，都会喊着：“接住我的火星雨吧，别说我没提醒你！”火焰猴最开心的就是看着敌人四处逃窜，一边哈哈大笑：“躲得了我的尾巴，躲不了我的火焰！”</t>
  </si>
  <si>
    <t>晶角龙崽</t>
  </si>
  <si>
    <t>晶角幼龙</t>
  </si>
  <si>
    <t>晶角巨龙</t>
  </si>
  <si>
    <t>火焰精灵</t>
  </si>
  <si>
    <t>炽热火焰</t>
  </si>
  <si>
    <t>火焰精灵召唤火元素，蓄力后发射火焰灼烧周围的敌人造成伤害</t>
  </si>
  <si>
    <t>火焰精灵唤出火元素，蓄力后发射炽热火焰，将周围敌人烧成灰烬。</t>
  </si>
  <si>
    <t>火焰精灵擅长召唤火元素，一旦蓄力完毕，就像是个移动烧烤架。每次火焰喷发，它都会笑着说：“今天谁想吃烤敌人？”敌人还没反应过来，就已经被火焰烧成灰烬。火焰精灵得意地补充道：“我这火候，可是刚刚好！”</t>
  </si>
  <si>
    <t>熔岩精灵</t>
  </si>
  <si>
    <t>岩浆喷发</t>
  </si>
  <si>
    <t>熔岩精灵召唤熔岩元素，蓄力后发射熔岩灼烧周围的敌人造成伤害</t>
  </si>
  <si>
    <t>熔岩精灵召唤熔岩元素，炽热的熔岩犹如岩浆般喷涌而出，焚尽一切。</t>
  </si>
  <si>
    <t>进化后的熔岩精灵更猛了，它不仅召唤火，还直接玩起了熔岩喷发，像岩浆一样焚烧一切。每次它的熔岩喷出时，敌人都四处逃窜，熔岩精灵则一脸淡定地说：“别跑，我的熔岩是按地形来的！”它自称“熔岩界的艺术家”，毕竟，没有什么是它的岩浆解决不了的。</t>
  </si>
  <si>
    <t>爆弹蟹</t>
  </si>
  <si>
    <t>爆炸冲击</t>
  </si>
  <si>
    <t>朝周围的敌人扔出一个爆弹，对爆炸格内的所有敌人造成伤害</t>
  </si>
  <si>
    <t>爆弹蟹将一颗爆弹扔向敌人，瞬间爆炸，火光四射，伤害爆炸范围内的所有敌人。</t>
  </si>
  <si>
    <t>别看爆弹蟹平时走路横着走，扔起炸弹可一点不含糊。每次它把炸弹扔出去，都会大喊：“躲开，火光秀来了！”炸弹一爆炸，火光四射，炸得敌人们四处乱窜。爆弹蟹总是骄傲地说：“我的目标是让你们‘眼前一亮’，这才是真正的爆炸艺术！”</t>
  </si>
  <si>
    <t>火药狂潮</t>
  </si>
  <si>
    <t>朝周围的敌人扔出一个火药桶，对爆炸格内的所有敌人造成大量伤害</t>
  </si>
  <si>
    <t>火药蟹火药桶飞向敌人阵地，随即引爆，爆炸的狂潮席卷四周，造成大量伤害。</t>
  </si>
  <si>
    <t>三恶魔</t>
  </si>
  <si>
    <t>小鬼出击</t>
  </si>
  <si>
    <t>三恶魔指挥手下小鬼，冲入敌阵，进行无差别攻击造成伤害</t>
  </si>
  <si>
    <t>三恶魔指挥小鬼奋不顾身冲入敌阵，挥舞武器进行无差别攻击，造成混乱和伤害。</t>
  </si>
  <si>
    <t>三恶魔虽然长得不大，但脑袋里全是各种捣乱的“妙计”。它指挥着一群小鬼，挥舞着武器，不管三七二十一就冲进敌阵，乱打一通。敌人往往搞不清谁打了谁，只能在混乱中挨打。三恶魔还得意地喊：“别管准不准，能乱就行！”</t>
  </si>
  <si>
    <t>恶魔小分队</t>
  </si>
  <si>
    <t>鬼抓狼嚎</t>
  </si>
  <si>
    <t>恶魔小分队指挥手下精英小鬼，冲入敌阵，进行无差别攻击造成大量伤害</t>
  </si>
  <si>
    <t>恶魔小分队指挥精英小鬼全力冲锋，狂乱的攻击如同风暴般横扫敌人，造成大量伤害。</t>
  </si>
  <si>
    <t>进化后的恶魔小分队可不再是乱打一气了，它们由三恶魔升级为“精英鬼”，指挥着这群精英鬼冲锋陷阵，攻击如风暴般猛烈，敌人无处可逃。恶魔小分队最爱喊：“全力冲锋！我们不是乱来，是‘有计划的混乱’！”</t>
  </si>
  <si>
    <t>羊角震荡</t>
  </si>
  <si>
    <t>蓬蓬羊的羊角发出冲击波，冲击周围敌人造成伤害。</t>
  </si>
  <si>
    <t>蓬蓬羊的羊角释放出震荡波，强大的波动让周围的敌人陷入重创。</t>
  </si>
  <si>
    <t>强力冲击波</t>
  </si>
  <si>
    <t>巨角羊的羊角发出强力冲击波，冲击周围敌人造成大量伤害。</t>
  </si>
  <si>
    <t>巨角羊的羊角发出强力冲击波，巨大的震荡波摧毁敌人，造成大量伤害。</t>
  </si>
  <si>
    <t>炽焰羊</t>
  </si>
  <si>
    <t>火焰猛冲</t>
  </si>
  <si>
    <t>炽焰羊全身包裹火焰之力向前猛冲，对周围敌人造成巨量伤害。</t>
  </si>
  <si>
    <t>炽焰羊全身包裹火焰，如同火焰彗星般向前猛冲，将敌人焚毁殆尽。</t>
  </si>
  <si>
    <t>炽焰羊全身包裹着火焰，像一颗快速划过的彗星。它总是在战场上轻快地冲向敌人，带着烈焰的力量，将一切燃尽。炽焰羊性格洒脱，常常调侃自己：“快点抓住我，要不然你们连灰都看不到！”虽然轻松，但它的力量不容小觑。</t>
  </si>
  <si>
    <t>尖啸震波</t>
  </si>
  <si>
    <t>迷眩蝙蝠发出一声尖啸，对周围敌人造成音波伤害</t>
  </si>
  <si>
    <t>迷眩蝙蝠发出震耳欲聋的尖啸，音波穿透空气，击中敌人，造成巨大的伤害。</t>
  </si>
  <si>
    <t>音波刀锋</t>
  </si>
  <si>
    <t>夜影伯爵发出一声尖啸，对周围敌人造成音波伤害</t>
  </si>
  <si>
    <t>夜影伯爵发出尖锐的叫声，音波如刀锋般切割敌人，造成可怕的伤害。</t>
  </si>
  <si>
    <t>夜影公爵</t>
  </si>
  <si>
    <t>暗夜酒宴</t>
  </si>
  <si>
    <t>夜影公爵将能量注入酒杯，缓缓倒在敌人阵中造成巨量伤害</t>
  </si>
  <si>
    <t>夜影公爵将深邃的能量注入酒杯，缓缓将其倒向敌阵。酒液如黑暗的潮水般涌动，霎时间在敌人之间爆发出持续性的巨量伤害。</t>
  </si>
  <si>
    <t>夜影公爵将黑暗能量注入高脚杯，优雅地将其倒向敌阵，黑色的酒液如潮水般涌向敌人，片刻间便带来毁灭性的伤害。公爵总是优雅地轻抿一口，轻描淡写地说：“每一滴都是黑暗的精华，足以淹没你们。”</t>
  </si>
  <si>
    <t>稻草人</t>
  </si>
  <si>
    <t>稻草突袭</t>
  </si>
  <si>
    <t>稻草人向前方突进，在敌人阵中飘忽不定，对敌人造成伤害</t>
  </si>
  <si>
    <t>稻草人向前方突进，飘忽不定地穿梭于敌人阵中，用其尖锐的稻草利器对敌人进行迅猛攻击，造成显著的伤害。</t>
  </si>
  <si>
    <t>稻草人看似简单，却是敌人眼中飘忽不定的噩梦。它以敏捷的身手突进敌阵，用锋利的稻草迅速发起猛烈攻击。敌人常常被它的利器打得措手不及，而稻草人则轻描淡写地说：“风带我来，风也带走你们。”</t>
  </si>
  <si>
    <t>稻草绅士</t>
  </si>
  <si>
    <t>绅士的幽影</t>
  </si>
  <si>
    <t>稻草绅士向前方突进，利用诡异身法对敌人造成大量伤害</t>
  </si>
  <si>
    <t>稻草绅士凭借其卓越的身法与深不可测的动作，绅士在敌人阵中迅速穿梭，利用精准的攻击对敌人造成巨大的伤害。</t>
  </si>
  <si>
    <t>稻草绅士，不仅动作优雅，还拥有深不可测的身法。它在敌人之间像跳舞一般穿梭，精准地刺击每一个目标。战斗结束后，稻草绅士轻轻整理了一下领结，微笑着说：“优雅，才是最致命的武器。”</t>
  </si>
  <si>
    <t>好奇鬼鬼</t>
  </si>
  <si>
    <t>幽灵恐惧</t>
  </si>
  <si>
    <t>好奇鬼鬼放出幽灵，对周围的敌人造成伤害</t>
  </si>
  <si>
    <t>好奇鬼鬼释放幽灵，幽暗的灵体在空中盘旋，给周围的敌人带来恐惧与痛苦。</t>
  </si>
  <si>
    <t>好奇鬼鬼最喜欢探索未知，它经常释放出幽暗的灵体在敌人头顶盘旋，让敌人感到无尽的恐惧和痛苦。虽然它是个好奇宝宝，但敌人却不这么想，毕竟那些盘旋的幽灵让人头皮发麻。</t>
  </si>
  <si>
    <t>胆小鬼鬼</t>
  </si>
  <si>
    <t>幽灵军团</t>
  </si>
  <si>
    <t>胆小鬼鬼放出大量幽灵，对周围的敌人造成大量伤害</t>
  </si>
  <si>
    <t>胆小鬼鬼召唤大量幽灵，铺天盖地的幽灵军团对周围的敌人发动猛烈攻击。</t>
  </si>
  <si>
    <t>别看胆小鬼鬼平时害怕一切，关键时刻它可是能召唤出大量的幽灵军团！铺天盖地的幽灵瞬间将敌人包围，发动猛烈攻击。胆小鬼鬼躲在后面，轻声嘀咕：“我可不喜欢打架，让我的幽灵们代劳吧！”</t>
  </si>
  <si>
    <t>壶灵</t>
  </si>
  <si>
    <t>灵壶光芒</t>
  </si>
  <si>
    <t>壶灵召唤灵壶进行攻击，对周围敌人造成伤害</t>
  </si>
  <si>
    <t>壶灵召唤出灵壶，灵壶中射出的光芒打击周围敌人，造成痛苦的伤害。</t>
  </si>
  <si>
    <t>壶灵召唤出它的灵壶，灵壶中射出的光芒能精准打击敌人。尽管壶灵看起来毫不起眼，但它的灵壶却充满了神秘的力量，带给敌人无尽的痛苦。壶灵总是微笑着说：“别小看我的壶，它可不只是装水的！”</t>
  </si>
  <si>
    <t>壶灵将</t>
  </si>
  <si>
    <t>灵壶爆发</t>
  </si>
  <si>
    <t>壶灵将召唤更高级的灵壶进行攻击，对周围敌人造成大量伤害</t>
  </si>
  <si>
    <t>壶灵将召唤高级灵壶，灵壶爆发出的力量吞没敌人，造成大量伤害。</t>
  </si>
  <si>
    <t>壶灵将已经掌握了高级灵壶的力量。每次召唤出灵壶，它能爆发出惊人的力量，吞没所有敌人。敌人们无处可逃，它却轻描淡写地说：“我的壶可是高级货，威力自然不同凡响。”</t>
  </si>
  <si>
    <t>壶灵王</t>
  </si>
  <si>
    <t>紫色雷霆</t>
  </si>
  <si>
    <t>壶灵王释放灵壶神力，召唤紫色雷霆对周围敌人造成巨量伤害</t>
  </si>
  <si>
    <t>壶灵王释放灵壶的神力，召唤紫色雷霆，雷霆之力毁天灭地，对敌人造成巨量伤害。</t>
  </si>
  <si>
    <t>作为壶灵的最终进化形态，壶灵王掌控着所有灵壶的神力。当它释放紫色雷霆时，敌人如同面临毁天灭地的打击。壶灵王从容不迫地说道：“这不仅是灵壶的力量，也是天地的雷霆在为我服务。”</t>
  </si>
  <si>
    <t>光波灼烧</t>
  </si>
  <si>
    <t>灯灵章鱼释放光波，对周围敌人造成伤害</t>
  </si>
  <si>
    <t>灯灵章鱼释放出明亮的光波，光芒在黑暗中如同利刃般切割空气，冲击周围的敌人，造成范围伤害。</t>
  </si>
  <si>
    <t>光波爆发</t>
  </si>
  <si>
    <t>潜灵章鱼释放强力光波，对周围敌人造成大量伤害</t>
  </si>
  <si>
    <t>进化后的潜灵章鱼，光波力量更加强大。它释放的光芒刺眼无比，几乎让敌人无处藏身。</t>
  </si>
  <si>
    <t>幼灵犬</t>
  </si>
  <si>
    <t>灵球猛击</t>
  </si>
  <si>
    <t>幼灵犬召唤灵球攻击，对周围敌人造成伤害</t>
  </si>
  <si>
    <t>幼灵犬召唤出神秘灵球，灵球在空中高速旋转，对周围的敌人造成猛烈的伤害。</t>
  </si>
  <si>
    <t>幼灵犬能召唤出神秘的灵球，每次灵球在空中高速旋转时，敌人都被它的猛烈力量打得措手不及。虽然看上去只是一只小狗，但它那旋转的灵球可是威力十足。</t>
  </si>
  <si>
    <t>三头灵犬</t>
  </si>
  <si>
    <t>雷霆灵球</t>
  </si>
  <si>
    <t>三头灵犬召唤强力灵球攻击，对周围敌人造成大量伤害</t>
  </si>
  <si>
    <t>三头灵犬唤出强力灵球，灵球如同雷霆般冲向敌人，带来毁灭性的打击。</t>
  </si>
  <si>
    <t>进化后的三头灵犬可不止一个脑袋厉害，它还能召唤出三个灵球！灵球如雷霆般冲向敌人，威力简直三倍惊人。每次三个脑袋轮流说话：“左边那个，准备挨打！”“中间的，快躲开！”“右边的，哦，太晚了！”</t>
  </si>
  <si>
    <t>铃铛蛇</t>
  </si>
  <si>
    <t>喷吉蛇</t>
  </si>
  <si>
    <t>弹射冲击</t>
  </si>
  <si>
    <t>弹弓翼龙利用弹弓将自己弹射出去，砸到周围敌人造成伤害</t>
  </si>
  <si>
    <t>弹弓翼龙利用弹弓将自己弹射而出，猛烈地砸向敌人，将敌人击飞。</t>
  </si>
  <si>
    <t>炽热炮弹</t>
  </si>
  <si>
    <t>火炮翼龙利用火炮发射炮弹，对周围敌人造成大量伤害</t>
  </si>
  <si>
    <t>火炮翼龙通过火炮发射炽热炮弹，炮弹撕裂空气，轰击敌人，造成巨量伤害。</t>
  </si>
  <si>
    <t>雷鸣幼龙</t>
  </si>
  <si>
    <t>雷霆轰击</t>
  </si>
  <si>
    <t>雷鸣幼龙引发自身雷霆元素，召唤雷霆对周围敌人造成伤害</t>
  </si>
  <si>
    <t>雷鸣幼龙引动雷霆元素，召唤雷霆之力轰击大地，震撼周围的敌人。</t>
  </si>
  <si>
    <t>雷鸣幼龙喜欢和雷霆做朋友，每次它引动雷霆元素时，天空都会轰隆隆地响起来。它骄傲地说：“看，我叫雷霆来玩啦！”然后雷霆之力就轰击大地，敌人们被震得东倒西歪。雷鸣幼龙总是笑嘻嘻地补充：“这就是我的雷霆轰炸表演，欢迎围观！”</t>
  </si>
  <si>
    <t>雷暴幼龙</t>
  </si>
  <si>
    <t>雷暴之力</t>
  </si>
  <si>
    <t>雷暴幼龙引发自身雷暴元素，召唤雷暴对周围敌人造成大量伤害</t>
  </si>
  <si>
    <t>雷暴幼龙唤出雷暴之力，雷鸣闪烁间，雷电狂舞，将敌人笼罩在无尽的雷暴中。</t>
  </si>
  <si>
    <t>进化后的雷暴幼龙更加厉害了，它能召唤雷暴之力，雷电在空中狂舞，像在跳电光舞蹈。每次雷电闪烁，敌人都被吓得抱头鼠窜，而雷暴幼龙却轻松地说：“别慌，雷电只是和你们玩玩，只是玩得有点大而已！”</t>
  </si>
  <si>
    <t>声波利刃</t>
  </si>
  <si>
    <t>音波鳄通过发出声波对敌人造成伤害</t>
  </si>
  <si>
    <t>音波鳄发出震撼的声波，声波如同利刃般穿透敌人的防线，给予致命一击。</t>
  </si>
  <si>
    <t>声波回响</t>
  </si>
  <si>
    <t>音响鳄通过发出声波对敌人造成伤害</t>
  </si>
  <si>
    <t>音响鳄通过音波的回响，使敌人陷入混乱，声波的力量直接打击敌人。</t>
  </si>
  <si>
    <t>火焰甩尾</t>
  </si>
  <si>
    <t>火灵猪尾部火焰熊熊燃烧，甩出炽热的火焰灼烧周围敌人造成伤害</t>
  </si>
  <si>
    <t>火灵猪尾部的火焰熊熊燃烧，甩出的炽热火焰瞬间将周围敌人点燃。</t>
  </si>
  <si>
    <t>炽焰猪</t>
  </si>
  <si>
    <t>火焰喷发</t>
  </si>
  <si>
    <t>炽焰猪头部火焰熊熊燃烧，喷吐出炽热的火焰灼烧周围敌人造成大量伤害</t>
  </si>
  <si>
    <t>炽焰猪头部火焰如烈焰喷发，炽热火流将敌人焚烧殆尽，造成大量伤害。</t>
  </si>
  <si>
    <t>进化后的炽焰猪更加凶猛，头上的火焰不再只是点火，它能直接喷发出炽热的火流，将敌人统统焚烧殆尽。炽焰猪每次出招后都会骄傲地说：“我可是火焰王者，谁能扛得住这烈焰？”看着敌人被烧得无路可逃，它总是满意地笑：“烧得干净，才是最高艺术。”</t>
  </si>
  <si>
    <t>钢爪幼龙</t>
  </si>
  <si>
    <t>激光射线</t>
  </si>
  <si>
    <t>钢爪幼龙发出激光射线，对周围敌人造成伤害</t>
  </si>
  <si>
    <t>钢爪幼龙发出激光射线，激光精准命中敌人，带来剧烈伤害。</t>
  </si>
  <si>
    <t>别看钢爪幼龙个头小，它可不是什么普通的小龙。这家伙一旦启动它的激光射线，敌人就跟被“激光眼”瞄准了一样，跑都来不及。它就像一架迷你钢炮，发射激光时，一阵炫目光线闪过，敌人瞬间失去平衡，被打得满地找牙。</t>
  </si>
  <si>
    <t>钢甲暴龙</t>
  </si>
  <si>
    <t>强力激光</t>
  </si>
  <si>
    <t>钢甲暴龙发出强力的激光射线，对周围敌人造成大量伤害</t>
  </si>
  <si>
    <t>钢甲暴龙发射出强力激光射线，刺破空气，撕裂敌人，造成毁灭性的打击。</t>
  </si>
  <si>
    <t>进化后的钢甲暴龙不仅体型变大，激光也“进化”成了杀伤力爆表的武器。每次它发射强力激光，就像在打保龄球一样，敌人排着队一个个被击倒，结果就是：没了！空气都被它的激光撕裂，敌人还没反应过来就已经成了历史。</t>
  </si>
  <si>
    <t>机械暴龙</t>
  </si>
  <si>
    <t>灭世光束</t>
  </si>
  <si>
    <t>机械暴龙发出强大至极的激光射线，对周围敌人造成巨量伤害</t>
  </si>
  <si>
    <t>机械暴龙释放出炽烈且无比强大的激光射线，瞬间扫荡四周，对所有敌人造成毁灭性的巨量伤害</t>
  </si>
  <si>
    <t>机械暴龙的激光射线已经达到了终极形态，炽烈的光束席卷整个战场，所到之处一片狼藉。敌人面对它毫无招架之力，强大的激光不仅摧毁一切，还清扫得一干二净。</t>
  </si>
  <si>
    <t>木棍重击</t>
  </si>
  <si>
    <t>木宝蜥向前突进，挥出木棍对敌人造成伤害</t>
  </si>
  <si>
    <t>木宝蜥迅猛突进，挥动木棍重击敌人，带来不容小觑的伤害。</t>
  </si>
  <si>
    <t>大戟重创</t>
  </si>
  <si>
    <t>戟手蜥刺出手中大戟，对敌人造成大量伤害</t>
  </si>
  <si>
    <t>戟手蜥猛然刺出手中大戟，戟刃划破空气，重创敌人，造成大量伤害。</t>
  </si>
  <si>
    <t>骑士蜥</t>
  </si>
  <si>
    <t>骑士战阵</t>
  </si>
  <si>
    <t>骑士蜥激发骑士之魂召唤5名强大骑士分身，并对路径上的敌人造成巨量伤害</t>
  </si>
  <si>
    <t>骑士蜥激发骑士之魂，召唤出五名强大骑士分身，战阵如洪水般席卷前方敌人，造成巨量伤害。</t>
  </si>
  <si>
    <t>作为最终进化形态，骑士蜥召唤出五名骑士分身，组成强大的战阵，像洪流般席卷战场。敌人面对如此阵势无处可逃，骑士蜥和它的骑士们毫不留情地重创敌阵。每次出战，这支强大的骑士队伍如同不可阻挡的洪水，迅速清空战场。</t>
  </si>
  <si>
    <t>珍宝投掷</t>
  </si>
  <si>
    <t>小财龙丢出自身珍藏宝物，砸向周围敌人造成伤害</t>
  </si>
  <si>
    <t>小财龙将自身珍藏宝物当作武器，猛然丢出，重重砸向敌人，造成伤害。</t>
  </si>
  <si>
    <t>珠宝纷飞</t>
  </si>
  <si>
    <t>财宝龙丢出自身大量珍藏宝物，砸向周围敌人造成大量伤害</t>
  </si>
  <si>
    <t>财宝龙愤怒地甩出大量珍藏宝物，珠宝纷飞间，敌人被无情击倒，造成大量伤害。</t>
  </si>
  <si>
    <t>导弹爆炸</t>
  </si>
  <si>
    <t>导弹鲨自身幻化一枚导弹，飞入周围敌人造成伤害</t>
  </si>
  <si>
    <t>导弹鲨化身为导弹，凌空飞行，迅速冲入敌阵，引发猛烈爆炸，造成巨大伤害。</t>
  </si>
  <si>
    <t>鱼雷冲击</t>
  </si>
  <si>
    <t>鱼雷鲨自身幻化一枚鱼雷，飞入周围敌人造成大量伤害</t>
  </si>
  <si>
    <t>鱼雷鲨幻化为鱼雷，带着摧枯拉朽的力量穿越敌阵，造成大量伤害。</t>
  </si>
  <si>
    <t>核弹鲨</t>
  </si>
  <si>
    <t>核弹毁灭</t>
  </si>
  <si>
    <t>核弹鲨召唤数枚威力巨大的核弹，对周围敌人造成巨量伤害</t>
  </si>
  <si>
    <t>核弹鲨召唤出数枚威力无穷的核弹，巨大的爆炸冲击波碾碎周围的一切，造成毁天灭地的巨量伤害。</t>
  </si>
  <si>
    <t>核弹鲨是毁灭的象征，每次它召唤出数枚威力无穷的核弹，爆炸的冲击波便碾碎周围的一切。敌人在核弹爆炸的恐怖冲击下瞬间被摧毁，整个战场仿佛遭遇了一场小型末日。核弹鲨的存在，意味着一切障碍都将化为灰烬。</t>
  </si>
  <si>
    <t>茶杯灵</t>
  </si>
  <si>
    <t>火焰迸发</t>
  </si>
  <si>
    <t>茶杯灵激发体内火元素，对周围敌人造成伤害</t>
  </si>
  <si>
    <t>茶杯灵激发体内的火元素，火焰迸发，迅速灼烧敌人，带来无尽痛苦。</t>
  </si>
  <si>
    <t>茶杯灵看起来像个普通的小茶杯，但可别被它的外表骗了！每当它激发体内的火元素，火焰就会瞬间迸发，把敌人烧得焦头烂额。谁能想到，喝茶的小杯子竟然能变成一枚火焰“炸弹”？小茶杯的热情可不是一般的烫！</t>
  </si>
  <si>
    <t>象茶壶</t>
  </si>
  <si>
    <t>熔岩喷涌</t>
  </si>
  <si>
    <t>象茶壶激发体内大量火元素，对周围敌人造成大量伤害</t>
  </si>
  <si>
    <t>象茶壶唤出体内大量火元素，火焰如熔岩般喷涌而出，焚尽一切，造成大量伤害。</t>
  </si>
  <si>
    <t>进化后的象茶壶，体内的火元素比以前更强大，火焰如熔岩般喷涌而出，瞬间焚尽一切。它就像一个行走的熔岩喷发口，无论挡在它面前的是谁，都逃不过被烤焦的命运。</t>
  </si>
  <si>
    <t>蜂群围攻</t>
  </si>
  <si>
    <t>蜜汁蜗牛召唤蜜汁蜂箱，对周围敌人造成伤害</t>
  </si>
  <si>
    <t>蜜汁蜗牛召唤出蜜汁蜂箱，蜂群四散而出，围攻敌人，给予致命的伤害。</t>
  </si>
  <si>
    <t>蜂群袭击</t>
  </si>
  <si>
    <t>堡垒蜗牛召唤蜜汁蜂箱，对周围敌人造成大量伤害</t>
  </si>
  <si>
    <t>堡垒蜗牛的蜜汁蜂箱召唤出更强大的蜂群，大量蜂群疯狂袭击敌人，造成大量伤害。</t>
  </si>
  <si>
    <t>城堡蜗牛</t>
  </si>
  <si>
    <t>蜂群轰炸</t>
  </si>
  <si>
    <t>指挥4只蜜蜂战士在敌人上方丢蜂箱炸弹，对敌人造成大范围的巨量伤害</t>
  </si>
  <si>
    <t>城堡蜗牛的蜜汁蜂箱召唤出最强大的蜂群，密密麻麻的蜂群疯狂袭击敌人，造成大范围的爆炸性巨量伤害。</t>
  </si>
  <si>
    <t>到了城堡蜗牛的阶段，它的蜜汁蜂箱召唤出了终极蜂群。蜂群如同一片遮天蔽日的黑幕，蜂群的攻击简直如同爆炸般摧毁一切。这场“蜂群风暴”席卷全场，敌人无处可逃，整个战场被覆盖在疯狂的蜜汁蜂群之中，仿佛一切都逃不过它的掌控。</t>
  </si>
  <si>
    <t>雪人</t>
  </si>
  <si>
    <t>雪球猛击</t>
  </si>
  <si>
    <t>雪人扔出雪球，对周围敌人造成伤害</t>
  </si>
  <si>
    <t>雪人甩出雪球，雪球划过空气，重重砸向敌人，冰寒之力瞬间冻结一切。</t>
  </si>
  <si>
    <t>雪人看起来呆萌可爱，但它的雪球可不是闹着玩的。它甩出的雪球在空中划过一道弧线，带着刺骨的寒意砸向敌人。每次敌人被砸中，冰寒之力瞬间冻结他们，连反应的时间都没有。谁能想到，一个雪球竟然有这么大的威力？</t>
  </si>
  <si>
    <t>雪怪</t>
  </si>
  <si>
    <t>强力雪球</t>
  </si>
  <si>
    <t>雪怪扔出强力雪球，对周围敌人造成大量伤害</t>
  </si>
  <si>
    <t>雪怪挥出强力雪球，带着风雪的威力猛然击中敌人，造成大量伤害。</t>
  </si>
  <si>
    <t>雪怪甩出的雪球更大、更猛，仿佛带着整场风雪一起袭击敌人。强力雪球飞速划过，冰冷的力量击中目标，敌人瞬间被冻得瑟瑟发抖。这雪球不再只是冷，它简直就是一场“冰雪风暴”的核心。</t>
  </si>
  <si>
    <t>冰灵</t>
  </si>
  <si>
    <t>寒气冰刺</t>
  </si>
  <si>
    <t>冰灵召唤冰元素，召唤冰刺对周围的敌人造成伤害</t>
  </si>
  <si>
    <t>冰灵唤出冰元素的寒气，召唤出锐利的冰刺，从地面瞬间刺出，对周围的敌人造成凛冽的伤害。</t>
  </si>
  <si>
    <t>冰灵是个掌控寒气的小法师，它喜欢用冰元素搞点小“惊喜”。每次唤出冰刺时，敌人还没意识到脚下的危险，锋利的冰刺便从地面瞬间刺出，带来凛冽的痛苦。这小家伙看似可爱，实则是个冰冷的战斗大师，总能让敌人在寒气中打寒颤。</t>
  </si>
  <si>
    <t>冰甲兽</t>
  </si>
  <si>
    <t>巨大冰刺</t>
  </si>
  <si>
    <t>冰甲兽召唤强力冰元素，召唤冰刺对周围的敌人造成大量伤害</t>
  </si>
  <si>
    <t>冰甲兽掌控强力冰元素，召唤出巨大的冰刺，冰封大地的力量猛然爆发，给予周围敌人毁灭性的打击。</t>
  </si>
  <si>
    <t>冰甲兽掌控着更强大的冰元素，它的冰刺不仅巨大，还带着冰封大地的力量。每当冰甲兽召唤冰刺，地面瞬间被冰封，敌人逃无可逃。那毁灭性的冰冻打击，犹如从天而降的寒冬，让敌人陷入了绝望的冰封世界。</t>
  </si>
  <si>
    <t>见习海盗鲨</t>
  </si>
  <si>
    <t>潜水破袭</t>
  </si>
  <si>
    <t>见习海盗鲨利用水之力量覆盖全身进入潜水状态，冲出水面对周围敌人造成伤害</t>
  </si>
  <si>
    <t>见习海盗鲨以水之力覆盖全身，潜入水下，随后如闪电般破水而出，猛烈冲击敌人，带来冲击伤害。</t>
  </si>
  <si>
    <t>见习海盗鲨正在学习如何成为一名真正的海盗，它的招牌技能就是用水之力包裹全身，潜入水下。敌人还没意识到危险，它就像闪电一样破水而出，猛烈地冲击目标。别看它只是个见习生已经有了不容小觑的冲击力。</t>
  </si>
  <si>
    <t>大副海盗鲨</t>
  </si>
  <si>
    <t>狂浪冲击</t>
  </si>
  <si>
    <t>大副海盗鲨利用水之力量覆盖全身进入潜水状态，冲出水面对周围敌人造成大量伤害</t>
  </si>
  <si>
    <t>大副海盗鲨将水之力环绕全身，隐匿于水下，紧接着以更为强劲的力量破水而出，激起狂浪，给予敌人致命一击。</t>
  </si>
  <si>
    <t>大副海盗鲨已经成为海上战斗的老手，它掌控着更强的水之力。每当它隐匿于水下，紧接着以更强的力量破水而出，激起狂浪，敌人根本无法逃脱这致命的袭击。</t>
  </si>
  <si>
    <t>使用情况</t>
  </si>
  <si>
    <t>宠物类型</t>
  </si>
  <si>
    <t>PetBasis_Name_10061</t>
  </si>
  <si>
    <t>PetBasis_Story_10061</t>
  </si>
  <si>
    <t>Pet_10061</t>
  </si>
  <si>
    <t>96|38|74|25|84|89|52|33|66|98|35|28|9|91</t>
  </si>
  <si>
    <t>PetBasis_Name_10062</t>
  </si>
  <si>
    <t>PetBasis_Story_10062</t>
  </si>
  <si>
    <t>Pet_10062</t>
  </si>
  <si>
    <t>53|67|7|57|68|17|61|98|69|75|66|28|58|22</t>
  </si>
  <si>
    <t>PetBasis_Name_10070</t>
  </si>
  <si>
    <t>PetBasis_Story_10070</t>
  </si>
  <si>
    <t>Pet_10070</t>
  </si>
  <si>
    <t>PetBasis_Name_10071</t>
  </si>
  <si>
    <t>PetBasis_Story_10071</t>
  </si>
  <si>
    <t>Pet_10071</t>
  </si>
  <si>
    <t>PetBasis_Name_10091</t>
  </si>
  <si>
    <t>PetBasis_Story_10091</t>
  </si>
  <si>
    <t>Pet_10091</t>
  </si>
  <si>
    <t>87|31|1|38|82|18|84|90|96|92|12|71|24|90</t>
  </si>
  <si>
    <t>伤害-单体</t>
  </si>
  <si>
    <t>PetBasis_Name_10102</t>
  </si>
  <si>
    <t>PetBasis_Story_10102</t>
  </si>
  <si>
    <t>Pet_10102</t>
  </si>
  <si>
    <t>95|13|87|11|18|75|3|40|77|61|61|58|95|73</t>
  </si>
  <si>
    <t>防御</t>
  </si>
  <si>
    <t>PetBasis_Name_10121</t>
  </si>
  <si>
    <t>PetBasis_Story_10121</t>
  </si>
  <si>
    <t>Pet_10121</t>
  </si>
  <si>
    <t>PetBasis_Name_10122</t>
  </si>
  <si>
    <t>PetBasis_Story_10122</t>
  </si>
  <si>
    <t>Pet_10122</t>
  </si>
  <si>
    <t>伤害-群体</t>
  </si>
  <si>
    <t>PetBasis_Name_10141</t>
  </si>
  <si>
    <t>PetBasis_Story_10141</t>
  </si>
  <si>
    <t>Pet_10141</t>
  </si>
  <si>
    <t>PetBasis_Name_10150</t>
  </si>
  <si>
    <t>PetBasis_Story_10150</t>
  </si>
  <si>
    <t>Pet_10150</t>
  </si>
  <si>
    <t>6|47|93|97|89|56|67|37|14|74|47|47|2|6</t>
  </si>
  <si>
    <t>PetBasis_Name_10151</t>
  </si>
  <si>
    <t>PetBasis_Story_10151</t>
  </si>
  <si>
    <t>Pet_10151</t>
  </si>
  <si>
    <t>99|46|56|52|15|19|92|94|62|95|70|61|98|86</t>
  </si>
  <si>
    <t>PetBasis_Name_10170</t>
  </si>
  <si>
    <t>PetBasis_Story_10170</t>
  </si>
  <si>
    <t>Pet_10170</t>
  </si>
  <si>
    <t>PetBasis_Name_10171</t>
  </si>
  <si>
    <t>PetBasis_Story_10171</t>
  </si>
  <si>
    <t>Pet_10171</t>
  </si>
  <si>
    <t>PetBasis_Name_10180</t>
  </si>
  <si>
    <t>PetBasis_Story_10180</t>
  </si>
  <si>
    <t>Pet_10180</t>
  </si>
  <si>
    <t>9|48|16|43|58|20|56|86|22|52|64|2|53|45</t>
  </si>
  <si>
    <t>PetBasis_Name_10181</t>
  </si>
  <si>
    <t>PetBasis_Story_10181</t>
  </si>
  <si>
    <t>Pet_10181</t>
  </si>
  <si>
    <t>软软国王</t>
  </si>
  <si>
    <t>PetBasis_Name_10182</t>
  </si>
  <si>
    <t>PetBasis_Story_10182</t>
  </si>
  <si>
    <t>Pet_10182</t>
  </si>
  <si>
    <t>PetBasis_Name_10192</t>
  </si>
  <si>
    <t>PetBasis_Story_10192</t>
  </si>
  <si>
    <t>Pet_10192</t>
  </si>
  <si>
    <t>PetBasis_Name_10210</t>
  </si>
  <si>
    <t>PetBasis_Story_10210</t>
  </si>
  <si>
    <t>Pet_10210</t>
  </si>
  <si>
    <t>76|89|90|19|9|8|65|13|10|11|5|20|91|5</t>
  </si>
  <si>
    <t>PetBasis_Name_10211</t>
  </si>
  <si>
    <t>PetBasis_Story_10211</t>
  </si>
  <si>
    <t>Pet_10211</t>
  </si>
  <si>
    <t>85|28|43|46|47|95|65|100|3|8|27|92|26|69</t>
  </si>
  <si>
    <t>PetBasis_Name_10220</t>
  </si>
  <si>
    <t>PetBasis_Story_10220</t>
  </si>
  <si>
    <t>Pet_10220</t>
  </si>
  <si>
    <t>PetBasis_Name_10221</t>
  </si>
  <si>
    <t>PetBasis_Story_10221</t>
  </si>
  <si>
    <t>Pet_10221</t>
  </si>
  <si>
    <t>PetBasis_Name_10230</t>
  </si>
  <si>
    <t>PetBasis_Story_10230</t>
  </si>
  <si>
    <t>Pet_10230</t>
  </si>
  <si>
    <t>PetBasis_Name_10231</t>
  </si>
  <si>
    <t>PetBasis_Story_10231</t>
  </si>
  <si>
    <t>Pet_10231</t>
  </si>
  <si>
    <t>火尾猴</t>
  </si>
  <si>
    <t>PetBasis_Name_10250</t>
  </si>
  <si>
    <t>PetBasis_Story_10250</t>
  </si>
  <si>
    <t>Pet_10250</t>
  </si>
  <si>
    <t>PetBasis_Name_10251</t>
  </si>
  <si>
    <t>PetBasis_Story_10251</t>
  </si>
  <si>
    <t>Pet_10251</t>
  </si>
  <si>
    <t>PetBasis_Name_10270</t>
  </si>
  <si>
    <t>PetBasis_Story_10270</t>
  </si>
  <si>
    <t>Pet_10270</t>
  </si>
  <si>
    <t>PetBasis_Name_10271</t>
  </si>
  <si>
    <t>PetBasis_Story_10271</t>
  </si>
  <si>
    <t>Pet_10271</t>
  </si>
  <si>
    <t>熔岩王</t>
  </si>
  <si>
    <t>PetBasis_Name_10272</t>
  </si>
  <si>
    <t>PetBasis_Story_10272</t>
  </si>
  <si>
    <t>Pet_10272</t>
  </si>
  <si>
    <t>PetBasis_Name_10300</t>
  </si>
  <si>
    <t>PetBasis_Story_10300</t>
  </si>
  <si>
    <t>Pet_10300</t>
  </si>
  <si>
    <t>6|35|100|54|9|41|16|61|84|94|35|35|63|29</t>
  </si>
  <si>
    <t>PetBasis_Name_10320</t>
  </si>
  <si>
    <t>PetBasis_Story_10320</t>
  </si>
  <si>
    <t>Pet_10320</t>
  </si>
  <si>
    <t>PetBasis_Name_10321</t>
  </si>
  <si>
    <t>PetBasis_Story_10321</t>
  </si>
  <si>
    <t>Pet_10321</t>
  </si>
  <si>
    <t>回复型</t>
  </si>
  <si>
    <t>PetBasis_Name_10332</t>
  </si>
  <si>
    <t>PetBasis_Story_10332</t>
  </si>
  <si>
    <t>Pet_10332</t>
  </si>
  <si>
    <t>辅助型</t>
  </si>
  <si>
    <t>PetBasis_Name_10352</t>
  </si>
  <si>
    <t>PetBasis_Story_10352</t>
  </si>
  <si>
    <t>Pet_10352</t>
  </si>
  <si>
    <t>PetBasis_Name_10360</t>
  </si>
  <si>
    <t>PetBasis_Story_10360</t>
  </si>
  <si>
    <t>Pet_10360</t>
  </si>
  <si>
    <t>PetBasis_Name_10361</t>
  </si>
  <si>
    <t>PetBasis_Story_10361</t>
  </si>
  <si>
    <t>Pet_10361</t>
  </si>
  <si>
    <t>PetBasis_Name_10380</t>
  </si>
  <si>
    <t>PetBasis_Story_10380</t>
  </si>
  <si>
    <t>Pet_10380</t>
  </si>
  <si>
    <t>94|5|55|12|81|28|60|88|40|26|47|21|8|14</t>
  </si>
  <si>
    <t>PetBasis_Name_10381</t>
  </si>
  <si>
    <t>PetBasis_Story_10381</t>
  </si>
  <si>
    <t>Pet_10381</t>
  </si>
  <si>
    <t>92|67|66|74|63|57|40|59|85|9|76|11|77|42</t>
  </si>
  <si>
    <t>PetBasis_Name_10390</t>
  </si>
  <si>
    <t>PetBasis_Story_10390</t>
  </si>
  <si>
    <t>Pet_10390</t>
  </si>
  <si>
    <t>40|84|79|33|6|79|31|74|88|59|35|19|72|73</t>
  </si>
  <si>
    <t>PetBasis_Name_10391</t>
  </si>
  <si>
    <t>PetBasis_Story_10391</t>
  </si>
  <si>
    <t>Pet_10391</t>
  </si>
  <si>
    <t>PetBasis_Name_10392</t>
  </si>
  <si>
    <t>PetBasis_Story_10392</t>
  </si>
  <si>
    <t>Pet_10392</t>
  </si>
  <si>
    <t>PetBasis_Name_10420</t>
  </si>
  <si>
    <t>PetBasis_Story_10420</t>
  </si>
  <si>
    <t>Pet_10420</t>
  </si>
  <si>
    <t>PetBasis_Name_10421</t>
  </si>
  <si>
    <t>PetBasis_Story_10421</t>
  </si>
  <si>
    <t>Pet_10421</t>
  </si>
  <si>
    <t>三头犬神</t>
  </si>
  <si>
    <t>PetBasis_Name_10422</t>
  </si>
  <si>
    <t>PetBasis_Story_10422</t>
  </si>
  <si>
    <t>Pet_10422</t>
  </si>
  <si>
    <t>PetBasis_Name_10460</t>
  </si>
  <si>
    <t>PetBasis_Story_10460</t>
  </si>
  <si>
    <t>Pet_10460</t>
  </si>
  <si>
    <t>PetBasis_Name_10461</t>
  </si>
  <si>
    <t>PetBasis_Story_10461</t>
  </si>
  <si>
    <t>Pet_10461</t>
  </si>
  <si>
    <t>PetBasis_Name_10501</t>
  </si>
  <si>
    <t>PetBasis_Story_10501</t>
  </si>
  <si>
    <t>Pet_10501</t>
  </si>
  <si>
    <t>PetBasis_Name_10510</t>
  </si>
  <si>
    <t>PetBasis_Story_10510</t>
  </si>
  <si>
    <t>Pet_10510</t>
  </si>
  <si>
    <t>PetBasis_Name_10511</t>
  </si>
  <si>
    <t>PetBasis_Story_10511</t>
  </si>
  <si>
    <t>Pet_10511</t>
  </si>
  <si>
    <t>PetBasis_Name_10512</t>
  </si>
  <si>
    <t>PetBasis_Story_10512</t>
  </si>
  <si>
    <t>Pet_10512</t>
  </si>
  <si>
    <t>PetBasis_Name_10522</t>
  </si>
  <si>
    <t>PetBasis_Story_10522</t>
  </si>
  <si>
    <t>Pet_10522</t>
  </si>
  <si>
    <t>PetBasis_Name_10562</t>
  </si>
  <si>
    <t>PetBasis_Story_10562</t>
  </si>
  <si>
    <t>Pet_10562</t>
  </si>
  <si>
    <t>PetBasis_Name_10570</t>
  </si>
  <si>
    <t>PetBasis_Story_10570</t>
  </si>
  <si>
    <t>Pet_10570</t>
  </si>
  <si>
    <t>42|2|20|85|20|41|45|72|84|82|15|47|35|61</t>
  </si>
  <si>
    <t>PetBasis_Name_10571</t>
  </si>
  <si>
    <t>PetBasis_Story_10571</t>
  </si>
  <si>
    <t>Pet_10571</t>
  </si>
  <si>
    <t>75|42|5|41|3|69|44|91|94|42|73|71|26|83</t>
  </si>
  <si>
    <t>PetBasis_Name_10582</t>
  </si>
  <si>
    <t>PetBasis_Story_10582</t>
  </si>
  <si>
    <t>Pet_10582</t>
  </si>
  <si>
    <t>PetBasis_Name_10590</t>
  </si>
  <si>
    <t>PetBasis_Story_10590</t>
  </si>
  <si>
    <t>Pet_10590</t>
  </si>
  <si>
    <t>PetBasis_Name_10591</t>
  </si>
  <si>
    <t>PetBasis_Story_10591</t>
  </si>
  <si>
    <t>Pet_10591</t>
  </si>
  <si>
    <t>PetBasis_Name_10600</t>
  </si>
  <si>
    <t>PetBasis_Story_10600</t>
  </si>
  <si>
    <t>Pet_10600</t>
  </si>
  <si>
    <t>47|20|34|4|59|39|37|87|99|67|13|31|17|26</t>
  </si>
  <si>
    <t>PetBasis_Name_10601</t>
  </si>
  <si>
    <t>PetBasis_Story_10601</t>
  </si>
  <si>
    <t>Pet_10601</t>
  </si>
  <si>
    <t>PetBasis_Name_10620</t>
  </si>
  <si>
    <t>PetBasis_Story_10620</t>
  </si>
  <si>
    <t>Pet_10620</t>
  </si>
  <si>
    <t>PetBasis_Name_10621</t>
  </si>
  <si>
    <t>PetBasis_Story_10621</t>
  </si>
  <si>
    <t>Pet_10621</t>
  </si>
  <si>
    <t>船长海盗鲨</t>
  </si>
  <si>
    <t>PetBasis_Name_10622</t>
  </si>
  <si>
    <t>PetBasis_Story_10622</t>
  </si>
  <si>
    <t>Pet_10622</t>
  </si>
  <si>
    <t>隐忍菇们世代守护着一个古老传说，依赖它们刻苦学习的忍术</t>
  </si>
  <si>
    <t>上忍菇曾在瘟疫爆发时，用毒孢子中和病毒，挽救了整个村庄的啪嘟居民。</t>
  </si>
  <si>
    <t>影刃菇进化后，获得了更强的战斗技能和隐身能力，在森林中无声地穿梭，借助大自然的力量隐蔽自己，是森林里无畏的战士。影刃菇的双刃飞镖锋利无比，能够轻松击碎敌人的防御，使它们在战斗中占据上风。</t>
  </si>
  <si>
    <t>藤蔓球总是在默默无闻地守护着周围的环境，它的身体会散发出淡淡的清香，能够让周围的环境变得舒适宜人。</t>
  </si>
  <si>
    <t>传说尖牙花曾经保护过一个小村庄，使其免受侵害，为此村民尊敬它并视其为守护神。</t>
  </si>
  <si>
    <t>在啪嘟世界的广袤森林中，三头巨蔓守护着自己的领地，如同大自然的哨兵。每当侵略者靠近，三头巨蔓总能从容应对，确保森林的安宁与和谐。</t>
  </si>
  <si>
    <t>小灯蜂喜欢在花丛间飞舞，采集花蜜。它尤其喜欢甜美的花朵，常常会在花丛中迷失方向</t>
  </si>
  <si>
    <t>灵灯蜂是一个勇敢富有责任感的啪嘟，天生拥有控制雷电的能力。它通常带领着一群宝宝蜂，保护着它们的依赖巢穴。</t>
  </si>
  <si>
    <t>惊吓魔盒是一个神秘的小方盒，虽然看起来只是平平无奇的盒子，至今没有人见到到盒子里面的真容</t>
  </si>
  <si>
    <t>小丑魔盒曾在一个小镇的庆典上表演，带来了无尽的欢笑和快乐，从此成为小镇居民最喜爱的吉祥物。</t>
  </si>
  <si>
    <t>在啪嘟世界的一座小村庄里，怪叫鸡是每个人的开心果。它会及时出现在情绪低落的人身边，用它那滑稽的动作和奇特的叫声分散对方的注意力，让他重新振作起来。</t>
  </si>
  <si>
    <t>传说有一次，一个小村庄受到猛兽的侵扰，村民们都非常害怕。勇士鸡勇敢地站出来，与猛兽展开激烈的战斗，最终成功保护了村庄</t>
  </si>
  <si>
    <t>寻宝鼹鼠是地下矿区的寻宝专家，它对宝石这些有着灵敏的嗅觉，可以在任何复杂的地形中找到宝贵的矿石资源，是矿工鼹鼠队伍里的寻宝高手。</t>
  </si>
  <si>
    <t>几代鼹鼠在同一片矿脉中开采矿石，并分工有序，合作无间，矿石鼹鼠凭借其敏锐的洞察力和挖掘技巧，成为矿工鼹鼠族群中最出色的挖掘队成员。</t>
  </si>
  <si>
    <t>在啪嘟世界的神秘湖泊深处，受伤小软作为一位古老战士的灵魂化身而诞生。如今它游荡在湖泊和沼泽中，默默守护着湖泊，以其细腻的感知力帮助那些需要安慰的生灵。</t>
  </si>
  <si>
    <t>在一次激烈的战斗中，小软为了保护一群无辜的生灵而牺牲自己，最终进化成战斗小软，后来，战斗小软虽然身经百战，但内心依旧保持着对和平和保护弱小的坚定信念。</t>
  </si>
  <si>
    <t>在森林格斗比赛中，奶拳兔以出色的拳击技巧获得了第一名，赢得所有动物的尊敬。从此它更加努力训练，目标是成为真正的格斗冠军。</t>
  </si>
  <si>
    <t>拳击兔在一次国际格斗比赛中，击败了来自各地的强敌，成为了最年轻的冠军。从此，它成为了格斗界的明星。</t>
  </si>
  <si>
    <t>从一只默默无闻的小兔子到拳坛的顶级高手，拳王兔的成长之路充满了挑战和机遇，凭借其卓越的技巧和健硕的体格以及不屈的意志成为竞技场上的传奇。</t>
  </si>
  <si>
    <t>角斗娃出生在啪嘟世界的竞技场附近，从小耳濡目染着各种激烈的比赛，总是梦想着有一天能成为一名强大的高手。</t>
  </si>
  <si>
    <t>角斗娃经历了多次激烈的战斗后，终于进化成了强大的巨角霸王，它不仅仅以力量着称，还以冷静的头脑和勇猛的战力成为了啪嘟世界中的传奇。</t>
  </si>
  <si>
    <t>重锤兽被用来帮助人类开采矿石。随着时间的推移，它们进化出更强大的力量和更坚硬的身体。</t>
  </si>
  <si>
    <t>重锤巨兽善于开采矿石，久而久之，它们进化出由石头组成的更强大的力量和更坚硬的身体，后来被用于帮助古代文明建造巨大的城市和防御工事。</t>
  </si>
  <si>
    <t>烛灵诞生于一个充满奇幻色彩的蜡烛王国。它们会在夜晚点亮整个王国，为居民带来光明，驱散黑暗，驱散人们心中的阴影。</t>
  </si>
  <si>
    <t>有一位用蜡烛作为武器的传奇枪手，借其出色的战斗技巧和火焰控制能力在战场上勇往无前，他的每一击都伴随着燃烧的火焰，能够将敌人瞬间化为灰烬。</t>
  </si>
  <si>
    <t>火尾猴从小就生活在火山脚下的森林中，虽然拥有火焰尾巴的天赋力量，但它却始终没能完全掌控这股力量。</t>
  </si>
  <si>
    <t>火焰猴曾在熔岩之河中游泳，吸收熔岩的岩浆后掌握了极为强大的火焰力量。它不仅可以保护自己，还会帮助同伴抵挡敌人的攻击，擅长使用尾巴作为攀爬闪避的有利工具。</t>
  </si>
  <si>
    <t>火焰精灵是火山活动所诞生的独特生物，它们以其友善的性格和强大的火焰力量，守护着火山脚下的村庄得以安然无恙地存在。</t>
  </si>
  <si>
    <t>熔岩精灵因周身流淌着高温的岩浆，导致靠近人类的村庄，燃烧了他人的房屋和家园，因害怕再次连累他人，从此远离村庄，远远的保护着人类，并维持着火山的活力和地壳的平衡。</t>
  </si>
  <si>
    <t>爆弹蟹的祖先在一片灼热的荒原中诞生，为了在这片炙热的土地上繁衍生息，他们适应恶劣的环境并把自己寄居到炸弹的壳里，逐渐进化出了强大的爆炸能力。</t>
  </si>
  <si>
    <t>火药巨蟹抵御外敌时，用自己火药桶般的外壳和强大的火力保护自身。</t>
  </si>
  <si>
    <t>三恶魔是由古老的火焰魔法诞生而来，传说它们守护着一个神秘的火山宝藏。许多勇敢的冒险者曾试图接近它们，但都被它们的火焰力量所击退。</t>
  </si>
  <si>
    <t>恶魔小分队是火山深处的小首领，据说只有最勇敢的训练师才能征服它们。传说它们的火焰可以熔化一切，但它们也对忠诚的伙伴展现出无尽的保护和力量。</t>
  </si>
  <si>
    <t>蓬蓬羊们过着安逸的生活，直到一天，一群猛兽来袭。尽管蓬蓬羊们无法抵挡强敌，但它们的勇敢和团结让魔法之力觉醒，最终吓退了敌人</t>
  </si>
  <si>
    <t>巨角羊带领着其他羊群，保护着自己家园。在一次次与强大敌人的战斗中，不断磨练自己的能力与意志</t>
  </si>
  <si>
    <t>炽焰羊代表着希望和力量的象征，每当族群面临危险时，它总是站在最前线，守护着族群的安定与和谐。</t>
  </si>
  <si>
    <t>迷眩蝙蝠的传说源于一个古老的洞穴，那里隐藏着神秘的宝藏。据说只有能够抵抗它们精神力的人才能找到洞穴的入口，并解开其中的秘密。</t>
  </si>
  <si>
    <t>它们是夜晚的守护者，能够解开黑暗中的谜题和秘密。传说中，夜影蝠妖能够在关键时刻为它们的伙伴提供生命支持，并与它们一起探索夜晚的奥秘。</t>
  </si>
  <si>
    <t>夜影公爵拥有极强的精神控制能力，能够通过其锐利的目光释放精神冲击，从而轻松控制对手的行动。用其强大的精神能力将对手变为自己的傀儡。</t>
  </si>
  <si>
    <t>稻草人原本是一个静止的农田守卫，直到有一天因为被赋予了一个笑脸，让它拥有自主的意识。它忠心耿耿地守护着农田，任何不怀好意靠近农田的生物，都会被他感知到并驱逐。</t>
  </si>
  <si>
    <t>稻草绅士是一位天生的表演者，总是在寂静时刻打破沉寂。它会无声无息地现身，专门吓跑那些破坏农田的掠食者，并以欣赏他们仓皇逃窜的狼狈模样为乐。</t>
  </si>
  <si>
    <t>啪嘟森林的传说中，它们是水之精灵的化身，据说在遇到危险时，它们会利用泡泡进行攻击，用水泡击退敌人，保护它们与朋友的安全。</t>
  </si>
  <si>
    <t>胆小鬼鬼是古代守护者的化身，守护着隐藏在水下的古老宝藏和秘密。尽管它们看起来胆小，却拥有善良的性格，只有心地纯洁且对水元素有着深刻理解的训练师才能与它们结成伙伴。</t>
  </si>
  <si>
    <t>传说壶灵是大陆最伟大锻造师在世间留下的青铜残片，由锻造师的执念与幽灵之力融合而成。它们散发出淡雅的幽光，给人带来片刻的宁静与祥和。</t>
  </si>
  <si>
    <t>传说壶灵传说是大陆最伟大锻造师在世间留下的青铜残片，几百年来，灵壶守护着这片区域，最终进化为壶灵将。</t>
  </si>
  <si>
    <t>壶灵王时灵壶的最终形态，壶灵王以其无与伦比的控制力，在多次危机中拯救了大陆于危难中。</t>
  </si>
  <si>
    <t>在神秘湖泊里，生活着一群灯灵章鱼。它们是湖泊的守护者，不仅用触角上的光芒引导迷路的旅人，还利用光芒引来侵略物种，成为湖泊中高效的捕食者，维持着湖泊的生态平衡。</t>
  </si>
  <si>
    <t>一次深海探险中，潜灵章鱼发现了一艘古老的沉船，里面藏有无数宝藏和失落的秘密。它将这些秘密带出水面，帮助科学家们揭开了深海的神秘面纱。</t>
  </si>
  <si>
    <t>一只被遗忘的幼灵犬，带着强大的执念，守护在古老的墓地，保护着它的家园不受邪恶力量的侵扰。</t>
  </si>
  <si>
    <t>三头灵犬是墓地的守护者，守护着通往幽灵界的大门，因为拥有三颗头颅，长相凶恶，因此以“恶犬”闻名。</t>
  </si>
  <si>
    <t>弹弓翼龙从小就开始练习弹弓射击，并不断地通过练习提升自己的技巧，它学习了不少战斗技巧，并将这些技巧传授给同伴。</t>
  </si>
  <si>
    <t xml:space="preserve"> 传说中，火炮翼龙是古代一位机械大师的得力助手，它继承了主人的知识和技能，并热衷于钻研能够提高战斗效率的武器与装备</t>
  </si>
  <si>
    <t>在啪嘟世界的某个雷电之谷，住着一群拥有独特电力能力的雷鸣幼龙，他们利用自身的电力能力引导雷电，使得风暴的威力减弱，保护了它的族群。</t>
  </si>
  <si>
    <t>在啪嘟世界的某个雷电之谷，该地常年电流磁场紊乱，拥有操控雷电能力的雷暴幼龙脱颖而出，通过集中自身的电力，成功疏导了这些磁场强电流，将危险化为无形，从此他们定居在此。</t>
  </si>
  <si>
    <t>音波鳄出生在一个宁静的河谷，但因为天生对声音极为敏感，它容易被不同的声音吸引，为了练就最强的音波，它不断探索学习，练习不同的发声技巧，并逐渐强大起来。</t>
  </si>
  <si>
    <t>音响鳄领悟到了更强的音乐攻击力，它开始踏上不断强化自己的旅程，最终成长为一位用音乐做武器的强大战士。</t>
  </si>
  <si>
    <t>生活在火山口附近或聚集在温泉周围，传说中这些地方充满了火焰之灵的祝福，赋予了烙尾小猪特殊的火焰能量。</t>
  </si>
  <si>
    <t>炽焰野猪象征着火焰的永恒力量，只有最勇敢和最忠诚的烙尾小猪才能进化成炙烤野猪，成为火山永恒的守护者。</t>
  </si>
  <si>
    <t>钢爪龙崽原来是科学家研发的实验室守卫，但因为系统意外崩溃，导致龙崽的手未及时得到强化，变成一个不完整的「失败品」，但它竟然拥有了意想不到的自我意识，逃出实验室并存活下来。</t>
  </si>
  <si>
    <t>钢甲暴龙对人类有着复杂的感情，但在一次面临巨大威胁的战斗里，它最终还是选择保护了那些无辜受害者，一些人类将其视为失败品，而另一些则视其为独一无二的守护者。</t>
  </si>
  <si>
    <t>机械暴龙发现利用自己收集来的化学元素来增强力量的方法。通过吸收并融合这些元素，它的金属角和装甲不仅变得更加坚硬，还具备了特殊的能力，如耐腐蚀性和高强电力的抵抗性。</t>
  </si>
  <si>
    <t>木宝从小就显示出了非凡的好奇心和活力，它总是带着自己的木盾和木棍，带着小伙伴们在森林中四处探索，玩冒险游戏。</t>
  </si>
  <si>
    <t>翼角勇者是木宝进化后的形态。它们拥有强大的力量和敏捷的身手，进化后的翼角勇者不仅变得更加高大和强壮，还具备了更加高超的战斗技能。</t>
  </si>
  <si>
    <t>骑士蜥延续了其守护草原的使命，它们具备超凡的战斗技巧和卓越的防御能力，是一股强大的防御力量，它们的存在不仅象征着力量和勇气，更代表了正义与守护的精神。</t>
  </si>
  <si>
    <t>小财龙从小就对金光闪闪的东西充满兴趣，它总是能在各种隐秘的地方找到藏匿的金币和宝石，并小心翼翼地将它们带回去藏起来</t>
  </si>
  <si>
    <t>财宝龙自幼生活在一片古老的藏宝洞窟中，传说它们的祖先曾是远古龙族中守护宝藏的巨龙，财宝龙继承了祖先的特质，对宝藏有着极高的敏感度和收集欲望。</t>
  </si>
  <si>
    <t>在一个名为极速海域的地方，极速海域因其强劲的洋流和复杂的水下地形而着称，导弹鲨凭借其超凡的速度和强大的意志，轻松避开竞争对手，并在这片海域中建立起自己的领地。</t>
  </si>
  <si>
    <t>鱼雷鲨喜欢挑战强烈的洋流、深海漩涡和暗流险地，这些地方因其复杂的地形和充满危险的暗流而闻名，鱼雷鲨在这些复杂的水下环境中挑战自己而且乐在其中</t>
  </si>
  <si>
    <t>核弹鲨原本是一个被废弃的军事项目，旨在创建一种可以在恶劣环境中执行任务的智能机械生物。项目因技术问题和争议被中止后，核弹鲨被遗弃在一个隐蔽的实验室中。某个暴风雨之夜，一道闪电意外击中了实验室，激活了核弹鲨的系统，使它获得了自主意识和生命。从此，核弹鲨开始在世界各地游历。</t>
  </si>
  <si>
    <t>茶杯灵起源于一个古老的茶园，它们会在茶园中徘徊，用自己温暖的香气和治愈的力量帮助植物茁壮成长。</t>
  </si>
  <si>
    <t>象茶壶传说起源于一个古老的智慧之泉，那里是古代贤者们聚集的地方。他们通过宝象壶的泉水获取灵感和智慧。宝象壶因此成为了智慧和治愈的象征。</t>
  </si>
  <si>
    <t>蜂蜜蜗牛是由一只迷路的蜗牛和一桶被遗弃的蜂蜜融合而成的，它是森林里的守护者，它们以自己的蜂蜜治愈了无数受伤的生物，并保护了森林的生态平衡。</t>
  </si>
  <si>
    <t>堡垒蜗牛是一只以保护自己和群居生活的蜜蜂为天职的蜗牛。城堡中的守卫蜂一直与堡垒蜗牛保持着协同合作，帮助它们共同抵御外敌。</t>
  </si>
  <si>
    <t>城堡蜗牛其背上的城堡其实是一个微型蜂王国，蜂王控制着整个蜂群，为城堡蜗牛提供蜂蜜的资源管理以防止被他人抢夺，城堡蜗牛与蜂群之间有着深厚的协同关系，互帮互助。</t>
  </si>
  <si>
    <t>雪人最早在一个冬季童话世界中被发现。传说它们是由冬季精灵用纯洁的雪花创造出来的，每一个雪球精灵都充满了童真和欢乐。它们的出现总是伴随着欢笑和游戏，是冬季的象征之一。</t>
  </si>
  <si>
    <t>传说源于一个古老的北方部落，雪怪是由部落的巫师召唤出来的守护者，拥有无比的力量和勇气。每当北方遭遇危机，雪怪总会挺身而出，保卫家园。</t>
  </si>
  <si>
    <t>冰灵曾误打误撞的救助过一个探险家，从此他成了传说里雪山的守护精灵，每当有人迷失在雪山中，都会祈祷冰灵出现，并带领迷途者找到回家的路。</t>
  </si>
  <si>
    <t>冰甲兽住在极寒的雪山顶端，守护冰川不被破坏，每天都会花时间在冰川中巡逻，确保领地的安全并救助被困在风雪里的探险者。</t>
  </si>
  <si>
    <t>小小见习海盗鲨梦想着成为大海上的冒险王，随着不断的航行，它越来越接近自己的梦想。</t>
  </si>
  <si>
    <t>大副海盗鲨是海洋中的一名传奇人物，凭借敏锐的嗅觉和强大的力量，它带领着自己的海盗队伍，在航海途中从未失手过任何一次寻宝行动。</t>
  </si>
  <si>
    <t>编号</t>
  </si>
  <si>
    <t>不朽</t>
  </si>
  <si>
    <t>神话</t>
  </si>
  <si>
    <t>传说</t>
  </si>
  <si>
    <t>史诗</t>
  </si>
  <si>
    <t>稀有</t>
  </si>
  <si>
    <t>良好</t>
  </si>
  <si>
    <t>普通</t>
  </si>
  <si>
    <t>id</t>
  </si>
  <si>
    <t>宠物模型</t>
  </si>
  <si>
    <t>头像图标</t>
  </si>
  <si>
    <t>宠物立绘</t>
  </si>
  <si>
    <t>path</t>
  </si>
  <si>
    <t>skillIcon</t>
  </si>
  <si>
    <t>string</t>
  </si>
  <si>
    <t>在战斗中用的</t>
  </si>
  <si>
    <t>命名需要按照图标的名称</t>
  </si>
  <si>
    <t>模型资源：索引宠物全身形象资源
注：动作绑定在模型中</t>
  </si>
  <si>
    <t>需要放在工程ExternalRes中Model</t>
  </si>
  <si>
    <t>需要放在工程ExternalRes中Pet的PetIcon文件中</t>
  </si>
  <si>
    <t>需要放在工程ExternalRes中Pet的PetBody文件中</t>
  </si>
  <si>
    <t>attack</t>
  </si>
  <si>
    <t>攻击前摇时间</t>
  </si>
  <si>
    <t>skill</t>
  </si>
  <si>
    <t>动作时间</t>
  </si>
  <si>
    <t>技能前摇时间</t>
  </si>
  <si>
    <t>伤害时间节点</t>
  </si>
  <si>
    <t>技能图标</t>
  </si>
  <si>
    <t>被动技能1</t>
  </si>
  <si>
    <t>被动技能2</t>
  </si>
  <si>
    <t>被动技能3</t>
  </si>
  <si>
    <t>被动技能4</t>
  </si>
  <si>
    <t>被动技能5</t>
  </si>
  <si>
    <t>Pet_10012</t>
  </si>
  <si>
    <t>完成</t>
  </si>
  <si>
    <t>skill_1001001</t>
  </si>
  <si>
    <t>skill_1001002</t>
  </si>
  <si>
    <t>Pet_10032</t>
  </si>
  <si>
    <t>skill_1003001</t>
  </si>
  <si>
    <t>skill_1003002</t>
  </si>
  <si>
    <t xml:space="preserve">              0.25~1</t>
  </si>
  <si>
    <t>Pet_10042</t>
  </si>
  <si>
    <t>skill_1004001</t>
  </si>
  <si>
    <t>skill_1004002</t>
  </si>
  <si>
    <t>1~3</t>
  </si>
  <si>
    <t>skill_1006001</t>
  </si>
  <si>
    <t>skill_1006002</t>
  </si>
  <si>
    <t>skill_1006102</t>
  </si>
  <si>
    <t>skill_1006202</t>
  </si>
  <si>
    <t>0.4~0.85</t>
  </si>
  <si>
    <t>9.3提交</t>
  </si>
  <si>
    <t>skill_1007001</t>
  </si>
  <si>
    <t>skill_1007002</t>
  </si>
  <si>
    <t>9.13提交</t>
  </si>
  <si>
    <t>9.10提交</t>
  </si>
  <si>
    <t>skill_1007102</t>
  </si>
  <si>
    <t>7.17修改</t>
  </si>
  <si>
    <t>6.18提交</t>
  </si>
  <si>
    <t>skill_1009001</t>
  </si>
  <si>
    <t>skill_1009002</t>
  </si>
  <si>
    <t>0.42~1.6</t>
  </si>
  <si>
    <t>skill_1009102</t>
  </si>
  <si>
    <t>skill_1010001</t>
  </si>
  <si>
    <t>skill_1010002</t>
  </si>
  <si>
    <t>skill_1010102</t>
  </si>
  <si>
    <t>0.5_anim</t>
  </si>
  <si>
    <t>1.3,1.43</t>
  </si>
  <si>
    <t>skill_1010202</t>
  </si>
  <si>
    <t>1.1_anim</t>
  </si>
  <si>
    <t>0.2~1.4</t>
  </si>
  <si>
    <t>8.20提交</t>
  </si>
  <si>
    <t>8.6提交</t>
  </si>
  <si>
    <t>skill_1011001</t>
  </si>
  <si>
    <t>skill_1011002</t>
  </si>
  <si>
    <t>0.3_anim</t>
  </si>
  <si>
    <t>1,1.2,2,2.2</t>
  </si>
  <si>
    <t>skill_1011101</t>
  </si>
  <si>
    <t>skill_1011102</t>
  </si>
  <si>
    <t>skill_1012001</t>
  </si>
  <si>
    <t>skill_1012002</t>
  </si>
  <si>
    <t>0.7，0.75，0.85，0.95，1.05</t>
  </si>
  <si>
    <t>skill_1012102</t>
  </si>
  <si>
    <t>skill_1012202</t>
  </si>
  <si>
    <t>0_anim</t>
  </si>
  <si>
    <t>0.35~2.25</t>
  </si>
  <si>
    <t>skill_1013001</t>
  </si>
  <si>
    <t>skill_1013002</t>
  </si>
  <si>
    <t>0.4~1.55</t>
  </si>
  <si>
    <t>skill_1013102</t>
  </si>
  <si>
    <t>8.21提交</t>
  </si>
  <si>
    <t>8.13提交</t>
  </si>
  <si>
    <t>skill_1014001</t>
  </si>
  <si>
    <t>skill_1014002</t>
  </si>
  <si>
    <t>0.6_amin</t>
  </si>
  <si>
    <t>skill_1014102</t>
  </si>
  <si>
    <t>0.7_anim</t>
  </si>
  <si>
    <t>skill_1015001</t>
  </si>
  <si>
    <t>skill_1015002</t>
  </si>
  <si>
    <t>skill_1015102</t>
  </si>
  <si>
    <t>7.31提交</t>
  </si>
  <si>
    <t>skill_1016001</t>
  </si>
  <si>
    <t>skill_1016002</t>
  </si>
  <si>
    <t>0.5~2</t>
  </si>
  <si>
    <t>skill_1016102</t>
  </si>
  <si>
    <t>8.28提交</t>
  </si>
  <si>
    <t>skill_1017001</t>
  </si>
  <si>
    <t>skill_1017002</t>
  </si>
  <si>
    <t>2_anim</t>
  </si>
  <si>
    <t>skill_1017102</t>
  </si>
  <si>
    <t>7.2提交</t>
  </si>
  <si>
    <t>skill_1018001</t>
  </si>
  <si>
    <t>skill_1018002</t>
  </si>
  <si>
    <t>0.4~1.5</t>
  </si>
  <si>
    <t>skill_1018102</t>
  </si>
  <si>
    <t>0.9_anim</t>
  </si>
  <si>
    <t>skill_1018202</t>
  </si>
  <si>
    <t>0.8_anim</t>
  </si>
  <si>
    <t>1~1.7</t>
  </si>
  <si>
    <t>skill_1019001</t>
  </si>
  <si>
    <t>skill_1019002</t>
  </si>
  <si>
    <t>1,1.1.15,1.35,1.6</t>
  </si>
  <si>
    <t>8.6修改</t>
  </si>
  <si>
    <t>skill_1019102</t>
  </si>
  <si>
    <t>0.3,0.7~1.65</t>
  </si>
  <si>
    <t>skill_1019202</t>
  </si>
  <si>
    <t>skill_1021001</t>
  </si>
  <si>
    <t>skill_1021002</t>
  </si>
  <si>
    <t>0.35~0.65</t>
  </si>
  <si>
    <t>skill_1021102</t>
  </si>
  <si>
    <t>0.4_anim</t>
  </si>
  <si>
    <t>skill_1022001</t>
  </si>
  <si>
    <t>skill_1022002</t>
  </si>
  <si>
    <t>skill_1022102</t>
  </si>
  <si>
    <t>skill_1023001</t>
  </si>
  <si>
    <t>skill_1023002</t>
  </si>
  <si>
    <t>0.3~1.45</t>
  </si>
  <si>
    <t>skill_1023102</t>
  </si>
  <si>
    <t>skill_1025001</t>
  </si>
  <si>
    <t>skill_1025002</t>
  </si>
  <si>
    <t>skill_1025102</t>
  </si>
  <si>
    <t>0.7,1.35，2.05,2.65</t>
  </si>
  <si>
    <t>skill_1026001</t>
  </si>
  <si>
    <t>skill_1026002</t>
  </si>
  <si>
    <t>skill_1027001</t>
  </si>
  <si>
    <t>skill_1027002</t>
  </si>
  <si>
    <t>skill_1027102</t>
  </si>
  <si>
    <t>skill_1027202</t>
  </si>
  <si>
    <t>1.1~1.7</t>
  </si>
  <si>
    <t>skill_1030001</t>
  </si>
  <si>
    <t>skill_1030002</t>
  </si>
  <si>
    <t>skill_1030102</t>
  </si>
  <si>
    <t>0.6_anim</t>
  </si>
  <si>
    <t>戰艦蟹</t>
  </si>
  <si>
    <t>Pet_10302</t>
  </si>
  <si>
    <t>三惡魔</t>
  </si>
  <si>
    <t>skill_1032001</t>
  </si>
  <si>
    <t>skill_1032002</t>
  </si>
  <si>
    <t>0.85，1</t>
  </si>
  <si>
    <t>惡魔小分隊</t>
  </si>
  <si>
    <t>7.30提交</t>
  </si>
  <si>
    <t>skill_1032102</t>
  </si>
  <si>
    <t>skill_1033001</t>
  </si>
  <si>
    <t>skill_1033002</t>
  </si>
  <si>
    <t>0.15~0.5</t>
  </si>
  <si>
    <t>skill_1033102</t>
  </si>
  <si>
    <t>skill_1033202</t>
  </si>
  <si>
    <t>1.4_anim</t>
  </si>
  <si>
    <t>0.5~1</t>
  </si>
  <si>
    <t>skill_1035001</t>
  </si>
  <si>
    <t>skill_1035002</t>
  </si>
  <si>
    <t>0.55~1.5</t>
  </si>
  <si>
    <t>7.23提交</t>
  </si>
  <si>
    <t>skill_1035102</t>
  </si>
  <si>
    <t>skill_1035202</t>
  </si>
  <si>
    <t>1.7~2.4</t>
  </si>
  <si>
    <t>skill_1036001</t>
  </si>
  <si>
    <t>skill_1036002</t>
  </si>
  <si>
    <t>0.3，0.7,1，1.45,1.75</t>
  </si>
  <si>
    <t>skill_1036102</t>
  </si>
  <si>
    <t>skill_1038001</t>
  </si>
  <si>
    <t>skill_1038002</t>
  </si>
  <si>
    <t>0.55~2</t>
  </si>
  <si>
    <t>skill_1038102</t>
  </si>
  <si>
    <t>skill_1039001</t>
  </si>
  <si>
    <t>skill_1039002</t>
  </si>
  <si>
    <t>0.25~1.2</t>
  </si>
  <si>
    <t>skill_1039102</t>
  </si>
  <si>
    <t>0.3~1.4</t>
  </si>
  <si>
    <t>8.8修改</t>
  </si>
  <si>
    <t>skill_1039201</t>
  </si>
  <si>
    <t>skill_1039202</t>
  </si>
  <si>
    <t>0.35~1.35</t>
  </si>
  <si>
    <t>skill_1041001</t>
  </si>
  <si>
    <t>skill_1041002</t>
  </si>
  <si>
    <t>0.5~1.5</t>
  </si>
  <si>
    <t>skill_1041102</t>
  </si>
  <si>
    <t>skill_1042001</t>
  </si>
  <si>
    <t>skill_1042002</t>
  </si>
  <si>
    <t>skill_1042102</t>
  </si>
  <si>
    <t>0.5，0.7，1.15</t>
  </si>
  <si>
    <t>skill_1042202</t>
  </si>
  <si>
    <t>0.35,0.65,1.5</t>
  </si>
  <si>
    <t>彈弓翼龍</t>
  </si>
  <si>
    <t>skill_1045001</t>
  </si>
  <si>
    <t>skill_1045002</t>
  </si>
  <si>
    <t>skill_1045102</t>
  </si>
  <si>
    <t>0.45~1.6</t>
  </si>
  <si>
    <t>skill_1046001</t>
  </si>
  <si>
    <t>skill_1046002</t>
  </si>
  <si>
    <t>0.25~1.1</t>
  </si>
  <si>
    <t>skill_1046102</t>
  </si>
  <si>
    <t>skill_1047001</t>
  </si>
  <si>
    <t>skill_1047002</t>
  </si>
  <si>
    <t>8.13修改</t>
  </si>
  <si>
    <t>skill_1047102</t>
  </si>
  <si>
    <t>skill_1050001</t>
  </si>
  <si>
    <t>skill_1050002</t>
  </si>
  <si>
    <t>0.1~1.7</t>
  </si>
  <si>
    <t>skill_1050102</t>
  </si>
  <si>
    <t>skill_1051001</t>
  </si>
  <si>
    <t>skill_1051002</t>
  </si>
  <si>
    <t>0.3~1.5</t>
  </si>
  <si>
    <t>skill_1051102</t>
  </si>
  <si>
    <t>skill_1051202</t>
  </si>
  <si>
    <t>skill_1052001</t>
  </si>
  <si>
    <t>skill_1052002</t>
  </si>
  <si>
    <t>0.53_anim</t>
  </si>
  <si>
    <t>skill_1052102</t>
  </si>
  <si>
    <t>0.45，0.65,0.8，1.3</t>
  </si>
  <si>
    <t>9.4提交</t>
  </si>
  <si>
    <t>skill_1052202</t>
  </si>
  <si>
    <t>0.1_anim</t>
  </si>
  <si>
    <t>skill_1053001</t>
  </si>
  <si>
    <t>skill_1053002</t>
  </si>
  <si>
    <t>0.45,0.85,1.25</t>
  </si>
  <si>
    <t>skill_1053102</t>
  </si>
  <si>
    <t>skill_1056001</t>
  </si>
  <si>
    <t>skill_1056002</t>
  </si>
  <si>
    <t>skill_1056102</t>
  </si>
  <si>
    <t>skill_1056201</t>
  </si>
  <si>
    <t>skill_1056202</t>
  </si>
  <si>
    <t>2,2.25</t>
  </si>
  <si>
    <t>skill_1057001</t>
  </si>
  <si>
    <t>skill_1057002</t>
  </si>
  <si>
    <t>skill_1057102</t>
  </si>
  <si>
    <t>蜜汁蝸牛</t>
  </si>
  <si>
    <t>skill_1058001</t>
  </si>
  <si>
    <t>skill_1058002</t>
  </si>
  <si>
    <t>skill_1058102</t>
  </si>
  <si>
    <t>0.45，0.75,1</t>
  </si>
  <si>
    <t>城堡蝸牛</t>
  </si>
  <si>
    <t>skill_1058202</t>
  </si>
  <si>
    <t>skill_1059001</t>
  </si>
  <si>
    <t>skill_1059002</t>
  </si>
  <si>
    <t>skill_1059102</t>
  </si>
  <si>
    <t>0.4~1</t>
  </si>
  <si>
    <t>7.24修改</t>
  </si>
  <si>
    <t>skill_1060001</t>
  </si>
  <si>
    <t>skill_1060002</t>
  </si>
  <si>
    <t>0.6~0.85</t>
  </si>
  <si>
    <t>7.24提交</t>
  </si>
  <si>
    <t>skill_1060102</t>
  </si>
  <si>
    <t>1.2，1.5，1.8,2.5,3.1~3.2</t>
  </si>
  <si>
    <t>skill_1062001</t>
  </si>
  <si>
    <t>skill_1062002</t>
  </si>
  <si>
    <t>1_anim</t>
  </si>
  <si>
    <t>0.2,0.58</t>
  </si>
  <si>
    <t>skill_1062102</t>
  </si>
  <si>
    <t>skill_1062202</t>
  </si>
  <si>
    <t>三阶剪影</t>
  </si>
  <si>
    <t>Pet_11000</t>
  </si>
  <si>
    <t>skill_1100001</t>
  </si>
  <si>
    <t>skill_1100002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</si>
</sst>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1"/>
      <color theme="1"/>
      <name val="等线"/>
      <charset val="134"/>
      <scheme val="minor"/>
    </font>
    <font>
      <sz val="10.5"/>
      <color theme="1"/>
      <name val="微软雅黑"/>
      <charset val="134"/>
    </font>
    <font>
      <sz val="10"/>
      <color rgb="FF000000"/>
      <name val="等线"/>
      <charset val="134"/>
      <scheme val="minor"/>
    </font>
    <font>
      <sz val="11"/>
      <color rgb="FF000000"/>
      <name val="等线"/>
      <charset val="134"/>
      <scheme val="minor"/>
    </font>
    <font>
      <sz val="11"/>
      <name val="微软雅黑"/>
      <charset val="134"/>
    </font>
    <font>
      <sz val="12"/>
      <name val="微软雅黑"/>
      <charset val="134"/>
    </font>
    <font>
      <sz val="11"/>
      <color theme="1"/>
      <name val="微软雅黑"/>
      <charset val="134"/>
    </font>
    <font>
      <sz val="10"/>
      <color rgb="FF000000"/>
      <name val="微软雅黑"/>
      <charset val="134"/>
    </font>
    <font>
      <sz val="10"/>
      <color theme="1"/>
      <name val="微软雅黑"/>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9"/>
      <name val="宋体"/>
      <charset val="134"/>
    </font>
    <font>
      <sz val="9"/>
      <name val="宋体"/>
      <charset val="134"/>
    </font>
  </fonts>
  <fills count="43">
    <fill>
      <patternFill patternType="none"/>
    </fill>
    <fill>
      <patternFill patternType="gray125"/>
    </fill>
    <fill>
      <patternFill patternType="solid">
        <fgColor rgb="FFDBE5F1"/>
        <bgColor indexed="64"/>
      </patternFill>
    </fill>
    <fill>
      <patternFill patternType="solid">
        <fgColor rgb="FFFF0000"/>
        <bgColor indexed="64"/>
      </patternFill>
    </fill>
    <fill>
      <patternFill patternType="solid">
        <fgColor rgb="FF7F7F7F"/>
        <bgColor indexed="64"/>
      </patternFill>
    </fill>
    <fill>
      <patternFill patternType="solid">
        <fgColor rgb="FF92D050"/>
        <bgColor indexed="64"/>
      </patternFill>
    </fill>
    <fill>
      <patternFill patternType="solid">
        <fgColor rgb="FF8CDDFA"/>
        <bgColor indexed="64"/>
      </patternFill>
    </fill>
    <fill>
      <patternFill patternType="solid">
        <fgColor rgb="FF757171"/>
        <bgColor indexed="64"/>
      </patternFill>
    </fill>
    <fill>
      <patternFill patternType="solid">
        <fgColor rgb="FFFFC000"/>
        <bgColor indexed="64"/>
      </patternFill>
    </fill>
    <fill>
      <patternFill patternType="solid">
        <fgColor rgb="FFFFFF00"/>
        <bgColor indexed="64"/>
      </patternFill>
    </fill>
    <fill>
      <patternFill patternType="solid">
        <fgColor theme="2" tint="-0.499984740745262"/>
        <bgColor indexed="64"/>
      </patternFill>
    </fill>
    <fill>
      <patternFill patternType="solid">
        <fgColor theme="1" tint="0.34998626667073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12" borderId="6"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7" applyNumberFormat="0" applyFill="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6" fillId="0" borderId="0" applyNumberFormat="0" applyFill="0" applyBorder="0" applyAlignment="0" applyProtection="0">
      <alignment vertical="center"/>
    </xf>
    <xf numFmtId="0" fontId="17" fillId="13" borderId="9" applyNumberFormat="0" applyAlignment="0" applyProtection="0">
      <alignment vertical="center"/>
    </xf>
    <xf numFmtId="0" fontId="18" fillId="14" borderId="10" applyNumberFormat="0" applyAlignment="0" applyProtection="0">
      <alignment vertical="center"/>
    </xf>
    <xf numFmtId="0" fontId="19" fillId="14" borderId="9" applyNumberFormat="0" applyAlignment="0" applyProtection="0">
      <alignment vertical="center"/>
    </xf>
    <xf numFmtId="0" fontId="20" fillId="15" borderId="11" applyNumberFormat="0" applyAlignment="0" applyProtection="0">
      <alignment vertical="center"/>
    </xf>
    <xf numFmtId="0" fontId="21" fillId="0" borderId="12" applyNumberFormat="0" applyFill="0" applyAlignment="0" applyProtection="0">
      <alignment vertical="center"/>
    </xf>
    <xf numFmtId="0" fontId="22" fillId="0" borderId="13" applyNumberFormat="0" applyFill="0" applyAlignment="0" applyProtection="0">
      <alignment vertical="center"/>
    </xf>
    <xf numFmtId="0" fontId="23"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7" fillId="32" borderId="0" applyNumberFormat="0" applyBorder="0" applyAlignment="0" applyProtection="0">
      <alignment vertical="center"/>
    </xf>
    <xf numFmtId="0" fontId="27" fillId="33" borderId="0" applyNumberFormat="0" applyBorder="0" applyAlignment="0" applyProtection="0">
      <alignment vertical="center"/>
    </xf>
    <xf numFmtId="0" fontId="26" fillId="34" borderId="0" applyNumberFormat="0" applyBorder="0" applyAlignment="0" applyProtection="0">
      <alignment vertical="center"/>
    </xf>
    <xf numFmtId="0" fontId="26" fillId="35" borderId="0" applyNumberFormat="0" applyBorder="0" applyAlignment="0" applyProtection="0">
      <alignment vertical="center"/>
    </xf>
    <xf numFmtId="0" fontId="27" fillId="36" borderId="0" applyNumberFormat="0" applyBorder="0" applyAlignment="0" applyProtection="0">
      <alignment vertical="center"/>
    </xf>
    <xf numFmtId="0" fontId="27" fillId="37" borderId="0" applyNumberFormat="0" applyBorder="0" applyAlignment="0" applyProtection="0">
      <alignment vertical="center"/>
    </xf>
    <xf numFmtId="0" fontId="26" fillId="38" borderId="0" applyNumberFormat="0" applyBorder="0" applyAlignment="0" applyProtection="0">
      <alignment vertical="center"/>
    </xf>
    <xf numFmtId="0" fontId="26" fillId="39" borderId="0" applyNumberFormat="0" applyBorder="0" applyAlignment="0" applyProtection="0">
      <alignment vertical="center"/>
    </xf>
    <xf numFmtId="0" fontId="27" fillId="40" borderId="0" applyNumberFormat="0" applyBorder="0" applyAlignment="0" applyProtection="0">
      <alignment vertical="center"/>
    </xf>
    <xf numFmtId="0" fontId="27" fillId="41" borderId="0" applyNumberFormat="0" applyBorder="0" applyAlignment="0" applyProtection="0">
      <alignment vertical="center"/>
    </xf>
    <xf numFmtId="0" fontId="26" fillId="42" borderId="0" applyNumberFormat="0" applyBorder="0" applyAlignment="0" applyProtection="0">
      <alignment vertical="center"/>
    </xf>
  </cellStyleXfs>
  <cellXfs count="52">
    <xf numFmtId="0" fontId="0" fillId="0" borderId="0" xfId="0"/>
    <xf numFmtId="0" fontId="0" fillId="0" borderId="0" xfId="0" applyFill="1"/>
    <xf numFmtId="0" fontId="1" fillId="0" borderId="0" xfId="0" applyFont="1" applyFill="1" applyAlignment="1">
      <alignment horizontal="justify" vertical="center" wrapText="1"/>
    </xf>
    <xf numFmtId="0" fontId="2" fillId="2" borderId="1" xfId="0" applyFont="1" applyFill="1" applyBorder="1" applyAlignment="1">
      <alignment horizontal="left" vertical="center" wrapText="1"/>
    </xf>
    <xf numFmtId="0" fontId="2" fillId="3" borderId="2" xfId="0" applyFont="1" applyFill="1" applyBorder="1" applyAlignment="1">
      <alignment horizontal="left" vertical="center" wrapText="1"/>
    </xf>
    <xf numFmtId="0" fontId="3" fillId="3" borderId="3" xfId="0" applyFont="1" applyFill="1" applyBorder="1" applyAlignment="1">
      <alignment horizontal="left"/>
    </xf>
    <xf numFmtId="0" fontId="2" fillId="3" borderId="1" xfId="0" applyFont="1" applyFill="1" applyBorder="1" applyAlignment="1">
      <alignment horizontal="left" vertical="center" wrapText="1"/>
    </xf>
    <xf numFmtId="0" fontId="2" fillId="2" borderId="2" xfId="0" applyFont="1" applyFill="1" applyBorder="1" applyAlignment="1">
      <alignment horizontal="left" vertical="center" wrapText="1"/>
    </xf>
    <xf numFmtId="0" fontId="2" fillId="0" borderId="3" xfId="0" applyFont="1" applyBorder="1" applyAlignment="1">
      <alignment horizontal="center" vertical="center" wrapText="1"/>
    </xf>
    <xf numFmtId="0" fontId="2" fillId="4" borderId="4" xfId="0" applyFont="1" applyFill="1" applyBorder="1" applyAlignment="1">
      <alignment horizontal="center" vertical="center" wrapText="1"/>
    </xf>
    <xf numFmtId="0" fontId="2" fillId="5" borderId="0" xfId="0" applyFont="1" applyFill="1" applyAlignment="1">
      <alignment horizontal="left" vertical="center" wrapText="1"/>
    </xf>
    <xf numFmtId="0" fontId="2" fillId="0" borderId="0" xfId="0" applyFont="1" applyAlignment="1">
      <alignment horizontal="left" vertical="center" wrapText="1"/>
    </xf>
    <xf numFmtId="0" fontId="2" fillId="0" borderId="4" xfId="0" applyFont="1" applyBorder="1" applyAlignment="1">
      <alignment horizontal="center" vertical="center" wrapText="1"/>
    </xf>
    <xf numFmtId="0" fontId="2" fillId="6" borderId="4" xfId="0" applyFont="1" applyFill="1" applyBorder="1" applyAlignment="1">
      <alignment horizontal="center" vertical="center" wrapText="1"/>
    </xf>
    <xf numFmtId="0" fontId="2" fillId="6" borderId="0" xfId="0" applyFont="1" applyFill="1" applyAlignment="1">
      <alignment horizontal="left" vertical="center" wrapText="1"/>
    </xf>
    <xf numFmtId="0" fontId="2" fillId="7" borderId="4" xfId="0" applyFont="1" applyFill="1" applyBorder="1" applyAlignment="1">
      <alignment horizontal="center" vertical="center" wrapText="1"/>
    </xf>
    <xf numFmtId="0" fontId="2" fillId="3" borderId="2" xfId="0" applyFont="1" applyFill="1" applyBorder="1" applyAlignment="1">
      <alignment vertical="center" wrapText="1"/>
    </xf>
    <xf numFmtId="0" fontId="2" fillId="5" borderId="0" xfId="0" applyFont="1" applyFill="1" applyAlignment="1">
      <alignment horizontal="left"/>
    </xf>
    <xf numFmtId="0" fontId="2" fillId="0" borderId="0" xfId="0" applyFont="1" applyAlignment="1">
      <alignment horizontal="right"/>
    </xf>
    <xf numFmtId="0" fontId="3" fillId="0" borderId="0" xfId="0" applyFont="1" applyAlignment="1">
      <alignment horizontal="right"/>
    </xf>
    <xf numFmtId="0" fontId="3" fillId="0" borderId="0" xfId="0" applyFont="1" applyAlignment="1">
      <alignment horizontal="left"/>
    </xf>
    <xf numFmtId="0" fontId="3" fillId="5" borderId="0" xfId="0" applyFont="1" applyFill="1" applyAlignment="1">
      <alignment horizontal="right"/>
    </xf>
    <xf numFmtId="0" fontId="3" fillId="5" borderId="0" xfId="0" applyFont="1" applyFill="1" applyAlignment="1">
      <alignment horizontal="left"/>
    </xf>
    <xf numFmtId="0" fontId="3" fillId="8" borderId="0" xfId="0" applyFont="1" applyFill="1" applyAlignment="1">
      <alignment horizontal="right"/>
    </xf>
    <xf numFmtId="0" fontId="3" fillId="8" borderId="0" xfId="0" applyFont="1" applyFill="1" applyAlignment="1">
      <alignment horizontal="left"/>
    </xf>
    <xf numFmtId="0" fontId="2" fillId="0" borderId="0" xfId="0" applyFont="1"/>
    <xf numFmtId="0" fontId="3" fillId="0" borderId="0" xfId="0" applyFont="1" applyAlignment="1">
      <alignment vertical="center"/>
    </xf>
    <xf numFmtId="0" fontId="2" fillId="5" borderId="0" xfId="0" applyFont="1" applyFill="1" applyAlignment="1">
      <alignment horizontal="right"/>
    </xf>
    <xf numFmtId="0" fontId="2" fillId="0" borderId="0" xfId="0" applyFont="1" applyAlignment="1">
      <alignment horizontal="left"/>
    </xf>
    <xf numFmtId="0" fontId="4" fillId="0" borderId="0" xfId="0" applyFont="1" applyFill="1" applyBorder="1" applyAlignment="1">
      <alignment horizontal="left" vertical="center"/>
    </xf>
    <xf numFmtId="0" fontId="5" fillId="0" borderId="0" xfId="0" applyFont="1" applyFill="1" applyBorder="1" applyAlignment="1">
      <alignment horizontal="left" vertical="center"/>
    </xf>
    <xf numFmtId="0" fontId="0" fillId="9" borderId="0" xfId="0" applyFill="1"/>
    <xf numFmtId="0" fontId="0" fillId="0" borderId="0" xfId="0" applyAlignment="1">
      <alignment horizontal="left" vertical="center"/>
    </xf>
    <xf numFmtId="49" fontId="0" fillId="0" borderId="0" xfId="0" applyNumberFormat="1" applyAlignment="1">
      <alignment horizontal="left" vertical="center"/>
    </xf>
    <xf numFmtId="0" fontId="1" fillId="0" borderId="1" xfId="0" applyFont="1" applyFill="1" applyBorder="1" applyAlignment="1">
      <alignment horizontal="left" vertical="center"/>
    </xf>
    <xf numFmtId="0" fontId="1" fillId="0" borderId="2" xfId="0" applyFont="1" applyFill="1" applyBorder="1" applyAlignment="1">
      <alignment horizontal="left" vertical="center"/>
    </xf>
    <xf numFmtId="0" fontId="1" fillId="0" borderId="0" xfId="0" applyFont="1" applyFill="1" applyAlignment="1">
      <alignment horizontal="left" vertical="center"/>
    </xf>
    <xf numFmtId="0" fontId="6" fillId="0" borderId="0" xfId="0" applyFont="1" applyAlignment="1">
      <alignment horizontal="center" vertical="center"/>
    </xf>
    <xf numFmtId="0" fontId="7" fillId="0" borderId="0" xfId="0" applyFont="1" applyAlignment="1">
      <alignment horizontal="center" vertical="center" wrapText="1"/>
    </xf>
    <xf numFmtId="0" fontId="8" fillId="0" borderId="0" xfId="0" applyFont="1" applyAlignment="1">
      <alignment horizontal="center" vertical="center"/>
    </xf>
    <xf numFmtId="0" fontId="8" fillId="0" borderId="0" xfId="0" applyFont="1" applyAlignment="1">
      <alignment horizontal="left" vertical="center" wrapText="1" indent="1"/>
    </xf>
    <xf numFmtId="0" fontId="7" fillId="2" borderId="5" xfId="0" applyFont="1" applyFill="1" applyBorder="1" applyAlignment="1">
      <alignment horizontal="center" vertical="center" wrapText="1"/>
    </xf>
    <xf numFmtId="0" fontId="7" fillId="2" borderId="5" xfId="0" applyFont="1" applyFill="1" applyBorder="1" applyAlignment="1">
      <alignment horizontal="left" vertical="center" wrapText="1" indent="1"/>
    </xf>
    <xf numFmtId="0" fontId="7" fillId="0" borderId="5" xfId="0" applyFont="1" applyBorder="1" applyAlignment="1">
      <alignment horizontal="center" vertical="center" wrapText="1"/>
    </xf>
    <xf numFmtId="0" fontId="8" fillId="0" borderId="5" xfId="0" applyFont="1" applyBorder="1" applyAlignment="1">
      <alignment horizontal="left" vertical="center" wrapText="1" indent="1"/>
    </xf>
    <xf numFmtId="0" fontId="7" fillId="0" borderId="5" xfId="0" applyFont="1" applyBorder="1" applyAlignment="1">
      <alignment horizontal="center" vertical="center"/>
    </xf>
    <xf numFmtId="0" fontId="7" fillId="9" borderId="5" xfId="0" applyFont="1" applyFill="1" applyBorder="1" applyAlignment="1">
      <alignment horizontal="center" vertical="center" wrapText="1"/>
    </xf>
    <xf numFmtId="0" fontId="7" fillId="10" borderId="5" xfId="0" applyFont="1" applyFill="1" applyBorder="1" applyAlignment="1">
      <alignment horizontal="center" vertical="center" wrapText="1"/>
    </xf>
    <xf numFmtId="0" fontId="8" fillId="0" borderId="5" xfId="0" applyFont="1" applyBorder="1" applyAlignment="1">
      <alignment horizontal="center" vertical="center"/>
    </xf>
    <xf numFmtId="0" fontId="7" fillId="11" borderId="5" xfId="0" applyFont="1" applyFill="1" applyBorder="1" applyAlignment="1">
      <alignment horizontal="center" vertical="center" wrapText="1"/>
    </xf>
    <xf numFmtId="0" fontId="1" fillId="0" borderId="1" xfId="0" applyFont="1" applyFill="1" applyBorder="1" applyAlignment="1">
      <alignment horizontal="justify" vertical="center" wrapText="1"/>
    </xf>
    <xf numFmtId="0" fontId="1" fillId="0" borderId="2" xfId="0" applyFont="1" applyFill="1" applyBorder="1" applyAlignment="1">
      <alignment horizontal="justify"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externalLink" Target="externalLinks/externalLink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www.wps.cn/officeDocument/2023/relationships/customStorage" Target="customStorage/customStorage.xml"/><Relationship Id="rId10" Type="http://schemas.openxmlformats.org/officeDocument/2006/relationships/styles" Target="styles.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3" Type="http://schemas.openxmlformats.org/officeDocument/2006/relationships/image" Target="../media/image53.png"/><Relationship Id="rId52" Type="http://schemas.openxmlformats.org/officeDocument/2006/relationships/image" Target="../media/image52.png"/><Relationship Id="rId51" Type="http://schemas.openxmlformats.org/officeDocument/2006/relationships/image" Target="../media/image51.png"/><Relationship Id="rId50" Type="http://schemas.openxmlformats.org/officeDocument/2006/relationships/image" Target="../media/image50.png"/><Relationship Id="rId5" Type="http://schemas.openxmlformats.org/officeDocument/2006/relationships/image" Target="../media/image5.png"/><Relationship Id="rId49" Type="http://schemas.openxmlformats.org/officeDocument/2006/relationships/image" Target="../media/image49.png"/><Relationship Id="rId48" Type="http://schemas.openxmlformats.org/officeDocument/2006/relationships/image" Target="../media/image48.png"/><Relationship Id="rId47" Type="http://schemas.openxmlformats.org/officeDocument/2006/relationships/image" Target="../media/image47.png"/><Relationship Id="rId46" Type="http://schemas.openxmlformats.org/officeDocument/2006/relationships/image" Target="../media/image46.png"/><Relationship Id="rId45" Type="http://schemas.openxmlformats.org/officeDocument/2006/relationships/image" Target="../media/image45.png"/><Relationship Id="rId44" Type="http://schemas.openxmlformats.org/officeDocument/2006/relationships/image" Target="../media/image44.png"/><Relationship Id="rId43" Type="http://schemas.openxmlformats.org/officeDocument/2006/relationships/image" Target="../media/image43.png"/><Relationship Id="rId42" Type="http://schemas.openxmlformats.org/officeDocument/2006/relationships/image" Target="../media/image42.png"/><Relationship Id="rId41" Type="http://schemas.openxmlformats.org/officeDocument/2006/relationships/image" Target="../media/image41.png"/><Relationship Id="rId40" Type="http://schemas.openxmlformats.org/officeDocument/2006/relationships/image" Target="../media/image40.png"/><Relationship Id="rId4" Type="http://schemas.openxmlformats.org/officeDocument/2006/relationships/image" Target="../media/image4.png"/><Relationship Id="rId39" Type="http://schemas.openxmlformats.org/officeDocument/2006/relationships/image" Target="../media/image39.png"/><Relationship Id="rId38" Type="http://schemas.openxmlformats.org/officeDocument/2006/relationships/image" Target="../media/image38.png"/><Relationship Id="rId37" Type="http://schemas.openxmlformats.org/officeDocument/2006/relationships/image" Target="../media/image37.png"/><Relationship Id="rId36" Type="http://schemas.openxmlformats.org/officeDocument/2006/relationships/image" Target="../media/image36.png"/><Relationship Id="rId35" Type="http://schemas.openxmlformats.org/officeDocument/2006/relationships/image" Target="../media/image35.png"/><Relationship Id="rId34" Type="http://schemas.openxmlformats.org/officeDocument/2006/relationships/image" Target="../media/image34.png"/><Relationship Id="rId33" Type="http://schemas.openxmlformats.org/officeDocument/2006/relationships/image" Target="../media/image33.png"/><Relationship Id="rId32" Type="http://schemas.openxmlformats.org/officeDocument/2006/relationships/image" Target="../media/image32.png"/><Relationship Id="rId31" Type="http://schemas.openxmlformats.org/officeDocument/2006/relationships/image" Target="../media/image31.png"/><Relationship Id="rId30" Type="http://schemas.openxmlformats.org/officeDocument/2006/relationships/image" Target="../media/image30.png"/><Relationship Id="rId3" Type="http://schemas.openxmlformats.org/officeDocument/2006/relationships/image" Target="../media/image3.png"/><Relationship Id="rId29" Type="http://schemas.openxmlformats.org/officeDocument/2006/relationships/image" Target="../media/image29.png"/><Relationship Id="rId28" Type="http://schemas.openxmlformats.org/officeDocument/2006/relationships/image" Target="../media/image28.png"/><Relationship Id="rId27" Type="http://schemas.openxmlformats.org/officeDocument/2006/relationships/image" Target="../media/image27.png"/><Relationship Id="rId26" Type="http://schemas.openxmlformats.org/officeDocument/2006/relationships/image" Target="../media/image26.png"/><Relationship Id="rId25" Type="http://schemas.openxmlformats.org/officeDocument/2006/relationships/image" Target="../media/image25.png"/><Relationship Id="rId24" Type="http://schemas.openxmlformats.org/officeDocument/2006/relationships/image" Target="../media/image24.png"/><Relationship Id="rId23" Type="http://schemas.openxmlformats.org/officeDocument/2006/relationships/image" Target="../media/image23.png"/><Relationship Id="rId22" Type="http://schemas.openxmlformats.org/officeDocument/2006/relationships/image" Target="../media/image22.png"/><Relationship Id="rId21" Type="http://schemas.openxmlformats.org/officeDocument/2006/relationships/image" Target="../media/image21.png"/><Relationship Id="rId20" Type="http://schemas.openxmlformats.org/officeDocument/2006/relationships/image" Target="../media/image20.png"/><Relationship Id="rId2" Type="http://schemas.openxmlformats.org/officeDocument/2006/relationships/image" Target="../media/image2.png"/><Relationship Id="rId19" Type="http://schemas.openxmlformats.org/officeDocument/2006/relationships/image" Target="../media/image19.png"/><Relationship Id="rId18" Type="http://schemas.openxmlformats.org/officeDocument/2006/relationships/image" Target="../media/image18.png"/><Relationship Id="rId17" Type="http://schemas.openxmlformats.org/officeDocument/2006/relationships/image" Target="../media/image17.png"/><Relationship Id="rId16" Type="http://schemas.openxmlformats.org/officeDocument/2006/relationships/image" Target="../media/image16.png"/><Relationship Id="rId15" Type="http://schemas.openxmlformats.org/officeDocument/2006/relationships/image" Target="../media/image15.png"/><Relationship Id="rId14" Type="http://schemas.openxmlformats.org/officeDocument/2006/relationships/image" Target="../media/image14.png"/><Relationship Id="rId13" Type="http://schemas.openxmlformats.org/officeDocument/2006/relationships/image" Target="../media/image13.pn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3</xdr:col>
      <xdr:colOff>66675</xdr:colOff>
      <xdr:row>16</xdr:row>
      <xdr:rowOff>28575</xdr:rowOff>
    </xdr:from>
    <xdr:ext cx="540000" cy="540000"/>
    <xdr:pic>
      <xdr:nvPicPr>
        <xdr:cNvPr id="2" name="图片 1"/>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2209800" y="238125"/>
          <a:ext cx="539750" cy="539750"/>
        </a:xfrm>
        <a:prstGeom prst="rect">
          <a:avLst/>
        </a:prstGeom>
      </xdr:spPr>
    </xdr:pic>
    <xdr:clientData/>
  </xdr:oneCellAnchor>
  <xdr:oneCellAnchor>
    <xdr:from>
      <xdr:col>3</xdr:col>
      <xdr:colOff>66675</xdr:colOff>
      <xdr:row>17</xdr:row>
      <xdr:rowOff>47625</xdr:rowOff>
    </xdr:from>
    <xdr:ext cx="540000" cy="540000"/>
    <xdr:pic>
      <xdr:nvPicPr>
        <xdr:cNvPr id="3" name="图片 2"/>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2209800" y="885825"/>
          <a:ext cx="539750" cy="539750"/>
        </a:xfrm>
        <a:prstGeom prst="rect">
          <a:avLst/>
        </a:prstGeom>
      </xdr:spPr>
    </xdr:pic>
    <xdr:clientData/>
  </xdr:oneCellAnchor>
  <xdr:oneCellAnchor>
    <xdr:from>
      <xdr:col>3</xdr:col>
      <xdr:colOff>76200</xdr:colOff>
      <xdr:row>18</xdr:row>
      <xdr:rowOff>28575</xdr:rowOff>
    </xdr:from>
    <xdr:ext cx="540000" cy="540000"/>
    <xdr:pic>
      <xdr:nvPicPr>
        <xdr:cNvPr id="4" name="图片 3"/>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2219325" y="1495425"/>
          <a:ext cx="539750" cy="539750"/>
        </a:xfrm>
        <a:prstGeom prst="rect">
          <a:avLst/>
        </a:prstGeom>
      </xdr:spPr>
    </xdr:pic>
    <xdr:clientData/>
  </xdr:oneCellAnchor>
  <xdr:oneCellAnchor>
    <xdr:from>
      <xdr:col>3</xdr:col>
      <xdr:colOff>76200</xdr:colOff>
      <xdr:row>19</xdr:row>
      <xdr:rowOff>47625</xdr:rowOff>
    </xdr:from>
    <xdr:ext cx="540000" cy="540000"/>
    <xdr:pic>
      <xdr:nvPicPr>
        <xdr:cNvPr id="5" name="图片 4"/>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2219325" y="2143125"/>
          <a:ext cx="539750" cy="539750"/>
        </a:xfrm>
        <a:prstGeom prst="rect">
          <a:avLst/>
        </a:prstGeom>
      </xdr:spPr>
    </xdr:pic>
    <xdr:clientData/>
  </xdr:oneCellAnchor>
  <xdr:oneCellAnchor>
    <xdr:from>
      <xdr:col>3</xdr:col>
      <xdr:colOff>104775</xdr:colOff>
      <xdr:row>22</xdr:row>
      <xdr:rowOff>47625</xdr:rowOff>
    </xdr:from>
    <xdr:ext cx="540000" cy="540000"/>
    <xdr:pic>
      <xdr:nvPicPr>
        <xdr:cNvPr id="6" name="图片 5"/>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2247900" y="4029075"/>
          <a:ext cx="539750" cy="539750"/>
        </a:xfrm>
        <a:prstGeom prst="rect">
          <a:avLst/>
        </a:prstGeom>
      </xdr:spPr>
    </xdr:pic>
    <xdr:clientData/>
  </xdr:oneCellAnchor>
  <xdr:oneCellAnchor>
    <xdr:from>
      <xdr:col>3</xdr:col>
      <xdr:colOff>95250</xdr:colOff>
      <xdr:row>23</xdr:row>
      <xdr:rowOff>28575</xdr:rowOff>
    </xdr:from>
    <xdr:ext cx="540000" cy="540000"/>
    <xdr:pic>
      <xdr:nvPicPr>
        <xdr:cNvPr id="7" name="图片 6"/>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2238375" y="4638675"/>
          <a:ext cx="539750" cy="539750"/>
        </a:xfrm>
        <a:prstGeom prst="rect">
          <a:avLst/>
        </a:prstGeom>
      </xdr:spPr>
    </xdr:pic>
    <xdr:clientData/>
  </xdr:oneCellAnchor>
  <xdr:oneCellAnchor>
    <xdr:from>
      <xdr:col>3</xdr:col>
      <xdr:colOff>76200</xdr:colOff>
      <xdr:row>25</xdr:row>
      <xdr:rowOff>47625</xdr:rowOff>
    </xdr:from>
    <xdr:ext cx="540000" cy="540000"/>
    <xdr:pic>
      <xdr:nvPicPr>
        <xdr:cNvPr id="8" name="图片 7"/>
        <xdr:cNvPicPr>
          <a:picLocks noChangeAspect="1"/>
        </xdr:cNvPicPr>
      </xdr:nvPicPr>
      <xdr:blipFill>
        <a:blip r:embed="rId4">
          <a:extLst>
            <a:ext uri="{28A0092B-C50C-407E-A947-70E740481C1C}">
              <a14:useLocalDpi xmlns:a14="http://schemas.microsoft.com/office/drawing/2010/main" val="0"/>
            </a:ext>
          </a:extLst>
        </a:blip>
        <a:stretch>
          <a:fillRect/>
        </a:stretch>
      </xdr:blipFill>
      <xdr:spPr>
        <a:xfrm>
          <a:off x="2219325" y="5915025"/>
          <a:ext cx="539750" cy="539750"/>
        </a:xfrm>
        <a:prstGeom prst="rect">
          <a:avLst/>
        </a:prstGeom>
      </xdr:spPr>
    </xdr:pic>
    <xdr:clientData/>
  </xdr:oneCellAnchor>
  <xdr:oneCellAnchor>
    <xdr:from>
      <xdr:col>3</xdr:col>
      <xdr:colOff>76200</xdr:colOff>
      <xdr:row>26</xdr:row>
      <xdr:rowOff>38100</xdr:rowOff>
    </xdr:from>
    <xdr:ext cx="540000" cy="540000"/>
    <xdr:pic>
      <xdr:nvPicPr>
        <xdr:cNvPr id="9" name="图片 8"/>
        <xdr:cNvPicPr>
          <a:picLocks noChangeAspect="1"/>
        </xdr:cNvPicPr>
      </xdr:nvPicPr>
      <xdr:blipFill>
        <a:blip r:embed="rId4">
          <a:extLst>
            <a:ext uri="{28A0092B-C50C-407E-A947-70E740481C1C}">
              <a14:useLocalDpi xmlns:a14="http://schemas.microsoft.com/office/drawing/2010/main" val="0"/>
            </a:ext>
          </a:extLst>
        </a:blip>
        <a:stretch>
          <a:fillRect/>
        </a:stretch>
      </xdr:blipFill>
      <xdr:spPr>
        <a:xfrm>
          <a:off x="2219325" y="6534150"/>
          <a:ext cx="539750" cy="539750"/>
        </a:xfrm>
        <a:prstGeom prst="rect">
          <a:avLst/>
        </a:prstGeom>
      </xdr:spPr>
    </xdr:pic>
    <xdr:clientData/>
  </xdr:oneCellAnchor>
  <xdr:oneCellAnchor>
    <xdr:from>
      <xdr:col>3</xdr:col>
      <xdr:colOff>76200</xdr:colOff>
      <xdr:row>27</xdr:row>
      <xdr:rowOff>47625</xdr:rowOff>
    </xdr:from>
    <xdr:ext cx="540000" cy="540000"/>
    <xdr:pic>
      <xdr:nvPicPr>
        <xdr:cNvPr id="10" name="图片 9"/>
        <xdr:cNvPicPr>
          <a:picLocks noChangeAspect="1"/>
        </xdr:cNvPicPr>
      </xdr:nvPicPr>
      <xdr:blipFill>
        <a:blip r:embed="rId5">
          <a:extLst>
            <a:ext uri="{28A0092B-C50C-407E-A947-70E740481C1C}">
              <a14:useLocalDpi xmlns:a14="http://schemas.microsoft.com/office/drawing/2010/main" val="0"/>
            </a:ext>
          </a:extLst>
        </a:blip>
        <a:stretch>
          <a:fillRect/>
        </a:stretch>
      </xdr:blipFill>
      <xdr:spPr>
        <a:xfrm>
          <a:off x="2219325" y="7172325"/>
          <a:ext cx="539750" cy="539750"/>
        </a:xfrm>
        <a:prstGeom prst="rect">
          <a:avLst/>
        </a:prstGeom>
      </xdr:spPr>
    </xdr:pic>
    <xdr:clientData/>
  </xdr:oneCellAnchor>
  <xdr:oneCellAnchor>
    <xdr:from>
      <xdr:col>3</xdr:col>
      <xdr:colOff>66675</xdr:colOff>
      <xdr:row>28</xdr:row>
      <xdr:rowOff>47625</xdr:rowOff>
    </xdr:from>
    <xdr:ext cx="540000" cy="540000"/>
    <xdr:pic>
      <xdr:nvPicPr>
        <xdr:cNvPr id="11" name="图片 10"/>
        <xdr:cNvPicPr>
          <a:picLocks noChangeAspect="1"/>
        </xdr:cNvPicPr>
      </xdr:nvPicPr>
      <xdr:blipFill>
        <a:blip r:embed="rId6">
          <a:extLst>
            <a:ext uri="{28A0092B-C50C-407E-A947-70E740481C1C}">
              <a14:useLocalDpi xmlns:a14="http://schemas.microsoft.com/office/drawing/2010/main" val="0"/>
            </a:ext>
          </a:extLst>
        </a:blip>
        <a:stretch>
          <a:fillRect/>
        </a:stretch>
      </xdr:blipFill>
      <xdr:spPr>
        <a:xfrm>
          <a:off x="2209800" y="7800975"/>
          <a:ext cx="539750" cy="539750"/>
        </a:xfrm>
        <a:prstGeom prst="rect">
          <a:avLst/>
        </a:prstGeom>
      </xdr:spPr>
    </xdr:pic>
    <xdr:clientData/>
  </xdr:oneCellAnchor>
  <xdr:oneCellAnchor>
    <xdr:from>
      <xdr:col>3</xdr:col>
      <xdr:colOff>76200</xdr:colOff>
      <xdr:row>29</xdr:row>
      <xdr:rowOff>57150</xdr:rowOff>
    </xdr:from>
    <xdr:ext cx="540000" cy="540000"/>
    <xdr:pic>
      <xdr:nvPicPr>
        <xdr:cNvPr id="12" name="图片 11"/>
        <xdr:cNvPicPr>
          <a:picLocks noChangeAspect="1"/>
        </xdr:cNvPicPr>
      </xdr:nvPicPr>
      <xdr:blipFill>
        <a:blip r:embed="rId6">
          <a:extLst>
            <a:ext uri="{28A0092B-C50C-407E-A947-70E740481C1C}">
              <a14:useLocalDpi xmlns:a14="http://schemas.microsoft.com/office/drawing/2010/main" val="0"/>
            </a:ext>
          </a:extLst>
        </a:blip>
        <a:stretch>
          <a:fillRect/>
        </a:stretch>
      </xdr:blipFill>
      <xdr:spPr>
        <a:xfrm>
          <a:off x="2219325" y="8439150"/>
          <a:ext cx="539750" cy="539750"/>
        </a:xfrm>
        <a:prstGeom prst="rect">
          <a:avLst/>
        </a:prstGeom>
      </xdr:spPr>
    </xdr:pic>
    <xdr:clientData/>
  </xdr:oneCellAnchor>
  <xdr:oneCellAnchor>
    <xdr:from>
      <xdr:col>3</xdr:col>
      <xdr:colOff>85725</xdr:colOff>
      <xdr:row>31</xdr:row>
      <xdr:rowOff>28575</xdr:rowOff>
    </xdr:from>
    <xdr:ext cx="540000" cy="540000"/>
    <xdr:pic>
      <xdr:nvPicPr>
        <xdr:cNvPr id="13" name="图片 12"/>
        <xdr:cNvPicPr>
          <a:picLocks noChangeAspect="1"/>
        </xdr:cNvPicPr>
      </xdr:nvPicPr>
      <xdr:blipFill>
        <a:blip r:embed="rId7">
          <a:extLst>
            <a:ext uri="{28A0092B-C50C-407E-A947-70E740481C1C}">
              <a14:useLocalDpi xmlns:a14="http://schemas.microsoft.com/office/drawing/2010/main" val="0"/>
            </a:ext>
          </a:extLst>
        </a:blip>
        <a:stretch>
          <a:fillRect/>
        </a:stretch>
      </xdr:blipFill>
      <xdr:spPr>
        <a:xfrm>
          <a:off x="2228850" y="9667875"/>
          <a:ext cx="539750" cy="539750"/>
        </a:xfrm>
        <a:prstGeom prst="rect">
          <a:avLst/>
        </a:prstGeom>
      </xdr:spPr>
    </xdr:pic>
    <xdr:clientData/>
  </xdr:oneCellAnchor>
  <xdr:oneCellAnchor>
    <xdr:from>
      <xdr:col>3</xdr:col>
      <xdr:colOff>95250</xdr:colOff>
      <xdr:row>32</xdr:row>
      <xdr:rowOff>28575</xdr:rowOff>
    </xdr:from>
    <xdr:ext cx="540000" cy="540000"/>
    <xdr:pic>
      <xdr:nvPicPr>
        <xdr:cNvPr id="14" name="图片 13"/>
        <xdr:cNvPicPr>
          <a:picLocks noChangeAspect="1"/>
        </xdr:cNvPicPr>
      </xdr:nvPicPr>
      <xdr:blipFill>
        <a:blip r:embed="rId7">
          <a:extLst>
            <a:ext uri="{28A0092B-C50C-407E-A947-70E740481C1C}">
              <a14:useLocalDpi xmlns:a14="http://schemas.microsoft.com/office/drawing/2010/main" val="0"/>
            </a:ext>
          </a:extLst>
        </a:blip>
        <a:stretch>
          <a:fillRect/>
        </a:stretch>
      </xdr:blipFill>
      <xdr:spPr>
        <a:xfrm>
          <a:off x="2238375" y="10296525"/>
          <a:ext cx="539750" cy="539750"/>
        </a:xfrm>
        <a:prstGeom prst="rect">
          <a:avLst/>
        </a:prstGeom>
      </xdr:spPr>
    </xdr:pic>
    <xdr:clientData/>
  </xdr:oneCellAnchor>
  <xdr:oneCellAnchor>
    <xdr:from>
      <xdr:col>3</xdr:col>
      <xdr:colOff>76200</xdr:colOff>
      <xdr:row>33</xdr:row>
      <xdr:rowOff>47625</xdr:rowOff>
    </xdr:from>
    <xdr:ext cx="540000" cy="540000"/>
    <xdr:pic>
      <xdr:nvPicPr>
        <xdr:cNvPr id="15" name="图片 14"/>
        <xdr:cNvPicPr>
          <a:picLocks noChangeAspect="1"/>
        </xdr:cNvPicPr>
      </xdr:nvPicPr>
      <xdr:blipFill>
        <a:blip r:embed="rId8">
          <a:extLst>
            <a:ext uri="{28A0092B-C50C-407E-A947-70E740481C1C}">
              <a14:useLocalDpi xmlns:a14="http://schemas.microsoft.com/office/drawing/2010/main" val="0"/>
            </a:ext>
          </a:extLst>
        </a:blip>
        <a:stretch>
          <a:fillRect/>
        </a:stretch>
      </xdr:blipFill>
      <xdr:spPr>
        <a:xfrm>
          <a:off x="2219325" y="10944225"/>
          <a:ext cx="539750" cy="539750"/>
        </a:xfrm>
        <a:prstGeom prst="rect">
          <a:avLst/>
        </a:prstGeom>
      </xdr:spPr>
    </xdr:pic>
    <xdr:clientData/>
  </xdr:oneCellAnchor>
  <xdr:oneCellAnchor>
    <xdr:from>
      <xdr:col>3</xdr:col>
      <xdr:colOff>76200</xdr:colOff>
      <xdr:row>34</xdr:row>
      <xdr:rowOff>47625</xdr:rowOff>
    </xdr:from>
    <xdr:ext cx="540000" cy="540000"/>
    <xdr:pic>
      <xdr:nvPicPr>
        <xdr:cNvPr id="16" name="图片 15"/>
        <xdr:cNvPicPr>
          <a:picLocks noChangeAspect="1"/>
        </xdr:cNvPicPr>
      </xdr:nvPicPr>
      <xdr:blipFill>
        <a:blip r:embed="rId9">
          <a:extLst>
            <a:ext uri="{28A0092B-C50C-407E-A947-70E740481C1C}">
              <a14:useLocalDpi xmlns:a14="http://schemas.microsoft.com/office/drawing/2010/main" val="0"/>
            </a:ext>
          </a:extLst>
        </a:blip>
        <a:stretch>
          <a:fillRect/>
        </a:stretch>
      </xdr:blipFill>
      <xdr:spPr>
        <a:xfrm>
          <a:off x="2219325" y="11572875"/>
          <a:ext cx="539750" cy="539750"/>
        </a:xfrm>
        <a:prstGeom prst="rect">
          <a:avLst/>
        </a:prstGeom>
      </xdr:spPr>
    </xdr:pic>
    <xdr:clientData/>
  </xdr:oneCellAnchor>
  <xdr:oneCellAnchor>
    <xdr:from>
      <xdr:col>3</xdr:col>
      <xdr:colOff>76200</xdr:colOff>
      <xdr:row>35</xdr:row>
      <xdr:rowOff>38100</xdr:rowOff>
    </xdr:from>
    <xdr:ext cx="540000" cy="540000"/>
    <xdr:pic>
      <xdr:nvPicPr>
        <xdr:cNvPr id="17" name="图片 16"/>
        <xdr:cNvPicPr>
          <a:picLocks noChangeAspect="1"/>
        </xdr:cNvPicPr>
      </xdr:nvPicPr>
      <xdr:blipFill>
        <a:blip r:embed="rId9">
          <a:extLst>
            <a:ext uri="{28A0092B-C50C-407E-A947-70E740481C1C}">
              <a14:useLocalDpi xmlns:a14="http://schemas.microsoft.com/office/drawing/2010/main" val="0"/>
            </a:ext>
          </a:extLst>
        </a:blip>
        <a:stretch>
          <a:fillRect/>
        </a:stretch>
      </xdr:blipFill>
      <xdr:spPr>
        <a:xfrm>
          <a:off x="2219325" y="12192000"/>
          <a:ext cx="539750" cy="539750"/>
        </a:xfrm>
        <a:prstGeom prst="rect">
          <a:avLst/>
        </a:prstGeom>
      </xdr:spPr>
    </xdr:pic>
    <xdr:clientData/>
  </xdr:oneCellAnchor>
  <xdr:oneCellAnchor>
    <xdr:from>
      <xdr:col>3</xdr:col>
      <xdr:colOff>76200</xdr:colOff>
      <xdr:row>37</xdr:row>
      <xdr:rowOff>47625</xdr:rowOff>
    </xdr:from>
    <xdr:ext cx="540000" cy="540000"/>
    <xdr:pic>
      <xdr:nvPicPr>
        <xdr:cNvPr id="18" name="图片 17"/>
        <xdr:cNvPicPr>
          <a:picLocks noChangeAspect="1"/>
        </xdr:cNvPicPr>
      </xdr:nvPicPr>
      <xdr:blipFill>
        <a:blip r:embed="rId10">
          <a:extLst>
            <a:ext uri="{28A0092B-C50C-407E-A947-70E740481C1C}">
              <a14:useLocalDpi xmlns:a14="http://schemas.microsoft.com/office/drawing/2010/main" val="0"/>
            </a:ext>
          </a:extLst>
        </a:blip>
        <a:stretch>
          <a:fillRect/>
        </a:stretch>
      </xdr:blipFill>
      <xdr:spPr>
        <a:xfrm>
          <a:off x="2219325" y="13458825"/>
          <a:ext cx="539750" cy="539750"/>
        </a:xfrm>
        <a:prstGeom prst="rect">
          <a:avLst/>
        </a:prstGeom>
      </xdr:spPr>
    </xdr:pic>
    <xdr:clientData/>
  </xdr:oneCellAnchor>
  <xdr:oneCellAnchor>
    <xdr:from>
      <xdr:col>3</xdr:col>
      <xdr:colOff>66675</xdr:colOff>
      <xdr:row>38</xdr:row>
      <xdr:rowOff>47625</xdr:rowOff>
    </xdr:from>
    <xdr:ext cx="540000" cy="540000"/>
    <xdr:pic>
      <xdr:nvPicPr>
        <xdr:cNvPr id="19" name="图片 18"/>
        <xdr:cNvPicPr>
          <a:picLocks noChangeAspect="1"/>
        </xdr:cNvPicPr>
      </xdr:nvPicPr>
      <xdr:blipFill>
        <a:blip r:embed="rId10">
          <a:extLst>
            <a:ext uri="{28A0092B-C50C-407E-A947-70E740481C1C}">
              <a14:useLocalDpi xmlns:a14="http://schemas.microsoft.com/office/drawing/2010/main" val="0"/>
            </a:ext>
          </a:extLst>
        </a:blip>
        <a:stretch>
          <a:fillRect/>
        </a:stretch>
      </xdr:blipFill>
      <xdr:spPr>
        <a:xfrm>
          <a:off x="2209800" y="14087475"/>
          <a:ext cx="539750" cy="539750"/>
        </a:xfrm>
        <a:prstGeom prst="rect">
          <a:avLst/>
        </a:prstGeom>
      </xdr:spPr>
    </xdr:pic>
    <xdr:clientData/>
  </xdr:oneCellAnchor>
  <xdr:oneCellAnchor>
    <xdr:from>
      <xdr:col>3</xdr:col>
      <xdr:colOff>76200</xdr:colOff>
      <xdr:row>40</xdr:row>
      <xdr:rowOff>47625</xdr:rowOff>
    </xdr:from>
    <xdr:ext cx="540000" cy="540000"/>
    <xdr:pic>
      <xdr:nvPicPr>
        <xdr:cNvPr id="20" name="图片 19"/>
        <xdr:cNvPicPr>
          <a:picLocks noChangeAspect="1"/>
        </xdr:cNvPicPr>
      </xdr:nvPicPr>
      <xdr:blipFill>
        <a:blip r:embed="rId11">
          <a:extLst>
            <a:ext uri="{28A0092B-C50C-407E-A947-70E740481C1C}">
              <a14:useLocalDpi xmlns:a14="http://schemas.microsoft.com/office/drawing/2010/main" val="0"/>
            </a:ext>
          </a:extLst>
        </a:blip>
        <a:stretch>
          <a:fillRect/>
        </a:stretch>
      </xdr:blipFill>
      <xdr:spPr>
        <a:xfrm>
          <a:off x="2219325" y="15344775"/>
          <a:ext cx="539750" cy="539750"/>
        </a:xfrm>
        <a:prstGeom prst="rect">
          <a:avLst/>
        </a:prstGeom>
      </xdr:spPr>
    </xdr:pic>
    <xdr:clientData/>
  </xdr:oneCellAnchor>
  <xdr:oneCellAnchor>
    <xdr:from>
      <xdr:col>3</xdr:col>
      <xdr:colOff>76200</xdr:colOff>
      <xdr:row>41</xdr:row>
      <xdr:rowOff>47625</xdr:rowOff>
    </xdr:from>
    <xdr:ext cx="540000" cy="540000"/>
    <xdr:pic>
      <xdr:nvPicPr>
        <xdr:cNvPr id="21" name="图片 20"/>
        <xdr:cNvPicPr>
          <a:picLocks noChangeAspect="1"/>
        </xdr:cNvPicPr>
      </xdr:nvPicPr>
      <xdr:blipFill>
        <a:blip r:embed="rId11">
          <a:extLst>
            <a:ext uri="{28A0092B-C50C-407E-A947-70E740481C1C}">
              <a14:useLocalDpi xmlns:a14="http://schemas.microsoft.com/office/drawing/2010/main" val="0"/>
            </a:ext>
          </a:extLst>
        </a:blip>
        <a:stretch>
          <a:fillRect/>
        </a:stretch>
      </xdr:blipFill>
      <xdr:spPr>
        <a:xfrm>
          <a:off x="2219325" y="15973425"/>
          <a:ext cx="539750" cy="539750"/>
        </a:xfrm>
        <a:prstGeom prst="rect">
          <a:avLst/>
        </a:prstGeom>
      </xdr:spPr>
    </xdr:pic>
    <xdr:clientData/>
  </xdr:oneCellAnchor>
  <xdr:oneCellAnchor>
    <xdr:from>
      <xdr:col>3</xdr:col>
      <xdr:colOff>72258</xdr:colOff>
      <xdr:row>43</xdr:row>
      <xdr:rowOff>32845</xdr:rowOff>
    </xdr:from>
    <xdr:ext cx="540000" cy="540000"/>
    <xdr:pic>
      <xdr:nvPicPr>
        <xdr:cNvPr id="22" name="图片 21"/>
        <xdr:cNvPicPr>
          <a:picLocks noChangeAspect="1"/>
        </xdr:cNvPicPr>
      </xdr:nvPicPr>
      <xdr:blipFill>
        <a:blip r:embed="rId12">
          <a:extLst>
            <a:ext uri="{28A0092B-C50C-407E-A947-70E740481C1C}">
              <a14:useLocalDpi xmlns:a14="http://schemas.microsoft.com/office/drawing/2010/main" val="0"/>
            </a:ext>
          </a:extLst>
        </a:blip>
        <a:stretch>
          <a:fillRect/>
        </a:stretch>
      </xdr:blipFill>
      <xdr:spPr>
        <a:xfrm>
          <a:off x="2214880" y="17215485"/>
          <a:ext cx="540385" cy="540385"/>
        </a:xfrm>
        <a:prstGeom prst="rect">
          <a:avLst/>
        </a:prstGeom>
      </xdr:spPr>
    </xdr:pic>
    <xdr:clientData/>
  </xdr:oneCellAnchor>
  <xdr:oneCellAnchor>
    <xdr:from>
      <xdr:col>3</xdr:col>
      <xdr:colOff>72259</xdr:colOff>
      <xdr:row>44</xdr:row>
      <xdr:rowOff>39414</xdr:rowOff>
    </xdr:from>
    <xdr:ext cx="540000" cy="540000"/>
    <xdr:pic>
      <xdr:nvPicPr>
        <xdr:cNvPr id="23" name="图片 22"/>
        <xdr:cNvPicPr>
          <a:picLocks noChangeAspect="1"/>
        </xdr:cNvPicPr>
      </xdr:nvPicPr>
      <xdr:blipFill>
        <a:blip r:embed="rId13">
          <a:extLst>
            <a:ext uri="{28A0092B-C50C-407E-A947-70E740481C1C}">
              <a14:useLocalDpi xmlns:a14="http://schemas.microsoft.com/office/drawing/2010/main" val="0"/>
            </a:ext>
          </a:extLst>
        </a:blip>
        <a:stretch>
          <a:fillRect/>
        </a:stretch>
      </xdr:blipFill>
      <xdr:spPr>
        <a:xfrm>
          <a:off x="2214880" y="17851120"/>
          <a:ext cx="540385" cy="539750"/>
        </a:xfrm>
        <a:prstGeom prst="rect">
          <a:avLst/>
        </a:prstGeom>
      </xdr:spPr>
    </xdr:pic>
    <xdr:clientData/>
  </xdr:oneCellAnchor>
  <xdr:oneCellAnchor>
    <xdr:from>
      <xdr:col>3</xdr:col>
      <xdr:colOff>72259</xdr:colOff>
      <xdr:row>46</xdr:row>
      <xdr:rowOff>39414</xdr:rowOff>
    </xdr:from>
    <xdr:ext cx="540000" cy="540000"/>
    <xdr:pic>
      <xdr:nvPicPr>
        <xdr:cNvPr id="24" name="图片 23"/>
        <xdr:cNvPicPr>
          <a:picLocks noChangeAspect="1"/>
        </xdr:cNvPicPr>
      </xdr:nvPicPr>
      <xdr:blipFill>
        <a:blip r:embed="rId14">
          <a:extLst>
            <a:ext uri="{28A0092B-C50C-407E-A947-70E740481C1C}">
              <a14:useLocalDpi xmlns:a14="http://schemas.microsoft.com/office/drawing/2010/main" val="0"/>
            </a:ext>
          </a:extLst>
        </a:blip>
        <a:stretch>
          <a:fillRect/>
        </a:stretch>
      </xdr:blipFill>
      <xdr:spPr>
        <a:xfrm>
          <a:off x="2214880" y="19108420"/>
          <a:ext cx="540385" cy="539750"/>
        </a:xfrm>
        <a:prstGeom prst="rect">
          <a:avLst/>
        </a:prstGeom>
      </xdr:spPr>
    </xdr:pic>
    <xdr:clientData/>
  </xdr:oneCellAnchor>
  <xdr:oneCellAnchor>
    <xdr:from>
      <xdr:col>3</xdr:col>
      <xdr:colOff>72259</xdr:colOff>
      <xdr:row>47</xdr:row>
      <xdr:rowOff>32846</xdr:rowOff>
    </xdr:from>
    <xdr:ext cx="540000" cy="540000"/>
    <xdr:pic>
      <xdr:nvPicPr>
        <xdr:cNvPr id="25" name="图片 24"/>
        <xdr:cNvPicPr>
          <a:picLocks noChangeAspect="1"/>
        </xdr:cNvPicPr>
      </xdr:nvPicPr>
      <xdr:blipFill>
        <a:blip r:embed="rId14">
          <a:extLst>
            <a:ext uri="{28A0092B-C50C-407E-A947-70E740481C1C}">
              <a14:useLocalDpi xmlns:a14="http://schemas.microsoft.com/office/drawing/2010/main" val="0"/>
            </a:ext>
          </a:extLst>
        </a:blip>
        <a:stretch>
          <a:fillRect/>
        </a:stretch>
      </xdr:blipFill>
      <xdr:spPr>
        <a:xfrm>
          <a:off x="2214880" y="19730085"/>
          <a:ext cx="540385" cy="540385"/>
        </a:xfrm>
        <a:prstGeom prst="rect">
          <a:avLst/>
        </a:prstGeom>
      </xdr:spPr>
    </xdr:pic>
    <xdr:clientData/>
  </xdr:oneCellAnchor>
  <xdr:oneCellAnchor>
    <xdr:from>
      <xdr:col>3</xdr:col>
      <xdr:colOff>59121</xdr:colOff>
      <xdr:row>49</xdr:row>
      <xdr:rowOff>45982</xdr:rowOff>
    </xdr:from>
    <xdr:ext cx="540000" cy="540000"/>
    <xdr:pic>
      <xdr:nvPicPr>
        <xdr:cNvPr id="26" name="图片 25"/>
        <xdr:cNvPicPr>
          <a:picLocks noChangeAspect="1"/>
        </xdr:cNvPicPr>
      </xdr:nvPicPr>
      <xdr:blipFill>
        <a:blip r:embed="rId15">
          <a:extLst>
            <a:ext uri="{28A0092B-C50C-407E-A947-70E740481C1C}">
              <a14:useLocalDpi xmlns:a14="http://schemas.microsoft.com/office/drawing/2010/main" val="0"/>
            </a:ext>
          </a:extLst>
        </a:blip>
        <a:stretch>
          <a:fillRect/>
        </a:stretch>
      </xdr:blipFill>
      <xdr:spPr>
        <a:xfrm>
          <a:off x="2202180" y="21000720"/>
          <a:ext cx="539750" cy="539750"/>
        </a:xfrm>
        <a:prstGeom prst="rect">
          <a:avLst/>
        </a:prstGeom>
      </xdr:spPr>
    </xdr:pic>
    <xdr:clientData/>
  </xdr:oneCellAnchor>
  <xdr:oneCellAnchor>
    <xdr:from>
      <xdr:col>3</xdr:col>
      <xdr:colOff>65690</xdr:colOff>
      <xdr:row>50</xdr:row>
      <xdr:rowOff>32845</xdr:rowOff>
    </xdr:from>
    <xdr:ext cx="540000" cy="540000"/>
    <xdr:pic>
      <xdr:nvPicPr>
        <xdr:cNvPr id="27" name="图片 26"/>
        <xdr:cNvPicPr>
          <a:picLocks noChangeAspect="1"/>
        </xdr:cNvPicPr>
      </xdr:nvPicPr>
      <xdr:blipFill>
        <a:blip r:embed="rId16">
          <a:extLst>
            <a:ext uri="{28A0092B-C50C-407E-A947-70E740481C1C}">
              <a14:useLocalDpi xmlns:a14="http://schemas.microsoft.com/office/drawing/2010/main" val="0"/>
            </a:ext>
          </a:extLst>
        </a:blip>
        <a:stretch>
          <a:fillRect/>
        </a:stretch>
      </xdr:blipFill>
      <xdr:spPr>
        <a:xfrm>
          <a:off x="2208530" y="21616035"/>
          <a:ext cx="539750" cy="540385"/>
        </a:xfrm>
        <a:prstGeom prst="rect">
          <a:avLst/>
        </a:prstGeom>
      </xdr:spPr>
    </xdr:pic>
    <xdr:clientData/>
  </xdr:oneCellAnchor>
  <xdr:oneCellAnchor>
    <xdr:from>
      <xdr:col>3</xdr:col>
      <xdr:colOff>72258</xdr:colOff>
      <xdr:row>52</xdr:row>
      <xdr:rowOff>32845</xdr:rowOff>
    </xdr:from>
    <xdr:ext cx="540000" cy="540000"/>
    <xdr:pic>
      <xdr:nvPicPr>
        <xdr:cNvPr id="28" name="图片 27"/>
        <xdr:cNvPicPr>
          <a:picLocks noChangeAspect="1"/>
        </xdr:cNvPicPr>
      </xdr:nvPicPr>
      <xdr:blipFill>
        <a:blip r:embed="rId17">
          <a:extLst>
            <a:ext uri="{28A0092B-C50C-407E-A947-70E740481C1C}">
              <a14:useLocalDpi xmlns:a14="http://schemas.microsoft.com/office/drawing/2010/main" val="0"/>
            </a:ext>
          </a:extLst>
        </a:blip>
        <a:stretch>
          <a:fillRect/>
        </a:stretch>
      </xdr:blipFill>
      <xdr:spPr>
        <a:xfrm>
          <a:off x="2214880" y="22873335"/>
          <a:ext cx="540385" cy="540385"/>
        </a:xfrm>
        <a:prstGeom prst="rect">
          <a:avLst/>
        </a:prstGeom>
      </xdr:spPr>
    </xdr:pic>
    <xdr:clientData/>
  </xdr:oneCellAnchor>
  <xdr:oneCellAnchor>
    <xdr:from>
      <xdr:col>3</xdr:col>
      <xdr:colOff>72258</xdr:colOff>
      <xdr:row>53</xdr:row>
      <xdr:rowOff>45983</xdr:rowOff>
    </xdr:from>
    <xdr:ext cx="540000" cy="540000"/>
    <xdr:pic>
      <xdr:nvPicPr>
        <xdr:cNvPr id="29" name="图片 28"/>
        <xdr:cNvPicPr>
          <a:picLocks noChangeAspect="1"/>
        </xdr:cNvPicPr>
      </xdr:nvPicPr>
      <xdr:blipFill>
        <a:blip r:embed="rId18">
          <a:extLst>
            <a:ext uri="{28A0092B-C50C-407E-A947-70E740481C1C}">
              <a14:useLocalDpi xmlns:a14="http://schemas.microsoft.com/office/drawing/2010/main" val="0"/>
            </a:ext>
          </a:extLst>
        </a:blip>
        <a:stretch>
          <a:fillRect/>
        </a:stretch>
      </xdr:blipFill>
      <xdr:spPr>
        <a:xfrm>
          <a:off x="2214880" y="23515320"/>
          <a:ext cx="540385" cy="539750"/>
        </a:xfrm>
        <a:prstGeom prst="rect">
          <a:avLst/>
        </a:prstGeom>
      </xdr:spPr>
    </xdr:pic>
    <xdr:clientData/>
  </xdr:oneCellAnchor>
  <xdr:oneCellAnchor>
    <xdr:from>
      <xdr:col>3</xdr:col>
      <xdr:colOff>72259</xdr:colOff>
      <xdr:row>54</xdr:row>
      <xdr:rowOff>45983</xdr:rowOff>
    </xdr:from>
    <xdr:ext cx="540000" cy="540000"/>
    <xdr:pic>
      <xdr:nvPicPr>
        <xdr:cNvPr id="30" name="图片 29"/>
        <xdr:cNvPicPr>
          <a:picLocks noChangeAspect="1"/>
        </xdr:cNvPicPr>
      </xdr:nvPicPr>
      <xdr:blipFill>
        <a:blip r:embed="rId19">
          <a:extLst>
            <a:ext uri="{28A0092B-C50C-407E-A947-70E740481C1C}">
              <a14:useLocalDpi xmlns:a14="http://schemas.microsoft.com/office/drawing/2010/main" val="0"/>
            </a:ext>
          </a:extLst>
        </a:blip>
        <a:stretch>
          <a:fillRect/>
        </a:stretch>
      </xdr:blipFill>
      <xdr:spPr>
        <a:xfrm>
          <a:off x="2214880" y="24143970"/>
          <a:ext cx="540385" cy="539750"/>
        </a:xfrm>
        <a:prstGeom prst="rect">
          <a:avLst/>
        </a:prstGeom>
      </xdr:spPr>
    </xdr:pic>
    <xdr:clientData/>
  </xdr:oneCellAnchor>
  <xdr:oneCellAnchor>
    <xdr:from>
      <xdr:col>3</xdr:col>
      <xdr:colOff>72259</xdr:colOff>
      <xdr:row>55</xdr:row>
      <xdr:rowOff>52552</xdr:rowOff>
    </xdr:from>
    <xdr:ext cx="540000" cy="540000"/>
    <xdr:pic>
      <xdr:nvPicPr>
        <xdr:cNvPr id="31" name="图片 30"/>
        <xdr:cNvPicPr>
          <a:picLocks noChangeAspect="1"/>
        </xdr:cNvPicPr>
      </xdr:nvPicPr>
      <xdr:blipFill>
        <a:blip r:embed="rId20">
          <a:extLst>
            <a:ext uri="{28A0092B-C50C-407E-A947-70E740481C1C}">
              <a14:useLocalDpi xmlns:a14="http://schemas.microsoft.com/office/drawing/2010/main" val="0"/>
            </a:ext>
          </a:extLst>
        </a:blip>
        <a:stretch>
          <a:fillRect/>
        </a:stretch>
      </xdr:blipFill>
      <xdr:spPr>
        <a:xfrm>
          <a:off x="2214880" y="24778970"/>
          <a:ext cx="540385" cy="540385"/>
        </a:xfrm>
        <a:prstGeom prst="rect">
          <a:avLst/>
        </a:prstGeom>
      </xdr:spPr>
    </xdr:pic>
    <xdr:clientData/>
  </xdr:oneCellAnchor>
  <xdr:oneCellAnchor>
    <xdr:from>
      <xdr:col>3</xdr:col>
      <xdr:colOff>59121</xdr:colOff>
      <xdr:row>58</xdr:row>
      <xdr:rowOff>65690</xdr:rowOff>
    </xdr:from>
    <xdr:ext cx="540000" cy="540000"/>
    <xdr:pic>
      <xdr:nvPicPr>
        <xdr:cNvPr id="32" name="图片 31"/>
        <xdr:cNvPicPr>
          <a:picLocks noChangeAspect="1"/>
        </xdr:cNvPicPr>
      </xdr:nvPicPr>
      <xdr:blipFill>
        <a:blip r:embed="rId21">
          <a:extLst>
            <a:ext uri="{28A0092B-C50C-407E-A947-70E740481C1C}">
              <a14:useLocalDpi xmlns:a14="http://schemas.microsoft.com/office/drawing/2010/main" val="0"/>
            </a:ext>
          </a:extLst>
        </a:blip>
        <a:stretch>
          <a:fillRect/>
        </a:stretch>
      </xdr:blipFill>
      <xdr:spPr>
        <a:xfrm>
          <a:off x="2202180" y="26678255"/>
          <a:ext cx="539750" cy="539750"/>
        </a:xfrm>
        <a:prstGeom prst="rect">
          <a:avLst/>
        </a:prstGeom>
      </xdr:spPr>
    </xdr:pic>
    <xdr:clientData/>
  </xdr:oneCellAnchor>
  <xdr:oneCellAnchor>
    <xdr:from>
      <xdr:col>3</xdr:col>
      <xdr:colOff>65690</xdr:colOff>
      <xdr:row>56</xdr:row>
      <xdr:rowOff>39414</xdr:rowOff>
    </xdr:from>
    <xdr:ext cx="540000" cy="540000"/>
    <xdr:pic>
      <xdr:nvPicPr>
        <xdr:cNvPr id="33" name="图片 32"/>
        <xdr:cNvPicPr>
          <a:picLocks noChangeAspect="1"/>
        </xdr:cNvPicPr>
      </xdr:nvPicPr>
      <xdr:blipFill>
        <a:blip r:embed="rId20">
          <a:extLst>
            <a:ext uri="{28A0092B-C50C-407E-A947-70E740481C1C}">
              <a14:useLocalDpi xmlns:a14="http://schemas.microsoft.com/office/drawing/2010/main" val="0"/>
            </a:ext>
          </a:extLst>
        </a:blip>
        <a:stretch>
          <a:fillRect/>
        </a:stretch>
      </xdr:blipFill>
      <xdr:spPr>
        <a:xfrm>
          <a:off x="2208530" y="25394920"/>
          <a:ext cx="539750" cy="539750"/>
        </a:xfrm>
        <a:prstGeom prst="rect">
          <a:avLst/>
        </a:prstGeom>
      </xdr:spPr>
    </xdr:pic>
    <xdr:clientData/>
  </xdr:oneCellAnchor>
  <xdr:oneCellAnchor>
    <xdr:from>
      <xdr:col>3</xdr:col>
      <xdr:colOff>65690</xdr:colOff>
      <xdr:row>61</xdr:row>
      <xdr:rowOff>45983</xdr:rowOff>
    </xdr:from>
    <xdr:ext cx="540000" cy="540000"/>
    <xdr:pic>
      <xdr:nvPicPr>
        <xdr:cNvPr id="34" name="图片 33"/>
        <xdr:cNvPicPr>
          <a:picLocks noChangeAspect="1"/>
        </xdr:cNvPicPr>
      </xdr:nvPicPr>
      <xdr:blipFill>
        <a:blip r:embed="rId22">
          <a:extLst>
            <a:ext uri="{28A0092B-C50C-407E-A947-70E740481C1C}">
              <a14:useLocalDpi xmlns:a14="http://schemas.microsoft.com/office/drawing/2010/main" val="0"/>
            </a:ext>
          </a:extLst>
        </a:blip>
        <a:stretch>
          <a:fillRect/>
        </a:stretch>
      </xdr:blipFill>
      <xdr:spPr>
        <a:xfrm>
          <a:off x="2208530" y="28544520"/>
          <a:ext cx="539750" cy="539750"/>
        </a:xfrm>
        <a:prstGeom prst="rect">
          <a:avLst/>
        </a:prstGeom>
      </xdr:spPr>
    </xdr:pic>
    <xdr:clientData/>
  </xdr:oneCellAnchor>
  <xdr:oneCellAnchor>
    <xdr:from>
      <xdr:col>3</xdr:col>
      <xdr:colOff>65690</xdr:colOff>
      <xdr:row>59</xdr:row>
      <xdr:rowOff>59121</xdr:rowOff>
    </xdr:from>
    <xdr:ext cx="540000" cy="540000"/>
    <xdr:pic>
      <xdr:nvPicPr>
        <xdr:cNvPr id="35" name="图片 34"/>
        <xdr:cNvPicPr>
          <a:picLocks noChangeAspect="1"/>
        </xdr:cNvPicPr>
      </xdr:nvPicPr>
      <xdr:blipFill>
        <a:blip r:embed="rId21">
          <a:extLst>
            <a:ext uri="{28A0092B-C50C-407E-A947-70E740481C1C}">
              <a14:useLocalDpi xmlns:a14="http://schemas.microsoft.com/office/drawing/2010/main" val="0"/>
            </a:ext>
          </a:extLst>
        </a:blip>
        <a:stretch>
          <a:fillRect/>
        </a:stretch>
      </xdr:blipFill>
      <xdr:spPr>
        <a:xfrm>
          <a:off x="2208530" y="27300555"/>
          <a:ext cx="539750" cy="539750"/>
        </a:xfrm>
        <a:prstGeom prst="rect">
          <a:avLst/>
        </a:prstGeom>
      </xdr:spPr>
    </xdr:pic>
    <xdr:clientData/>
  </xdr:oneCellAnchor>
  <xdr:oneCellAnchor>
    <xdr:from>
      <xdr:col>3</xdr:col>
      <xdr:colOff>59121</xdr:colOff>
      <xdr:row>62</xdr:row>
      <xdr:rowOff>39414</xdr:rowOff>
    </xdr:from>
    <xdr:ext cx="540000" cy="540000"/>
    <xdr:pic>
      <xdr:nvPicPr>
        <xdr:cNvPr id="36" name="图片 35"/>
        <xdr:cNvPicPr>
          <a:picLocks noChangeAspect="1"/>
        </xdr:cNvPicPr>
      </xdr:nvPicPr>
      <xdr:blipFill>
        <a:blip r:embed="rId22">
          <a:extLst>
            <a:ext uri="{28A0092B-C50C-407E-A947-70E740481C1C}">
              <a14:useLocalDpi xmlns:a14="http://schemas.microsoft.com/office/drawing/2010/main" val="0"/>
            </a:ext>
          </a:extLst>
        </a:blip>
        <a:stretch>
          <a:fillRect/>
        </a:stretch>
      </xdr:blipFill>
      <xdr:spPr>
        <a:xfrm>
          <a:off x="2202180" y="29166820"/>
          <a:ext cx="539750" cy="539750"/>
        </a:xfrm>
        <a:prstGeom prst="rect">
          <a:avLst/>
        </a:prstGeom>
      </xdr:spPr>
    </xdr:pic>
    <xdr:clientData/>
  </xdr:oneCellAnchor>
  <xdr:oneCellAnchor>
    <xdr:from>
      <xdr:col>3</xdr:col>
      <xdr:colOff>85397</xdr:colOff>
      <xdr:row>70</xdr:row>
      <xdr:rowOff>52552</xdr:rowOff>
    </xdr:from>
    <xdr:ext cx="540000" cy="540000"/>
    <xdr:pic>
      <xdr:nvPicPr>
        <xdr:cNvPr id="37" name="图片 36"/>
        <xdr:cNvPicPr>
          <a:picLocks noChangeAspect="1"/>
        </xdr:cNvPicPr>
      </xdr:nvPicPr>
      <xdr:blipFill>
        <a:blip r:embed="rId23">
          <a:extLst>
            <a:ext uri="{28A0092B-C50C-407E-A947-70E740481C1C}">
              <a14:useLocalDpi xmlns:a14="http://schemas.microsoft.com/office/drawing/2010/main" val="0"/>
            </a:ext>
          </a:extLst>
        </a:blip>
        <a:stretch>
          <a:fillRect/>
        </a:stretch>
      </xdr:blipFill>
      <xdr:spPr>
        <a:xfrm>
          <a:off x="2228215" y="34208720"/>
          <a:ext cx="539750" cy="540385"/>
        </a:xfrm>
        <a:prstGeom prst="rect">
          <a:avLst/>
        </a:prstGeom>
      </xdr:spPr>
    </xdr:pic>
    <xdr:clientData/>
  </xdr:oneCellAnchor>
  <xdr:oneCellAnchor>
    <xdr:from>
      <xdr:col>3</xdr:col>
      <xdr:colOff>78828</xdr:colOff>
      <xdr:row>71</xdr:row>
      <xdr:rowOff>39414</xdr:rowOff>
    </xdr:from>
    <xdr:ext cx="540000" cy="540000"/>
    <xdr:pic>
      <xdr:nvPicPr>
        <xdr:cNvPr id="38" name="图片 37"/>
        <xdr:cNvPicPr>
          <a:picLocks noChangeAspect="1"/>
        </xdr:cNvPicPr>
      </xdr:nvPicPr>
      <xdr:blipFill>
        <a:blip r:embed="rId23">
          <a:extLst>
            <a:ext uri="{28A0092B-C50C-407E-A947-70E740481C1C}">
              <a14:useLocalDpi xmlns:a14="http://schemas.microsoft.com/office/drawing/2010/main" val="0"/>
            </a:ext>
          </a:extLst>
        </a:blip>
        <a:stretch>
          <a:fillRect/>
        </a:stretch>
      </xdr:blipFill>
      <xdr:spPr>
        <a:xfrm>
          <a:off x="2221865" y="34824670"/>
          <a:ext cx="539750" cy="539750"/>
        </a:xfrm>
        <a:prstGeom prst="rect">
          <a:avLst/>
        </a:prstGeom>
      </xdr:spPr>
    </xdr:pic>
    <xdr:clientData/>
  </xdr:oneCellAnchor>
  <xdr:oneCellAnchor>
    <xdr:from>
      <xdr:col>3</xdr:col>
      <xdr:colOff>65690</xdr:colOff>
      <xdr:row>74</xdr:row>
      <xdr:rowOff>39413</xdr:rowOff>
    </xdr:from>
    <xdr:ext cx="540000" cy="540000"/>
    <xdr:pic>
      <xdr:nvPicPr>
        <xdr:cNvPr id="39" name="图片 38"/>
        <xdr:cNvPicPr>
          <a:picLocks noChangeAspect="1"/>
        </xdr:cNvPicPr>
      </xdr:nvPicPr>
      <xdr:blipFill>
        <a:blip r:embed="rId24">
          <a:extLst>
            <a:ext uri="{28A0092B-C50C-407E-A947-70E740481C1C}">
              <a14:useLocalDpi xmlns:a14="http://schemas.microsoft.com/office/drawing/2010/main" val="0"/>
            </a:ext>
          </a:extLst>
        </a:blip>
        <a:stretch>
          <a:fillRect/>
        </a:stretch>
      </xdr:blipFill>
      <xdr:spPr>
        <a:xfrm>
          <a:off x="2208530" y="36710620"/>
          <a:ext cx="539750" cy="539750"/>
        </a:xfrm>
        <a:prstGeom prst="rect">
          <a:avLst/>
        </a:prstGeom>
      </xdr:spPr>
    </xdr:pic>
    <xdr:clientData/>
  </xdr:oneCellAnchor>
  <xdr:oneCellAnchor>
    <xdr:from>
      <xdr:col>3</xdr:col>
      <xdr:colOff>78827</xdr:colOff>
      <xdr:row>73</xdr:row>
      <xdr:rowOff>32844</xdr:rowOff>
    </xdr:from>
    <xdr:ext cx="540000" cy="540000"/>
    <xdr:pic>
      <xdr:nvPicPr>
        <xdr:cNvPr id="40" name="图片 39"/>
        <xdr:cNvPicPr>
          <a:picLocks noChangeAspect="1"/>
        </xdr:cNvPicPr>
      </xdr:nvPicPr>
      <xdr:blipFill>
        <a:blip r:embed="rId24">
          <a:extLst>
            <a:ext uri="{28A0092B-C50C-407E-A947-70E740481C1C}">
              <a14:useLocalDpi xmlns:a14="http://schemas.microsoft.com/office/drawing/2010/main" val="0"/>
            </a:ext>
          </a:extLst>
        </a:blip>
        <a:stretch>
          <a:fillRect/>
        </a:stretch>
      </xdr:blipFill>
      <xdr:spPr>
        <a:xfrm>
          <a:off x="2221865" y="36074985"/>
          <a:ext cx="539750" cy="540385"/>
        </a:xfrm>
        <a:prstGeom prst="rect">
          <a:avLst/>
        </a:prstGeom>
      </xdr:spPr>
    </xdr:pic>
    <xdr:clientData/>
  </xdr:oneCellAnchor>
  <xdr:oneCellAnchor>
    <xdr:from>
      <xdr:col>3</xdr:col>
      <xdr:colOff>72259</xdr:colOff>
      <xdr:row>76</xdr:row>
      <xdr:rowOff>45982</xdr:rowOff>
    </xdr:from>
    <xdr:ext cx="540000" cy="540000"/>
    <xdr:pic>
      <xdr:nvPicPr>
        <xdr:cNvPr id="41" name="图片 40"/>
        <xdr:cNvPicPr>
          <a:picLocks noChangeAspect="1"/>
        </xdr:cNvPicPr>
      </xdr:nvPicPr>
      <xdr:blipFill>
        <a:blip r:embed="rId25">
          <a:extLst>
            <a:ext uri="{28A0092B-C50C-407E-A947-70E740481C1C}">
              <a14:useLocalDpi xmlns:a14="http://schemas.microsoft.com/office/drawing/2010/main" val="0"/>
            </a:ext>
          </a:extLst>
        </a:blip>
        <a:stretch>
          <a:fillRect/>
        </a:stretch>
      </xdr:blipFill>
      <xdr:spPr>
        <a:xfrm>
          <a:off x="2214880" y="37974270"/>
          <a:ext cx="540385" cy="539750"/>
        </a:xfrm>
        <a:prstGeom prst="rect">
          <a:avLst/>
        </a:prstGeom>
      </xdr:spPr>
    </xdr:pic>
    <xdr:clientData/>
  </xdr:oneCellAnchor>
  <xdr:oneCellAnchor>
    <xdr:from>
      <xdr:col>3</xdr:col>
      <xdr:colOff>72259</xdr:colOff>
      <xdr:row>77</xdr:row>
      <xdr:rowOff>32844</xdr:rowOff>
    </xdr:from>
    <xdr:ext cx="540000" cy="540000"/>
    <xdr:pic>
      <xdr:nvPicPr>
        <xdr:cNvPr id="42" name="图片 41"/>
        <xdr:cNvPicPr>
          <a:picLocks noChangeAspect="1"/>
        </xdr:cNvPicPr>
      </xdr:nvPicPr>
      <xdr:blipFill>
        <a:blip r:embed="rId25">
          <a:extLst>
            <a:ext uri="{28A0092B-C50C-407E-A947-70E740481C1C}">
              <a14:useLocalDpi xmlns:a14="http://schemas.microsoft.com/office/drawing/2010/main" val="0"/>
            </a:ext>
          </a:extLst>
        </a:blip>
        <a:stretch>
          <a:fillRect/>
        </a:stretch>
      </xdr:blipFill>
      <xdr:spPr>
        <a:xfrm>
          <a:off x="2214880" y="38589585"/>
          <a:ext cx="540385" cy="540385"/>
        </a:xfrm>
        <a:prstGeom prst="rect">
          <a:avLst/>
        </a:prstGeom>
      </xdr:spPr>
    </xdr:pic>
    <xdr:clientData/>
  </xdr:oneCellAnchor>
  <xdr:oneCellAnchor>
    <xdr:from>
      <xdr:col>3</xdr:col>
      <xdr:colOff>65690</xdr:colOff>
      <xdr:row>79</xdr:row>
      <xdr:rowOff>45983</xdr:rowOff>
    </xdr:from>
    <xdr:ext cx="540000" cy="540000"/>
    <xdr:pic>
      <xdr:nvPicPr>
        <xdr:cNvPr id="43" name="图片 42"/>
        <xdr:cNvPicPr>
          <a:picLocks noChangeAspect="1"/>
        </xdr:cNvPicPr>
      </xdr:nvPicPr>
      <xdr:blipFill>
        <a:blip r:embed="rId26">
          <a:extLst>
            <a:ext uri="{28A0092B-C50C-407E-A947-70E740481C1C}">
              <a14:useLocalDpi xmlns:a14="http://schemas.microsoft.com/office/drawing/2010/main" val="0"/>
            </a:ext>
          </a:extLst>
        </a:blip>
        <a:stretch>
          <a:fillRect/>
        </a:stretch>
      </xdr:blipFill>
      <xdr:spPr>
        <a:xfrm>
          <a:off x="2208530" y="39860220"/>
          <a:ext cx="539750" cy="539750"/>
        </a:xfrm>
        <a:prstGeom prst="rect">
          <a:avLst/>
        </a:prstGeom>
      </xdr:spPr>
    </xdr:pic>
    <xdr:clientData/>
  </xdr:oneCellAnchor>
  <xdr:oneCellAnchor>
    <xdr:from>
      <xdr:col>3</xdr:col>
      <xdr:colOff>78828</xdr:colOff>
      <xdr:row>80</xdr:row>
      <xdr:rowOff>39415</xdr:rowOff>
    </xdr:from>
    <xdr:ext cx="540000" cy="540000"/>
    <xdr:pic>
      <xdr:nvPicPr>
        <xdr:cNvPr id="44" name="图片 43"/>
        <xdr:cNvPicPr>
          <a:picLocks noChangeAspect="1"/>
        </xdr:cNvPicPr>
      </xdr:nvPicPr>
      <xdr:blipFill>
        <a:blip r:embed="rId26">
          <a:extLst>
            <a:ext uri="{28A0092B-C50C-407E-A947-70E740481C1C}">
              <a14:useLocalDpi xmlns:a14="http://schemas.microsoft.com/office/drawing/2010/main" val="0"/>
            </a:ext>
          </a:extLst>
        </a:blip>
        <a:stretch>
          <a:fillRect/>
        </a:stretch>
      </xdr:blipFill>
      <xdr:spPr>
        <a:xfrm>
          <a:off x="2221865" y="40482520"/>
          <a:ext cx="539750" cy="539750"/>
        </a:xfrm>
        <a:prstGeom prst="rect">
          <a:avLst/>
        </a:prstGeom>
      </xdr:spPr>
    </xdr:pic>
    <xdr:clientData/>
  </xdr:oneCellAnchor>
  <xdr:oneCellAnchor>
    <xdr:from>
      <xdr:col>3</xdr:col>
      <xdr:colOff>78826</xdr:colOff>
      <xdr:row>81</xdr:row>
      <xdr:rowOff>32845</xdr:rowOff>
    </xdr:from>
    <xdr:ext cx="540000" cy="540000"/>
    <xdr:pic>
      <xdr:nvPicPr>
        <xdr:cNvPr id="45" name="图片 44"/>
        <xdr:cNvPicPr>
          <a:picLocks noChangeAspect="1"/>
        </xdr:cNvPicPr>
      </xdr:nvPicPr>
      <xdr:blipFill>
        <a:blip r:embed="rId27">
          <a:extLst>
            <a:ext uri="{28A0092B-C50C-407E-A947-70E740481C1C}">
              <a14:useLocalDpi xmlns:a14="http://schemas.microsoft.com/office/drawing/2010/main" val="0"/>
            </a:ext>
          </a:extLst>
        </a:blip>
        <a:stretch>
          <a:fillRect/>
        </a:stretch>
      </xdr:blipFill>
      <xdr:spPr>
        <a:xfrm>
          <a:off x="2221865" y="41104185"/>
          <a:ext cx="539750" cy="540385"/>
        </a:xfrm>
        <a:prstGeom prst="rect">
          <a:avLst/>
        </a:prstGeom>
      </xdr:spPr>
    </xdr:pic>
    <xdr:clientData/>
  </xdr:oneCellAnchor>
  <xdr:oneCellAnchor>
    <xdr:from>
      <xdr:col>3</xdr:col>
      <xdr:colOff>78827</xdr:colOff>
      <xdr:row>82</xdr:row>
      <xdr:rowOff>45983</xdr:rowOff>
    </xdr:from>
    <xdr:ext cx="540000" cy="540000"/>
    <xdr:pic>
      <xdr:nvPicPr>
        <xdr:cNvPr id="46" name="图片 45"/>
        <xdr:cNvPicPr>
          <a:picLocks noChangeAspect="1"/>
        </xdr:cNvPicPr>
      </xdr:nvPicPr>
      <xdr:blipFill>
        <a:blip r:embed="rId28">
          <a:extLst>
            <a:ext uri="{28A0092B-C50C-407E-A947-70E740481C1C}">
              <a14:useLocalDpi xmlns:a14="http://schemas.microsoft.com/office/drawing/2010/main" val="0"/>
            </a:ext>
          </a:extLst>
        </a:blip>
        <a:stretch>
          <a:fillRect/>
        </a:stretch>
      </xdr:blipFill>
      <xdr:spPr>
        <a:xfrm>
          <a:off x="2221865" y="41746170"/>
          <a:ext cx="539750" cy="539750"/>
        </a:xfrm>
        <a:prstGeom prst="rect">
          <a:avLst/>
        </a:prstGeom>
      </xdr:spPr>
    </xdr:pic>
    <xdr:clientData/>
  </xdr:oneCellAnchor>
  <xdr:oneCellAnchor>
    <xdr:from>
      <xdr:col>3</xdr:col>
      <xdr:colOff>78827</xdr:colOff>
      <xdr:row>83</xdr:row>
      <xdr:rowOff>45983</xdr:rowOff>
    </xdr:from>
    <xdr:ext cx="540000" cy="540000"/>
    <xdr:pic>
      <xdr:nvPicPr>
        <xdr:cNvPr id="47" name="图片 46"/>
        <xdr:cNvPicPr>
          <a:picLocks noChangeAspect="1"/>
        </xdr:cNvPicPr>
      </xdr:nvPicPr>
      <xdr:blipFill>
        <a:blip r:embed="rId28">
          <a:extLst>
            <a:ext uri="{28A0092B-C50C-407E-A947-70E740481C1C}">
              <a14:useLocalDpi xmlns:a14="http://schemas.microsoft.com/office/drawing/2010/main" val="0"/>
            </a:ext>
          </a:extLst>
        </a:blip>
        <a:stretch>
          <a:fillRect/>
        </a:stretch>
      </xdr:blipFill>
      <xdr:spPr>
        <a:xfrm>
          <a:off x="2221865" y="42374820"/>
          <a:ext cx="539750" cy="539750"/>
        </a:xfrm>
        <a:prstGeom prst="rect">
          <a:avLst/>
        </a:prstGeom>
      </xdr:spPr>
    </xdr:pic>
    <xdr:clientData/>
  </xdr:oneCellAnchor>
  <xdr:oneCellAnchor>
    <xdr:from>
      <xdr:col>3</xdr:col>
      <xdr:colOff>78828</xdr:colOff>
      <xdr:row>88</xdr:row>
      <xdr:rowOff>32845</xdr:rowOff>
    </xdr:from>
    <xdr:ext cx="540000" cy="540000"/>
    <xdr:pic>
      <xdr:nvPicPr>
        <xdr:cNvPr id="48" name="图片 47"/>
        <xdr:cNvPicPr>
          <a:picLocks noChangeAspect="1"/>
        </xdr:cNvPicPr>
      </xdr:nvPicPr>
      <xdr:blipFill>
        <a:blip r:embed="rId29">
          <a:extLst>
            <a:ext uri="{28A0092B-C50C-407E-A947-70E740481C1C}">
              <a14:useLocalDpi xmlns:a14="http://schemas.microsoft.com/office/drawing/2010/main" val="0"/>
            </a:ext>
          </a:extLst>
        </a:blip>
        <a:stretch>
          <a:fillRect/>
        </a:stretch>
      </xdr:blipFill>
      <xdr:spPr>
        <a:xfrm>
          <a:off x="2221865" y="45504735"/>
          <a:ext cx="539750" cy="540385"/>
        </a:xfrm>
        <a:prstGeom prst="rect">
          <a:avLst/>
        </a:prstGeom>
      </xdr:spPr>
    </xdr:pic>
    <xdr:clientData/>
  </xdr:oneCellAnchor>
  <xdr:oneCellAnchor>
    <xdr:from>
      <xdr:col>3</xdr:col>
      <xdr:colOff>78828</xdr:colOff>
      <xdr:row>89</xdr:row>
      <xdr:rowOff>39415</xdr:rowOff>
    </xdr:from>
    <xdr:ext cx="540000" cy="540000"/>
    <xdr:pic>
      <xdr:nvPicPr>
        <xdr:cNvPr id="49" name="图片 48"/>
        <xdr:cNvPicPr>
          <a:picLocks noChangeAspect="1"/>
        </xdr:cNvPicPr>
      </xdr:nvPicPr>
      <xdr:blipFill>
        <a:blip r:embed="rId29">
          <a:extLst>
            <a:ext uri="{28A0092B-C50C-407E-A947-70E740481C1C}">
              <a14:useLocalDpi xmlns:a14="http://schemas.microsoft.com/office/drawing/2010/main" val="0"/>
            </a:ext>
          </a:extLst>
        </a:blip>
        <a:stretch>
          <a:fillRect/>
        </a:stretch>
      </xdr:blipFill>
      <xdr:spPr>
        <a:xfrm>
          <a:off x="2221865" y="46140370"/>
          <a:ext cx="539750" cy="539750"/>
        </a:xfrm>
        <a:prstGeom prst="rect">
          <a:avLst/>
        </a:prstGeom>
      </xdr:spPr>
    </xdr:pic>
    <xdr:clientData/>
  </xdr:oneCellAnchor>
  <xdr:oneCellAnchor>
    <xdr:from>
      <xdr:col>3</xdr:col>
      <xdr:colOff>72259</xdr:colOff>
      <xdr:row>92</xdr:row>
      <xdr:rowOff>39414</xdr:rowOff>
    </xdr:from>
    <xdr:ext cx="540000" cy="540000"/>
    <xdr:pic>
      <xdr:nvPicPr>
        <xdr:cNvPr id="50" name="图片 49"/>
        <xdr:cNvPicPr>
          <a:picLocks noChangeAspect="1"/>
        </xdr:cNvPicPr>
      </xdr:nvPicPr>
      <xdr:blipFill>
        <a:blip r:embed="rId30">
          <a:extLst>
            <a:ext uri="{28A0092B-C50C-407E-A947-70E740481C1C}">
              <a14:useLocalDpi xmlns:a14="http://schemas.microsoft.com/office/drawing/2010/main" val="0"/>
            </a:ext>
          </a:extLst>
        </a:blip>
        <a:stretch>
          <a:fillRect/>
        </a:stretch>
      </xdr:blipFill>
      <xdr:spPr>
        <a:xfrm>
          <a:off x="2214880" y="48026320"/>
          <a:ext cx="540385" cy="539750"/>
        </a:xfrm>
        <a:prstGeom prst="rect">
          <a:avLst/>
        </a:prstGeom>
      </xdr:spPr>
    </xdr:pic>
    <xdr:clientData/>
  </xdr:oneCellAnchor>
  <xdr:oneCellAnchor>
    <xdr:from>
      <xdr:col>3</xdr:col>
      <xdr:colOff>65689</xdr:colOff>
      <xdr:row>93</xdr:row>
      <xdr:rowOff>39413</xdr:rowOff>
    </xdr:from>
    <xdr:ext cx="540000" cy="540000"/>
    <xdr:pic>
      <xdr:nvPicPr>
        <xdr:cNvPr id="51" name="图片 50"/>
        <xdr:cNvPicPr>
          <a:picLocks noChangeAspect="1"/>
        </xdr:cNvPicPr>
      </xdr:nvPicPr>
      <xdr:blipFill>
        <a:blip r:embed="rId31">
          <a:extLst>
            <a:ext uri="{28A0092B-C50C-407E-A947-70E740481C1C}">
              <a14:useLocalDpi xmlns:a14="http://schemas.microsoft.com/office/drawing/2010/main" val="0"/>
            </a:ext>
          </a:extLst>
        </a:blip>
        <a:stretch>
          <a:fillRect/>
        </a:stretch>
      </xdr:blipFill>
      <xdr:spPr>
        <a:xfrm>
          <a:off x="2208530" y="48654970"/>
          <a:ext cx="539750" cy="539750"/>
        </a:xfrm>
        <a:prstGeom prst="rect">
          <a:avLst/>
        </a:prstGeom>
      </xdr:spPr>
    </xdr:pic>
    <xdr:clientData/>
  </xdr:oneCellAnchor>
  <xdr:oneCellAnchor>
    <xdr:from>
      <xdr:col>3</xdr:col>
      <xdr:colOff>72259</xdr:colOff>
      <xdr:row>91</xdr:row>
      <xdr:rowOff>39414</xdr:rowOff>
    </xdr:from>
    <xdr:ext cx="540000" cy="540000"/>
    <xdr:pic>
      <xdr:nvPicPr>
        <xdr:cNvPr id="52" name="图片 51"/>
        <xdr:cNvPicPr>
          <a:picLocks noChangeAspect="1"/>
        </xdr:cNvPicPr>
      </xdr:nvPicPr>
      <xdr:blipFill>
        <a:blip r:embed="rId30">
          <a:extLst>
            <a:ext uri="{28A0092B-C50C-407E-A947-70E740481C1C}">
              <a14:useLocalDpi xmlns:a14="http://schemas.microsoft.com/office/drawing/2010/main" val="0"/>
            </a:ext>
          </a:extLst>
        </a:blip>
        <a:stretch>
          <a:fillRect/>
        </a:stretch>
      </xdr:blipFill>
      <xdr:spPr>
        <a:xfrm>
          <a:off x="2214880" y="47397670"/>
          <a:ext cx="540385" cy="539750"/>
        </a:xfrm>
        <a:prstGeom prst="rect">
          <a:avLst/>
        </a:prstGeom>
      </xdr:spPr>
    </xdr:pic>
    <xdr:clientData/>
  </xdr:oneCellAnchor>
  <xdr:oneCellAnchor>
    <xdr:from>
      <xdr:col>3</xdr:col>
      <xdr:colOff>65172</xdr:colOff>
      <xdr:row>94</xdr:row>
      <xdr:rowOff>45118</xdr:rowOff>
    </xdr:from>
    <xdr:ext cx="540000" cy="540000"/>
    <xdr:pic>
      <xdr:nvPicPr>
        <xdr:cNvPr id="53" name="图片 52"/>
        <xdr:cNvPicPr>
          <a:picLocks noChangeAspect="1"/>
        </xdr:cNvPicPr>
      </xdr:nvPicPr>
      <xdr:blipFill>
        <a:blip r:embed="rId32">
          <a:extLst>
            <a:ext uri="{28A0092B-C50C-407E-A947-70E740481C1C}">
              <a14:useLocalDpi xmlns:a14="http://schemas.microsoft.com/office/drawing/2010/main" val="0"/>
            </a:ext>
          </a:extLst>
        </a:blip>
        <a:stretch>
          <a:fillRect/>
        </a:stretch>
      </xdr:blipFill>
      <xdr:spPr>
        <a:xfrm>
          <a:off x="2207895" y="49289335"/>
          <a:ext cx="540385" cy="539750"/>
        </a:xfrm>
        <a:prstGeom prst="rect">
          <a:avLst/>
        </a:prstGeom>
      </xdr:spPr>
    </xdr:pic>
    <xdr:clientData/>
  </xdr:oneCellAnchor>
  <xdr:oneCellAnchor>
    <xdr:from>
      <xdr:col>3</xdr:col>
      <xdr:colOff>60158</xdr:colOff>
      <xdr:row>95</xdr:row>
      <xdr:rowOff>40105</xdr:rowOff>
    </xdr:from>
    <xdr:ext cx="540000" cy="540000"/>
    <xdr:pic>
      <xdr:nvPicPr>
        <xdr:cNvPr id="54" name="图片 53"/>
        <xdr:cNvPicPr>
          <a:picLocks noChangeAspect="1"/>
        </xdr:cNvPicPr>
      </xdr:nvPicPr>
      <xdr:blipFill>
        <a:blip r:embed="rId32">
          <a:extLst>
            <a:ext uri="{28A0092B-C50C-407E-A947-70E740481C1C}">
              <a14:useLocalDpi xmlns:a14="http://schemas.microsoft.com/office/drawing/2010/main" val="0"/>
            </a:ext>
          </a:extLst>
        </a:blip>
        <a:stretch>
          <a:fillRect/>
        </a:stretch>
      </xdr:blipFill>
      <xdr:spPr>
        <a:xfrm>
          <a:off x="2202815" y="49912905"/>
          <a:ext cx="540385" cy="539750"/>
        </a:xfrm>
        <a:prstGeom prst="rect">
          <a:avLst/>
        </a:prstGeom>
      </xdr:spPr>
    </xdr:pic>
    <xdr:clientData/>
  </xdr:oneCellAnchor>
  <xdr:oneCellAnchor>
    <xdr:from>
      <xdr:col>3</xdr:col>
      <xdr:colOff>75198</xdr:colOff>
      <xdr:row>97</xdr:row>
      <xdr:rowOff>35092</xdr:rowOff>
    </xdr:from>
    <xdr:ext cx="540000" cy="540000"/>
    <xdr:pic>
      <xdr:nvPicPr>
        <xdr:cNvPr id="55" name="图片 54"/>
        <xdr:cNvPicPr>
          <a:picLocks noChangeAspect="1"/>
        </xdr:cNvPicPr>
      </xdr:nvPicPr>
      <xdr:blipFill>
        <a:blip r:embed="rId33">
          <a:extLst>
            <a:ext uri="{28A0092B-C50C-407E-A947-70E740481C1C}">
              <a14:useLocalDpi xmlns:a14="http://schemas.microsoft.com/office/drawing/2010/main" val="0"/>
            </a:ext>
          </a:extLst>
        </a:blip>
        <a:stretch>
          <a:fillRect/>
        </a:stretch>
      </xdr:blipFill>
      <xdr:spPr>
        <a:xfrm>
          <a:off x="2218055" y="51165125"/>
          <a:ext cx="539750" cy="539750"/>
        </a:xfrm>
        <a:prstGeom prst="rect">
          <a:avLst/>
        </a:prstGeom>
      </xdr:spPr>
    </xdr:pic>
    <xdr:clientData/>
  </xdr:oneCellAnchor>
  <xdr:oneCellAnchor>
    <xdr:from>
      <xdr:col>3</xdr:col>
      <xdr:colOff>70184</xdr:colOff>
      <xdr:row>98</xdr:row>
      <xdr:rowOff>45119</xdr:rowOff>
    </xdr:from>
    <xdr:ext cx="540000" cy="540000"/>
    <xdr:pic>
      <xdr:nvPicPr>
        <xdr:cNvPr id="56" name="图片 55"/>
        <xdr:cNvPicPr>
          <a:picLocks noChangeAspect="1"/>
        </xdr:cNvPicPr>
      </xdr:nvPicPr>
      <xdr:blipFill>
        <a:blip r:embed="rId33">
          <a:extLst>
            <a:ext uri="{28A0092B-C50C-407E-A947-70E740481C1C}">
              <a14:useLocalDpi xmlns:a14="http://schemas.microsoft.com/office/drawing/2010/main" val="0"/>
            </a:ext>
          </a:extLst>
        </a:blip>
        <a:stretch>
          <a:fillRect/>
        </a:stretch>
      </xdr:blipFill>
      <xdr:spPr>
        <a:xfrm>
          <a:off x="2212975" y="51803935"/>
          <a:ext cx="539750" cy="539750"/>
        </a:xfrm>
        <a:prstGeom prst="rect">
          <a:avLst/>
        </a:prstGeom>
      </xdr:spPr>
    </xdr:pic>
    <xdr:clientData/>
  </xdr:oneCellAnchor>
  <xdr:oneCellAnchor>
    <xdr:from>
      <xdr:col>3</xdr:col>
      <xdr:colOff>65171</xdr:colOff>
      <xdr:row>103</xdr:row>
      <xdr:rowOff>50132</xdr:rowOff>
    </xdr:from>
    <xdr:ext cx="540000" cy="540000"/>
    <xdr:pic>
      <xdr:nvPicPr>
        <xdr:cNvPr id="57" name="图片 56"/>
        <xdr:cNvPicPr>
          <a:picLocks noChangeAspect="1"/>
        </xdr:cNvPicPr>
      </xdr:nvPicPr>
      <xdr:blipFill>
        <a:blip r:embed="rId34">
          <a:extLst>
            <a:ext uri="{28A0092B-C50C-407E-A947-70E740481C1C}">
              <a14:useLocalDpi xmlns:a14="http://schemas.microsoft.com/office/drawing/2010/main" val="0"/>
            </a:ext>
          </a:extLst>
        </a:blip>
        <a:stretch>
          <a:fillRect/>
        </a:stretch>
      </xdr:blipFill>
      <xdr:spPr>
        <a:xfrm>
          <a:off x="2207895" y="54951630"/>
          <a:ext cx="540385" cy="540385"/>
        </a:xfrm>
        <a:prstGeom prst="rect">
          <a:avLst/>
        </a:prstGeom>
      </xdr:spPr>
    </xdr:pic>
    <xdr:clientData/>
  </xdr:oneCellAnchor>
  <xdr:oneCellAnchor>
    <xdr:from>
      <xdr:col>3</xdr:col>
      <xdr:colOff>65171</xdr:colOff>
      <xdr:row>104</xdr:row>
      <xdr:rowOff>35093</xdr:rowOff>
    </xdr:from>
    <xdr:ext cx="540000" cy="540000"/>
    <xdr:pic>
      <xdr:nvPicPr>
        <xdr:cNvPr id="58" name="图片 57"/>
        <xdr:cNvPicPr>
          <a:picLocks noChangeAspect="1"/>
        </xdr:cNvPicPr>
      </xdr:nvPicPr>
      <xdr:blipFill>
        <a:blip r:embed="rId35">
          <a:extLst>
            <a:ext uri="{28A0092B-C50C-407E-A947-70E740481C1C}">
              <a14:useLocalDpi xmlns:a14="http://schemas.microsoft.com/office/drawing/2010/main" val="0"/>
            </a:ext>
          </a:extLst>
        </a:blip>
        <a:stretch>
          <a:fillRect/>
        </a:stretch>
      </xdr:blipFill>
      <xdr:spPr>
        <a:xfrm>
          <a:off x="2207895" y="55565675"/>
          <a:ext cx="540385" cy="539750"/>
        </a:xfrm>
        <a:prstGeom prst="rect">
          <a:avLst/>
        </a:prstGeom>
      </xdr:spPr>
    </xdr:pic>
    <xdr:clientData/>
  </xdr:oneCellAnchor>
  <xdr:oneCellAnchor>
    <xdr:from>
      <xdr:col>3</xdr:col>
      <xdr:colOff>50131</xdr:colOff>
      <xdr:row>107</xdr:row>
      <xdr:rowOff>35093</xdr:rowOff>
    </xdr:from>
    <xdr:ext cx="540000" cy="540000"/>
    <xdr:pic>
      <xdr:nvPicPr>
        <xdr:cNvPr id="59" name="图片 58"/>
        <xdr:cNvPicPr>
          <a:picLocks noChangeAspect="1"/>
        </xdr:cNvPicPr>
      </xdr:nvPicPr>
      <xdr:blipFill>
        <a:blip r:embed="rId36">
          <a:extLst>
            <a:ext uri="{28A0092B-C50C-407E-A947-70E740481C1C}">
              <a14:useLocalDpi xmlns:a14="http://schemas.microsoft.com/office/drawing/2010/main" val="0"/>
            </a:ext>
          </a:extLst>
        </a:blip>
        <a:stretch>
          <a:fillRect/>
        </a:stretch>
      </xdr:blipFill>
      <xdr:spPr>
        <a:xfrm>
          <a:off x="2192655" y="57451625"/>
          <a:ext cx="540385" cy="539750"/>
        </a:xfrm>
        <a:prstGeom prst="rect">
          <a:avLst/>
        </a:prstGeom>
      </xdr:spPr>
    </xdr:pic>
    <xdr:clientData/>
  </xdr:oneCellAnchor>
  <xdr:oneCellAnchor>
    <xdr:from>
      <xdr:col>3</xdr:col>
      <xdr:colOff>70184</xdr:colOff>
      <xdr:row>109</xdr:row>
      <xdr:rowOff>45119</xdr:rowOff>
    </xdr:from>
    <xdr:ext cx="540000" cy="540000"/>
    <xdr:pic>
      <xdr:nvPicPr>
        <xdr:cNvPr id="60" name="图片 59"/>
        <xdr:cNvPicPr>
          <a:picLocks noChangeAspect="1"/>
        </xdr:cNvPicPr>
      </xdr:nvPicPr>
      <xdr:blipFill>
        <a:blip r:embed="rId37">
          <a:extLst>
            <a:ext uri="{28A0092B-C50C-407E-A947-70E740481C1C}">
              <a14:useLocalDpi xmlns:a14="http://schemas.microsoft.com/office/drawing/2010/main" val="0"/>
            </a:ext>
          </a:extLst>
        </a:blip>
        <a:stretch>
          <a:fillRect/>
        </a:stretch>
      </xdr:blipFill>
      <xdr:spPr>
        <a:xfrm>
          <a:off x="2212975" y="58719085"/>
          <a:ext cx="539750" cy="539750"/>
        </a:xfrm>
        <a:prstGeom prst="rect">
          <a:avLst/>
        </a:prstGeom>
      </xdr:spPr>
    </xdr:pic>
    <xdr:clientData/>
  </xdr:oneCellAnchor>
  <xdr:oneCellAnchor>
    <xdr:from>
      <xdr:col>3</xdr:col>
      <xdr:colOff>65170</xdr:colOff>
      <xdr:row>106</xdr:row>
      <xdr:rowOff>40105</xdr:rowOff>
    </xdr:from>
    <xdr:ext cx="540000" cy="540000"/>
    <xdr:pic>
      <xdr:nvPicPr>
        <xdr:cNvPr id="61" name="图片 60"/>
        <xdr:cNvPicPr>
          <a:picLocks noChangeAspect="1"/>
        </xdr:cNvPicPr>
      </xdr:nvPicPr>
      <xdr:blipFill>
        <a:blip r:embed="rId36">
          <a:extLst>
            <a:ext uri="{28A0092B-C50C-407E-A947-70E740481C1C}">
              <a14:useLocalDpi xmlns:a14="http://schemas.microsoft.com/office/drawing/2010/main" val="0"/>
            </a:ext>
          </a:extLst>
        </a:blip>
        <a:stretch>
          <a:fillRect/>
        </a:stretch>
      </xdr:blipFill>
      <xdr:spPr>
        <a:xfrm>
          <a:off x="2207895" y="56828055"/>
          <a:ext cx="540385" cy="539750"/>
        </a:xfrm>
        <a:prstGeom prst="rect">
          <a:avLst/>
        </a:prstGeom>
      </xdr:spPr>
    </xdr:pic>
    <xdr:clientData/>
  </xdr:oneCellAnchor>
  <xdr:oneCellAnchor>
    <xdr:from>
      <xdr:col>3</xdr:col>
      <xdr:colOff>90237</xdr:colOff>
      <xdr:row>110</xdr:row>
      <xdr:rowOff>40105</xdr:rowOff>
    </xdr:from>
    <xdr:ext cx="540000" cy="540000"/>
    <xdr:pic>
      <xdr:nvPicPr>
        <xdr:cNvPr id="62" name="图片 61"/>
        <xdr:cNvPicPr>
          <a:picLocks noChangeAspect="1"/>
        </xdr:cNvPicPr>
      </xdr:nvPicPr>
      <xdr:blipFill>
        <a:blip r:embed="rId37">
          <a:extLst>
            <a:ext uri="{28A0092B-C50C-407E-A947-70E740481C1C}">
              <a14:useLocalDpi xmlns:a14="http://schemas.microsoft.com/office/drawing/2010/main" val="0"/>
            </a:ext>
          </a:extLst>
        </a:blip>
        <a:stretch>
          <a:fillRect/>
        </a:stretch>
      </xdr:blipFill>
      <xdr:spPr>
        <a:xfrm>
          <a:off x="2233295" y="59342655"/>
          <a:ext cx="539750" cy="539750"/>
        </a:xfrm>
        <a:prstGeom prst="rect">
          <a:avLst/>
        </a:prstGeom>
      </xdr:spPr>
    </xdr:pic>
    <xdr:clientData/>
  </xdr:oneCellAnchor>
  <xdr:oneCellAnchor>
    <xdr:from>
      <xdr:col>3</xdr:col>
      <xdr:colOff>70185</xdr:colOff>
      <xdr:row>112</xdr:row>
      <xdr:rowOff>40105</xdr:rowOff>
    </xdr:from>
    <xdr:ext cx="540000" cy="540000"/>
    <xdr:pic>
      <xdr:nvPicPr>
        <xdr:cNvPr id="63" name="图片 62"/>
        <xdr:cNvPicPr>
          <a:picLocks noChangeAspect="1"/>
        </xdr:cNvPicPr>
      </xdr:nvPicPr>
      <xdr:blipFill>
        <a:blip r:embed="rId38">
          <a:extLst>
            <a:ext uri="{28A0092B-C50C-407E-A947-70E740481C1C}">
              <a14:useLocalDpi xmlns:a14="http://schemas.microsoft.com/office/drawing/2010/main" val="0"/>
            </a:ext>
          </a:extLst>
        </a:blip>
        <a:stretch>
          <a:fillRect/>
        </a:stretch>
      </xdr:blipFill>
      <xdr:spPr>
        <a:xfrm>
          <a:off x="2212975" y="60599955"/>
          <a:ext cx="539750" cy="539750"/>
        </a:xfrm>
        <a:prstGeom prst="rect">
          <a:avLst/>
        </a:prstGeom>
      </xdr:spPr>
    </xdr:pic>
    <xdr:clientData/>
  </xdr:oneCellAnchor>
  <xdr:oneCellAnchor>
    <xdr:from>
      <xdr:col>3</xdr:col>
      <xdr:colOff>75198</xdr:colOff>
      <xdr:row>113</xdr:row>
      <xdr:rowOff>45117</xdr:rowOff>
    </xdr:from>
    <xdr:ext cx="540000" cy="540000"/>
    <xdr:pic>
      <xdr:nvPicPr>
        <xdr:cNvPr id="64" name="图片 63"/>
        <xdr:cNvPicPr>
          <a:picLocks noChangeAspect="1"/>
        </xdr:cNvPicPr>
      </xdr:nvPicPr>
      <xdr:blipFill>
        <a:blip r:embed="rId38">
          <a:extLst>
            <a:ext uri="{28A0092B-C50C-407E-A947-70E740481C1C}">
              <a14:useLocalDpi xmlns:a14="http://schemas.microsoft.com/office/drawing/2010/main" val="0"/>
            </a:ext>
          </a:extLst>
        </a:blip>
        <a:stretch>
          <a:fillRect/>
        </a:stretch>
      </xdr:blipFill>
      <xdr:spPr>
        <a:xfrm>
          <a:off x="2218055" y="61233685"/>
          <a:ext cx="539750" cy="539750"/>
        </a:xfrm>
        <a:prstGeom prst="rect">
          <a:avLst/>
        </a:prstGeom>
      </xdr:spPr>
    </xdr:pic>
    <xdr:clientData/>
  </xdr:oneCellAnchor>
  <xdr:oneCellAnchor>
    <xdr:from>
      <xdr:col>3</xdr:col>
      <xdr:colOff>70184</xdr:colOff>
      <xdr:row>115</xdr:row>
      <xdr:rowOff>40105</xdr:rowOff>
    </xdr:from>
    <xdr:ext cx="540000" cy="540000"/>
    <xdr:pic>
      <xdr:nvPicPr>
        <xdr:cNvPr id="65" name="图片 64"/>
        <xdr:cNvPicPr>
          <a:picLocks noChangeAspect="1"/>
        </xdr:cNvPicPr>
      </xdr:nvPicPr>
      <xdr:blipFill>
        <a:blip r:embed="rId39">
          <a:extLst>
            <a:ext uri="{28A0092B-C50C-407E-A947-70E740481C1C}">
              <a14:useLocalDpi xmlns:a14="http://schemas.microsoft.com/office/drawing/2010/main" val="0"/>
            </a:ext>
          </a:extLst>
        </a:blip>
        <a:stretch>
          <a:fillRect/>
        </a:stretch>
      </xdr:blipFill>
      <xdr:spPr>
        <a:xfrm>
          <a:off x="2212975" y="62485905"/>
          <a:ext cx="539750" cy="539750"/>
        </a:xfrm>
        <a:prstGeom prst="rect">
          <a:avLst/>
        </a:prstGeom>
      </xdr:spPr>
    </xdr:pic>
    <xdr:clientData/>
  </xdr:oneCellAnchor>
  <xdr:oneCellAnchor>
    <xdr:from>
      <xdr:col>3</xdr:col>
      <xdr:colOff>75197</xdr:colOff>
      <xdr:row>116</xdr:row>
      <xdr:rowOff>40105</xdr:rowOff>
    </xdr:from>
    <xdr:ext cx="540000" cy="540000"/>
    <xdr:pic>
      <xdr:nvPicPr>
        <xdr:cNvPr id="66" name="图片 65"/>
        <xdr:cNvPicPr>
          <a:picLocks noChangeAspect="1"/>
        </xdr:cNvPicPr>
      </xdr:nvPicPr>
      <xdr:blipFill>
        <a:blip r:embed="rId39">
          <a:extLst>
            <a:ext uri="{28A0092B-C50C-407E-A947-70E740481C1C}">
              <a14:useLocalDpi xmlns:a14="http://schemas.microsoft.com/office/drawing/2010/main" val="0"/>
            </a:ext>
          </a:extLst>
        </a:blip>
        <a:stretch>
          <a:fillRect/>
        </a:stretch>
      </xdr:blipFill>
      <xdr:spPr>
        <a:xfrm>
          <a:off x="2218055" y="63114555"/>
          <a:ext cx="539750" cy="539750"/>
        </a:xfrm>
        <a:prstGeom prst="rect">
          <a:avLst/>
        </a:prstGeom>
      </xdr:spPr>
    </xdr:pic>
    <xdr:clientData/>
  </xdr:oneCellAnchor>
  <xdr:oneCellAnchor>
    <xdr:from>
      <xdr:col>3</xdr:col>
      <xdr:colOff>75198</xdr:colOff>
      <xdr:row>118</xdr:row>
      <xdr:rowOff>50132</xdr:rowOff>
    </xdr:from>
    <xdr:ext cx="540000" cy="540000"/>
    <xdr:pic>
      <xdr:nvPicPr>
        <xdr:cNvPr id="67" name="图片 66"/>
        <xdr:cNvPicPr>
          <a:picLocks noChangeAspect="1"/>
        </xdr:cNvPicPr>
      </xdr:nvPicPr>
      <xdr:blipFill>
        <a:blip r:embed="rId40">
          <a:extLst>
            <a:ext uri="{28A0092B-C50C-407E-A947-70E740481C1C}">
              <a14:useLocalDpi xmlns:a14="http://schemas.microsoft.com/office/drawing/2010/main" val="0"/>
            </a:ext>
          </a:extLst>
        </a:blip>
        <a:stretch>
          <a:fillRect/>
        </a:stretch>
      </xdr:blipFill>
      <xdr:spPr>
        <a:xfrm>
          <a:off x="2218055" y="64381380"/>
          <a:ext cx="539750" cy="540385"/>
        </a:xfrm>
        <a:prstGeom prst="rect">
          <a:avLst/>
        </a:prstGeom>
      </xdr:spPr>
    </xdr:pic>
    <xdr:clientData/>
  </xdr:oneCellAnchor>
  <xdr:oneCellAnchor>
    <xdr:from>
      <xdr:col>3</xdr:col>
      <xdr:colOff>60157</xdr:colOff>
      <xdr:row>117</xdr:row>
      <xdr:rowOff>35092</xdr:rowOff>
    </xdr:from>
    <xdr:ext cx="540000" cy="540000"/>
    <xdr:pic>
      <xdr:nvPicPr>
        <xdr:cNvPr id="68" name="图片 67"/>
        <xdr:cNvPicPr>
          <a:picLocks noChangeAspect="1"/>
        </xdr:cNvPicPr>
      </xdr:nvPicPr>
      <xdr:blipFill>
        <a:blip r:embed="rId39">
          <a:extLst>
            <a:ext uri="{28A0092B-C50C-407E-A947-70E740481C1C}">
              <a14:useLocalDpi xmlns:a14="http://schemas.microsoft.com/office/drawing/2010/main" val="0"/>
            </a:ext>
          </a:extLst>
        </a:blip>
        <a:stretch>
          <a:fillRect/>
        </a:stretch>
      </xdr:blipFill>
      <xdr:spPr>
        <a:xfrm>
          <a:off x="2202815" y="63738125"/>
          <a:ext cx="540385" cy="539750"/>
        </a:xfrm>
        <a:prstGeom prst="rect">
          <a:avLst/>
        </a:prstGeom>
      </xdr:spPr>
    </xdr:pic>
    <xdr:clientData/>
  </xdr:oneCellAnchor>
  <xdr:oneCellAnchor>
    <xdr:from>
      <xdr:col>3</xdr:col>
      <xdr:colOff>70184</xdr:colOff>
      <xdr:row>119</xdr:row>
      <xdr:rowOff>40105</xdr:rowOff>
    </xdr:from>
    <xdr:ext cx="540000" cy="540000"/>
    <xdr:pic>
      <xdr:nvPicPr>
        <xdr:cNvPr id="69" name="图片 68"/>
        <xdr:cNvPicPr>
          <a:picLocks noChangeAspect="1"/>
        </xdr:cNvPicPr>
      </xdr:nvPicPr>
      <xdr:blipFill>
        <a:blip r:embed="rId41">
          <a:extLst>
            <a:ext uri="{28A0092B-C50C-407E-A947-70E740481C1C}">
              <a14:useLocalDpi xmlns:a14="http://schemas.microsoft.com/office/drawing/2010/main" val="0"/>
            </a:ext>
          </a:extLst>
        </a:blip>
        <a:stretch>
          <a:fillRect/>
        </a:stretch>
      </xdr:blipFill>
      <xdr:spPr>
        <a:xfrm>
          <a:off x="2212975" y="65000505"/>
          <a:ext cx="539750" cy="539750"/>
        </a:xfrm>
        <a:prstGeom prst="rect">
          <a:avLst/>
        </a:prstGeom>
      </xdr:spPr>
    </xdr:pic>
    <xdr:clientData/>
  </xdr:oneCellAnchor>
  <xdr:oneCellAnchor>
    <xdr:from>
      <xdr:col>3</xdr:col>
      <xdr:colOff>95250</xdr:colOff>
      <xdr:row>120</xdr:row>
      <xdr:rowOff>40105</xdr:rowOff>
    </xdr:from>
    <xdr:ext cx="540000" cy="540000"/>
    <xdr:pic>
      <xdr:nvPicPr>
        <xdr:cNvPr id="70" name="图片 69"/>
        <xdr:cNvPicPr>
          <a:picLocks noChangeAspect="1"/>
        </xdr:cNvPicPr>
      </xdr:nvPicPr>
      <xdr:blipFill>
        <a:blip r:embed="rId42">
          <a:extLst>
            <a:ext uri="{28A0092B-C50C-407E-A947-70E740481C1C}">
              <a14:useLocalDpi xmlns:a14="http://schemas.microsoft.com/office/drawing/2010/main" val="0"/>
            </a:ext>
          </a:extLst>
        </a:blip>
        <a:stretch>
          <a:fillRect/>
        </a:stretch>
      </xdr:blipFill>
      <xdr:spPr>
        <a:xfrm>
          <a:off x="2238375" y="65629155"/>
          <a:ext cx="539750" cy="539750"/>
        </a:xfrm>
        <a:prstGeom prst="rect">
          <a:avLst/>
        </a:prstGeom>
      </xdr:spPr>
    </xdr:pic>
    <xdr:clientData/>
  </xdr:oneCellAnchor>
  <xdr:oneCellAnchor>
    <xdr:from>
      <xdr:col>3</xdr:col>
      <xdr:colOff>70185</xdr:colOff>
      <xdr:row>121</xdr:row>
      <xdr:rowOff>45118</xdr:rowOff>
    </xdr:from>
    <xdr:ext cx="540000" cy="540000"/>
    <xdr:pic>
      <xdr:nvPicPr>
        <xdr:cNvPr id="71" name="图片 70"/>
        <xdr:cNvPicPr>
          <a:picLocks noChangeAspect="1"/>
        </xdr:cNvPicPr>
      </xdr:nvPicPr>
      <xdr:blipFill>
        <a:blip r:embed="rId43">
          <a:extLst>
            <a:ext uri="{28A0092B-C50C-407E-A947-70E740481C1C}">
              <a14:useLocalDpi xmlns:a14="http://schemas.microsoft.com/office/drawing/2010/main" val="0"/>
            </a:ext>
          </a:extLst>
        </a:blip>
        <a:stretch>
          <a:fillRect/>
        </a:stretch>
      </xdr:blipFill>
      <xdr:spPr>
        <a:xfrm>
          <a:off x="2212975" y="66262885"/>
          <a:ext cx="539750" cy="539750"/>
        </a:xfrm>
        <a:prstGeom prst="rect">
          <a:avLst/>
        </a:prstGeom>
      </xdr:spPr>
    </xdr:pic>
    <xdr:clientData/>
  </xdr:oneCellAnchor>
  <xdr:oneCellAnchor>
    <xdr:from>
      <xdr:col>3</xdr:col>
      <xdr:colOff>70184</xdr:colOff>
      <xdr:row>122</xdr:row>
      <xdr:rowOff>35092</xdr:rowOff>
    </xdr:from>
    <xdr:ext cx="540000" cy="540000"/>
    <xdr:pic>
      <xdr:nvPicPr>
        <xdr:cNvPr id="72" name="图片 71"/>
        <xdr:cNvPicPr>
          <a:picLocks noChangeAspect="1"/>
        </xdr:cNvPicPr>
      </xdr:nvPicPr>
      <xdr:blipFill>
        <a:blip r:embed="rId43">
          <a:extLst>
            <a:ext uri="{28A0092B-C50C-407E-A947-70E740481C1C}">
              <a14:useLocalDpi xmlns:a14="http://schemas.microsoft.com/office/drawing/2010/main" val="0"/>
            </a:ext>
          </a:extLst>
        </a:blip>
        <a:stretch>
          <a:fillRect/>
        </a:stretch>
      </xdr:blipFill>
      <xdr:spPr>
        <a:xfrm>
          <a:off x="2212975" y="66881375"/>
          <a:ext cx="539750" cy="539750"/>
        </a:xfrm>
        <a:prstGeom prst="rect">
          <a:avLst/>
        </a:prstGeom>
      </xdr:spPr>
    </xdr:pic>
    <xdr:clientData/>
  </xdr:oneCellAnchor>
  <xdr:oneCellAnchor>
    <xdr:from>
      <xdr:col>3</xdr:col>
      <xdr:colOff>75198</xdr:colOff>
      <xdr:row>124</xdr:row>
      <xdr:rowOff>40105</xdr:rowOff>
    </xdr:from>
    <xdr:ext cx="540000" cy="540000"/>
    <xdr:pic>
      <xdr:nvPicPr>
        <xdr:cNvPr id="73" name="图片 72"/>
        <xdr:cNvPicPr>
          <a:picLocks noChangeAspect="1"/>
        </xdr:cNvPicPr>
      </xdr:nvPicPr>
      <xdr:blipFill>
        <a:blip r:embed="rId44">
          <a:extLst>
            <a:ext uri="{28A0092B-C50C-407E-A947-70E740481C1C}">
              <a14:useLocalDpi xmlns:a14="http://schemas.microsoft.com/office/drawing/2010/main" val="0"/>
            </a:ext>
          </a:extLst>
        </a:blip>
        <a:stretch>
          <a:fillRect/>
        </a:stretch>
      </xdr:blipFill>
      <xdr:spPr>
        <a:xfrm>
          <a:off x="2218055" y="68143755"/>
          <a:ext cx="539750" cy="539750"/>
        </a:xfrm>
        <a:prstGeom prst="rect">
          <a:avLst/>
        </a:prstGeom>
      </xdr:spPr>
    </xdr:pic>
    <xdr:clientData/>
  </xdr:oneCellAnchor>
  <xdr:oneCellAnchor>
    <xdr:from>
      <xdr:col>3</xdr:col>
      <xdr:colOff>65172</xdr:colOff>
      <xdr:row>126</xdr:row>
      <xdr:rowOff>35092</xdr:rowOff>
    </xdr:from>
    <xdr:ext cx="540000" cy="540000"/>
    <xdr:pic>
      <xdr:nvPicPr>
        <xdr:cNvPr id="74" name="图片 73"/>
        <xdr:cNvPicPr>
          <a:picLocks noChangeAspect="1"/>
        </xdr:cNvPicPr>
      </xdr:nvPicPr>
      <xdr:blipFill>
        <a:blip r:embed="rId45">
          <a:extLst>
            <a:ext uri="{28A0092B-C50C-407E-A947-70E740481C1C}">
              <a14:useLocalDpi xmlns:a14="http://schemas.microsoft.com/office/drawing/2010/main" val="0"/>
            </a:ext>
          </a:extLst>
        </a:blip>
        <a:stretch>
          <a:fillRect/>
        </a:stretch>
      </xdr:blipFill>
      <xdr:spPr>
        <a:xfrm>
          <a:off x="2207895" y="69395975"/>
          <a:ext cx="540385" cy="539750"/>
        </a:xfrm>
        <a:prstGeom prst="rect">
          <a:avLst/>
        </a:prstGeom>
      </xdr:spPr>
    </xdr:pic>
    <xdr:clientData/>
  </xdr:oneCellAnchor>
  <xdr:oneCellAnchor>
    <xdr:from>
      <xdr:col>3</xdr:col>
      <xdr:colOff>65171</xdr:colOff>
      <xdr:row>125</xdr:row>
      <xdr:rowOff>35092</xdr:rowOff>
    </xdr:from>
    <xdr:ext cx="540000" cy="540000"/>
    <xdr:pic>
      <xdr:nvPicPr>
        <xdr:cNvPr id="75" name="图片 74"/>
        <xdr:cNvPicPr>
          <a:picLocks noChangeAspect="1"/>
        </xdr:cNvPicPr>
      </xdr:nvPicPr>
      <xdr:blipFill>
        <a:blip r:embed="rId44">
          <a:extLst>
            <a:ext uri="{28A0092B-C50C-407E-A947-70E740481C1C}">
              <a14:useLocalDpi xmlns:a14="http://schemas.microsoft.com/office/drawing/2010/main" val="0"/>
            </a:ext>
          </a:extLst>
        </a:blip>
        <a:stretch>
          <a:fillRect/>
        </a:stretch>
      </xdr:blipFill>
      <xdr:spPr>
        <a:xfrm>
          <a:off x="2207895" y="68767325"/>
          <a:ext cx="540385" cy="539750"/>
        </a:xfrm>
        <a:prstGeom prst="rect">
          <a:avLst/>
        </a:prstGeom>
      </xdr:spPr>
    </xdr:pic>
    <xdr:clientData/>
  </xdr:oneCellAnchor>
  <xdr:oneCellAnchor>
    <xdr:from>
      <xdr:col>3</xdr:col>
      <xdr:colOff>55145</xdr:colOff>
      <xdr:row>128</xdr:row>
      <xdr:rowOff>40106</xdr:rowOff>
    </xdr:from>
    <xdr:ext cx="540000" cy="540000"/>
    <xdr:pic>
      <xdr:nvPicPr>
        <xdr:cNvPr id="76" name="图片 75"/>
        <xdr:cNvPicPr>
          <a:picLocks noChangeAspect="1"/>
        </xdr:cNvPicPr>
      </xdr:nvPicPr>
      <xdr:blipFill>
        <a:blip r:embed="rId46">
          <a:extLst>
            <a:ext uri="{28A0092B-C50C-407E-A947-70E740481C1C}">
              <a14:useLocalDpi xmlns:a14="http://schemas.microsoft.com/office/drawing/2010/main" val="0"/>
            </a:ext>
          </a:extLst>
        </a:blip>
        <a:stretch>
          <a:fillRect/>
        </a:stretch>
      </xdr:blipFill>
      <xdr:spPr>
        <a:xfrm>
          <a:off x="2197735" y="70658355"/>
          <a:ext cx="540385" cy="539750"/>
        </a:xfrm>
        <a:prstGeom prst="rect">
          <a:avLst/>
        </a:prstGeom>
      </xdr:spPr>
    </xdr:pic>
    <xdr:clientData/>
  </xdr:oneCellAnchor>
  <xdr:oneCellAnchor>
    <xdr:from>
      <xdr:col>3</xdr:col>
      <xdr:colOff>75198</xdr:colOff>
      <xdr:row>130</xdr:row>
      <xdr:rowOff>35092</xdr:rowOff>
    </xdr:from>
    <xdr:ext cx="540000" cy="540000"/>
    <xdr:pic>
      <xdr:nvPicPr>
        <xdr:cNvPr id="77" name="图片 76"/>
        <xdr:cNvPicPr>
          <a:picLocks noChangeAspect="1"/>
        </xdr:cNvPicPr>
      </xdr:nvPicPr>
      <xdr:blipFill>
        <a:blip r:embed="rId47">
          <a:extLst>
            <a:ext uri="{28A0092B-C50C-407E-A947-70E740481C1C}">
              <a14:useLocalDpi xmlns:a14="http://schemas.microsoft.com/office/drawing/2010/main" val="0"/>
            </a:ext>
          </a:extLst>
        </a:blip>
        <a:stretch>
          <a:fillRect/>
        </a:stretch>
      </xdr:blipFill>
      <xdr:spPr>
        <a:xfrm>
          <a:off x="2218055" y="71910575"/>
          <a:ext cx="539750" cy="539750"/>
        </a:xfrm>
        <a:prstGeom prst="rect">
          <a:avLst/>
        </a:prstGeom>
      </xdr:spPr>
    </xdr:pic>
    <xdr:clientData/>
  </xdr:oneCellAnchor>
  <xdr:oneCellAnchor>
    <xdr:from>
      <xdr:col>3</xdr:col>
      <xdr:colOff>65171</xdr:colOff>
      <xdr:row>127</xdr:row>
      <xdr:rowOff>40105</xdr:rowOff>
    </xdr:from>
    <xdr:ext cx="540000" cy="540000"/>
    <xdr:pic>
      <xdr:nvPicPr>
        <xdr:cNvPr id="78" name="图片 77"/>
        <xdr:cNvPicPr>
          <a:picLocks noChangeAspect="1"/>
        </xdr:cNvPicPr>
      </xdr:nvPicPr>
      <xdr:blipFill>
        <a:blip r:embed="rId46">
          <a:extLst>
            <a:ext uri="{28A0092B-C50C-407E-A947-70E740481C1C}">
              <a14:useLocalDpi xmlns:a14="http://schemas.microsoft.com/office/drawing/2010/main" val="0"/>
            </a:ext>
          </a:extLst>
        </a:blip>
        <a:stretch>
          <a:fillRect/>
        </a:stretch>
      </xdr:blipFill>
      <xdr:spPr>
        <a:xfrm>
          <a:off x="2207895" y="70029705"/>
          <a:ext cx="540385" cy="539750"/>
        </a:xfrm>
        <a:prstGeom prst="rect">
          <a:avLst/>
        </a:prstGeom>
      </xdr:spPr>
    </xdr:pic>
    <xdr:clientData/>
  </xdr:oneCellAnchor>
  <xdr:oneCellAnchor>
    <xdr:from>
      <xdr:col>3</xdr:col>
      <xdr:colOff>70184</xdr:colOff>
      <xdr:row>131</xdr:row>
      <xdr:rowOff>40105</xdr:rowOff>
    </xdr:from>
    <xdr:ext cx="540000" cy="540000"/>
    <xdr:pic>
      <xdr:nvPicPr>
        <xdr:cNvPr id="79" name="图片 78"/>
        <xdr:cNvPicPr>
          <a:picLocks noChangeAspect="1"/>
        </xdr:cNvPicPr>
      </xdr:nvPicPr>
      <xdr:blipFill>
        <a:blip r:embed="rId47">
          <a:extLst>
            <a:ext uri="{28A0092B-C50C-407E-A947-70E740481C1C}">
              <a14:useLocalDpi xmlns:a14="http://schemas.microsoft.com/office/drawing/2010/main" val="0"/>
            </a:ext>
          </a:extLst>
        </a:blip>
        <a:stretch>
          <a:fillRect/>
        </a:stretch>
      </xdr:blipFill>
      <xdr:spPr>
        <a:xfrm>
          <a:off x="2212975" y="72544305"/>
          <a:ext cx="539750" cy="539750"/>
        </a:xfrm>
        <a:prstGeom prst="rect">
          <a:avLst/>
        </a:prstGeom>
      </xdr:spPr>
    </xdr:pic>
    <xdr:clientData/>
  </xdr:oneCellAnchor>
  <xdr:oneCellAnchor>
    <xdr:from>
      <xdr:col>3</xdr:col>
      <xdr:colOff>65171</xdr:colOff>
      <xdr:row>132</xdr:row>
      <xdr:rowOff>40106</xdr:rowOff>
    </xdr:from>
    <xdr:ext cx="540000" cy="540000"/>
    <xdr:pic>
      <xdr:nvPicPr>
        <xdr:cNvPr id="80" name="图片 79"/>
        <xdr:cNvPicPr>
          <a:picLocks noChangeAspect="1"/>
        </xdr:cNvPicPr>
      </xdr:nvPicPr>
      <xdr:blipFill>
        <a:blip r:embed="rId47">
          <a:extLst>
            <a:ext uri="{28A0092B-C50C-407E-A947-70E740481C1C}">
              <a14:useLocalDpi xmlns:a14="http://schemas.microsoft.com/office/drawing/2010/main" val="0"/>
            </a:ext>
          </a:extLst>
        </a:blip>
        <a:stretch>
          <a:fillRect/>
        </a:stretch>
      </xdr:blipFill>
      <xdr:spPr>
        <a:xfrm>
          <a:off x="2207895" y="73172955"/>
          <a:ext cx="540385" cy="539750"/>
        </a:xfrm>
        <a:prstGeom prst="rect">
          <a:avLst/>
        </a:prstGeom>
      </xdr:spPr>
    </xdr:pic>
    <xdr:clientData/>
  </xdr:oneCellAnchor>
  <xdr:oneCellAnchor>
    <xdr:from>
      <xdr:col>3</xdr:col>
      <xdr:colOff>65171</xdr:colOff>
      <xdr:row>133</xdr:row>
      <xdr:rowOff>50131</xdr:rowOff>
    </xdr:from>
    <xdr:ext cx="540000" cy="540000"/>
    <xdr:pic>
      <xdr:nvPicPr>
        <xdr:cNvPr id="81" name="图片 80"/>
        <xdr:cNvPicPr>
          <a:picLocks noChangeAspect="1"/>
        </xdr:cNvPicPr>
      </xdr:nvPicPr>
      <xdr:blipFill>
        <a:blip r:embed="rId48">
          <a:extLst>
            <a:ext uri="{28A0092B-C50C-407E-A947-70E740481C1C}">
              <a14:useLocalDpi xmlns:a14="http://schemas.microsoft.com/office/drawing/2010/main" val="0"/>
            </a:ext>
          </a:extLst>
        </a:blip>
        <a:stretch>
          <a:fillRect/>
        </a:stretch>
      </xdr:blipFill>
      <xdr:spPr>
        <a:xfrm>
          <a:off x="2207895" y="73811130"/>
          <a:ext cx="540385" cy="540385"/>
        </a:xfrm>
        <a:prstGeom prst="rect">
          <a:avLst/>
        </a:prstGeom>
      </xdr:spPr>
    </xdr:pic>
    <xdr:clientData/>
  </xdr:oneCellAnchor>
  <xdr:oneCellAnchor>
    <xdr:from>
      <xdr:col>3</xdr:col>
      <xdr:colOff>65171</xdr:colOff>
      <xdr:row>134</xdr:row>
      <xdr:rowOff>50132</xdr:rowOff>
    </xdr:from>
    <xdr:ext cx="540000" cy="540000"/>
    <xdr:pic>
      <xdr:nvPicPr>
        <xdr:cNvPr id="82" name="图片 81"/>
        <xdr:cNvPicPr>
          <a:picLocks noChangeAspect="1"/>
        </xdr:cNvPicPr>
      </xdr:nvPicPr>
      <xdr:blipFill>
        <a:blip r:embed="rId48">
          <a:extLst>
            <a:ext uri="{28A0092B-C50C-407E-A947-70E740481C1C}">
              <a14:useLocalDpi xmlns:a14="http://schemas.microsoft.com/office/drawing/2010/main" val="0"/>
            </a:ext>
          </a:extLst>
        </a:blip>
        <a:stretch>
          <a:fillRect/>
        </a:stretch>
      </xdr:blipFill>
      <xdr:spPr>
        <a:xfrm>
          <a:off x="2207895" y="74439780"/>
          <a:ext cx="540385" cy="540385"/>
        </a:xfrm>
        <a:prstGeom prst="rect">
          <a:avLst/>
        </a:prstGeom>
      </xdr:spPr>
    </xdr:pic>
    <xdr:clientData/>
  </xdr:oneCellAnchor>
  <xdr:oneCellAnchor>
    <xdr:from>
      <xdr:col>3</xdr:col>
      <xdr:colOff>70184</xdr:colOff>
      <xdr:row>136</xdr:row>
      <xdr:rowOff>40106</xdr:rowOff>
    </xdr:from>
    <xdr:ext cx="540000" cy="540000"/>
    <xdr:pic>
      <xdr:nvPicPr>
        <xdr:cNvPr id="83" name="图片 82"/>
        <xdr:cNvPicPr>
          <a:picLocks noChangeAspect="1"/>
        </xdr:cNvPicPr>
      </xdr:nvPicPr>
      <xdr:blipFill>
        <a:blip r:embed="rId49">
          <a:extLst>
            <a:ext uri="{28A0092B-C50C-407E-A947-70E740481C1C}">
              <a14:useLocalDpi xmlns:a14="http://schemas.microsoft.com/office/drawing/2010/main" val="0"/>
            </a:ext>
          </a:extLst>
        </a:blip>
        <a:stretch>
          <a:fillRect/>
        </a:stretch>
      </xdr:blipFill>
      <xdr:spPr>
        <a:xfrm>
          <a:off x="2212975" y="75687555"/>
          <a:ext cx="539750" cy="539750"/>
        </a:xfrm>
        <a:prstGeom prst="rect">
          <a:avLst/>
        </a:prstGeom>
      </xdr:spPr>
    </xdr:pic>
    <xdr:clientData/>
  </xdr:oneCellAnchor>
  <xdr:oneCellAnchor>
    <xdr:from>
      <xdr:col>3</xdr:col>
      <xdr:colOff>60158</xdr:colOff>
      <xdr:row>137</xdr:row>
      <xdr:rowOff>35092</xdr:rowOff>
    </xdr:from>
    <xdr:ext cx="540000" cy="540000"/>
    <xdr:pic>
      <xdr:nvPicPr>
        <xdr:cNvPr id="84" name="图片 83"/>
        <xdr:cNvPicPr>
          <a:picLocks noChangeAspect="1"/>
        </xdr:cNvPicPr>
      </xdr:nvPicPr>
      <xdr:blipFill>
        <a:blip r:embed="rId49">
          <a:extLst>
            <a:ext uri="{28A0092B-C50C-407E-A947-70E740481C1C}">
              <a14:useLocalDpi xmlns:a14="http://schemas.microsoft.com/office/drawing/2010/main" val="0"/>
            </a:ext>
          </a:extLst>
        </a:blip>
        <a:stretch>
          <a:fillRect/>
        </a:stretch>
      </xdr:blipFill>
      <xdr:spPr>
        <a:xfrm>
          <a:off x="2202815" y="76311125"/>
          <a:ext cx="540385" cy="539750"/>
        </a:xfrm>
        <a:prstGeom prst="rect">
          <a:avLst/>
        </a:prstGeom>
      </xdr:spPr>
    </xdr:pic>
    <xdr:clientData/>
  </xdr:oneCellAnchor>
  <xdr:oneCellAnchor>
    <xdr:from>
      <xdr:col>3</xdr:col>
      <xdr:colOff>65171</xdr:colOff>
      <xdr:row>139</xdr:row>
      <xdr:rowOff>40105</xdr:rowOff>
    </xdr:from>
    <xdr:ext cx="540000" cy="540000"/>
    <xdr:pic>
      <xdr:nvPicPr>
        <xdr:cNvPr id="85" name="图片 84"/>
        <xdr:cNvPicPr>
          <a:picLocks noChangeAspect="1"/>
        </xdr:cNvPicPr>
      </xdr:nvPicPr>
      <xdr:blipFill>
        <a:blip r:embed="rId50">
          <a:extLst>
            <a:ext uri="{28A0092B-C50C-407E-A947-70E740481C1C}">
              <a14:useLocalDpi xmlns:a14="http://schemas.microsoft.com/office/drawing/2010/main" val="0"/>
            </a:ext>
          </a:extLst>
        </a:blip>
        <a:stretch>
          <a:fillRect/>
        </a:stretch>
      </xdr:blipFill>
      <xdr:spPr>
        <a:xfrm>
          <a:off x="2207895" y="77573505"/>
          <a:ext cx="540385" cy="539750"/>
        </a:xfrm>
        <a:prstGeom prst="rect">
          <a:avLst/>
        </a:prstGeom>
      </xdr:spPr>
    </xdr:pic>
    <xdr:clientData/>
  </xdr:oneCellAnchor>
  <xdr:oneCellAnchor>
    <xdr:from>
      <xdr:col>3</xdr:col>
      <xdr:colOff>70184</xdr:colOff>
      <xdr:row>140</xdr:row>
      <xdr:rowOff>55145</xdr:rowOff>
    </xdr:from>
    <xdr:ext cx="540000" cy="540000"/>
    <xdr:pic>
      <xdr:nvPicPr>
        <xdr:cNvPr id="86" name="图片 85"/>
        <xdr:cNvPicPr>
          <a:picLocks noChangeAspect="1"/>
        </xdr:cNvPicPr>
      </xdr:nvPicPr>
      <xdr:blipFill>
        <a:blip r:embed="rId50">
          <a:extLst>
            <a:ext uri="{28A0092B-C50C-407E-A947-70E740481C1C}">
              <a14:useLocalDpi xmlns:a14="http://schemas.microsoft.com/office/drawing/2010/main" val="0"/>
            </a:ext>
          </a:extLst>
        </a:blip>
        <a:stretch>
          <a:fillRect/>
        </a:stretch>
      </xdr:blipFill>
      <xdr:spPr>
        <a:xfrm>
          <a:off x="2212975" y="78216760"/>
          <a:ext cx="539750" cy="540385"/>
        </a:xfrm>
        <a:prstGeom prst="rect">
          <a:avLst/>
        </a:prstGeom>
      </xdr:spPr>
    </xdr:pic>
    <xdr:clientData/>
  </xdr:oneCellAnchor>
  <xdr:oneCellAnchor>
    <xdr:from>
      <xdr:col>3</xdr:col>
      <xdr:colOff>66675</xdr:colOff>
      <xdr:row>16</xdr:row>
      <xdr:rowOff>28575</xdr:rowOff>
    </xdr:from>
    <xdr:ext cx="540000" cy="540000"/>
    <xdr:pic>
      <xdr:nvPicPr>
        <xdr:cNvPr id="87" name="图片 86"/>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2209800" y="238125"/>
          <a:ext cx="539750" cy="539750"/>
        </a:xfrm>
        <a:prstGeom prst="rect">
          <a:avLst/>
        </a:prstGeom>
      </xdr:spPr>
    </xdr:pic>
    <xdr:clientData/>
  </xdr:oneCellAnchor>
  <xdr:oneCellAnchor>
    <xdr:from>
      <xdr:col>3</xdr:col>
      <xdr:colOff>66675</xdr:colOff>
      <xdr:row>17</xdr:row>
      <xdr:rowOff>47625</xdr:rowOff>
    </xdr:from>
    <xdr:ext cx="540000" cy="540000"/>
    <xdr:pic>
      <xdr:nvPicPr>
        <xdr:cNvPr id="88" name="图片 87"/>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2209800" y="885825"/>
          <a:ext cx="539750" cy="539750"/>
        </a:xfrm>
        <a:prstGeom prst="rect">
          <a:avLst/>
        </a:prstGeom>
      </xdr:spPr>
    </xdr:pic>
    <xdr:clientData/>
  </xdr:oneCellAnchor>
  <xdr:oneCellAnchor>
    <xdr:from>
      <xdr:col>3</xdr:col>
      <xdr:colOff>76200</xdr:colOff>
      <xdr:row>18</xdr:row>
      <xdr:rowOff>28575</xdr:rowOff>
    </xdr:from>
    <xdr:ext cx="540000" cy="540000"/>
    <xdr:pic>
      <xdr:nvPicPr>
        <xdr:cNvPr id="89" name="图片 88"/>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2219325" y="1495425"/>
          <a:ext cx="539750" cy="539750"/>
        </a:xfrm>
        <a:prstGeom prst="rect">
          <a:avLst/>
        </a:prstGeom>
      </xdr:spPr>
    </xdr:pic>
    <xdr:clientData/>
  </xdr:oneCellAnchor>
  <xdr:oneCellAnchor>
    <xdr:from>
      <xdr:col>3</xdr:col>
      <xdr:colOff>76200</xdr:colOff>
      <xdr:row>19</xdr:row>
      <xdr:rowOff>47625</xdr:rowOff>
    </xdr:from>
    <xdr:ext cx="540000" cy="540000"/>
    <xdr:pic>
      <xdr:nvPicPr>
        <xdr:cNvPr id="90" name="图片 89"/>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2219325" y="2143125"/>
          <a:ext cx="539750" cy="539750"/>
        </a:xfrm>
        <a:prstGeom prst="rect">
          <a:avLst/>
        </a:prstGeom>
      </xdr:spPr>
    </xdr:pic>
    <xdr:clientData/>
  </xdr:oneCellAnchor>
  <xdr:oneCellAnchor>
    <xdr:from>
      <xdr:col>3</xdr:col>
      <xdr:colOff>104775</xdr:colOff>
      <xdr:row>22</xdr:row>
      <xdr:rowOff>47625</xdr:rowOff>
    </xdr:from>
    <xdr:ext cx="540000" cy="540000"/>
    <xdr:pic>
      <xdr:nvPicPr>
        <xdr:cNvPr id="91" name="图片 90"/>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2247900" y="4029075"/>
          <a:ext cx="539750" cy="539750"/>
        </a:xfrm>
        <a:prstGeom prst="rect">
          <a:avLst/>
        </a:prstGeom>
      </xdr:spPr>
    </xdr:pic>
    <xdr:clientData/>
  </xdr:oneCellAnchor>
  <xdr:oneCellAnchor>
    <xdr:from>
      <xdr:col>3</xdr:col>
      <xdr:colOff>95250</xdr:colOff>
      <xdr:row>23</xdr:row>
      <xdr:rowOff>28575</xdr:rowOff>
    </xdr:from>
    <xdr:ext cx="540000" cy="540000"/>
    <xdr:pic>
      <xdr:nvPicPr>
        <xdr:cNvPr id="92" name="图片 91"/>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2238375" y="4638675"/>
          <a:ext cx="539750" cy="539750"/>
        </a:xfrm>
        <a:prstGeom prst="rect">
          <a:avLst/>
        </a:prstGeom>
      </xdr:spPr>
    </xdr:pic>
    <xdr:clientData/>
  </xdr:oneCellAnchor>
  <xdr:oneCellAnchor>
    <xdr:from>
      <xdr:col>3</xdr:col>
      <xdr:colOff>76200</xdr:colOff>
      <xdr:row>25</xdr:row>
      <xdr:rowOff>47625</xdr:rowOff>
    </xdr:from>
    <xdr:ext cx="540000" cy="540000"/>
    <xdr:pic>
      <xdr:nvPicPr>
        <xdr:cNvPr id="93" name="图片 92"/>
        <xdr:cNvPicPr>
          <a:picLocks noChangeAspect="1"/>
        </xdr:cNvPicPr>
      </xdr:nvPicPr>
      <xdr:blipFill>
        <a:blip r:embed="rId4">
          <a:extLst>
            <a:ext uri="{28A0092B-C50C-407E-A947-70E740481C1C}">
              <a14:useLocalDpi xmlns:a14="http://schemas.microsoft.com/office/drawing/2010/main" val="0"/>
            </a:ext>
          </a:extLst>
        </a:blip>
        <a:stretch>
          <a:fillRect/>
        </a:stretch>
      </xdr:blipFill>
      <xdr:spPr>
        <a:xfrm>
          <a:off x="2219325" y="5915025"/>
          <a:ext cx="539750" cy="539750"/>
        </a:xfrm>
        <a:prstGeom prst="rect">
          <a:avLst/>
        </a:prstGeom>
      </xdr:spPr>
    </xdr:pic>
    <xdr:clientData/>
  </xdr:oneCellAnchor>
  <xdr:oneCellAnchor>
    <xdr:from>
      <xdr:col>3</xdr:col>
      <xdr:colOff>76200</xdr:colOff>
      <xdr:row>26</xdr:row>
      <xdr:rowOff>38100</xdr:rowOff>
    </xdr:from>
    <xdr:ext cx="540000" cy="540000"/>
    <xdr:pic>
      <xdr:nvPicPr>
        <xdr:cNvPr id="94" name="图片 93"/>
        <xdr:cNvPicPr>
          <a:picLocks noChangeAspect="1"/>
        </xdr:cNvPicPr>
      </xdr:nvPicPr>
      <xdr:blipFill>
        <a:blip r:embed="rId4">
          <a:extLst>
            <a:ext uri="{28A0092B-C50C-407E-A947-70E740481C1C}">
              <a14:useLocalDpi xmlns:a14="http://schemas.microsoft.com/office/drawing/2010/main" val="0"/>
            </a:ext>
          </a:extLst>
        </a:blip>
        <a:stretch>
          <a:fillRect/>
        </a:stretch>
      </xdr:blipFill>
      <xdr:spPr>
        <a:xfrm>
          <a:off x="2219325" y="6534150"/>
          <a:ext cx="539750" cy="539750"/>
        </a:xfrm>
        <a:prstGeom prst="rect">
          <a:avLst/>
        </a:prstGeom>
      </xdr:spPr>
    </xdr:pic>
    <xdr:clientData/>
  </xdr:oneCellAnchor>
  <xdr:oneCellAnchor>
    <xdr:from>
      <xdr:col>3</xdr:col>
      <xdr:colOff>76200</xdr:colOff>
      <xdr:row>27</xdr:row>
      <xdr:rowOff>47625</xdr:rowOff>
    </xdr:from>
    <xdr:ext cx="540000" cy="540000"/>
    <xdr:pic>
      <xdr:nvPicPr>
        <xdr:cNvPr id="95" name="图片 94"/>
        <xdr:cNvPicPr>
          <a:picLocks noChangeAspect="1"/>
        </xdr:cNvPicPr>
      </xdr:nvPicPr>
      <xdr:blipFill>
        <a:blip r:embed="rId5">
          <a:extLst>
            <a:ext uri="{28A0092B-C50C-407E-A947-70E740481C1C}">
              <a14:useLocalDpi xmlns:a14="http://schemas.microsoft.com/office/drawing/2010/main" val="0"/>
            </a:ext>
          </a:extLst>
        </a:blip>
        <a:stretch>
          <a:fillRect/>
        </a:stretch>
      </xdr:blipFill>
      <xdr:spPr>
        <a:xfrm>
          <a:off x="2219325" y="7172325"/>
          <a:ext cx="539750" cy="539750"/>
        </a:xfrm>
        <a:prstGeom prst="rect">
          <a:avLst/>
        </a:prstGeom>
      </xdr:spPr>
    </xdr:pic>
    <xdr:clientData/>
  </xdr:oneCellAnchor>
  <xdr:oneCellAnchor>
    <xdr:from>
      <xdr:col>3</xdr:col>
      <xdr:colOff>66675</xdr:colOff>
      <xdr:row>28</xdr:row>
      <xdr:rowOff>47625</xdr:rowOff>
    </xdr:from>
    <xdr:ext cx="540000" cy="540000"/>
    <xdr:pic>
      <xdr:nvPicPr>
        <xdr:cNvPr id="96" name="图片 95"/>
        <xdr:cNvPicPr>
          <a:picLocks noChangeAspect="1"/>
        </xdr:cNvPicPr>
      </xdr:nvPicPr>
      <xdr:blipFill>
        <a:blip r:embed="rId6">
          <a:extLst>
            <a:ext uri="{28A0092B-C50C-407E-A947-70E740481C1C}">
              <a14:useLocalDpi xmlns:a14="http://schemas.microsoft.com/office/drawing/2010/main" val="0"/>
            </a:ext>
          </a:extLst>
        </a:blip>
        <a:stretch>
          <a:fillRect/>
        </a:stretch>
      </xdr:blipFill>
      <xdr:spPr>
        <a:xfrm>
          <a:off x="2209800" y="7800975"/>
          <a:ext cx="539750" cy="539750"/>
        </a:xfrm>
        <a:prstGeom prst="rect">
          <a:avLst/>
        </a:prstGeom>
      </xdr:spPr>
    </xdr:pic>
    <xdr:clientData/>
  </xdr:oneCellAnchor>
  <xdr:oneCellAnchor>
    <xdr:from>
      <xdr:col>3</xdr:col>
      <xdr:colOff>76200</xdr:colOff>
      <xdr:row>29</xdr:row>
      <xdr:rowOff>57150</xdr:rowOff>
    </xdr:from>
    <xdr:ext cx="540000" cy="540000"/>
    <xdr:pic>
      <xdr:nvPicPr>
        <xdr:cNvPr id="97" name="图片 96"/>
        <xdr:cNvPicPr>
          <a:picLocks noChangeAspect="1"/>
        </xdr:cNvPicPr>
      </xdr:nvPicPr>
      <xdr:blipFill>
        <a:blip r:embed="rId6">
          <a:extLst>
            <a:ext uri="{28A0092B-C50C-407E-A947-70E740481C1C}">
              <a14:useLocalDpi xmlns:a14="http://schemas.microsoft.com/office/drawing/2010/main" val="0"/>
            </a:ext>
          </a:extLst>
        </a:blip>
        <a:stretch>
          <a:fillRect/>
        </a:stretch>
      </xdr:blipFill>
      <xdr:spPr>
        <a:xfrm>
          <a:off x="2219325" y="8439150"/>
          <a:ext cx="539750" cy="539750"/>
        </a:xfrm>
        <a:prstGeom prst="rect">
          <a:avLst/>
        </a:prstGeom>
      </xdr:spPr>
    </xdr:pic>
    <xdr:clientData/>
  </xdr:oneCellAnchor>
  <xdr:oneCellAnchor>
    <xdr:from>
      <xdr:col>3</xdr:col>
      <xdr:colOff>85725</xdr:colOff>
      <xdr:row>31</xdr:row>
      <xdr:rowOff>28575</xdr:rowOff>
    </xdr:from>
    <xdr:ext cx="540000" cy="540000"/>
    <xdr:pic>
      <xdr:nvPicPr>
        <xdr:cNvPr id="98" name="图片 97"/>
        <xdr:cNvPicPr>
          <a:picLocks noChangeAspect="1"/>
        </xdr:cNvPicPr>
      </xdr:nvPicPr>
      <xdr:blipFill>
        <a:blip r:embed="rId7">
          <a:extLst>
            <a:ext uri="{28A0092B-C50C-407E-A947-70E740481C1C}">
              <a14:useLocalDpi xmlns:a14="http://schemas.microsoft.com/office/drawing/2010/main" val="0"/>
            </a:ext>
          </a:extLst>
        </a:blip>
        <a:stretch>
          <a:fillRect/>
        </a:stretch>
      </xdr:blipFill>
      <xdr:spPr>
        <a:xfrm>
          <a:off x="2228850" y="9667875"/>
          <a:ext cx="539750" cy="539750"/>
        </a:xfrm>
        <a:prstGeom prst="rect">
          <a:avLst/>
        </a:prstGeom>
      </xdr:spPr>
    </xdr:pic>
    <xdr:clientData/>
  </xdr:oneCellAnchor>
  <xdr:oneCellAnchor>
    <xdr:from>
      <xdr:col>3</xdr:col>
      <xdr:colOff>95250</xdr:colOff>
      <xdr:row>32</xdr:row>
      <xdr:rowOff>28575</xdr:rowOff>
    </xdr:from>
    <xdr:ext cx="540000" cy="540000"/>
    <xdr:pic>
      <xdr:nvPicPr>
        <xdr:cNvPr id="99" name="图片 98"/>
        <xdr:cNvPicPr>
          <a:picLocks noChangeAspect="1"/>
        </xdr:cNvPicPr>
      </xdr:nvPicPr>
      <xdr:blipFill>
        <a:blip r:embed="rId7">
          <a:extLst>
            <a:ext uri="{28A0092B-C50C-407E-A947-70E740481C1C}">
              <a14:useLocalDpi xmlns:a14="http://schemas.microsoft.com/office/drawing/2010/main" val="0"/>
            </a:ext>
          </a:extLst>
        </a:blip>
        <a:stretch>
          <a:fillRect/>
        </a:stretch>
      </xdr:blipFill>
      <xdr:spPr>
        <a:xfrm>
          <a:off x="2238375" y="10296525"/>
          <a:ext cx="539750" cy="539750"/>
        </a:xfrm>
        <a:prstGeom prst="rect">
          <a:avLst/>
        </a:prstGeom>
      </xdr:spPr>
    </xdr:pic>
    <xdr:clientData/>
  </xdr:oneCellAnchor>
  <xdr:oneCellAnchor>
    <xdr:from>
      <xdr:col>3</xdr:col>
      <xdr:colOff>76200</xdr:colOff>
      <xdr:row>33</xdr:row>
      <xdr:rowOff>47625</xdr:rowOff>
    </xdr:from>
    <xdr:ext cx="540000" cy="540000"/>
    <xdr:pic>
      <xdr:nvPicPr>
        <xdr:cNvPr id="100" name="图片 99"/>
        <xdr:cNvPicPr>
          <a:picLocks noChangeAspect="1"/>
        </xdr:cNvPicPr>
      </xdr:nvPicPr>
      <xdr:blipFill>
        <a:blip r:embed="rId8">
          <a:extLst>
            <a:ext uri="{28A0092B-C50C-407E-A947-70E740481C1C}">
              <a14:useLocalDpi xmlns:a14="http://schemas.microsoft.com/office/drawing/2010/main" val="0"/>
            </a:ext>
          </a:extLst>
        </a:blip>
        <a:stretch>
          <a:fillRect/>
        </a:stretch>
      </xdr:blipFill>
      <xdr:spPr>
        <a:xfrm>
          <a:off x="2219325" y="10944225"/>
          <a:ext cx="539750" cy="539750"/>
        </a:xfrm>
        <a:prstGeom prst="rect">
          <a:avLst/>
        </a:prstGeom>
      </xdr:spPr>
    </xdr:pic>
    <xdr:clientData/>
  </xdr:oneCellAnchor>
  <xdr:oneCellAnchor>
    <xdr:from>
      <xdr:col>3</xdr:col>
      <xdr:colOff>76200</xdr:colOff>
      <xdr:row>34</xdr:row>
      <xdr:rowOff>47625</xdr:rowOff>
    </xdr:from>
    <xdr:ext cx="540000" cy="540000"/>
    <xdr:pic>
      <xdr:nvPicPr>
        <xdr:cNvPr id="101" name="图片 100"/>
        <xdr:cNvPicPr>
          <a:picLocks noChangeAspect="1"/>
        </xdr:cNvPicPr>
      </xdr:nvPicPr>
      <xdr:blipFill>
        <a:blip r:embed="rId9">
          <a:extLst>
            <a:ext uri="{28A0092B-C50C-407E-A947-70E740481C1C}">
              <a14:useLocalDpi xmlns:a14="http://schemas.microsoft.com/office/drawing/2010/main" val="0"/>
            </a:ext>
          </a:extLst>
        </a:blip>
        <a:stretch>
          <a:fillRect/>
        </a:stretch>
      </xdr:blipFill>
      <xdr:spPr>
        <a:xfrm>
          <a:off x="2219325" y="11572875"/>
          <a:ext cx="539750" cy="539750"/>
        </a:xfrm>
        <a:prstGeom prst="rect">
          <a:avLst/>
        </a:prstGeom>
      </xdr:spPr>
    </xdr:pic>
    <xdr:clientData/>
  </xdr:oneCellAnchor>
  <xdr:oneCellAnchor>
    <xdr:from>
      <xdr:col>3</xdr:col>
      <xdr:colOff>76200</xdr:colOff>
      <xdr:row>35</xdr:row>
      <xdr:rowOff>38100</xdr:rowOff>
    </xdr:from>
    <xdr:ext cx="540000" cy="540000"/>
    <xdr:pic>
      <xdr:nvPicPr>
        <xdr:cNvPr id="102" name="图片 101"/>
        <xdr:cNvPicPr>
          <a:picLocks noChangeAspect="1"/>
        </xdr:cNvPicPr>
      </xdr:nvPicPr>
      <xdr:blipFill>
        <a:blip r:embed="rId9">
          <a:extLst>
            <a:ext uri="{28A0092B-C50C-407E-A947-70E740481C1C}">
              <a14:useLocalDpi xmlns:a14="http://schemas.microsoft.com/office/drawing/2010/main" val="0"/>
            </a:ext>
          </a:extLst>
        </a:blip>
        <a:stretch>
          <a:fillRect/>
        </a:stretch>
      </xdr:blipFill>
      <xdr:spPr>
        <a:xfrm>
          <a:off x="2219325" y="12192000"/>
          <a:ext cx="539750" cy="539750"/>
        </a:xfrm>
        <a:prstGeom prst="rect">
          <a:avLst/>
        </a:prstGeom>
      </xdr:spPr>
    </xdr:pic>
    <xdr:clientData/>
  </xdr:oneCellAnchor>
  <xdr:oneCellAnchor>
    <xdr:from>
      <xdr:col>3</xdr:col>
      <xdr:colOff>76200</xdr:colOff>
      <xdr:row>37</xdr:row>
      <xdr:rowOff>47625</xdr:rowOff>
    </xdr:from>
    <xdr:ext cx="540000" cy="540000"/>
    <xdr:pic>
      <xdr:nvPicPr>
        <xdr:cNvPr id="103" name="图片 102"/>
        <xdr:cNvPicPr>
          <a:picLocks noChangeAspect="1"/>
        </xdr:cNvPicPr>
      </xdr:nvPicPr>
      <xdr:blipFill>
        <a:blip r:embed="rId10">
          <a:extLst>
            <a:ext uri="{28A0092B-C50C-407E-A947-70E740481C1C}">
              <a14:useLocalDpi xmlns:a14="http://schemas.microsoft.com/office/drawing/2010/main" val="0"/>
            </a:ext>
          </a:extLst>
        </a:blip>
        <a:stretch>
          <a:fillRect/>
        </a:stretch>
      </xdr:blipFill>
      <xdr:spPr>
        <a:xfrm>
          <a:off x="2219325" y="13458825"/>
          <a:ext cx="539750" cy="539750"/>
        </a:xfrm>
        <a:prstGeom prst="rect">
          <a:avLst/>
        </a:prstGeom>
      </xdr:spPr>
    </xdr:pic>
    <xdr:clientData/>
  </xdr:oneCellAnchor>
  <xdr:oneCellAnchor>
    <xdr:from>
      <xdr:col>3</xdr:col>
      <xdr:colOff>66675</xdr:colOff>
      <xdr:row>38</xdr:row>
      <xdr:rowOff>47625</xdr:rowOff>
    </xdr:from>
    <xdr:ext cx="540000" cy="540000"/>
    <xdr:pic>
      <xdr:nvPicPr>
        <xdr:cNvPr id="104" name="图片 103"/>
        <xdr:cNvPicPr>
          <a:picLocks noChangeAspect="1"/>
        </xdr:cNvPicPr>
      </xdr:nvPicPr>
      <xdr:blipFill>
        <a:blip r:embed="rId10">
          <a:extLst>
            <a:ext uri="{28A0092B-C50C-407E-A947-70E740481C1C}">
              <a14:useLocalDpi xmlns:a14="http://schemas.microsoft.com/office/drawing/2010/main" val="0"/>
            </a:ext>
          </a:extLst>
        </a:blip>
        <a:stretch>
          <a:fillRect/>
        </a:stretch>
      </xdr:blipFill>
      <xdr:spPr>
        <a:xfrm>
          <a:off x="2209800" y="14087475"/>
          <a:ext cx="539750" cy="539750"/>
        </a:xfrm>
        <a:prstGeom prst="rect">
          <a:avLst/>
        </a:prstGeom>
      </xdr:spPr>
    </xdr:pic>
    <xdr:clientData/>
  </xdr:oneCellAnchor>
  <xdr:oneCellAnchor>
    <xdr:from>
      <xdr:col>3</xdr:col>
      <xdr:colOff>76200</xdr:colOff>
      <xdr:row>40</xdr:row>
      <xdr:rowOff>47625</xdr:rowOff>
    </xdr:from>
    <xdr:ext cx="540000" cy="540000"/>
    <xdr:pic>
      <xdr:nvPicPr>
        <xdr:cNvPr id="105" name="图片 104"/>
        <xdr:cNvPicPr>
          <a:picLocks noChangeAspect="1"/>
        </xdr:cNvPicPr>
      </xdr:nvPicPr>
      <xdr:blipFill>
        <a:blip r:embed="rId11">
          <a:extLst>
            <a:ext uri="{28A0092B-C50C-407E-A947-70E740481C1C}">
              <a14:useLocalDpi xmlns:a14="http://schemas.microsoft.com/office/drawing/2010/main" val="0"/>
            </a:ext>
          </a:extLst>
        </a:blip>
        <a:stretch>
          <a:fillRect/>
        </a:stretch>
      </xdr:blipFill>
      <xdr:spPr>
        <a:xfrm>
          <a:off x="2219325" y="15344775"/>
          <a:ext cx="539750" cy="539750"/>
        </a:xfrm>
        <a:prstGeom prst="rect">
          <a:avLst/>
        </a:prstGeom>
      </xdr:spPr>
    </xdr:pic>
    <xdr:clientData/>
  </xdr:oneCellAnchor>
  <xdr:oneCellAnchor>
    <xdr:from>
      <xdr:col>3</xdr:col>
      <xdr:colOff>76200</xdr:colOff>
      <xdr:row>41</xdr:row>
      <xdr:rowOff>47625</xdr:rowOff>
    </xdr:from>
    <xdr:ext cx="540000" cy="540000"/>
    <xdr:pic>
      <xdr:nvPicPr>
        <xdr:cNvPr id="106" name="图片 105"/>
        <xdr:cNvPicPr>
          <a:picLocks noChangeAspect="1"/>
        </xdr:cNvPicPr>
      </xdr:nvPicPr>
      <xdr:blipFill>
        <a:blip r:embed="rId11">
          <a:extLst>
            <a:ext uri="{28A0092B-C50C-407E-A947-70E740481C1C}">
              <a14:useLocalDpi xmlns:a14="http://schemas.microsoft.com/office/drawing/2010/main" val="0"/>
            </a:ext>
          </a:extLst>
        </a:blip>
        <a:stretch>
          <a:fillRect/>
        </a:stretch>
      </xdr:blipFill>
      <xdr:spPr>
        <a:xfrm>
          <a:off x="2219325" y="15973425"/>
          <a:ext cx="539750" cy="539750"/>
        </a:xfrm>
        <a:prstGeom prst="rect">
          <a:avLst/>
        </a:prstGeom>
      </xdr:spPr>
    </xdr:pic>
    <xdr:clientData/>
  </xdr:oneCellAnchor>
  <xdr:oneCellAnchor>
    <xdr:from>
      <xdr:col>3</xdr:col>
      <xdr:colOff>72258</xdr:colOff>
      <xdr:row>43</xdr:row>
      <xdr:rowOff>32845</xdr:rowOff>
    </xdr:from>
    <xdr:ext cx="540000" cy="540000"/>
    <xdr:pic>
      <xdr:nvPicPr>
        <xdr:cNvPr id="107" name="图片 106"/>
        <xdr:cNvPicPr>
          <a:picLocks noChangeAspect="1"/>
        </xdr:cNvPicPr>
      </xdr:nvPicPr>
      <xdr:blipFill>
        <a:blip r:embed="rId12">
          <a:extLst>
            <a:ext uri="{28A0092B-C50C-407E-A947-70E740481C1C}">
              <a14:useLocalDpi xmlns:a14="http://schemas.microsoft.com/office/drawing/2010/main" val="0"/>
            </a:ext>
          </a:extLst>
        </a:blip>
        <a:stretch>
          <a:fillRect/>
        </a:stretch>
      </xdr:blipFill>
      <xdr:spPr>
        <a:xfrm>
          <a:off x="2214880" y="17215485"/>
          <a:ext cx="540385" cy="540385"/>
        </a:xfrm>
        <a:prstGeom prst="rect">
          <a:avLst/>
        </a:prstGeom>
      </xdr:spPr>
    </xdr:pic>
    <xdr:clientData/>
  </xdr:oneCellAnchor>
  <xdr:oneCellAnchor>
    <xdr:from>
      <xdr:col>3</xdr:col>
      <xdr:colOff>72259</xdr:colOff>
      <xdr:row>44</xdr:row>
      <xdr:rowOff>39414</xdr:rowOff>
    </xdr:from>
    <xdr:ext cx="540000" cy="540000"/>
    <xdr:pic>
      <xdr:nvPicPr>
        <xdr:cNvPr id="108" name="图片 107"/>
        <xdr:cNvPicPr>
          <a:picLocks noChangeAspect="1"/>
        </xdr:cNvPicPr>
      </xdr:nvPicPr>
      <xdr:blipFill>
        <a:blip r:embed="rId13">
          <a:extLst>
            <a:ext uri="{28A0092B-C50C-407E-A947-70E740481C1C}">
              <a14:useLocalDpi xmlns:a14="http://schemas.microsoft.com/office/drawing/2010/main" val="0"/>
            </a:ext>
          </a:extLst>
        </a:blip>
        <a:stretch>
          <a:fillRect/>
        </a:stretch>
      </xdr:blipFill>
      <xdr:spPr>
        <a:xfrm>
          <a:off x="2214880" y="17851120"/>
          <a:ext cx="540385" cy="539750"/>
        </a:xfrm>
        <a:prstGeom prst="rect">
          <a:avLst/>
        </a:prstGeom>
      </xdr:spPr>
    </xdr:pic>
    <xdr:clientData/>
  </xdr:oneCellAnchor>
  <xdr:oneCellAnchor>
    <xdr:from>
      <xdr:col>3</xdr:col>
      <xdr:colOff>72259</xdr:colOff>
      <xdr:row>46</xdr:row>
      <xdr:rowOff>39414</xdr:rowOff>
    </xdr:from>
    <xdr:ext cx="540000" cy="540000"/>
    <xdr:pic>
      <xdr:nvPicPr>
        <xdr:cNvPr id="109" name="图片 108"/>
        <xdr:cNvPicPr>
          <a:picLocks noChangeAspect="1"/>
        </xdr:cNvPicPr>
      </xdr:nvPicPr>
      <xdr:blipFill>
        <a:blip r:embed="rId14">
          <a:extLst>
            <a:ext uri="{28A0092B-C50C-407E-A947-70E740481C1C}">
              <a14:useLocalDpi xmlns:a14="http://schemas.microsoft.com/office/drawing/2010/main" val="0"/>
            </a:ext>
          </a:extLst>
        </a:blip>
        <a:stretch>
          <a:fillRect/>
        </a:stretch>
      </xdr:blipFill>
      <xdr:spPr>
        <a:xfrm>
          <a:off x="2214880" y="19108420"/>
          <a:ext cx="540385" cy="539750"/>
        </a:xfrm>
        <a:prstGeom prst="rect">
          <a:avLst/>
        </a:prstGeom>
      </xdr:spPr>
    </xdr:pic>
    <xdr:clientData/>
  </xdr:oneCellAnchor>
  <xdr:oneCellAnchor>
    <xdr:from>
      <xdr:col>3</xdr:col>
      <xdr:colOff>72259</xdr:colOff>
      <xdr:row>47</xdr:row>
      <xdr:rowOff>32846</xdr:rowOff>
    </xdr:from>
    <xdr:ext cx="540000" cy="540000"/>
    <xdr:pic>
      <xdr:nvPicPr>
        <xdr:cNvPr id="110" name="图片 109"/>
        <xdr:cNvPicPr>
          <a:picLocks noChangeAspect="1"/>
        </xdr:cNvPicPr>
      </xdr:nvPicPr>
      <xdr:blipFill>
        <a:blip r:embed="rId14">
          <a:extLst>
            <a:ext uri="{28A0092B-C50C-407E-A947-70E740481C1C}">
              <a14:useLocalDpi xmlns:a14="http://schemas.microsoft.com/office/drawing/2010/main" val="0"/>
            </a:ext>
          </a:extLst>
        </a:blip>
        <a:stretch>
          <a:fillRect/>
        </a:stretch>
      </xdr:blipFill>
      <xdr:spPr>
        <a:xfrm>
          <a:off x="2214880" y="19730085"/>
          <a:ext cx="540385" cy="540385"/>
        </a:xfrm>
        <a:prstGeom prst="rect">
          <a:avLst/>
        </a:prstGeom>
      </xdr:spPr>
    </xdr:pic>
    <xdr:clientData/>
  </xdr:oneCellAnchor>
  <xdr:oneCellAnchor>
    <xdr:from>
      <xdr:col>3</xdr:col>
      <xdr:colOff>59121</xdr:colOff>
      <xdr:row>49</xdr:row>
      <xdr:rowOff>45982</xdr:rowOff>
    </xdr:from>
    <xdr:ext cx="540000" cy="540000"/>
    <xdr:pic>
      <xdr:nvPicPr>
        <xdr:cNvPr id="111" name="图片 110"/>
        <xdr:cNvPicPr>
          <a:picLocks noChangeAspect="1"/>
        </xdr:cNvPicPr>
      </xdr:nvPicPr>
      <xdr:blipFill>
        <a:blip r:embed="rId15">
          <a:extLst>
            <a:ext uri="{28A0092B-C50C-407E-A947-70E740481C1C}">
              <a14:useLocalDpi xmlns:a14="http://schemas.microsoft.com/office/drawing/2010/main" val="0"/>
            </a:ext>
          </a:extLst>
        </a:blip>
        <a:stretch>
          <a:fillRect/>
        </a:stretch>
      </xdr:blipFill>
      <xdr:spPr>
        <a:xfrm>
          <a:off x="2202180" y="21000720"/>
          <a:ext cx="539750" cy="539750"/>
        </a:xfrm>
        <a:prstGeom prst="rect">
          <a:avLst/>
        </a:prstGeom>
      </xdr:spPr>
    </xdr:pic>
    <xdr:clientData/>
  </xdr:oneCellAnchor>
  <xdr:oneCellAnchor>
    <xdr:from>
      <xdr:col>3</xdr:col>
      <xdr:colOff>65690</xdr:colOff>
      <xdr:row>50</xdr:row>
      <xdr:rowOff>32845</xdr:rowOff>
    </xdr:from>
    <xdr:ext cx="540000" cy="540000"/>
    <xdr:pic>
      <xdr:nvPicPr>
        <xdr:cNvPr id="112" name="图片 111"/>
        <xdr:cNvPicPr>
          <a:picLocks noChangeAspect="1"/>
        </xdr:cNvPicPr>
      </xdr:nvPicPr>
      <xdr:blipFill>
        <a:blip r:embed="rId16">
          <a:extLst>
            <a:ext uri="{28A0092B-C50C-407E-A947-70E740481C1C}">
              <a14:useLocalDpi xmlns:a14="http://schemas.microsoft.com/office/drawing/2010/main" val="0"/>
            </a:ext>
          </a:extLst>
        </a:blip>
        <a:stretch>
          <a:fillRect/>
        </a:stretch>
      </xdr:blipFill>
      <xdr:spPr>
        <a:xfrm>
          <a:off x="2208530" y="21616035"/>
          <a:ext cx="539750" cy="540385"/>
        </a:xfrm>
        <a:prstGeom prst="rect">
          <a:avLst/>
        </a:prstGeom>
      </xdr:spPr>
    </xdr:pic>
    <xdr:clientData/>
  </xdr:oneCellAnchor>
  <xdr:oneCellAnchor>
    <xdr:from>
      <xdr:col>3</xdr:col>
      <xdr:colOff>72258</xdr:colOff>
      <xdr:row>52</xdr:row>
      <xdr:rowOff>32845</xdr:rowOff>
    </xdr:from>
    <xdr:ext cx="540000" cy="540000"/>
    <xdr:pic>
      <xdr:nvPicPr>
        <xdr:cNvPr id="113" name="图片 112"/>
        <xdr:cNvPicPr>
          <a:picLocks noChangeAspect="1"/>
        </xdr:cNvPicPr>
      </xdr:nvPicPr>
      <xdr:blipFill>
        <a:blip r:embed="rId17">
          <a:extLst>
            <a:ext uri="{28A0092B-C50C-407E-A947-70E740481C1C}">
              <a14:useLocalDpi xmlns:a14="http://schemas.microsoft.com/office/drawing/2010/main" val="0"/>
            </a:ext>
          </a:extLst>
        </a:blip>
        <a:stretch>
          <a:fillRect/>
        </a:stretch>
      </xdr:blipFill>
      <xdr:spPr>
        <a:xfrm>
          <a:off x="2214880" y="22873335"/>
          <a:ext cx="540385" cy="540385"/>
        </a:xfrm>
        <a:prstGeom prst="rect">
          <a:avLst/>
        </a:prstGeom>
      </xdr:spPr>
    </xdr:pic>
    <xdr:clientData/>
  </xdr:oneCellAnchor>
  <xdr:oneCellAnchor>
    <xdr:from>
      <xdr:col>3</xdr:col>
      <xdr:colOff>72258</xdr:colOff>
      <xdr:row>53</xdr:row>
      <xdr:rowOff>45983</xdr:rowOff>
    </xdr:from>
    <xdr:ext cx="540000" cy="540000"/>
    <xdr:pic>
      <xdr:nvPicPr>
        <xdr:cNvPr id="114" name="图片 113"/>
        <xdr:cNvPicPr>
          <a:picLocks noChangeAspect="1"/>
        </xdr:cNvPicPr>
      </xdr:nvPicPr>
      <xdr:blipFill>
        <a:blip r:embed="rId18">
          <a:extLst>
            <a:ext uri="{28A0092B-C50C-407E-A947-70E740481C1C}">
              <a14:useLocalDpi xmlns:a14="http://schemas.microsoft.com/office/drawing/2010/main" val="0"/>
            </a:ext>
          </a:extLst>
        </a:blip>
        <a:stretch>
          <a:fillRect/>
        </a:stretch>
      </xdr:blipFill>
      <xdr:spPr>
        <a:xfrm>
          <a:off x="2214880" y="23515320"/>
          <a:ext cx="540385" cy="539750"/>
        </a:xfrm>
        <a:prstGeom prst="rect">
          <a:avLst/>
        </a:prstGeom>
      </xdr:spPr>
    </xdr:pic>
    <xdr:clientData/>
  </xdr:oneCellAnchor>
  <xdr:oneCellAnchor>
    <xdr:from>
      <xdr:col>3</xdr:col>
      <xdr:colOff>38641</xdr:colOff>
      <xdr:row>54</xdr:row>
      <xdr:rowOff>68395</xdr:rowOff>
    </xdr:from>
    <xdr:ext cx="540000" cy="540000"/>
    <xdr:pic>
      <xdr:nvPicPr>
        <xdr:cNvPr id="115" name="图片 114"/>
        <xdr:cNvPicPr>
          <a:picLocks noChangeAspect="1"/>
        </xdr:cNvPicPr>
      </xdr:nvPicPr>
      <xdr:blipFill>
        <a:blip r:embed="rId19">
          <a:extLst>
            <a:ext uri="{28A0092B-C50C-407E-A947-70E740481C1C}">
              <a14:useLocalDpi xmlns:a14="http://schemas.microsoft.com/office/drawing/2010/main" val="0"/>
            </a:ext>
          </a:extLst>
        </a:blip>
        <a:stretch>
          <a:fillRect/>
        </a:stretch>
      </xdr:blipFill>
      <xdr:spPr>
        <a:xfrm>
          <a:off x="2181225" y="24166195"/>
          <a:ext cx="540385" cy="540385"/>
        </a:xfrm>
        <a:prstGeom prst="rect">
          <a:avLst/>
        </a:prstGeom>
      </xdr:spPr>
    </xdr:pic>
    <xdr:clientData/>
  </xdr:oneCellAnchor>
  <xdr:oneCellAnchor>
    <xdr:from>
      <xdr:col>3</xdr:col>
      <xdr:colOff>72259</xdr:colOff>
      <xdr:row>55</xdr:row>
      <xdr:rowOff>52552</xdr:rowOff>
    </xdr:from>
    <xdr:ext cx="540000" cy="540000"/>
    <xdr:pic>
      <xdr:nvPicPr>
        <xdr:cNvPr id="116" name="图片 115"/>
        <xdr:cNvPicPr>
          <a:picLocks noChangeAspect="1"/>
        </xdr:cNvPicPr>
      </xdr:nvPicPr>
      <xdr:blipFill>
        <a:blip r:embed="rId20">
          <a:extLst>
            <a:ext uri="{28A0092B-C50C-407E-A947-70E740481C1C}">
              <a14:useLocalDpi xmlns:a14="http://schemas.microsoft.com/office/drawing/2010/main" val="0"/>
            </a:ext>
          </a:extLst>
        </a:blip>
        <a:stretch>
          <a:fillRect/>
        </a:stretch>
      </xdr:blipFill>
      <xdr:spPr>
        <a:xfrm>
          <a:off x="2214880" y="24778970"/>
          <a:ext cx="540385" cy="540385"/>
        </a:xfrm>
        <a:prstGeom prst="rect">
          <a:avLst/>
        </a:prstGeom>
      </xdr:spPr>
    </xdr:pic>
    <xdr:clientData/>
  </xdr:oneCellAnchor>
  <xdr:oneCellAnchor>
    <xdr:from>
      <xdr:col>3</xdr:col>
      <xdr:colOff>59121</xdr:colOff>
      <xdr:row>58</xdr:row>
      <xdr:rowOff>65690</xdr:rowOff>
    </xdr:from>
    <xdr:ext cx="540000" cy="540000"/>
    <xdr:pic>
      <xdr:nvPicPr>
        <xdr:cNvPr id="117" name="图片 116"/>
        <xdr:cNvPicPr>
          <a:picLocks noChangeAspect="1"/>
        </xdr:cNvPicPr>
      </xdr:nvPicPr>
      <xdr:blipFill>
        <a:blip r:embed="rId21">
          <a:extLst>
            <a:ext uri="{28A0092B-C50C-407E-A947-70E740481C1C}">
              <a14:useLocalDpi xmlns:a14="http://schemas.microsoft.com/office/drawing/2010/main" val="0"/>
            </a:ext>
          </a:extLst>
        </a:blip>
        <a:stretch>
          <a:fillRect/>
        </a:stretch>
      </xdr:blipFill>
      <xdr:spPr>
        <a:xfrm>
          <a:off x="2202180" y="26678255"/>
          <a:ext cx="539750" cy="539750"/>
        </a:xfrm>
        <a:prstGeom prst="rect">
          <a:avLst/>
        </a:prstGeom>
      </xdr:spPr>
    </xdr:pic>
    <xdr:clientData/>
  </xdr:oneCellAnchor>
  <xdr:oneCellAnchor>
    <xdr:from>
      <xdr:col>3</xdr:col>
      <xdr:colOff>65690</xdr:colOff>
      <xdr:row>56</xdr:row>
      <xdr:rowOff>39414</xdr:rowOff>
    </xdr:from>
    <xdr:ext cx="540000" cy="540000"/>
    <xdr:pic>
      <xdr:nvPicPr>
        <xdr:cNvPr id="118" name="图片 117"/>
        <xdr:cNvPicPr>
          <a:picLocks noChangeAspect="1"/>
        </xdr:cNvPicPr>
      </xdr:nvPicPr>
      <xdr:blipFill>
        <a:blip r:embed="rId20">
          <a:extLst>
            <a:ext uri="{28A0092B-C50C-407E-A947-70E740481C1C}">
              <a14:useLocalDpi xmlns:a14="http://schemas.microsoft.com/office/drawing/2010/main" val="0"/>
            </a:ext>
          </a:extLst>
        </a:blip>
        <a:stretch>
          <a:fillRect/>
        </a:stretch>
      </xdr:blipFill>
      <xdr:spPr>
        <a:xfrm>
          <a:off x="2208530" y="25394920"/>
          <a:ext cx="539750" cy="539750"/>
        </a:xfrm>
        <a:prstGeom prst="rect">
          <a:avLst/>
        </a:prstGeom>
      </xdr:spPr>
    </xdr:pic>
    <xdr:clientData/>
  </xdr:oneCellAnchor>
  <xdr:oneCellAnchor>
    <xdr:from>
      <xdr:col>3</xdr:col>
      <xdr:colOff>65690</xdr:colOff>
      <xdr:row>61</xdr:row>
      <xdr:rowOff>45983</xdr:rowOff>
    </xdr:from>
    <xdr:ext cx="540000" cy="540000"/>
    <xdr:pic>
      <xdr:nvPicPr>
        <xdr:cNvPr id="119" name="图片 118"/>
        <xdr:cNvPicPr>
          <a:picLocks noChangeAspect="1"/>
        </xdr:cNvPicPr>
      </xdr:nvPicPr>
      <xdr:blipFill>
        <a:blip r:embed="rId22">
          <a:extLst>
            <a:ext uri="{28A0092B-C50C-407E-A947-70E740481C1C}">
              <a14:useLocalDpi xmlns:a14="http://schemas.microsoft.com/office/drawing/2010/main" val="0"/>
            </a:ext>
          </a:extLst>
        </a:blip>
        <a:stretch>
          <a:fillRect/>
        </a:stretch>
      </xdr:blipFill>
      <xdr:spPr>
        <a:xfrm>
          <a:off x="2208530" y="28544520"/>
          <a:ext cx="539750" cy="539750"/>
        </a:xfrm>
        <a:prstGeom prst="rect">
          <a:avLst/>
        </a:prstGeom>
      </xdr:spPr>
    </xdr:pic>
    <xdr:clientData/>
  </xdr:oneCellAnchor>
  <xdr:oneCellAnchor>
    <xdr:from>
      <xdr:col>3</xdr:col>
      <xdr:colOff>65690</xdr:colOff>
      <xdr:row>59</xdr:row>
      <xdr:rowOff>59121</xdr:rowOff>
    </xdr:from>
    <xdr:ext cx="540000" cy="540000"/>
    <xdr:pic>
      <xdr:nvPicPr>
        <xdr:cNvPr id="120" name="图片 119"/>
        <xdr:cNvPicPr>
          <a:picLocks noChangeAspect="1"/>
        </xdr:cNvPicPr>
      </xdr:nvPicPr>
      <xdr:blipFill>
        <a:blip r:embed="rId21">
          <a:extLst>
            <a:ext uri="{28A0092B-C50C-407E-A947-70E740481C1C}">
              <a14:useLocalDpi xmlns:a14="http://schemas.microsoft.com/office/drawing/2010/main" val="0"/>
            </a:ext>
          </a:extLst>
        </a:blip>
        <a:stretch>
          <a:fillRect/>
        </a:stretch>
      </xdr:blipFill>
      <xdr:spPr>
        <a:xfrm>
          <a:off x="2208530" y="27300555"/>
          <a:ext cx="539750" cy="539750"/>
        </a:xfrm>
        <a:prstGeom prst="rect">
          <a:avLst/>
        </a:prstGeom>
      </xdr:spPr>
    </xdr:pic>
    <xdr:clientData/>
  </xdr:oneCellAnchor>
  <xdr:oneCellAnchor>
    <xdr:from>
      <xdr:col>3</xdr:col>
      <xdr:colOff>59121</xdr:colOff>
      <xdr:row>62</xdr:row>
      <xdr:rowOff>39414</xdr:rowOff>
    </xdr:from>
    <xdr:ext cx="540000" cy="540000"/>
    <xdr:pic>
      <xdr:nvPicPr>
        <xdr:cNvPr id="121" name="图片 120"/>
        <xdr:cNvPicPr>
          <a:picLocks noChangeAspect="1"/>
        </xdr:cNvPicPr>
      </xdr:nvPicPr>
      <xdr:blipFill>
        <a:blip r:embed="rId22">
          <a:extLst>
            <a:ext uri="{28A0092B-C50C-407E-A947-70E740481C1C}">
              <a14:useLocalDpi xmlns:a14="http://schemas.microsoft.com/office/drawing/2010/main" val="0"/>
            </a:ext>
          </a:extLst>
        </a:blip>
        <a:stretch>
          <a:fillRect/>
        </a:stretch>
      </xdr:blipFill>
      <xdr:spPr>
        <a:xfrm>
          <a:off x="2202180" y="29166820"/>
          <a:ext cx="539750" cy="539750"/>
        </a:xfrm>
        <a:prstGeom prst="rect">
          <a:avLst/>
        </a:prstGeom>
      </xdr:spPr>
    </xdr:pic>
    <xdr:clientData/>
  </xdr:oneCellAnchor>
  <xdr:oneCellAnchor>
    <xdr:from>
      <xdr:col>3</xdr:col>
      <xdr:colOff>85397</xdr:colOff>
      <xdr:row>70</xdr:row>
      <xdr:rowOff>52552</xdr:rowOff>
    </xdr:from>
    <xdr:ext cx="540000" cy="540000"/>
    <xdr:pic>
      <xdr:nvPicPr>
        <xdr:cNvPr id="122" name="图片 121"/>
        <xdr:cNvPicPr>
          <a:picLocks noChangeAspect="1"/>
        </xdr:cNvPicPr>
      </xdr:nvPicPr>
      <xdr:blipFill>
        <a:blip r:embed="rId23">
          <a:extLst>
            <a:ext uri="{28A0092B-C50C-407E-A947-70E740481C1C}">
              <a14:useLocalDpi xmlns:a14="http://schemas.microsoft.com/office/drawing/2010/main" val="0"/>
            </a:ext>
          </a:extLst>
        </a:blip>
        <a:stretch>
          <a:fillRect/>
        </a:stretch>
      </xdr:blipFill>
      <xdr:spPr>
        <a:xfrm>
          <a:off x="2228215" y="34208720"/>
          <a:ext cx="539750" cy="540385"/>
        </a:xfrm>
        <a:prstGeom prst="rect">
          <a:avLst/>
        </a:prstGeom>
      </xdr:spPr>
    </xdr:pic>
    <xdr:clientData/>
  </xdr:oneCellAnchor>
  <xdr:oneCellAnchor>
    <xdr:from>
      <xdr:col>3</xdr:col>
      <xdr:colOff>78828</xdr:colOff>
      <xdr:row>71</xdr:row>
      <xdr:rowOff>39414</xdr:rowOff>
    </xdr:from>
    <xdr:ext cx="540000" cy="540000"/>
    <xdr:pic>
      <xdr:nvPicPr>
        <xdr:cNvPr id="123" name="图片 122"/>
        <xdr:cNvPicPr>
          <a:picLocks noChangeAspect="1"/>
        </xdr:cNvPicPr>
      </xdr:nvPicPr>
      <xdr:blipFill>
        <a:blip r:embed="rId23">
          <a:extLst>
            <a:ext uri="{28A0092B-C50C-407E-A947-70E740481C1C}">
              <a14:useLocalDpi xmlns:a14="http://schemas.microsoft.com/office/drawing/2010/main" val="0"/>
            </a:ext>
          </a:extLst>
        </a:blip>
        <a:stretch>
          <a:fillRect/>
        </a:stretch>
      </xdr:blipFill>
      <xdr:spPr>
        <a:xfrm>
          <a:off x="2221865" y="34824670"/>
          <a:ext cx="539750" cy="539750"/>
        </a:xfrm>
        <a:prstGeom prst="rect">
          <a:avLst/>
        </a:prstGeom>
      </xdr:spPr>
    </xdr:pic>
    <xdr:clientData/>
  </xdr:oneCellAnchor>
  <xdr:oneCellAnchor>
    <xdr:from>
      <xdr:col>3</xdr:col>
      <xdr:colOff>65690</xdr:colOff>
      <xdr:row>74</xdr:row>
      <xdr:rowOff>39413</xdr:rowOff>
    </xdr:from>
    <xdr:ext cx="540000" cy="540000"/>
    <xdr:pic>
      <xdr:nvPicPr>
        <xdr:cNvPr id="124" name="图片 123"/>
        <xdr:cNvPicPr>
          <a:picLocks noChangeAspect="1"/>
        </xdr:cNvPicPr>
      </xdr:nvPicPr>
      <xdr:blipFill>
        <a:blip r:embed="rId24">
          <a:extLst>
            <a:ext uri="{28A0092B-C50C-407E-A947-70E740481C1C}">
              <a14:useLocalDpi xmlns:a14="http://schemas.microsoft.com/office/drawing/2010/main" val="0"/>
            </a:ext>
          </a:extLst>
        </a:blip>
        <a:stretch>
          <a:fillRect/>
        </a:stretch>
      </xdr:blipFill>
      <xdr:spPr>
        <a:xfrm>
          <a:off x="2208530" y="36710620"/>
          <a:ext cx="539750" cy="539750"/>
        </a:xfrm>
        <a:prstGeom prst="rect">
          <a:avLst/>
        </a:prstGeom>
      </xdr:spPr>
    </xdr:pic>
    <xdr:clientData/>
  </xdr:oneCellAnchor>
  <xdr:oneCellAnchor>
    <xdr:from>
      <xdr:col>3</xdr:col>
      <xdr:colOff>78827</xdr:colOff>
      <xdr:row>73</xdr:row>
      <xdr:rowOff>32844</xdr:rowOff>
    </xdr:from>
    <xdr:ext cx="540000" cy="540000"/>
    <xdr:pic>
      <xdr:nvPicPr>
        <xdr:cNvPr id="125" name="图片 124"/>
        <xdr:cNvPicPr>
          <a:picLocks noChangeAspect="1"/>
        </xdr:cNvPicPr>
      </xdr:nvPicPr>
      <xdr:blipFill>
        <a:blip r:embed="rId24">
          <a:extLst>
            <a:ext uri="{28A0092B-C50C-407E-A947-70E740481C1C}">
              <a14:useLocalDpi xmlns:a14="http://schemas.microsoft.com/office/drawing/2010/main" val="0"/>
            </a:ext>
          </a:extLst>
        </a:blip>
        <a:stretch>
          <a:fillRect/>
        </a:stretch>
      </xdr:blipFill>
      <xdr:spPr>
        <a:xfrm>
          <a:off x="2221865" y="36074985"/>
          <a:ext cx="539750" cy="540385"/>
        </a:xfrm>
        <a:prstGeom prst="rect">
          <a:avLst/>
        </a:prstGeom>
      </xdr:spPr>
    </xdr:pic>
    <xdr:clientData/>
  </xdr:oneCellAnchor>
  <xdr:oneCellAnchor>
    <xdr:from>
      <xdr:col>3</xdr:col>
      <xdr:colOff>72259</xdr:colOff>
      <xdr:row>76</xdr:row>
      <xdr:rowOff>45982</xdr:rowOff>
    </xdr:from>
    <xdr:ext cx="540000" cy="540000"/>
    <xdr:pic>
      <xdr:nvPicPr>
        <xdr:cNvPr id="126" name="图片 125"/>
        <xdr:cNvPicPr>
          <a:picLocks noChangeAspect="1"/>
        </xdr:cNvPicPr>
      </xdr:nvPicPr>
      <xdr:blipFill>
        <a:blip r:embed="rId25">
          <a:extLst>
            <a:ext uri="{28A0092B-C50C-407E-A947-70E740481C1C}">
              <a14:useLocalDpi xmlns:a14="http://schemas.microsoft.com/office/drawing/2010/main" val="0"/>
            </a:ext>
          </a:extLst>
        </a:blip>
        <a:stretch>
          <a:fillRect/>
        </a:stretch>
      </xdr:blipFill>
      <xdr:spPr>
        <a:xfrm>
          <a:off x="2214880" y="37974270"/>
          <a:ext cx="540385" cy="539750"/>
        </a:xfrm>
        <a:prstGeom prst="rect">
          <a:avLst/>
        </a:prstGeom>
      </xdr:spPr>
    </xdr:pic>
    <xdr:clientData/>
  </xdr:oneCellAnchor>
  <xdr:oneCellAnchor>
    <xdr:from>
      <xdr:col>3</xdr:col>
      <xdr:colOff>72259</xdr:colOff>
      <xdr:row>77</xdr:row>
      <xdr:rowOff>32844</xdr:rowOff>
    </xdr:from>
    <xdr:ext cx="540000" cy="540000"/>
    <xdr:pic>
      <xdr:nvPicPr>
        <xdr:cNvPr id="127" name="图片 126"/>
        <xdr:cNvPicPr>
          <a:picLocks noChangeAspect="1"/>
        </xdr:cNvPicPr>
      </xdr:nvPicPr>
      <xdr:blipFill>
        <a:blip r:embed="rId25">
          <a:extLst>
            <a:ext uri="{28A0092B-C50C-407E-A947-70E740481C1C}">
              <a14:useLocalDpi xmlns:a14="http://schemas.microsoft.com/office/drawing/2010/main" val="0"/>
            </a:ext>
          </a:extLst>
        </a:blip>
        <a:stretch>
          <a:fillRect/>
        </a:stretch>
      </xdr:blipFill>
      <xdr:spPr>
        <a:xfrm>
          <a:off x="2214880" y="38589585"/>
          <a:ext cx="540385" cy="540385"/>
        </a:xfrm>
        <a:prstGeom prst="rect">
          <a:avLst/>
        </a:prstGeom>
      </xdr:spPr>
    </xdr:pic>
    <xdr:clientData/>
  </xdr:oneCellAnchor>
  <xdr:oneCellAnchor>
    <xdr:from>
      <xdr:col>3</xdr:col>
      <xdr:colOff>65690</xdr:colOff>
      <xdr:row>79</xdr:row>
      <xdr:rowOff>45983</xdr:rowOff>
    </xdr:from>
    <xdr:ext cx="540000" cy="540000"/>
    <xdr:pic>
      <xdr:nvPicPr>
        <xdr:cNvPr id="128" name="图片 127"/>
        <xdr:cNvPicPr>
          <a:picLocks noChangeAspect="1"/>
        </xdr:cNvPicPr>
      </xdr:nvPicPr>
      <xdr:blipFill>
        <a:blip r:embed="rId26">
          <a:extLst>
            <a:ext uri="{28A0092B-C50C-407E-A947-70E740481C1C}">
              <a14:useLocalDpi xmlns:a14="http://schemas.microsoft.com/office/drawing/2010/main" val="0"/>
            </a:ext>
          </a:extLst>
        </a:blip>
        <a:stretch>
          <a:fillRect/>
        </a:stretch>
      </xdr:blipFill>
      <xdr:spPr>
        <a:xfrm>
          <a:off x="2208530" y="39860220"/>
          <a:ext cx="539750" cy="539750"/>
        </a:xfrm>
        <a:prstGeom prst="rect">
          <a:avLst/>
        </a:prstGeom>
      </xdr:spPr>
    </xdr:pic>
    <xdr:clientData/>
  </xdr:oneCellAnchor>
  <xdr:oneCellAnchor>
    <xdr:from>
      <xdr:col>3</xdr:col>
      <xdr:colOff>78828</xdr:colOff>
      <xdr:row>80</xdr:row>
      <xdr:rowOff>39415</xdr:rowOff>
    </xdr:from>
    <xdr:ext cx="540000" cy="540000"/>
    <xdr:pic>
      <xdr:nvPicPr>
        <xdr:cNvPr id="129" name="图片 128"/>
        <xdr:cNvPicPr>
          <a:picLocks noChangeAspect="1"/>
        </xdr:cNvPicPr>
      </xdr:nvPicPr>
      <xdr:blipFill>
        <a:blip r:embed="rId26">
          <a:extLst>
            <a:ext uri="{28A0092B-C50C-407E-A947-70E740481C1C}">
              <a14:useLocalDpi xmlns:a14="http://schemas.microsoft.com/office/drawing/2010/main" val="0"/>
            </a:ext>
          </a:extLst>
        </a:blip>
        <a:stretch>
          <a:fillRect/>
        </a:stretch>
      </xdr:blipFill>
      <xdr:spPr>
        <a:xfrm>
          <a:off x="2221865" y="40482520"/>
          <a:ext cx="539750" cy="539750"/>
        </a:xfrm>
        <a:prstGeom prst="rect">
          <a:avLst/>
        </a:prstGeom>
      </xdr:spPr>
    </xdr:pic>
    <xdr:clientData/>
  </xdr:oneCellAnchor>
  <xdr:oneCellAnchor>
    <xdr:from>
      <xdr:col>3</xdr:col>
      <xdr:colOff>78826</xdr:colOff>
      <xdr:row>81</xdr:row>
      <xdr:rowOff>32845</xdr:rowOff>
    </xdr:from>
    <xdr:ext cx="540000" cy="540000"/>
    <xdr:pic>
      <xdr:nvPicPr>
        <xdr:cNvPr id="130" name="图片 129"/>
        <xdr:cNvPicPr>
          <a:picLocks noChangeAspect="1"/>
        </xdr:cNvPicPr>
      </xdr:nvPicPr>
      <xdr:blipFill>
        <a:blip r:embed="rId27">
          <a:extLst>
            <a:ext uri="{28A0092B-C50C-407E-A947-70E740481C1C}">
              <a14:useLocalDpi xmlns:a14="http://schemas.microsoft.com/office/drawing/2010/main" val="0"/>
            </a:ext>
          </a:extLst>
        </a:blip>
        <a:stretch>
          <a:fillRect/>
        </a:stretch>
      </xdr:blipFill>
      <xdr:spPr>
        <a:xfrm>
          <a:off x="2221865" y="41104185"/>
          <a:ext cx="539750" cy="540385"/>
        </a:xfrm>
        <a:prstGeom prst="rect">
          <a:avLst/>
        </a:prstGeom>
      </xdr:spPr>
    </xdr:pic>
    <xdr:clientData/>
  </xdr:oneCellAnchor>
  <xdr:oneCellAnchor>
    <xdr:from>
      <xdr:col>3</xdr:col>
      <xdr:colOff>78827</xdr:colOff>
      <xdr:row>82</xdr:row>
      <xdr:rowOff>45983</xdr:rowOff>
    </xdr:from>
    <xdr:ext cx="540000" cy="540000"/>
    <xdr:pic>
      <xdr:nvPicPr>
        <xdr:cNvPr id="131" name="图片 130"/>
        <xdr:cNvPicPr>
          <a:picLocks noChangeAspect="1"/>
        </xdr:cNvPicPr>
      </xdr:nvPicPr>
      <xdr:blipFill>
        <a:blip r:embed="rId28">
          <a:extLst>
            <a:ext uri="{28A0092B-C50C-407E-A947-70E740481C1C}">
              <a14:useLocalDpi xmlns:a14="http://schemas.microsoft.com/office/drawing/2010/main" val="0"/>
            </a:ext>
          </a:extLst>
        </a:blip>
        <a:stretch>
          <a:fillRect/>
        </a:stretch>
      </xdr:blipFill>
      <xdr:spPr>
        <a:xfrm>
          <a:off x="2221865" y="41746170"/>
          <a:ext cx="539750" cy="539750"/>
        </a:xfrm>
        <a:prstGeom prst="rect">
          <a:avLst/>
        </a:prstGeom>
      </xdr:spPr>
    </xdr:pic>
    <xdr:clientData/>
  </xdr:oneCellAnchor>
  <xdr:oneCellAnchor>
    <xdr:from>
      <xdr:col>3</xdr:col>
      <xdr:colOff>78827</xdr:colOff>
      <xdr:row>83</xdr:row>
      <xdr:rowOff>45983</xdr:rowOff>
    </xdr:from>
    <xdr:ext cx="540000" cy="540000"/>
    <xdr:pic>
      <xdr:nvPicPr>
        <xdr:cNvPr id="132" name="图片 131"/>
        <xdr:cNvPicPr>
          <a:picLocks noChangeAspect="1"/>
        </xdr:cNvPicPr>
      </xdr:nvPicPr>
      <xdr:blipFill>
        <a:blip r:embed="rId28">
          <a:extLst>
            <a:ext uri="{28A0092B-C50C-407E-A947-70E740481C1C}">
              <a14:useLocalDpi xmlns:a14="http://schemas.microsoft.com/office/drawing/2010/main" val="0"/>
            </a:ext>
          </a:extLst>
        </a:blip>
        <a:stretch>
          <a:fillRect/>
        </a:stretch>
      </xdr:blipFill>
      <xdr:spPr>
        <a:xfrm>
          <a:off x="2221865" y="42374820"/>
          <a:ext cx="539750" cy="539750"/>
        </a:xfrm>
        <a:prstGeom prst="rect">
          <a:avLst/>
        </a:prstGeom>
      </xdr:spPr>
    </xdr:pic>
    <xdr:clientData/>
  </xdr:oneCellAnchor>
  <xdr:oneCellAnchor>
    <xdr:from>
      <xdr:col>3</xdr:col>
      <xdr:colOff>78828</xdr:colOff>
      <xdr:row>88</xdr:row>
      <xdr:rowOff>32845</xdr:rowOff>
    </xdr:from>
    <xdr:ext cx="540000" cy="540000"/>
    <xdr:pic>
      <xdr:nvPicPr>
        <xdr:cNvPr id="133" name="图片 132"/>
        <xdr:cNvPicPr>
          <a:picLocks noChangeAspect="1"/>
        </xdr:cNvPicPr>
      </xdr:nvPicPr>
      <xdr:blipFill>
        <a:blip r:embed="rId29">
          <a:extLst>
            <a:ext uri="{28A0092B-C50C-407E-A947-70E740481C1C}">
              <a14:useLocalDpi xmlns:a14="http://schemas.microsoft.com/office/drawing/2010/main" val="0"/>
            </a:ext>
          </a:extLst>
        </a:blip>
        <a:stretch>
          <a:fillRect/>
        </a:stretch>
      </xdr:blipFill>
      <xdr:spPr>
        <a:xfrm>
          <a:off x="2221865" y="45504735"/>
          <a:ext cx="539750" cy="540385"/>
        </a:xfrm>
        <a:prstGeom prst="rect">
          <a:avLst/>
        </a:prstGeom>
      </xdr:spPr>
    </xdr:pic>
    <xdr:clientData/>
  </xdr:oneCellAnchor>
  <xdr:oneCellAnchor>
    <xdr:from>
      <xdr:col>3</xdr:col>
      <xdr:colOff>78828</xdr:colOff>
      <xdr:row>89</xdr:row>
      <xdr:rowOff>39415</xdr:rowOff>
    </xdr:from>
    <xdr:ext cx="540000" cy="540000"/>
    <xdr:pic>
      <xdr:nvPicPr>
        <xdr:cNvPr id="134" name="图片 133"/>
        <xdr:cNvPicPr>
          <a:picLocks noChangeAspect="1"/>
        </xdr:cNvPicPr>
      </xdr:nvPicPr>
      <xdr:blipFill>
        <a:blip r:embed="rId29">
          <a:extLst>
            <a:ext uri="{28A0092B-C50C-407E-A947-70E740481C1C}">
              <a14:useLocalDpi xmlns:a14="http://schemas.microsoft.com/office/drawing/2010/main" val="0"/>
            </a:ext>
          </a:extLst>
        </a:blip>
        <a:stretch>
          <a:fillRect/>
        </a:stretch>
      </xdr:blipFill>
      <xdr:spPr>
        <a:xfrm>
          <a:off x="2221865" y="46140370"/>
          <a:ext cx="539750" cy="539750"/>
        </a:xfrm>
        <a:prstGeom prst="rect">
          <a:avLst/>
        </a:prstGeom>
      </xdr:spPr>
    </xdr:pic>
    <xdr:clientData/>
  </xdr:oneCellAnchor>
  <xdr:oneCellAnchor>
    <xdr:from>
      <xdr:col>3</xdr:col>
      <xdr:colOff>72259</xdr:colOff>
      <xdr:row>92</xdr:row>
      <xdr:rowOff>39414</xdr:rowOff>
    </xdr:from>
    <xdr:ext cx="540000" cy="540000"/>
    <xdr:pic>
      <xdr:nvPicPr>
        <xdr:cNvPr id="135" name="图片 134"/>
        <xdr:cNvPicPr>
          <a:picLocks noChangeAspect="1"/>
        </xdr:cNvPicPr>
      </xdr:nvPicPr>
      <xdr:blipFill>
        <a:blip r:embed="rId30">
          <a:extLst>
            <a:ext uri="{28A0092B-C50C-407E-A947-70E740481C1C}">
              <a14:useLocalDpi xmlns:a14="http://schemas.microsoft.com/office/drawing/2010/main" val="0"/>
            </a:ext>
          </a:extLst>
        </a:blip>
        <a:stretch>
          <a:fillRect/>
        </a:stretch>
      </xdr:blipFill>
      <xdr:spPr>
        <a:xfrm>
          <a:off x="2214880" y="48026320"/>
          <a:ext cx="540385" cy="539750"/>
        </a:xfrm>
        <a:prstGeom prst="rect">
          <a:avLst/>
        </a:prstGeom>
      </xdr:spPr>
    </xdr:pic>
    <xdr:clientData/>
  </xdr:oneCellAnchor>
  <xdr:oneCellAnchor>
    <xdr:from>
      <xdr:col>3</xdr:col>
      <xdr:colOff>65689</xdr:colOff>
      <xdr:row>93</xdr:row>
      <xdr:rowOff>39413</xdr:rowOff>
    </xdr:from>
    <xdr:ext cx="540000" cy="540000"/>
    <xdr:pic>
      <xdr:nvPicPr>
        <xdr:cNvPr id="136" name="图片 135"/>
        <xdr:cNvPicPr>
          <a:picLocks noChangeAspect="1"/>
        </xdr:cNvPicPr>
      </xdr:nvPicPr>
      <xdr:blipFill>
        <a:blip r:embed="rId31">
          <a:extLst>
            <a:ext uri="{28A0092B-C50C-407E-A947-70E740481C1C}">
              <a14:useLocalDpi xmlns:a14="http://schemas.microsoft.com/office/drawing/2010/main" val="0"/>
            </a:ext>
          </a:extLst>
        </a:blip>
        <a:stretch>
          <a:fillRect/>
        </a:stretch>
      </xdr:blipFill>
      <xdr:spPr>
        <a:xfrm>
          <a:off x="2208530" y="48654970"/>
          <a:ext cx="539750" cy="539750"/>
        </a:xfrm>
        <a:prstGeom prst="rect">
          <a:avLst/>
        </a:prstGeom>
      </xdr:spPr>
    </xdr:pic>
    <xdr:clientData/>
  </xdr:oneCellAnchor>
  <xdr:oneCellAnchor>
    <xdr:from>
      <xdr:col>3</xdr:col>
      <xdr:colOff>72259</xdr:colOff>
      <xdr:row>91</xdr:row>
      <xdr:rowOff>39414</xdr:rowOff>
    </xdr:from>
    <xdr:ext cx="540000" cy="540000"/>
    <xdr:pic>
      <xdr:nvPicPr>
        <xdr:cNvPr id="137" name="图片 136"/>
        <xdr:cNvPicPr>
          <a:picLocks noChangeAspect="1"/>
        </xdr:cNvPicPr>
      </xdr:nvPicPr>
      <xdr:blipFill>
        <a:blip r:embed="rId30">
          <a:extLst>
            <a:ext uri="{28A0092B-C50C-407E-A947-70E740481C1C}">
              <a14:useLocalDpi xmlns:a14="http://schemas.microsoft.com/office/drawing/2010/main" val="0"/>
            </a:ext>
          </a:extLst>
        </a:blip>
        <a:stretch>
          <a:fillRect/>
        </a:stretch>
      </xdr:blipFill>
      <xdr:spPr>
        <a:xfrm>
          <a:off x="2214880" y="47397670"/>
          <a:ext cx="540385" cy="539750"/>
        </a:xfrm>
        <a:prstGeom prst="rect">
          <a:avLst/>
        </a:prstGeom>
      </xdr:spPr>
    </xdr:pic>
    <xdr:clientData/>
  </xdr:oneCellAnchor>
  <xdr:oneCellAnchor>
    <xdr:from>
      <xdr:col>3</xdr:col>
      <xdr:colOff>65172</xdr:colOff>
      <xdr:row>94</xdr:row>
      <xdr:rowOff>45118</xdr:rowOff>
    </xdr:from>
    <xdr:ext cx="540000" cy="540000"/>
    <xdr:pic>
      <xdr:nvPicPr>
        <xdr:cNvPr id="138" name="图片 137"/>
        <xdr:cNvPicPr>
          <a:picLocks noChangeAspect="1"/>
        </xdr:cNvPicPr>
      </xdr:nvPicPr>
      <xdr:blipFill>
        <a:blip r:embed="rId32">
          <a:extLst>
            <a:ext uri="{28A0092B-C50C-407E-A947-70E740481C1C}">
              <a14:useLocalDpi xmlns:a14="http://schemas.microsoft.com/office/drawing/2010/main" val="0"/>
            </a:ext>
          </a:extLst>
        </a:blip>
        <a:stretch>
          <a:fillRect/>
        </a:stretch>
      </xdr:blipFill>
      <xdr:spPr>
        <a:xfrm>
          <a:off x="2207895" y="49289335"/>
          <a:ext cx="540385" cy="539750"/>
        </a:xfrm>
        <a:prstGeom prst="rect">
          <a:avLst/>
        </a:prstGeom>
      </xdr:spPr>
    </xdr:pic>
    <xdr:clientData/>
  </xdr:oneCellAnchor>
  <xdr:oneCellAnchor>
    <xdr:from>
      <xdr:col>3</xdr:col>
      <xdr:colOff>60158</xdr:colOff>
      <xdr:row>95</xdr:row>
      <xdr:rowOff>40105</xdr:rowOff>
    </xdr:from>
    <xdr:ext cx="540000" cy="540000"/>
    <xdr:pic>
      <xdr:nvPicPr>
        <xdr:cNvPr id="139" name="图片 138"/>
        <xdr:cNvPicPr>
          <a:picLocks noChangeAspect="1"/>
        </xdr:cNvPicPr>
      </xdr:nvPicPr>
      <xdr:blipFill>
        <a:blip r:embed="rId32">
          <a:extLst>
            <a:ext uri="{28A0092B-C50C-407E-A947-70E740481C1C}">
              <a14:useLocalDpi xmlns:a14="http://schemas.microsoft.com/office/drawing/2010/main" val="0"/>
            </a:ext>
          </a:extLst>
        </a:blip>
        <a:stretch>
          <a:fillRect/>
        </a:stretch>
      </xdr:blipFill>
      <xdr:spPr>
        <a:xfrm>
          <a:off x="2202815" y="49912905"/>
          <a:ext cx="540385" cy="539750"/>
        </a:xfrm>
        <a:prstGeom prst="rect">
          <a:avLst/>
        </a:prstGeom>
      </xdr:spPr>
    </xdr:pic>
    <xdr:clientData/>
  </xdr:oneCellAnchor>
  <xdr:oneCellAnchor>
    <xdr:from>
      <xdr:col>3</xdr:col>
      <xdr:colOff>75198</xdr:colOff>
      <xdr:row>97</xdr:row>
      <xdr:rowOff>35092</xdr:rowOff>
    </xdr:from>
    <xdr:ext cx="540000" cy="540000"/>
    <xdr:pic>
      <xdr:nvPicPr>
        <xdr:cNvPr id="140" name="图片 139"/>
        <xdr:cNvPicPr>
          <a:picLocks noChangeAspect="1"/>
        </xdr:cNvPicPr>
      </xdr:nvPicPr>
      <xdr:blipFill>
        <a:blip r:embed="rId33">
          <a:extLst>
            <a:ext uri="{28A0092B-C50C-407E-A947-70E740481C1C}">
              <a14:useLocalDpi xmlns:a14="http://schemas.microsoft.com/office/drawing/2010/main" val="0"/>
            </a:ext>
          </a:extLst>
        </a:blip>
        <a:stretch>
          <a:fillRect/>
        </a:stretch>
      </xdr:blipFill>
      <xdr:spPr>
        <a:xfrm>
          <a:off x="2218055" y="51165125"/>
          <a:ext cx="539750" cy="539750"/>
        </a:xfrm>
        <a:prstGeom prst="rect">
          <a:avLst/>
        </a:prstGeom>
      </xdr:spPr>
    </xdr:pic>
    <xdr:clientData/>
  </xdr:oneCellAnchor>
  <xdr:oneCellAnchor>
    <xdr:from>
      <xdr:col>3</xdr:col>
      <xdr:colOff>70184</xdr:colOff>
      <xdr:row>98</xdr:row>
      <xdr:rowOff>45119</xdr:rowOff>
    </xdr:from>
    <xdr:ext cx="540000" cy="540000"/>
    <xdr:pic>
      <xdr:nvPicPr>
        <xdr:cNvPr id="141" name="图片 140"/>
        <xdr:cNvPicPr>
          <a:picLocks noChangeAspect="1"/>
        </xdr:cNvPicPr>
      </xdr:nvPicPr>
      <xdr:blipFill>
        <a:blip r:embed="rId33">
          <a:extLst>
            <a:ext uri="{28A0092B-C50C-407E-A947-70E740481C1C}">
              <a14:useLocalDpi xmlns:a14="http://schemas.microsoft.com/office/drawing/2010/main" val="0"/>
            </a:ext>
          </a:extLst>
        </a:blip>
        <a:stretch>
          <a:fillRect/>
        </a:stretch>
      </xdr:blipFill>
      <xdr:spPr>
        <a:xfrm>
          <a:off x="2212975" y="51803935"/>
          <a:ext cx="539750" cy="539750"/>
        </a:xfrm>
        <a:prstGeom prst="rect">
          <a:avLst/>
        </a:prstGeom>
      </xdr:spPr>
    </xdr:pic>
    <xdr:clientData/>
  </xdr:oneCellAnchor>
  <xdr:oneCellAnchor>
    <xdr:from>
      <xdr:col>3</xdr:col>
      <xdr:colOff>65171</xdr:colOff>
      <xdr:row>103</xdr:row>
      <xdr:rowOff>50132</xdr:rowOff>
    </xdr:from>
    <xdr:ext cx="540000" cy="540000"/>
    <xdr:pic>
      <xdr:nvPicPr>
        <xdr:cNvPr id="142" name="图片 141"/>
        <xdr:cNvPicPr>
          <a:picLocks noChangeAspect="1"/>
        </xdr:cNvPicPr>
      </xdr:nvPicPr>
      <xdr:blipFill>
        <a:blip r:embed="rId34">
          <a:extLst>
            <a:ext uri="{28A0092B-C50C-407E-A947-70E740481C1C}">
              <a14:useLocalDpi xmlns:a14="http://schemas.microsoft.com/office/drawing/2010/main" val="0"/>
            </a:ext>
          </a:extLst>
        </a:blip>
        <a:stretch>
          <a:fillRect/>
        </a:stretch>
      </xdr:blipFill>
      <xdr:spPr>
        <a:xfrm>
          <a:off x="2207895" y="54951630"/>
          <a:ext cx="540385" cy="540385"/>
        </a:xfrm>
        <a:prstGeom prst="rect">
          <a:avLst/>
        </a:prstGeom>
      </xdr:spPr>
    </xdr:pic>
    <xdr:clientData/>
  </xdr:oneCellAnchor>
  <xdr:oneCellAnchor>
    <xdr:from>
      <xdr:col>3</xdr:col>
      <xdr:colOff>65171</xdr:colOff>
      <xdr:row>104</xdr:row>
      <xdr:rowOff>35093</xdr:rowOff>
    </xdr:from>
    <xdr:ext cx="540000" cy="540000"/>
    <xdr:pic>
      <xdr:nvPicPr>
        <xdr:cNvPr id="143" name="图片 142"/>
        <xdr:cNvPicPr>
          <a:picLocks noChangeAspect="1"/>
        </xdr:cNvPicPr>
      </xdr:nvPicPr>
      <xdr:blipFill>
        <a:blip r:embed="rId35">
          <a:extLst>
            <a:ext uri="{28A0092B-C50C-407E-A947-70E740481C1C}">
              <a14:useLocalDpi xmlns:a14="http://schemas.microsoft.com/office/drawing/2010/main" val="0"/>
            </a:ext>
          </a:extLst>
        </a:blip>
        <a:stretch>
          <a:fillRect/>
        </a:stretch>
      </xdr:blipFill>
      <xdr:spPr>
        <a:xfrm>
          <a:off x="2207895" y="55565675"/>
          <a:ext cx="540385" cy="539750"/>
        </a:xfrm>
        <a:prstGeom prst="rect">
          <a:avLst/>
        </a:prstGeom>
      </xdr:spPr>
    </xdr:pic>
    <xdr:clientData/>
  </xdr:oneCellAnchor>
  <xdr:oneCellAnchor>
    <xdr:from>
      <xdr:col>3</xdr:col>
      <xdr:colOff>50131</xdr:colOff>
      <xdr:row>107</xdr:row>
      <xdr:rowOff>35093</xdr:rowOff>
    </xdr:from>
    <xdr:ext cx="540000" cy="540000"/>
    <xdr:pic>
      <xdr:nvPicPr>
        <xdr:cNvPr id="144" name="图片 143"/>
        <xdr:cNvPicPr>
          <a:picLocks noChangeAspect="1"/>
        </xdr:cNvPicPr>
      </xdr:nvPicPr>
      <xdr:blipFill>
        <a:blip r:embed="rId36">
          <a:extLst>
            <a:ext uri="{28A0092B-C50C-407E-A947-70E740481C1C}">
              <a14:useLocalDpi xmlns:a14="http://schemas.microsoft.com/office/drawing/2010/main" val="0"/>
            </a:ext>
          </a:extLst>
        </a:blip>
        <a:stretch>
          <a:fillRect/>
        </a:stretch>
      </xdr:blipFill>
      <xdr:spPr>
        <a:xfrm>
          <a:off x="2192655" y="57451625"/>
          <a:ext cx="540385" cy="539750"/>
        </a:xfrm>
        <a:prstGeom prst="rect">
          <a:avLst/>
        </a:prstGeom>
      </xdr:spPr>
    </xdr:pic>
    <xdr:clientData/>
  </xdr:oneCellAnchor>
  <xdr:oneCellAnchor>
    <xdr:from>
      <xdr:col>3</xdr:col>
      <xdr:colOff>70184</xdr:colOff>
      <xdr:row>109</xdr:row>
      <xdr:rowOff>45119</xdr:rowOff>
    </xdr:from>
    <xdr:ext cx="540000" cy="540000"/>
    <xdr:pic>
      <xdr:nvPicPr>
        <xdr:cNvPr id="145" name="图片 144"/>
        <xdr:cNvPicPr>
          <a:picLocks noChangeAspect="1"/>
        </xdr:cNvPicPr>
      </xdr:nvPicPr>
      <xdr:blipFill>
        <a:blip r:embed="rId37">
          <a:extLst>
            <a:ext uri="{28A0092B-C50C-407E-A947-70E740481C1C}">
              <a14:useLocalDpi xmlns:a14="http://schemas.microsoft.com/office/drawing/2010/main" val="0"/>
            </a:ext>
          </a:extLst>
        </a:blip>
        <a:stretch>
          <a:fillRect/>
        </a:stretch>
      </xdr:blipFill>
      <xdr:spPr>
        <a:xfrm>
          <a:off x="2212975" y="58719085"/>
          <a:ext cx="539750" cy="539750"/>
        </a:xfrm>
        <a:prstGeom prst="rect">
          <a:avLst/>
        </a:prstGeom>
      </xdr:spPr>
    </xdr:pic>
    <xdr:clientData/>
  </xdr:oneCellAnchor>
  <xdr:oneCellAnchor>
    <xdr:from>
      <xdr:col>3</xdr:col>
      <xdr:colOff>65170</xdr:colOff>
      <xdr:row>106</xdr:row>
      <xdr:rowOff>40105</xdr:rowOff>
    </xdr:from>
    <xdr:ext cx="540000" cy="540000"/>
    <xdr:pic>
      <xdr:nvPicPr>
        <xdr:cNvPr id="146" name="图片 145"/>
        <xdr:cNvPicPr>
          <a:picLocks noChangeAspect="1"/>
        </xdr:cNvPicPr>
      </xdr:nvPicPr>
      <xdr:blipFill>
        <a:blip r:embed="rId36">
          <a:extLst>
            <a:ext uri="{28A0092B-C50C-407E-A947-70E740481C1C}">
              <a14:useLocalDpi xmlns:a14="http://schemas.microsoft.com/office/drawing/2010/main" val="0"/>
            </a:ext>
          </a:extLst>
        </a:blip>
        <a:stretch>
          <a:fillRect/>
        </a:stretch>
      </xdr:blipFill>
      <xdr:spPr>
        <a:xfrm>
          <a:off x="2207895" y="56828055"/>
          <a:ext cx="540385" cy="539750"/>
        </a:xfrm>
        <a:prstGeom prst="rect">
          <a:avLst/>
        </a:prstGeom>
      </xdr:spPr>
    </xdr:pic>
    <xdr:clientData/>
  </xdr:oneCellAnchor>
  <xdr:oneCellAnchor>
    <xdr:from>
      <xdr:col>3</xdr:col>
      <xdr:colOff>90237</xdr:colOff>
      <xdr:row>110</xdr:row>
      <xdr:rowOff>40105</xdr:rowOff>
    </xdr:from>
    <xdr:ext cx="540000" cy="540000"/>
    <xdr:pic>
      <xdr:nvPicPr>
        <xdr:cNvPr id="147" name="图片 146"/>
        <xdr:cNvPicPr>
          <a:picLocks noChangeAspect="1"/>
        </xdr:cNvPicPr>
      </xdr:nvPicPr>
      <xdr:blipFill>
        <a:blip r:embed="rId37">
          <a:extLst>
            <a:ext uri="{28A0092B-C50C-407E-A947-70E740481C1C}">
              <a14:useLocalDpi xmlns:a14="http://schemas.microsoft.com/office/drawing/2010/main" val="0"/>
            </a:ext>
          </a:extLst>
        </a:blip>
        <a:stretch>
          <a:fillRect/>
        </a:stretch>
      </xdr:blipFill>
      <xdr:spPr>
        <a:xfrm>
          <a:off x="2233295" y="59342655"/>
          <a:ext cx="539750" cy="539750"/>
        </a:xfrm>
        <a:prstGeom prst="rect">
          <a:avLst/>
        </a:prstGeom>
      </xdr:spPr>
    </xdr:pic>
    <xdr:clientData/>
  </xdr:oneCellAnchor>
  <xdr:oneCellAnchor>
    <xdr:from>
      <xdr:col>3</xdr:col>
      <xdr:colOff>70185</xdr:colOff>
      <xdr:row>112</xdr:row>
      <xdr:rowOff>40105</xdr:rowOff>
    </xdr:from>
    <xdr:ext cx="540000" cy="540000"/>
    <xdr:pic>
      <xdr:nvPicPr>
        <xdr:cNvPr id="148" name="图片 147"/>
        <xdr:cNvPicPr>
          <a:picLocks noChangeAspect="1"/>
        </xdr:cNvPicPr>
      </xdr:nvPicPr>
      <xdr:blipFill>
        <a:blip r:embed="rId38">
          <a:extLst>
            <a:ext uri="{28A0092B-C50C-407E-A947-70E740481C1C}">
              <a14:useLocalDpi xmlns:a14="http://schemas.microsoft.com/office/drawing/2010/main" val="0"/>
            </a:ext>
          </a:extLst>
        </a:blip>
        <a:stretch>
          <a:fillRect/>
        </a:stretch>
      </xdr:blipFill>
      <xdr:spPr>
        <a:xfrm>
          <a:off x="2212975" y="60599955"/>
          <a:ext cx="539750" cy="539750"/>
        </a:xfrm>
        <a:prstGeom prst="rect">
          <a:avLst/>
        </a:prstGeom>
      </xdr:spPr>
    </xdr:pic>
    <xdr:clientData/>
  </xdr:oneCellAnchor>
  <xdr:oneCellAnchor>
    <xdr:from>
      <xdr:col>3</xdr:col>
      <xdr:colOff>75198</xdr:colOff>
      <xdr:row>113</xdr:row>
      <xdr:rowOff>45117</xdr:rowOff>
    </xdr:from>
    <xdr:ext cx="540000" cy="540000"/>
    <xdr:pic>
      <xdr:nvPicPr>
        <xdr:cNvPr id="149" name="图片 148"/>
        <xdr:cNvPicPr>
          <a:picLocks noChangeAspect="1"/>
        </xdr:cNvPicPr>
      </xdr:nvPicPr>
      <xdr:blipFill>
        <a:blip r:embed="rId38">
          <a:extLst>
            <a:ext uri="{28A0092B-C50C-407E-A947-70E740481C1C}">
              <a14:useLocalDpi xmlns:a14="http://schemas.microsoft.com/office/drawing/2010/main" val="0"/>
            </a:ext>
          </a:extLst>
        </a:blip>
        <a:stretch>
          <a:fillRect/>
        </a:stretch>
      </xdr:blipFill>
      <xdr:spPr>
        <a:xfrm>
          <a:off x="2218055" y="61233685"/>
          <a:ext cx="539750" cy="539750"/>
        </a:xfrm>
        <a:prstGeom prst="rect">
          <a:avLst/>
        </a:prstGeom>
      </xdr:spPr>
    </xdr:pic>
    <xdr:clientData/>
  </xdr:oneCellAnchor>
  <xdr:oneCellAnchor>
    <xdr:from>
      <xdr:col>3</xdr:col>
      <xdr:colOff>70184</xdr:colOff>
      <xdr:row>115</xdr:row>
      <xdr:rowOff>40105</xdr:rowOff>
    </xdr:from>
    <xdr:ext cx="540000" cy="540000"/>
    <xdr:pic>
      <xdr:nvPicPr>
        <xdr:cNvPr id="150" name="图片 149"/>
        <xdr:cNvPicPr>
          <a:picLocks noChangeAspect="1"/>
        </xdr:cNvPicPr>
      </xdr:nvPicPr>
      <xdr:blipFill>
        <a:blip r:embed="rId39">
          <a:extLst>
            <a:ext uri="{28A0092B-C50C-407E-A947-70E740481C1C}">
              <a14:useLocalDpi xmlns:a14="http://schemas.microsoft.com/office/drawing/2010/main" val="0"/>
            </a:ext>
          </a:extLst>
        </a:blip>
        <a:stretch>
          <a:fillRect/>
        </a:stretch>
      </xdr:blipFill>
      <xdr:spPr>
        <a:xfrm>
          <a:off x="2212975" y="62485905"/>
          <a:ext cx="539750" cy="539750"/>
        </a:xfrm>
        <a:prstGeom prst="rect">
          <a:avLst/>
        </a:prstGeom>
      </xdr:spPr>
    </xdr:pic>
    <xdr:clientData/>
  </xdr:oneCellAnchor>
  <xdr:oneCellAnchor>
    <xdr:from>
      <xdr:col>3</xdr:col>
      <xdr:colOff>75197</xdr:colOff>
      <xdr:row>116</xdr:row>
      <xdr:rowOff>40105</xdr:rowOff>
    </xdr:from>
    <xdr:ext cx="540000" cy="540000"/>
    <xdr:pic>
      <xdr:nvPicPr>
        <xdr:cNvPr id="151" name="图片 150"/>
        <xdr:cNvPicPr>
          <a:picLocks noChangeAspect="1"/>
        </xdr:cNvPicPr>
      </xdr:nvPicPr>
      <xdr:blipFill>
        <a:blip r:embed="rId39">
          <a:extLst>
            <a:ext uri="{28A0092B-C50C-407E-A947-70E740481C1C}">
              <a14:useLocalDpi xmlns:a14="http://schemas.microsoft.com/office/drawing/2010/main" val="0"/>
            </a:ext>
          </a:extLst>
        </a:blip>
        <a:stretch>
          <a:fillRect/>
        </a:stretch>
      </xdr:blipFill>
      <xdr:spPr>
        <a:xfrm>
          <a:off x="2218055" y="63114555"/>
          <a:ext cx="539750" cy="539750"/>
        </a:xfrm>
        <a:prstGeom prst="rect">
          <a:avLst/>
        </a:prstGeom>
      </xdr:spPr>
    </xdr:pic>
    <xdr:clientData/>
  </xdr:oneCellAnchor>
  <xdr:oneCellAnchor>
    <xdr:from>
      <xdr:col>3</xdr:col>
      <xdr:colOff>75198</xdr:colOff>
      <xdr:row>118</xdr:row>
      <xdr:rowOff>50132</xdr:rowOff>
    </xdr:from>
    <xdr:ext cx="540000" cy="540000"/>
    <xdr:pic>
      <xdr:nvPicPr>
        <xdr:cNvPr id="152" name="图片 151"/>
        <xdr:cNvPicPr>
          <a:picLocks noChangeAspect="1"/>
        </xdr:cNvPicPr>
      </xdr:nvPicPr>
      <xdr:blipFill>
        <a:blip r:embed="rId40">
          <a:extLst>
            <a:ext uri="{28A0092B-C50C-407E-A947-70E740481C1C}">
              <a14:useLocalDpi xmlns:a14="http://schemas.microsoft.com/office/drawing/2010/main" val="0"/>
            </a:ext>
          </a:extLst>
        </a:blip>
        <a:stretch>
          <a:fillRect/>
        </a:stretch>
      </xdr:blipFill>
      <xdr:spPr>
        <a:xfrm>
          <a:off x="2218055" y="64381380"/>
          <a:ext cx="539750" cy="540385"/>
        </a:xfrm>
        <a:prstGeom prst="rect">
          <a:avLst/>
        </a:prstGeom>
      </xdr:spPr>
    </xdr:pic>
    <xdr:clientData/>
  </xdr:oneCellAnchor>
  <xdr:oneCellAnchor>
    <xdr:from>
      <xdr:col>3</xdr:col>
      <xdr:colOff>60157</xdr:colOff>
      <xdr:row>117</xdr:row>
      <xdr:rowOff>35092</xdr:rowOff>
    </xdr:from>
    <xdr:ext cx="540000" cy="540000"/>
    <xdr:pic>
      <xdr:nvPicPr>
        <xdr:cNvPr id="153" name="图片 152"/>
        <xdr:cNvPicPr>
          <a:picLocks noChangeAspect="1"/>
        </xdr:cNvPicPr>
      </xdr:nvPicPr>
      <xdr:blipFill>
        <a:blip r:embed="rId39">
          <a:extLst>
            <a:ext uri="{28A0092B-C50C-407E-A947-70E740481C1C}">
              <a14:useLocalDpi xmlns:a14="http://schemas.microsoft.com/office/drawing/2010/main" val="0"/>
            </a:ext>
          </a:extLst>
        </a:blip>
        <a:stretch>
          <a:fillRect/>
        </a:stretch>
      </xdr:blipFill>
      <xdr:spPr>
        <a:xfrm>
          <a:off x="2202815" y="63738125"/>
          <a:ext cx="540385" cy="539750"/>
        </a:xfrm>
        <a:prstGeom prst="rect">
          <a:avLst/>
        </a:prstGeom>
      </xdr:spPr>
    </xdr:pic>
    <xdr:clientData/>
  </xdr:oneCellAnchor>
  <xdr:oneCellAnchor>
    <xdr:from>
      <xdr:col>3</xdr:col>
      <xdr:colOff>70184</xdr:colOff>
      <xdr:row>119</xdr:row>
      <xdr:rowOff>40105</xdr:rowOff>
    </xdr:from>
    <xdr:ext cx="540000" cy="540000"/>
    <xdr:pic>
      <xdr:nvPicPr>
        <xdr:cNvPr id="154" name="图片 153"/>
        <xdr:cNvPicPr>
          <a:picLocks noChangeAspect="1"/>
        </xdr:cNvPicPr>
      </xdr:nvPicPr>
      <xdr:blipFill>
        <a:blip r:embed="rId41">
          <a:extLst>
            <a:ext uri="{28A0092B-C50C-407E-A947-70E740481C1C}">
              <a14:useLocalDpi xmlns:a14="http://schemas.microsoft.com/office/drawing/2010/main" val="0"/>
            </a:ext>
          </a:extLst>
        </a:blip>
        <a:stretch>
          <a:fillRect/>
        </a:stretch>
      </xdr:blipFill>
      <xdr:spPr>
        <a:xfrm>
          <a:off x="2212975" y="65000505"/>
          <a:ext cx="539750" cy="539750"/>
        </a:xfrm>
        <a:prstGeom prst="rect">
          <a:avLst/>
        </a:prstGeom>
      </xdr:spPr>
    </xdr:pic>
    <xdr:clientData/>
  </xdr:oneCellAnchor>
  <xdr:oneCellAnchor>
    <xdr:from>
      <xdr:col>3</xdr:col>
      <xdr:colOff>95250</xdr:colOff>
      <xdr:row>120</xdr:row>
      <xdr:rowOff>40105</xdr:rowOff>
    </xdr:from>
    <xdr:ext cx="540000" cy="540000"/>
    <xdr:pic>
      <xdr:nvPicPr>
        <xdr:cNvPr id="155" name="图片 154"/>
        <xdr:cNvPicPr>
          <a:picLocks noChangeAspect="1"/>
        </xdr:cNvPicPr>
      </xdr:nvPicPr>
      <xdr:blipFill>
        <a:blip r:embed="rId42">
          <a:extLst>
            <a:ext uri="{28A0092B-C50C-407E-A947-70E740481C1C}">
              <a14:useLocalDpi xmlns:a14="http://schemas.microsoft.com/office/drawing/2010/main" val="0"/>
            </a:ext>
          </a:extLst>
        </a:blip>
        <a:stretch>
          <a:fillRect/>
        </a:stretch>
      </xdr:blipFill>
      <xdr:spPr>
        <a:xfrm>
          <a:off x="2238375" y="65629155"/>
          <a:ext cx="539750" cy="539750"/>
        </a:xfrm>
        <a:prstGeom prst="rect">
          <a:avLst/>
        </a:prstGeom>
      </xdr:spPr>
    </xdr:pic>
    <xdr:clientData/>
  </xdr:oneCellAnchor>
  <xdr:oneCellAnchor>
    <xdr:from>
      <xdr:col>3</xdr:col>
      <xdr:colOff>70185</xdr:colOff>
      <xdr:row>121</xdr:row>
      <xdr:rowOff>45118</xdr:rowOff>
    </xdr:from>
    <xdr:ext cx="540000" cy="540000"/>
    <xdr:pic>
      <xdr:nvPicPr>
        <xdr:cNvPr id="156" name="图片 155"/>
        <xdr:cNvPicPr>
          <a:picLocks noChangeAspect="1"/>
        </xdr:cNvPicPr>
      </xdr:nvPicPr>
      <xdr:blipFill>
        <a:blip r:embed="rId43">
          <a:extLst>
            <a:ext uri="{28A0092B-C50C-407E-A947-70E740481C1C}">
              <a14:useLocalDpi xmlns:a14="http://schemas.microsoft.com/office/drawing/2010/main" val="0"/>
            </a:ext>
          </a:extLst>
        </a:blip>
        <a:stretch>
          <a:fillRect/>
        </a:stretch>
      </xdr:blipFill>
      <xdr:spPr>
        <a:xfrm>
          <a:off x="2212975" y="66262885"/>
          <a:ext cx="539750" cy="539750"/>
        </a:xfrm>
        <a:prstGeom prst="rect">
          <a:avLst/>
        </a:prstGeom>
      </xdr:spPr>
    </xdr:pic>
    <xdr:clientData/>
  </xdr:oneCellAnchor>
  <xdr:oneCellAnchor>
    <xdr:from>
      <xdr:col>3</xdr:col>
      <xdr:colOff>70184</xdr:colOff>
      <xdr:row>122</xdr:row>
      <xdr:rowOff>35092</xdr:rowOff>
    </xdr:from>
    <xdr:ext cx="540000" cy="540000"/>
    <xdr:pic>
      <xdr:nvPicPr>
        <xdr:cNvPr id="157" name="图片 156"/>
        <xdr:cNvPicPr>
          <a:picLocks noChangeAspect="1"/>
        </xdr:cNvPicPr>
      </xdr:nvPicPr>
      <xdr:blipFill>
        <a:blip r:embed="rId43">
          <a:extLst>
            <a:ext uri="{28A0092B-C50C-407E-A947-70E740481C1C}">
              <a14:useLocalDpi xmlns:a14="http://schemas.microsoft.com/office/drawing/2010/main" val="0"/>
            </a:ext>
          </a:extLst>
        </a:blip>
        <a:stretch>
          <a:fillRect/>
        </a:stretch>
      </xdr:blipFill>
      <xdr:spPr>
        <a:xfrm>
          <a:off x="2212975" y="66881375"/>
          <a:ext cx="539750" cy="539750"/>
        </a:xfrm>
        <a:prstGeom prst="rect">
          <a:avLst/>
        </a:prstGeom>
      </xdr:spPr>
    </xdr:pic>
    <xdr:clientData/>
  </xdr:oneCellAnchor>
  <xdr:oneCellAnchor>
    <xdr:from>
      <xdr:col>3</xdr:col>
      <xdr:colOff>75198</xdr:colOff>
      <xdr:row>124</xdr:row>
      <xdr:rowOff>40105</xdr:rowOff>
    </xdr:from>
    <xdr:ext cx="540000" cy="540000"/>
    <xdr:pic>
      <xdr:nvPicPr>
        <xdr:cNvPr id="158" name="图片 157"/>
        <xdr:cNvPicPr>
          <a:picLocks noChangeAspect="1"/>
        </xdr:cNvPicPr>
      </xdr:nvPicPr>
      <xdr:blipFill>
        <a:blip r:embed="rId44">
          <a:extLst>
            <a:ext uri="{28A0092B-C50C-407E-A947-70E740481C1C}">
              <a14:useLocalDpi xmlns:a14="http://schemas.microsoft.com/office/drawing/2010/main" val="0"/>
            </a:ext>
          </a:extLst>
        </a:blip>
        <a:stretch>
          <a:fillRect/>
        </a:stretch>
      </xdr:blipFill>
      <xdr:spPr>
        <a:xfrm>
          <a:off x="2218055" y="68143755"/>
          <a:ext cx="539750" cy="539750"/>
        </a:xfrm>
        <a:prstGeom prst="rect">
          <a:avLst/>
        </a:prstGeom>
      </xdr:spPr>
    </xdr:pic>
    <xdr:clientData/>
  </xdr:oneCellAnchor>
  <xdr:oneCellAnchor>
    <xdr:from>
      <xdr:col>3</xdr:col>
      <xdr:colOff>65172</xdr:colOff>
      <xdr:row>126</xdr:row>
      <xdr:rowOff>35092</xdr:rowOff>
    </xdr:from>
    <xdr:ext cx="540000" cy="540000"/>
    <xdr:pic>
      <xdr:nvPicPr>
        <xdr:cNvPr id="159" name="图片 158"/>
        <xdr:cNvPicPr>
          <a:picLocks noChangeAspect="1"/>
        </xdr:cNvPicPr>
      </xdr:nvPicPr>
      <xdr:blipFill>
        <a:blip r:embed="rId45">
          <a:extLst>
            <a:ext uri="{28A0092B-C50C-407E-A947-70E740481C1C}">
              <a14:useLocalDpi xmlns:a14="http://schemas.microsoft.com/office/drawing/2010/main" val="0"/>
            </a:ext>
          </a:extLst>
        </a:blip>
        <a:stretch>
          <a:fillRect/>
        </a:stretch>
      </xdr:blipFill>
      <xdr:spPr>
        <a:xfrm>
          <a:off x="2207895" y="69395975"/>
          <a:ext cx="540385" cy="539750"/>
        </a:xfrm>
        <a:prstGeom prst="rect">
          <a:avLst/>
        </a:prstGeom>
      </xdr:spPr>
    </xdr:pic>
    <xdr:clientData/>
  </xdr:oneCellAnchor>
  <xdr:oneCellAnchor>
    <xdr:from>
      <xdr:col>3</xdr:col>
      <xdr:colOff>65171</xdr:colOff>
      <xdr:row>125</xdr:row>
      <xdr:rowOff>35092</xdr:rowOff>
    </xdr:from>
    <xdr:ext cx="540000" cy="540000"/>
    <xdr:pic>
      <xdr:nvPicPr>
        <xdr:cNvPr id="160" name="图片 159"/>
        <xdr:cNvPicPr>
          <a:picLocks noChangeAspect="1"/>
        </xdr:cNvPicPr>
      </xdr:nvPicPr>
      <xdr:blipFill>
        <a:blip r:embed="rId44">
          <a:extLst>
            <a:ext uri="{28A0092B-C50C-407E-A947-70E740481C1C}">
              <a14:useLocalDpi xmlns:a14="http://schemas.microsoft.com/office/drawing/2010/main" val="0"/>
            </a:ext>
          </a:extLst>
        </a:blip>
        <a:stretch>
          <a:fillRect/>
        </a:stretch>
      </xdr:blipFill>
      <xdr:spPr>
        <a:xfrm>
          <a:off x="2207895" y="68767325"/>
          <a:ext cx="540385" cy="539750"/>
        </a:xfrm>
        <a:prstGeom prst="rect">
          <a:avLst/>
        </a:prstGeom>
      </xdr:spPr>
    </xdr:pic>
    <xdr:clientData/>
  </xdr:oneCellAnchor>
  <xdr:oneCellAnchor>
    <xdr:from>
      <xdr:col>3</xdr:col>
      <xdr:colOff>55145</xdr:colOff>
      <xdr:row>128</xdr:row>
      <xdr:rowOff>40106</xdr:rowOff>
    </xdr:from>
    <xdr:ext cx="540000" cy="540000"/>
    <xdr:pic>
      <xdr:nvPicPr>
        <xdr:cNvPr id="161" name="图片 160"/>
        <xdr:cNvPicPr>
          <a:picLocks noChangeAspect="1"/>
        </xdr:cNvPicPr>
      </xdr:nvPicPr>
      <xdr:blipFill>
        <a:blip r:embed="rId46">
          <a:extLst>
            <a:ext uri="{28A0092B-C50C-407E-A947-70E740481C1C}">
              <a14:useLocalDpi xmlns:a14="http://schemas.microsoft.com/office/drawing/2010/main" val="0"/>
            </a:ext>
          </a:extLst>
        </a:blip>
        <a:stretch>
          <a:fillRect/>
        </a:stretch>
      </xdr:blipFill>
      <xdr:spPr>
        <a:xfrm>
          <a:off x="2197735" y="70658355"/>
          <a:ext cx="540385" cy="539750"/>
        </a:xfrm>
        <a:prstGeom prst="rect">
          <a:avLst/>
        </a:prstGeom>
      </xdr:spPr>
    </xdr:pic>
    <xdr:clientData/>
  </xdr:oneCellAnchor>
  <xdr:oneCellAnchor>
    <xdr:from>
      <xdr:col>3</xdr:col>
      <xdr:colOff>75198</xdr:colOff>
      <xdr:row>130</xdr:row>
      <xdr:rowOff>35092</xdr:rowOff>
    </xdr:from>
    <xdr:ext cx="540000" cy="540000"/>
    <xdr:pic>
      <xdr:nvPicPr>
        <xdr:cNvPr id="162" name="图片 161"/>
        <xdr:cNvPicPr>
          <a:picLocks noChangeAspect="1"/>
        </xdr:cNvPicPr>
      </xdr:nvPicPr>
      <xdr:blipFill>
        <a:blip r:embed="rId47">
          <a:extLst>
            <a:ext uri="{28A0092B-C50C-407E-A947-70E740481C1C}">
              <a14:useLocalDpi xmlns:a14="http://schemas.microsoft.com/office/drawing/2010/main" val="0"/>
            </a:ext>
          </a:extLst>
        </a:blip>
        <a:stretch>
          <a:fillRect/>
        </a:stretch>
      </xdr:blipFill>
      <xdr:spPr>
        <a:xfrm>
          <a:off x="2218055" y="71910575"/>
          <a:ext cx="539750" cy="539750"/>
        </a:xfrm>
        <a:prstGeom prst="rect">
          <a:avLst/>
        </a:prstGeom>
      </xdr:spPr>
    </xdr:pic>
    <xdr:clientData/>
  </xdr:oneCellAnchor>
  <xdr:oneCellAnchor>
    <xdr:from>
      <xdr:col>3</xdr:col>
      <xdr:colOff>65171</xdr:colOff>
      <xdr:row>127</xdr:row>
      <xdr:rowOff>40105</xdr:rowOff>
    </xdr:from>
    <xdr:ext cx="540000" cy="540000"/>
    <xdr:pic>
      <xdr:nvPicPr>
        <xdr:cNvPr id="163" name="图片 162"/>
        <xdr:cNvPicPr>
          <a:picLocks noChangeAspect="1"/>
        </xdr:cNvPicPr>
      </xdr:nvPicPr>
      <xdr:blipFill>
        <a:blip r:embed="rId46">
          <a:extLst>
            <a:ext uri="{28A0092B-C50C-407E-A947-70E740481C1C}">
              <a14:useLocalDpi xmlns:a14="http://schemas.microsoft.com/office/drawing/2010/main" val="0"/>
            </a:ext>
          </a:extLst>
        </a:blip>
        <a:stretch>
          <a:fillRect/>
        </a:stretch>
      </xdr:blipFill>
      <xdr:spPr>
        <a:xfrm>
          <a:off x="2207895" y="70029705"/>
          <a:ext cx="540385" cy="539750"/>
        </a:xfrm>
        <a:prstGeom prst="rect">
          <a:avLst/>
        </a:prstGeom>
      </xdr:spPr>
    </xdr:pic>
    <xdr:clientData/>
  </xdr:oneCellAnchor>
  <xdr:oneCellAnchor>
    <xdr:from>
      <xdr:col>3</xdr:col>
      <xdr:colOff>70184</xdr:colOff>
      <xdr:row>131</xdr:row>
      <xdr:rowOff>40105</xdr:rowOff>
    </xdr:from>
    <xdr:ext cx="540000" cy="540000"/>
    <xdr:pic>
      <xdr:nvPicPr>
        <xdr:cNvPr id="164" name="图片 163"/>
        <xdr:cNvPicPr>
          <a:picLocks noChangeAspect="1"/>
        </xdr:cNvPicPr>
      </xdr:nvPicPr>
      <xdr:blipFill>
        <a:blip r:embed="rId47">
          <a:extLst>
            <a:ext uri="{28A0092B-C50C-407E-A947-70E740481C1C}">
              <a14:useLocalDpi xmlns:a14="http://schemas.microsoft.com/office/drawing/2010/main" val="0"/>
            </a:ext>
          </a:extLst>
        </a:blip>
        <a:stretch>
          <a:fillRect/>
        </a:stretch>
      </xdr:blipFill>
      <xdr:spPr>
        <a:xfrm>
          <a:off x="2212975" y="72544305"/>
          <a:ext cx="539750" cy="539750"/>
        </a:xfrm>
        <a:prstGeom prst="rect">
          <a:avLst/>
        </a:prstGeom>
      </xdr:spPr>
    </xdr:pic>
    <xdr:clientData/>
  </xdr:oneCellAnchor>
  <xdr:oneCellAnchor>
    <xdr:from>
      <xdr:col>3</xdr:col>
      <xdr:colOff>65171</xdr:colOff>
      <xdr:row>132</xdr:row>
      <xdr:rowOff>40106</xdr:rowOff>
    </xdr:from>
    <xdr:ext cx="540000" cy="540000"/>
    <xdr:pic>
      <xdr:nvPicPr>
        <xdr:cNvPr id="165" name="图片 164"/>
        <xdr:cNvPicPr>
          <a:picLocks noChangeAspect="1"/>
        </xdr:cNvPicPr>
      </xdr:nvPicPr>
      <xdr:blipFill>
        <a:blip r:embed="rId47">
          <a:extLst>
            <a:ext uri="{28A0092B-C50C-407E-A947-70E740481C1C}">
              <a14:useLocalDpi xmlns:a14="http://schemas.microsoft.com/office/drawing/2010/main" val="0"/>
            </a:ext>
          </a:extLst>
        </a:blip>
        <a:stretch>
          <a:fillRect/>
        </a:stretch>
      </xdr:blipFill>
      <xdr:spPr>
        <a:xfrm>
          <a:off x="2207895" y="73172955"/>
          <a:ext cx="540385" cy="539750"/>
        </a:xfrm>
        <a:prstGeom prst="rect">
          <a:avLst/>
        </a:prstGeom>
      </xdr:spPr>
    </xdr:pic>
    <xdr:clientData/>
  </xdr:oneCellAnchor>
  <xdr:oneCellAnchor>
    <xdr:from>
      <xdr:col>3</xdr:col>
      <xdr:colOff>65171</xdr:colOff>
      <xdr:row>133</xdr:row>
      <xdr:rowOff>50131</xdr:rowOff>
    </xdr:from>
    <xdr:ext cx="540000" cy="540000"/>
    <xdr:pic>
      <xdr:nvPicPr>
        <xdr:cNvPr id="166" name="图片 165"/>
        <xdr:cNvPicPr>
          <a:picLocks noChangeAspect="1"/>
        </xdr:cNvPicPr>
      </xdr:nvPicPr>
      <xdr:blipFill>
        <a:blip r:embed="rId48">
          <a:extLst>
            <a:ext uri="{28A0092B-C50C-407E-A947-70E740481C1C}">
              <a14:useLocalDpi xmlns:a14="http://schemas.microsoft.com/office/drawing/2010/main" val="0"/>
            </a:ext>
          </a:extLst>
        </a:blip>
        <a:stretch>
          <a:fillRect/>
        </a:stretch>
      </xdr:blipFill>
      <xdr:spPr>
        <a:xfrm>
          <a:off x="2207895" y="73811130"/>
          <a:ext cx="540385" cy="540385"/>
        </a:xfrm>
        <a:prstGeom prst="rect">
          <a:avLst/>
        </a:prstGeom>
      </xdr:spPr>
    </xdr:pic>
    <xdr:clientData/>
  </xdr:oneCellAnchor>
  <xdr:oneCellAnchor>
    <xdr:from>
      <xdr:col>3</xdr:col>
      <xdr:colOff>65171</xdr:colOff>
      <xdr:row>134</xdr:row>
      <xdr:rowOff>50132</xdr:rowOff>
    </xdr:from>
    <xdr:ext cx="540000" cy="540000"/>
    <xdr:pic>
      <xdr:nvPicPr>
        <xdr:cNvPr id="167" name="图片 166"/>
        <xdr:cNvPicPr>
          <a:picLocks noChangeAspect="1"/>
        </xdr:cNvPicPr>
      </xdr:nvPicPr>
      <xdr:blipFill>
        <a:blip r:embed="rId48">
          <a:extLst>
            <a:ext uri="{28A0092B-C50C-407E-A947-70E740481C1C}">
              <a14:useLocalDpi xmlns:a14="http://schemas.microsoft.com/office/drawing/2010/main" val="0"/>
            </a:ext>
          </a:extLst>
        </a:blip>
        <a:stretch>
          <a:fillRect/>
        </a:stretch>
      </xdr:blipFill>
      <xdr:spPr>
        <a:xfrm>
          <a:off x="2207895" y="74439780"/>
          <a:ext cx="540385" cy="540385"/>
        </a:xfrm>
        <a:prstGeom prst="rect">
          <a:avLst/>
        </a:prstGeom>
      </xdr:spPr>
    </xdr:pic>
    <xdr:clientData/>
  </xdr:oneCellAnchor>
  <xdr:oneCellAnchor>
    <xdr:from>
      <xdr:col>3</xdr:col>
      <xdr:colOff>70184</xdr:colOff>
      <xdr:row>136</xdr:row>
      <xdr:rowOff>40106</xdr:rowOff>
    </xdr:from>
    <xdr:ext cx="540000" cy="540000"/>
    <xdr:pic>
      <xdr:nvPicPr>
        <xdr:cNvPr id="168" name="图片 167"/>
        <xdr:cNvPicPr>
          <a:picLocks noChangeAspect="1"/>
        </xdr:cNvPicPr>
      </xdr:nvPicPr>
      <xdr:blipFill>
        <a:blip r:embed="rId49">
          <a:extLst>
            <a:ext uri="{28A0092B-C50C-407E-A947-70E740481C1C}">
              <a14:useLocalDpi xmlns:a14="http://schemas.microsoft.com/office/drawing/2010/main" val="0"/>
            </a:ext>
          </a:extLst>
        </a:blip>
        <a:stretch>
          <a:fillRect/>
        </a:stretch>
      </xdr:blipFill>
      <xdr:spPr>
        <a:xfrm>
          <a:off x="2212975" y="75687555"/>
          <a:ext cx="539750" cy="539750"/>
        </a:xfrm>
        <a:prstGeom prst="rect">
          <a:avLst/>
        </a:prstGeom>
      </xdr:spPr>
    </xdr:pic>
    <xdr:clientData/>
  </xdr:oneCellAnchor>
  <xdr:oneCellAnchor>
    <xdr:from>
      <xdr:col>3</xdr:col>
      <xdr:colOff>60158</xdr:colOff>
      <xdr:row>137</xdr:row>
      <xdr:rowOff>35092</xdr:rowOff>
    </xdr:from>
    <xdr:ext cx="540000" cy="540000"/>
    <xdr:pic>
      <xdr:nvPicPr>
        <xdr:cNvPr id="169" name="图片 168"/>
        <xdr:cNvPicPr>
          <a:picLocks noChangeAspect="1"/>
        </xdr:cNvPicPr>
      </xdr:nvPicPr>
      <xdr:blipFill>
        <a:blip r:embed="rId49">
          <a:extLst>
            <a:ext uri="{28A0092B-C50C-407E-A947-70E740481C1C}">
              <a14:useLocalDpi xmlns:a14="http://schemas.microsoft.com/office/drawing/2010/main" val="0"/>
            </a:ext>
          </a:extLst>
        </a:blip>
        <a:stretch>
          <a:fillRect/>
        </a:stretch>
      </xdr:blipFill>
      <xdr:spPr>
        <a:xfrm>
          <a:off x="2202815" y="76311125"/>
          <a:ext cx="540385" cy="539750"/>
        </a:xfrm>
        <a:prstGeom prst="rect">
          <a:avLst/>
        </a:prstGeom>
      </xdr:spPr>
    </xdr:pic>
    <xdr:clientData/>
  </xdr:oneCellAnchor>
  <xdr:oneCellAnchor>
    <xdr:from>
      <xdr:col>3</xdr:col>
      <xdr:colOff>65171</xdr:colOff>
      <xdr:row>139</xdr:row>
      <xdr:rowOff>40105</xdr:rowOff>
    </xdr:from>
    <xdr:ext cx="540000" cy="540000"/>
    <xdr:pic>
      <xdr:nvPicPr>
        <xdr:cNvPr id="170" name="图片 169"/>
        <xdr:cNvPicPr>
          <a:picLocks noChangeAspect="1"/>
        </xdr:cNvPicPr>
      </xdr:nvPicPr>
      <xdr:blipFill>
        <a:blip r:embed="rId50">
          <a:extLst>
            <a:ext uri="{28A0092B-C50C-407E-A947-70E740481C1C}">
              <a14:useLocalDpi xmlns:a14="http://schemas.microsoft.com/office/drawing/2010/main" val="0"/>
            </a:ext>
          </a:extLst>
        </a:blip>
        <a:stretch>
          <a:fillRect/>
        </a:stretch>
      </xdr:blipFill>
      <xdr:spPr>
        <a:xfrm>
          <a:off x="2207895" y="77573505"/>
          <a:ext cx="540385" cy="539750"/>
        </a:xfrm>
        <a:prstGeom prst="rect">
          <a:avLst/>
        </a:prstGeom>
      </xdr:spPr>
    </xdr:pic>
    <xdr:clientData/>
  </xdr:oneCellAnchor>
  <xdr:oneCellAnchor>
    <xdr:from>
      <xdr:col>3</xdr:col>
      <xdr:colOff>70184</xdr:colOff>
      <xdr:row>140</xdr:row>
      <xdr:rowOff>55145</xdr:rowOff>
    </xdr:from>
    <xdr:ext cx="540000" cy="540000"/>
    <xdr:pic>
      <xdr:nvPicPr>
        <xdr:cNvPr id="171" name="图片 170"/>
        <xdr:cNvPicPr>
          <a:picLocks noChangeAspect="1"/>
        </xdr:cNvPicPr>
      </xdr:nvPicPr>
      <xdr:blipFill>
        <a:blip r:embed="rId50">
          <a:extLst>
            <a:ext uri="{28A0092B-C50C-407E-A947-70E740481C1C}">
              <a14:useLocalDpi xmlns:a14="http://schemas.microsoft.com/office/drawing/2010/main" val="0"/>
            </a:ext>
          </a:extLst>
        </a:blip>
        <a:stretch>
          <a:fillRect/>
        </a:stretch>
      </xdr:blipFill>
      <xdr:spPr>
        <a:xfrm>
          <a:off x="2212975" y="78216760"/>
          <a:ext cx="539750" cy="540385"/>
        </a:xfrm>
        <a:prstGeom prst="rect">
          <a:avLst/>
        </a:prstGeom>
      </xdr:spPr>
    </xdr:pic>
    <xdr:clientData/>
  </xdr:oneCellAnchor>
  <xdr:twoCellAnchor editAs="oneCell">
    <xdr:from>
      <xdr:col>3</xdr:col>
      <xdr:colOff>78442</xdr:colOff>
      <xdr:row>84</xdr:row>
      <xdr:rowOff>33618</xdr:rowOff>
    </xdr:from>
    <xdr:to>
      <xdr:col>3</xdr:col>
      <xdr:colOff>638735</xdr:colOff>
      <xdr:row>84</xdr:row>
      <xdr:rowOff>602530</xdr:rowOff>
    </xdr:to>
    <xdr:pic>
      <xdr:nvPicPr>
        <xdr:cNvPr id="172" name="图片 171"/>
        <xdr:cNvPicPr>
          <a:picLocks noChangeAspect="1"/>
        </xdr:cNvPicPr>
      </xdr:nvPicPr>
      <xdr:blipFill>
        <a:blip r:embed="rId51"/>
        <a:stretch>
          <a:fillRect/>
        </a:stretch>
      </xdr:blipFill>
      <xdr:spPr>
        <a:xfrm>
          <a:off x="2221230" y="42990770"/>
          <a:ext cx="560070" cy="568960"/>
        </a:xfrm>
        <a:prstGeom prst="rect">
          <a:avLst/>
        </a:prstGeom>
      </xdr:spPr>
    </xdr:pic>
    <xdr:clientData/>
  </xdr:twoCellAnchor>
  <xdr:twoCellAnchor editAs="oneCell">
    <xdr:from>
      <xdr:col>3</xdr:col>
      <xdr:colOff>89648</xdr:colOff>
      <xdr:row>85</xdr:row>
      <xdr:rowOff>44823</xdr:rowOff>
    </xdr:from>
    <xdr:to>
      <xdr:col>3</xdr:col>
      <xdr:colOff>638735</xdr:colOff>
      <xdr:row>85</xdr:row>
      <xdr:rowOff>593910</xdr:rowOff>
    </xdr:to>
    <xdr:pic>
      <xdr:nvPicPr>
        <xdr:cNvPr id="173" name="图片 172"/>
        <xdr:cNvPicPr>
          <a:picLocks noChangeAspect="1"/>
        </xdr:cNvPicPr>
      </xdr:nvPicPr>
      <xdr:blipFill>
        <a:blip r:embed="rId52"/>
        <a:stretch>
          <a:fillRect/>
        </a:stretch>
      </xdr:blipFill>
      <xdr:spPr>
        <a:xfrm>
          <a:off x="2232660" y="43630850"/>
          <a:ext cx="548640" cy="549275"/>
        </a:xfrm>
        <a:prstGeom prst="rect">
          <a:avLst/>
        </a:prstGeom>
      </xdr:spPr>
    </xdr:pic>
    <xdr:clientData/>
  </xdr:twoCellAnchor>
  <xdr:twoCellAnchor editAs="oneCell">
    <xdr:from>
      <xdr:col>3</xdr:col>
      <xdr:colOff>67235</xdr:colOff>
      <xdr:row>64</xdr:row>
      <xdr:rowOff>44825</xdr:rowOff>
    </xdr:from>
    <xdr:to>
      <xdr:col>3</xdr:col>
      <xdr:colOff>616323</xdr:colOff>
      <xdr:row>64</xdr:row>
      <xdr:rowOff>602360</xdr:rowOff>
    </xdr:to>
    <xdr:pic>
      <xdr:nvPicPr>
        <xdr:cNvPr id="174" name="图片 173"/>
        <xdr:cNvPicPr>
          <a:picLocks noChangeAspect="1"/>
        </xdr:cNvPicPr>
      </xdr:nvPicPr>
      <xdr:blipFill>
        <a:blip r:embed="rId53"/>
        <a:stretch>
          <a:fillRect/>
        </a:stretch>
      </xdr:blipFill>
      <xdr:spPr>
        <a:xfrm>
          <a:off x="2209800" y="30429200"/>
          <a:ext cx="549275" cy="557530"/>
        </a:xfrm>
        <a:prstGeom prst="rect">
          <a:avLst/>
        </a:prstGeom>
      </xdr:spPr>
    </xdr:pic>
    <xdr:clientData/>
  </xdr:twoCellAnchor>
  <xdr:twoCellAnchor editAs="oneCell">
    <xdr:from>
      <xdr:col>3</xdr:col>
      <xdr:colOff>89647</xdr:colOff>
      <xdr:row>65</xdr:row>
      <xdr:rowOff>56032</xdr:rowOff>
    </xdr:from>
    <xdr:to>
      <xdr:col>3</xdr:col>
      <xdr:colOff>638735</xdr:colOff>
      <xdr:row>65</xdr:row>
      <xdr:rowOff>613567</xdr:rowOff>
    </xdr:to>
    <xdr:pic>
      <xdr:nvPicPr>
        <xdr:cNvPr id="175" name="图片 174"/>
        <xdr:cNvPicPr>
          <a:picLocks noChangeAspect="1"/>
        </xdr:cNvPicPr>
      </xdr:nvPicPr>
      <xdr:blipFill>
        <a:blip r:embed="rId53"/>
        <a:stretch>
          <a:fillRect/>
        </a:stretch>
      </xdr:blipFill>
      <xdr:spPr>
        <a:xfrm>
          <a:off x="2232660" y="31069280"/>
          <a:ext cx="548640" cy="557530"/>
        </a:xfrm>
        <a:prstGeom prst="rect">
          <a:avLst/>
        </a:prstGeom>
      </xdr:spPr>
    </xdr:pic>
    <xdr:clientData/>
  </xdr:twoCellAnchor>
  <xdr:oneCellAnchor>
    <xdr:from>
      <xdr:col>3</xdr:col>
      <xdr:colOff>66675</xdr:colOff>
      <xdr:row>16</xdr:row>
      <xdr:rowOff>28575</xdr:rowOff>
    </xdr:from>
    <xdr:ext cx="540000" cy="540000"/>
    <xdr:pic>
      <xdr:nvPicPr>
        <xdr:cNvPr id="176" name="图片 175"/>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2209800" y="238125"/>
          <a:ext cx="539750" cy="539750"/>
        </a:xfrm>
        <a:prstGeom prst="rect">
          <a:avLst/>
        </a:prstGeom>
      </xdr:spPr>
    </xdr:pic>
    <xdr:clientData/>
  </xdr:oneCellAnchor>
  <xdr:oneCellAnchor>
    <xdr:from>
      <xdr:col>3</xdr:col>
      <xdr:colOff>66675</xdr:colOff>
      <xdr:row>17</xdr:row>
      <xdr:rowOff>47625</xdr:rowOff>
    </xdr:from>
    <xdr:ext cx="540000" cy="540000"/>
    <xdr:pic>
      <xdr:nvPicPr>
        <xdr:cNvPr id="177" name="图片 176"/>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2209800" y="885825"/>
          <a:ext cx="539750" cy="539750"/>
        </a:xfrm>
        <a:prstGeom prst="rect">
          <a:avLst/>
        </a:prstGeom>
      </xdr:spPr>
    </xdr:pic>
    <xdr:clientData/>
  </xdr:oneCellAnchor>
  <xdr:oneCellAnchor>
    <xdr:from>
      <xdr:col>3</xdr:col>
      <xdr:colOff>76200</xdr:colOff>
      <xdr:row>18</xdr:row>
      <xdr:rowOff>28575</xdr:rowOff>
    </xdr:from>
    <xdr:ext cx="540000" cy="540000"/>
    <xdr:pic>
      <xdr:nvPicPr>
        <xdr:cNvPr id="178" name="图片 177"/>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2219325" y="1495425"/>
          <a:ext cx="539750" cy="539750"/>
        </a:xfrm>
        <a:prstGeom prst="rect">
          <a:avLst/>
        </a:prstGeom>
      </xdr:spPr>
    </xdr:pic>
    <xdr:clientData/>
  </xdr:oneCellAnchor>
  <xdr:oneCellAnchor>
    <xdr:from>
      <xdr:col>3</xdr:col>
      <xdr:colOff>76200</xdr:colOff>
      <xdr:row>19</xdr:row>
      <xdr:rowOff>47625</xdr:rowOff>
    </xdr:from>
    <xdr:ext cx="540000" cy="540000"/>
    <xdr:pic>
      <xdr:nvPicPr>
        <xdr:cNvPr id="179" name="图片 178"/>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2219325" y="2143125"/>
          <a:ext cx="539750" cy="539750"/>
        </a:xfrm>
        <a:prstGeom prst="rect">
          <a:avLst/>
        </a:prstGeom>
      </xdr:spPr>
    </xdr:pic>
    <xdr:clientData/>
  </xdr:oneCellAnchor>
  <xdr:oneCellAnchor>
    <xdr:from>
      <xdr:col>3</xdr:col>
      <xdr:colOff>104775</xdr:colOff>
      <xdr:row>22</xdr:row>
      <xdr:rowOff>47625</xdr:rowOff>
    </xdr:from>
    <xdr:ext cx="540000" cy="540000"/>
    <xdr:pic>
      <xdr:nvPicPr>
        <xdr:cNvPr id="180" name="图片 179"/>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2247900" y="4029075"/>
          <a:ext cx="539750" cy="539750"/>
        </a:xfrm>
        <a:prstGeom prst="rect">
          <a:avLst/>
        </a:prstGeom>
      </xdr:spPr>
    </xdr:pic>
    <xdr:clientData/>
  </xdr:oneCellAnchor>
  <xdr:oneCellAnchor>
    <xdr:from>
      <xdr:col>3</xdr:col>
      <xdr:colOff>95250</xdr:colOff>
      <xdr:row>23</xdr:row>
      <xdr:rowOff>28575</xdr:rowOff>
    </xdr:from>
    <xdr:ext cx="540000" cy="540000"/>
    <xdr:pic>
      <xdr:nvPicPr>
        <xdr:cNvPr id="181" name="图片 180"/>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2238375" y="4638675"/>
          <a:ext cx="539750" cy="539750"/>
        </a:xfrm>
        <a:prstGeom prst="rect">
          <a:avLst/>
        </a:prstGeom>
      </xdr:spPr>
    </xdr:pic>
    <xdr:clientData/>
  </xdr:oneCellAnchor>
  <xdr:oneCellAnchor>
    <xdr:from>
      <xdr:col>3</xdr:col>
      <xdr:colOff>76200</xdr:colOff>
      <xdr:row>25</xdr:row>
      <xdr:rowOff>47625</xdr:rowOff>
    </xdr:from>
    <xdr:ext cx="540000" cy="540000"/>
    <xdr:pic>
      <xdr:nvPicPr>
        <xdr:cNvPr id="182" name="图片 181"/>
        <xdr:cNvPicPr>
          <a:picLocks noChangeAspect="1"/>
        </xdr:cNvPicPr>
      </xdr:nvPicPr>
      <xdr:blipFill>
        <a:blip r:embed="rId4">
          <a:extLst>
            <a:ext uri="{28A0092B-C50C-407E-A947-70E740481C1C}">
              <a14:useLocalDpi xmlns:a14="http://schemas.microsoft.com/office/drawing/2010/main" val="0"/>
            </a:ext>
          </a:extLst>
        </a:blip>
        <a:stretch>
          <a:fillRect/>
        </a:stretch>
      </xdr:blipFill>
      <xdr:spPr>
        <a:xfrm>
          <a:off x="2219325" y="5915025"/>
          <a:ext cx="539750" cy="539750"/>
        </a:xfrm>
        <a:prstGeom prst="rect">
          <a:avLst/>
        </a:prstGeom>
      </xdr:spPr>
    </xdr:pic>
    <xdr:clientData/>
  </xdr:oneCellAnchor>
  <xdr:oneCellAnchor>
    <xdr:from>
      <xdr:col>3</xdr:col>
      <xdr:colOff>76200</xdr:colOff>
      <xdr:row>26</xdr:row>
      <xdr:rowOff>38100</xdr:rowOff>
    </xdr:from>
    <xdr:ext cx="540000" cy="540000"/>
    <xdr:pic>
      <xdr:nvPicPr>
        <xdr:cNvPr id="183" name="图片 182"/>
        <xdr:cNvPicPr>
          <a:picLocks noChangeAspect="1"/>
        </xdr:cNvPicPr>
      </xdr:nvPicPr>
      <xdr:blipFill>
        <a:blip r:embed="rId4">
          <a:extLst>
            <a:ext uri="{28A0092B-C50C-407E-A947-70E740481C1C}">
              <a14:useLocalDpi xmlns:a14="http://schemas.microsoft.com/office/drawing/2010/main" val="0"/>
            </a:ext>
          </a:extLst>
        </a:blip>
        <a:stretch>
          <a:fillRect/>
        </a:stretch>
      </xdr:blipFill>
      <xdr:spPr>
        <a:xfrm>
          <a:off x="2219325" y="6534150"/>
          <a:ext cx="539750" cy="539750"/>
        </a:xfrm>
        <a:prstGeom prst="rect">
          <a:avLst/>
        </a:prstGeom>
      </xdr:spPr>
    </xdr:pic>
    <xdr:clientData/>
  </xdr:oneCellAnchor>
  <xdr:oneCellAnchor>
    <xdr:from>
      <xdr:col>3</xdr:col>
      <xdr:colOff>76200</xdr:colOff>
      <xdr:row>27</xdr:row>
      <xdr:rowOff>47625</xdr:rowOff>
    </xdr:from>
    <xdr:ext cx="540000" cy="540000"/>
    <xdr:pic>
      <xdr:nvPicPr>
        <xdr:cNvPr id="184" name="图片 183"/>
        <xdr:cNvPicPr>
          <a:picLocks noChangeAspect="1"/>
        </xdr:cNvPicPr>
      </xdr:nvPicPr>
      <xdr:blipFill>
        <a:blip r:embed="rId5">
          <a:extLst>
            <a:ext uri="{28A0092B-C50C-407E-A947-70E740481C1C}">
              <a14:useLocalDpi xmlns:a14="http://schemas.microsoft.com/office/drawing/2010/main" val="0"/>
            </a:ext>
          </a:extLst>
        </a:blip>
        <a:stretch>
          <a:fillRect/>
        </a:stretch>
      </xdr:blipFill>
      <xdr:spPr>
        <a:xfrm>
          <a:off x="2219325" y="7172325"/>
          <a:ext cx="539750" cy="539750"/>
        </a:xfrm>
        <a:prstGeom prst="rect">
          <a:avLst/>
        </a:prstGeom>
      </xdr:spPr>
    </xdr:pic>
    <xdr:clientData/>
  </xdr:oneCellAnchor>
  <xdr:oneCellAnchor>
    <xdr:from>
      <xdr:col>3</xdr:col>
      <xdr:colOff>66675</xdr:colOff>
      <xdr:row>28</xdr:row>
      <xdr:rowOff>47625</xdr:rowOff>
    </xdr:from>
    <xdr:ext cx="540000" cy="540000"/>
    <xdr:pic>
      <xdr:nvPicPr>
        <xdr:cNvPr id="185" name="图片 184"/>
        <xdr:cNvPicPr>
          <a:picLocks noChangeAspect="1"/>
        </xdr:cNvPicPr>
      </xdr:nvPicPr>
      <xdr:blipFill>
        <a:blip r:embed="rId6">
          <a:extLst>
            <a:ext uri="{28A0092B-C50C-407E-A947-70E740481C1C}">
              <a14:useLocalDpi xmlns:a14="http://schemas.microsoft.com/office/drawing/2010/main" val="0"/>
            </a:ext>
          </a:extLst>
        </a:blip>
        <a:stretch>
          <a:fillRect/>
        </a:stretch>
      </xdr:blipFill>
      <xdr:spPr>
        <a:xfrm>
          <a:off x="2209800" y="7800975"/>
          <a:ext cx="539750" cy="539750"/>
        </a:xfrm>
        <a:prstGeom prst="rect">
          <a:avLst/>
        </a:prstGeom>
      </xdr:spPr>
    </xdr:pic>
    <xdr:clientData/>
  </xdr:oneCellAnchor>
  <xdr:oneCellAnchor>
    <xdr:from>
      <xdr:col>3</xdr:col>
      <xdr:colOff>76200</xdr:colOff>
      <xdr:row>29</xdr:row>
      <xdr:rowOff>57150</xdr:rowOff>
    </xdr:from>
    <xdr:ext cx="540000" cy="540000"/>
    <xdr:pic>
      <xdr:nvPicPr>
        <xdr:cNvPr id="186" name="图片 185"/>
        <xdr:cNvPicPr>
          <a:picLocks noChangeAspect="1"/>
        </xdr:cNvPicPr>
      </xdr:nvPicPr>
      <xdr:blipFill>
        <a:blip r:embed="rId6">
          <a:extLst>
            <a:ext uri="{28A0092B-C50C-407E-A947-70E740481C1C}">
              <a14:useLocalDpi xmlns:a14="http://schemas.microsoft.com/office/drawing/2010/main" val="0"/>
            </a:ext>
          </a:extLst>
        </a:blip>
        <a:stretch>
          <a:fillRect/>
        </a:stretch>
      </xdr:blipFill>
      <xdr:spPr>
        <a:xfrm>
          <a:off x="2219325" y="8439150"/>
          <a:ext cx="539750" cy="539750"/>
        </a:xfrm>
        <a:prstGeom prst="rect">
          <a:avLst/>
        </a:prstGeom>
      </xdr:spPr>
    </xdr:pic>
    <xdr:clientData/>
  </xdr:oneCellAnchor>
  <xdr:oneCellAnchor>
    <xdr:from>
      <xdr:col>3</xdr:col>
      <xdr:colOff>85725</xdr:colOff>
      <xdr:row>31</xdr:row>
      <xdr:rowOff>28575</xdr:rowOff>
    </xdr:from>
    <xdr:ext cx="540000" cy="540000"/>
    <xdr:pic>
      <xdr:nvPicPr>
        <xdr:cNvPr id="187" name="图片 186"/>
        <xdr:cNvPicPr>
          <a:picLocks noChangeAspect="1"/>
        </xdr:cNvPicPr>
      </xdr:nvPicPr>
      <xdr:blipFill>
        <a:blip r:embed="rId7">
          <a:extLst>
            <a:ext uri="{28A0092B-C50C-407E-A947-70E740481C1C}">
              <a14:useLocalDpi xmlns:a14="http://schemas.microsoft.com/office/drawing/2010/main" val="0"/>
            </a:ext>
          </a:extLst>
        </a:blip>
        <a:stretch>
          <a:fillRect/>
        </a:stretch>
      </xdr:blipFill>
      <xdr:spPr>
        <a:xfrm>
          <a:off x="2228850" y="9667875"/>
          <a:ext cx="539750" cy="539750"/>
        </a:xfrm>
        <a:prstGeom prst="rect">
          <a:avLst/>
        </a:prstGeom>
      </xdr:spPr>
    </xdr:pic>
    <xdr:clientData/>
  </xdr:oneCellAnchor>
  <xdr:oneCellAnchor>
    <xdr:from>
      <xdr:col>3</xdr:col>
      <xdr:colOff>95250</xdr:colOff>
      <xdr:row>32</xdr:row>
      <xdr:rowOff>28575</xdr:rowOff>
    </xdr:from>
    <xdr:ext cx="540000" cy="540000"/>
    <xdr:pic>
      <xdr:nvPicPr>
        <xdr:cNvPr id="188" name="图片 187"/>
        <xdr:cNvPicPr>
          <a:picLocks noChangeAspect="1"/>
        </xdr:cNvPicPr>
      </xdr:nvPicPr>
      <xdr:blipFill>
        <a:blip r:embed="rId7">
          <a:extLst>
            <a:ext uri="{28A0092B-C50C-407E-A947-70E740481C1C}">
              <a14:useLocalDpi xmlns:a14="http://schemas.microsoft.com/office/drawing/2010/main" val="0"/>
            </a:ext>
          </a:extLst>
        </a:blip>
        <a:stretch>
          <a:fillRect/>
        </a:stretch>
      </xdr:blipFill>
      <xdr:spPr>
        <a:xfrm>
          <a:off x="2238375" y="10296525"/>
          <a:ext cx="539750" cy="539750"/>
        </a:xfrm>
        <a:prstGeom prst="rect">
          <a:avLst/>
        </a:prstGeom>
      </xdr:spPr>
    </xdr:pic>
    <xdr:clientData/>
  </xdr:oneCellAnchor>
  <xdr:oneCellAnchor>
    <xdr:from>
      <xdr:col>3</xdr:col>
      <xdr:colOff>76200</xdr:colOff>
      <xdr:row>33</xdr:row>
      <xdr:rowOff>47625</xdr:rowOff>
    </xdr:from>
    <xdr:ext cx="540000" cy="540000"/>
    <xdr:pic>
      <xdr:nvPicPr>
        <xdr:cNvPr id="189" name="图片 188"/>
        <xdr:cNvPicPr>
          <a:picLocks noChangeAspect="1"/>
        </xdr:cNvPicPr>
      </xdr:nvPicPr>
      <xdr:blipFill>
        <a:blip r:embed="rId8">
          <a:extLst>
            <a:ext uri="{28A0092B-C50C-407E-A947-70E740481C1C}">
              <a14:useLocalDpi xmlns:a14="http://schemas.microsoft.com/office/drawing/2010/main" val="0"/>
            </a:ext>
          </a:extLst>
        </a:blip>
        <a:stretch>
          <a:fillRect/>
        </a:stretch>
      </xdr:blipFill>
      <xdr:spPr>
        <a:xfrm>
          <a:off x="2219325" y="10944225"/>
          <a:ext cx="539750" cy="539750"/>
        </a:xfrm>
        <a:prstGeom prst="rect">
          <a:avLst/>
        </a:prstGeom>
      </xdr:spPr>
    </xdr:pic>
    <xdr:clientData/>
  </xdr:oneCellAnchor>
  <xdr:oneCellAnchor>
    <xdr:from>
      <xdr:col>3</xdr:col>
      <xdr:colOff>76200</xdr:colOff>
      <xdr:row>34</xdr:row>
      <xdr:rowOff>47625</xdr:rowOff>
    </xdr:from>
    <xdr:ext cx="540000" cy="540000"/>
    <xdr:pic>
      <xdr:nvPicPr>
        <xdr:cNvPr id="190" name="图片 189"/>
        <xdr:cNvPicPr>
          <a:picLocks noChangeAspect="1"/>
        </xdr:cNvPicPr>
      </xdr:nvPicPr>
      <xdr:blipFill>
        <a:blip r:embed="rId9">
          <a:extLst>
            <a:ext uri="{28A0092B-C50C-407E-A947-70E740481C1C}">
              <a14:useLocalDpi xmlns:a14="http://schemas.microsoft.com/office/drawing/2010/main" val="0"/>
            </a:ext>
          </a:extLst>
        </a:blip>
        <a:stretch>
          <a:fillRect/>
        </a:stretch>
      </xdr:blipFill>
      <xdr:spPr>
        <a:xfrm>
          <a:off x="2219325" y="11572875"/>
          <a:ext cx="539750" cy="539750"/>
        </a:xfrm>
        <a:prstGeom prst="rect">
          <a:avLst/>
        </a:prstGeom>
      </xdr:spPr>
    </xdr:pic>
    <xdr:clientData/>
  </xdr:oneCellAnchor>
  <xdr:oneCellAnchor>
    <xdr:from>
      <xdr:col>3</xdr:col>
      <xdr:colOff>76200</xdr:colOff>
      <xdr:row>35</xdr:row>
      <xdr:rowOff>38100</xdr:rowOff>
    </xdr:from>
    <xdr:ext cx="540000" cy="540000"/>
    <xdr:pic>
      <xdr:nvPicPr>
        <xdr:cNvPr id="191" name="图片 190"/>
        <xdr:cNvPicPr>
          <a:picLocks noChangeAspect="1"/>
        </xdr:cNvPicPr>
      </xdr:nvPicPr>
      <xdr:blipFill>
        <a:blip r:embed="rId9">
          <a:extLst>
            <a:ext uri="{28A0092B-C50C-407E-A947-70E740481C1C}">
              <a14:useLocalDpi xmlns:a14="http://schemas.microsoft.com/office/drawing/2010/main" val="0"/>
            </a:ext>
          </a:extLst>
        </a:blip>
        <a:stretch>
          <a:fillRect/>
        </a:stretch>
      </xdr:blipFill>
      <xdr:spPr>
        <a:xfrm>
          <a:off x="2219325" y="12192000"/>
          <a:ext cx="539750" cy="539750"/>
        </a:xfrm>
        <a:prstGeom prst="rect">
          <a:avLst/>
        </a:prstGeom>
      </xdr:spPr>
    </xdr:pic>
    <xdr:clientData/>
  </xdr:oneCellAnchor>
  <xdr:oneCellAnchor>
    <xdr:from>
      <xdr:col>3</xdr:col>
      <xdr:colOff>76200</xdr:colOff>
      <xdr:row>37</xdr:row>
      <xdr:rowOff>47625</xdr:rowOff>
    </xdr:from>
    <xdr:ext cx="540000" cy="540000"/>
    <xdr:pic>
      <xdr:nvPicPr>
        <xdr:cNvPr id="192" name="图片 191"/>
        <xdr:cNvPicPr>
          <a:picLocks noChangeAspect="1"/>
        </xdr:cNvPicPr>
      </xdr:nvPicPr>
      <xdr:blipFill>
        <a:blip r:embed="rId10">
          <a:extLst>
            <a:ext uri="{28A0092B-C50C-407E-A947-70E740481C1C}">
              <a14:useLocalDpi xmlns:a14="http://schemas.microsoft.com/office/drawing/2010/main" val="0"/>
            </a:ext>
          </a:extLst>
        </a:blip>
        <a:stretch>
          <a:fillRect/>
        </a:stretch>
      </xdr:blipFill>
      <xdr:spPr>
        <a:xfrm>
          <a:off x="2219325" y="13458825"/>
          <a:ext cx="539750" cy="539750"/>
        </a:xfrm>
        <a:prstGeom prst="rect">
          <a:avLst/>
        </a:prstGeom>
      </xdr:spPr>
    </xdr:pic>
    <xdr:clientData/>
  </xdr:oneCellAnchor>
  <xdr:oneCellAnchor>
    <xdr:from>
      <xdr:col>3</xdr:col>
      <xdr:colOff>66675</xdr:colOff>
      <xdr:row>38</xdr:row>
      <xdr:rowOff>47625</xdr:rowOff>
    </xdr:from>
    <xdr:ext cx="540000" cy="540000"/>
    <xdr:pic>
      <xdr:nvPicPr>
        <xdr:cNvPr id="193" name="图片 192"/>
        <xdr:cNvPicPr>
          <a:picLocks noChangeAspect="1"/>
        </xdr:cNvPicPr>
      </xdr:nvPicPr>
      <xdr:blipFill>
        <a:blip r:embed="rId10">
          <a:extLst>
            <a:ext uri="{28A0092B-C50C-407E-A947-70E740481C1C}">
              <a14:useLocalDpi xmlns:a14="http://schemas.microsoft.com/office/drawing/2010/main" val="0"/>
            </a:ext>
          </a:extLst>
        </a:blip>
        <a:stretch>
          <a:fillRect/>
        </a:stretch>
      </xdr:blipFill>
      <xdr:spPr>
        <a:xfrm>
          <a:off x="2209800" y="14087475"/>
          <a:ext cx="539750" cy="539750"/>
        </a:xfrm>
        <a:prstGeom prst="rect">
          <a:avLst/>
        </a:prstGeom>
      </xdr:spPr>
    </xdr:pic>
    <xdr:clientData/>
  </xdr:oneCellAnchor>
  <xdr:oneCellAnchor>
    <xdr:from>
      <xdr:col>3</xdr:col>
      <xdr:colOff>76200</xdr:colOff>
      <xdr:row>40</xdr:row>
      <xdr:rowOff>47625</xdr:rowOff>
    </xdr:from>
    <xdr:ext cx="540000" cy="540000"/>
    <xdr:pic>
      <xdr:nvPicPr>
        <xdr:cNvPr id="194" name="图片 193"/>
        <xdr:cNvPicPr>
          <a:picLocks noChangeAspect="1"/>
        </xdr:cNvPicPr>
      </xdr:nvPicPr>
      <xdr:blipFill>
        <a:blip r:embed="rId11">
          <a:extLst>
            <a:ext uri="{28A0092B-C50C-407E-A947-70E740481C1C}">
              <a14:useLocalDpi xmlns:a14="http://schemas.microsoft.com/office/drawing/2010/main" val="0"/>
            </a:ext>
          </a:extLst>
        </a:blip>
        <a:stretch>
          <a:fillRect/>
        </a:stretch>
      </xdr:blipFill>
      <xdr:spPr>
        <a:xfrm>
          <a:off x="2219325" y="15344775"/>
          <a:ext cx="539750" cy="539750"/>
        </a:xfrm>
        <a:prstGeom prst="rect">
          <a:avLst/>
        </a:prstGeom>
      </xdr:spPr>
    </xdr:pic>
    <xdr:clientData/>
  </xdr:oneCellAnchor>
  <xdr:oneCellAnchor>
    <xdr:from>
      <xdr:col>3</xdr:col>
      <xdr:colOff>76200</xdr:colOff>
      <xdr:row>41</xdr:row>
      <xdr:rowOff>47625</xdr:rowOff>
    </xdr:from>
    <xdr:ext cx="540000" cy="540000"/>
    <xdr:pic>
      <xdr:nvPicPr>
        <xdr:cNvPr id="195" name="图片 194"/>
        <xdr:cNvPicPr>
          <a:picLocks noChangeAspect="1"/>
        </xdr:cNvPicPr>
      </xdr:nvPicPr>
      <xdr:blipFill>
        <a:blip r:embed="rId11">
          <a:extLst>
            <a:ext uri="{28A0092B-C50C-407E-A947-70E740481C1C}">
              <a14:useLocalDpi xmlns:a14="http://schemas.microsoft.com/office/drawing/2010/main" val="0"/>
            </a:ext>
          </a:extLst>
        </a:blip>
        <a:stretch>
          <a:fillRect/>
        </a:stretch>
      </xdr:blipFill>
      <xdr:spPr>
        <a:xfrm>
          <a:off x="2219325" y="15973425"/>
          <a:ext cx="539750" cy="539750"/>
        </a:xfrm>
        <a:prstGeom prst="rect">
          <a:avLst/>
        </a:prstGeom>
      </xdr:spPr>
    </xdr:pic>
    <xdr:clientData/>
  </xdr:oneCellAnchor>
  <xdr:oneCellAnchor>
    <xdr:from>
      <xdr:col>3</xdr:col>
      <xdr:colOff>72258</xdr:colOff>
      <xdr:row>43</xdr:row>
      <xdr:rowOff>32845</xdr:rowOff>
    </xdr:from>
    <xdr:ext cx="540000" cy="540000"/>
    <xdr:pic>
      <xdr:nvPicPr>
        <xdr:cNvPr id="196" name="图片 195"/>
        <xdr:cNvPicPr>
          <a:picLocks noChangeAspect="1"/>
        </xdr:cNvPicPr>
      </xdr:nvPicPr>
      <xdr:blipFill>
        <a:blip r:embed="rId12">
          <a:extLst>
            <a:ext uri="{28A0092B-C50C-407E-A947-70E740481C1C}">
              <a14:useLocalDpi xmlns:a14="http://schemas.microsoft.com/office/drawing/2010/main" val="0"/>
            </a:ext>
          </a:extLst>
        </a:blip>
        <a:stretch>
          <a:fillRect/>
        </a:stretch>
      </xdr:blipFill>
      <xdr:spPr>
        <a:xfrm>
          <a:off x="2214880" y="17215485"/>
          <a:ext cx="540385" cy="540385"/>
        </a:xfrm>
        <a:prstGeom prst="rect">
          <a:avLst/>
        </a:prstGeom>
      </xdr:spPr>
    </xdr:pic>
    <xdr:clientData/>
  </xdr:oneCellAnchor>
  <xdr:oneCellAnchor>
    <xdr:from>
      <xdr:col>3</xdr:col>
      <xdr:colOff>72259</xdr:colOff>
      <xdr:row>44</xdr:row>
      <xdr:rowOff>39414</xdr:rowOff>
    </xdr:from>
    <xdr:ext cx="540000" cy="540000"/>
    <xdr:pic>
      <xdr:nvPicPr>
        <xdr:cNvPr id="197" name="图片 196"/>
        <xdr:cNvPicPr>
          <a:picLocks noChangeAspect="1"/>
        </xdr:cNvPicPr>
      </xdr:nvPicPr>
      <xdr:blipFill>
        <a:blip r:embed="rId13">
          <a:extLst>
            <a:ext uri="{28A0092B-C50C-407E-A947-70E740481C1C}">
              <a14:useLocalDpi xmlns:a14="http://schemas.microsoft.com/office/drawing/2010/main" val="0"/>
            </a:ext>
          </a:extLst>
        </a:blip>
        <a:stretch>
          <a:fillRect/>
        </a:stretch>
      </xdr:blipFill>
      <xdr:spPr>
        <a:xfrm>
          <a:off x="2214880" y="17851120"/>
          <a:ext cx="540385" cy="539750"/>
        </a:xfrm>
        <a:prstGeom prst="rect">
          <a:avLst/>
        </a:prstGeom>
      </xdr:spPr>
    </xdr:pic>
    <xdr:clientData/>
  </xdr:oneCellAnchor>
  <xdr:oneCellAnchor>
    <xdr:from>
      <xdr:col>3</xdr:col>
      <xdr:colOff>72259</xdr:colOff>
      <xdr:row>46</xdr:row>
      <xdr:rowOff>39414</xdr:rowOff>
    </xdr:from>
    <xdr:ext cx="540000" cy="540000"/>
    <xdr:pic>
      <xdr:nvPicPr>
        <xdr:cNvPr id="198" name="图片 197"/>
        <xdr:cNvPicPr>
          <a:picLocks noChangeAspect="1"/>
        </xdr:cNvPicPr>
      </xdr:nvPicPr>
      <xdr:blipFill>
        <a:blip r:embed="rId14">
          <a:extLst>
            <a:ext uri="{28A0092B-C50C-407E-A947-70E740481C1C}">
              <a14:useLocalDpi xmlns:a14="http://schemas.microsoft.com/office/drawing/2010/main" val="0"/>
            </a:ext>
          </a:extLst>
        </a:blip>
        <a:stretch>
          <a:fillRect/>
        </a:stretch>
      </xdr:blipFill>
      <xdr:spPr>
        <a:xfrm>
          <a:off x="2214880" y="19108420"/>
          <a:ext cx="540385" cy="539750"/>
        </a:xfrm>
        <a:prstGeom prst="rect">
          <a:avLst/>
        </a:prstGeom>
      </xdr:spPr>
    </xdr:pic>
    <xdr:clientData/>
  </xdr:oneCellAnchor>
  <xdr:oneCellAnchor>
    <xdr:from>
      <xdr:col>3</xdr:col>
      <xdr:colOff>72259</xdr:colOff>
      <xdr:row>47</xdr:row>
      <xdr:rowOff>32846</xdr:rowOff>
    </xdr:from>
    <xdr:ext cx="540000" cy="540000"/>
    <xdr:pic>
      <xdr:nvPicPr>
        <xdr:cNvPr id="199" name="图片 198"/>
        <xdr:cNvPicPr>
          <a:picLocks noChangeAspect="1"/>
        </xdr:cNvPicPr>
      </xdr:nvPicPr>
      <xdr:blipFill>
        <a:blip r:embed="rId14">
          <a:extLst>
            <a:ext uri="{28A0092B-C50C-407E-A947-70E740481C1C}">
              <a14:useLocalDpi xmlns:a14="http://schemas.microsoft.com/office/drawing/2010/main" val="0"/>
            </a:ext>
          </a:extLst>
        </a:blip>
        <a:stretch>
          <a:fillRect/>
        </a:stretch>
      </xdr:blipFill>
      <xdr:spPr>
        <a:xfrm>
          <a:off x="2214880" y="19730085"/>
          <a:ext cx="540385" cy="540385"/>
        </a:xfrm>
        <a:prstGeom prst="rect">
          <a:avLst/>
        </a:prstGeom>
      </xdr:spPr>
    </xdr:pic>
    <xdr:clientData/>
  </xdr:oneCellAnchor>
  <xdr:oneCellAnchor>
    <xdr:from>
      <xdr:col>3</xdr:col>
      <xdr:colOff>59121</xdr:colOff>
      <xdr:row>49</xdr:row>
      <xdr:rowOff>45982</xdr:rowOff>
    </xdr:from>
    <xdr:ext cx="540000" cy="540000"/>
    <xdr:pic>
      <xdr:nvPicPr>
        <xdr:cNvPr id="200" name="图片 199"/>
        <xdr:cNvPicPr>
          <a:picLocks noChangeAspect="1"/>
        </xdr:cNvPicPr>
      </xdr:nvPicPr>
      <xdr:blipFill>
        <a:blip r:embed="rId15">
          <a:extLst>
            <a:ext uri="{28A0092B-C50C-407E-A947-70E740481C1C}">
              <a14:useLocalDpi xmlns:a14="http://schemas.microsoft.com/office/drawing/2010/main" val="0"/>
            </a:ext>
          </a:extLst>
        </a:blip>
        <a:stretch>
          <a:fillRect/>
        </a:stretch>
      </xdr:blipFill>
      <xdr:spPr>
        <a:xfrm>
          <a:off x="2202180" y="21000720"/>
          <a:ext cx="539750" cy="539750"/>
        </a:xfrm>
        <a:prstGeom prst="rect">
          <a:avLst/>
        </a:prstGeom>
      </xdr:spPr>
    </xdr:pic>
    <xdr:clientData/>
  </xdr:oneCellAnchor>
  <xdr:oneCellAnchor>
    <xdr:from>
      <xdr:col>3</xdr:col>
      <xdr:colOff>65690</xdr:colOff>
      <xdr:row>50</xdr:row>
      <xdr:rowOff>32845</xdr:rowOff>
    </xdr:from>
    <xdr:ext cx="540000" cy="540000"/>
    <xdr:pic>
      <xdr:nvPicPr>
        <xdr:cNvPr id="201" name="图片 200"/>
        <xdr:cNvPicPr>
          <a:picLocks noChangeAspect="1"/>
        </xdr:cNvPicPr>
      </xdr:nvPicPr>
      <xdr:blipFill>
        <a:blip r:embed="rId16">
          <a:extLst>
            <a:ext uri="{28A0092B-C50C-407E-A947-70E740481C1C}">
              <a14:useLocalDpi xmlns:a14="http://schemas.microsoft.com/office/drawing/2010/main" val="0"/>
            </a:ext>
          </a:extLst>
        </a:blip>
        <a:stretch>
          <a:fillRect/>
        </a:stretch>
      </xdr:blipFill>
      <xdr:spPr>
        <a:xfrm>
          <a:off x="2208530" y="21616035"/>
          <a:ext cx="539750" cy="540385"/>
        </a:xfrm>
        <a:prstGeom prst="rect">
          <a:avLst/>
        </a:prstGeom>
      </xdr:spPr>
    </xdr:pic>
    <xdr:clientData/>
  </xdr:oneCellAnchor>
  <xdr:oneCellAnchor>
    <xdr:from>
      <xdr:col>3</xdr:col>
      <xdr:colOff>72258</xdr:colOff>
      <xdr:row>52</xdr:row>
      <xdr:rowOff>32845</xdr:rowOff>
    </xdr:from>
    <xdr:ext cx="540000" cy="540000"/>
    <xdr:pic>
      <xdr:nvPicPr>
        <xdr:cNvPr id="202" name="图片 201"/>
        <xdr:cNvPicPr>
          <a:picLocks noChangeAspect="1"/>
        </xdr:cNvPicPr>
      </xdr:nvPicPr>
      <xdr:blipFill>
        <a:blip r:embed="rId17">
          <a:extLst>
            <a:ext uri="{28A0092B-C50C-407E-A947-70E740481C1C}">
              <a14:useLocalDpi xmlns:a14="http://schemas.microsoft.com/office/drawing/2010/main" val="0"/>
            </a:ext>
          </a:extLst>
        </a:blip>
        <a:stretch>
          <a:fillRect/>
        </a:stretch>
      </xdr:blipFill>
      <xdr:spPr>
        <a:xfrm>
          <a:off x="2214880" y="22873335"/>
          <a:ext cx="540385" cy="540385"/>
        </a:xfrm>
        <a:prstGeom prst="rect">
          <a:avLst/>
        </a:prstGeom>
      </xdr:spPr>
    </xdr:pic>
    <xdr:clientData/>
  </xdr:oneCellAnchor>
  <xdr:oneCellAnchor>
    <xdr:from>
      <xdr:col>3</xdr:col>
      <xdr:colOff>72258</xdr:colOff>
      <xdr:row>53</xdr:row>
      <xdr:rowOff>45983</xdr:rowOff>
    </xdr:from>
    <xdr:ext cx="540000" cy="540000"/>
    <xdr:pic>
      <xdr:nvPicPr>
        <xdr:cNvPr id="203" name="图片 202"/>
        <xdr:cNvPicPr>
          <a:picLocks noChangeAspect="1"/>
        </xdr:cNvPicPr>
      </xdr:nvPicPr>
      <xdr:blipFill>
        <a:blip r:embed="rId18">
          <a:extLst>
            <a:ext uri="{28A0092B-C50C-407E-A947-70E740481C1C}">
              <a14:useLocalDpi xmlns:a14="http://schemas.microsoft.com/office/drawing/2010/main" val="0"/>
            </a:ext>
          </a:extLst>
        </a:blip>
        <a:stretch>
          <a:fillRect/>
        </a:stretch>
      </xdr:blipFill>
      <xdr:spPr>
        <a:xfrm>
          <a:off x="2214880" y="23515320"/>
          <a:ext cx="540385" cy="539750"/>
        </a:xfrm>
        <a:prstGeom prst="rect">
          <a:avLst/>
        </a:prstGeom>
      </xdr:spPr>
    </xdr:pic>
    <xdr:clientData/>
  </xdr:oneCellAnchor>
  <xdr:oneCellAnchor>
    <xdr:from>
      <xdr:col>3</xdr:col>
      <xdr:colOff>38641</xdr:colOff>
      <xdr:row>54</xdr:row>
      <xdr:rowOff>68395</xdr:rowOff>
    </xdr:from>
    <xdr:ext cx="540000" cy="540000"/>
    <xdr:pic>
      <xdr:nvPicPr>
        <xdr:cNvPr id="204" name="图片 203"/>
        <xdr:cNvPicPr>
          <a:picLocks noChangeAspect="1"/>
        </xdr:cNvPicPr>
      </xdr:nvPicPr>
      <xdr:blipFill>
        <a:blip r:embed="rId19">
          <a:extLst>
            <a:ext uri="{28A0092B-C50C-407E-A947-70E740481C1C}">
              <a14:useLocalDpi xmlns:a14="http://schemas.microsoft.com/office/drawing/2010/main" val="0"/>
            </a:ext>
          </a:extLst>
        </a:blip>
        <a:stretch>
          <a:fillRect/>
        </a:stretch>
      </xdr:blipFill>
      <xdr:spPr>
        <a:xfrm>
          <a:off x="2181225" y="24166195"/>
          <a:ext cx="540385" cy="540385"/>
        </a:xfrm>
        <a:prstGeom prst="rect">
          <a:avLst/>
        </a:prstGeom>
      </xdr:spPr>
    </xdr:pic>
    <xdr:clientData/>
  </xdr:oneCellAnchor>
  <xdr:oneCellAnchor>
    <xdr:from>
      <xdr:col>3</xdr:col>
      <xdr:colOff>72259</xdr:colOff>
      <xdr:row>55</xdr:row>
      <xdr:rowOff>52552</xdr:rowOff>
    </xdr:from>
    <xdr:ext cx="540000" cy="540000"/>
    <xdr:pic>
      <xdr:nvPicPr>
        <xdr:cNvPr id="205" name="图片 204"/>
        <xdr:cNvPicPr>
          <a:picLocks noChangeAspect="1"/>
        </xdr:cNvPicPr>
      </xdr:nvPicPr>
      <xdr:blipFill>
        <a:blip r:embed="rId20">
          <a:extLst>
            <a:ext uri="{28A0092B-C50C-407E-A947-70E740481C1C}">
              <a14:useLocalDpi xmlns:a14="http://schemas.microsoft.com/office/drawing/2010/main" val="0"/>
            </a:ext>
          </a:extLst>
        </a:blip>
        <a:stretch>
          <a:fillRect/>
        </a:stretch>
      </xdr:blipFill>
      <xdr:spPr>
        <a:xfrm>
          <a:off x="2214880" y="24778970"/>
          <a:ext cx="540385" cy="540385"/>
        </a:xfrm>
        <a:prstGeom prst="rect">
          <a:avLst/>
        </a:prstGeom>
      </xdr:spPr>
    </xdr:pic>
    <xdr:clientData/>
  </xdr:oneCellAnchor>
  <xdr:oneCellAnchor>
    <xdr:from>
      <xdr:col>3</xdr:col>
      <xdr:colOff>59121</xdr:colOff>
      <xdr:row>58</xdr:row>
      <xdr:rowOff>65690</xdr:rowOff>
    </xdr:from>
    <xdr:ext cx="540000" cy="540000"/>
    <xdr:pic>
      <xdr:nvPicPr>
        <xdr:cNvPr id="206" name="图片 205"/>
        <xdr:cNvPicPr>
          <a:picLocks noChangeAspect="1"/>
        </xdr:cNvPicPr>
      </xdr:nvPicPr>
      <xdr:blipFill>
        <a:blip r:embed="rId21">
          <a:extLst>
            <a:ext uri="{28A0092B-C50C-407E-A947-70E740481C1C}">
              <a14:useLocalDpi xmlns:a14="http://schemas.microsoft.com/office/drawing/2010/main" val="0"/>
            </a:ext>
          </a:extLst>
        </a:blip>
        <a:stretch>
          <a:fillRect/>
        </a:stretch>
      </xdr:blipFill>
      <xdr:spPr>
        <a:xfrm>
          <a:off x="2202180" y="26678255"/>
          <a:ext cx="539750" cy="539750"/>
        </a:xfrm>
        <a:prstGeom prst="rect">
          <a:avLst/>
        </a:prstGeom>
      </xdr:spPr>
    </xdr:pic>
    <xdr:clientData/>
  </xdr:oneCellAnchor>
  <xdr:oneCellAnchor>
    <xdr:from>
      <xdr:col>3</xdr:col>
      <xdr:colOff>65690</xdr:colOff>
      <xdr:row>56</xdr:row>
      <xdr:rowOff>39414</xdr:rowOff>
    </xdr:from>
    <xdr:ext cx="540000" cy="540000"/>
    <xdr:pic>
      <xdr:nvPicPr>
        <xdr:cNvPr id="207" name="图片 206"/>
        <xdr:cNvPicPr>
          <a:picLocks noChangeAspect="1"/>
        </xdr:cNvPicPr>
      </xdr:nvPicPr>
      <xdr:blipFill>
        <a:blip r:embed="rId20">
          <a:extLst>
            <a:ext uri="{28A0092B-C50C-407E-A947-70E740481C1C}">
              <a14:useLocalDpi xmlns:a14="http://schemas.microsoft.com/office/drawing/2010/main" val="0"/>
            </a:ext>
          </a:extLst>
        </a:blip>
        <a:stretch>
          <a:fillRect/>
        </a:stretch>
      </xdr:blipFill>
      <xdr:spPr>
        <a:xfrm>
          <a:off x="2208530" y="25394920"/>
          <a:ext cx="539750" cy="539750"/>
        </a:xfrm>
        <a:prstGeom prst="rect">
          <a:avLst/>
        </a:prstGeom>
      </xdr:spPr>
    </xdr:pic>
    <xdr:clientData/>
  </xdr:oneCellAnchor>
  <xdr:oneCellAnchor>
    <xdr:from>
      <xdr:col>3</xdr:col>
      <xdr:colOff>65690</xdr:colOff>
      <xdr:row>61</xdr:row>
      <xdr:rowOff>45983</xdr:rowOff>
    </xdr:from>
    <xdr:ext cx="540000" cy="540000"/>
    <xdr:pic>
      <xdr:nvPicPr>
        <xdr:cNvPr id="208" name="图片 207"/>
        <xdr:cNvPicPr>
          <a:picLocks noChangeAspect="1"/>
        </xdr:cNvPicPr>
      </xdr:nvPicPr>
      <xdr:blipFill>
        <a:blip r:embed="rId22">
          <a:extLst>
            <a:ext uri="{28A0092B-C50C-407E-A947-70E740481C1C}">
              <a14:useLocalDpi xmlns:a14="http://schemas.microsoft.com/office/drawing/2010/main" val="0"/>
            </a:ext>
          </a:extLst>
        </a:blip>
        <a:stretch>
          <a:fillRect/>
        </a:stretch>
      </xdr:blipFill>
      <xdr:spPr>
        <a:xfrm>
          <a:off x="2208530" y="28544520"/>
          <a:ext cx="539750" cy="539750"/>
        </a:xfrm>
        <a:prstGeom prst="rect">
          <a:avLst/>
        </a:prstGeom>
      </xdr:spPr>
    </xdr:pic>
    <xdr:clientData/>
  </xdr:oneCellAnchor>
  <xdr:oneCellAnchor>
    <xdr:from>
      <xdr:col>3</xdr:col>
      <xdr:colOff>65690</xdr:colOff>
      <xdr:row>59</xdr:row>
      <xdr:rowOff>59121</xdr:rowOff>
    </xdr:from>
    <xdr:ext cx="540000" cy="540000"/>
    <xdr:pic>
      <xdr:nvPicPr>
        <xdr:cNvPr id="209" name="图片 208"/>
        <xdr:cNvPicPr>
          <a:picLocks noChangeAspect="1"/>
        </xdr:cNvPicPr>
      </xdr:nvPicPr>
      <xdr:blipFill>
        <a:blip r:embed="rId21">
          <a:extLst>
            <a:ext uri="{28A0092B-C50C-407E-A947-70E740481C1C}">
              <a14:useLocalDpi xmlns:a14="http://schemas.microsoft.com/office/drawing/2010/main" val="0"/>
            </a:ext>
          </a:extLst>
        </a:blip>
        <a:stretch>
          <a:fillRect/>
        </a:stretch>
      </xdr:blipFill>
      <xdr:spPr>
        <a:xfrm>
          <a:off x="2208530" y="27300555"/>
          <a:ext cx="539750" cy="539750"/>
        </a:xfrm>
        <a:prstGeom prst="rect">
          <a:avLst/>
        </a:prstGeom>
      </xdr:spPr>
    </xdr:pic>
    <xdr:clientData/>
  </xdr:oneCellAnchor>
  <xdr:oneCellAnchor>
    <xdr:from>
      <xdr:col>3</xdr:col>
      <xdr:colOff>59121</xdr:colOff>
      <xdr:row>62</xdr:row>
      <xdr:rowOff>39414</xdr:rowOff>
    </xdr:from>
    <xdr:ext cx="540000" cy="540000"/>
    <xdr:pic>
      <xdr:nvPicPr>
        <xdr:cNvPr id="210" name="图片 209"/>
        <xdr:cNvPicPr>
          <a:picLocks noChangeAspect="1"/>
        </xdr:cNvPicPr>
      </xdr:nvPicPr>
      <xdr:blipFill>
        <a:blip r:embed="rId22">
          <a:extLst>
            <a:ext uri="{28A0092B-C50C-407E-A947-70E740481C1C}">
              <a14:useLocalDpi xmlns:a14="http://schemas.microsoft.com/office/drawing/2010/main" val="0"/>
            </a:ext>
          </a:extLst>
        </a:blip>
        <a:stretch>
          <a:fillRect/>
        </a:stretch>
      </xdr:blipFill>
      <xdr:spPr>
        <a:xfrm>
          <a:off x="2202180" y="29166820"/>
          <a:ext cx="539750" cy="539750"/>
        </a:xfrm>
        <a:prstGeom prst="rect">
          <a:avLst/>
        </a:prstGeom>
      </xdr:spPr>
    </xdr:pic>
    <xdr:clientData/>
  </xdr:oneCellAnchor>
  <xdr:oneCellAnchor>
    <xdr:from>
      <xdr:col>3</xdr:col>
      <xdr:colOff>85397</xdr:colOff>
      <xdr:row>70</xdr:row>
      <xdr:rowOff>52552</xdr:rowOff>
    </xdr:from>
    <xdr:ext cx="540000" cy="540000"/>
    <xdr:pic>
      <xdr:nvPicPr>
        <xdr:cNvPr id="211" name="图片 210"/>
        <xdr:cNvPicPr>
          <a:picLocks noChangeAspect="1"/>
        </xdr:cNvPicPr>
      </xdr:nvPicPr>
      <xdr:blipFill>
        <a:blip r:embed="rId23">
          <a:extLst>
            <a:ext uri="{28A0092B-C50C-407E-A947-70E740481C1C}">
              <a14:useLocalDpi xmlns:a14="http://schemas.microsoft.com/office/drawing/2010/main" val="0"/>
            </a:ext>
          </a:extLst>
        </a:blip>
        <a:stretch>
          <a:fillRect/>
        </a:stretch>
      </xdr:blipFill>
      <xdr:spPr>
        <a:xfrm>
          <a:off x="2228215" y="34208720"/>
          <a:ext cx="539750" cy="540385"/>
        </a:xfrm>
        <a:prstGeom prst="rect">
          <a:avLst/>
        </a:prstGeom>
      </xdr:spPr>
    </xdr:pic>
    <xdr:clientData/>
  </xdr:oneCellAnchor>
  <xdr:oneCellAnchor>
    <xdr:from>
      <xdr:col>3</xdr:col>
      <xdr:colOff>78828</xdr:colOff>
      <xdr:row>71</xdr:row>
      <xdr:rowOff>39414</xdr:rowOff>
    </xdr:from>
    <xdr:ext cx="540000" cy="540000"/>
    <xdr:pic>
      <xdr:nvPicPr>
        <xdr:cNvPr id="212" name="图片 211"/>
        <xdr:cNvPicPr>
          <a:picLocks noChangeAspect="1"/>
        </xdr:cNvPicPr>
      </xdr:nvPicPr>
      <xdr:blipFill>
        <a:blip r:embed="rId23">
          <a:extLst>
            <a:ext uri="{28A0092B-C50C-407E-A947-70E740481C1C}">
              <a14:useLocalDpi xmlns:a14="http://schemas.microsoft.com/office/drawing/2010/main" val="0"/>
            </a:ext>
          </a:extLst>
        </a:blip>
        <a:stretch>
          <a:fillRect/>
        </a:stretch>
      </xdr:blipFill>
      <xdr:spPr>
        <a:xfrm>
          <a:off x="2221865" y="34824670"/>
          <a:ext cx="539750" cy="539750"/>
        </a:xfrm>
        <a:prstGeom prst="rect">
          <a:avLst/>
        </a:prstGeom>
      </xdr:spPr>
    </xdr:pic>
    <xdr:clientData/>
  </xdr:oneCellAnchor>
  <xdr:oneCellAnchor>
    <xdr:from>
      <xdr:col>3</xdr:col>
      <xdr:colOff>65690</xdr:colOff>
      <xdr:row>74</xdr:row>
      <xdr:rowOff>39413</xdr:rowOff>
    </xdr:from>
    <xdr:ext cx="540000" cy="540000"/>
    <xdr:pic>
      <xdr:nvPicPr>
        <xdr:cNvPr id="213" name="图片 212"/>
        <xdr:cNvPicPr>
          <a:picLocks noChangeAspect="1"/>
        </xdr:cNvPicPr>
      </xdr:nvPicPr>
      <xdr:blipFill>
        <a:blip r:embed="rId24">
          <a:extLst>
            <a:ext uri="{28A0092B-C50C-407E-A947-70E740481C1C}">
              <a14:useLocalDpi xmlns:a14="http://schemas.microsoft.com/office/drawing/2010/main" val="0"/>
            </a:ext>
          </a:extLst>
        </a:blip>
        <a:stretch>
          <a:fillRect/>
        </a:stretch>
      </xdr:blipFill>
      <xdr:spPr>
        <a:xfrm>
          <a:off x="2208530" y="36710620"/>
          <a:ext cx="539750" cy="539750"/>
        </a:xfrm>
        <a:prstGeom prst="rect">
          <a:avLst/>
        </a:prstGeom>
      </xdr:spPr>
    </xdr:pic>
    <xdr:clientData/>
  </xdr:oneCellAnchor>
  <xdr:oneCellAnchor>
    <xdr:from>
      <xdr:col>3</xdr:col>
      <xdr:colOff>78827</xdr:colOff>
      <xdr:row>73</xdr:row>
      <xdr:rowOff>32844</xdr:rowOff>
    </xdr:from>
    <xdr:ext cx="540000" cy="540000"/>
    <xdr:pic>
      <xdr:nvPicPr>
        <xdr:cNvPr id="214" name="图片 213"/>
        <xdr:cNvPicPr>
          <a:picLocks noChangeAspect="1"/>
        </xdr:cNvPicPr>
      </xdr:nvPicPr>
      <xdr:blipFill>
        <a:blip r:embed="rId24">
          <a:extLst>
            <a:ext uri="{28A0092B-C50C-407E-A947-70E740481C1C}">
              <a14:useLocalDpi xmlns:a14="http://schemas.microsoft.com/office/drawing/2010/main" val="0"/>
            </a:ext>
          </a:extLst>
        </a:blip>
        <a:stretch>
          <a:fillRect/>
        </a:stretch>
      </xdr:blipFill>
      <xdr:spPr>
        <a:xfrm>
          <a:off x="2221865" y="36074985"/>
          <a:ext cx="539750" cy="540385"/>
        </a:xfrm>
        <a:prstGeom prst="rect">
          <a:avLst/>
        </a:prstGeom>
      </xdr:spPr>
    </xdr:pic>
    <xdr:clientData/>
  </xdr:oneCellAnchor>
  <xdr:oneCellAnchor>
    <xdr:from>
      <xdr:col>3</xdr:col>
      <xdr:colOff>72259</xdr:colOff>
      <xdr:row>76</xdr:row>
      <xdr:rowOff>45982</xdr:rowOff>
    </xdr:from>
    <xdr:ext cx="540000" cy="540000"/>
    <xdr:pic>
      <xdr:nvPicPr>
        <xdr:cNvPr id="215" name="图片 214"/>
        <xdr:cNvPicPr>
          <a:picLocks noChangeAspect="1"/>
        </xdr:cNvPicPr>
      </xdr:nvPicPr>
      <xdr:blipFill>
        <a:blip r:embed="rId25">
          <a:extLst>
            <a:ext uri="{28A0092B-C50C-407E-A947-70E740481C1C}">
              <a14:useLocalDpi xmlns:a14="http://schemas.microsoft.com/office/drawing/2010/main" val="0"/>
            </a:ext>
          </a:extLst>
        </a:blip>
        <a:stretch>
          <a:fillRect/>
        </a:stretch>
      </xdr:blipFill>
      <xdr:spPr>
        <a:xfrm>
          <a:off x="2214880" y="37974270"/>
          <a:ext cx="540385" cy="539750"/>
        </a:xfrm>
        <a:prstGeom prst="rect">
          <a:avLst/>
        </a:prstGeom>
      </xdr:spPr>
    </xdr:pic>
    <xdr:clientData/>
  </xdr:oneCellAnchor>
  <xdr:oneCellAnchor>
    <xdr:from>
      <xdr:col>3</xdr:col>
      <xdr:colOff>72259</xdr:colOff>
      <xdr:row>77</xdr:row>
      <xdr:rowOff>32844</xdr:rowOff>
    </xdr:from>
    <xdr:ext cx="540000" cy="540000"/>
    <xdr:pic>
      <xdr:nvPicPr>
        <xdr:cNvPr id="216" name="图片 215"/>
        <xdr:cNvPicPr>
          <a:picLocks noChangeAspect="1"/>
        </xdr:cNvPicPr>
      </xdr:nvPicPr>
      <xdr:blipFill>
        <a:blip r:embed="rId25">
          <a:extLst>
            <a:ext uri="{28A0092B-C50C-407E-A947-70E740481C1C}">
              <a14:useLocalDpi xmlns:a14="http://schemas.microsoft.com/office/drawing/2010/main" val="0"/>
            </a:ext>
          </a:extLst>
        </a:blip>
        <a:stretch>
          <a:fillRect/>
        </a:stretch>
      </xdr:blipFill>
      <xdr:spPr>
        <a:xfrm>
          <a:off x="2214880" y="38589585"/>
          <a:ext cx="540385" cy="540385"/>
        </a:xfrm>
        <a:prstGeom prst="rect">
          <a:avLst/>
        </a:prstGeom>
      </xdr:spPr>
    </xdr:pic>
    <xdr:clientData/>
  </xdr:oneCellAnchor>
  <xdr:oneCellAnchor>
    <xdr:from>
      <xdr:col>3</xdr:col>
      <xdr:colOff>65690</xdr:colOff>
      <xdr:row>79</xdr:row>
      <xdr:rowOff>45983</xdr:rowOff>
    </xdr:from>
    <xdr:ext cx="540000" cy="540000"/>
    <xdr:pic>
      <xdr:nvPicPr>
        <xdr:cNvPr id="217" name="图片 216"/>
        <xdr:cNvPicPr>
          <a:picLocks noChangeAspect="1"/>
        </xdr:cNvPicPr>
      </xdr:nvPicPr>
      <xdr:blipFill>
        <a:blip r:embed="rId26">
          <a:extLst>
            <a:ext uri="{28A0092B-C50C-407E-A947-70E740481C1C}">
              <a14:useLocalDpi xmlns:a14="http://schemas.microsoft.com/office/drawing/2010/main" val="0"/>
            </a:ext>
          </a:extLst>
        </a:blip>
        <a:stretch>
          <a:fillRect/>
        </a:stretch>
      </xdr:blipFill>
      <xdr:spPr>
        <a:xfrm>
          <a:off x="2208530" y="39860220"/>
          <a:ext cx="539750" cy="539750"/>
        </a:xfrm>
        <a:prstGeom prst="rect">
          <a:avLst/>
        </a:prstGeom>
      </xdr:spPr>
    </xdr:pic>
    <xdr:clientData/>
  </xdr:oneCellAnchor>
  <xdr:oneCellAnchor>
    <xdr:from>
      <xdr:col>3</xdr:col>
      <xdr:colOff>78828</xdr:colOff>
      <xdr:row>80</xdr:row>
      <xdr:rowOff>39415</xdr:rowOff>
    </xdr:from>
    <xdr:ext cx="540000" cy="540000"/>
    <xdr:pic>
      <xdr:nvPicPr>
        <xdr:cNvPr id="218" name="图片 217"/>
        <xdr:cNvPicPr>
          <a:picLocks noChangeAspect="1"/>
        </xdr:cNvPicPr>
      </xdr:nvPicPr>
      <xdr:blipFill>
        <a:blip r:embed="rId26">
          <a:extLst>
            <a:ext uri="{28A0092B-C50C-407E-A947-70E740481C1C}">
              <a14:useLocalDpi xmlns:a14="http://schemas.microsoft.com/office/drawing/2010/main" val="0"/>
            </a:ext>
          </a:extLst>
        </a:blip>
        <a:stretch>
          <a:fillRect/>
        </a:stretch>
      </xdr:blipFill>
      <xdr:spPr>
        <a:xfrm>
          <a:off x="2221865" y="40482520"/>
          <a:ext cx="539750" cy="539750"/>
        </a:xfrm>
        <a:prstGeom prst="rect">
          <a:avLst/>
        </a:prstGeom>
      </xdr:spPr>
    </xdr:pic>
    <xdr:clientData/>
  </xdr:oneCellAnchor>
  <xdr:oneCellAnchor>
    <xdr:from>
      <xdr:col>3</xdr:col>
      <xdr:colOff>78826</xdr:colOff>
      <xdr:row>81</xdr:row>
      <xdr:rowOff>32845</xdr:rowOff>
    </xdr:from>
    <xdr:ext cx="540000" cy="540000"/>
    <xdr:pic>
      <xdr:nvPicPr>
        <xdr:cNvPr id="219" name="图片 218"/>
        <xdr:cNvPicPr>
          <a:picLocks noChangeAspect="1"/>
        </xdr:cNvPicPr>
      </xdr:nvPicPr>
      <xdr:blipFill>
        <a:blip r:embed="rId27">
          <a:extLst>
            <a:ext uri="{28A0092B-C50C-407E-A947-70E740481C1C}">
              <a14:useLocalDpi xmlns:a14="http://schemas.microsoft.com/office/drawing/2010/main" val="0"/>
            </a:ext>
          </a:extLst>
        </a:blip>
        <a:stretch>
          <a:fillRect/>
        </a:stretch>
      </xdr:blipFill>
      <xdr:spPr>
        <a:xfrm>
          <a:off x="2221865" y="41104185"/>
          <a:ext cx="539750" cy="540385"/>
        </a:xfrm>
        <a:prstGeom prst="rect">
          <a:avLst/>
        </a:prstGeom>
      </xdr:spPr>
    </xdr:pic>
    <xdr:clientData/>
  </xdr:oneCellAnchor>
  <xdr:oneCellAnchor>
    <xdr:from>
      <xdr:col>3</xdr:col>
      <xdr:colOff>78827</xdr:colOff>
      <xdr:row>82</xdr:row>
      <xdr:rowOff>45983</xdr:rowOff>
    </xdr:from>
    <xdr:ext cx="540000" cy="540000"/>
    <xdr:pic>
      <xdr:nvPicPr>
        <xdr:cNvPr id="220" name="图片 219"/>
        <xdr:cNvPicPr>
          <a:picLocks noChangeAspect="1"/>
        </xdr:cNvPicPr>
      </xdr:nvPicPr>
      <xdr:blipFill>
        <a:blip r:embed="rId28">
          <a:extLst>
            <a:ext uri="{28A0092B-C50C-407E-A947-70E740481C1C}">
              <a14:useLocalDpi xmlns:a14="http://schemas.microsoft.com/office/drawing/2010/main" val="0"/>
            </a:ext>
          </a:extLst>
        </a:blip>
        <a:stretch>
          <a:fillRect/>
        </a:stretch>
      </xdr:blipFill>
      <xdr:spPr>
        <a:xfrm>
          <a:off x="2221865" y="41746170"/>
          <a:ext cx="539750" cy="539750"/>
        </a:xfrm>
        <a:prstGeom prst="rect">
          <a:avLst/>
        </a:prstGeom>
      </xdr:spPr>
    </xdr:pic>
    <xdr:clientData/>
  </xdr:oneCellAnchor>
  <xdr:oneCellAnchor>
    <xdr:from>
      <xdr:col>3</xdr:col>
      <xdr:colOff>78827</xdr:colOff>
      <xdr:row>83</xdr:row>
      <xdr:rowOff>45983</xdr:rowOff>
    </xdr:from>
    <xdr:ext cx="540000" cy="540000"/>
    <xdr:pic>
      <xdr:nvPicPr>
        <xdr:cNvPr id="221" name="图片 220"/>
        <xdr:cNvPicPr>
          <a:picLocks noChangeAspect="1"/>
        </xdr:cNvPicPr>
      </xdr:nvPicPr>
      <xdr:blipFill>
        <a:blip r:embed="rId28">
          <a:extLst>
            <a:ext uri="{28A0092B-C50C-407E-A947-70E740481C1C}">
              <a14:useLocalDpi xmlns:a14="http://schemas.microsoft.com/office/drawing/2010/main" val="0"/>
            </a:ext>
          </a:extLst>
        </a:blip>
        <a:stretch>
          <a:fillRect/>
        </a:stretch>
      </xdr:blipFill>
      <xdr:spPr>
        <a:xfrm>
          <a:off x="2221865" y="42374820"/>
          <a:ext cx="539750" cy="539750"/>
        </a:xfrm>
        <a:prstGeom prst="rect">
          <a:avLst/>
        </a:prstGeom>
      </xdr:spPr>
    </xdr:pic>
    <xdr:clientData/>
  </xdr:oneCellAnchor>
  <xdr:oneCellAnchor>
    <xdr:from>
      <xdr:col>3</xdr:col>
      <xdr:colOff>78828</xdr:colOff>
      <xdr:row>88</xdr:row>
      <xdr:rowOff>32845</xdr:rowOff>
    </xdr:from>
    <xdr:ext cx="540000" cy="540000"/>
    <xdr:pic>
      <xdr:nvPicPr>
        <xdr:cNvPr id="222" name="图片 221"/>
        <xdr:cNvPicPr>
          <a:picLocks noChangeAspect="1"/>
        </xdr:cNvPicPr>
      </xdr:nvPicPr>
      <xdr:blipFill>
        <a:blip r:embed="rId29">
          <a:extLst>
            <a:ext uri="{28A0092B-C50C-407E-A947-70E740481C1C}">
              <a14:useLocalDpi xmlns:a14="http://schemas.microsoft.com/office/drawing/2010/main" val="0"/>
            </a:ext>
          </a:extLst>
        </a:blip>
        <a:stretch>
          <a:fillRect/>
        </a:stretch>
      </xdr:blipFill>
      <xdr:spPr>
        <a:xfrm>
          <a:off x="2221865" y="45504735"/>
          <a:ext cx="539750" cy="540385"/>
        </a:xfrm>
        <a:prstGeom prst="rect">
          <a:avLst/>
        </a:prstGeom>
      </xdr:spPr>
    </xdr:pic>
    <xdr:clientData/>
  </xdr:oneCellAnchor>
  <xdr:oneCellAnchor>
    <xdr:from>
      <xdr:col>3</xdr:col>
      <xdr:colOff>78828</xdr:colOff>
      <xdr:row>89</xdr:row>
      <xdr:rowOff>39415</xdr:rowOff>
    </xdr:from>
    <xdr:ext cx="540000" cy="540000"/>
    <xdr:pic>
      <xdr:nvPicPr>
        <xdr:cNvPr id="223" name="图片 222"/>
        <xdr:cNvPicPr>
          <a:picLocks noChangeAspect="1"/>
        </xdr:cNvPicPr>
      </xdr:nvPicPr>
      <xdr:blipFill>
        <a:blip r:embed="rId29">
          <a:extLst>
            <a:ext uri="{28A0092B-C50C-407E-A947-70E740481C1C}">
              <a14:useLocalDpi xmlns:a14="http://schemas.microsoft.com/office/drawing/2010/main" val="0"/>
            </a:ext>
          </a:extLst>
        </a:blip>
        <a:stretch>
          <a:fillRect/>
        </a:stretch>
      </xdr:blipFill>
      <xdr:spPr>
        <a:xfrm>
          <a:off x="2221865" y="46140370"/>
          <a:ext cx="539750" cy="539750"/>
        </a:xfrm>
        <a:prstGeom prst="rect">
          <a:avLst/>
        </a:prstGeom>
      </xdr:spPr>
    </xdr:pic>
    <xdr:clientData/>
  </xdr:oneCellAnchor>
  <xdr:oneCellAnchor>
    <xdr:from>
      <xdr:col>3</xdr:col>
      <xdr:colOff>72259</xdr:colOff>
      <xdr:row>92</xdr:row>
      <xdr:rowOff>39414</xdr:rowOff>
    </xdr:from>
    <xdr:ext cx="540000" cy="540000"/>
    <xdr:pic>
      <xdr:nvPicPr>
        <xdr:cNvPr id="224" name="图片 223"/>
        <xdr:cNvPicPr>
          <a:picLocks noChangeAspect="1"/>
        </xdr:cNvPicPr>
      </xdr:nvPicPr>
      <xdr:blipFill>
        <a:blip r:embed="rId30">
          <a:extLst>
            <a:ext uri="{28A0092B-C50C-407E-A947-70E740481C1C}">
              <a14:useLocalDpi xmlns:a14="http://schemas.microsoft.com/office/drawing/2010/main" val="0"/>
            </a:ext>
          </a:extLst>
        </a:blip>
        <a:stretch>
          <a:fillRect/>
        </a:stretch>
      </xdr:blipFill>
      <xdr:spPr>
        <a:xfrm>
          <a:off x="2214880" y="48026320"/>
          <a:ext cx="540385" cy="539750"/>
        </a:xfrm>
        <a:prstGeom prst="rect">
          <a:avLst/>
        </a:prstGeom>
      </xdr:spPr>
    </xdr:pic>
    <xdr:clientData/>
  </xdr:oneCellAnchor>
  <xdr:oneCellAnchor>
    <xdr:from>
      <xdr:col>3</xdr:col>
      <xdr:colOff>65689</xdr:colOff>
      <xdr:row>93</xdr:row>
      <xdr:rowOff>39413</xdr:rowOff>
    </xdr:from>
    <xdr:ext cx="540000" cy="540000"/>
    <xdr:pic>
      <xdr:nvPicPr>
        <xdr:cNvPr id="225" name="图片 224"/>
        <xdr:cNvPicPr>
          <a:picLocks noChangeAspect="1"/>
        </xdr:cNvPicPr>
      </xdr:nvPicPr>
      <xdr:blipFill>
        <a:blip r:embed="rId31">
          <a:extLst>
            <a:ext uri="{28A0092B-C50C-407E-A947-70E740481C1C}">
              <a14:useLocalDpi xmlns:a14="http://schemas.microsoft.com/office/drawing/2010/main" val="0"/>
            </a:ext>
          </a:extLst>
        </a:blip>
        <a:stretch>
          <a:fillRect/>
        </a:stretch>
      </xdr:blipFill>
      <xdr:spPr>
        <a:xfrm>
          <a:off x="2208530" y="48654970"/>
          <a:ext cx="539750" cy="539750"/>
        </a:xfrm>
        <a:prstGeom prst="rect">
          <a:avLst/>
        </a:prstGeom>
      </xdr:spPr>
    </xdr:pic>
    <xdr:clientData/>
  </xdr:oneCellAnchor>
  <xdr:oneCellAnchor>
    <xdr:from>
      <xdr:col>3</xdr:col>
      <xdr:colOff>72259</xdr:colOff>
      <xdr:row>91</xdr:row>
      <xdr:rowOff>39414</xdr:rowOff>
    </xdr:from>
    <xdr:ext cx="540000" cy="540000"/>
    <xdr:pic>
      <xdr:nvPicPr>
        <xdr:cNvPr id="226" name="图片 225"/>
        <xdr:cNvPicPr>
          <a:picLocks noChangeAspect="1"/>
        </xdr:cNvPicPr>
      </xdr:nvPicPr>
      <xdr:blipFill>
        <a:blip r:embed="rId30">
          <a:extLst>
            <a:ext uri="{28A0092B-C50C-407E-A947-70E740481C1C}">
              <a14:useLocalDpi xmlns:a14="http://schemas.microsoft.com/office/drawing/2010/main" val="0"/>
            </a:ext>
          </a:extLst>
        </a:blip>
        <a:stretch>
          <a:fillRect/>
        </a:stretch>
      </xdr:blipFill>
      <xdr:spPr>
        <a:xfrm>
          <a:off x="2214880" y="47397670"/>
          <a:ext cx="540385" cy="539750"/>
        </a:xfrm>
        <a:prstGeom prst="rect">
          <a:avLst/>
        </a:prstGeom>
      </xdr:spPr>
    </xdr:pic>
    <xdr:clientData/>
  </xdr:oneCellAnchor>
  <xdr:oneCellAnchor>
    <xdr:from>
      <xdr:col>3</xdr:col>
      <xdr:colOff>65172</xdr:colOff>
      <xdr:row>94</xdr:row>
      <xdr:rowOff>45118</xdr:rowOff>
    </xdr:from>
    <xdr:ext cx="540000" cy="540000"/>
    <xdr:pic>
      <xdr:nvPicPr>
        <xdr:cNvPr id="227" name="图片 226"/>
        <xdr:cNvPicPr>
          <a:picLocks noChangeAspect="1"/>
        </xdr:cNvPicPr>
      </xdr:nvPicPr>
      <xdr:blipFill>
        <a:blip r:embed="rId32">
          <a:extLst>
            <a:ext uri="{28A0092B-C50C-407E-A947-70E740481C1C}">
              <a14:useLocalDpi xmlns:a14="http://schemas.microsoft.com/office/drawing/2010/main" val="0"/>
            </a:ext>
          </a:extLst>
        </a:blip>
        <a:stretch>
          <a:fillRect/>
        </a:stretch>
      </xdr:blipFill>
      <xdr:spPr>
        <a:xfrm>
          <a:off x="2207895" y="49289335"/>
          <a:ext cx="540385" cy="539750"/>
        </a:xfrm>
        <a:prstGeom prst="rect">
          <a:avLst/>
        </a:prstGeom>
      </xdr:spPr>
    </xdr:pic>
    <xdr:clientData/>
  </xdr:oneCellAnchor>
  <xdr:oneCellAnchor>
    <xdr:from>
      <xdr:col>3</xdr:col>
      <xdr:colOff>60158</xdr:colOff>
      <xdr:row>95</xdr:row>
      <xdr:rowOff>40105</xdr:rowOff>
    </xdr:from>
    <xdr:ext cx="540000" cy="540000"/>
    <xdr:pic>
      <xdr:nvPicPr>
        <xdr:cNvPr id="228" name="图片 227"/>
        <xdr:cNvPicPr>
          <a:picLocks noChangeAspect="1"/>
        </xdr:cNvPicPr>
      </xdr:nvPicPr>
      <xdr:blipFill>
        <a:blip r:embed="rId32">
          <a:extLst>
            <a:ext uri="{28A0092B-C50C-407E-A947-70E740481C1C}">
              <a14:useLocalDpi xmlns:a14="http://schemas.microsoft.com/office/drawing/2010/main" val="0"/>
            </a:ext>
          </a:extLst>
        </a:blip>
        <a:stretch>
          <a:fillRect/>
        </a:stretch>
      </xdr:blipFill>
      <xdr:spPr>
        <a:xfrm>
          <a:off x="2202815" y="49912905"/>
          <a:ext cx="540385" cy="539750"/>
        </a:xfrm>
        <a:prstGeom prst="rect">
          <a:avLst/>
        </a:prstGeom>
      </xdr:spPr>
    </xdr:pic>
    <xdr:clientData/>
  </xdr:oneCellAnchor>
  <xdr:oneCellAnchor>
    <xdr:from>
      <xdr:col>3</xdr:col>
      <xdr:colOff>75198</xdr:colOff>
      <xdr:row>97</xdr:row>
      <xdr:rowOff>35092</xdr:rowOff>
    </xdr:from>
    <xdr:ext cx="540000" cy="540000"/>
    <xdr:pic>
      <xdr:nvPicPr>
        <xdr:cNvPr id="229" name="图片 228"/>
        <xdr:cNvPicPr>
          <a:picLocks noChangeAspect="1"/>
        </xdr:cNvPicPr>
      </xdr:nvPicPr>
      <xdr:blipFill>
        <a:blip r:embed="rId33">
          <a:extLst>
            <a:ext uri="{28A0092B-C50C-407E-A947-70E740481C1C}">
              <a14:useLocalDpi xmlns:a14="http://schemas.microsoft.com/office/drawing/2010/main" val="0"/>
            </a:ext>
          </a:extLst>
        </a:blip>
        <a:stretch>
          <a:fillRect/>
        </a:stretch>
      </xdr:blipFill>
      <xdr:spPr>
        <a:xfrm>
          <a:off x="2218055" y="51165125"/>
          <a:ext cx="539750" cy="539750"/>
        </a:xfrm>
        <a:prstGeom prst="rect">
          <a:avLst/>
        </a:prstGeom>
      </xdr:spPr>
    </xdr:pic>
    <xdr:clientData/>
  </xdr:oneCellAnchor>
  <xdr:oneCellAnchor>
    <xdr:from>
      <xdr:col>3</xdr:col>
      <xdr:colOff>70184</xdr:colOff>
      <xdr:row>98</xdr:row>
      <xdr:rowOff>45119</xdr:rowOff>
    </xdr:from>
    <xdr:ext cx="540000" cy="540000"/>
    <xdr:pic>
      <xdr:nvPicPr>
        <xdr:cNvPr id="230" name="图片 229"/>
        <xdr:cNvPicPr>
          <a:picLocks noChangeAspect="1"/>
        </xdr:cNvPicPr>
      </xdr:nvPicPr>
      <xdr:blipFill>
        <a:blip r:embed="rId33">
          <a:extLst>
            <a:ext uri="{28A0092B-C50C-407E-A947-70E740481C1C}">
              <a14:useLocalDpi xmlns:a14="http://schemas.microsoft.com/office/drawing/2010/main" val="0"/>
            </a:ext>
          </a:extLst>
        </a:blip>
        <a:stretch>
          <a:fillRect/>
        </a:stretch>
      </xdr:blipFill>
      <xdr:spPr>
        <a:xfrm>
          <a:off x="2212975" y="51803935"/>
          <a:ext cx="539750" cy="539750"/>
        </a:xfrm>
        <a:prstGeom prst="rect">
          <a:avLst/>
        </a:prstGeom>
      </xdr:spPr>
    </xdr:pic>
    <xdr:clientData/>
  </xdr:oneCellAnchor>
  <xdr:oneCellAnchor>
    <xdr:from>
      <xdr:col>3</xdr:col>
      <xdr:colOff>65171</xdr:colOff>
      <xdr:row>103</xdr:row>
      <xdr:rowOff>50132</xdr:rowOff>
    </xdr:from>
    <xdr:ext cx="540000" cy="540000"/>
    <xdr:pic>
      <xdr:nvPicPr>
        <xdr:cNvPr id="231" name="图片 230"/>
        <xdr:cNvPicPr>
          <a:picLocks noChangeAspect="1"/>
        </xdr:cNvPicPr>
      </xdr:nvPicPr>
      <xdr:blipFill>
        <a:blip r:embed="rId34">
          <a:extLst>
            <a:ext uri="{28A0092B-C50C-407E-A947-70E740481C1C}">
              <a14:useLocalDpi xmlns:a14="http://schemas.microsoft.com/office/drawing/2010/main" val="0"/>
            </a:ext>
          </a:extLst>
        </a:blip>
        <a:stretch>
          <a:fillRect/>
        </a:stretch>
      </xdr:blipFill>
      <xdr:spPr>
        <a:xfrm>
          <a:off x="2207895" y="54951630"/>
          <a:ext cx="540385" cy="540385"/>
        </a:xfrm>
        <a:prstGeom prst="rect">
          <a:avLst/>
        </a:prstGeom>
      </xdr:spPr>
    </xdr:pic>
    <xdr:clientData/>
  </xdr:oneCellAnchor>
  <xdr:oneCellAnchor>
    <xdr:from>
      <xdr:col>3</xdr:col>
      <xdr:colOff>65171</xdr:colOff>
      <xdr:row>104</xdr:row>
      <xdr:rowOff>35093</xdr:rowOff>
    </xdr:from>
    <xdr:ext cx="540000" cy="540000"/>
    <xdr:pic>
      <xdr:nvPicPr>
        <xdr:cNvPr id="232" name="图片 231"/>
        <xdr:cNvPicPr>
          <a:picLocks noChangeAspect="1"/>
        </xdr:cNvPicPr>
      </xdr:nvPicPr>
      <xdr:blipFill>
        <a:blip r:embed="rId35">
          <a:extLst>
            <a:ext uri="{28A0092B-C50C-407E-A947-70E740481C1C}">
              <a14:useLocalDpi xmlns:a14="http://schemas.microsoft.com/office/drawing/2010/main" val="0"/>
            </a:ext>
          </a:extLst>
        </a:blip>
        <a:stretch>
          <a:fillRect/>
        </a:stretch>
      </xdr:blipFill>
      <xdr:spPr>
        <a:xfrm>
          <a:off x="2207895" y="55565675"/>
          <a:ext cx="540385" cy="539750"/>
        </a:xfrm>
        <a:prstGeom prst="rect">
          <a:avLst/>
        </a:prstGeom>
      </xdr:spPr>
    </xdr:pic>
    <xdr:clientData/>
  </xdr:oneCellAnchor>
  <xdr:oneCellAnchor>
    <xdr:from>
      <xdr:col>3</xdr:col>
      <xdr:colOff>50131</xdr:colOff>
      <xdr:row>107</xdr:row>
      <xdr:rowOff>35093</xdr:rowOff>
    </xdr:from>
    <xdr:ext cx="540000" cy="540000"/>
    <xdr:pic>
      <xdr:nvPicPr>
        <xdr:cNvPr id="233" name="图片 232"/>
        <xdr:cNvPicPr>
          <a:picLocks noChangeAspect="1"/>
        </xdr:cNvPicPr>
      </xdr:nvPicPr>
      <xdr:blipFill>
        <a:blip r:embed="rId36">
          <a:extLst>
            <a:ext uri="{28A0092B-C50C-407E-A947-70E740481C1C}">
              <a14:useLocalDpi xmlns:a14="http://schemas.microsoft.com/office/drawing/2010/main" val="0"/>
            </a:ext>
          </a:extLst>
        </a:blip>
        <a:stretch>
          <a:fillRect/>
        </a:stretch>
      </xdr:blipFill>
      <xdr:spPr>
        <a:xfrm>
          <a:off x="2192655" y="57451625"/>
          <a:ext cx="540385" cy="539750"/>
        </a:xfrm>
        <a:prstGeom prst="rect">
          <a:avLst/>
        </a:prstGeom>
      </xdr:spPr>
    </xdr:pic>
    <xdr:clientData/>
  </xdr:oneCellAnchor>
  <xdr:oneCellAnchor>
    <xdr:from>
      <xdr:col>3</xdr:col>
      <xdr:colOff>70184</xdr:colOff>
      <xdr:row>109</xdr:row>
      <xdr:rowOff>45119</xdr:rowOff>
    </xdr:from>
    <xdr:ext cx="540000" cy="540000"/>
    <xdr:pic>
      <xdr:nvPicPr>
        <xdr:cNvPr id="234" name="图片 233"/>
        <xdr:cNvPicPr>
          <a:picLocks noChangeAspect="1"/>
        </xdr:cNvPicPr>
      </xdr:nvPicPr>
      <xdr:blipFill>
        <a:blip r:embed="rId37">
          <a:extLst>
            <a:ext uri="{28A0092B-C50C-407E-A947-70E740481C1C}">
              <a14:useLocalDpi xmlns:a14="http://schemas.microsoft.com/office/drawing/2010/main" val="0"/>
            </a:ext>
          </a:extLst>
        </a:blip>
        <a:stretch>
          <a:fillRect/>
        </a:stretch>
      </xdr:blipFill>
      <xdr:spPr>
        <a:xfrm>
          <a:off x="2212975" y="58719085"/>
          <a:ext cx="539750" cy="539750"/>
        </a:xfrm>
        <a:prstGeom prst="rect">
          <a:avLst/>
        </a:prstGeom>
      </xdr:spPr>
    </xdr:pic>
    <xdr:clientData/>
  </xdr:oneCellAnchor>
  <xdr:oneCellAnchor>
    <xdr:from>
      <xdr:col>3</xdr:col>
      <xdr:colOff>65170</xdr:colOff>
      <xdr:row>106</xdr:row>
      <xdr:rowOff>40105</xdr:rowOff>
    </xdr:from>
    <xdr:ext cx="540000" cy="540000"/>
    <xdr:pic>
      <xdr:nvPicPr>
        <xdr:cNvPr id="235" name="图片 234"/>
        <xdr:cNvPicPr>
          <a:picLocks noChangeAspect="1"/>
        </xdr:cNvPicPr>
      </xdr:nvPicPr>
      <xdr:blipFill>
        <a:blip r:embed="rId36">
          <a:extLst>
            <a:ext uri="{28A0092B-C50C-407E-A947-70E740481C1C}">
              <a14:useLocalDpi xmlns:a14="http://schemas.microsoft.com/office/drawing/2010/main" val="0"/>
            </a:ext>
          </a:extLst>
        </a:blip>
        <a:stretch>
          <a:fillRect/>
        </a:stretch>
      </xdr:blipFill>
      <xdr:spPr>
        <a:xfrm>
          <a:off x="2207895" y="56828055"/>
          <a:ext cx="540385" cy="539750"/>
        </a:xfrm>
        <a:prstGeom prst="rect">
          <a:avLst/>
        </a:prstGeom>
      </xdr:spPr>
    </xdr:pic>
    <xdr:clientData/>
  </xdr:oneCellAnchor>
  <xdr:oneCellAnchor>
    <xdr:from>
      <xdr:col>3</xdr:col>
      <xdr:colOff>90237</xdr:colOff>
      <xdr:row>110</xdr:row>
      <xdr:rowOff>40105</xdr:rowOff>
    </xdr:from>
    <xdr:ext cx="540000" cy="540000"/>
    <xdr:pic>
      <xdr:nvPicPr>
        <xdr:cNvPr id="236" name="图片 235"/>
        <xdr:cNvPicPr>
          <a:picLocks noChangeAspect="1"/>
        </xdr:cNvPicPr>
      </xdr:nvPicPr>
      <xdr:blipFill>
        <a:blip r:embed="rId37">
          <a:extLst>
            <a:ext uri="{28A0092B-C50C-407E-A947-70E740481C1C}">
              <a14:useLocalDpi xmlns:a14="http://schemas.microsoft.com/office/drawing/2010/main" val="0"/>
            </a:ext>
          </a:extLst>
        </a:blip>
        <a:stretch>
          <a:fillRect/>
        </a:stretch>
      </xdr:blipFill>
      <xdr:spPr>
        <a:xfrm>
          <a:off x="2233295" y="59342655"/>
          <a:ext cx="539750" cy="539750"/>
        </a:xfrm>
        <a:prstGeom prst="rect">
          <a:avLst/>
        </a:prstGeom>
      </xdr:spPr>
    </xdr:pic>
    <xdr:clientData/>
  </xdr:oneCellAnchor>
  <xdr:oneCellAnchor>
    <xdr:from>
      <xdr:col>3</xdr:col>
      <xdr:colOff>70185</xdr:colOff>
      <xdr:row>112</xdr:row>
      <xdr:rowOff>40105</xdr:rowOff>
    </xdr:from>
    <xdr:ext cx="540000" cy="540000"/>
    <xdr:pic>
      <xdr:nvPicPr>
        <xdr:cNvPr id="237" name="图片 236"/>
        <xdr:cNvPicPr>
          <a:picLocks noChangeAspect="1"/>
        </xdr:cNvPicPr>
      </xdr:nvPicPr>
      <xdr:blipFill>
        <a:blip r:embed="rId38">
          <a:extLst>
            <a:ext uri="{28A0092B-C50C-407E-A947-70E740481C1C}">
              <a14:useLocalDpi xmlns:a14="http://schemas.microsoft.com/office/drawing/2010/main" val="0"/>
            </a:ext>
          </a:extLst>
        </a:blip>
        <a:stretch>
          <a:fillRect/>
        </a:stretch>
      </xdr:blipFill>
      <xdr:spPr>
        <a:xfrm>
          <a:off x="2212975" y="60599955"/>
          <a:ext cx="539750" cy="539750"/>
        </a:xfrm>
        <a:prstGeom prst="rect">
          <a:avLst/>
        </a:prstGeom>
      </xdr:spPr>
    </xdr:pic>
    <xdr:clientData/>
  </xdr:oneCellAnchor>
  <xdr:oneCellAnchor>
    <xdr:from>
      <xdr:col>3</xdr:col>
      <xdr:colOff>75198</xdr:colOff>
      <xdr:row>113</xdr:row>
      <xdr:rowOff>45117</xdr:rowOff>
    </xdr:from>
    <xdr:ext cx="540000" cy="540000"/>
    <xdr:pic>
      <xdr:nvPicPr>
        <xdr:cNvPr id="238" name="图片 237"/>
        <xdr:cNvPicPr>
          <a:picLocks noChangeAspect="1"/>
        </xdr:cNvPicPr>
      </xdr:nvPicPr>
      <xdr:blipFill>
        <a:blip r:embed="rId38">
          <a:extLst>
            <a:ext uri="{28A0092B-C50C-407E-A947-70E740481C1C}">
              <a14:useLocalDpi xmlns:a14="http://schemas.microsoft.com/office/drawing/2010/main" val="0"/>
            </a:ext>
          </a:extLst>
        </a:blip>
        <a:stretch>
          <a:fillRect/>
        </a:stretch>
      </xdr:blipFill>
      <xdr:spPr>
        <a:xfrm>
          <a:off x="2218055" y="61233685"/>
          <a:ext cx="539750" cy="539750"/>
        </a:xfrm>
        <a:prstGeom prst="rect">
          <a:avLst/>
        </a:prstGeom>
      </xdr:spPr>
    </xdr:pic>
    <xdr:clientData/>
  </xdr:oneCellAnchor>
  <xdr:oneCellAnchor>
    <xdr:from>
      <xdr:col>3</xdr:col>
      <xdr:colOff>70184</xdr:colOff>
      <xdr:row>115</xdr:row>
      <xdr:rowOff>40105</xdr:rowOff>
    </xdr:from>
    <xdr:ext cx="540000" cy="540000"/>
    <xdr:pic>
      <xdr:nvPicPr>
        <xdr:cNvPr id="239" name="图片 238"/>
        <xdr:cNvPicPr>
          <a:picLocks noChangeAspect="1"/>
        </xdr:cNvPicPr>
      </xdr:nvPicPr>
      <xdr:blipFill>
        <a:blip r:embed="rId39">
          <a:extLst>
            <a:ext uri="{28A0092B-C50C-407E-A947-70E740481C1C}">
              <a14:useLocalDpi xmlns:a14="http://schemas.microsoft.com/office/drawing/2010/main" val="0"/>
            </a:ext>
          </a:extLst>
        </a:blip>
        <a:stretch>
          <a:fillRect/>
        </a:stretch>
      </xdr:blipFill>
      <xdr:spPr>
        <a:xfrm>
          <a:off x="2212975" y="62485905"/>
          <a:ext cx="539750" cy="539750"/>
        </a:xfrm>
        <a:prstGeom prst="rect">
          <a:avLst/>
        </a:prstGeom>
      </xdr:spPr>
    </xdr:pic>
    <xdr:clientData/>
  </xdr:oneCellAnchor>
  <xdr:oneCellAnchor>
    <xdr:from>
      <xdr:col>3</xdr:col>
      <xdr:colOff>75197</xdr:colOff>
      <xdr:row>116</xdr:row>
      <xdr:rowOff>40105</xdr:rowOff>
    </xdr:from>
    <xdr:ext cx="540000" cy="540000"/>
    <xdr:pic>
      <xdr:nvPicPr>
        <xdr:cNvPr id="240" name="图片 239"/>
        <xdr:cNvPicPr>
          <a:picLocks noChangeAspect="1"/>
        </xdr:cNvPicPr>
      </xdr:nvPicPr>
      <xdr:blipFill>
        <a:blip r:embed="rId39">
          <a:extLst>
            <a:ext uri="{28A0092B-C50C-407E-A947-70E740481C1C}">
              <a14:useLocalDpi xmlns:a14="http://schemas.microsoft.com/office/drawing/2010/main" val="0"/>
            </a:ext>
          </a:extLst>
        </a:blip>
        <a:stretch>
          <a:fillRect/>
        </a:stretch>
      </xdr:blipFill>
      <xdr:spPr>
        <a:xfrm>
          <a:off x="2218055" y="63114555"/>
          <a:ext cx="539750" cy="539750"/>
        </a:xfrm>
        <a:prstGeom prst="rect">
          <a:avLst/>
        </a:prstGeom>
      </xdr:spPr>
    </xdr:pic>
    <xdr:clientData/>
  </xdr:oneCellAnchor>
  <xdr:oneCellAnchor>
    <xdr:from>
      <xdr:col>3</xdr:col>
      <xdr:colOff>75198</xdr:colOff>
      <xdr:row>118</xdr:row>
      <xdr:rowOff>50132</xdr:rowOff>
    </xdr:from>
    <xdr:ext cx="540000" cy="540000"/>
    <xdr:pic>
      <xdr:nvPicPr>
        <xdr:cNvPr id="241" name="图片 240"/>
        <xdr:cNvPicPr>
          <a:picLocks noChangeAspect="1"/>
        </xdr:cNvPicPr>
      </xdr:nvPicPr>
      <xdr:blipFill>
        <a:blip r:embed="rId40">
          <a:extLst>
            <a:ext uri="{28A0092B-C50C-407E-A947-70E740481C1C}">
              <a14:useLocalDpi xmlns:a14="http://schemas.microsoft.com/office/drawing/2010/main" val="0"/>
            </a:ext>
          </a:extLst>
        </a:blip>
        <a:stretch>
          <a:fillRect/>
        </a:stretch>
      </xdr:blipFill>
      <xdr:spPr>
        <a:xfrm>
          <a:off x="2218055" y="64381380"/>
          <a:ext cx="539750" cy="540385"/>
        </a:xfrm>
        <a:prstGeom prst="rect">
          <a:avLst/>
        </a:prstGeom>
      </xdr:spPr>
    </xdr:pic>
    <xdr:clientData/>
  </xdr:oneCellAnchor>
  <xdr:oneCellAnchor>
    <xdr:from>
      <xdr:col>3</xdr:col>
      <xdr:colOff>60157</xdr:colOff>
      <xdr:row>117</xdr:row>
      <xdr:rowOff>35092</xdr:rowOff>
    </xdr:from>
    <xdr:ext cx="540000" cy="540000"/>
    <xdr:pic>
      <xdr:nvPicPr>
        <xdr:cNvPr id="242" name="图片 241"/>
        <xdr:cNvPicPr>
          <a:picLocks noChangeAspect="1"/>
        </xdr:cNvPicPr>
      </xdr:nvPicPr>
      <xdr:blipFill>
        <a:blip r:embed="rId39">
          <a:extLst>
            <a:ext uri="{28A0092B-C50C-407E-A947-70E740481C1C}">
              <a14:useLocalDpi xmlns:a14="http://schemas.microsoft.com/office/drawing/2010/main" val="0"/>
            </a:ext>
          </a:extLst>
        </a:blip>
        <a:stretch>
          <a:fillRect/>
        </a:stretch>
      </xdr:blipFill>
      <xdr:spPr>
        <a:xfrm>
          <a:off x="2202815" y="63738125"/>
          <a:ext cx="540385" cy="539750"/>
        </a:xfrm>
        <a:prstGeom prst="rect">
          <a:avLst/>
        </a:prstGeom>
      </xdr:spPr>
    </xdr:pic>
    <xdr:clientData/>
  </xdr:oneCellAnchor>
  <xdr:oneCellAnchor>
    <xdr:from>
      <xdr:col>3</xdr:col>
      <xdr:colOff>70184</xdr:colOff>
      <xdr:row>119</xdr:row>
      <xdr:rowOff>40105</xdr:rowOff>
    </xdr:from>
    <xdr:ext cx="540000" cy="540000"/>
    <xdr:pic>
      <xdr:nvPicPr>
        <xdr:cNvPr id="243" name="图片 242"/>
        <xdr:cNvPicPr>
          <a:picLocks noChangeAspect="1"/>
        </xdr:cNvPicPr>
      </xdr:nvPicPr>
      <xdr:blipFill>
        <a:blip r:embed="rId41">
          <a:extLst>
            <a:ext uri="{28A0092B-C50C-407E-A947-70E740481C1C}">
              <a14:useLocalDpi xmlns:a14="http://schemas.microsoft.com/office/drawing/2010/main" val="0"/>
            </a:ext>
          </a:extLst>
        </a:blip>
        <a:stretch>
          <a:fillRect/>
        </a:stretch>
      </xdr:blipFill>
      <xdr:spPr>
        <a:xfrm>
          <a:off x="2212975" y="65000505"/>
          <a:ext cx="539750" cy="539750"/>
        </a:xfrm>
        <a:prstGeom prst="rect">
          <a:avLst/>
        </a:prstGeom>
      </xdr:spPr>
    </xdr:pic>
    <xdr:clientData/>
  </xdr:oneCellAnchor>
  <xdr:oneCellAnchor>
    <xdr:from>
      <xdr:col>3</xdr:col>
      <xdr:colOff>95250</xdr:colOff>
      <xdr:row>120</xdr:row>
      <xdr:rowOff>40105</xdr:rowOff>
    </xdr:from>
    <xdr:ext cx="540000" cy="540000"/>
    <xdr:pic>
      <xdr:nvPicPr>
        <xdr:cNvPr id="244" name="图片 243"/>
        <xdr:cNvPicPr>
          <a:picLocks noChangeAspect="1"/>
        </xdr:cNvPicPr>
      </xdr:nvPicPr>
      <xdr:blipFill>
        <a:blip r:embed="rId42">
          <a:extLst>
            <a:ext uri="{28A0092B-C50C-407E-A947-70E740481C1C}">
              <a14:useLocalDpi xmlns:a14="http://schemas.microsoft.com/office/drawing/2010/main" val="0"/>
            </a:ext>
          </a:extLst>
        </a:blip>
        <a:stretch>
          <a:fillRect/>
        </a:stretch>
      </xdr:blipFill>
      <xdr:spPr>
        <a:xfrm>
          <a:off x="2238375" y="65629155"/>
          <a:ext cx="539750" cy="539750"/>
        </a:xfrm>
        <a:prstGeom prst="rect">
          <a:avLst/>
        </a:prstGeom>
      </xdr:spPr>
    </xdr:pic>
    <xdr:clientData/>
  </xdr:oneCellAnchor>
  <xdr:oneCellAnchor>
    <xdr:from>
      <xdr:col>3</xdr:col>
      <xdr:colOff>70185</xdr:colOff>
      <xdr:row>121</xdr:row>
      <xdr:rowOff>45118</xdr:rowOff>
    </xdr:from>
    <xdr:ext cx="540000" cy="540000"/>
    <xdr:pic>
      <xdr:nvPicPr>
        <xdr:cNvPr id="245" name="图片 244"/>
        <xdr:cNvPicPr>
          <a:picLocks noChangeAspect="1"/>
        </xdr:cNvPicPr>
      </xdr:nvPicPr>
      <xdr:blipFill>
        <a:blip r:embed="rId43">
          <a:extLst>
            <a:ext uri="{28A0092B-C50C-407E-A947-70E740481C1C}">
              <a14:useLocalDpi xmlns:a14="http://schemas.microsoft.com/office/drawing/2010/main" val="0"/>
            </a:ext>
          </a:extLst>
        </a:blip>
        <a:stretch>
          <a:fillRect/>
        </a:stretch>
      </xdr:blipFill>
      <xdr:spPr>
        <a:xfrm>
          <a:off x="2212975" y="66262885"/>
          <a:ext cx="539750" cy="539750"/>
        </a:xfrm>
        <a:prstGeom prst="rect">
          <a:avLst/>
        </a:prstGeom>
      </xdr:spPr>
    </xdr:pic>
    <xdr:clientData/>
  </xdr:oneCellAnchor>
  <xdr:oneCellAnchor>
    <xdr:from>
      <xdr:col>3</xdr:col>
      <xdr:colOff>70184</xdr:colOff>
      <xdr:row>122</xdr:row>
      <xdr:rowOff>35092</xdr:rowOff>
    </xdr:from>
    <xdr:ext cx="540000" cy="540000"/>
    <xdr:pic>
      <xdr:nvPicPr>
        <xdr:cNvPr id="246" name="图片 245"/>
        <xdr:cNvPicPr>
          <a:picLocks noChangeAspect="1"/>
        </xdr:cNvPicPr>
      </xdr:nvPicPr>
      <xdr:blipFill>
        <a:blip r:embed="rId43">
          <a:extLst>
            <a:ext uri="{28A0092B-C50C-407E-A947-70E740481C1C}">
              <a14:useLocalDpi xmlns:a14="http://schemas.microsoft.com/office/drawing/2010/main" val="0"/>
            </a:ext>
          </a:extLst>
        </a:blip>
        <a:stretch>
          <a:fillRect/>
        </a:stretch>
      </xdr:blipFill>
      <xdr:spPr>
        <a:xfrm>
          <a:off x="2212975" y="66881375"/>
          <a:ext cx="539750" cy="539750"/>
        </a:xfrm>
        <a:prstGeom prst="rect">
          <a:avLst/>
        </a:prstGeom>
      </xdr:spPr>
    </xdr:pic>
    <xdr:clientData/>
  </xdr:oneCellAnchor>
  <xdr:oneCellAnchor>
    <xdr:from>
      <xdr:col>3</xdr:col>
      <xdr:colOff>75198</xdr:colOff>
      <xdr:row>124</xdr:row>
      <xdr:rowOff>40105</xdr:rowOff>
    </xdr:from>
    <xdr:ext cx="540000" cy="540000"/>
    <xdr:pic>
      <xdr:nvPicPr>
        <xdr:cNvPr id="247" name="图片 246"/>
        <xdr:cNvPicPr>
          <a:picLocks noChangeAspect="1"/>
        </xdr:cNvPicPr>
      </xdr:nvPicPr>
      <xdr:blipFill>
        <a:blip r:embed="rId44">
          <a:extLst>
            <a:ext uri="{28A0092B-C50C-407E-A947-70E740481C1C}">
              <a14:useLocalDpi xmlns:a14="http://schemas.microsoft.com/office/drawing/2010/main" val="0"/>
            </a:ext>
          </a:extLst>
        </a:blip>
        <a:stretch>
          <a:fillRect/>
        </a:stretch>
      </xdr:blipFill>
      <xdr:spPr>
        <a:xfrm>
          <a:off x="2218055" y="68143755"/>
          <a:ext cx="539750" cy="539750"/>
        </a:xfrm>
        <a:prstGeom prst="rect">
          <a:avLst/>
        </a:prstGeom>
      </xdr:spPr>
    </xdr:pic>
    <xdr:clientData/>
  </xdr:oneCellAnchor>
  <xdr:oneCellAnchor>
    <xdr:from>
      <xdr:col>3</xdr:col>
      <xdr:colOff>65172</xdr:colOff>
      <xdr:row>126</xdr:row>
      <xdr:rowOff>35092</xdr:rowOff>
    </xdr:from>
    <xdr:ext cx="540000" cy="540000"/>
    <xdr:pic>
      <xdr:nvPicPr>
        <xdr:cNvPr id="248" name="图片 247"/>
        <xdr:cNvPicPr>
          <a:picLocks noChangeAspect="1"/>
        </xdr:cNvPicPr>
      </xdr:nvPicPr>
      <xdr:blipFill>
        <a:blip r:embed="rId45">
          <a:extLst>
            <a:ext uri="{28A0092B-C50C-407E-A947-70E740481C1C}">
              <a14:useLocalDpi xmlns:a14="http://schemas.microsoft.com/office/drawing/2010/main" val="0"/>
            </a:ext>
          </a:extLst>
        </a:blip>
        <a:stretch>
          <a:fillRect/>
        </a:stretch>
      </xdr:blipFill>
      <xdr:spPr>
        <a:xfrm>
          <a:off x="2207895" y="69395975"/>
          <a:ext cx="540385" cy="539750"/>
        </a:xfrm>
        <a:prstGeom prst="rect">
          <a:avLst/>
        </a:prstGeom>
      </xdr:spPr>
    </xdr:pic>
    <xdr:clientData/>
  </xdr:oneCellAnchor>
  <xdr:oneCellAnchor>
    <xdr:from>
      <xdr:col>3</xdr:col>
      <xdr:colOff>65171</xdr:colOff>
      <xdr:row>125</xdr:row>
      <xdr:rowOff>35092</xdr:rowOff>
    </xdr:from>
    <xdr:ext cx="540000" cy="540000"/>
    <xdr:pic>
      <xdr:nvPicPr>
        <xdr:cNvPr id="249" name="图片 248"/>
        <xdr:cNvPicPr>
          <a:picLocks noChangeAspect="1"/>
        </xdr:cNvPicPr>
      </xdr:nvPicPr>
      <xdr:blipFill>
        <a:blip r:embed="rId44">
          <a:extLst>
            <a:ext uri="{28A0092B-C50C-407E-A947-70E740481C1C}">
              <a14:useLocalDpi xmlns:a14="http://schemas.microsoft.com/office/drawing/2010/main" val="0"/>
            </a:ext>
          </a:extLst>
        </a:blip>
        <a:stretch>
          <a:fillRect/>
        </a:stretch>
      </xdr:blipFill>
      <xdr:spPr>
        <a:xfrm>
          <a:off x="2207895" y="68767325"/>
          <a:ext cx="540385" cy="539750"/>
        </a:xfrm>
        <a:prstGeom prst="rect">
          <a:avLst/>
        </a:prstGeom>
      </xdr:spPr>
    </xdr:pic>
    <xdr:clientData/>
  </xdr:oneCellAnchor>
  <xdr:oneCellAnchor>
    <xdr:from>
      <xdr:col>3</xdr:col>
      <xdr:colOff>55145</xdr:colOff>
      <xdr:row>128</xdr:row>
      <xdr:rowOff>40106</xdr:rowOff>
    </xdr:from>
    <xdr:ext cx="540000" cy="540000"/>
    <xdr:pic>
      <xdr:nvPicPr>
        <xdr:cNvPr id="250" name="图片 249"/>
        <xdr:cNvPicPr>
          <a:picLocks noChangeAspect="1"/>
        </xdr:cNvPicPr>
      </xdr:nvPicPr>
      <xdr:blipFill>
        <a:blip r:embed="rId46">
          <a:extLst>
            <a:ext uri="{28A0092B-C50C-407E-A947-70E740481C1C}">
              <a14:useLocalDpi xmlns:a14="http://schemas.microsoft.com/office/drawing/2010/main" val="0"/>
            </a:ext>
          </a:extLst>
        </a:blip>
        <a:stretch>
          <a:fillRect/>
        </a:stretch>
      </xdr:blipFill>
      <xdr:spPr>
        <a:xfrm>
          <a:off x="2197735" y="70658355"/>
          <a:ext cx="540385" cy="539750"/>
        </a:xfrm>
        <a:prstGeom prst="rect">
          <a:avLst/>
        </a:prstGeom>
      </xdr:spPr>
    </xdr:pic>
    <xdr:clientData/>
  </xdr:oneCellAnchor>
  <xdr:oneCellAnchor>
    <xdr:from>
      <xdr:col>3</xdr:col>
      <xdr:colOff>75198</xdr:colOff>
      <xdr:row>130</xdr:row>
      <xdr:rowOff>35092</xdr:rowOff>
    </xdr:from>
    <xdr:ext cx="540000" cy="540000"/>
    <xdr:pic>
      <xdr:nvPicPr>
        <xdr:cNvPr id="251" name="图片 250"/>
        <xdr:cNvPicPr>
          <a:picLocks noChangeAspect="1"/>
        </xdr:cNvPicPr>
      </xdr:nvPicPr>
      <xdr:blipFill>
        <a:blip r:embed="rId47">
          <a:extLst>
            <a:ext uri="{28A0092B-C50C-407E-A947-70E740481C1C}">
              <a14:useLocalDpi xmlns:a14="http://schemas.microsoft.com/office/drawing/2010/main" val="0"/>
            </a:ext>
          </a:extLst>
        </a:blip>
        <a:stretch>
          <a:fillRect/>
        </a:stretch>
      </xdr:blipFill>
      <xdr:spPr>
        <a:xfrm>
          <a:off x="2218055" y="71910575"/>
          <a:ext cx="539750" cy="539750"/>
        </a:xfrm>
        <a:prstGeom prst="rect">
          <a:avLst/>
        </a:prstGeom>
      </xdr:spPr>
    </xdr:pic>
    <xdr:clientData/>
  </xdr:oneCellAnchor>
  <xdr:oneCellAnchor>
    <xdr:from>
      <xdr:col>3</xdr:col>
      <xdr:colOff>65171</xdr:colOff>
      <xdr:row>127</xdr:row>
      <xdr:rowOff>40105</xdr:rowOff>
    </xdr:from>
    <xdr:ext cx="540000" cy="540000"/>
    <xdr:pic>
      <xdr:nvPicPr>
        <xdr:cNvPr id="252" name="图片 251"/>
        <xdr:cNvPicPr>
          <a:picLocks noChangeAspect="1"/>
        </xdr:cNvPicPr>
      </xdr:nvPicPr>
      <xdr:blipFill>
        <a:blip r:embed="rId46">
          <a:extLst>
            <a:ext uri="{28A0092B-C50C-407E-A947-70E740481C1C}">
              <a14:useLocalDpi xmlns:a14="http://schemas.microsoft.com/office/drawing/2010/main" val="0"/>
            </a:ext>
          </a:extLst>
        </a:blip>
        <a:stretch>
          <a:fillRect/>
        </a:stretch>
      </xdr:blipFill>
      <xdr:spPr>
        <a:xfrm>
          <a:off x="2207895" y="70029705"/>
          <a:ext cx="540385" cy="539750"/>
        </a:xfrm>
        <a:prstGeom prst="rect">
          <a:avLst/>
        </a:prstGeom>
      </xdr:spPr>
    </xdr:pic>
    <xdr:clientData/>
  </xdr:oneCellAnchor>
  <xdr:oneCellAnchor>
    <xdr:from>
      <xdr:col>3</xdr:col>
      <xdr:colOff>70184</xdr:colOff>
      <xdr:row>131</xdr:row>
      <xdr:rowOff>40105</xdr:rowOff>
    </xdr:from>
    <xdr:ext cx="540000" cy="540000"/>
    <xdr:pic>
      <xdr:nvPicPr>
        <xdr:cNvPr id="253" name="图片 252"/>
        <xdr:cNvPicPr>
          <a:picLocks noChangeAspect="1"/>
        </xdr:cNvPicPr>
      </xdr:nvPicPr>
      <xdr:blipFill>
        <a:blip r:embed="rId47">
          <a:extLst>
            <a:ext uri="{28A0092B-C50C-407E-A947-70E740481C1C}">
              <a14:useLocalDpi xmlns:a14="http://schemas.microsoft.com/office/drawing/2010/main" val="0"/>
            </a:ext>
          </a:extLst>
        </a:blip>
        <a:stretch>
          <a:fillRect/>
        </a:stretch>
      </xdr:blipFill>
      <xdr:spPr>
        <a:xfrm>
          <a:off x="2212975" y="72544305"/>
          <a:ext cx="539750" cy="539750"/>
        </a:xfrm>
        <a:prstGeom prst="rect">
          <a:avLst/>
        </a:prstGeom>
      </xdr:spPr>
    </xdr:pic>
    <xdr:clientData/>
  </xdr:oneCellAnchor>
  <xdr:oneCellAnchor>
    <xdr:from>
      <xdr:col>3</xdr:col>
      <xdr:colOff>65171</xdr:colOff>
      <xdr:row>132</xdr:row>
      <xdr:rowOff>40106</xdr:rowOff>
    </xdr:from>
    <xdr:ext cx="540000" cy="540000"/>
    <xdr:pic>
      <xdr:nvPicPr>
        <xdr:cNvPr id="254" name="图片 253"/>
        <xdr:cNvPicPr>
          <a:picLocks noChangeAspect="1"/>
        </xdr:cNvPicPr>
      </xdr:nvPicPr>
      <xdr:blipFill>
        <a:blip r:embed="rId47">
          <a:extLst>
            <a:ext uri="{28A0092B-C50C-407E-A947-70E740481C1C}">
              <a14:useLocalDpi xmlns:a14="http://schemas.microsoft.com/office/drawing/2010/main" val="0"/>
            </a:ext>
          </a:extLst>
        </a:blip>
        <a:stretch>
          <a:fillRect/>
        </a:stretch>
      </xdr:blipFill>
      <xdr:spPr>
        <a:xfrm>
          <a:off x="2207895" y="73172955"/>
          <a:ext cx="540385" cy="539750"/>
        </a:xfrm>
        <a:prstGeom prst="rect">
          <a:avLst/>
        </a:prstGeom>
      </xdr:spPr>
    </xdr:pic>
    <xdr:clientData/>
  </xdr:oneCellAnchor>
  <xdr:oneCellAnchor>
    <xdr:from>
      <xdr:col>3</xdr:col>
      <xdr:colOff>65171</xdr:colOff>
      <xdr:row>133</xdr:row>
      <xdr:rowOff>50131</xdr:rowOff>
    </xdr:from>
    <xdr:ext cx="540000" cy="540000"/>
    <xdr:pic>
      <xdr:nvPicPr>
        <xdr:cNvPr id="255" name="图片 254"/>
        <xdr:cNvPicPr>
          <a:picLocks noChangeAspect="1"/>
        </xdr:cNvPicPr>
      </xdr:nvPicPr>
      <xdr:blipFill>
        <a:blip r:embed="rId48">
          <a:extLst>
            <a:ext uri="{28A0092B-C50C-407E-A947-70E740481C1C}">
              <a14:useLocalDpi xmlns:a14="http://schemas.microsoft.com/office/drawing/2010/main" val="0"/>
            </a:ext>
          </a:extLst>
        </a:blip>
        <a:stretch>
          <a:fillRect/>
        </a:stretch>
      </xdr:blipFill>
      <xdr:spPr>
        <a:xfrm>
          <a:off x="2207895" y="73811130"/>
          <a:ext cx="540385" cy="540385"/>
        </a:xfrm>
        <a:prstGeom prst="rect">
          <a:avLst/>
        </a:prstGeom>
      </xdr:spPr>
    </xdr:pic>
    <xdr:clientData/>
  </xdr:oneCellAnchor>
  <xdr:oneCellAnchor>
    <xdr:from>
      <xdr:col>3</xdr:col>
      <xdr:colOff>65171</xdr:colOff>
      <xdr:row>134</xdr:row>
      <xdr:rowOff>50132</xdr:rowOff>
    </xdr:from>
    <xdr:ext cx="540000" cy="540000"/>
    <xdr:pic>
      <xdr:nvPicPr>
        <xdr:cNvPr id="256" name="图片 255"/>
        <xdr:cNvPicPr>
          <a:picLocks noChangeAspect="1"/>
        </xdr:cNvPicPr>
      </xdr:nvPicPr>
      <xdr:blipFill>
        <a:blip r:embed="rId48">
          <a:extLst>
            <a:ext uri="{28A0092B-C50C-407E-A947-70E740481C1C}">
              <a14:useLocalDpi xmlns:a14="http://schemas.microsoft.com/office/drawing/2010/main" val="0"/>
            </a:ext>
          </a:extLst>
        </a:blip>
        <a:stretch>
          <a:fillRect/>
        </a:stretch>
      </xdr:blipFill>
      <xdr:spPr>
        <a:xfrm>
          <a:off x="2207895" y="74439780"/>
          <a:ext cx="540385" cy="540385"/>
        </a:xfrm>
        <a:prstGeom prst="rect">
          <a:avLst/>
        </a:prstGeom>
      </xdr:spPr>
    </xdr:pic>
    <xdr:clientData/>
  </xdr:oneCellAnchor>
  <xdr:oneCellAnchor>
    <xdr:from>
      <xdr:col>3</xdr:col>
      <xdr:colOff>70184</xdr:colOff>
      <xdr:row>136</xdr:row>
      <xdr:rowOff>40106</xdr:rowOff>
    </xdr:from>
    <xdr:ext cx="540000" cy="540000"/>
    <xdr:pic>
      <xdr:nvPicPr>
        <xdr:cNvPr id="257" name="图片 256"/>
        <xdr:cNvPicPr>
          <a:picLocks noChangeAspect="1"/>
        </xdr:cNvPicPr>
      </xdr:nvPicPr>
      <xdr:blipFill>
        <a:blip r:embed="rId49">
          <a:extLst>
            <a:ext uri="{28A0092B-C50C-407E-A947-70E740481C1C}">
              <a14:useLocalDpi xmlns:a14="http://schemas.microsoft.com/office/drawing/2010/main" val="0"/>
            </a:ext>
          </a:extLst>
        </a:blip>
        <a:stretch>
          <a:fillRect/>
        </a:stretch>
      </xdr:blipFill>
      <xdr:spPr>
        <a:xfrm>
          <a:off x="2212975" y="75687555"/>
          <a:ext cx="539750" cy="539750"/>
        </a:xfrm>
        <a:prstGeom prst="rect">
          <a:avLst/>
        </a:prstGeom>
      </xdr:spPr>
    </xdr:pic>
    <xdr:clientData/>
  </xdr:oneCellAnchor>
  <xdr:oneCellAnchor>
    <xdr:from>
      <xdr:col>3</xdr:col>
      <xdr:colOff>60158</xdr:colOff>
      <xdr:row>137</xdr:row>
      <xdr:rowOff>35092</xdr:rowOff>
    </xdr:from>
    <xdr:ext cx="540000" cy="540000"/>
    <xdr:pic>
      <xdr:nvPicPr>
        <xdr:cNvPr id="258" name="图片 257"/>
        <xdr:cNvPicPr>
          <a:picLocks noChangeAspect="1"/>
        </xdr:cNvPicPr>
      </xdr:nvPicPr>
      <xdr:blipFill>
        <a:blip r:embed="rId49">
          <a:extLst>
            <a:ext uri="{28A0092B-C50C-407E-A947-70E740481C1C}">
              <a14:useLocalDpi xmlns:a14="http://schemas.microsoft.com/office/drawing/2010/main" val="0"/>
            </a:ext>
          </a:extLst>
        </a:blip>
        <a:stretch>
          <a:fillRect/>
        </a:stretch>
      </xdr:blipFill>
      <xdr:spPr>
        <a:xfrm>
          <a:off x="2202815" y="76311125"/>
          <a:ext cx="540385" cy="539750"/>
        </a:xfrm>
        <a:prstGeom prst="rect">
          <a:avLst/>
        </a:prstGeom>
      </xdr:spPr>
    </xdr:pic>
    <xdr:clientData/>
  </xdr:oneCellAnchor>
  <xdr:oneCellAnchor>
    <xdr:from>
      <xdr:col>3</xdr:col>
      <xdr:colOff>65171</xdr:colOff>
      <xdr:row>139</xdr:row>
      <xdr:rowOff>40105</xdr:rowOff>
    </xdr:from>
    <xdr:ext cx="540000" cy="540000"/>
    <xdr:pic>
      <xdr:nvPicPr>
        <xdr:cNvPr id="259" name="图片 258"/>
        <xdr:cNvPicPr>
          <a:picLocks noChangeAspect="1"/>
        </xdr:cNvPicPr>
      </xdr:nvPicPr>
      <xdr:blipFill>
        <a:blip r:embed="rId50">
          <a:extLst>
            <a:ext uri="{28A0092B-C50C-407E-A947-70E740481C1C}">
              <a14:useLocalDpi xmlns:a14="http://schemas.microsoft.com/office/drawing/2010/main" val="0"/>
            </a:ext>
          </a:extLst>
        </a:blip>
        <a:stretch>
          <a:fillRect/>
        </a:stretch>
      </xdr:blipFill>
      <xdr:spPr>
        <a:xfrm>
          <a:off x="2207895" y="77573505"/>
          <a:ext cx="540385" cy="539750"/>
        </a:xfrm>
        <a:prstGeom prst="rect">
          <a:avLst/>
        </a:prstGeom>
      </xdr:spPr>
    </xdr:pic>
    <xdr:clientData/>
  </xdr:oneCellAnchor>
  <xdr:oneCellAnchor>
    <xdr:from>
      <xdr:col>3</xdr:col>
      <xdr:colOff>70184</xdr:colOff>
      <xdr:row>140</xdr:row>
      <xdr:rowOff>55145</xdr:rowOff>
    </xdr:from>
    <xdr:ext cx="540000" cy="540000"/>
    <xdr:pic>
      <xdr:nvPicPr>
        <xdr:cNvPr id="260" name="图片 259"/>
        <xdr:cNvPicPr>
          <a:picLocks noChangeAspect="1"/>
        </xdr:cNvPicPr>
      </xdr:nvPicPr>
      <xdr:blipFill>
        <a:blip r:embed="rId50">
          <a:extLst>
            <a:ext uri="{28A0092B-C50C-407E-A947-70E740481C1C}">
              <a14:useLocalDpi xmlns:a14="http://schemas.microsoft.com/office/drawing/2010/main" val="0"/>
            </a:ext>
          </a:extLst>
        </a:blip>
        <a:stretch>
          <a:fillRect/>
        </a:stretch>
      </xdr:blipFill>
      <xdr:spPr>
        <a:xfrm>
          <a:off x="2212975" y="78216760"/>
          <a:ext cx="539750" cy="540385"/>
        </a:xfrm>
        <a:prstGeom prst="rect">
          <a:avLst/>
        </a:prstGeom>
      </xdr:spPr>
    </xdr:pic>
    <xdr:clientData/>
  </xdr:oneCellAnchor>
  <xdr:twoCellAnchor editAs="oneCell">
    <xdr:from>
      <xdr:col>3</xdr:col>
      <xdr:colOff>78442</xdr:colOff>
      <xdr:row>84</xdr:row>
      <xdr:rowOff>33618</xdr:rowOff>
    </xdr:from>
    <xdr:to>
      <xdr:col>3</xdr:col>
      <xdr:colOff>638735</xdr:colOff>
      <xdr:row>84</xdr:row>
      <xdr:rowOff>602530</xdr:rowOff>
    </xdr:to>
    <xdr:pic>
      <xdr:nvPicPr>
        <xdr:cNvPr id="261" name="图片 260"/>
        <xdr:cNvPicPr>
          <a:picLocks noChangeAspect="1"/>
        </xdr:cNvPicPr>
      </xdr:nvPicPr>
      <xdr:blipFill>
        <a:blip r:embed="rId51"/>
        <a:stretch>
          <a:fillRect/>
        </a:stretch>
      </xdr:blipFill>
      <xdr:spPr>
        <a:xfrm>
          <a:off x="2221230" y="42990770"/>
          <a:ext cx="560070" cy="568960"/>
        </a:xfrm>
        <a:prstGeom prst="rect">
          <a:avLst/>
        </a:prstGeom>
      </xdr:spPr>
    </xdr:pic>
    <xdr:clientData/>
  </xdr:twoCellAnchor>
  <xdr:twoCellAnchor editAs="oneCell">
    <xdr:from>
      <xdr:col>3</xdr:col>
      <xdr:colOff>89648</xdr:colOff>
      <xdr:row>85</xdr:row>
      <xdr:rowOff>44823</xdr:rowOff>
    </xdr:from>
    <xdr:to>
      <xdr:col>3</xdr:col>
      <xdr:colOff>638735</xdr:colOff>
      <xdr:row>85</xdr:row>
      <xdr:rowOff>593910</xdr:rowOff>
    </xdr:to>
    <xdr:pic>
      <xdr:nvPicPr>
        <xdr:cNvPr id="262" name="图片 261"/>
        <xdr:cNvPicPr>
          <a:picLocks noChangeAspect="1"/>
        </xdr:cNvPicPr>
      </xdr:nvPicPr>
      <xdr:blipFill>
        <a:blip r:embed="rId52"/>
        <a:stretch>
          <a:fillRect/>
        </a:stretch>
      </xdr:blipFill>
      <xdr:spPr>
        <a:xfrm>
          <a:off x="2232660" y="43630850"/>
          <a:ext cx="548640" cy="549275"/>
        </a:xfrm>
        <a:prstGeom prst="rect">
          <a:avLst/>
        </a:prstGeom>
      </xdr:spPr>
    </xdr:pic>
    <xdr:clientData/>
  </xdr:twoCellAnchor>
  <xdr:twoCellAnchor editAs="oneCell">
    <xdr:from>
      <xdr:col>3</xdr:col>
      <xdr:colOff>67235</xdr:colOff>
      <xdr:row>64</xdr:row>
      <xdr:rowOff>44825</xdr:rowOff>
    </xdr:from>
    <xdr:to>
      <xdr:col>3</xdr:col>
      <xdr:colOff>616323</xdr:colOff>
      <xdr:row>64</xdr:row>
      <xdr:rowOff>602360</xdr:rowOff>
    </xdr:to>
    <xdr:pic>
      <xdr:nvPicPr>
        <xdr:cNvPr id="263" name="图片 262"/>
        <xdr:cNvPicPr>
          <a:picLocks noChangeAspect="1"/>
        </xdr:cNvPicPr>
      </xdr:nvPicPr>
      <xdr:blipFill>
        <a:blip r:embed="rId53"/>
        <a:stretch>
          <a:fillRect/>
        </a:stretch>
      </xdr:blipFill>
      <xdr:spPr>
        <a:xfrm>
          <a:off x="2209800" y="30429200"/>
          <a:ext cx="549275" cy="557530"/>
        </a:xfrm>
        <a:prstGeom prst="rect">
          <a:avLst/>
        </a:prstGeom>
      </xdr:spPr>
    </xdr:pic>
    <xdr:clientData/>
  </xdr:twoCellAnchor>
  <xdr:twoCellAnchor editAs="oneCell">
    <xdr:from>
      <xdr:col>3</xdr:col>
      <xdr:colOff>89647</xdr:colOff>
      <xdr:row>65</xdr:row>
      <xdr:rowOff>56032</xdr:rowOff>
    </xdr:from>
    <xdr:to>
      <xdr:col>3</xdr:col>
      <xdr:colOff>638735</xdr:colOff>
      <xdr:row>65</xdr:row>
      <xdr:rowOff>613567</xdr:rowOff>
    </xdr:to>
    <xdr:pic>
      <xdr:nvPicPr>
        <xdr:cNvPr id="264" name="图片 263"/>
        <xdr:cNvPicPr>
          <a:picLocks noChangeAspect="1"/>
        </xdr:cNvPicPr>
      </xdr:nvPicPr>
      <xdr:blipFill>
        <a:blip r:embed="rId53"/>
        <a:stretch>
          <a:fillRect/>
        </a:stretch>
      </xdr:blipFill>
      <xdr:spPr>
        <a:xfrm>
          <a:off x="2232660" y="31069280"/>
          <a:ext cx="548640" cy="55753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runk\&#31574;&#21010;&#25991;&#26723;\&#30127;&#29378;&#21866;&#22047;&#25968;&#25454;&#32467;&#26500;.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属性库"/>
      <sheetName val="数据结构"/>
      <sheetName val="2.0版本属性投放"/>
      <sheetName val="战斗公式"/>
      <sheetName val="角色-秘典"/>
      <sheetName val="角色-突破"/>
      <sheetName val="角色-技能"/>
      <sheetName val="角色-天赋"/>
      <sheetName val="装备-开箱属性"/>
      <sheetName val="装备-开箱词条"/>
      <sheetName val="传承装备数值"/>
      <sheetName val="神器数值"/>
      <sheetName val="宠物-升级数值"/>
      <sheetName val="宠物-天赋"/>
      <sheetName val="宠物技能书"/>
      <sheetName val="商业化价值框架"/>
      <sheetName val="产销设计"/>
      <sheetName val="音效清单"/>
      <sheetName val="玩家行为预期"/>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C2">
            <v>0.3</v>
          </cell>
        </row>
        <row r="2">
          <cell r="K2">
            <v>1</v>
          </cell>
          <cell r="L2">
            <v>2</v>
          </cell>
        </row>
        <row r="3">
          <cell r="C3">
            <v>0.5</v>
          </cell>
        </row>
        <row r="3">
          <cell r="K3">
            <v>1.5</v>
          </cell>
          <cell r="L3">
            <v>3</v>
          </cell>
        </row>
        <row r="4">
          <cell r="C4">
            <v>0.7</v>
          </cell>
        </row>
        <row r="4">
          <cell r="K4">
            <v>2</v>
          </cell>
          <cell r="L4">
            <v>4</v>
          </cell>
        </row>
        <row r="5">
          <cell r="C5">
            <v>1</v>
          </cell>
        </row>
        <row r="5">
          <cell r="K5">
            <v>2.5</v>
          </cell>
          <cell r="L5">
            <v>5</v>
          </cell>
        </row>
        <row r="6">
          <cell r="C6">
            <v>2</v>
          </cell>
        </row>
        <row r="6">
          <cell r="K6">
            <v>3</v>
          </cell>
          <cell r="L6">
            <v>6</v>
          </cell>
        </row>
        <row r="7">
          <cell r="C7">
            <v>3</v>
          </cell>
        </row>
        <row r="7">
          <cell r="K7">
            <v>3.5</v>
          </cell>
          <cell r="L7">
            <v>8</v>
          </cell>
        </row>
        <row r="8">
          <cell r="C8">
            <v>5</v>
          </cell>
        </row>
        <row r="8">
          <cell r="K8">
            <v>4</v>
          </cell>
          <cell r="L8">
            <v>10</v>
          </cell>
        </row>
      </sheetData>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38"/>
  <sheetViews>
    <sheetView tabSelected="1" workbookViewId="0">
      <pane xSplit="1" ySplit="3" topLeftCell="B32" activePane="bottomRight" state="frozen"/>
      <selection/>
      <selection pane="topRight"/>
      <selection pane="bottomLeft"/>
      <selection pane="bottomRight" activeCell="F48" sqref="F48"/>
    </sheetView>
  </sheetViews>
  <sheetFormatPr defaultColWidth="9.25" defaultRowHeight="22.5" customHeight="1"/>
  <cols>
    <col min="1" max="1" width="10.625" style="1" customWidth="1"/>
    <col min="2" max="2" width="11.875" style="1" customWidth="1"/>
    <col min="3" max="3" width="19.875" style="1" customWidth="1"/>
    <col min="4" max="4" width="9" style="1" customWidth="1"/>
    <col min="5" max="5" width="7.625" style="1" customWidth="1"/>
    <col min="6" max="7" width="12.625" style="1" customWidth="1"/>
    <col min="8" max="8" width="82.375" style="1" customWidth="1"/>
    <col min="9" max="9" width="18.25" style="1" customWidth="1"/>
    <col min="10" max="10" width="9.125" style="1" customWidth="1"/>
    <col min="11" max="11" width="15.125" style="1" customWidth="1"/>
    <col min="12" max="16" width="12.75" style="1" customWidth="1"/>
    <col min="17" max="17" width="12" style="1" customWidth="1"/>
    <col min="18" max="18" width="40.25" style="1" customWidth="1"/>
    <col min="19" max="16384" width="9.25" style="1"/>
  </cols>
  <sheetData>
    <row r="1" customHeight="1" spans="1:18">
      <c r="A1" s="50" t="s">
        <v>0</v>
      </c>
      <c r="B1" s="50" t="s">
        <v>1</v>
      </c>
      <c r="C1" s="50" t="s">
        <v>2</v>
      </c>
      <c r="D1" s="50" t="s">
        <v>3</v>
      </c>
      <c r="E1" s="50" t="s">
        <v>4</v>
      </c>
      <c r="F1" s="50" t="s">
        <v>5</v>
      </c>
      <c r="G1" s="50" t="s">
        <v>6</v>
      </c>
      <c r="H1" s="50" t="s">
        <v>7</v>
      </c>
      <c r="I1" s="50" t="s">
        <v>8</v>
      </c>
      <c r="J1" s="50" t="s">
        <v>9</v>
      </c>
      <c r="K1" s="50" t="s">
        <v>10</v>
      </c>
      <c r="L1" s="50" t="s">
        <v>11</v>
      </c>
      <c r="M1" s="50" t="s">
        <v>12</v>
      </c>
      <c r="N1" s="50" t="s">
        <v>13</v>
      </c>
      <c r="O1" s="50" t="s">
        <v>14</v>
      </c>
      <c r="P1" s="50" t="s">
        <v>15</v>
      </c>
      <c r="Q1" s="50" t="s">
        <v>16</v>
      </c>
      <c r="R1" s="50" t="s">
        <v>17</v>
      </c>
    </row>
    <row r="2" customHeight="1" spans="1:18">
      <c r="A2" s="51" t="s">
        <v>18</v>
      </c>
      <c r="B2" s="51" t="s">
        <v>19</v>
      </c>
      <c r="C2" s="51" t="s">
        <v>19</v>
      </c>
      <c r="D2" s="51" t="s">
        <v>18</v>
      </c>
      <c r="E2" s="51" t="s">
        <v>20</v>
      </c>
      <c r="F2" s="51" t="s">
        <v>18</v>
      </c>
      <c r="G2" s="51" t="s">
        <v>18</v>
      </c>
      <c r="H2" s="51" t="s">
        <v>19</v>
      </c>
      <c r="I2" s="51" t="s">
        <v>19</v>
      </c>
      <c r="J2" s="51" t="s">
        <v>19</v>
      </c>
      <c r="K2" s="51" t="s">
        <v>19</v>
      </c>
      <c r="L2" s="51" t="s">
        <v>19</v>
      </c>
      <c r="M2" s="51" t="s">
        <v>18</v>
      </c>
      <c r="N2" s="51" t="s">
        <v>18</v>
      </c>
      <c r="O2" s="51" t="s">
        <v>18</v>
      </c>
      <c r="P2" s="51" t="s">
        <v>18</v>
      </c>
      <c r="Q2" s="51" t="s">
        <v>18</v>
      </c>
      <c r="R2" s="50" t="s">
        <v>21</v>
      </c>
    </row>
    <row r="3" customHeight="1" spans="1:18">
      <c r="A3" s="51" t="s">
        <v>22</v>
      </c>
      <c r="B3" s="51" t="s">
        <v>23</v>
      </c>
      <c r="C3" s="51" t="s">
        <v>24</v>
      </c>
      <c r="D3" s="51" t="s">
        <v>25</v>
      </c>
      <c r="E3" s="51" t="s">
        <v>26</v>
      </c>
      <c r="F3" s="51" t="s">
        <v>27</v>
      </c>
      <c r="G3" s="51" t="s">
        <v>28</v>
      </c>
      <c r="H3" s="51" t="s">
        <v>29</v>
      </c>
      <c r="I3" s="51" t="s">
        <v>30</v>
      </c>
      <c r="J3" s="51" t="s">
        <v>31</v>
      </c>
      <c r="K3" s="51" t="s">
        <v>32</v>
      </c>
      <c r="L3" s="51" t="s">
        <v>33</v>
      </c>
      <c r="M3" s="51" t="s">
        <v>34</v>
      </c>
      <c r="N3" s="51" t="s">
        <v>35</v>
      </c>
      <c r="O3" s="51" t="s">
        <v>36</v>
      </c>
      <c r="P3" s="51" t="s">
        <v>37</v>
      </c>
      <c r="Q3" s="50" t="s">
        <v>38</v>
      </c>
      <c r="R3" s="50" t="s">
        <v>39</v>
      </c>
    </row>
    <row r="4" customHeight="1" spans="1:18">
      <c r="A4" s="36">
        <v>10060</v>
      </c>
      <c r="B4" s="36" t="s">
        <v>40</v>
      </c>
      <c r="C4" s="32" t="s">
        <v>41</v>
      </c>
      <c r="D4" s="36">
        <v>3</v>
      </c>
      <c r="E4" s="36">
        <v>3</v>
      </c>
      <c r="F4" s="36">
        <v>1006001</v>
      </c>
      <c r="G4" s="36">
        <v>3</v>
      </c>
      <c r="H4" s="36" t="s">
        <v>42</v>
      </c>
      <c r="I4" s="36" t="s">
        <v>43</v>
      </c>
      <c r="J4" s="36">
        <v>10060</v>
      </c>
      <c r="K4" s="36">
        <v>10060</v>
      </c>
      <c r="L4" s="36" t="s">
        <v>44</v>
      </c>
      <c r="M4" s="36">
        <f>'[1]宠物-升级数值'!$C$4*10000</f>
        <v>7000</v>
      </c>
      <c r="N4" s="36">
        <f>'[1]宠物-升级数值'!$K$4*10000</f>
        <v>20000</v>
      </c>
      <c r="O4" s="36">
        <f>'[1]宠物-升级数值'!$L$4*10000</f>
        <v>40000</v>
      </c>
      <c r="P4" s="36">
        <v>10000</v>
      </c>
      <c r="Q4" s="36">
        <v>80</v>
      </c>
      <c r="R4" s="36" t="s">
        <v>45</v>
      </c>
    </row>
    <row r="5" customHeight="1" spans="1:18">
      <c r="A5" s="36">
        <v>10090</v>
      </c>
      <c r="B5" s="36" t="s">
        <v>46</v>
      </c>
      <c r="C5" s="32" t="s">
        <v>47</v>
      </c>
      <c r="D5" s="36">
        <v>3</v>
      </c>
      <c r="E5" s="36">
        <v>6</v>
      </c>
      <c r="F5" s="36">
        <v>1009001</v>
      </c>
      <c r="G5" s="36">
        <v>3</v>
      </c>
      <c r="H5" s="36" t="s">
        <v>48</v>
      </c>
      <c r="I5" s="36" t="s">
        <v>49</v>
      </c>
      <c r="J5" s="36">
        <v>10090</v>
      </c>
      <c r="K5" s="36">
        <v>10090</v>
      </c>
      <c r="L5" s="36" t="s">
        <v>50</v>
      </c>
      <c r="M5" s="36">
        <f>'[1]宠物-升级数值'!$C$7*10000</f>
        <v>30000</v>
      </c>
      <c r="N5" s="36">
        <f>'[1]宠物-升级数值'!$K$7*10000</f>
        <v>35000</v>
      </c>
      <c r="O5" s="36">
        <f>'[1]宠物-升级数值'!$L$7*10000</f>
        <v>80000</v>
      </c>
      <c r="P5" s="36">
        <v>10000</v>
      </c>
      <c r="Q5" s="36">
        <v>80</v>
      </c>
      <c r="R5" s="36" t="s">
        <v>51</v>
      </c>
    </row>
    <row r="6" customHeight="1" spans="1:18">
      <c r="A6" s="2">
        <v>10100</v>
      </c>
      <c r="B6" s="2" t="s">
        <v>52</v>
      </c>
      <c r="C6" t="s">
        <v>53</v>
      </c>
      <c r="D6" s="2">
        <v>1</v>
      </c>
      <c r="E6" s="2">
        <v>1</v>
      </c>
      <c r="F6" s="2">
        <v>1010001</v>
      </c>
      <c r="G6" s="2">
        <v>1</v>
      </c>
      <c r="H6" s="2" t="s">
        <v>54</v>
      </c>
      <c r="I6" s="2" t="s">
        <v>55</v>
      </c>
      <c r="J6" s="2">
        <v>10100</v>
      </c>
      <c r="K6" s="2">
        <v>10100</v>
      </c>
      <c r="L6" s="2" t="s">
        <v>56</v>
      </c>
      <c r="M6" s="2">
        <f>'[1]宠物-升级数值'!$C$2*10000</f>
        <v>3000</v>
      </c>
      <c r="N6" s="2">
        <f>'[1]宠物-升级数值'!$K$2*10000</f>
        <v>10000</v>
      </c>
      <c r="O6" s="2">
        <f>'[1]宠物-升级数值'!$L$2*10000</f>
        <v>20000</v>
      </c>
      <c r="P6" s="36">
        <v>10000</v>
      </c>
      <c r="Q6" s="2">
        <v>80</v>
      </c>
      <c r="R6" s="2" t="s">
        <v>57</v>
      </c>
    </row>
    <row r="7" customHeight="1" spans="1:18">
      <c r="A7" s="2">
        <v>10101</v>
      </c>
      <c r="B7" s="2" t="s">
        <v>58</v>
      </c>
      <c r="C7" t="s">
        <v>59</v>
      </c>
      <c r="D7" s="2">
        <v>1</v>
      </c>
      <c r="E7" s="2">
        <v>5</v>
      </c>
      <c r="F7" s="2">
        <v>1010101</v>
      </c>
      <c r="G7" s="2">
        <v>1</v>
      </c>
      <c r="H7" s="2" t="s">
        <v>60</v>
      </c>
      <c r="I7" s="2" t="s">
        <v>61</v>
      </c>
      <c r="J7" s="2">
        <v>10101</v>
      </c>
      <c r="K7" s="2">
        <v>10101</v>
      </c>
      <c r="L7" s="2" t="s">
        <v>62</v>
      </c>
      <c r="M7" s="2">
        <f>'[1]宠物-升级数值'!$C$6*10000</f>
        <v>20000</v>
      </c>
      <c r="N7" s="2">
        <f>'[1]宠物-升级数值'!$K$6*10000</f>
        <v>30000</v>
      </c>
      <c r="O7" s="2">
        <f>'[1]宠物-升级数值'!$L$6*10000</f>
        <v>60000</v>
      </c>
      <c r="P7" s="36">
        <v>10000</v>
      </c>
      <c r="Q7" s="2">
        <v>80</v>
      </c>
      <c r="R7" s="2" t="s">
        <v>63</v>
      </c>
    </row>
    <row r="8" customHeight="1" spans="1:18">
      <c r="A8" s="2">
        <v>10110</v>
      </c>
      <c r="B8" s="2" t="s">
        <v>64</v>
      </c>
      <c r="C8" t="s">
        <v>65</v>
      </c>
      <c r="D8" s="2">
        <v>2</v>
      </c>
      <c r="E8" s="2">
        <v>1</v>
      </c>
      <c r="F8" s="2">
        <v>1011001</v>
      </c>
      <c r="G8" s="2">
        <v>2</v>
      </c>
      <c r="H8" s="2" t="s">
        <v>66</v>
      </c>
      <c r="I8" s="2" t="s">
        <v>67</v>
      </c>
      <c r="J8" s="2">
        <v>10110</v>
      </c>
      <c r="K8" s="2">
        <v>10110</v>
      </c>
      <c r="L8" s="2" t="s">
        <v>68</v>
      </c>
      <c r="M8" s="2">
        <f>'[1]宠物-升级数值'!$C$2*10000</f>
        <v>3000</v>
      </c>
      <c r="N8" s="2">
        <f>'[1]宠物-升级数值'!$K$2*10000</f>
        <v>10000</v>
      </c>
      <c r="O8" s="2">
        <f>'[1]宠物-升级数值'!$L$2*10000</f>
        <v>20000</v>
      </c>
      <c r="P8" s="36">
        <v>10000</v>
      </c>
      <c r="Q8" s="2">
        <v>80</v>
      </c>
      <c r="R8" s="2" t="s">
        <v>69</v>
      </c>
    </row>
    <row r="9" s="2" customFormat="1" customHeight="1" spans="1:18">
      <c r="A9" s="2">
        <v>10111</v>
      </c>
      <c r="B9" s="2" t="s">
        <v>70</v>
      </c>
      <c r="C9" t="s">
        <v>71</v>
      </c>
      <c r="D9" s="2">
        <v>2</v>
      </c>
      <c r="E9" s="2">
        <v>5</v>
      </c>
      <c r="F9" s="2">
        <v>1011101</v>
      </c>
      <c r="G9" s="2">
        <v>2</v>
      </c>
      <c r="H9" s="2" t="s">
        <v>72</v>
      </c>
      <c r="I9" s="2" t="s">
        <v>73</v>
      </c>
      <c r="J9" s="2">
        <v>10111</v>
      </c>
      <c r="K9" s="2">
        <v>10111</v>
      </c>
      <c r="L9" s="2" t="s">
        <v>74</v>
      </c>
      <c r="M9" s="2">
        <f>'[1]宠物-升级数值'!$C$6*10000</f>
        <v>20000</v>
      </c>
      <c r="N9" s="2">
        <f>'[1]宠物-升级数值'!$K$6*10000</f>
        <v>30000</v>
      </c>
      <c r="O9" s="2">
        <f>'[1]宠物-升级数值'!$L$6*10000</f>
        <v>60000</v>
      </c>
      <c r="P9" s="36">
        <v>10000</v>
      </c>
      <c r="Q9" s="2">
        <v>80</v>
      </c>
      <c r="R9" s="2" t="s">
        <v>69</v>
      </c>
    </row>
    <row r="10" s="2" customFormat="1" customHeight="1" spans="1:18">
      <c r="A10" s="2">
        <v>10120</v>
      </c>
      <c r="B10" s="2" t="s">
        <v>75</v>
      </c>
      <c r="C10" t="s">
        <v>76</v>
      </c>
      <c r="D10" s="2">
        <v>3</v>
      </c>
      <c r="E10" s="2">
        <v>2</v>
      </c>
      <c r="F10" s="2">
        <v>1012001</v>
      </c>
      <c r="G10" s="2">
        <v>3</v>
      </c>
      <c r="H10" s="2" t="s">
        <v>77</v>
      </c>
      <c r="I10" s="2" t="s">
        <v>78</v>
      </c>
      <c r="J10" s="2">
        <v>10120</v>
      </c>
      <c r="K10" s="2">
        <v>10120</v>
      </c>
      <c r="L10" s="2" t="s">
        <v>79</v>
      </c>
      <c r="M10" s="2">
        <f>'[1]宠物-升级数值'!$C$3*10000</f>
        <v>5000</v>
      </c>
      <c r="N10" s="2">
        <f>'[1]宠物-升级数值'!$K$3*10000</f>
        <v>15000</v>
      </c>
      <c r="O10" s="2">
        <f>'[1]宠物-升级数值'!$L$3*10000</f>
        <v>30000</v>
      </c>
      <c r="P10" s="36">
        <v>10000</v>
      </c>
      <c r="Q10" s="2">
        <v>80</v>
      </c>
      <c r="R10" s="2" t="s">
        <v>80</v>
      </c>
    </row>
    <row r="11" customHeight="1" spans="1:18">
      <c r="A11" s="2">
        <v>10130</v>
      </c>
      <c r="B11" s="2" t="s">
        <v>81</v>
      </c>
      <c r="C11" t="s">
        <v>82</v>
      </c>
      <c r="D11" s="2">
        <v>1</v>
      </c>
      <c r="E11" s="2">
        <v>1</v>
      </c>
      <c r="F11" s="2">
        <v>1013001</v>
      </c>
      <c r="G11" s="2">
        <v>1</v>
      </c>
      <c r="H11" s="2" t="s">
        <v>83</v>
      </c>
      <c r="I11" s="2" t="s">
        <v>84</v>
      </c>
      <c r="J11" s="2">
        <v>10130</v>
      </c>
      <c r="K11" s="2">
        <v>10130</v>
      </c>
      <c r="L11" s="2" t="s">
        <v>85</v>
      </c>
      <c r="M11" s="2">
        <f>'[1]宠物-升级数值'!$C$2*10000</f>
        <v>3000</v>
      </c>
      <c r="N11" s="2">
        <f>'[1]宠物-升级数值'!$K$2*10000</f>
        <v>10000</v>
      </c>
      <c r="O11" s="2">
        <f>'[1]宠物-升级数值'!$L$2*10000</f>
        <v>20000</v>
      </c>
      <c r="P11" s="36">
        <v>10000</v>
      </c>
      <c r="Q11" s="2">
        <v>80</v>
      </c>
      <c r="R11" s="2" t="s">
        <v>86</v>
      </c>
    </row>
    <row r="12" s="2" customFormat="1" customHeight="1" spans="1:18">
      <c r="A12" s="2">
        <v>10131</v>
      </c>
      <c r="B12" s="2" t="s">
        <v>87</v>
      </c>
      <c r="C12" t="s">
        <v>88</v>
      </c>
      <c r="D12" s="2">
        <v>1</v>
      </c>
      <c r="E12" s="2">
        <v>5</v>
      </c>
      <c r="F12" s="2">
        <v>1013101</v>
      </c>
      <c r="G12" s="2">
        <v>1</v>
      </c>
      <c r="H12" s="2" t="s">
        <v>89</v>
      </c>
      <c r="I12" s="2" t="s">
        <v>90</v>
      </c>
      <c r="J12" s="2">
        <v>10131</v>
      </c>
      <c r="K12" s="2">
        <v>10131</v>
      </c>
      <c r="L12" s="2" t="s">
        <v>91</v>
      </c>
      <c r="M12" s="2">
        <f>'[1]宠物-升级数值'!$C$6*10000</f>
        <v>20000</v>
      </c>
      <c r="N12" s="2">
        <f>'[1]宠物-升级数值'!$K$6*10000</f>
        <v>30000</v>
      </c>
      <c r="O12" s="2">
        <f>'[1]宠物-升级数值'!$L$6*10000</f>
        <v>60000</v>
      </c>
      <c r="P12" s="36">
        <v>10000</v>
      </c>
      <c r="Q12" s="2">
        <v>80</v>
      </c>
      <c r="R12" s="2" t="s">
        <v>92</v>
      </c>
    </row>
    <row r="13" s="2" customFormat="1" customHeight="1" spans="1:18">
      <c r="A13" s="2">
        <v>10140</v>
      </c>
      <c r="B13" s="2" t="s">
        <v>93</v>
      </c>
      <c r="C13" t="s">
        <v>94</v>
      </c>
      <c r="D13" s="2">
        <v>2</v>
      </c>
      <c r="E13" s="2">
        <v>3</v>
      </c>
      <c r="F13" s="2">
        <v>1014001</v>
      </c>
      <c r="G13" s="2">
        <v>2</v>
      </c>
      <c r="H13" s="2" t="s">
        <v>95</v>
      </c>
      <c r="I13" s="2" t="s">
        <v>96</v>
      </c>
      <c r="J13" s="2">
        <v>10140</v>
      </c>
      <c r="K13" s="2">
        <v>10140</v>
      </c>
      <c r="L13" s="2" t="s">
        <v>97</v>
      </c>
      <c r="M13" s="36">
        <f>'[1]宠物-升级数值'!$C$4*10000</f>
        <v>7000</v>
      </c>
      <c r="N13" s="36">
        <f>'[1]宠物-升级数值'!$K$4*10000</f>
        <v>20000</v>
      </c>
      <c r="O13" s="36">
        <f>'[1]宠物-升级数值'!$L$4*10000</f>
        <v>40000</v>
      </c>
      <c r="P13" s="36">
        <v>10000</v>
      </c>
      <c r="Q13" s="2">
        <v>80</v>
      </c>
      <c r="R13" s="2" t="s">
        <v>86</v>
      </c>
    </row>
    <row r="14" s="2" customFormat="1" customHeight="1" spans="1:18">
      <c r="A14" s="2">
        <v>10160</v>
      </c>
      <c r="B14" s="2" t="s">
        <v>98</v>
      </c>
      <c r="C14" t="s">
        <v>99</v>
      </c>
      <c r="D14" s="2">
        <v>4</v>
      </c>
      <c r="E14" s="2">
        <v>2</v>
      </c>
      <c r="F14" s="2">
        <v>1016001</v>
      </c>
      <c r="G14" s="2">
        <v>4</v>
      </c>
      <c r="H14" s="2" t="s">
        <v>100</v>
      </c>
      <c r="I14" s="2" t="s">
        <v>101</v>
      </c>
      <c r="J14" s="2">
        <v>10160</v>
      </c>
      <c r="K14" s="2">
        <v>10160</v>
      </c>
      <c r="L14" s="2" t="s">
        <v>102</v>
      </c>
      <c r="M14" s="2">
        <f>'[1]宠物-升级数值'!$C$3*10000</f>
        <v>5000</v>
      </c>
      <c r="N14" s="2">
        <f>'[1]宠物-升级数值'!$K$3*10000</f>
        <v>15000</v>
      </c>
      <c r="O14" s="2">
        <f>'[1]宠物-升级数值'!$L$3*10000</f>
        <v>30000</v>
      </c>
      <c r="P14" s="36">
        <v>10000</v>
      </c>
      <c r="Q14" s="2">
        <v>80</v>
      </c>
      <c r="R14" s="2" t="s">
        <v>103</v>
      </c>
    </row>
    <row r="15" s="2" customFormat="1" customHeight="1" spans="1:18">
      <c r="A15" s="2">
        <v>10161</v>
      </c>
      <c r="B15" s="2" t="s">
        <v>104</v>
      </c>
      <c r="C15" t="s">
        <v>105</v>
      </c>
      <c r="D15" s="2">
        <v>1</v>
      </c>
      <c r="E15" s="2">
        <v>4</v>
      </c>
      <c r="F15" s="2">
        <v>1016101</v>
      </c>
      <c r="G15" s="2">
        <v>1</v>
      </c>
      <c r="H15" s="2" t="s">
        <v>106</v>
      </c>
      <c r="I15" s="2" t="s">
        <v>107</v>
      </c>
      <c r="J15" s="2">
        <v>10161</v>
      </c>
      <c r="K15" s="2">
        <v>10161</v>
      </c>
      <c r="L15" s="2" t="s">
        <v>108</v>
      </c>
      <c r="M15" s="2">
        <f>'[1]宠物-升级数值'!$C$5*10000</f>
        <v>10000</v>
      </c>
      <c r="N15" s="2">
        <f>'[1]宠物-升级数值'!$K$5*10000</f>
        <v>25000</v>
      </c>
      <c r="O15" s="2">
        <f>'[1]宠物-升级数值'!$L$5*10000</f>
        <v>50000</v>
      </c>
      <c r="P15" s="36">
        <v>10000</v>
      </c>
      <c r="Q15" s="2">
        <v>80</v>
      </c>
      <c r="R15" s="2" t="s">
        <v>103</v>
      </c>
    </row>
    <row r="16" s="2" customFormat="1" customHeight="1" spans="1:18">
      <c r="A16" s="2">
        <v>10190</v>
      </c>
      <c r="B16" s="2" t="s">
        <v>109</v>
      </c>
      <c r="C16" t="s">
        <v>110</v>
      </c>
      <c r="D16" s="2">
        <v>1</v>
      </c>
      <c r="E16" s="2">
        <v>2</v>
      </c>
      <c r="F16" s="2">
        <v>1019001</v>
      </c>
      <c r="G16" s="2">
        <v>1</v>
      </c>
      <c r="H16" s="2" t="s">
        <v>111</v>
      </c>
      <c r="I16" s="2" t="s">
        <v>112</v>
      </c>
      <c r="J16" s="2">
        <v>10190</v>
      </c>
      <c r="K16" s="2">
        <v>10190</v>
      </c>
      <c r="L16" s="2" t="s">
        <v>113</v>
      </c>
      <c r="M16" s="2">
        <f>'[1]宠物-升级数值'!$C$3*10000</f>
        <v>5000</v>
      </c>
      <c r="N16" s="2">
        <f>'[1]宠物-升级数值'!$K$3*10000</f>
        <v>15000</v>
      </c>
      <c r="O16" s="2">
        <f>'[1]宠物-升级数值'!$L$3*10000</f>
        <v>30000</v>
      </c>
      <c r="P16" s="36">
        <v>10000</v>
      </c>
      <c r="Q16" s="2">
        <v>80</v>
      </c>
      <c r="R16" s="2" t="s">
        <v>114</v>
      </c>
    </row>
    <row r="17" s="2" customFormat="1" customHeight="1" spans="1:18">
      <c r="A17" s="2">
        <v>10191</v>
      </c>
      <c r="B17" s="2" t="s">
        <v>115</v>
      </c>
      <c r="C17" t="s">
        <v>116</v>
      </c>
      <c r="D17" s="2">
        <v>1</v>
      </c>
      <c r="E17" s="2">
        <v>6</v>
      </c>
      <c r="F17" s="2">
        <v>1019101</v>
      </c>
      <c r="G17" s="2">
        <v>1</v>
      </c>
      <c r="H17" s="2" t="s">
        <v>117</v>
      </c>
      <c r="I17" s="2" t="s">
        <v>118</v>
      </c>
      <c r="J17" s="2">
        <v>10191</v>
      </c>
      <c r="K17" s="2">
        <v>10191</v>
      </c>
      <c r="L17" s="2" t="s">
        <v>119</v>
      </c>
      <c r="M17" s="36">
        <f>'[1]宠物-升级数值'!$C$7*10000</f>
        <v>30000</v>
      </c>
      <c r="N17" s="36">
        <f>'[1]宠物-升级数值'!$K$7*10000</f>
        <v>35000</v>
      </c>
      <c r="O17" s="36">
        <f>'[1]宠物-升级数值'!$L$7*10000</f>
        <v>80000</v>
      </c>
      <c r="P17" s="36">
        <v>10000</v>
      </c>
      <c r="Q17" s="2">
        <v>80</v>
      </c>
      <c r="R17" s="2" t="s">
        <v>114</v>
      </c>
    </row>
    <row r="18" s="2" customFormat="1" customHeight="1" spans="1:18">
      <c r="A18" s="2">
        <v>10260</v>
      </c>
      <c r="B18" s="2" t="s">
        <v>120</v>
      </c>
      <c r="C18" t="s">
        <v>121</v>
      </c>
      <c r="D18" s="2">
        <v>2</v>
      </c>
      <c r="E18" s="2">
        <v>4</v>
      </c>
      <c r="F18" s="2">
        <v>1026001</v>
      </c>
      <c r="G18" s="2">
        <v>2</v>
      </c>
      <c r="H18" s="2" t="s">
        <v>122</v>
      </c>
      <c r="I18" s="2" t="s">
        <v>123</v>
      </c>
      <c r="J18" s="2">
        <v>10260</v>
      </c>
      <c r="K18" s="2">
        <v>10260</v>
      </c>
      <c r="L18" s="2" t="s">
        <v>124</v>
      </c>
      <c r="M18" s="2">
        <f>'[1]宠物-升级数值'!$C$5*10000</f>
        <v>10000</v>
      </c>
      <c r="N18" s="2">
        <f>'[1]宠物-升级数值'!$K$5*10000</f>
        <v>25000</v>
      </c>
      <c r="O18" s="2">
        <f>'[1]宠物-升级数值'!$L$5*10000</f>
        <v>50000</v>
      </c>
      <c r="P18" s="36">
        <v>10000</v>
      </c>
      <c r="Q18" s="2">
        <v>80</v>
      </c>
      <c r="R18" s="2" t="s">
        <v>80</v>
      </c>
    </row>
    <row r="19" customHeight="1" spans="1:18">
      <c r="A19" s="2">
        <v>10301</v>
      </c>
      <c r="B19" s="2" t="s">
        <v>125</v>
      </c>
      <c r="C19" t="s">
        <v>126</v>
      </c>
      <c r="D19" s="2">
        <v>2</v>
      </c>
      <c r="E19" s="2">
        <v>7</v>
      </c>
      <c r="F19" s="2">
        <v>1030101</v>
      </c>
      <c r="G19" s="2">
        <v>2</v>
      </c>
      <c r="H19" s="2" t="s">
        <v>127</v>
      </c>
      <c r="I19" s="2" t="s">
        <v>128</v>
      </c>
      <c r="J19" s="2">
        <v>10301</v>
      </c>
      <c r="K19" s="2">
        <v>10301</v>
      </c>
      <c r="L19" s="2" t="s">
        <v>129</v>
      </c>
      <c r="M19" s="2">
        <f>'[1]宠物-升级数值'!$C$8*10000</f>
        <v>50000</v>
      </c>
      <c r="N19" s="2">
        <f>'[1]宠物-升级数值'!$K$8*10000</f>
        <v>40000</v>
      </c>
      <c r="O19" s="2">
        <f>'[1]宠物-升级数值'!$L$8*10000</f>
        <v>100000</v>
      </c>
      <c r="P19" s="36">
        <v>10000</v>
      </c>
      <c r="Q19" s="2">
        <v>80</v>
      </c>
      <c r="R19" s="2" t="s">
        <v>130</v>
      </c>
    </row>
    <row r="20" customHeight="1" spans="1:18">
      <c r="A20" s="2">
        <v>10330</v>
      </c>
      <c r="B20" s="2" t="s">
        <v>131</v>
      </c>
      <c r="C20" t="s">
        <v>132</v>
      </c>
      <c r="D20" s="2">
        <v>3</v>
      </c>
      <c r="E20" s="2">
        <v>1</v>
      </c>
      <c r="F20" s="2">
        <v>1033001</v>
      </c>
      <c r="G20" s="2">
        <v>3</v>
      </c>
      <c r="H20" s="2" t="s">
        <v>133</v>
      </c>
      <c r="I20" s="2" t="s">
        <v>134</v>
      </c>
      <c r="J20" s="2">
        <v>10330</v>
      </c>
      <c r="K20" s="2">
        <v>10330</v>
      </c>
      <c r="L20" s="2" t="s">
        <v>135</v>
      </c>
      <c r="M20" s="2">
        <f>'[1]宠物-升级数值'!$C$2*10000</f>
        <v>3000</v>
      </c>
      <c r="N20" s="2">
        <f>'[1]宠物-升级数值'!$K$2*10000</f>
        <v>10000</v>
      </c>
      <c r="O20" s="2">
        <f>'[1]宠物-升级数值'!$L$2*10000</f>
        <v>20000</v>
      </c>
      <c r="P20" s="36">
        <v>10000</v>
      </c>
      <c r="Q20" s="2">
        <v>80</v>
      </c>
      <c r="R20" s="2" t="s">
        <v>136</v>
      </c>
    </row>
    <row r="21" customHeight="1" spans="1:18">
      <c r="A21" s="2">
        <v>10331</v>
      </c>
      <c r="B21" s="2" t="s">
        <v>137</v>
      </c>
      <c r="C21" t="s">
        <v>138</v>
      </c>
      <c r="D21" s="2">
        <v>3</v>
      </c>
      <c r="E21" s="2">
        <v>5</v>
      </c>
      <c r="F21" s="2">
        <v>1033101</v>
      </c>
      <c r="G21" s="2">
        <v>3</v>
      </c>
      <c r="H21" s="2" t="s">
        <v>139</v>
      </c>
      <c r="I21" s="2" t="s">
        <v>140</v>
      </c>
      <c r="J21" s="2">
        <v>10331</v>
      </c>
      <c r="K21" s="2">
        <v>10331</v>
      </c>
      <c r="L21" s="2" t="s">
        <v>141</v>
      </c>
      <c r="M21" s="2">
        <f>'[1]宠物-升级数值'!$C$6*10000</f>
        <v>20000</v>
      </c>
      <c r="N21" s="2">
        <f>'[1]宠物-升级数值'!$K$6*10000</f>
        <v>30000</v>
      </c>
      <c r="O21" s="2">
        <f>'[1]宠物-升级数值'!$L$6*10000</f>
        <v>60000</v>
      </c>
      <c r="P21" s="36">
        <v>10000</v>
      </c>
      <c r="Q21" s="2">
        <v>80</v>
      </c>
      <c r="R21" s="2" t="s">
        <v>136</v>
      </c>
    </row>
    <row r="22" customHeight="1" spans="1:18">
      <c r="A22" s="2">
        <v>10350</v>
      </c>
      <c r="B22" s="2" t="s">
        <v>142</v>
      </c>
      <c r="C22" t="s">
        <v>143</v>
      </c>
      <c r="D22" s="2">
        <v>4</v>
      </c>
      <c r="E22" s="2">
        <v>1</v>
      </c>
      <c r="F22" s="2">
        <v>1035001</v>
      </c>
      <c r="G22" s="2">
        <v>4</v>
      </c>
      <c r="H22" s="2" t="s">
        <v>144</v>
      </c>
      <c r="I22" s="2" t="s">
        <v>145</v>
      </c>
      <c r="J22" s="2">
        <v>10350</v>
      </c>
      <c r="K22" s="2">
        <v>10350</v>
      </c>
      <c r="L22" s="2" t="s">
        <v>146</v>
      </c>
      <c r="M22" s="2">
        <f>'[1]宠物-升级数值'!$C$2*10000</f>
        <v>3000</v>
      </c>
      <c r="N22" s="2">
        <f>'[1]宠物-升级数值'!$K$2*10000</f>
        <v>10000</v>
      </c>
      <c r="O22" s="2">
        <f>'[1]宠物-升级数值'!$L$2*10000</f>
        <v>20000</v>
      </c>
      <c r="P22" s="36">
        <v>10000</v>
      </c>
      <c r="Q22" s="2">
        <v>80</v>
      </c>
      <c r="R22" s="2" t="s">
        <v>147</v>
      </c>
    </row>
    <row r="23" s="2" customFormat="1" customHeight="1" spans="1:18">
      <c r="A23" s="2">
        <v>10351</v>
      </c>
      <c r="B23" s="2" t="s">
        <v>148</v>
      </c>
      <c r="C23" t="s">
        <v>149</v>
      </c>
      <c r="D23" s="2">
        <v>4</v>
      </c>
      <c r="E23" s="2">
        <v>5</v>
      </c>
      <c r="F23" s="2">
        <v>1035101</v>
      </c>
      <c r="G23" s="2">
        <v>4</v>
      </c>
      <c r="H23" s="2" t="s">
        <v>150</v>
      </c>
      <c r="I23" s="2" t="s">
        <v>151</v>
      </c>
      <c r="J23" s="2">
        <v>10351</v>
      </c>
      <c r="K23" s="2">
        <v>10351</v>
      </c>
      <c r="L23" s="2" t="s">
        <v>152</v>
      </c>
      <c r="M23" s="2">
        <f>'[1]宠物-升级数值'!$C$6*10000</f>
        <v>20000</v>
      </c>
      <c r="N23" s="2">
        <f>'[1]宠物-升级数值'!$K$6*10000</f>
        <v>30000</v>
      </c>
      <c r="O23" s="2">
        <f>'[1]宠物-升级数值'!$L$6*10000</f>
        <v>60000</v>
      </c>
      <c r="P23" s="36">
        <v>10000</v>
      </c>
      <c r="Q23" s="2">
        <v>80</v>
      </c>
      <c r="R23" s="2" t="s">
        <v>153</v>
      </c>
    </row>
    <row r="24" customHeight="1" spans="1:18">
      <c r="A24" s="2">
        <v>10410</v>
      </c>
      <c r="B24" s="2" t="s">
        <v>154</v>
      </c>
      <c r="C24" t="s">
        <v>155</v>
      </c>
      <c r="D24" s="2">
        <v>2</v>
      </c>
      <c r="E24" s="2">
        <v>2</v>
      </c>
      <c r="F24" s="2">
        <v>1041001</v>
      </c>
      <c r="G24" s="2">
        <v>2</v>
      </c>
      <c r="H24" s="2" t="s">
        <v>156</v>
      </c>
      <c r="I24" s="2" t="s">
        <v>157</v>
      </c>
      <c r="J24" s="2">
        <v>10410</v>
      </c>
      <c r="K24" s="2">
        <v>10410</v>
      </c>
      <c r="L24" s="2" t="s">
        <v>158</v>
      </c>
      <c r="M24" s="2">
        <f>'[1]宠物-升级数值'!$C$3*10000</f>
        <v>5000</v>
      </c>
      <c r="N24" s="2">
        <f>'[1]宠物-升级数值'!$K$3*10000</f>
        <v>15000</v>
      </c>
      <c r="O24" s="2">
        <f>'[1]宠物-升级数值'!$L$3*10000</f>
        <v>30000</v>
      </c>
      <c r="P24" s="36">
        <v>10000</v>
      </c>
      <c r="Q24" s="2">
        <v>80</v>
      </c>
      <c r="R24" s="2" t="s">
        <v>159</v>
      </c>
    </row>
    <row r="25" customHeight="1" spans="1:18">
      <c r="A25" s="2">
        <v>10411</v>
      </c>
      <c r="B25" s="2" t="s">
        <v>160</v>
      </c>
      <c r="C25" t="s">
        <v>161</v>
      </c>
      <c r="D25" s="2">
        <v>2</v>
      </c>
      <c r="E25" s="2">
        <v>6</v>
      </c>
      <c r="F25" s="2">
        <v>1041101</v>
      </c>
      <c r="G25" s="2">
        <v>2</v>
      </c>
      <c r="H25" s="2" t="s">
        <v>162</v>
      </c>
      <c r="I25" s="2" t="s">
        <v>163</v>
      </c>
      <c r="J25" s="2">
        <v>10411</v>
      </c>
      <c r="K25" s="2">
        <v>10411</v>
      </c>
      <c r="L25" s="2" t="s">
        <v>164</v>
      </c>
      <c r="M25" s="36">
        <f>'[1]宠物-升级数值'!$C$7*10000</f>
        <v>30000</v>
      </c>
      <c r="N25" s="36">
        <f>'[1]宠物-升级数值'!$K$7*10000</f>
        <v>35000</v>
      </c>
      <c r="O25" s="36">
        <f>'[1]宠物-升级数值'!$L$7*10000</f>
        <v>80000</v>
      </c>
      <c r="P25" s="36">
        <v>10000</v>
      </c>
      <c r="Q25" s="2">
        <v>80</v>
      </c>
      <c r="R25" s="2" t="s">
        <v>153</v>
      </c>
    </row>
    <row r="26" s="2" customFormat="1" customHeight="1" spans="1:18">
      <c r="A26" s="2">
        <v>10450</v>
      </c>
      <c r="B26" s="2" t="s">
        <v>165</v>
      </c>
      <c r="C26" t="s">
        <v>166</v>
      </c>
      <c r="D26" s="2">
        <v>1</v>
      </c>
      <c r="E26" s="2">
        <v>4</v>
      </c>
      <c r="F26" s="2">
        <v>1045001</v>
      </c>
      <c r="G26" s="2">
        <v>1</v>
      </c>
      <c r="H26" s="2" t="s">
        <v>167</v>
      </c>
      <c r="I26" s="2" t="s">
        <v>168</v>
      </c>
      <c r="J26" s="2">
        <v>10450</v>
      </c>
      <c r="K26" s="2">
        <v>10450</v>
      </c>
      <c r="L26" s="2" t="s">
        <v>169</v>
      </c>
      <c r="M26" s="2">
        <f>'[1]宠物-升级数值'!$C$5*10000</f>
        <v>10000</v>
      </c>
      <c r="N26" s="2">
        <f>'[1]宠物-升级数值'!$K$5*10000</f>
        <v>25000</v>
      </c>
      <c r="O26" s="2">
        <f>'[1]宠物-升级数值'!$L$5*10000</f>
        <v>50000</v>
      </c>
      <c r="P26" s="36">
        <v>10000</v>
      </c>
      <c r="Q26" s="2">
        <v>80</v>
      </c>
      <c r="R26" s="2" t="s">
        <v>170</v>
      </c>
    </row>
    <row r="27" s="2" customFormat="1" customHeight="1" spans="1:18">
      <c r="A27" s="2">
        <v>10451</v>
      </c>
      <c r="B27" s="2" t="s">
        <v>171</v>
      </c>
      <c r="C27" t="s">
        <v>172</v>
      </c>
      <c r="D27" s="2">
        <v>1</v>
      </c>
      <c r="E27" s="2">
        <v>7</v>
      </c>
      <c r="F27" s="2">
        <v>1045101</v>
      </c>
      <c r="G27" s="2">
        <v>1</v>
      </c>
      <c r="H27" s="2" t="s">
        <v>173</v>
      </c>
      <c r="I27" s="2" t="s">
        <v>174</v>
      </c>
      <c r="J27" s="2">
        <v>10451</v>
      </c>
      <c r="K27" s="2">
        <v>10451</v>
      </c>
      <c r="L27" s="2" t="s">
        <v>175</v>
      </c>
      <c r="M27" s="2">
        <f>'[1]宠物-升级数值'!$C$8*10000</f>
        <v>50000</v>
      </c>
      <c r="N27" s="2">
        <f>'[1]宠物-升级数值'!$K$8*10000</f>
        <v>40000</v>
      </c>
      <c r="O27" s="2">
        <f>'[1]宠物-升级数值'!$L$8*10000</f>
        <v>100000</v>
      </c>
      <c r="P27" s="36">
        <v>10000</v>
      </c>
      <c r="Q27" s="2">
        <v>70</v>
      </c>
      <c r="R27" s="2" t="s">
        <v>170</v>
      </c>
    </row>
    <row r="28" s="2" customFormat="1" customHeight="1" spans="1:18">
      <c r="A28" s="2">
        <v>10470</v>
      </c>
      <c r="B28" s="2" t="s">
        <v>176</v>
      </c>
      <c r="C28" t="s">
        <v>177</v>
      </c>
      <c r="D28" s="2">
        <v>4</v>
      </c>
      <c r="E28" s="2">
        <v>3</v>
      </c>
      <c r="F28" s="2">
        <v>1047001</v>
      </c>
      <c r="G28" s="2">
        <v>4</v>
      </c>
      <c r="H28" s="2" t="s">
        <v>178</v>
      </c>
      <c r="I28" s="2" t="s">
        <v>179</v>
      </c>
      <c r="J28" s="2">
        <v>10470</v>
      </c>
      <c r="K28" s="2">
        <v>10470</v>
      </c>
      <c r="L28" s="2" t="s">
        <v>180</v>
      </c>
      <c r="M28" s="36">
        <f>'[1]宠物-升级数值'!$C$4*10000</f>
        <v>7000</v>
      </c>
      <c r="N28" s="36">
        <f>'[1]宠物-升级数值'!$K$4*10000</f>
        <v>20000</v>
      </c>
      <c r="O28" s="36">
        <f>'[1]宠物-升级数值'!$L$4*10000</f>
        <v>40000</v>
      </c>
      <c r="P28" s="36">
        <v>10000</v>
      </c>
      <c r="Q28" s="2">
        <v>80</v>
      </c>
      <c r="R28" s="2" t="s">
        <v>114</v>
      </c>
    </row>
    <row r="29" s="2" customFormat="1" customHeight="1" spans="1:18">
      <c r="A29" s="2">
        <v>10471</v>
      </c>
      <c r="B29" s="2" t="s">
        <v>181</v>
      </c>
      <c r="C29" t="s">
        <v>182</v>
      </c>
      <c r="D29" s="2">
        <v>4</v>
      </c>
      <c r="E29" s="2">
        <v>6</v>
      </c>
      <c r="F29" s="2">
        <v>1047101</v>
      </c>
      <c r="G29" s="2">
        <v>4</v>
      </c>
      <c r="H29" s="2" t="s">
        <v>183</v>
      </c>
      <c r="I29" s="2" t="s">
        <v>184</v>
      </c>
      <c r="J29" s="2">
        <v>10471</v>
      </c>
      <c r="K29" s="2">
        <v>10471</v>
      </c>
      <c r="L29" s="2" t="s">
        <v>185</v>
      </c>
      <c r="M29" s="36">
        <f>'[1]宠物-升级数值'!$C$7*10000</f>
        <v>30000</v>
      </c>
      <c r="N29" s="36">
        <f>'[1]宠物-升级数值'!$K$7*10000</f>
        <v>35000</v>
      </c>
      <c r="O29" s="36">
        <f>'[1]宠物-升级数值'!$L$7*10000</f>
        <v>80000</v>
      </c>
      <c r="P29" s="36">
        <v>10000</v>
      </c>
      <c r="Q29" s="2">
        <v>70</v>
      </c>
      <c r="R29" s="2" t="s">
        <v>114</v>
      </c>
    </row>
    <row r="30" s="2" customFormat="1" customHeight="1" spans="1:18">
      <c r="A30" s="2">
        <v>10500</v>
      </c>
      <c r="B30" s="2" t="s">
        <v>186</v>
      </c>
      <c r="C30" t="s">
        <v>187</v>
      </c>
      <c r="D30" s="2">
        <v>1</v>
      </c>
      <c r="E30" s="2">
        <v>2</v>
      </c>
      <c r="F30" s="2">
        <v>1050001</v>
      </c>
      <c r="G30" s="2">
        <v>1</v>
      </c>
      <c r="H30" s="2" t="s">
        <v>188</v>
      </c>
      <c r="I30" s="2" t="s">
        <v>189</v>
      </c>
      <c r="J30" s="2">
        <v>10500</v>
      </c>
      <c r="K30" s="2">
        <v>10500</v>
      </c>
      <c r="L30" s="2" t="s">
        <v>190</v>
      </c>
      <c r="M30" s="2">
        <f>'[1]宠物-升级数值'!$C$3*10000</f>
        <v>5000</v>
      </c>
      <c r="N30" s="2">
        <f>'[1]宠物-升级数值'!$K$3*10000</f>
        <v>15000</v>
      </c>
      <c r="O30" s="2">
        <f>'[1]宠物-升级数值'!$L$3*10000</f>
        <v>30000</v>
      </c>
      <c r="P30" s="36">
        <v>10000</v>
      </c>
      <c r="Q30" s="2">
        <v>80</v>
      </c>
      <c r="R30" s="2" t="s">
        <v>191</v>
      </c>
    </row>
    <row r="31" s="2" customFormat="1" customHeight="1" spans="1:18">
      <c r="A31" s="2">
        <v>10520</v>
      </c>
      <c r="B31" s="2" t="s">
        <v>192</v>
      </c>
      <c r="C31" t="s">
        <v>193</v>
      </c>
      <c r="D31" s="2">
        <v>1</v>
      </c>
      <c r="E31" s="2">
        <v>3</v>
      </c>
      <c r="F31" s="2">
        <v>1052001</v>
      </c>
      <c r="G31" s="2">
        <v>1</v>
      </c>
      <c r="H31" s="2" t="s">
        <v>194</v>
      </c>
      <c r="I31" s="2" t="s">
        <v>195</v>
      </c>
      <c r="J31" s="2">
        <v>10520</v>
      </c>
      <c r="K31" s="2">
        <v>10520</v>
      </c>
      <c r="L31" s="2" t="s">
        <v>196</v>
      </c>
      <c r="M31" s="36">
        <f>'[1]宠物-升级数值'!$C$4*10000</f>
        <v>7000</v>
      </c>
      <c r="N31" s="36">
        <f>'[1]宠物-升级数值'!$K$4*10000</f>
        <v>20000</v>
      </c>
      <c r="O31" s="36">
        <f>'[1]宠物-升级数值'!$L$4*10000</f>
        <v>40000</v>
      </c>
      <c r="P31" s="36">
        <v>10000</v>
      </c>
      <c r="Q31" s="2">
        <v>80</v>
      </c>
      <c r="R31" s="2" t="s">
        <v>114</v>
      </c>
    </row>
    <row r="32" customHeight="1" spans="1:18">
      <c r="A32" s="2">
        <v>10521</v>
      </c>
      <c r="B32" s="2" t="s">
        <v>197</v>
      </c>
      <c r="C32" t="s">
        <v>198</v>
      </c>
      <c r="D32" s="2">
        <v>1</v>
      </c>
      <c r="E32" s="2">
        <v>7</v>
      </c>
      <c r="F32" s="2">
        <v>1052101</v>
      </c>
      <c r="G32" s="2">
        <v>1</v>
      </c>
      <c r="H32" s="2" t="s">
        <v>199</v>
      </c>
      <c r="I32" s="2" t="s">
        <v>200</v>
      </c>
      <c r="J32" s="2">
        <v>10521</v>
      </c>
      <c r="K32" s="2">
        <v>10521</v>
      </c>
      <c r="L32" s="2" t="s">
        <v>201</v>
      </c>
      <c r="M32" s="2">
        <f>'[1]宠物-升级数值'!$C$8*10000</f>
        <v>50000</v>
      </c>
      <c r="N32" s="2">
        <f>'[1]宠物-升级数值'!$K$8*10000</f>
        <v>40000</v>
      </c>
      <c r="O32" s="2">
        <f>'[1]宠物-升级数值'!$L$8*10000</f>
        <v>100000</v>
      </c>
      <c r="P32" s="36">
        <v>10000</v>
      </c>
      <c r="Q32" s="2">
        <v>70</v>
      </c>
      <c r="R32" s="2" t="s">
        <v>202</v>
      </c>
    </row>
    <row r="33" s="2" customFormat="1" customHeight="1" spans="1:18">
      <c r="A33" s="2">
        <v>10530</v>
      </c>
      <c r="B33" s="2" t="s">
        <v>203</v>
      </c>
      <c r="C33" t="s">
        <v>204</v>
      </c>
      <c r="D33" s="2">
        <v>3</v>
      </c>
      <c r="E33" s="2">
        <v>4</v>
      </c>
      <c r="F33" s="2">
        <v>1053001</v>
      </c>
      <c r="G33" s="2">
        <v>3</v>
      </c>
      <c r="H33" s="2" t="s">
        <v>205</v>
      </c>
      <c r="I33" s="2" t="s">
        <v>206</v>
      </c>
      <c r="J33" s="2">
        <v>10530</v>
      </c>
      <c r="K33" s="2">
        <v>10530</v>
      </c>
      <c r="L33" s="2" t="s">
        <v>207</v>
      </c>
      <c r="M33" s="2">
        <f>'[1]宠物-升级数值'!$C$5*10000</f>
        <v>10000</v>
      </c>
      <c r="N33" s="2">
        <f>'[1]宠物-升级数值'!$K$5*10000</f>
        <v>25000</v>
      </c>
      <c r="O33" s="2">
        <f>'[1]宠物-升级数值'!$L$5*10000</f>
        <v>50000</v>
      </c>
      <c r="P33" s="36">
        <v>10000</v>
      </c>
      <c r="Q33" s="2">
        <v>80</v>
      </c>
      <c r="R33" s="2" t="s">
        <v>114</v>
      </c>
    </row>
    <row r="34" s="2" customFormat="1" customHeight="1" spans="1:18">
      <c r="A34" s="2">
        <v>10531</v>
      </c>
      <c r="B34" s="2" t="s">
        <v>208</v>
      </c>
      <c r="C34" t="s">
        <v>209</v>
      </c>
      <c r="D34" s="2">
        <v>3</v>
      </c>
      <c r="E34" s="2">
        <v>7</v>
      </c>
      <c r="F34" s="2">
        <v>1053101</v>
      </c>
      <c r="G34" s="2">
        <v>3</v>
      </c>
      <c r="H34" s="2" t="s">
        <v>210</v>
      </c>
      <c r="I34" s="2" t="s">
        <v>211</v>
      </c>
      <c r="J34" s="2">
        <v>10531</v>
      </c>
      <c r="K34" s="2">
        <v>10531</v>
      </c>
      <c r="L34" s="2" t="s">
        <v>212</v>
      </c>
      <c r="M34" s="2">
        <f>'[1]宠物-升级数值'!$C$8*10000</f>
        <v>50000</v>
      </c>
      <c r="N34" s="2">
        <f>'[1]宠物-升级数值'!$K$8*10000</f>
        <v>40000</v>
      </c>
      <c r="O34" s="2">
        <f>'[1]宠物-升级数值'!$L$8*10000</f>
        <v>100000</v>
      </c>
      <c r="P34" s="36">
        <v>10000</v>
      </c>
      <c r="Q34" s="2">
        <v>70</v>
      </c>
      <c r="R34" s="2" t="s">
        <v>202</v>
      </c>
    </row>
    <row r="35" s="2" customFormat="1" customHeight="1" spans="1:18">
      <c r="A35" s="2">
        <v>10560</v>
      </c>
      <c r="B35" s="2" t="s">
        <v>213</v>
      </c>
      <c r="C35" t="s">
        <v>214</v>
      </c>
      <c r="D35" s="2">
        <v>1</v>
      </c>
      <c r="E35" s="2">
        <v>3</v>
      </c>
      <c r="F35" s="2">
        <v>1056001</v>
      </c>
      <c r="G35" s="2">
        <v>1</v>
      </c>
      <c r="H35" s="2" t="s">
        <v>215</v>
      </c>
      <c r="I35" s="2" t="s">
        <v>216</v>
      </c>
      <c r="J35" s="2">
        <v>10560</v>
      </c>
      <c r="K35" s="2">
        <v>10560</v>
      </c>
      <c r="L35" s="2" t="s">
        <v>217</v>
      </c>
      <c r="M35" s="36">
        <f>'[1]宠物-升级数值'!$C$4*10000</f>
        <v>7000</v>
      </c>
      <c r="N35" s="36">
        <f>'[1]宠物-升级数值'!$K$4*10000</f>
        <v>20000</v>
      </c>
      <c r="O35" s="36">
        <f>'[1]宠物-升级数值'!$L$4*10000</f>
        <v>40000</v>
      </c>
      <c r="P35" s="36">
        <v>10000</v>
      </c>
      <c r="Q35" s="2">
        <v>80</v>
      </c>
      <c r="R35" s="2" t="s">
        <v>218</v>
      </c>
    </row>
    <row r="36" s="2" customFormat="1" customHeight="1" spans="1:18">
      <c r="A36" s="2">
        <v>10561</v>
      </c>
      <c r="B36" s="2" t="s">
        <v>219</v>
      </c>
      <c r="C36" t="s">
        <v>220</v>
      </c>
      <c r="D36" s="2">
        <v>1</v>
      </c>
      <c r="E36" s="2">
        <v>6</v>
      </c>
      <c r="F36" s="2">
        <v>1056101</v>
      </c>
      <c r="G36" s="2">
        <v>1</v>
      </c>
      <c r="H36" s="2" t="s">
        <v>221</v>
      </c>
      <c r="I36" s="2" t="s">
        <v>222</v>
      </c>
      <c r="J36" s="2">
        <v>10561</v>
      </c>
      <c r="K36" s="2">
        <v>10561</v>
      </c>
      <c r="L36" s="2" t="s">
        <v>223</v>
      </c>
      <c r="M36" s="36">
        <f>'[1]宠物-升级数值'!$C$7*10000</f>
        <v>30000</v>
      </c>
      <c r="N36" s="36">
        <f>'[1]宠物-升级数值'!$K$7*10000</f>
        <v>35000</v>
      </c>
      <c r="O36" s="36">
        <f>'[1]宠物-升级数值'!$L$7*10000</f>
        <v>80000</v>
      </c>
      <c r="P36" s="36">
        <v>10000</v>
      </c>
      <c r="Q36" s="2">
        <v>80</v>
      </c>
      <c r="R36" s="2" t="s">
        <v>69</v>
      </c>
    </row>
    <row r="37" s="2" customFormat="1" customHeight="1" spans="1:18">
      <c r="A37" s="2">
        <v>10580</v>
      </c>
      <c r="B37" s="2" t="s">
        <v>224</v>
      </c>
      <c r="C37" t="s">
        <v>225</v>
      </c>
      <c r="D37" s="2">
        <v>4</v>
      </c>
      <c r="E37" s="2">
        <v>4</v>
      </c>
      <c r="F37" s="2">
        <v>1058001</v>
      </c>
      <c r="G37" s="2">
        <v>4</v>
      </c>
      <c r="H37" s="2" t="s">
        <v>226</v>
      </c>
      <c r="I37" s="2" t="s">
        <v>227</v>
      </c>
      <c r="J37" s="2">
        <v>10580</v>
      </c>
      <c r="K37" s="2">
        <v>10580</v>
      </c>
      <c r="L37" s="2" t="s">
        <v>228</v>
      </c>
      <c r="M37" s="2">
        <f>'[1]宠物-升级数值'!$C$5*10000</f>
        <v>10000</v>
      </c>
      <c r="N37" s="2">
        <f>'[1]宠物-升级数值'!$K$5*10000</f>
        <v>25000</v>
      </c>
      <c r="O37" s="2">
        <f>'[1]宠物-升级数值'!$L$5*10000</f>
        <v>50000</v>
      </c>
      <c r="P37" s="36">
        <v>10000</v>
      </c>
      <c r="Q37" s="2">
        <v>80</v>
      </c>
      <c r="R37" s="2" t="s">
        <v>114</v>
      </c>
    </row>
    <row r="38" s="2" customFormat="1" customHeight="1" spans="1:18">
      <c r="A38" s="2">
        <v>10581</v>
      </c>
      <c r="B38" s="2" t="s">
        <v>229</v>
      </c>
      <c r="C38" t="s">
        <v>230</v>
      </c>
      <c r="D38" s="2">
        <v>4</v>
      </c>
      <c r="E38" s="2">
        <v>7</v>
      </c>
      <c r="F38" s="2">
        <v>1058101</v>
      </c>
      <c r="G38" s="2">
        <v>4</v>
      </c>
      <c r="H38" s="2" t="s">
        <v>231</v>
      </c>
      <c r="I38" s="2" t="s">
        <v>232</v>
      </c>
      <c r="J38" s="2">
        <v>10581</v>
      </c>
      <c r="K38" s="2">
        <v>10581</v>
      </c>
      <c r="L38" s="2" t="s">
        <v>233</v>
      </c>
      <c r="M38" s="2">
        <f>'[1]宠物-升级数值'!$C$8*10000</f>
        <v>50000</v>
      </c>
      <c r="N38" s="2">
        <f>'[1]宠物-升级数值'!$K$8*10000</f>
        <v>40000</v>
      </c>
      <c r="O38" s="2">
        <f>'[1]宠物-升级数值'!$L$8*10000</f>
        <v>100000</v>
      </c>
      <c r="P38" s="36">
        <v>10000</v>
      </c>
      <c r="Q38" s="2">
        <v>70</v>
      </c>
      <c r="R38" s="2" t="s">
        <v>114</v>
      </c>
    </row>
  </sheetData>
  <autoFilter xmlns:etc="http://www.wps.cn/officeDocument/2017/etCustomData" ref="A1:R38" etc:filterBottomFollowUsedRange="0">
    <extLst/>
  </autoFilter>
  <sortState ref="A4:R38">
    <sortCondition ref="A4"/>
  </sortState>
  <pageMargins left="0.7" right="0.7" top="0.75" bottom="0.75" header="0.3" footer="0.3"/>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42"/>
  <sheetViews>
    <sheetView topLeftCell="C79" workbookViewId="0">
      <selection activeCell="F24" sqref="F24"/>
    </sheetView>
  </sheetViews>
  <sheetFormatPr defaultColWidth="9" defaultRowHeight="16.5" outlineLevelCol="7"/>
  <cols>
    <col min="1" max="1" width="9.125" style="37" customWidth="1"/>
    <col min="2" max="2" width="10" style="38" customWidth="1"/>
    <col min="3" max="4" width="9" style="39"/>
    <col min="5" max="5" width="19" style="39" customWidth="1"/>
    <col min="6" max="6" width="43.375" style="40" customWidth="1"/>
    <col min="7" max="7" width="61.875" style="40" customWidth="1"/>
    <col min="8" max="8" width="102.75" style="40" customWidth="1"/>
  </cols>
  <sheetData>
    <row r="1" spans="1:8">
      <c r="A1" s="41" t="s">
        <v>22</v>
      </c>
      <c r="B1" s="41" t="s">
        <v>234</v>
      </c>
      <c r="C1" s="41" t="s">
        <v>24</v>
      </c>
      <c r="D1" s="41"/>
      <c r="E1" s="41" t="s">
        <v>235</v>
      </c>
      <c r="F1" s="42" t="s">
        <v>236</v>
      </c>
      <c r="G1" s="42" t="s">
        <v>237</v>
      </c>
      <c r="H1" s="42" t="s">
        <v>238</v>
      </c>
    </row>
    <row r="2" ht="48.75" hidden="1" customHeight="1" spans="1:8">
      <c r="A2" s="43">
        <v>10010</v>
      </c>
      <c r="B2" s="43"/>
      <c r="C2" s="43" t="s">
        <v>239</v>
      </c>
      <c r="D2" s="43"/>
      <c r="E2" s="43"/>
      <c r="F2" s="44"/>
      <c r="G2" s="44"/>
      <c r="H2" s="44"/>
    </row>
    <row r="3" ht="48.75" hidden="1" customHeight="1" spans="1:8">
      <c r="A3" s="43">
        <v>10011</v>
      </c>
      <c r="B3" s="43"/>
      <c r="C3" s="43" t="s">
        <v>240</v>
      </c>
      <c r="D3" s="43"/>
      <c r="E3" s="43"/>
      <c r="F3" s="44"/>
      <c r="G3" s="44"/>
      <c r="H3" s="44"/>
    </row>
    <row r="4" ht="48.75" hidden="1" customHeight="1" spans="1:8">
      <c r="A4" s="43">
        <v>10012</v>
      </c>
      <c r="B4" s="43"/>
      <c r="C4" s="43" t="s">
        <v>241</v>
      </c>
      <c r="D4" s="43"/>
      <c r="E4" s="43"/>
      <c r="F4" s="44"/>
      <c r="G4" s="44"/>
      <c r="H4" s="44"/>
    </row>
    <row r="5" ht="48.75" hidden="1" customHeight="1" spans="1:8">
      <c r="A5" s="43">
        <v>10020</v>
      </c>
      <c r="B5" s="43"/>
      <c r="C5" s="43" t="s">
        <v>242</v>
      </c>
      <c r="D5" s="43"/>
      <c r="E5" s="43"/>
      <c r="F5" s="44"/>
      <c r="G5" s="44"/>
      <c r="H5" s="44"/>
    </row>
    <row r="6" ht="48.75" hidden="1" customHeight="1" spans="1:8">
      <c r="A6" s="43">
        <v>10021</v>
      </c>
      <c r="B6" s="43"/>
      <c r="C6" s="43" t="s">
        <v>243</v>
      </c>
      <c r="D6" s="43"/>
      <c r="E6" s="43"/>
      <c r="F6" s="44"/>
      <c r="G6" s="44"/>
      <c r="H6" s="44"/>
    </row>
    <row r="7" ht="48.75" hidden="1" customHeight="1" spans="1:8">
      <c r="A7" s="43">
        <v>10022</v>
      </c>
      <c r="B7" s="43"/>
      <c r="C7" s="43" t="s">
        <v>244</v>
      </c>
      <c r="D7" s="43"/>
      <c r="E7" s="43"/>
      <c r="F7" s="44"/>
      <c r="G7" s="44"/>
      <c r="H7" s="44"/>
    </row>
    <row r="8" ht="48.75" hidden="1" customHeight="1" spans="1:8">
      <c r="A8" s="43">
        <v>10030</v>
      </c>
      <c r="B8" s="43"/>
      <c r="C8" s="43" t="s">
        <v>245</v>
      </c>
      <c r="D8" s="43"/>
      <c r="E8" s="43"/>
      <c r="F8" s="44"/>
      <c r="G8" s="44"/>
      <c r="H8" s="44"/>
    </row>
    <row r="9" ht="48.75" hidden="1" customHeight="1" spans="1:8">
      <c r="A9" s="43">
        <v>10031</v>
      </c>
      <c r="B9" s="43"/>
      <c r="C9" s="43" t="s">
        <v>246</v>
      </c>
      <c r="D9" s="43"/>
      <c r="E9" s="43"/>
      <c r="F9" s="44"/>
      <c r="G9" s="44"/>
      <c r="H9" s="44"/>
    </row>
    <row r="10" ht="48.75" hidden="1" customHeight="1" spans="1:8">
      <c r="A10" s="43">
        <v>10032</v>
      </c>
      <c r="B10" s="43"/>
      <c r="C10" s="43" t="s">
        <v>247</v>
      </c>
      <c r="D10" s="43"/>
      <c r="E10" s="43"/>
      <c r="F10" s="44"/>
      <c r="G10" s="44"/>
      <c r="H10" s="44"/>
    </row>
    <row r="11" ht="48.75" hidden="1" customHeight="1" spans="1:8">
      <c r="A11" s="43">
        <v>10040</v>
      </c>
      <c r="B11" s="43"/>
      <c r="C11" s="43" t="s">
        <v>248</v>
      </c>
      <c r="D11" s="43"/>
      <c r="E11" s="43"/>
      <c r="F11" s="44"/>
      <c r="G11" s="44"/>
      <c r="H11" s="44"/>
    </row>
    <row r="12" ht="48.75" hidden="1" customHeight="1" spans="1:8">
      <c r="A12" s="43">
        <v>10041</v>
      </c>
      <c r="B12" s="43"/>
      <c r="C12" s="43" t="s">
        <v>249</v>
      </c>
      <c r="D12" s="43"/>
      <c r="E12" s="43"/>
      <c r="F12" s="44"/>
      <c r="G12" s="44"/>
      <c r="H12" s="44"/>
    </row>
    <row r="13" ht="48.75" hidden="1" customHeight="1" spans="1:8">
      <c r="A13" s="43">
        <v>10042</v>
      </c>
      <c r="B13" s="43"/>
      <c r="C13" s="43" t="s">
        <v>250</v>
      </c>
      <c r="D13" s="43"/>
      <c r="E13" s="43"/>
      <c r="F13" s="44"/>
      <c r="G13" s="44"/>
      <c r="H13" s="44"/>
    </row>
    <row r="14" ht="48.75" hidden="1" customHeight="1" spans="1:8">
      <c r="A14" s="43">
        <v>10050</v>
      </c>
      <c r="B14" s="43"/>
      <c r="C14" s="43" t="s">
        <v>251</v>
      </c>
      <c r="D14" s="43"/>
      <c r="E14" s="43"/>
      <c r="F14" s="44"/>
      <c r="G14" s="44"/>
      <c r="H14" s="44"/>
    </row>
    <row r="15" ht="48.75" hidden="1" customHeight="1" spans="1:8">
      <c r="A15" s="43">
        <v>10051</v>
      </c>
      <c r="B15" s="43"/>
      <c r="C15" s="43" t="s">
        <v>252</v>
      </c>
      <c r="D15" s="43"/>
      <c r="E15" s="43"/>
      <c r="F15" s="44"/>
      <c r="G15" s="44"/>
      <c r="H15" s="44"/>
    </row>
    <row r="16" ht="48.75" hidden="1" customHeight="1" spans="1:8">
      <c r="A16" s="43">
        <v>10052</v>
      </c>
      <c r="B16" s="43"/>
      <c r="C16" s="43" t="s">
        <v>253</v>
      </c>
      <c r="D16" s="43"/>
      <c r="E16" s="43"/>
      <c r="F16" s="44"/>
      <c r="G16" s="44"/>
      <c r="H16" s="44"/>
    </row>
    <row r="17" ht="49.5" customHeight="1" spans="1:8">
      <c r="A17" s="43">
        <v>10060</v>
      </c>
      <c r="B17" s="43">
        <v>1006002</v>
      </c>
      <c r="C17" s="43" t="s">
        <v>40</v>
      </c>
      <c r="D17" s="43"/>
      <c r="E17" s="43" t="s">
        <v>254</v>
      </c>
      <c r="F17" s="44" t="s">
        <v>255</v>
      </c>
      <c r="G17" s="44" t="s">
        <v>256</v>
      </c>
      <c r="H17" s="44" t="s">
        <v>42</v>
      </c>
    </row>
    <row r="18" ht="49.5" customHeight="1" spans="1:8">
      <c r="A18" s="43">
        <v>10061</v>
      </c>
      <c r="B18" s="43">
        <v>1006002</v>
      </c>
      <c r="C18" s="43" t="s">
        <v>257</v>
      </c>
      <c r="D18" s="43"/>
      <c r="E18" s="43" t="s">
        <v>258</v>
      </c>
      <c r="F18" s="44" t="s">
        <v>259</v>
      </c>
      <c r="G18" s="44" t="s">
        <v>260</v>
      </c>
      <c r="H18" s="44" t="s">
        <v>261</v>
      </c>
    </row>
    <row r="19" ht="49.5" customHeight="1" spans="1:8">
      <c r="A19" s="43">
        <v>10062</v>
      </c>
      <c r="B19" s="43">
        <v>1006002</v>
      </c>
      <c r="C19" s="43" t="s">
        <v>262</v>
      </c>
      <c r="D19" s="43"/>
      <c r="E19" s="43" t="s">
        <v>263</v>
      </c>
      <c r="F19" s="44" t="s">
        <v>264</v>
      </c>
      <c r="G19" s="44" t="s">
        <v>265</v>
      </c>
      <c r="H19" s="44" t="s">
        <v>266</v>
      </c>
    </row>
    <row r="20" ht="49.5" customHeight="1" spans="1:8">
      <c r="A20" s="45">
        <v>10070</v>
      </c>
      <c r="B20" s="43">
        <v>1007002</v>
      </c>
      <c r="C20" s="43" t="s">
        <v>267</v>
      </c>
      <c r="D20" s="43"/>
      <c r="E20" s="43" t="s">
        <v>268</v>
      </c>
      <c r="F20" s="44" t="s">
        <v>269</v>
      </c>
      <c r="G20" s="44" t="s">
        <v>270</v>
      </c>
      <c r="H20" s="44" t="s">
        <v>271</v>
      </c>
    </row>
    <row r="21" ht="49.5" customHeight="1" spans="1:8">
      <c r="A21" s="45">
        <v>10071</v>
      </c>
      <c r="B21" s="43">
        <v>1007002</v>
      </c>
      <c r="C21" s="43" t="s">
        <v>272</v>
      </c>
      <c r="D21" s="46"/>
      <c r="E21" s="43" t="s">
        <v>273</v>
      </c>
      <c r="F21" s="44" t="s">
        <v>274</v>
      </c>
      <c r="G21" s="44" t="s">
        <v>275</v>
      </c>
      <c r="H21" s="44" t="s">
        <v>276</v>
      </c>
    </row>
    <row r="22" ht="49.5" customHeight="1" spans="1:8">
      <c r="A22" s="45">
        <v>10072</v>
      </c>
      <c r="B22" s="47"/>
      <c r="C22" s="47"/>
      <c r="D22" s="47"/>
      <c r="E22" s="43"/>
      <c r="F22" s="44"/>
      <c r="G22" s="44"/>
      <c r="H22" s="44"/>
    </row>
    <row r="23" ht="49.5" customHeight="1" spans="1:8">
      <c r="A23" s="43">
        <v>10090</v>
      </c>
      <c r="B23" s="43">
        <v>1009002</v>
      </c>
      <c r="C23" s="43" t="s">
        <v>46</v>
      </c>
      <c r="D23" s="43"/>
      <c r="E23" s="48" t="s">
        <v>277</v>
      </c>
      <c r="F23" s="44" t="s">
        <v>278</v>
      </c>
      <c r="G23" s="44" t="s">
        <v>278</v>
      </c>
      <c r="H23" s="44" t="s">
        <v>48</v>
      </c>
    </row>
    <row r="24" ht="49.5" customHeight="1" spans="1:8">
      <c r="A24" s="43">
        <v>10091</v>
      </c>
      <c r="B24" s="43">
        <v>1009002</v>
      </c>
      <c r="C24" s="43" t="s">
        <v>279</v>
      </c>
      <c r="D24" s="43"/>
      <c r="E24" s="48" t="s">
        <v>280</v>
      </c>
      <c r="F24" s="44" t="s">
        <v>281</v>
      </c>
      <c r="G24" s="44" t="s">
        <v>282</v>
      </c>
      <c r="H24" s="44" t="s">
        <v>283</v>
      </c>
    </row>
    <row r="25" ht="49.5" customHeight="1" spans="1:8">
      <c r="A25" s="43">
        <v>10092</v>
      </c>
      <c r="B25" s="47"/>
      <c r="C25" s="47"/>
      <c r="D25" s="47"/>
      <c r="E25" s="43"/>
      <c r="F25" s="44"/>
      <c r="G25" s="44"/>
      <c r="H25" s="44"/>
    </row>
    <row r="26" ht="49.5" customHeight="1" spans="1:8">
      <c r="A26" s="43">
        <v>10100</v>
      </c>
      <c r="B26" s="43">
        <v>1010002</v>
      </c>
      <c r="C26" s="43" t="s">
        <v>52</v>
      </c>
      <c r="D26" s="43"/>
      <c r="E26" s="48" t="s">
        <v>284</v>
      </c>
      <c r="F26" s="44" t="s">
        <v>285</v>
      </c>
      <c r="G26" s="44" t="s">
        <v>286</v>
      </c>
      <c r="H26" s="44" t="s">
        <v>54</v>
      </c>
    </row>
    <row r="27" ht="49.5" customHeight="1" spans="1:8">
      <c r="A27" s="43">
        <v>10101</v>
      </c>
      <c r="B27" s="43">
        <v>1010002</v>
      </c>
      <c r="C27" s="43" t="s">
        <v>58</v>
      </c>
      <c r="D27" s="43"/>
      <c r="E27" s="48" t="s">
        <v>287</v>
      </c>
      <c r="F27" s="44" t="s">
        <v>288</v>
      </c>
      <c r="G27" s="44" t="s">
        <v>289</v>
      </c>
      <c r="H27" s="44" t="s">
        <v>60</v>
      </c>
    </row>
    <row r="28" ht="49.5" customHeight="1" spans="1:8">
      <c r="A28" s="43">
        <v>10102</v>
      </c>
      <c r="B28" s="43">
        <v>1010202</v>
      </c>
      <c r="C28" s="43" t="s">
        <v>290</v>
      </c>
      <c r="D28" s="43"/>
      <c r="E28" s="48" t="s">
        <v>291</v>
      </c>
      <c r="F28" s="44" t="s">
        <v>292</v>
      </c>
      <c r="G28" s="44" t="s">
        <v>293</v>
      </c>
      <c r="H28" s="44" t="s">
        <v>294</v>
      </c>
    </row>
    <row r="29" ht="49.5" customHeight="1" spans="1:8">
      <c r="A29" s="43">
        <v>10110</v>
      </c>
      <c r="B29" s="43">
        <v>1011002</v>
      </c>
      <c r="C29" s="43" t="s">
        <v>64</v>
      </c>
      <c r="D29" s="43"/>
      <c r="E29" s="43" t="s">
        <v>295</v>
      </c>
      <c r="F29" s="44" t="s">
        <v>296</v>
      </c>
      <c r="G29" s="44" t="s">
        <v>297</v>
      </c>
      <c r="H29" s="44" t="s">
        <v>66</v>
      </c>
    </row>
    <row r="30" ht="49.5" customHeight="1" spans="1:8">
      <c r="A30" s="43">
        <v>10111</v>
      </c>
      <c r="B30" s="43">
        <v>1011002</v>
      </c>
      <c r="C30" s="43" t="s">
        <v>70</v>
      </c>
      <c r="D30" s="43"/>
      <c r="E30" s="43" t="s">
        <v>298</v>
      </c>
      <c r="F30" s="44" t="s">
        <v>299</v>
      </c>
      <c r="G30" s="44" t="s">
        <v>300</v>
      </c>
      <c r="H30" s="44" t="s">
        <v>72</v>
      </c>
    </row>
    <row r="31" ht="49.5" customHeight="1" spans="1:8">
      <c r="A31" s="43">
        <v>10112</v>
      </c>
      <c r="B31" s="47"/>
      <c r="C31" s="47"/>
      <c r="D31" s="47"/>
      <c r="E31" s="43"/>
      <c r="F31" s="44"/>
      <c r="G31" s="44"/>
      <c r="H31" s="44"/>
    </row>
    <row r="32" ht="49.5" customHeight="1" spans="1:8">
      <c r="A32" s="45">
        <v>10120</v>
      </c>
      <c r="B32" s="43">
        <v>1012002</v>
      </c>
      <c r="C32" s="43" t="s">
        <v>75</v>
      </c>
      <c r="D32" s="43"/>
      <c r="E32" s="48" t="s">
        <v>301</v>
      </c>
      <c r="F32" s="44" t="s">
        <v>302</v>
      </c>
      <c r="G32" s="44" t="s">
        <v>302</v>
      </c>
      <c r="H32" s="44" t="s">
        <v>77</v>
      </c>
    </row>
    <row r="33" ht="49.5" customHeight="1" spans="1:8">
      <c r="A33" s="45">
        <v>10121</v>
      </c>
      <c r="B33" s="43">
        <v>1012002</v>
      </c>
      <c r="C33" s="43" t="s">
        <v>303</v>
      </c>
      <c r="D33" s="43"/>
      <c r="E33" s="48" t="s">
        <v>304</v>
      </c>
      <c r="F33" s="44" t="s">
        <v>305</v>
      </c>
      <c r="G33" s="44" t="s">
        <v>305</v>
      </c>
      <c r="H33" s="44" t="s">
        <v>306</v>
      </c>
    </row>
    <row r="34" ht="49.5" customHeight="1" spans="1:8">
      <c r="A34" s="45">
        <v>10122</v>
      </c>
      <c r="B34" s="43">
        <v>1012202</v>
      </c>
      <c r="C34" s="43" t="s">
        <v>307</v>
      </c>
      <c r="D34" s="43"/>
      <c r="E34" s="48" t="s">
        <v>308</v>
      </c>
      <c r="F34" s="44" t="s">
        <v>309</v>
      </c>
      <c r="G34" s="44" t="s">
        <v>309</v>
      </c>
      <c r="H34" s="44" t="s">
        <v>310</v>
      </c>
    </row>
    <row r="35" ht="49.5" customHeight="1" spans="1:8">
      <c r="A35" s="43">
        <v>10130</v>
      </c>
      <c r="B35" s="43">
        <v>1013002</v>
      </c>
      <c r="C35" s="43" t="s">
        <v>81</v>
      </c>
      <c r="D35" s="43"/>
      <c r="E35" s="48" t="s">
        <v>311</v>
      </c>
      <c r="F35" s="44" t="s">
        <v>312</v>
      </c>
      <c r="G35" s="44" t="s">
        <v>312</v>
      </c>
      <c r="H35" s="44" t="s">
        <v>83</v>
      </c>
    </row>
    <row r="36" ht="49.5" customHeight="1" spans="1:8">
      <c r="A36" s="43">
        <v>10131</v>
      </c>
      <c r="B36" s="43">
        <v>1013002</v>
      </c>
      <c r="C36" s="43" t="s">
        <v>87</v>
      </c>
      <c r="D36" s="43"/>
      <c r="E36" s="48" t="s">
        <v>313</v>
      </c>
      <c r="F36" s="44" t="s">
        <v>314</v>
      </c>
      <c r="G36" s="44" t="s">
        <v>314</v>
      </c>
      <c r="H36" s="44" t="s">
        <v>89</v>
      </c>
    </row>
    <row r="37" ht="49.5" customHeight="1" spans="1:8">
      <c r="A37" s="43">
        <v>10132</v>
      </c>
      <c r="B37" s="47"/>
      <c r="C37" s="47"/>
      <c r="D37" s="47"/>
      <c r="E37" s="43"/>
      <c r="F37" s="44"/>
      <c r="G37" s="44"/>
      <c r="H37" s="44"/>
    </row>
    <row r="38" ht="49.5" customHeight="1" spans="1:8">
      <c r="A38" s="45">
        <v>10140</v>
      </c>
      <c r="B38" s="43">
        <v>1014002</v>
      </c>
      <c r="C38" s="43" t="s">
        <v>93</v>
      </c>
      <c r="D38" s="43"/>
      <c r="E38" s="43" t="s">
        <v>315</v>
      </c>
      <c r="F38" s="44" t="s">
        <v>316</v>
      </c>
      <c r="G38" s="44" t="s">
        <v>317</v>
      </c>
      <c r="H38" s="44" t="s">
        <v>95</v>
      </c>
    </row>
    <row r="39" ht="49.5" customHeight="1" spans="1:8">
      <c r="A39" s="45">
        <v>10141</v>
      </c>
      <c r="B39" s="43">
        <v>1014002</v>
      </c>
      <c r="C39" s="43" t="s">
        <v>318</v>
      </c>
      <c r="D39" s="43"/>
      <c r="E39" s="43" t="s">
        <v>319</v>
      </c>
      <c r="F39" s="44" t="s">
        <v>320</v>
      </c>
      <c r="G39" s="44" t="s">
        <v>321</v>
      </c>
      <c r="H39" s="44" t="s">
        <v>322</v>
      </c>
    </row>
    <row r="40" ht="49.5" customHeight="1" spans="1:8">
      <c r="A40" s="45">
        <v>10142</v>
      </c>
      <c r="B40" s="47"/>
      <c r="C40" s="47"/>
      <c r="D40" s="47"/>
      <c r="E40" s="43"/>
      <c r="F40" s="44"/>
      <c r="G40" s="44"/>
      <c r="H40" s="44"/>
    </row>
    <row r="41" ht="49.5" customHeight="1" spans="1:8">
      <c r="A41" s="45">
        <v>10150</v>
      </c>
      <c r="B41" s="43">
        <v>1015002</v>
      </c>
      <c r="C41" s="43" t="s">
        <v>323</v>
      </c>
      <c r="D41" s="43"/>
      <c r="E41" s="43" t="s">
        <v>324</v>
      </c>
      <c r="F41" s="44" t="s">
        <v>325</v>
      </c>
      <c r="G41" s="44" t="s">
        <v>326</v>
      </c>
      <c r="H41" s="44" t="s">
        <v>327</v>
      </c>
    </row>
    <row r="42" ht="49.5" customHeight="1" spans="1:8">
      <c r="A42" s="45">
        <v>10151</v>
      </c>
      <c r="B42" s="43">
        <v>1015002</v>
      </c>
      <c r="C42" s="43" t="s">
        <v>328</v>
      </c>
      <c r="D42" s="43"/>
      <c r="E42" s="43" t="s">
        <v>329</v>
      </c>
      <c r="F42" s="44" t="s">
        <v>330</v>
      </c>
      <c r="G42" s="44" t="s">
        <v>331</v>
      </c>
      <c r="H42" s="44" t="s">
        <v>332</v>
      </c>
    </row>
    <row r="43" ht="49.5" customHeight="1" spans="1:8">
      <c r="A43" s="45">
        <v>10152</v>
      </c>
      <c r="B43" s="47"/>
      <c r="C43" s="47"/>
      <c r="D43" s="47"/>
      <c r="E43" s="43"/>
      <c r="F43" s="44"/>
      <c r="G43" s="44"/>
      <c r="H43" s="44"/>
    </row>
    <row r="44" ht="49.5" customHeight="1" spans="1:8">
      <c r="A44" s="43">
        <v>10160</v>
      </c>
      <c r="B44" s="43">
        <v>1016002</v>
      </c>
      <c r="C44" s="43" t="s">
        <v>98</v>
      </c>
      <c r="D44" s="43"/>
      <c r="E44" s="43" t="s">
        <v>333</v>
      </c>
      <c r="F44" s="44" t="s">
        <v>334</v>
      </c>
      <c r="G44" s="44" t="s">
        <v>335</v>
      </c>
      <c r="H44" s="44" t="s">
        <v>100</v>
      </c>
    </row>
    <row r="45" ht="49.5" customHeight="1" spans="1:8">
      <c r="A45" s="43">
        <v>10161</v>
      </c>
      <c r="B45" s="43">
        <v>1016102</v>
      </c>
      <c r="C45" s="43" t="s">
        <v>104</v>
      </c>
      <c r="D45" s="43"/>
      <c r="E45" s="43" t="s">
        <v>336</v>
      </c>
      <c r="F45" s="44" t="s">
        <v>337</v>
      </c>
      <c r="G45" s="44" t="s">
        <v>338</v>
      </c>
      <c r="H45" s="44" t="s">
        <v>106</v>
      </c>
    </row>
    <row r="46" ht="49.5" customHeight="1" spans="1:8">
      <c r="A46" s="43">
        <v>10162</v>
      </c>
      <c r="B46" s="47"/>
      <c r="C46" s="49" t="s">
        <v>339</v>
      </c>
      <c r="D46" s="47"/>
      <c r="E46" s="43"/>
      <c r="F46" s="44"/>
      <c r="G46" s="44"/>
      <c r="H46" s="44"/>
    </row>
    <row r="47" ht="49.5" customHeight="1" spans="1:8">
      <c r="A47" s="45">
        <v>10170</v>
      </c>
      <c r="B47" s="43">
        <v>1017002</v>
      </c>
      <c r="C47" s="43" t="s">
        <v>340</v>
      </c>
      <c r="D47" s="43"/>
      <c r="E47" s="43" t="s">
        <v>341</v>
      </c>
      <c r="F47" s="44" t="s">
        <v>342</v>
      </c>
      <c r="G47" s="44" t="s">
        <v>343</v>
      </c>
      <c r="H47" s="44" t="s">
        <v>344</v>
      </c>
    </row>
    <row r="48" ht="49.5" customHeight="1" spans="1:8">
      <c r="A48" s="45">
        <v>10171</v>
      </c>
      <c r="B48" s="43">
        <v>1017002</v>
      </c>
      <c r="C48" s="43" t="s">
        <v>345</v>
      </c>
      <c r="D48" s="43"/>
      <c r="E48" s="43" t="s">
        <v>346</v>
      </c>
      <c r="F48" s="44" t="s">
        <v>347</v>
      </c>
      <c r="G48" s="44" t="s">
        <v>348</v>
      </c>
      <c r="H48" s="44" t="s">
        <v>349</v>
      </c>
    </row>
    <row r="49" ht="49.5" customHeight="1" spans="1:8">
      <c r="A49" s="45">
        <v>10172</v>
      </c>
      <c r="B49" s="47"/>
      <c r="C49" s="47"/>
      <c r="D49" s="47"/>
      <c r="E49" s="43"/>
      <c r="F49" s="44"/>
      <c r="G49" s="44"/>
      <c r="H49" s="44"/>
    </row>
    <row r="50" ht="49.5" customHeight="1" spans="1:8">
      <c r="A50" s="45">
        <v>10180</v>
      </c>
      <c r="B50" s="43">
        <v>1018002</v>
      </c>
      <c r="C50" s="43" t="s">
        <v>350</v>
      </c>
      <c r="D50" s="43"/>
      <c r="E50" s="43" t="s">
        <v>351</v>
      </c>
      <c r="F50" s="44" t="s">
        <v>352</v>
      </c>
      <c r="G50" s="44" t="s">
        <v>353</v>
      </c>
      <c r="H50" s="44" t="s">
        <v>354</v>
      </c>
    </row>
    <row r="51" ht="49.5" customHeight="1" spans="1:8">
      <c r="A51" s="45">
        <v>10181</v>
      </c>
      <c r="B51" s="43">
        <v>1018102</v>
      </c>
      <c r="C51" s="43" t="s">
        <v>355</v>
      </c>
      <c r="D51" s="43"/>
      <c r="E51" s="43" t="s">
        <v>356</v>
      </c>
      <c r="F51" s="44" t="s">
        <v>357</v>
      </c>
      <c r="G51" s="44" t="s">
        <v>358</v>
      </c>
      <c r="H51" s="44" t="s">
        <v>359</v>
      </c>
    </row>
    <row r="52" ht="49.5" customHeight="1" spans="1:8">
      <c r="A52" s="45">
        <v>10182</v>
      </c>
      <c r="B52" s="47"/>
      <c r="C52" s="47"/>
      <c r="D52" s="47"/>
      <c r="E52" s="43"/>
      <c r="F52" s="44"/>
      <c r="G52" s="44"/>
      <c r="H52" s="44"/>
    </row>
    <row r="53" ht="49.5" customHeight="1" spans="1:8">
      <c r="A53" s="45">
        <v>10190</v>
      </c>
      <c r="B53" s="43">
        <v>1019002</v>
      </c>
      <c r="C53" s="43" t="s">
        <v>109</v>
      </c>
      <c r="D53" s="43"/>
      <c r="E53" s="43" t="s">
        <v>360</v>
      </c>
      <c r="F53" s="44" t="s">
        <v>361</v>
      </c>
      <c r="G53" s="44" t="s">
        <v>362</v>
      </c>
      <c r="H53" s="44" t="s">
        <v>111</v>
      </c>
    </row>
    <row r="54" ht="49.5" customHeight="1" spans="1:8">
      <c r="A54" s="45">
        <v>10191</v>
      </c>
      <c r="B54" s="43">
        <v>1019102</v>
      </c>
      <c r="C54" s="43" t="s">
        <v>115</v>
      </c>
      <c r="D54" s="43"/>
      <c r="E54" s="43" t="s">
        <v>363</v>
      </c>
      <c r="F54" s="44" t="s">
        <v>364</v>
      </c>
      <c r="G54" s="44" t="s">
        <v>365</v>
      </c>
      <c r="H54" s="44" t="s">
        <v>117</v>
      </c>
    </row>
    <row r="55" ht="49.5" customHeight="1" spans="1:8">
      <c r="A55" s="45">
        <v>10192</v>
      </c>
      <c r="B55" s="43">
        <v>1019202</v>
      </c>
      <c r="C55" s="43" t="s">
        <v>366</v>
      </c>
      <c r="D55" s="43"/>
      <c r="E55" s="43" t="s">
        <v>367</v>
      </c>
      <c r="F55" s="44" t="s">
        <v>368</v>
      </c>
      <c r="G55" s="44" t="s">
        <v>369</v>
      </c>
      <c r="H55" s="44" t="s">
        <v>370</v>
      </c>
    </row>
    <row r="56" ht="49.5" customHeight="1" spans="1:8">
      <c r="A56" s="45">
        <v>10210</v>
      </c>
      <c r="B56" s="43">
        <v>1021002</v>
      </c>
      <c r="C56" s="43" t="s">
        <v>371</v>
      </c>
      <c r="D56" s="43"/>
      <c r="E56" s="43" t="s">
        <v>372</v>
      </c>
      <c r="F56" s="44" t="s">
        <v>373</v>
      </c>
      <c r="G56" s="44" t="s">
        <v>374</v>
      </c>
      <c r="H56" s="44" t="s">
        <v>375</v>
      </c>
    </row>
    <row r="57" ht="49.5" customHeight="1" spans="1:8">
      <c r="A57" s="45">
        <v>10211</v>
      </c>
      <c r="B57" s="43">
        <v>1021002</v>
      </c>
      <c r="C57" s="43" t="s">
        <v>376</v>
      </c>
      <c r="D57" s="43"/>
      <c r="E57" s="43" t="s">
        <v>377</v>
      </c>
      <c r="F57" s="44" t="s">
        <v>378</v>
      </c>
      <c r="G57" s="44" t="s">
        <v>379</v>
      </c>
      <c r="H57" s="44" t="s">
        <v>380</v>
      </c>
    </row>
    <row r="58" ht="49.5" customHeight="1" spans="1:8">
      <c r="A58" s="45">
        <v>10212</v>
      </c>
      <c r="B58" s="47"/>
      <c r="C58" s="47"/>
      <c r="D58" s="47"/>
      <c r="E58" s="43"/>
      <c r="F58" s="44"/>
      <c r="G58" s="44"/>
      <c r="H58" s="44"/>
    </row>
    <row r="59" ht="49.5" customHeight="1" spans="1:8">
      <c r="A59" s="43">
        <v>10220</v>
      </c>
      <c r="B59" s="43">
        <v>1022002</v>
      </c>
      <c r="C59" s="43" t="s">
        <v>381</v>
      </c>
      <c r="D59" s="43"/>
      <c r="E59" s="43" t="s">
        <v>382</v>
      </c>
      <c r="F59" s="44" t="s">
        <v>383</v>
      </c>
      <c r="G59" s="44" t="s">
        <v>384</v>
      </c>
      <c r="H59" s="44" t="s">
        <v>385</v>
      </c>
    </row>
    <row r="60" ht="49.5" customHeight="1" spans="1:8">
      <c r="A60" s="43">
        <v>10221</v>
      </c>
      <c r="B60" s="43">
        <v>1022002</v>
      </c>
      <c r="C60" s="43" t="s">
        <v>386</v>
      </c>
      <c r="D60" s="43"/>
      <c r="E60" s="43" t="s">
        <v>387</v>
      </c>
      <c r="F60" s="44" t="s">
        <v>388</v>
      </c>
      <c r="G60" s="44" t="s">
        <v>389</v>
      </c>
      <c r="H60" s="44" t="s">
        <v>390</v>
      </c>
    </row>
    <row r="61" ht="49.5" customHeight="1" spans="1:8">
      <c r="A61" s="43">
        <v>10222</v>
      </c>
      <c r="B61" s="47"/>
      <c r="C61" s="47"/>
      <c r="D61" s="47"/>
      <c r="E61" s="43"/>
      <c r="F61" s="44"/>
      <c r="G61" s="44"/>
      <c r="H61" s="44"/>
    </row>
    <row r="62" ht="49.5" customHeight="1" spans="1:8">
      <c r="A62" s="43">
        <v>10230</v>
      </c>
      <c r="B62" s="43">
        <v>1023002</v>
      </c>
      <c r="C62" s="43" t="s">
        <v>391</v>
      </c>
      <c r="D62" s="43"/>
      <c r="E62" s="43" t="s">
        <v>392</v>
      </c>
      <c r="F62" s="44" t="s">
        <v>393</v>
      </c>
      <c r="G62" s="44" t="s">
        <v>394</v>
      </c>
      <c r="H62" s="44" t="s">
        <v>395</v>
      </c>
    </row>
    <row r="63" ht="49.5" customHeight="1" spans="1:8">
      <c r="A63" s="43">
        <v>10231</v>
      </c>
      <c r="B63" s="43">
        <v>1023002</v>
      </c>
      <c r="C63" s="43" t="s">
        <v>396</v>
      </c>
      <c r="D63" s="43"/>
      <c r="E63" s="43" t="s">
        <v>397</v>
      </c>
      <c r="F63" s="44" t="s">
        <v>398</v>
      </c>
      <c r="G63" s="44" t="s">
        <v>399</v>
      </c>
      <c r="H63" s="44" t="s">
        <v>400</v>
      </c>
    </row>
    <row r="64" ht="49.5" customHeight="1" spans="1:8">
      <c r="A64" s="43">
        <v>10232</v>
      </c>
      <c r="B64" s="47"/>
      <c r="C64" s="47"/>
      <c r="D64" s="47"/>
      <c r="E64" s="43"/>
      <c r="F64" s="44"/>
      <c r="G64" s="44"/>
      <c r="H64" s="44"/>
    </row>
    <row r="65" ht="49.5" customHeight="1" spans="1:8">
      <c r="A65" s="45">
        <v>10250</v>
      </c>
      <c r="B65" s="43">
        <v>1025002</v>
      </c>
      <c r="C65" s="43" t="s">
        <v>401</v>
      </c>
      <c r="D65" s="43"/>
      <c r="E65" s="43" t="s">
        <v>402</v>
      </c>
      <c r="F65" s="44" t="s">
        <v>403</v>
      </c>
      <c r="G65" s="44" t="s">
        <v>404</v>
      </c>
      <c r="H65" s="44" t="s">
        <v>405</v>
      </c>
    </row>
    <row r="66" ht="49.5" customHeight="1" spans="1:8">
      <c r="A66" s="45">
        <v>10251</v>
      </c>
      <c r="B66" s="43">
        <v>1025002</v>
      </c>
      <c r="C66" s="43" t="s">
        <v>406</v>
      </c>
      <c r="D66" s="43"/>
      <c r="E66" s="43" t="s">
        <v>407</v>
      </c>
      <c r="F66" s="44" t="s">
        <v>408</v>
      </c>
      <c r="G66" s="44" t="s">
        <v>409</v>
      </c>
      <c r="H66" s="44" t="s">
        <v>410</v>
      </c>
    </row>
    <row r="67" ht="49.5" customHeight="1" spans="1:8">
      <c r="A67" s="45">
        <v>10252</v>
      </c>
      <c r="B67" s="47"/>
      <c r="C67" s="47"/>
      <c r="D67" s="47"/>
      <c r="E67" s="43"/>
      <c r="F67" s="44"/>
      <c r="G67" s="44"/>
      <c r="H67" s="44"/>
    </row>
    <row r="68" ht="49.5" customHeight="1" spans="1:8">
      <c r="A68" s="45">
        <v>10260</v>
      </c>
      <c r="B68" s="47"/>
      <c r="C68" s="47" t="s">
        <v>411</v>
      </c>
      <c r="D68" s="47"/>
      <c r="E68" s="43"/>
      <c r="F68" s="44"/>
      <c r="G68" s="44"/>
      <c r="H68" s="44"/>
    </row>
    <row r="69" ht="49.5" customHeight="1" spans="1:8">
      <c r="A69" s="45">
        <v>10261</v>
      </c>
      <c r="B69" s="47"/>
      <c r="C69" s="47" t="s">
        <v>412</v>
      </c>
      <c r="D69" s="47"/>
      <c r="E69" s="43"/>
      <c r="F69" s="44"/>
      <c r="G69" s="44"/>
      <c r="H69" s="44"/>
    </row>
    <row r="70" ht="49.5" customHeight="1" spans="1:8">
      <c r="A70" s="45">
        <v>10262</v>
      </c>
      <c r="B70" s="47"/>
      <c r="C70" s="47" t="s">
        <v>413</v>
      </c>
      <c r="D70" s="47"/>
      <c r="E70" s="43"/>
      <c r="F70" s="44"/>
      <c r="G70" s="44"/>
      <c r="H70" s="44"/>
    </row>
    <row r="71" ht="49.5" customHeight="1" spans="1:8">
      <c r="A71" s="45">
        <v>10270</v>
      </c>
      <c r="B71" s="43">
        <v>1027002</v>
      </c>
      <c r="C71" s="43" t="s">
        <v>414</v>
      </c>
      <c r="D71" s="43"/>
      <c r="E71" s="43" t="s">
        <v>415</v>
      </c>
      <c r="F71" s="44" t="s">
        <v>416</v>
      </c>
      <c r="G71" s="44" t="s">
        <v>417</v>
      </c>
      <c r="H71" s="44" t="s">
        <v>418</v>
      </c>
    </row>
    <row r="72" ht="49.5" customHeight="1" spans="1:8">
      <c r="A72" s="45">
        <v>10271</v>
      </c>
      <c r="B72" s="43">
        <v>1027002</v>
      </c>
      <c r="C72" s="43" t="s">
        <v>419</v>
      </c>
      <c r="D72" s="43"/>
      <c r="E72" s="43" t="s">
        <v>420</v>
      </c>
      <c r="F72" s="44" t="s">
        <v>421</v>
      </c>
      <c r="G72" s="44" t="s">
        <v>422</v>
      </c>
      <c r="H72" s="44" t="s">
        <v>423</v>
      </c>
    </row>
    <row r="73" ht="49.5" customHeight="1" spans="1:8">
      <c r="A73" s="45">
        <v>10272</v>
      </c>
      <c r="B73" s="47"/>
      <c r="C73" s="47"/>
      <c r="D73" s="47"/>
      <c r="E73" s="43"/>
      <c r="F73" s="44"/>
      <c r="G73" s="44"/>
      <c r="H73" s="44"/>
    </row>
    <row r="74" ht="49.5" customHeight="1" spans="1:8">
      <c r="A74" s="43">
        <v>10300</v>
      </c>
      <c r="B74" s="43">
        <v>1030002</v>
      </c>
      <c r="C74" s="43" t="s">
        <v>424</v>
      </c>
      <c r="D74" s="43"/>
      <c r="E74" s="43" t="s">
        <v>425</v>
      </c>
      <c r="F74" s="44" t="s">
        <v>426</v>
      </c>
      <c r="G74" s="44" t="s">
        <v>427</v>
      </c>
      <c r="H74" s="44" t="s">
        <v>428</v>
      </c>
    </row>
    <row r="75" ht="49.5" customHeight="1" spans="1:8">
      <c r="A75" s="43">
        <v>10301</v>
      </c>
      <c r="B75" s="43">
        <v>1030002</v>
      </c>
      <c r="C75" s="43" t="s">
        <v>125</v>
      </c>
      <c r="D75" s="43"/>
      <c r="E75" s="43" t="s">
        <v>429</v>
      </c>
      <c r="F75" s="44" t="s">
        <v>430</v>
      </c>
      <c r="G75" s="44" t="s">
        <v>431</v>
      </c>
      <c r="H75" s="44" t="s">
        <v>127</v>
      </c>
    </row>
    <row r="76" ht="49.5" customHeight="1" spans="1:8">
      <c r="A76" s="43">
        <v>10302</v>
      </c>
      <c r="B76" s="47"/>
      <c r="C76" s="47"/>
      <c r="D76" s="47"/>
      <c r="E76" s="43"/>
      <c r="F76" s="44"/>
      <c r="G76" s="44"/>
      <c r="H76" s="44"/>
    </row>
    <row r="77" ht="49.5" customHeight="1" spans="1:8">
      <c r="A77" s="45">
        <v>10320</v>
      </c>
      <c r="B77" s="43">
        <v>1032002</v>
      </c>
      <c r="C77" s="43" t="s">
        <v>432</v>
      </c>
      <c r="D77" s="43"/>
      <c r="E77" s="43" t="s">
        <v>433</v>
      </c>
      <c r="F77" s="44" t="s">
        <v>434</v>
      </c>
      <c r="G77" s="44" t="s">
        <v>435</v>
      </c>
      <c r="H77" s="44" t="s">
        <v>436</v>
      </c>
    </row>
    <row r="78" ht="49.5" customHeight="1" spans="1:8">
      <c r="A78" s="45">
        <v>10321</v>
      </c>
      <c r="B78" s="43">
        <v>1032002</v>
      </c>
      <c r="C78" s="43" t="s">
        <v>437</v>
      </c>
      <c r="D78" s="43"/>
      <c r="E78" s="43" t="s">
        <v>438</v>
      </c>
      <c r="F78" s="44" t="s">
        <v>439</v>
      </c>
      <c r="G78" s="44" t="s">
        <v>440</v>
      </c>
      <c r="H78" s="44" t="s">
        <v>441</v>
      </c>
    </row>
    <row r="79" ht="49.5" customHeight="1" spans="1:8">
      <c r="A79" s="45">
        <v>10322</v>
      </c>
      <c r="B79" s="47"/>
      <c r="C79" s="47"/>
      <c r="D79" s="47"/>
      <c r="E79" s="43"/>
      <c r="F79" s="44"/>
      <c r="G79" s="44"/>
      <c r="H79" s="44"/>
    </row>
    <row r="80" ht="49.5" customHeight="1" spans="1:8">
      <c r="A80" s="43">
        <v>10330</v>
      </c>
      <c r="B80" s="43">
        <v>1033002</v>
      </c>
      <c r="C80" s="43" t="s">
        <v>131</v>
      </c>
      <c r="D80" s="43"/>
      <c r="E80" s="43" t="s">
        <v>442</v>
      </c>
      <c r="F80" s="44" t="s">
        <v>443</v>
      </c>
      <c r="G80" s="44" t="s">
        <v>444</v>
      </c>
      <c r="H80" s="44" t="s">
        <v>133</v>
      </c>
    </row>
    <row r="81" ht="49.5" customHeight="1" spans="1:8">
      <c r="A81" s="43">
        <v>10331</v>
      </c>
      <c r="B81" s="43">
        <v>1033002</v>
      </c>
      <c r="C81" s="43" t="s">
        <v>137</v>
      </c>
      <c r="D81" s="43"/>
      <c r="E81" s="43" t="s">
        <v>445</v>
      </c>
      <c r="F81" s="44" t="s">
        <v>446</v>
      </c>
      <c r="G81" s="44" t="s">
        <v>447</v>
      </c>
      <c r="H81" s="44" t="s">
        <v>139</v>
      </c>
    </row>
    <row r="82" ht="49.5" customHeight="1" spans="1:8">
      <c r="A82" s="43">
        <v>10332</v>
      </c>
      <c r="B82" s="43">
        <v>1033202</v>
      </c>
      <c r="C82" s="43" t="s">
        <v>448</v>
      </c>
      <c r="D82" s="43"/>
      <c r="E82" s="43" t="s">
        <v>449</v>
      </c>
      <c r="F82" s="44" t="s">
        <v>450</v>
      </c>
      <c r="G82" s="44" t="s">
        <v>451</v>
      </c>
      <c r="H82" s="44" t="s">
        <v>452</v>
      </c>
    </row>
    <row r="83" ht="49.5" customHeight="1" spans="1:8">
      <c r="A83" s="45">
        <v>10350</v>
      </c>
      <c r="B83" s="43">
        <v>1035002</v>
      </c>
      <c r="C83" s="43" t="s">
        <v>142</v>
      </c>
      <c r="D83" s="43"/>
      <c r="E83" s="43" t="s">
        <v>453</v>
      </c>
      <c r="F83" s="44" t="s">
        <v>454</v>
      </c>
      <c r="G83" s="44" t="s">
        <v>455</v>
      </c>
      <c r="H83" s="44" t="s">
        <v>144</v>
      </c>
    </row>
    <row r="84" ht="49.5" customHeight="1" spans="1:8">
      <c r="A84" s="45">
        <v>10351</v>
      </c>
      <c r="B84" s="43">
        <v>1035002</v>
      </c>
      <c r="C84" s="43" t="s">
        <v>148</v>
      </c>
      <c r="D84" s="43"/>
      <c r="E84" s="43" t="s">
        <v>456</v>
      </c>
      <c r="F84" s="44" t="s">
        <v>457</v>
      </c>
      <c r="G84" s="44" t="s">
        <v>458</v>
      </c>
      <c r="H84" s="44" t="s">
        <v>150</v>
      </c>
    </row>
    <row r="85" ht="49.5" customHeight="1" spans="1:8">
      <c r="A85" s="45">
        <v>10352</v>
      </c>
      <c r="B85" s="43">
        <v>1035202</v>
      </c>
      <c r="C85" s="43" t="s">
        <v>459</v>
      </c>
      <c r="D85" s="43"/>
      <c r="E85" s="43" t="s">
        <v>460</v>
      </c>
      <c r="F85" s="44" t="s">
        <v>461</v>
      </c>
      <c r="G85" s="44" t="s">
        <v>462</v>
      </c>
      <c r="H85" s="44" t="s">
        <v>463</v>
      </c>
    </row>
    <row r="86" ht="49.5" customHeight="1" spans="1:8">
      <c r="A86" s="45">
        <v>10360</v>
      </c>
      <c r="B86" s="43">
        <v>1036002</v>
      </c>
      <c r="C86" s="43" t="s">
        <v>464</v>
      </c>
      <c r="D86" s="43"/>
      <c r="E86" s="43" t="s">
        <v>465</v>
      </c>
      <c r="F86" s="44" t="s">
        <v>466</v>
      </c>
      <c r="G86" s="44" t="s">
        <v>467</v>
      </c>
      <c r="H86" s="44" t="s">
        <v>468</v>
      </c>
    </row>
    <row r="87" ht="49.5" customHeight="1" spans="1:8">
      <c r="A87" s="45">
        <v>10361</v>
      </c>
      <c r="B87" s="43">
        <v>1036002</v>
      </c>
      <c r="C87" s="43" t="s">
        <v>469</v>
      </c>
      <c r="D87" s="43"/>
      <c r="E87" s="43" t="s">
        <v>470</v>
      </c>
      <c r="F87" s="44" t="s">
        <v>471</v>
      </c>
      <c r="G87" s="44" t="s">
        <v>472</v>
      </c>
      <c r="H87" s="44" t="s">
        <v>473</v>
      </c>
    </row>
    <row r="88" ht="49.5" customHeight="1" spans="1:8">
      <c r="A88" s="45">
        <v>10362</v>
      </c>
      <c r="B88" s="47"/>
      <c r="C88" s="47"/>
      <c r="D88" s="47"/>
      <c r="E88" s="43"/>
      <c r="F88" s="44"/>
      <c r="G88" s="44"/>
      <c r="H88" s="44"/>
    </row>
    <row r="89" ht="49.5" customHeight="1" spans="1:8">
      <c r="A89" s="45">
        <v>10380</v>
      </c>
      <c r="B89" s="43">
        <v>1038002</v>
      </c>
      <c r="C89" s="43" t="s">
        <v>474</v>
      </c>
      <c r="D89" s="43"/>
      <c r="E89" s="43" t="s">
        <v>475</v>
      </c>
      <c r="F89" s="44" t="s">
        <v>476</v>
      </c>
      <c r="G89" s="44" t="s">
        <v>477</v>
      </c>
      <c r="H89" s="44" t="s">
        <v>478</v>
      </c>
    </row>
    <row r="90" ht="49.5" customHeight="1" spans="1:8">
      <c r="A90" s="45">
        <v>10381</v>
      </c>
      <c r="B90" s="43">
        <v>1038002</v>
      </c>
      <c r="C90" s="43" t="s">
        <v>479</v>
      </c>
      <c r="D90" s="43"/>
      <c r="E90" s="43" t="s">
        <v>480</v>
      </c>
      <c r="F90" s="44" t="s">
        <v>481</v>
      </c>
      <c r="G90" s="44" t="s">
        <v>482</v>
      </c>
      <c r="H90" s="44" t="s">
        <v>483</v>
      </c>
    </row>
    <row r="91" ht="49.5" customHeight="1" spans="1:8">
      <c r="A91" s="45">
        <v>10382</v>
      </c>
      <c r="B91" s="47"/>
      <c r="C91" s="47"/>
      <c r="D91" s="47"/>
      <c r="E91" s="43"/>
      <c r="F91" s="44"/>
      <c r="G91" s="44"/>
      <c r="H91" s="44"/>
    </row>
    <row r="92" ht="49.5" customHeight="1" spans="1:8">
      <c r="A92" s="45">
        <v>10390</v>
      </c>
      <c r="B92" s="43">
        <v>1039002</v>
      </c>
      <c r="C92" s="43" t="s">
        <v>484</v>
      </c>
      <c r="D92" s="43"/>
      <c r="E92" s="43" t="s">
        <v>485</v>
      </c>
      <c r="F92" s="44" t="s">
        <v>486</v>
      </c>
      <c r="G92" s="44" t="s">
        <v>487</v>
      </c>
      <c r="H92" s="44" t="s">
        <v>488</v>
      </c>
    </row>
    <row r="93" ht="49.5" customHeight="1" spans="1:8">
      <c r="A93" s="45">
        <v>10391</v>
      </c>
      <c r="B93" s="43">
        <v>1039002</v>
      </c>
      <c r="C93" s="43" t="s">
        <v>489</v>
      </c>
      <c r="D93" s="43"/>
      <c r="E93" s="43" t="s">
        <v>490</v>
      </c>
      <c r="F93" s="44" t="s">
        <v>491</v>
      </c>
      <c r="G93" s="44" t="s">
        <v>492</v>
      </c>
      <c r="H93" s="44" t="s">
        <v>493</v>
      </c>
    </row>
    <row r="94" ht="49.5" customHeight="1" spans="1:8">
      <c r="A94" s="43">
        <v>10392</v>
      </c>
      <c r="B94" s="43">
        <v>1039202</v>
      </c>
      <c r="C94" s="43" t="s">
        <v>494</v>
      </c>
      <c r="D94" s="43"/>
      <c r="E94" s="43" t="s">
        <v>495</v>
      </c>
      <c r="F94" s="44" t="s">
        <v>496</v>
      </c>
      <c r="G94" s="44" t="s">
        <v>497</v>
      </c>
      <c r="H94" s="44" t="s">
        <v>498</v>
      </c>
    </row>
    <row r="95" ht="49.5" customHeight="1" spans="1:8">
      <c r="A95" s="43">
        <v>10410</v>
      </c>
      <c r="B95" s="43">
        <v>1041002</v>
      </c>
      <c r="C95" s="43" t="s">
        <v>154</v>
      </c>
      <c r="D95" s="43"/>
      <c r="E95" s="43" t="s">
        <v>499</v>
      </c>
      <c r="F95" s="44" t="s">
        <v>500</v>
      </c>
      <c r="G95" s="44" t="s">
        <v>501</v>
      </c>
      <c r="H95" s="44" t="s">
        <v>156</v>
      </c>
    </row>
    <row r="96" ht="49.5" customHeight="1" spans="1:8">
      <c r="A96" s="43">
        <v>10411</v>
      </c>
      <c r="B96" s="43">
        <v>1041002</v>
      </c>
      <c r="C96" s="43" t="s">
        <v>160</v>
      </c>
      <c r="D96" s="43"/>
      <c r="E96" s="43" t="s">
        <v>502</v>
      </c>
      <c r="F96" s="44" t="s">
        <v>503</v>
      </c>
      <c r="G96" s="44" t="s">
        <v>504</v>
      </c>
      <c r="H96" s="44" t="s">
        <v>162</v>
      </c>
    </row>
    <row r="97" ht="49.5" customHeight="1" spans="1:8">
      <c r="A97" s="43">
        <v>10412</v>
      </c>
      <c r="B97" s="47"/>
      <c r="C97" s="47"/>
      <c r="D97" s="47"/>
      <c r="E97" s="43"/>
      <c r="F97" s="44"/>
      <c r="G97" s="44"/>
      <c r="H97" s="44"/>
    </row>
    <row r="98" ht="49.5" customHeight="1" spans="1:8">
      <c r="A98" s="45">
        <v>10420</v>
      </c>
      <c r="B98" s="43">
        <v>1042002</v>
      </c>
      <c r="C98" s="43" t="s">
        <v>505</v>
      </c>
      <c r="D98" s="43"/>
      <c r="E98" s="43" t="s">
        <v>506</v>
      </c>
      <c r="F98" s="44" t="s">
        <v>507</v>
      </c>
      <c r="G98" s="44" t="s">
        <v>508</v>
      </c>
      <c r="H98" s="44" t="s">
        <v>509</v>
      </c>
    </row>
    <row r="99" ht="49.5" customHeight="1" spans="1:8">
      <c r="A99" s="45">
        <v>10421</v>
      </c>
      <c r="B99" s="43">
        <v>1042002</v>
      </c>
      <c r="C99" s="43" t="s">
        <v>510</v>
      </c>
      <c r="D99" s="43"/>
      <c r="E99" s="43" t="s">
        <v>511</v>
      </c>
      <c r="F99" s="44" t="s">
        <v>512</v>
      </c>
      <c r="G99" s="44" t="s">
        <v>513</v>
      </c>
      <c r="H99" s="44" t="s">
        <v>514</v>
      </c>
    </row>
    <row r="100" ht="49.5" customHeight="1" spans="1:8">
      <c r="A100" s="45">
        <v>10422</v>
      </c>
      <c r="B100" s="47"/>
      <c r="C100" s="47"/>
      <c r="D100" s="47"/>
      <c r="E100" s="43"/>
      <c r="F100" s="44"/>
      <c r="G100" s="44"/>
      <c r="H100" s="44"/>
    </row>
    <row r="101" ht="49.5" customHeight="1" spans="1:8">
      <c r="A101" s="45">
        <v>10430</v>
      </c>
      <c r="B101" s="47"/>
      <c r="C101" s="47" t="s">
        <v>515</v>
      </c>
      <c r="D101" s="47"/>
      <c r="E101" s="43"/>
      <c r="F101" s="44"/>
      <c r="G101" s="44"/>
      <c r="H101" s="44"/>
    </row>
    <row r="102" ht="49.5" customHeight="1" spans="1:8">
      <c r="A102" s="45">
        <v>10431</v>
      </c>
      <c r="B102" s="47"/>
      <c r="C102" s="47" t="s">
        <v>516</v>
      </c>
      <c r="D102" s="47"/>
      <c r="E102" s="43"/>
      <c r="F102" s="44"/>
      <c r="G102" s="44"/>
      <c r="H102" s="44"/>
    </row>
    <row r="103" ht="49.5" customHeight="1" spans="1:8">
      <c r="A103" s="45">
        <v>10432</v>
      </c>
      <c r="B103" s="47"/>
      <c r="C103" s="47"/>
      <c r="D103" s="47"/>
      <c r="E103" s="43"/>
      <c r="F103" s="44"/>
      <c r="G103" s="44"/>
      <c r="H103" s="44"/>
    </row>
    <row r="104" ht="49.5" customHeight="1" spans="1:8">
      <c r="A104" s="45">
        <v>10450</v>
      </c>
      <c r="B104" s="43">
        <v>1045002</v>
      </c>
      <c r="C104" s="43" t="s">
        <v>165</v>
      </c>
      <c r="D104" s="43"/>
      <c r="E104" s="43" t="s">
        <v>517</v>
      </c>
      <c r="F104" s="44" t="s">
        <v>518</v>
      </c>
      <c r="G104" s="44" t="s">
        <v>519</v>
      </c>
      <c r="H104" s="44" t="s">
        <v>167</v>
      </c>
    </row>
    <row r="105" ht="49.5" customHeight="1" spans="1:8">
      <c r="A105" s="45">
        <v>10451</v>
      </c>
      <c r="B105" s="43">
        <v>1045102</v>
      </c>
      <c r="C105" s="43" t="s">
        <v>171</v>
      </c>
      <c r="D105" s="43"/>
      <c r="E105" s="43" t="s">
        <v>520</v>
      </c>
      <c r="F105" s="44" t="s">
        <v>521</v>
      </c>
      <c r="G105" s="44" t="s">
        <v>522</v>
      </c>
      <c r="H105" s="44" t="s">
        <v>173</v>
      </c>
    </row>
    <row r="106" ht="49.5" customHeight="1" spans="1:8">
      <c r="A106" s="45">
        <v>10452</v>
      </c>
      <c r="B106" s="47"/>
      <c r="C106" s="47"/>
      <c r="D106" s="47"/>
      <c r="E106" s="43"/>
      <c r="F106" s="44"/>
      <c r="G106" s="44"/>
      <c r="H106" s="44"/>
    </row>
    <row r="107" ht="49.5" customHeight="1" spans="1:8">
      <c r="A107" s="43">
        <v>10460</v>
      </c>
      <c r="B107" s="43">
        <v>1046002</v>
      </c>
      <c r="C107" s="43" t="s">
        <v>523</v>
      </c>
      <c r="D107" s="43"/>
      <c r="E107" s="43" t="s">
        <v>524</v>
      </c>
      <c r="F107" s="44" t="s">
        <v>525</v>
      </c>
      <c r="G107" s="44" t="s">
        <v>526</v>
      </c>
      <c r="H107" s="44" t="s">
        <v>527</v>
      </c>
    </row>
    <row r="108" ht="49.5" customHeight="1" spans="1:8">
      <c r="A108" s="43">
        <v>10461</v>
      </c>
      <c r="B108" s="43">
        <v>1046002</v>
      </c>
      <c r="C108" s="43" t="s">
        <v>528</v>
      </c>
      <c r="D108" s="43"/>
      <c r="E108" s="43" t="s">
        <v>529</v>
      </c>
      <c r="F108" s="44" t="s">
        <v>530</v>
      </c>
      <c r="G108" s="44" t="s">
        <v>531</v>
      </c>
      <c r="H108" s="44" t="s">
        <v>532</v>
      </c>
    </row>
    <row r="109" ht="49.5" customHeight="1" spans="1:8">
      <c r="A109" s="43">
        <v>10462</v>
      </c>
      <c r="B109" s="47"/>
      <c r="C109" s="47"/>
      <c r="D109" s="47"/>
      <c r="E109" s="43"/>
      <c r="F109" s="44"/>
      <c r="G109" s="44"/>
      <c r="H109" s="44"/>
    </row>
    <row r="110" ht="49.5" customHeight="1" spans="1:8">
      <c r="A110" s="45">
        <v>10470</v>
      </c>
      <c r="B110" s="43">
        <v>1047002</v>
      </c>
      <c r="C110" s="43" t="s">
        <v>176</v>
      </c>
      <c r="D110" s="43"/>
      <c r="E110" s="43" t="s">
        <v>533</v>
      </c>
      <c r="F110" s="44" t="s">
        <v>534</v>
      </c>
      <c r="G110" s="44" t="s">
        <v>535</v>
      </c>
      <c r="H110" s="44" t="s">
        <v>178</v>
      </c>
    </row>
    <row r="111" ht="49.5" customHeight="1" spans="1:8">
      <c r="A111" s="45">
        <v>10471</v>
      </c>
      <c r="B111" s="43">
        <v>1047002</v>
      </c>
      <c r="C111" s="43" t="s">
        <v>181</v>
      </c>
      <c r="D111" s="43"/>
      <c r="E111" s="43" t="s">
        <v>536</v>
      </c>
      <c r="F111" s="44" t="s">
        <v>537</v>
      </c>
      <c r="G111" s="44" t="s">
        <v>538</v>
      </c>
      <c r="H111" s="44" t="s">
        <v>183</v>
      </c>
    </row>
    <row r="112" ht="49.5" customHeight="1" spans="1:8">
      <c r="A112" s="45">
        <v>10472</v>
      </c>
      <c r="B112" s="47"/>
      <c r="C112" s="47"/>
      <c r="D112" s="47"/>
      <c r="E112" s="43"/>
      <c r="F112" s="44"/>
      <c r="G112" s="44"/>
      <c r="H112" s="44"/>
    </row>
    <row r="113" ht="49.5" customHeight="1" spans="1:8">
      <c r="A113" s="43">
        <v>10500</v>
      </c>
      <c r="B113" s="43">
        <v>1050002</v>
      </c>
      <c r="C113" s="43" t="s">
        <v>186</v>
      </c>
      <c r="D113" s="43"/>
      <c r="E113" s="43" t="s">
        <v>539</v>
      </c>
      <c r="F113" s="44" t="s">
        <v>540</v>
      </c>
      <c r="G113" s="44" t="s">
        <v>541</v>
      </c>
      <c r="H113" s="44" t="s">
        <v>188</v>
      </c>
    </row>
    <row r="114" ht="49.5" customHeight="1" spans="1:8">
      <c r="A114" s="43">
        <v>10501</v>
      </c>
      <c r="B114" s="43">
        <v>1050002</v>
      </c>
      <c r="C114" s="43" t="s">
        <v>542</v>
      </c>
      <c r="D114" s="43"/>
      <c r="E114" s="43" t="s">
        <v>543</v>
      </c>
      <c r="F114" s="44" t="s">
        <v>544</v>
      </c>
      <c r="G114" s="44" t="s">
        <v>545</v>
      </c>
      <c r="H114" s="44" t="s">
        <v>546</v>
      </c>
    </row>
    <row r="115" ht="49.5" customHeight="1" spans="1:8">
      <c r="A115" s="43">
        <v>10502</v>
      </c>
      <c r="B115" s="47"/>
      <c r="C115" s="47"/>
      <c r="D115" s="47"/>
      <c r="E115" s="43"/>
      <c r="F115" s="44"/>
      <c r="G115" s="44"/>
      <c r="H115" s="44"/>
    </row>
    <row r="116" ht="49.5" customHeight="1" spans="1:8">
      <c r="A116" s="45">
        <v>10510</v>
      </c>
      <c r="B116" s="43">
        <v>1051002</v>
      </c>
      <c r="C116" s="43" t="s">
        <v>547</v>
      </c>
      <c r="D116" s="43"/>
      <c r="E116" s="43" t="s">
        <v>548</v>
      </c>
      <c r="F116" s="44" t="s">
        <v>549</v>
      </c>
      <c r="G116" s="44" t="s">
        <v>550</v>
      </c>
      <c r="H116" s="44" t="s">
        <v>551</v>
      </c>
    </row>
    <row r="117" ht="49.5" customHeight="1" spans="1:8">
      <c r="A117" s="45">
        <v>10511</v>
      </c>
      <c r="B117" s="43">
        <v>1051002</v>
      </c>
      <c r="C117" s="43" t="s">
        <v>552</v>
      </c>
      <c r="D117" s="43"/>
      <c r="E117" s="43" t="s">
        <v>553</v>
      </c>
      <c r="F117" s="44" t="s">
        <v>554</v>
      </c>
      <c r="G117" s="44" t="s">
        <v>555</v>
      </c>
      <c r="H117" s="44" t="s">
        <v>556</v>
      </c>
    </row>
    <row r="118" ht="49.5" customHeight="1" spans="1:8">
      <c r="A118" s="45">
        <v>10512</v>
      </c>
      <c r="B118" s="43">
        <v>1051002</v>
      </c>
      <c r="C118" s="43" t="s">
        <v>557</v>
      </c>
      <c r="D118" s="43"/>
      <c r="E118" s="43" t="s">
        <v>558</v>
      </c>
      <c r="F118" s="44" t="s">
        <v>559</v>
      </c>
      <c r="G118" s="44" t="s">
        <v>560</v>
      </c>
      <c r="H118" s="44" t="s">
        <v>561</v>
      </c>
    </row>
    <row r="119" ht="49.5" customHeight="1" spans="1:8">
      <c r="A119" s="43">
        <v>10520</v>
      </c>
      <c r="B119" s="43">
        <v>1052002</v>
      </c>
      <c r="C119" s="43" t="s">
        <v>192</v>
      </c>
      <c r="D119" s="43"/>
      <c r="E119" s="43" t="s">
        <v>562</v>
      </c>
      <c r="F119" s="44" t="s">
        <v>563</v>
      </c>
      <c r="G119" s="44" t="s">
        <v>564</v>
      </c>
      <c r="H119" s="44" t="s">
        <v>194</v>
      </c>
    </row>
    <row r="120" ht="49.5" customHeight="1" spans="1:8">
      <c r="A120" s="43">
        <v>10521</v>
      </c>
      <c r="B120" s="43">
        <v>1052102</v>
      </c>
      <c r="C120" s="43" t="s">
        <v>197</v>
      </c>
      <c r="D120" s="43"/>
      <c r="E120" s="43" t="s">
        <v>565</v>
      </c>
      <c r="F120" s="44" t="s">
        <v>566</v>
      </c>
      <c r="G120" s="44" t="s">
        <v>567</v>
      </c>
      <c r="H120" s="44" t="s">
        <v>199</v>
      </c>
    </row>
    <row r="121" ht="49.5" customHeight="1" spans="1:8">
      <c r="A121" s="43">
        <v>10522</v>
      </c>
      <c r="B121" s="43">
        <v>1052202</v>
      </c>
      <c r="C121" s="43" t="s">
        <v>568</v>
      </c>
      <c r="D121" s="43"/>
      <c r="E121" s="43" t="s">
        <v>569</v>
      </c>
      <c r="F121" s="44" t="s">
        <v>570</v>
      </c>
      <c r="G121" s="44" t="s">
        <v>571</v>
      </c>
      <c r="H121" s="44" t="s">
        <v>572</v>
      </c>
    </row>
    <row r="122" ht="49.5" customHeight="1" spans="1:8">
      <c r="A122" s="45">
        <v>10530</v>
      </c>
      <c r="B122" s="43">
        <v>1053002</v>
      </c>
      <c r="C122" s="43" t="s">
        <v>203</v>
      </c>
      <c r="D122" s="43"/>
      <c r="E122" s="43" t="s">
        <v>573</v>
      </c>
      <c r="F122" s="44" t="s">
        <v>574</v>
      </c>
      <c r="G122" s="44" t="s">
        <v>575</v>
      </c>
      <c r="H122" s="40" t="s">
        <v>205</v>
      </c>
    </row>
    <row r="123" ht="49.5" customHeight="1" spans="1:8">
      <c r="A123" s="45">
        <v>10531</v>
      </c>
      <c r="B123" s="43">
        <v>1053002</v>
      </c>
      <c r="C123" s="43" t="s">
        <v>208</v>
      </c>
      <c r="D123" s="43"/>
      <c r="E123" s="43" t="s">
        <v>576</v>
      </c>
      <c r="F123" s="44" t="s">
        <v>577</v>
      </c>
      <c r="G123" s="44" t="s">
        <v>578</v>
      </c>
      <c r="H123" s="44" t="s">
        <v>210</v>
      </c>
    </row>
    <row r="124" ht="49.5" customHeight="1" spans="1:8">
      <c r="A124" s="45">
        <v>10532</v>
      </c>
      <c r="B124" s="47"/>
      <c r="C124" s="47"/>
      <c r="D124" s="47"/>
      <c r="E124" s="43"/>
      <c r="F124" s="44"/>
      <c r="G124" s="44"/>
      <c r="H124" s="44"/>
    </row>
    <row r="125" ht="49.5" customHeight="1" spans="1:8">
      <c r="A125" s="43">
        <v>10560</v>
      </c>
      <c r="B125" s="43">
        <v>1056002</v>
      </c>
      <c r="C125" s="43" t="s">
        <v>213</v>
      </c>
      <c r="D125" s="43"/>
      <c r="E125" s="43" t="s">
        <v>579</v>
      </c>
      <c r="F125" s="44" t="s">
        <v>580</v>
      </c>
      <c r="G125" s="44" t="s">
        <v>581</v>
      </c>
      <c r="H125" s="44" t="s">
        <v>215</v>
      </c>
    </row>
    <row r="126" ht="49.5" customHeight="1" spans="1:8">
      <c r="A126" s="43">
        <v>10561</v>
      </c>
      <c r="B126" s="43">
        <v>1056002</v>
      </c>
      <c r="C126" s="43" t="s">
        <v>219</v>
      </c>
      <c r="D126" s="43"/>
      <c r="E126" s="43" t="s">
        <v>582</v>
      </c>
      <c r="F126" s="44" t="s">
        <v>583</v>
      </c>
      <c r="G126" s="44" t="s">
        <v>584</v>
      </c>
      <c r="H126" s="44" t="s">
        <v>221</v>
      </c>
    </row>
    <row r="127" ht="49.5" customHeight="1" spans="1:8">
      <c r="A127" s="43">
        <v>10562</v>
      </c>
      <c r="B127" s="43">
        <v>1056202</v>
      </c>
      <c r="C127" s="43" t="s">
        <v>585</v>
      </c>
      <c r="D127" s="43"/>
      <c r="E127" s="43" t="s">
        <v>586</v>
      </c>
      <c r="F127" s="44" t="s">
        <v>587</v>
      </c>
      <c r="G127" s="44" t="s">
        <v>588</v>
      </c>
      <c r="H127" s="44" t="s">
        <v>589</v>
      </c>
    </row>
    <row r="128" ht="49.5" customHeight="1" spans="1:8">
      <c r="A128" s="43">
        <v>10570</v>
      </c>
      <c r="B128" s="43">
        <v>1057002</v>
      </c>
      <c r="C128" s="43" t="s">
        <v>590</v>
      </c>
      <c r="D128" s="43"/>
      <c r="E128" s="43" t="s">
        <v>591</v>
      </c>
      <c r="F128" s="44" t="s">
        <v>592</v>
      </c>
      <c r="G128" s="44" t="s">
        <v>593</v>
      </c>
      <c r="H128" s="44" t="s">
        <v>594</v>
      </c>
    </row>
    <row r="129" ht="49.5" customHeight="1" spans="1:8">
      <c r="A129" s="43">
        <v>10571</v>
      </c>
      <c r="B129" s="43">
        <v>1057002</v>
      </c>
      <c r="C129" s="43" t="s">
        <v>595</v>
      </c>
      <c r="D129" s="43"/>
      <c r="E129" s="43" t="s">
        <v>596</v>
      </c>
      <c r="F129" s="44" t="s">
        <v>597</v>
      </c>
      <c r="G129" s="44" t="s">
        <v>598</v>
      </c>
      <c r="H129" s="44" t="s">
        <v>599</v>
      </c>
    </row>
    <row r="130" ht="49.5" customHeight="1" spans="1:8">
      <c r="A130" s="43">
        <v>10572</v>
      </c>
      <c r="B130" s="47"/>
      <c r="C130" s="47"/>
      <c r="D130" s="47"/>
      <c r="E130" s="43"/>
      <c r="F130" s="44"/>
      <c r="G130" s="44"/>
      <c r="H130" s="44"/>
    </row>
    <row r="131" ht="49.5" customHeight="1" spans="1:8">
      <c r="A131" s="45">
        <v>10580</v>
      </c>
      <c r="B131" s="43">
        <v>1058002</v>
      </c>
      <c r="C131" s="43" t="s">
        <v>224</v>
      </c>
      <c r="D131" s="43"/>
      <c r="E131" s="43" t="s">
        <v>600</v>
      </c>
      <c r="F131" s="44" t="s">
        <v>601</v>
      </c>
      <c r="G131" s="44" t="s">
        <v>602</v>
      </c>
      <c r="H131" s="44" t="s">
        <v>226</v>
      </c>
    </row>
    <row r="132" ht="49.5" customHeight="1" spans="1:8">
      <c r="A132" s="45">
        <v>10581</v>
      </c>
      <c r="B132" s="43">
        <v>1058002</v>
      </c>
      <c r="C132" s="43" t="s">
        <v>229</v>
      </c>
      <c r="D132" s="43"/>
      <c r="E132" s="43" t="s">
        <v>603</v>
      </c>
      <c r="F132" s="44" t="s">
        <v>604</v>
      </c>
      <c r="G132" s="44" t="s">
        <v>605</v>
      </c>
      <c r="H132" s="44" t="s">
        <v>231</v>
      </c>
    </row>
    <row r="133" ht="49.5" customHeight="1" spans="1:8">
      <c r="A133" s="45">
        <v>10582</v>
      </c>
      <c r="B133" s="43">
        <v>1058002</v>
      </c>
      <c r="C133" s="43" t="s">
        <v>606</v>
      </c>
      <c r="D133" s="43"/>
      <c r="E133" s="43" t="s">
        <v>607</v>
      </c>
      <c r="F133" s="44" t="s">
        <v>608</v>
      </c>
      <c r="G133" s="44" t="s">
        <v>609</v>
      </c>
      <c r="H133" s="44" t="s">
        <v>610</v>
      </c>
    </row>
    <row r="134" ht="49.5" customHeight="1" spans="1:8">
      <c r="A134" s="45">
        <v>10590</v>
      </c>
      <c r="B134" s="43">
        <v>1059002</v>
      </c>
      <c r="C134" s="43" t="s">
        <v>611</v>
      </c>
      <c r="D134" s="43"/>
      <c r="E134" s="43" t="s">
        <v>612</v>
      </c>
      <c r="F134" s="44" t="s">
        <v>613</v>
      </c>
      <c r="G134" s="44" t="s">
        <v>614</v>
      </c>
      <c r="H134" s="44" t="s">
        <v>615</v>
      </c>
    </row>
    <row r="135" ht="49.5" customHeight="1" spans="1:8">
      <c r="A135" s="45">
        <v>10591</v>
      </c>
      <c r="B135" s="43">
        <v>1059002</v>
      </c>
      <c r="C135" s="43" t="s">
        <v>616</v>
      </c>
      <c r="D135" s="43"/>
      <c r="E135" s="43" t="s">
        <v>617</v>
      </c>
      <c r="F135" s="44" t="s">
        <v>618</v>
      </c>
      <c r="G135" s="44" t="s">
        <v>619</v>
      </c>
      <c r="H135" s="44" t="s">
        <v>620</v>
      </c>
    </row>
    <row r="136" ht="49.5" customHeight="1" spans="1:8">
      <c r="A136" s="45">
        <v>10592</v>
      </c>
      <c r="B136" s="47"/>
      <c r="C136" s="47"/>
      <c r="D136" s="47"/>
      <c r="E136" s="43"/>
      <c r="F136" s="44"/>
      <c r="G136" s="44"/>
      <c r="H136" s="44"/>
    </row>
    <row r="137" ht="49.5" customHeight="1" spans="1:8">
      <c r="A137" s="45">
        <v>10600</v>
      </c>
      <c r="B137" s="43">
        <v>1060002</v>
      </c>
      <c r="C137" s="43" t="s">
        <v>621</v>
      </c>
      <c r="D137" s="43"/>
      <c r="E137" s="43" t="s">
        <v>622</v>
      </c>
      <c r="F137" s="44" t="s">
        <v>623</v>
      </c>
      <c r="G137" s="44" t="s">
        <v>624</v>
      </c>
      <c r="H137" s="44" t="s">
        <v>625</v>
      </c>
    </row>
    <row r="138" ht="49.5" customHeight="1" spans="1:8">
      <c r="A138" s="45">
        <v>10601</v>
      </c>
      <c r="B138" s="43">
        <v>1060002</v>
      </c>
      <c r="C138" s="43" t="s">
        <v>626</v>
      </c>
      <c r="D138" s="43"/>
      <c r="E138" s="43" t="s">
        <v>627</v>
      </c>
      <c r="F138" s="44" t="s">
        <v>628</v>
      </c>
      <c r="G138" s="44" t="s">
        <v>629</v>
      </c>
      <c r="H138" s="44" t="s">
        <v>630</v>
      </c>
    </row>
    <row r="139" ht="49.5" customHeight="1" spans="1:8">
      <c r="A139" s="45">
        <v>10602</v>
      </c>
      <c r="B139" s="47"/>
      <c r="C139" s="47"/>
      <c r="D139" s="47"/>
      <c r="E139" s="43"/>
      <c r="F139" s="44"/>
      <c r="G139" s="44"/>
      <c r="H139" s="44"/>
    </row>
    <row r="140" ht="49.5" customHeight="1" spans="1:8">
      <c r="A140" s="45">
        <v>10620</v>
      </c>
      <c r="B140" s="43">
        <v>1062002</v>
      </c>
      <c r="C140" s="43" t="s">
        <v>631</v>
      </c>
      <c r="D140" s="43"/>
      <c r="E140" s="43" t="s">
        <v>632</v>
      </c>
      <c r="F140" s="44" t="s">
        <v>633</v>
      </c>
      <c r="G140" s="44" t="s">
        <v>634</v>
      </c>
      <c r="H140" s="44" t="s">
        <v>635</v>
      </c>
    </row>
    <row r="141" ht="49.5" customHeight="1" spans="1:8">
      <c r="A141" s="45">
        <v>10621</v>
      </c>
      <c r="B141" s="43">
        <v>1062002</v>
      </c>
      <c r="C141" s="43" t="s">
        <v>636</v>
      </c>
      <c r="D141" s="43"/>
      <c r="E141" s="43" t="s">
        <v>637</v>
      </c>
      <c r="F141" s="44" t="s">
        <v>638</v>
      </c>
      <c r="G141" s="44" t="s">
        <v>639</v>
      </c>
      <c r="H141" s="44" t="s">
        <v>640</v>
      </c>
    </row>
    <row r="142" ht="49.5" customHeight="1" spans="1:8">
      <c r="A142" s="45">
        <v>10622</v>
      </c>
      <c r="B142" s="47"/>
      <c r="C142" s="47"/>
      <c r="D142" s="47"/>
      <c r="E142" s="43"/>
      <c r="F142" s="44"/>
      <c r="G142" s="44"/>
      <c r="H142" s="44"/>
    </row>
  </sheetData>
  <pageMargins left="0.7" right="0.7"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189"/>
  <sheetViews>
    <sheetView topLeftCell="T1" workbookViewId="0">
      <selection activeCell="H9" sqref="H9:AA9"/>
    </sheetView>
  </sheetViews>
  <sheetFormatPr defaultColWidth="62.875" defaultRowHeight="14.25"/>
  <cols>
    <col min="1" max="1" width="11" style="32" customWidth="1"/>
    <col min="2" max="2" width="9.625" style="32" customWidth="1"/>
    <col min="3" max="5" width="9.25" style="32" customWidth="1"/>
    <col min="6" max="6" width="10.125" style="32" customWidth="1"/>
    <col min="7" max="7" width="12.25" style="32" customWidth="1"/>
    <col min="8" max="8" width="8.375" style="32" customWidth="1"/>
    <col min="9" max="9" width="9.25" style="32" customWidth="1"/>
    <col min="10" max="10" width="13.375" style="32" customWidth="1"/>
    <col min="11" max="11" width="15.25" style="32" customWidth="1"/>
    <col min="12" max="12" width="8.125" style="32" customWidth="1"/>
    <col min="13" max="13" width="13.125" style="32" customWidth="1"/>
    <col min="14" max="14" width="9.625" style="32" customWidth="1"/>
    <col min="15" max="15" width="11.125" style="32" customWidth="1"/>
    <col min="16" max="16" width="9.375" style="32" customWidth="1"/>
    <col min="17" max="17" width="12.875" style="32" customWidth="1"/>
    <col min="18" max="18" width="11.25" style="32" customWidth="1"/>
    <col min="19" max="19" width="10.5" style="32" customWidth="1"/>
    <col min="20" max="20" width="27.125" style="32" customWidth="1"/>
    <col min="21" max="21" width="22.75" style="32" customWidth="1"/>
    <col min="22" max="22" width="11.25" style="32" customWidth="1"/>
    <col min="23" max="23" width="14" style="32" customWidth="1"/>
    <col min="24" max="24" width="14.75" style="32" customWidth="1"/>
    <col min="25" max="25" width="21.75" style="33" customWidth="1"/>
    <col min="26" max="26" width="32.875" style="32" customWidth="1"/>
    <col min="27" max="27" width="18.75" style="32" customWidth="1"/>
    <col min="28" max="16384" width="62.875" style="32"/>
  </cols>
  <sheetData>
    <row r="1" ht="18" spans="1:27">
      <c r="A1" s="34"/>
      <c r="B1" s="34"/>
      <c r="C1" s="34"/>
      <c r="D1" s="34"/>
      <c r="E1" s="34"/>
      <c r="F1" s="34"/>
      <c r="G1" s="34"/>
      <c r="H1" s="34" t="s">
        <v>0</v>
      </c>
      <c r="I1" s="34" t="s">
        <v>1</v>
      </c>
      <c r="J1" s="34"/>
      <c r="K1" s="34"/>
      <c r="L1" s="34" t="s">
        <v>2</v>
      </c>
      <c r="M1" s="34" t="s">
        <v>3</v>
      </c>
      <c r="N1" s="34" t="s">
        <v>4</v>
      </c>
      <c r="O1" s="34" t="s">
        <v>5</v>
      </c>
      <c r="P1" s="34" t="s">
        <v>6</v>
      </c>
      <c r="Q1" s="34" t="s">
        <v>7</v>
      </c>
      <c r="R1" s="34" t="s">
        <v>8</v>
      </c>
      <c r="S1" s="34" t="s">
        <v>9</v>
      </c>
      <c r="T1" s="34" t="s">
        <v>10</v>
      </c>
      <c r="U1" s="34" t="s">
        <v>11</v>
      </c>
      <c r="V1" s="34" t="s">
        <v>12</v>
      </c>
      <c r="W1" s="34" t="s">
        <v>13</v>
      </c>
      <c r="X1" s="34" t="s">
        <v>14</v>
      </c>
      <c r="Y1" s="34" t="s">
        <v>15</v>
      </c>
      <c r="Z1" s="34" t="s">
        <v>16</v>
      </c>
      <c r="AA1" s="34" t="s">
        <v>17</v>
      </c>
    </row>
    <row r="2" ht="18" spans="1:27">
      <c r="A2" s="35"/>
      <c r="B2" s="35"/>
      <c r="C2" s="35"/>
      <c r="D2" s="35"/>
      <c r="E2" s="35"/>
      <c r="F2" s="35"/>
      <c r="G2" s="35"/>
      <c r="H2" s="35" t="s">
        <v>18</v>
      </c>
      <c r="I2" s="35" t="s">
        <v>19</v>
      </c>
      <c r="J2" s="35"/>
      <c r="K2" s="35"/>
      <c r="L2" s="35" t="s">
        <v>19</v>
      </c>
      <c r="M2" s="35" t="s">
        <v>18</v>
      </c>
      <c r="N2" s="35" t="s">
        <v>20</v>
      </c>
      <c r="O2" s="35" t="s">
        <v>18</v>
      </c>
      <c r="P2" s="35" t="s">
        <v>18</v>
      </c>
      <c r="Q2" s="35" t="s">
        <v>19</v>
      </c>
      <c r="R2" s="35" t="s">
        <v>19</v>
      </c>
      <c r="S2" s="35" t="s">
        <v>19</v>
      </c>
      <c r="T2" s="35" t="s">
        <v>19</v>
      </c>
      <c r="U2" s="35" t="s">
        <v>19</v>
      </c>
      <c r="V2" s="35" t="s">
        <v>18</v>
      </c>
      <c r="W2" s="35" t="s">
        <v>18</v>
      </c>
      <c r="X2" s="35" t="s">
        <v>18</v>
      </c>
      <c r="Y2" s="35" t="s">
        <v>18</v>
      </c>
      <c r="Z2" s="35" t="s">
        <v>18</v>
      </c>
      <c r="AA2" s="34" t="s">
        <v>21</v>
      </c>
    </row>
    <row r="3" ht="18" spans="1:27">
      <c r="A3" s="35"/>
      <c r="B3" s="35"/>
      <c r="C3" s="35"/>
      <c r="D3" s="35"/>
      <c r="E3" s="35"/>
      <c r="F3" s="35"/>
      <c r="G3" s="35"/>
      <c r="H3" s="35" t="s">
        <v>22</v>
      </c>
      <c r="I3" s="35" t="s">
        <v>23</v>
      </c>
      <c r="J3" s="35" t="s">
        <v>641</v>
      </c>
      <c r="K3" s="35" t="s">
        <v>642</v>
      </c>
      <c r="L3" s="35" t="s">
        <v>24</v>
      </c>
      <c r="M3" s="35" t="s">
        <v>25</v>
      </c>
      <c r="N3" s="35" t="s">
        <v>26</v>
      </c>
      <c r="O3" s="35" t="s">
        <v>27</v>
      </c>
      <c r="P3" s="35" t="s">
        <v>28</v>
      </c>
      <c r="Q3" s="35" t="s">
        <v>29</v>
      </c>
      <c r="R3" s="35" t="s">
        <v>30</v>
      </c>
      <c r="S3" s="35" t="s">
        <v>31</v>
      </c>
      <c r="T3" s="35" t="s">
        <v>32</v>
      </c>
      <c r="U3" s="35" t="s">
        <v>33</v>
      </c>
      <c r="V3" s="35" t="s">
        <v>34</v>
      </c>
      <c r="W3" s="35" t="s">
        <v>35</v>
      </c>
      <c r="X3" s="35" t="s">
        <v>36</v>
      </c>
      <c r="Y3" s="35" t="s">
        <v>37</v>
      </c>
      <c r="Z3" s="34" t="s">
        <v>38</v>
      </c>
      <c r="AA3" s="34" t="s">
        <v>39</v>
      </c>
    </row>
    <row r="4" ht="17.25" spans="1:27">
      <c r="A4" s="36"/>
      <c r="B4" s="36"/>
      <c r="C4" s="36"/>
      <c r="D4" s="36"/>
      <c r="F4" s="36"/>
      <c r="G4" s="36"/>
      <c r="H4" s="36">
        <v>10060</v>
      </c>
      <c r="I4" s="36" t="s">
        <v>40</v>
      </c>
      <c r="J4" s="36"/>
      <c r="K4" s="36"/>
      <c r="L4" s="32" t="s">
        <v>41</v>
      </c>
      <c r="M4" s="36">
        <v>1</v>
      </c>
      <c r="N4" s="36">
        <v>1</v>
      </c>
      <c r="O4" s="36">
        <v>1006001</v>
      </c>
      <c r="P4" s="36">
        <v>1</v>
      </c>
      <c r="Q4" s="36" t="s">
        <v>42</v>
      </c>
      <c r="R4" s="36" t="s">
        <v>43</v>
      </c>
      <c r="S4" s="36">
        <v>10060</v>
      </c>
      <c r="T4" s="36">
        <v>10060</v>
      </c>
      <c r="U4" s="36" t="s">
        <v>44</v>
      </c>
      <c r="V4" s="36">
        <v>6000</v>
      </c>
      <c r="W4" s="36">
        <v>1000</v>
      </c>
      <c r="X4" s="36">
        <v>30000</v>
      </c>
      <c r="Y4" s="36">
        <v>6000</v>
      </c>
      <c r="Z4" s="36">
        <v>80</v>
      </c>
      <c r="AA4" s="36" t="s">
        <v>45</v>
      </c>
    </row>
    <row r="5" ht="17.25" spans="1:27">
      <c r="A5" s="36"/>
      <c r="B5" s="36"/>
      <c r="C5" s="36"/>
      <c r="D5" s="36"/>
      <c r="F5" s="36"/>
      <c r="G5" s="36"/>
      <c r="H5" s="36">
        <v>10061</v>
      </c>
      <c r="I5" s="36" t="s">
        <v>257</v>
      </c>
      <c r="J5" s="36"/>
      <c r="K5" s="36"/>
      <c r="L5" s="32" t="s">
        <v>643</v>
      </c>
      <c r="M5" s="36">
        <v>1</v>
      </c>
      <c r="N5" s="36">
        <v>3</v>
      </c>
      <c r="O5" s="36">
        <v>1006101</v>
      </c>
      <c r="P5" s="36">
        <v>1</v>
      </c>
      <c r="Q5" s="36" t="s">
        <v>261</v>
      </c>
      <c r="R5" s="36" t="s">
        <v>644</v>
      </c>
      <c r="S5" s="36">
        <v>10061</v>
      </c>
      <c r="T5" s="36">
        <v>10061</v>
      </c>
      <c r="U5" s="36" t="s">
        <v>645</v>
      </c>
      <c r="V5" s="36">
        <v>10000</v>
      </c>
      <c r="W5" s="36">
        <v>1000</v>
      </c>
      <c r="X5" s="36">
        <v>30000</v>
      </c>
      <c r="Y5" s="36">
        <v>10000</v>
      </c>
      <c r="Z5" s="36">
        <v>80</v>
      </c>
      <c r="AA5" s="36" t="s">
        <v>646</v>
      </c>
    </row>
    <row r="6" ht="17.25" spans="1:27">
      <c r="A6" s="36"/>
      <c r="B6" s="36"/>
      <c r="C6" s="36"/>
      <c r="D6" s="36"/>
      <c r="F6" s="36"/>
      <c r="G6" s="36"/>
      <c r="H6" s="36">
        <v>10062</v>
      </c>
      <c r="I6" s="36" t="s">
        <v>262</v>
      </c>
      <c r="J6" s="36"/>
      <c r="K6" s="36"/>
      <c r="L6" s="32" t="s">
        <v>647</v>
      </c>
      <c r="M6" s="36">
        <v>1</v>
      </c>
      <c r="N6" s="36">
        <v>5</v>
      </c>
      <c r="O6" s="36">
        <v>1006201</v>
      </c>
      <c r="P6" s="36">
        <v>1</v>
      </c>
      <c r="Q6" s="36" t="s">
        <v>266</v>
      </c>
      <c r="R6" s="36" t="s">
        <v>648</v>
      </c>
      <c r="S6" s="36">
        <v>10062</v>
      </c>
      <c r="T6" s="36">
        <v>10062</v>
      </c>
      <c r="U6" s="36" t="s">
        <v>649</v>
      </c>
      <c r="V6" s="36">
        <v>15000</v>
      </c>
      <c r="W6" s="36">
        <v>1000</v>
      </c>
      <c r="X6" s="36">
        <v>30000</v>
      </c>
      <c r="Y6" s="36">
        <v>15000</v>
      </c>
      <c r="Z6" s="36">
        <v>70</v>
      </c>
      <c r="AA6" s="36" t="s">
        <v>650</v>
      </c>
    </row>
    <row r="7" ht="17.25" spans="1:27">
      <c r="A7" s="36"/>
      <c r="B7" s="36"/>
      <c r="C7" s="36"/>
      <c r="D7" s="36"/>
      <c r="F7" s="36"/>
      <c r="G7" s="36"/>
      <c r="H7" s="36">
        <v>10070</v>
      </c>
      <c r="I7" s="36" t="s">
        <v>267</v>
      </c>
      <c r="J7" s="36"/>
      <c r="K7" s="36"/>
      <c r="L7" s="32" t="s">
        <v>651</v>
      </c>
      <c r="M7" s="36">
        <v>1</v>
      </c>
      <c r="N7" s="36">
        <v>2</v>
      </c>
      <c r="O7" s="36">
        <v>1007001</v>
      </c>
      <c r="P7" s="36">
        <v>1</v>
      </c>
      <c r="Q7" s="36" t="s">
        <v>271</v>
      </c>
      <c r="R7" s="36" t="s">
        <v>652</v>
      </c>
      <c r="S7" s="36">
        <v>10070</v>
      </c>
      <c r="T7" s="36">
        <v>10070</v>
      </c>
      <c r="U7" s="36" t="s">
        <v>653</v>
      </c>
      <c r="V7" s="36">
        <v>8000</v>
      </c>
      <c r="W7" s="36">
        <v>1000</v>
      </c>
      <c r="X7" s="36">
        <v>30000</v>
      </c>
      <c r="Y7" s="36">
        <v>8000</v>
      </c>
      <c r="Z7" s="36">
        <v>80</v>
      </c>
      <c r="AA7" s="36" t="s">
        <v>57</v>
      </c>
    </row>
    <row r="8" ht="17.25" spans="1:27">
      <c r="A8" s="36"/>
      <c r="B8" s="36"/>
      <c r="C8" s="36"/>
      <c r="D8" s="36"/>
      <c r="F8" s="36"/>
      <c r="G8" s="36"/>
      <c r="H8" s="36">
        <v>10071</v>
      </c>
      <c r="I8" s="36" t="s">
        <v>272</v>
      </c>
      <c r="J8" s="36"/>
      <c r="K8" s="36"/>
      <c r="L8" s="32" t="s">
        <v>654</v>
      </c>
      <c r="M8" s="36">
        <v>1</v>
      </c>
      <c r="N8" s="36">
        <v>5</v>
      </c>
      <c r="O8" s="36">
        <v>1007101</v>
      </c>
      <c r="P8" s="36">
        <v>1</v>
      </c>
      <c r="Q8" s="36" t="s">
        <v>276</v>
      </c>
      <c r="R8" s="36" t="s">
        <v>655</v>
      </c>
      <c r="S8" s="36">
        <v>10071</v>
      </c>
      <c r="T8" s="36">
        <v>10071</v>
      </c>
      <c r="U8" s="36" t="s">
        <v>656</v>
      </c>
      <c r="V8" s="36">
        <v>15000</v>
      </c>
      <c r="W8" s="36">
        <v>1000</v>
      </c>
      <c r="X8" s="36">
        <v>30000</v>
      </c>
      <c r="Y8" s="36">
        <v>15000</v>
      </c>
      <c r="Z8" s="36">
        <v>70</v>
      </c>
      <c r="AA8" s="36" t="s">
        <v>57</v>
      </c>
    </row>
    <row r="9" ht="17.25" spans="1:27">
      <c r="A9" s="36"/>
      <c r="B9" s="36"/>
      <c r="C9" s="36"/>
      <c r="D9" s="36"/>
      <c r="F9" s="36"/>
      <c r="G9" s="36"/>
      <c r="H9" s="36">
        <v>10090</v>
      </c>
      <c r="I9" s="36" t="s">
        <v>46</v>
      </c>
      <c r="J9" s="36"/>
      <c r="K9" s="36"/>
      <c r="L9" s="32" t="s">
        <v>47</v>
      </c>
      <c r="M9" s="36">
        <v>1</v>
      </c>
      <c r="N9" s="36">
        <v>3</v>
      </c>
      <c r="O9" s="36">
        <v>1009001</v>
      </c>
      <c r="P9" s="36">
        <v>1</v>
      </c>
      <c r="Q9" s="36" t="s">
        <v>48</v>
      </c>
      <c r="R9" s="36" t="s">
        <v>49</v>
      </c>
      <c r="S9" s="36">
        <v>10090</v>
      </c>
      <c r="T9" s="36">
        <v>10090</v>
      </c>
      <c r="U9" s="36" t="s">
        <v>50</v>
      </c>
      <c r="V9" s="36">
        <v>10000</v>
      </c>
      <c r="W9" s="36">
        <v>1000</v>
      </c>
      <c r="X9" s="36">
        <v>30000</v>
      </c>
      <c r="Y9" s="36">
        <v>10000</v>
      </c>
      <c r="Z9" s="36">
        <v>80</v>
      </c>
      <c r="AA9" s="36" t="s">
        <v>51</v>
      </c>
    </row>
    <row r="10" ht="17.25" spans="1:27">
      <c r="A10" s="36"/>
      <c r="B10" s="36"/>
      <c r="C10" s="36"/>
      <c r="D10" s="36"/>
      <c r="F10" s="36"/>
      <c r="G10" s="36"/>
      <c r="H10" s="36">
        <v>10091</v>
      </c>
      <c r="I10" s="36" t="s">
        <v>279</v>
      </c>
      <c r="J10" s="36"/>
      <c r="K10" s="36"/>
      <c r="L10" s="32" t="s">
        <v>657</v>
      </c>
      <c r="M10" s="36">
        <v>1</v>
      </c>
      <c r="N10" s="36">
        <v>4</v>
      </c>
      <c r="O10" s="36">
        <v>1009101</v>
      </c>
      <c r="P10" s="36">
        <v>1</v>
      </c>
      <c r="Q10" s="36" t="s">
        <v>283</v>
      </c>
      <c r="R10" s="36" t="s">
        <v>658</v>
      </c>
      <c r="S10" s="36">
        <v>10091</v>
      </c>
      <c r="T10" s="36">
        <v>10091</v>
      </c>
      <c r="U10" s="36" t="s">
        <v>659</v>
      </c>
      <c r="V10" s="36">
        <v>12000</v>
      </c>
      <c r="W10" s="36">
        <v>1000</v>
      </c>
      <c r="X10" s="36">
        <v>30000</v>
      </c>
      <c r="Y10" s="36">
        <v>12000</v>
      </c>
      <c r="Z10" s="36">
        <v>80</v>
      </c>
      <c r="AA10" s="36" t="s">
        <v>660</v>
      </c>
    </row>
    <row r="11" ht="17.25" spans="1:27">
      <c r="A11" s="36"/>
      <c r="B11" s="36"/>
      <c r="C11" s="36"/>
      <c r="D11" s="36"/>
      <c r="F11" s="36"/>
      <c r="G11" s="36"/>
      <c r="H11" s="36">
        <v>10100</v>
      </c>
      <c r="I11" s="36" t="s">
        <v>52</v>
      </c>
      <c r="J11" s="36">
        <v>1</v>
      </c>
      <c r="K11" s="36" t="s">
        <v>661</v>
      </c>
      <c r="L11" s="32" t="s">
        <v>53</v>
      </c>
      <c r="M11" s="36">
        <v>1</v>
      </c>
      <c r="N11" s="36">
        <v>2</v>
      </c>
      <c r="O11" s="36">
        <v>1010001</v>
      </c>
      <c r="P11" s="36">
        <v>1</v>
      </c>
      <c r="Q11" s="36" t="s">
        <v>54</v>
      </c>
      <c r="R11" s="36" t="s">
        <v>55</v>
      </c>
      <c r="S11" s="36">
        <v>10100</v>
      </c>
      <c r="T11" s="36">
        <v>10100</v>
      </c>
      <c r="U11" s="36" t="s">
        <v>56</v>
      </c>
      <c r="V11" s="36">
        <v>8000</v>
      </c>
      <c r="W11" s="36">
        <v>1000</v>
      </c>
      <c r="X11" s="36">
        <v>30000</v>
      </c>
      <c r="Y11" s="36">
        <v>8000</v>
      </c>
      <c r="Z11" s="36">
        <v>80</v>
      </c>
      <c r="AA11" s="36" t="s">
        <v>57</v>
      </c>
    </row>
    <row r="12" ht="17.25" spans="1:27">
      <c r="A12" s="36"/>
      <c r="B12" s="36"/>
      <c r="C12" s="36"/>
      <c r="D12" s="36"/>
      <c r="F12" s="36"/>
      <c r="G12" s="36"/>
      <c r="H12" s="36">
        <v>10101</v>
      </c>
      <c r="I12" s="36" t="s">
        <v>58</v>
      </c>
      <c r="J12" s="36"/>
      <c r="K12" s="36"/>
      <c r="L12" s="32" t="s">
        <v>59</v>
      </c>
      <c r="M12" s="36">
        <v>1</v>
      </c>
      <c r="N12" s="36">
        <v>4</v>
      </c>
      <c r="O12" s="36">
        <v>1010101</v>
      </c>
      <c r="P12" s="36">
        <v>1</v>
      </c>
      <c r="Q12" s="36" t="s">
        <v>60</v>
      </c>
      <c r="R12" s="36" t="s">
        <v>61</v>
      </c>
      <c r="S12" s="36">
        <v>10101</v>
      </c>
      <c r="T12" s="36">
        <v>10101</v>
      </c>
      <c r="U12" s="36" t="s">
        <v>62</v>
      </c>
      <c r="V12" s="36">
        <v>12000</v>
      </c>
      <c r="W12" s="36">
        <v>1000</v>
      </c>
      <c r="X12" s="36">
        <v>30000</v>
      </c>
      <c r="Y12" s="36">
        <v>12000</v>
      </c>
      <c r="Z12" s="36">
        <v>80</v>
      </c>
      <c r="AA12" s="36" t="s">
        <v>63</v>
      </c>
    </row>
    <row r="13" ht="17.25" spans="1:27">
      <c r="A13" s="36"/>
      <c r="B13" s="36"/>
      <c r="C13" s="36"/>
      <c r="D13" s="36"/>
      <c r="F13" s="36"/>
      <c r="G13" s="36"/>
      <c r="H13" s="36">
        <v>10102</v>
      </c>
      <c r="I13" s="36" t="s">
        <v>290</v>
      </c>
      <c r="J13" s="36"/>
      <c r="K13" s="36"/>
      <c r="L13" s="32" t="s">
        <v>662</v>
      </c>
      <c r="M13" s="36">
        <v>1</v>
      </c>
      <c r="N13" s="36">
        <v>6</v>
      </c>
      <c r="O13" s="36">
        <v>1010201</v>
      </c>
      <c r="P13" s="36">
        <v>1</v>
      </c>
      <c r="Q13" s="36" t="s">
        <v>294</v>
      </c>
      <c r="R13" s="36" t="s">
        <v>663</v>
      </c>
      <c r="S13" s="36">
        <v>10102</v>
      </c>
      <c r="T13" s="36">
        <v>10102</v>
      </c>
      <c r="U13" s="36" t="s">
        <v>664</v>
      </c>
      <c r="V13" s="36">
        <v>20000</v>
      </c>
      <c r="W13" s="36">
        <v>1000</v>
      </c>
      <c r="X13" s="36">
        <v>30000</v>
      </c>
      <c r="Y13" s="36">
        <v>20000</v>
      </c>
      <c r="Z13" s="36">
        <v>70</v>
      </c>
      <c r="AA13" s="36" t="s">
        <v>665</v>
      </c>
    </row>
    <row r="14" ht="17.25" spans="1:27">
      <c r="A14" s="36"/>
      <c r="B14" s="36"/>
      <c r="C14" s="36"/>
      <c r="D14" s="36"/>
      <c r="F14" s="36"/>
      <c r="G14" s="36"/>
      <c r="H14" s="36">
        <v>10110</v>
      </c>
      <c r="I14" s="36" t="s">
        <v>64</v>
      </c>
      <c r="J14" s="36">
        <v>1</v>
      </c>
      <c r="K14" s="36" t="s">
        <v>666</v>
      </c>
      <c r="L14" s="32" t="s">
        <v>65</v>
      </c>
      <c r="M14" s="36">
        <v>1</v>
      </c>
      <c r="N14" s="36">
        <v>3</v>
      </c>
      <c r="O14" s="36">
        <v>1011001</v>
      </c>
      <c r="P14" s="36">
        <v>1</v>
      </c>
      <c r="Q14" s="36" t="s">
        <v>66</v>
      </c>
      <c r="R14" s="36" t="s">
        <v>67</v>
      </c>
      <c r="S14" s="36">
        <v>10110</v>
      </c>
      <c r="T14" s="36">
        <v>10110</v>
      </c>
      <c r="U14" s="36" t="s">
        <v>68</v>
      </c>
      <c r="V14" s="36">
        <v>10000</v>
      </c>
      <c r="W14" s="36">
        <v>1000</v>
      </c>
      <c r="X14" s="36">
        <v>30000</v>
      </c>
      <c r="Y14" s="36">
        <v>10000</v>
      </c>
      <c r="Z14" s="36">
        <v>80</v>
      </c>
      <c r="AA14" s="36" t="s">
        <v>69</v>
      </c>
    </row>
    <row r="15" ht="17.25" spans="1:27">
      <c r="A15" s="36"/>
      <c r="B15" s="36"/>
      <c r="C15" s="36"/>
      <c r="D15" s="36"/>
      <c r="F15" s="36"/>
      <c r="G15" s="36"/>
      <c r="H15" s="36">
        <v>10111</v>
      </c>
      <c r="I15" s="36" t="s">
        <v>70</v>
      </c>
      <c r="J15" s="36"/>
      <c r="K15" s="36"/>
      <c r="L15" s="32" t="s">
        <v>71</v>
      </c>
      <c r="M15" s="36">
        <v>1</v>
      </c>
      <c r="N15" s="36">
        <v>4</v>
      </c>
      <c r="O15" s="36">
        <v>1011101</v>
      </c>
      <c r="P15" s="36">
        <v>1</v>
      </c>
      <c r="Q15" s="36" t="s">
        <v>72</v>
      </c>
      <c r="R15" s="36" t="s">
        <v>73</v>
      </c>
      <c r="S15" s="36">
        <v>10111</v>
      </c>
      <c r="T15" s="36">
        <v>10111</v>
      </c>
      <c r="U15" s="36" t="s">
        <v>74</v>
      </c>
      <c r="V15" s="36">
        <v>12000</v>
      </c>
      <c r="W15" s="36">
        <v>1000</v>
      </c>
      <c r="X15" s="36">
        <v>30000</v>
      </c>
      <c r="Y15" s="36">
        <v>12000</v>
      </c>
      <c r="Z15" s="36">
        <v>80</v>
      </c>
      <c r="AA15" s="36" t="s">
        <v>69</v>
      </c>
    </row>
    <row r="16" ht="17.25" spans="1:27">
      <c r="A16" s="36"/>
      <c r="B16" s="36"/>
      <c r="C16" s="36"/>
      <c r="D16" s="36"/>
      <c r="F16" s="36"/>
      <c r="G16" s="36"/>
      <c r="H16" s="36">
        <v>10120</v>
      </c>
      <c r="I16" s="36" t="s">
        <v>75</v>
      </c>
      <c r="J16" s="36"/>
      <c r="K16" s="36"/>
      <c r="L16" s="32" t="s">
        <v>76</v>
      </c>
      <c r="M16" s="36">
        <v>1</v>
      </c>
      <c r="N16" s="36">
        <v>2</v>
      </c>
      <c r="O16" s="36">
        <v>1012001</v>
      </c>
      <c r="P16" s="36">
        <v>1</v>
      </c>
      <c r="Q16" s="36" t="s">
        <v>77</v>
      </c>
      <c r="R16" s="36" t="s">
        <v>78</v>
      </c>
      <c r="S16" s="36">
        <v>10120</v>
      </c>
      <c r="T16" s="36">
        <v>10120</v>
      </c>
      <c r="U16" s="36" t="s">
        <v>79</v>
      </c>
      <c r="V16" s="36">
        <v>8000</v>
      </c>
      <c r="W16" s="36">
        <v>1000</v>
      </c>
      <c r="X16" s="36">
        <v>30000</v>
      </c>
      <c r="Y16" s="36">
        <v>8000</v>
      </c>
      <c r="Z16" s="36">
        <v>80</v>
      </c>
      <c r="AA16" s="36" t="s">
        <v>80</v>
      </c>
    </row>
    <row r="17" ht="17.25" spans="1:27">
      <c r="A17" s="36"/>
      <c r="B17" s="36"/>
      <c r="C17" s="36"/>
      <c r="D17" s="36"/>
      <c r="F17" s="36"/>
      <c r="G17" s="36"/>
      <c r="H17" s="36">
        <v>10121</v>
      </c>
      <c r="I17" s="36" t="s">
        <v>303</v>
      </c>
      <c r="J17" s="36"/>
      <c r="K17" s="36"/>
      <c r="L17" s="32" t="s">
        <v>667</v>
      </c>
      <c r="M17" s="36">
        <v>1</v>
      </c>
      <c r="N17" s="36">
        <v>5</v>
      </c>
      <c r="O17" s="36">
        <v>1012101</v>
      </c>
      <c r="P17" s="36">
        <v>1</v>
      </c>
      <c r="Q17" s="36" t="s">
        <v>306</v>
      </c>
      <c r="R17" s="36" t="s">
        <v>668</v>
      </c>
      <c r="S17" s="36">
        <v>10121</v>
      </c>
      <c r="T17" s="36">
        <v>10121</v>
      </c>
      <c r="U17" s="36" t="s">
        <v>669</v>
      </c>
      <c r="V17" s="36">
        <v>15000</v>
      </c>
      <c r="W17" s="36">
        <v>1000</v>
      </c>
      <c r="X17" s="36">
        <v>30000</v>
      </c>
      <c r="Y17" s="36">
        <v>15000</v>
      </c>
      <c r="Z17" s="36">
        <v>70</v>
      </c>
      <c r="AA17" s="36" t="s">
        <v>665</v>
      </c>
    </row>
    <row r="18" ht="17.25" spans="1:27">
      <c r="A18" s="36"/>
      <c r="B18" s="36"/>
      <c r="C18" s="36"/>
      <c r="D18" s="36"/>
      <c r="F18" s="36"/>
      <c r="G18" s="36"/>
      <c r="H18" s="36">
        <v>10122</v>
      </c>
      <c r="I18" s="36" t="s">
        <v>307</v>
      </c>
      <c r="J18" s="36"/>
      <c r="K18" s="36"/>
      <c r="L18" s="32" t="s">
        <v>670</v>
      </c>
      <c r="M18" s="36">
        <v>1</v>
      </c>
      <c r="N18" s="36">
        <v>6</v>
      </c>
      <c r="O18" s="36">
        <v>1012201</v>
      </c>
      <c r="P18" s="36">
        <v>1</v>
      </c>
      <c r="Q18" s="36" t="s">
        <v>310</v>
      </c>
      <c r="R18" s="36" t="s">
        <v>671</v>
      </c>
      <c r="S18" s="36">
        <v>10122</v>
      </c>
      <c r="T18" s="36">
        <v>10122</v>
      </c>
      <c r="U18" s="36" t="s">
        <v>672</v>
      </c>
      <c r="V18" s="36">
        <v>20000</v>
      </c>
      <c r="W18" s="36">
        <v>1000</v>
      </c>
      <c r="X18" s="36">
        <v>30000</v>
      </c>
      <c r="Y18" s="36">
        <v>20000</v>
      </c>
      <c r="Z18" s="36">
        <v>70</v>
      </c>
      <c r="AA18" s="36" t="s">
        <v>665</v>
      </c>
    </row>
    <row r="19" ht="17.25" spans="1:27">
      <c r="A19" s="36"/>
      <c r="B19" s="36"/>
      <c r="C19" s="36"/>
      <c r="D19" s="36"/>
      <c r="F19" s="36"/>
      <c r="G19" s="36"/>
      <c r="H19" s="36">
        <v>10130</v>
      </c>
      <c r="I19" s="36" t="s">
        <v>81</v>
      </c>
      <c r="J19" s="36">
        <v>1</v>
      </c>
      <c r="K19" s="36" t="s">
        <v>673</v>
      </c>
      <c r="L19" s="32" t="s">
        <v>82</v>
      </c>
      <c r="M19" s="36">
        <v>1</v>
      </c>
      <c r="N19" s="36">
        <v>1</v>
      </c>
      <c r="O19" s="36">
        <v>1013001</v>
      </c>
      <c r="P19" s="36">
        <v>1</v>
      </c>
      <c r="Q19" s="36" t="s">
        <v>83</v>
      </c>
      <c r="R19" s="36" t="s">
        <v>84</v>
      </c>
      <c r="S19" s="36">
        <v>10130</v>
      </c>
      <c r="T19" s="36">
        <v>10130</v>
      </c>
      <c r="U19" s="36" t="s">
        <v>85</v>
      </c>
      <c r="V19" s="36">
        <v>6000</v>
      </c>
      <c r="W19" s="36">
        <v>1000</v>
      </c>
      <c r="X19" s="36">
        <v>30000</v>
      </c>
      <c r="Y19" s="36">
        <v>6000</v>
      </c>
      <c r="Z19" s="36">
        <v>80</v>
      </c>
      <c r="AA19" s="36" t="s">
        <v>86</v>
      </c>
    </row>
    <row r="20" ht="17.25" spans="1:27">
      <c r="A20" s="36"/>
      <c r="B20" s="36"/>
      <c r="C20" s="36"/>
      <c r="D20" s="36"/>
      <c r="F20" s="36"/>
      <c r="G20" s="36"/>
      <c r="H20" s="36">
        <v>10131</v>
      </c>
      <c r="I20" s="36" t="s">
        <v>87</v>
      </c>
      <c r="J20" s="36"/>
      <c r="K20" s="36"/>
      <c r="L20" s="32" t="s">
        <v>88</v>
      </c>
      <c r="M20" s="36">
        <v>1</v>
      </c>
      <c r="N20" s="36">
        <v>3</v>
      </c>
      <c r="O20" s="36">
        <v>1013101</v>
      </c>
      <c r="P20" s="36">
        <v>1</v>
      </c>
      <c r="Q20" s="36" t="s">
        <v>89</v>
      </c>
      <c r="R20" s="36" t="s">
        <v>90</v>
      </c>
      <c r="S20" s="36">
        <v>10131</v>
      </c>
      <c r="T20" s="36">
        <v>10131</v>
      </c>
      <c r="U20" s="36" t="s">
        <v>91</v>
      </c>
      <c r="V20" s="36">
        <v>10000</v>
      </c>
      <c r="W20" s="36">
        <v>1000</v>
      </c>
      <c r="X20" s="36">
        <v>30000</v>
      </c>
      <c r="Y20" s="36">
        <v>10000</v>
      </c>
      <c r="Z20" s="36">
        <v>80</v>
      </c>
      <c r="AA20" s="36" t="s">
        <v>92</v>
      </c>
    </row>
    <row r="21" ht="17.25" spans="1:27">
      <c r="A21" s="36"/>
      <c r="B21" s="36"/>
      <c r="C21" s="36"/>
      <c r="D21" s="36"/>
      <c r="F21" s="36"/>
      <c r="G21" s="36"/>
      <c r="H21" s="36">
        <v>10140</v>
      </c>
      <c r="I21" s="36" t="s">
        <v>93</v>
      </c>
      <c r="J21" s="36"/>
      <c r="K21" s="36"/>
      <c r="L21" s="32" t="s">
        <v>94</v>
      </c>
      <c r="M21" s="36">
        <v>1</v>
      </c>
      <c r="N21" s="36">
        <v>3</v>
      </c>
      <c r="O21" s="36">
        <v>1014001</v>
      </c>
      <c r="P21" s="36">
        <v>1</v>
      </c>
      <c r="Q21" s="36" t="s">
        <v>95</v>
      </c>
      <c r="R21" s="36" t="s">
        <v>96</v>
      </c>
      <c r="S21" s="36">
        <v>10140</v>
      </c>
      <c r="T21" s="36">
        <v>10140</v>
      </c>
      <c r="U21" s="36" t="s">
        <v>97</v>
      </c>
      <c r="V21" s="36">
        <v>10000</v>
      </c>
      <c r="W21" s="36">
        <v>1000</v>
      </c>
      <c r="X21" s="36">
        <v>30000</v>
      </c>
      <c r="Y21" s="36">
        <v>10000</v>
      </c>
      <c r="Z21" s="36">
        <v>80</v>
      </c>
      <c r="AA21" s="36" t="s">
        <v>86</v>
      </c>
    </row>
    <row r="22" ht="17.25" spans="1:27">
      <c r="A22" s="36"/>
      <c r="B22" s="36"/>
      <c r="C22" s="36"/>
      <c r="D22" s="36"/>
      <c r="F22" s="36"/>
      <c r="G22" s="36"/>
      <c r="H22" s="36">
        <v>10141</v>
      </c>
      <c r="I22" s="36" t="s">
        <v>318</v>
      </c>
      <c r="J22" s="36"/>
      <c r="K22" s="36"/>
      <c r="L22" s="32" t="s">
        <v>674</v>
      </c>
      <c r="M22" s="36">
        <v>1</v>
      </c>
      <c r="N22" s="36">
        <v>6</v>
      </c>
      <c r="O22" s="36">
        <v>1014101</v>
      </c>
      <c r="P22" s="36">
        <v>1</v>
      </c>
      <c r="Q22" s="36" t="s">
        <v>322</v>
      </c>
      <c r="R22" s="36" t="s">
        <v>675</v>
      </c>
      <c r="S22" s="36">
        <v>10141</v>
      </c>
      <c r="T22" s="36">
        <v>10141</v>
      </c>
      <c r="U22" s="36" t="s">
        <v>676</v>
      </c>
      <c r="V22" s="36">
        <v>20000</v>
      </c>
      <c r="W22" s="36">
        <v>1000</v>
      </c>
      <c r="X22" s="36">
        <v>30000</v>
      </c>
      <c r="Y22" s="36">
        <v>20000</v>
      </c>
      <c r="Z22" s="36">
        <v>70</v>
      </c>
      <c r="AA22" s="36" t="s">
        <v>57</v>
      </c>
    </row>
    <row r="23" ht="17.25" spans="1:27">
      <c r="A23" s="36"/>
      <c r="B23" s="36"/>
      <c r="C23" s="36"/>
      <c r="D23" s="36"/>
      <c r="F23" s="36"/>
      <c r="G23" s="36"/>
      <c r="H23" s="36">
        <v>10150</v>
      </c>
      <c r="I23" s="36" t="s">
        <v>323</v>
      </c>
      <c r="J23" s="36"/>
      <c r="K23" s="36"/>
      <c r="L23" s="32" t="s">
        <v>677</v>
      </c>
      <c r="M23" s="36">
        <v>1</v>
      </c>
      <c r="N23" s="36">
        <v>2</v>
      </c>
      <c r="O23" s="36">
        <v>1015001</v>
      </c>
      <c r="P23" s="36">
        <v>1</v>
      </c>
      <c r="Q23" s="36" t="s">
        <v>327</v>
      </c>
      <c r="R23" s="36" t="s">
        <v>678</v>
      </c>
      <c r="S23" s="36">
        <v>10150</v>
      </c>
      <c r="T23" s="36">
        <v>10150</v>
      </c>
      <c r="U23" s="36" t="s">
        <v>679</v>
      </c>
      <c r="V23" s="36">
        <v>8000</v>
      </c>
      <c r="W23" s="36">
        <v>1000</v>
      </c>
      <c r="X23" s="36">
        <v>30000</v>
      </c>
      <c r="Y23" s="36">
        <v>8000</v>
      </c>
      <c r="Z23" s="36">
        <v>80</v>
      </c>
      <c r="AA23" s="36" t="s">
        <v>680</v>
      </c>
    </row>
    <row r="24" ht="17.25" spans="1:27">
      <c r="A24" s="36"/>
      <c r="B24" s="36"/>
      <c r="C24" s="36"/>
      <c r="D24" s="36"/>
      <c r="F24" s="36"/>
      <c r="G24" s="36"/>
      <c r="H24" s="36">
        <v>10151</v>
      </c>
      <c r="I24" s="36" t="s">
        <v>328</v>
      </c>
      <c r="J24" s="36"/>
      <c r="K24" s="36"/>
      <c r="L24" s="32" t="s">
        <v>681</v>
      </c>
      <c r="M24" s="36">
        <v>1</v>
      </c>
      <c r="N24" s="36">
        <v>6</v>
      </c>
      <c r="O24" s="36">
        <v>1015101</v>
      </c>
      <c r="P24" s="36">
        <v>1</v>
      </c>
      <c r="Q24" s="36" t="s">
        <v>332</v>
      </c>
      <c r="R24" s="36" t="s">
        <v>682</v>
      </c>
      <c r="S24" s="36">
        <v>10151</v>
      </c>
      <c r="T24" s="36">
        <v>10151</v>
      </c>
      <c r="U24" s="36" t="s">
        <v>683</v>
      </c>
      <c r="V24" s="36">
        <v>20000</v>
      </c>
      <c r="W24" s="36">
        <v>1000</v>
      </c>
      <c r="X24" s="36">
        <v>30000</v>
      </c>
      <c r="Y24" s="36">
        <v>20000</v>
      </c>
      <c r="Z24" s="36">
        <v>70</v>
      </c>
      <c r="AA24" s="36" t="s">
        <v>684</v>
      </c>
    </row>
    <row r="25" ht="17.25" spans="1:27">
      <c r="A25" s="36"/>
      <c r="B25" s="36"/>
      <c r="C25" s="36"/>
      <c r="D25" s="36"/>
      <c r="F25" s="36"/>
      <c r="G25" s="36"/>
      <c r="H25" s="36">
        <v>10160</v>
      </c>
      <c r="I25" s="36" t="s">
        <v>98</v>
      </c>
      <c r="J25" s="36"/>
      <c r="K25" s="36"/>
      <c r="L25" s="32" t="s">
        <v>99</v>
      </c>
      <c r="M25" s="36">
        <v>1</v>
      </c>
      <c r="N25" s="36">
        <v>3</v>
      </c>
      <c r="O25" s="36">
        <v>1016001</v>
      </c>
      <c r="P25" s="36">
        <v>1</v>
      </c>
      <c r="Q25" s="36" t="s">
        <v>100</v>
      </c>
      <c r="R25" s="36" t="s">
        <v>101</v>
      </c>
      <c r="S25" s="36">
        <v>10160</v>
      </c>
      <c r="T25" s="36">
        <v>10160</v>
      </c>
      <c r="U25" s="36" t="s">
        <v>102</v>
      </c>
      <c r="V25" s="36">
        <v>10000</v>
      </c>
      <c r="W25" s="36">
        <v>1000</v>
      </c>
      <c r="X25" s="36">
        <v>30000</v>
      </c>
      <c r="Y25" s="36">
        <v>10000</v>
      </c>
      <c r="Z25" s="36">
        <v>80</v>
      </c>
      <c r="AA25" s="36" t="s">
        <v>103</v>
      </c>
    </row>
    <row r="26" ht="17.25" spans="1:27">
      <c r="A26" s="36"/>
      <c r="B26" s="36"/>
      <c r="C26" s="36"/>
      <c r="D26" s="36"/>
      <c r="F26" s="36"/>
      <c r="G26" s="36"/>
      <c r="H26" s="36">
        <v>10161</v>
      </c>
      <c r="I26" s="36" t="s">
        <v>104</v>
      </c>
      <c r="J26" s="36"/>
      <c r="K26" s="36"/>
      <c r="L26" s="32" t="s">
        <v>105</v>
      </c>
      <c r="M26" s="36">
        <v>1</v>
      </c>
      <c r="N26" s="36">
        <v>4</v>
      </c>
      <c r="O26" s="36">
        <v>1016101</v>
      </c>
      <c r="P26" s="36">
        <v>1</v>
      </c>
      <c r="Q26" s="36" t="s">
        <v>106</v>
      </c>
      <c r="R26" s="36" t="s">
        <v>107</v>
      </c>
      <c r="S26" s="36">
        <v>10161</v>
      </c>
      <c r="T26" s="36">
        <v>10161</v>
      </c>
      <c r="U26" s="36" t="s">
        <v>108</v>
      </c>
      <c r="V26" s="36">
        <v>12000</v>
      </c>
      <c r="W26" s="36">
        <v>1000</v>
      </c>
      <c r="X26" s="36">
        <v>30000</v>
      </c>
      <c r="Y26" s="36">
        <v>12000</v>
      </c>
      <c r="Z26" s="36">
        <v>80</v>
      </c>
      <c r="AA26" s="36" t="s">
        <v>103</v>
      </c>
    </row>
    <row r="27" ht="17.25" spans="1:27">
      <c r="A27" s="36"/>
      <c r="B27" s="36"/>
      <c r="C27" s="36"/>
      <c r="D27" s="36"/>
      <c r="F27" s="36"/>
      <c r="G27" s="36"/>
      <c r="H27" s="36">
        <v>10170</v>
      </c>
      <c r="I27" s="36" t="s">
        <v>340</v>
      </c>
      <c r="J27" s="36"/>
      <c r="K27" s="36"/>
      <c r="L27" s="32" t="s">
        <v>685</v>
      </c>
      <c r="M27" s="36">
        <v>1</v>
      </c>
      <c r="N27" s="36">
        <v>3</v>
      </c>
      <c r="O27" s="36">
        <v>1017001</v>
      </c>
      <c r="P27" s="36">
        <v>1</v>
      </c>
      <c r="Q27" s="36" t="s">
        <v>344</v>
      </c>
      <c r="R27" s="36" t="s">
        <v>686</v>
      </c>
      <c r="S27" s="36">
        <v>10170</v>
      </c>
      <c r="T27" s="36">
        <v>10170</v>
      </c>
      <c r="U27" s="36" t="s">
        <v>687</v>
      </c>
      <c r="V27" s="36">
        <v>10000</v>
      </c>
      <c r="W27" s="36">
        <v>1000</v>
      </c>
      <c r="X27" s="36">
        <v>30000</v>
      </c>
      <c r="Y27" s="36">
        <v>10000</v>
      </c>
      <c r="Z27" s="36">
        <v>80</v>
      </c>
      <c r="AA27" s="36" t="s">
        <v>114</v>
      </c>
    </row>
    <row r="28" ht="17.25" spans="1:27">
      <c r="A28" s="36"/>
      <c r="B28" s="36"/>
      <c r="C28" s="36"/>
      <c r="D28" s="36"/>
      <c r="F28" s="36"/>
      <c r="G28" s="36"/>
      <c r="H28" s="36">
        <v>10171</v>
      </c>
      <c r="I28" s="36" t="s">
        <v>345</v>
      </c>
      <c r="J28" s="36"/>
      <c r="K28" s="36"/>
      <c r="L28" s="32" t="s">
        <v>688</v>
      </c>
      <c r="M28" s="36">
        <v>1</v>
      </c>
      <c r="N28" s="36">
        <v>4</v>
      </c>
      <c r="O28" s="36">
        <v>1017101</v>
      </c>
      <c r="P28" s="36">
        <v>1</v>
      </c>
      <c r="Q28" s="36" t="s">
        <v>349</v>
      </c>
      <c r="R28" s="36" t="s">
        <v>689</v>
      </c>
      <c r="S28" s="36">
        <v>10171</v>
      </c>
      <c r="T28" s="36">
        <v>10171</v>
      </c>
      <c r="U28" s="36" t="s">
        <v>690</v>
      </c>
      <c r="V28" s="36">
        <v>12000</v>
      </c>
      <c r="W28" s="36">
        <v>1000</v>
      </c>
      <c r="X28" s="36">
        <v>30000</v>
      </c>
      <c r="Y28" s="36">
        <v>12000</v>
      </c>
      <c r="Z28" s="36">
        <v>80</v>
      </c>
      <c r="AA28" s="36" t="s">
        <v>114</v>
      </c>
    </row>
    <row r="29" ht="17.25" spans="1:27">
      <c r="A29" s="36"/>
      <c r="B29" s="36"/>
      <c r="C29" s="36"/>
      <c r="D29" s="36"/>
      <c r="F29" s="36"/>
      <c r="G29" s="36"/>
      <c r="H29" s="36">
        <v>10180</v>
      </c>
      <c r="I29" s="36" t="s">
        <v>350</v>
      </c>
      <c r="J29" s="36"/>
      <c r="K29" s="36"/>
      <c r="L29" s="32" t="s">
        <v>691</v>
      </c>
      <c r="M29" s="36">
        <v>1</v>
      </c>
      <c r="N29" s="36">
        <v>3</v>
      </c>
      <c r="O29" s="36">
        <v>1018001</v>
      </c>
      <c r="P29" s="36">
        <v>1</v>
      </c>
      <c r="Q29" s="36" t="s">
        <v>354</v>
      </c>
      <c r="R29" s="36" t="s">
        <v>692</v>
      </c>
      <c r="S29" s="36">
        <v>10180</v>
      </c>
      <c r="T29" s="36">
        <v>10180</v>
      </c>
      <c r="U29" s="36" t="s">
        <v>693</v>
      </c>
      <c r="V29" s="36">
        <v>10000</v>
      </c>
      <c r="W29" s="36">
        <v>1000</v>
      </c>
      <c r="X29" s="36">
        <v>30000</v>
      </c>
      <c r="Y29" s="36">
        <v>10000</v>
      </c>
      <c r="Z29" s="36">
        <v>80</v>
      </c>
      <c r="AA29" s="36" t="s">
        <v>694</v>
      </c>
    </row>
    <row r="30" ht="17.25" spans="1:27">
      <c r="A30" s="36"/>
      <c r="B30" s="36"/>
      <c r="C30" s="36"/>
      <c r="D30" s="36"/>
      <c r="F30" s="36"/>
      <c r="G30" s="36"/>
      <c r="H30" s="36">
        <v>10181</v>
      </c>
      <c r="I30" s="36" t="s">
        <v>355</v>
      </c>
      <c r="J30" s="36"/>
      <c r="K30" s="36"/>
      <c r="L30" s="32" t="s">
        <v>695</v>
      </c>
      <c r="M30" s="36">
        <v>1</v>
      </c>
      <c r="N30" s="36">
        <v>6</v>
      </c>
      <c r="O30" s="36">
        <v>1018001</v>
      </c>
      <c r="P30" s="36">
        <v>1</v>
      </c>
      <c r="Q30" s="36" t="s">
        <v>359</v>
      </c>
      <c r="R30" s="36" t="s">
        <v>696</v>
      </c>
      <c r="S30" s="36">
        <v>10181</v>
      </c>
      <c r="T30" s="36">
        <v>10181</v>
      </c>
      <c r="U30" s="36" t="s">
        <v>697</v>
      </c>
      <c r="V30" s="36">
        <v>20000</v>
      </c>
      <c r="W30" s="36">
        <v>1000</v>
      </c>
      <c r="X30" s="36">
        <v>30000</v>
      </c>
      <c r="Y30" s="36">
        <v>20000</v>
      </c>
      <c r="Z30" s="36">
        <v>70</v>
      </c>
      <c r="AA30" s="36" t="s">
        <v>114</v>
      </c>
    </row>
    <row r="31" ht="17.25" spans="1:27">
      <c r="A31" s="36"/>
      <c r="B31" s="36"/>
      <c r="C31" s="36"/>
      <c r="D31" s="36"/>
      <c r="F31" s="36"/>
      <c r="G31" s="36"/>
      <c r="H31" s="36">
        <v>10182</v>
      </c>
      <c r="I31" s="36" t="s">
        <v>698</v>
      </c>
      <c r="J31" s="36"/>
      <c r="K31" s="36"/>
      <c r="L31" s="32" t="s">
        <v>699</v>
      </c>
      <c r="M31" s="36">
        <v>1</v>
      </c>
      <c r="N31" s="36">
        <v>7</v>
      </c>
      <c r="O31" s="36">
        <v>1018001</v>
      </c>
      <c r="P31" s="36">
        <v>1</v>
      </c>
      <c r="Q31" s="36" t="s">
        <v>359</v>
      </c>
      <c r="R31" s="36" t="s">
        <v>700</v>
      </c>
      <c r="S31" s="36">
        <v>10182</v>
      </c>
      <c r="T31" s="36">
        <v>10182</v>
      </c>
      <c r="U31" s="36" t="s">
        <v>701</v>
      </c>
      <c r="V31" s="36">
        <v>30000</v>
      </c>
      <c r="W31" s="36">
        <v>1000</v>
      </c>
      <c r="X31" s="36">
        <v>30000</v>
      </c>
      <c r="Y31" s="36">
        <v>30000</v>
      </c>
      <c r="Z31" s="36">
        <v>70</v>
      </c>
      <c r="AA31" s="36" t="s">
        <v>114</v>
      </c>
    </row>
    <row r="32" ht="17.25" spans="1:27">
      <c r="A32" s="36"/>
      <c r="B32" s="36"/>
      <c r="C32" s="36"/>
      <c r="D32" s="36"/>
      <c r="F32" s="36"/>
      <c r="G32" s="36"/>
      <c r="H32" s="36">
        <v>10190</v>
      </c>
      <c r="I32" s="36" t="s">
        <v>109</v>
      </c>
      <c r="J32" s="36"/>
      <c r="K32" s="36"/>
      <c r="L32" s="32" t="s">
        <v>110</v>
      </c>
      <c r="M32" s="36">
        <v>1</v>
      </c>
      <c r="N32" s="36">
        <v>1</v>
      </c>
      <c r="O32" s="36">
        <v>1019001</v>
      </c>
      <c r="P32" s="36">
        <v>1</v>
      </c>
      <c r="Q32" s="36" t="s">
        <v>111</v>
      </c>
      <c r="R32" s="36" t="s">
        <v>112</v>
      </c>
      <c r="S32" s="36">
        <v>10190</v>
      </c>
      <c r="T32" s="36">
        <v>10190</v>
      </c>
      <c r="U32" s="36" t="s">
        <v>113</v>
      </c>
      <c r="V32" s="36">
        <v>6000</v>
      </c>
      <c r="W32" s="36">
        <v>1000</v>
      </c>
      <c r="X32" s="36">
        <v>30000</v>
      </c>
      <c r="Y32" s="36">
        <v>6000</v>
      </c>
      <c r="Z32" s="36">
        <v>80</v>
      </c>
      <c r="AA32" s="36" t="s">
        <v>114</v>
      </c>
    </row>
    <row r="33" ht="17.25" spans="1:27">
      <c r="A33" s="36"/>
      <c r="B33" s="36"/>
      <c r="C33" s="36"/>
      <c r="D33" s="36"/>
      <c r="F33" s="36"/>
      <c r="G33" s="36"/>
      <c r="H33" s="36">
        <v>10191</v>
      </c>
      <c r="I33" s="36" t="s">
        <v>115</v>
      </c>
      <c r="J33" s="36"/>
      <c r="K33" s="36"/>
      <c r="L33" s="32" t="s">
        <v>116</v>
      </c>
      <c r="M33" s="36">
        <v>1</v>
      </c>
      <c r="N33" s="36">
        <v>3</v>
      </c>
      <c r="O33" s="36">
        <v>1019101</v>
      </c>
      <c r="P33" s="36">
        <f t="shared" ref="P33:P96" si="0">P4+1</f>
        <v>2</v>
      </c>
      <c r="Q33" s="36" t="s">
        <v>117</v>
      </c>
      <c r="R33" s="36" t="s">
        <v>118</v>
      </c>
      <c r="S33" s="36">
        <v>10191</v>
      </c>
      <c r="T33" s="36">
        <v>10191</v>
      </c>
      <c r="U33" s="36" t="s">
        <v>119</v>
      </c>
      <c r="V33" s="36">
        <v>10000</v>
      </c>
      <c r="W33" s="36">
        <v>1000</v>
      </c>
      <c r="X33" s="36">
        <v>30000</v>
      </c>
      <c r="Y33" s="36">
        <v>10000</v>
      </c>
      <c r="Z33" s="36">
        <v>80</v>
      </c>
      <c r="AA33" s="36" t="s">
        <v>114</v>
      </c>
    </row>
    <row r="34" ht="17.25" spans="1:27">
      <c r="A34" s="36"/>
      <c r="B34" s="36"/>
      <c r="C34" s="36"/>
      <c r="D34" s="36"/>
      <c r="F34" s="36"/>
      <c r="G34" s="36"/>
      <c r="H34" s="36">
        <v>10192</v>
      </c>
      <c r="I34" s="36" t="s">
        <v>366</v>
      </c>
      <c r="J34" s="36"/>
      <c r="K34" s="36"/>
      <c r="L34" s="32" t="s">
        <v>702</v>
      </c>
      <c r="M34" s="36">
        <v>1</v>
      </c>
      <c r="N34" s="36">
        <v>7</v>
      </c>
      <c r="O34" s="36">
        <v>1019201</v>
      </c>
      <c r="P34" s="36">
        <f t="shared" si="0"/>
        <v>2</v>
      </c>
      <c r="Q34" s="36" t="s">
        <v>370</v>
      </c>
      <c r="R34" s="36" t="s">
        <v>703</v>
      </c>
      <c r="S34" s="36">
        <v>10192</v>
      </c>
      <c r="T34" s="36">
        <v>10192</v>
      </c>
      <c r="U34" s="36" t="s">
        <v>704</v>
      </c>
      <c r="V34" s="36">
        <v>30000</v>
      </c>
      <c r="W34" s="36">
        <v>1000</v>
      </c>
      <c r="X34" s="36">
        <v>30000</v>
      </c>
      <c r="Y34" s="36">
        <v>30000</v>
      </c>
      <c r="Z34" s="36">
        <v>70</v>
      </c>
      <c r="AA34" s="36" t="s">
        <v>114</v>
      </c>
    </row>
    <row r="35" ht="17.25" spans="1:27">
      <c r="A35" s="36"/>
      <c r="B35" s="36"/>
      <c r="C35" s="36"/>
      <c r="D35" s="36"/>
      <c r="F35" s="36"/>
      <c r="G35" s="36"/>
      <c r="H35" s="36">
        <v>10210</v>
      </c>
      <c r="I35" s="36" t="s">
        <v>371</v>
      </c>
      <c r="J35" s="36"/>
      <c r="K35" s="36"/>
      <c r="L35" s="32" t="s">
        <v>705</v>
      </c>
      <c r="M35" s="36">
        <v>1</v>
      </c>
      <c r="N35" s="36">
        <v>3</v>
      </c>
      <c r="O35" s="36">
        <v>1021001</v>
      </c>
      <c r="P35" s="36">
        <f t="shared" si="0"/>
        <v>2</v>
      </c>
      <c r="Q35" s="36" t="s">
        <v>375</v>
      </c>
      <c r="R35" s="36" t="s">
        <v>706</v>
      </c>
      <c r="S35" s="36">
        <v>10210</v>
      </c>
      <c r="T35" s="36">
        <v>10210</v>
      </c>
      <c r="U35" s="36" t="s">
        <v>707</v>
      </c>
      <c r="V35" s="36">
        <v>10000</v>
      </c>
      <c r="W35" s="36">
        <v>1000</v>
      </c>
      <c r="X35" s="36">
        <v>30000</v>
      </c>
      <c r="Y35" s="36">
        <v>10000</v>
      </c>
      <c r="Z35" s="36">
        <v>80</v>
      </c>
      <c r="AA35" s="36" t="s">
        <v>708</v>
      </c>
    </row>
    <row r="36" ht="17.25" spans="1:27">
      <c r="A36" s="36"/>
      <c r="B36" s="36"/>
      <c r="C36" s="36"/>
      <c r="D36" s="36"/>
      <c r="F36" s="36"/>
      <c r="G36" s="36"/>
      <c r="H36" s="36">
        <v>10211</v>
      </c>
      <c r="I36" s="36" t="s">
        <v>376</v>
      </c>
      <c r="J36" s="36"/>
      <c r="K36" s="36"/>
      <c r="L36" s="32" t="s">
        <v>709</v>
      </c>
      <c r="M36" s="36">
        <v>1</v>
      </c>
      <c r="N36" s="36">
        <v>6</v>
      </c>
      <c r="O36" s="36">
        <v>1021101</v>
      </c>
      <c r="P36" s="36">
        <f t="shared" si="0"/>
        <v>2</v>
      </c>
      <c r="Q36" s="36" t="s">
        <v>380</v>
      </c>
      <c r="R36" s="36" t="s">
        <v>710</v>
      </c>
      <c r="S36" s="36">
        <v>10211</v>
      </c>
      <c r="T36" s="36">
        <v>10211</v>
      </c>
      <c r="U36" s="36" t="s">
        <v>711</v>
      </c>
      <c r="V36" s="36">
        <v>20000</v>
      </c>
      <c r="W36" s="36">
        <v>1000</v>
      </c>
      <c r="X36" s="36">
        <v>30000</v>
      </c>
      <c r="Y36" s="36">
        <v>20000</v>
      </c>
      <c r="Z36" s="36">
        <v>70</v>
      </c>
      <c r="AA36" s="36" t="s">
        <v>712</v>
      </c>
    </row>
    <row r="37" ht="17.25" spans="1:27">
      <c r="A37" s="36"/>
      <c r="B37" s="36"/>
      <c r="C37" s="36"/>
      <c r="D37" s="36"/>
      <c r="F37" s="36"/>
      <c r="G37" s="36"/>
      <c r="H37" s="36">
        <v>10220</v>
      </c>
      <c r="I37" s="36" t="s">
        <v>381</v>
      </c>
      <c r="J37" s="36"/>
      <c r="K37" s="36"/>
      <c r="L37" s="32" t="s">
        <v>713</v>
      </c>
      <c r="M37" s="36">
        <v>1</v>
      </c>
      <c r="N37" s="36">
        <v>1</v>
      </c>
      <c r="O37" s="36">
        <v>1022001</v>
      </c>
      <c r="P37" s="36">
        <f t="shared" si="0"/>
        <v>2</v>
      </c>
      <c r="Q37" s="36" t="s">
        <v>385</v>
      </c>
      <c r="R37" s="36" t="s">
        <v>714</v>
      </c>
      <c r="S37" s="36">
        <v>10220</v>
      </c>
      <c r="T37" s="36">
        <v>10220</v>
      </c>
      <c r="U37" s="36" t="s">
        <v>715</v>
      </c>
      <c r="V37" s="36">
        <v>6000</v>
      </c>
      <c r="W37" s="36">
        <v>1000</v>
      </c>
      <c r="X37" s="36">
        <v>30000</v>
      </c>
      <c r="Y37" s="36">
        <v>6000</v>
      </c>
      <c r="Z37" s="36">
        <v>80</v>
      </c>
      <c r="AA37" s="36" t="s">
        <v>708</v>
      </c>
    </row>
    <row r="38" ht="17.25" spans="1:27">
      <c r="A38" s="36"/>
      <c r="B38" s="36"/>
      <c r="C38" s="36"/>
      <c r="D38" s="36"/>
      <c r="F38" s="36"/>
      <c r="G38" s="36"/>
      <c r="H38" s="36">
        <v>10221</v>
      </c>
      <c r="I38" s="36" t="s">
        <v>386</v>
      </c>
      <c r="J38" s="36"/>
      <c r="K38" s="36"/>
      <c r="L38" s="32" t="s">
        <v>716</v>
      </c>
      <c r="M38" s="36">
        <v>1</v>
      </c>
      <c r="N38" s="36">
        <v>4</v>
      </c>
      <c r="O38" s="36">
        <v>1022101</v>
      </c>
      <c r="P38" s="36">
        <f t="shared" si="0"/>
        <v>2</v>
      </c>
      <c r="Q38" s="36" t="s">
        <v>390</v>
      </c>
      <c r="R38" s="36" t="s">
        <v>717</v>
      </c>
      <c r="S38" s="36">
        <v>10221</v>
      </c>
      <c r="T38" s="36">
        <v>10221</v>
      </c>
      <c r="U38" s="36" t="s">
        <v>718</v>
      </c>
      <c r="V38" s="36">
        <v>12000</v>
      </c>
      <c r="W38" s="36">
        <v>1000</v>
      </c>
      <c r="X38" s="36">
        <v>30000</v>
      </c>
      <c r="Y38" s="36">
        <v>12000</v>
      </c>
      <c r="Z38" s="36">
        <v>80</v>
      </c>
      <c r="AA38" s="36" t="s">
        <v>712</v>
      </c>
    </row>
    <row r="39" ht="17.25" spans="1:27">
      <c r="A39" s="36"/>
      <c r="B39" s="36"/>
      <c r="C39" s="36"/>
      <c r="D39" s="36"/>
      <c r="F39" s="36"/>
      <c r="G39" s="36"/>
      <c r="H39" s="36">
        <v>10230</v>
      </c>
      <c r="I39" s="36" t="s">
        <v>391</v>
      </c>
      <c r="J39" s="36"/>
      <c r="K39" s="36"/>
      <c r="L39" s="32" t="s">
        <v>719</v>
      </c>
      <c r="M39" s="36">
        <v>1</v>
      </c>
      <c r="N39" s="36">
        <v>3</v>
      </c>
      <c r="O39" s="36">
        <v>1023001</v>
      </c>
      <c r="P39" s="36">
        <f t="shared" si="0"/>
        <v>2</v>
      </c>
      <c r="Q39" s="36" t="s">
        <v>395</v>
      </c>
      <c r="R39" s="36" t="s">
        <v>720</v>
      </c>
      <c r="S39" s="36">
        <v>10230</v>
      </c>
      <c r="T39" s="36">
        <v>10230</v>
      </c>
      <c r="U39" s="36" t="s">
        <v>721</v>
      </c>
      <c r="V39" s="36">
        <v>10000</v>
      </c>
      <c r="W39" s="36">
        <v>1000</v>
      </c>
      <c r="X39" s="36">
        <v>30000</v>
      </c>
      <c r="Y39" s="36">
        <v>10000</v>
      </c>
      <c r="Z39" s="36">
        <v>80</v>
      </c>
      <c r="AA39" s="36" t="s">
        <v>80</v>
      </c>
    </row>
    <row r="40" ht="17.25" spans="1:27">
      <c r="A40" s="36"/>
      <c r="B40" s="36"/>
      <c r="C40" s="36"/>
      <c r="D40" s="36"/>
      <c r="F40" s="36"/>
      <c r="G40" s="36"/>
      <c r="H40" s="36">
        <v>10231</v>
      </c>
      <c r="I40" s="36" t="s">
        <v>396</v>
      </c>
      <c r="J40" s="36"/>
      <c r="K40" s="36"/>
      <c r="L40" s="32" t="s">
        <v>722</v>
      </c>
      <c r="M40" s="36">
        <v>1</v>
      </c>
      <c r="N40" s="36">
        <v>5</v>
      </c>
      <c r="O40" s="36">
        <v>1023101</v>
      </c>
      <c r="P40" s="36">
        <f t="shared" si="0"/>
        <v>2</v>
      </c>
      <c r="Q40" s="36" t="s">
        <v>400</v>
      </c>
      <c r="R40" s="36" t="s">
        <v>723</v>
      </c>
      <c r="S40" s="36">
        <v>10231</v>
      </c>
      <c r="T40" s="36">
        <v>10231</v>
      </c>
      <c r="U40" s="36" t="s">
        <v>724</v>
      </c>
      <c r="V40" s="36">
        <v>15000</v>
      </c>
      <c r="W40" s="36">
        <v>1000</v>
      </c>
      <c r="X40" s="36">
        <v>30000</v>
      </c>
      <c r="Y40" s="36">
        <v>15000</v>
      </c>
      <c r="Z40" s="36">
        <v>70</v>
      </c>
      <c r="AA40" s="36" t="s">
        <v>114</v>
      </c>
    </row>
    <row r="41" ht="17.25" spans="1:27">
      <c r="A41" s="36"/>
      <c r="B41" s="36"/>
      <c r="C41" s="36"/>
      <c r="D41" s="36"/>
      <c r="F41" s="36"/>
      <c r="G41" s="36"/>
      <c r="H41" s="36">
        <v>10250</v>
      </c>
      <c r="I41" s="36" t="s">
        <v>725</v>
      </c>
      <c r="J41" s="36"/>
      <c r="K41" s="36"/>
      <c r="L41" s="32" t="s">
        <v>726</v>
      </c>
      <c r="M41" s="36">
        <v>1</v>
      </c>
      <c r="N41" s="36">
        <v>3</v>
      </c>
      <c r="O41" s="36">
        <v>1025001</v>
      </c>
      <c r="P41" s="36">
        <f t="shared" si="0"/>
        <v>2</v>
      </c>
      <c r="Q41" s="36" t="s">
        <v>405</v>
      </c>
      <c r="R41" s="36" t="s">
        <v>727</v>
      </c>
      <c r="S41" s="36">
        <v>10250</v>
      </c>
      <c r="T41" s="36">
        <v>10250</v>
      </c>
      <c r="U41" s="36" t="s">
        <v>728</v>
      </c>
      <c r="V41" s="36">
        <v>10000</v>
      </c>
      <c r="W41" s="36">
        <v>1000</v>
      </c>
      <c r="X41" s="36">
        <v>30000</v>
      </c>
      <c r="Y41" s="36">
        <v>10000</v>
      </c>
      <c r="Z41" s="36">
        <v>80</v>
      </c>
      <c r="AA41" s="36" t="s">
        <v>80</v>
      </c>
    </row>
    <row r="42" ht="17.25" spans="1:27">
      <c r="A42" s="36"/>
      <c r="B42" s="36"/>
      <c r="C42" s="36"/>
      <c r="D42" s="36"/>
      <c r="F42" s="36"/>
      <c r="G42" s="36"/>
      <c r="H42" s="36">
        <v>10251</v>
      </c>
      <c r="I42" s="36" t="s">
        <v>406</v>
      </c>
      <c r="J42" s="36"/>
      <c r="K42" s="36"/>
      <c r="L42" s="32" t="s">
        <v>729</v>
      </c>
      <c r="M42" s="36">
        <v>1</v>
      </c>
      <c r="N42" s="36">
        <v>4</v>
      </c>
      <c r="O42" s="36">
        <v>1025101</v>
      </c>
      <c r="P42" s="36">
        <f t="shared" si="0"/>
        <v>2</v>
      </c>
      <c r="Q42" s="36" t="s">
        <v>410</v>
      </c>
      <c r="R42" s="36" t="s">
        <v>730</v>
      </c>
      <c r="S42" s="36">
        <v>10251</v>
      </c>
      <c r="T42" s="36">
        <v>10251</v>
      </c>
      <c r="U42" s="36" t="s">
        <v>731</v>
      </c>
      <c r="V42" s="36">
        <v>12000</v>
      </c>
      <c r="W42" s="36">
        <v>1000</v>
      </c>
      <c r="X42" s="36">
        <v>30000</v>
      </c>
      <c r="Y42" s="36">
        <v>12000</v>
      </c>
      <c r="Z42" s="36">
        <v>80</v>
      </c>
      <c r="AA42" s="36" t="s">
        <v>80</v>
      </c>
    </row>
    <row r="43" ht="17.25" spans="1:27">
      <c r="A43" s="36"/>
      <c r="B43" s="36"/>
      <c r="C43" s="36"/>
      <c r="D43" s="36"/>
      <c r="F43" s="36"/>
      <c r="G43" s="36"/>
      <c r="H43" s="36">
        <v>10270</v>
      </c>
      <c r="I43" s="36" t="s">
        <v>414</v>
      </c>
      <c r="J43" s="36"/>
      <c r="K43" s="36"/>
      <c r="L43" s="32" t="s">
        <v>732</v>
      </c>
      <c r="M43" s="36">
        <v>1</v>
      </c>
      <c r="N43" s="36">
        <v>3</v>
      </c>
      <c r="O43" s="36">
        <v>1027001</v>
      </c>
      <c r="P43" s="36">
        <f t="shared" si="0"/>
        <v>2</v>
      </c>
      <c r="Q43" s="36" t="s">
        <v>418</v>
      </c>
      <c r="R43" s="36" t="s">
        <v>733</v>
      </c>
      <c r="S43" s="36">
        <v>10270</v>
      </c>
      <c r="T43" s="36">
        <v>10270</v>
      </c>
      <c r="U43" s="36" t="s">
        <v>734</v>
      </c>
      <c r="V43" s="36">
        <v>10000</v>
      </c>
      <c r="W43" s="36">
        <v>1000</v>
      </c>
      <c r="X43" s="36">
        <v>30000</v>
      </c>
      <c r="Y43" s="36">
        <v>10000</v>
      </c>
      <c r="Z43" s="36">
        <v>80</v>
      </c>
      <c r="AA43" s="36" t="s">
        <v>80</v>
      </c>
    </row>
    <row r="44" ht="17.25" spans="1:27">
      <c r="A44" s="36"/>
      <c r="B44" s="36"/>
      <c r="C44" s="36"/>
      <c r="D44" s="36"/>
      <c r="F44" s="36"/>
      <c r="G44" s="36"/>
      <c r="H44" s="36">
        <v>10271</v>
      </c>
      <c r="I44" s="36" t="s">
        <v>419</v>
      </c>
      <c r="J44" s="36"/>
      <c r="K44" s="36"/>
      <c r="L44" s="32" t="s">
        <v>735</v>
      </c>
      <c r="M44" s="36">
        <v>1</v>
      </c>
      <c r="N44" s="36">
        <v>5</v>
      </c>
      <c r="O44" s="36">
        <v>1027101</v>
      </c>
      <c r="P44" s="36">
        <f t="shared" si="0"/>
        <v>2</v>
      </c>
      <c r="Q44" s="36" t="s">
        <v>423</v>
      </c>
      <c r="R44" s="36" t="s">
        <v>736</v>
      </c>
      <c r="S44" s="36">
        <v>10271</v>
      </c>
      <c r="T44" s="36">
        <v>10271</v>
      </c>
      <c r="U44" s="36" t="s">
        <v>737</v>
      </c>
      <c r="V44" s="36">
        <v>15000</v>
      </c>
      <c r="W44" s="36">
        <v>1000</v>
      </c>
      <c r="X44" s="36">
        <v>30000</v>
      </c>
      <c r="Y44" s="36">
        <v>15000</v>
      </c>
      <c r="Z44" s="36">
        <v>70</v>
      </c>
      <c r="AA44" s="36" t="s">
        <v>80</v>
      </c>
    </row>
    <row r="45" ht="17.25" spans="1:27">
      <c r="A45" s="36"/>
      <c r="B45" s="36"/>
      <c r="C45" s="36"/>
      <c r="D45" s="36"/>
      <c r="F45" s="36"/>
      <c r="G45" s="36"/>
      <c r="H45" s="36">
        <v>10272</v>
      </c>
      <c r="I45" s="36" t="s">
        <v>738</v>
      </c>
      <c r="J45" s="36"/>
      <c r="K45" s="36"/>
      <c r="L45" s="32" t="s">
        <v>739</v>
      </c>
      <c r="M45" s="36">
        <v>1</v>
      </c>
      <c r="N45" s="36">
        <v>7</v>
      </c>
      <c r="O45" s="36">
        <v>1027101</v>
      </c>
      <c r="P45" s="36">
        <f t="shared" si="0"/>
        <v>2</v>
      </c>
      <c r="Q45" s="36" t="s">
        <v>423</v>
      </c>
      <c r="R45" s="36" t="s">
        <v>740</v>
      </c>
      <c r="S45" s="36">
        <v>10272</v>
      </c>
      <c r="T45" s="36">
        <v>10272</v>
      </c>
      <c r="U45" s="36" t="s">
        <v>741</v>
      </c>
      <c r="V45" s="36">
        <v>30000</v>
      </c>
      <c r="W45" s="36">
        <v>1000</v>
      </c>
      <c r="X45" s="36">
        <v>30000</v>
      </c>
      <c r="Y45" s="36">
        <v>30000</v>
      </c>
      <c r="Z45" s="36">
        <v>70</v>
      </c>
      <c r="AA45" s="36" t="s">
        <v>80</v>
      </c>
    </row>
    <row r="46" ht="17.25" spans="1:27">
      <c r="A46" s="36"/>
      <c r="B46" s="36"/>
      <c r="C46" s="36"/>
      <c r="D46" s="36"/>
      <c r="F46" s="36"/>
      <c r="G46" s="36"/>
      <c r="H46" s="36">
        <v>10300</v>
      </c>
      <c r="I46" s="36" t="s">
        <v>424</v>
      </c>
      <c r="J46" s="36"/>
      <c r="K46" s="36"/>
      <c r="L46" s="32" t="s">
        <v>742</v>
      </c>
      <c r="M46" s="36">
        <v>1</v>
      </c>
      <c r="N46" s="36">
        <v>1</v>
      </c>
      <c r="O46" s="36">
        <v>1030001</v>
      </c>
      <c r="P46" s="36">
        <f t="shared" si="0"/>
        <v>2</v>
      </c>
      <c r="Q46" s="36" t="s">
        <v>428</v>
      </c>
      <c r="R46" s="36" t="s">
        <v>743</v>
      </c>
      <c r="S46" s="36">
        <v>10300</v>
      </c>
      <c r="T46" s="36">
        <v>10300</v>
      </c>
      <c r="U46" s="36" t="s">
        <v>744</v>
      </c>
      <c r="V46" s="36">
        <v>6000</v>
      </c>
      <c r="W46" s="36">
        <v>1000</v>
      </c>
      <c r="X46" s="36">
        <v>30000</v>
      </c>
      <c r="Y46" s="36">
        <v>6000</v>
      </c>
      <c r="Z46" s="36">
        <v>80</v>
      </c>
      <c r="AA46" s="36" t="s">
        <v>745</v>
      </c>
    </row>
    <row r="47" ht="17.25" spans="1:27">
      <c r="A47" s="36"/>
      <c r="B47" s="36"/>
      <c r="C47" s="36"/>
      <c r="D47" s="36"/>
      <c r="F47" s="36"/>
      <c r="G47" s="36"/>
      <c r="H47" s="36">
        <v>10301</v>
      </c>
      <c r="I47" s="36" t="s">
        <v>125</v>
      </c>
      <c r="J47" s="36"/>
      <c r="K47" s="36"/>
      <c r="L47" s="32" t="s">
        <v>126</v>
      </c>
      <c r="M47" s="36">
        <v>1</v>
      </c>
      <c r="N47" s="36">
        <v>2</v>
      </c>
      <c r="O47" s="36">
        <v>1030101</v>
      </c>
      <c r="P47" s="36">
        <f t="shared" si="0"/>
        <v>2</v>
      </c>
      <c r="Q47" s="36" t="s">
        <v>127</v>
      </c>
      <c r="R47" s="36" t="s">
        <v>128</v>
      </c>
      <c r="S47" s="36">
        <v>10301</v>
      </c>
      <c r="T47" s="36">
        <v>10301</v>
      </c>
      <c r="U47" s="36" t="s">
        <v>129</v>
      </c>
      <c r="V47" s="36">
        <v>8000</v>
      </c>
      <c r="W47" s="36">
        <v>1000</v>
      </c>
      <c r="X47" s="36">
        <v>30000</v>
      </c>
      <c r="Y47" s="36">
        <v>8000</v>
      </c>
      <c r="Z47" s="36">
        <v>80</v>
      </c>
      <c r="AA47" s="36" t="s">
        <v>130</v>
      </c>
    </row>
    <row r="48" ht="17.25" spans="1:27">
      <c r="A48" s="36"/>
      <c r="B48" s="36"/>
      <c r="C48" s="36"/>
      <c r="D48" s="36"/>
      <c r="F48" s="36"/>
      <c r="G48" s="36"/>
      <c r="H48" s="36">
        <v>10320</v>
      </c>
      <c r="I48" s="36" t="s">
        <v>432</v>
      </c>
      <c r="J48" s="36"/>
      <c r="K48" s="36"/>
      <c r="L48" s="32" t="s">
        <v>746</v>
      </c>
      <c r="M48" s="36">
        <v>1</v>
      </c>
      <c r="N48" s="36">
        <v>2</v>
      </c>
      <c r="O48" s="36">
        <v>1032001</v>
      </c>
      <c r="P48" s="36">
        <f t="shared" si="0"/>
        <v>2</v>
      </c>
      <c r="Q48" s="36" t="s">
        <v>436</v>
      </c>
      <c r="R48" s="36" t="s">
        <v>747</v>
      </c>
      <c r="S48" s="36">
        <v>10320</v>
      </c>
      <c r="T48" s="36">
        <v>10320</v>
      </c>
      <c r="U48" s="36" t="s">
        <v>748</v>
      </c>
      <c r="V48" s="36">
        <v>8000</v>
      </c>
      <c r="W48" s="36">
        <v>1000</v>
      </c>
      <c r="X48" s="36">
        <v>30000</v>
      </c>
      <c r="Y48" s="36">
        <v>8000</v>
      </c>
      <c r="Z48" s="36">
        <v>80</v>
      </c>
      <c r="AA48" s="36" t="s">
        <v>80</v>
      </c>
    </row>
    <row r="49" ht="17.25" spans="1:27">
      <c r="A49" s="36"/>
      <c r="B49" s="36"/>
      <c r="C49" s="36"/>
      <c r="D49" s="36"/>
      <c r="F49" s="36"/>
      <c r="G49" s="36"/>
      <c r="H49" s="36">
        <v>10321</v>
      </c>
      <c r="I49" s="36" t="s">
        <v>437</v>
      </c>
      <c r="J49" s="36"/>
      <c r="K49" s="36"/>
      <c r="L49" s="32" t="s">
        <v>749</v>
      </c>
      <c r="M49" s="36">
        <v>1</v>
      </c>
      <c r="N49" s="36">
        <v>5</v>
      </c>
      <c r="O49" s="36">
        <v>1032101</v>
      </c>
      <c r="P49" s="36">
        <f t="shared" si="0"/>
        <v>2</v>
      </c>
      <c r="Q49" s="36" t="s">
        <v>441</v>
      </c>
      <c r="R49" s="36" t="s">
        <v>750</v>
      </c>
      <c r="S49" s="36">
        <v>10321</v>
      </c>
      <c r="T49" s="36">
        <v>10321</v>
      </c>
      <c r="U49" s="36" t="s">
        <v>751</v>
      </c>
      <c r="V49" s="36">
        <v>15000</v>
      </c>
      <c r="W49" s="36">
        <v>1000</v>
      </c>
      <c r="X49" s="36">
        <v>30000</v>
      </c>
      <c r="Y49" s="36">
        <v>15000</v>
      </c>
      <c r="Z49" s="36">
        <v>70</v>
      </c>
      <c r="AA49" s="36" t="s">
        <v>80</v>
      </c>
    </row>
    <row r="50" ht="17.25" spans="1:27">
      <c r="A50" s="36"/>
      <c r="B50" s="36"/>
      <c r="C50" s="36"/>
      <c r="D50" s="36"/>
      <c r="F50" s="36"/>
      <c r="G50" s="36"/>
      <c r="H50" s="36">
        <v>10330</v>
      </c>
      <c r="I50" s="36" t="s">
        <v>131</v>
      </c>
      <c r="J50" s="36">
        <v>1</v>
      </c>
      <c r="K50" s="36" t="s">
        <v>752</v>
      </c>
      <c r="L50" s="32" t="s">
        <v>132</v>
      </c>
      <c r="M50" s="36">
        <v>1</v>
      </c>
      <c r="N50" s="36">
        <v>2</v>
      </c>
      <c r="O50" s="36">
        <v>1033001</v>
      </c>
      <c r="P50" s="36">
        <f t="shared" si="0"/>
        <v>2</v>
      </c>
      <c r="Q50" s="36" t="s">
        <v>133</v>
      </c>
      <c r="R50" s="36" t="s">
        <v>134</v>
      </c>
      <c r="S50" s="36">
        <v>10330</v>
      </c>
      <c r="T50" s="36">
        <v>10330</v>
      </c>
      <c r="U50" s="36" t="s">
        <v>135</v>
      </c>
      <c r="V50" s="36">
        <v>8000</v>
      </c>
      <c r="W50" s="36">
        <v>1000</v>
      </c>
      <c r="X50" s="36">
        <v>30000</v>
      </c>
      <c r="Y50" s="36">
        <v>8000</v>
      </c>
      <c r="Z50" s="36">
        <v>80</v>
      </c>
      <c r="AA50" s="36" t="s">
        <v>136</v>
      </c>
    </row>
    <row r="51" ht="17.25" spans="1:27">
      <c r="A51" s="36"/>
      <c r="B51" s="36"/>
      <c r="C51" s="36"/>
      <c r="D51" s="36"/>
      <c r="F51" s="36"/>
      <c r="G51" s="36"/>
      <c r="H51" s="36">
        <v>10331</v>
      </c>
      <c r="I51" s="36" t="s">
        <v>137</v>
      </c>
      <c r="J51" s="36"/>
      <c r="K51" s="36"/>
      <c r="L51" s="32" t="s">
        <v>138</v>
      </c>
      <c r="M51" s="36">
        <v>1</v>
      </c>
      <c r="N51" s="36">
        <v>4</v>
      </c>
      <c r="O51" s="36">
        <v>1033101</v>
      </c>
      <c r="P51" s="36">
        <f t="shared" si="0"/>
        <v>2</v>
      </c>
      <c r="Q51" s="36" t="s">
        <v>139</v>
      </c>
      <c r="R51" s="36" t="s">
        <v>140</v>
      </c>
      <c r="S51" s="36">
        <v>10331</v>
      </c>
      <c r="T51" s="36">
        <v>10331</v>
      </c>
      <c r="U51" s="36" t="s">
        <v>141</v>
      </c>
      <c r="V51" s="36">
        <v>12000</v>
      </c>
      <c r="W51" s="36">
        <v>1000</v>
      </c>
      <c r="X51" s="36">
        <v>30000</v>
      </c>
      <c r="Y51" s="36">
        <v>12000</v>
      </c>
      <c r="Z51" s="36">
        <v>80</v>
      </c>
      <c r="AA51" s="36" t="s">
        <v>136</v>
      </c>
    </row>
    <row r="52" ht="17.25" spans="1:27">
      <c r="A52" s="36"/>
      <c r="B52" s="36"/>
      <c r="C52" s="36"/>
      <c r="D52" s="36"/>
      <c r="F52" s="36"/>
      <c r="G52" s="36"/>
      <c r="H52" s="36">
        <v>10332</v>
      </c>
      <c r="I52" s="36" t="s">
        <v>448</v>
      </c>
      <c r="J52" s="36"/>
      <c r="K52" s="36"/>
      <c r="L52" s="32" t="s">
        <v>753</v>
      </c>
      <c r="M52" s="36">
        <v>1</v>
      </c>
      <c r="N52" s="36">
        <v>6</v>
      </c>
      <c r="O52" s="36">
        <v>1033201</v>
      </c>
      <c r="P52" s="36">
        <f t="shared" si="0"/>
        <v>2</v>
      </c>
      <c r="Q52" s="36" t="s">
        <v>452</v>
      </c>
      <c r="R52" s="36" t="s">
        <v>754</v>
      </c>
      <c r="S52" s="36">
        <v>10332</v>
      </c>
      <c r="T52" s="36">
        <v>10332</v>
      </c>
      <c r="U52" s="36" t="s">
        <v>755</v>
      </c>
      <c r="V52" s="36">
        <v>20000</v>
      </c>
      <c r="W52" s="36">
        <v>1000</v>
      </c>
      <c r="X52" s="36">
        <v>30000</v>
      </c>
      <c r="Y52" s="36">
        <v>20000</v>
      </c>
      <c r="Z52" s="36">
        <v>70</v>
      </c>
      <c r="AA52" s="36" t="s">
        <v>136</v>
      </c>
    </row>
    <row r="53" ht="17.25" spans="1:27">
      <c r="A53" s="36"/>
      <c r="B53" s="36"/>
      <c r="C53" s="36"/>
      <c r="D53" s="36"/>
      <c r="F53" s="36"/>
      <c r="G53" s="36"/>
      <c r="H53" s="36">
        <v>10350</v>
      </c>
      <c r="I53" s="36" t="s">
        <v>142</v>
      </c>
      <c r="J53" s="36">
        <v>1</v>
      </c>
      <c r="K53" s="36" t="s">
        <v>756</v>
      </c>
      <c r="L53" s="32" t="s">
        <v>143</v>
      </c>
      <c r="M53" s="36">
        <v>1</v>
      </c>
      <c r="N53" s="36">
        <v>1</v>
      </c>
      <c r="O53" s="36">
        <v>1035001</v>
      </c>
      <c r="P53" s="36">
        <f t="shared" si="0"/>
        <v>2</v>
      </c>
      <c r="Q53" s="36" t="s">
        <v>144</v>
      </c>
      <c r="R53" s="36" t="s">
        <v>145</v>
      </c>
      <c r="S53" s="36">
        <v>10350</v>
      </c>
      <c r="T53" s="36">
        <v>10350</v>
      </c>
      <c r="U53" s="36" t="s">
        <v>146</v>
      </c>
      <c r="V53" s="36">
        <v>6000</v>
      </c>
      <c r="W53" s="36">
        <v>1000</v>
      </c>
      <c r="X53" s="36">
        <v>30000</v>
      </c>
      <c r="Y53" s="36">
        <v>6000</v>
      </c>
      <c r="Z53" s="36">
        <v>80</v>
      </c>
      <c r="AA53" s="36" t="s">
        <v>147</v>
      </c>
    </row>
    <row r="54" ht="17.25" spans="1:27">
      <c r="A54" s="36"/>
      <c r="B54" s="36"/>
      <c r="C54" s="36"/>
      <c r="D54" s="36"/>
      <c r="F54" s="36"/>
      <c r="G54" s="36"/>
      <c r="H54" s="36">
        <v>10351</v>
      </c>
      <c r="I54" s="36" t="s">
        <v>148</v>
      </c>
      <c r="J54" s="36"/>
      <c r="K54" s="36"/>
      <c r="L54" s="32" t="s">
        <v>149</v>
      </c>
      <c r="M54" s="36">
        <v>1</v>
      </c>
      <c r="N54" s="36">
        <v>4</v>
      </c>
      <c r="O54" s="36">
        <v>1035101</v>
      </c>
      <c r="P54" s="36">
        <f t="shared" si="0"/>
        <v>2</v>
      </c>
      <c r="Q54" s="36" t="s">
        <v>150</v>
      </c>
      <c r="R54" s="36" t="s">
        <v>151</v>
      </c>
      <c r="S54" s="36">
        <v>10351</v>
      </c>
      <c r="T54" s="36">
        <v>10351</v>
      </c>
      <c r="U54" s="36" t="s">
        <v>152</v>
      </c>
      <c r="V54" s="36">
        <v>12000</v>
      </c>
      <c r="W54" s="36">
        <v>1000</v>
      </c>
      <c r="X54" s="36">
        <v>30000</v>
      </c>
      <c r="Y54" s="36">
        <v>12000</v>
      </c>
      <c r="Z54" s="36">
        <v>80</v>
      </c>
      <c r="AA54" s="36" t="s">
        <v>153</v>
      </c>
    </row>
    <row r="55" ht="17.25" spans="1:27">
      <c r="A55" s="36"/>
      <c r="B55" s="36"/>
      <c r="C55" s="36"/>
      <c r="D55" s="36"/>
      <c r="F55" s="36"/>
      <c r="G55" s="36"/>
      <c r="H55" s="36">
        <v>10352</v>
      </c>
      <c r="I55" s="36" t="s">
        <v>459</v>
      </c>
      <c r="J55" s="36"/>
      <c r="K55" s="36"/>
      <c r="L55" s="32" t="s">
        <v>757</v>
      </c>
      <c r="M55" s="36">
        <v>1</v>
      </c>
      <c r="N55" s="36">
        <v>7</v>
      </c>
      <c r="O55" s="36">
        <v>1035201</v>
      </c>
      <c r="P55" s="36">
        <f t="shared" si="0"/>
        <v>2</v>
      </c>
      <c r="Q55" s="36" t="s">
        <v>463</v>
      </c>
      <c r="R55" s="36" t="s">
        <v>758</v>
      </c>
      <c r="S55" s="36">
        <v>10352</v>
      </c>
      <c r="T55" s="36">
        <v>10352</v>
      </c>
      <c r="U55" s="36" t="s">
        <v>759</v>
      </c>
      <c r="V55" s="36">
        <v>30000</v>
      </c>
      <c r="W55" s="36">
        <v>1000</v>
      </c>
      <c r="X55" s="36">
        <v>30000</v>
      </c>
      <c r="Y55" s="36">
        <v>30000</v>
      </c>
      <c r="Z55" s="36">
        <v>70</v>
      </c>
      <c r="AA55" s="36" t="s">
        <v>153</v>
      </c>
    </row>
    <row r="56" ht="17.25" spans="1:27">
      <c r="A56" s="36"/>
      <c r="B56" s="36"/>
      <c r="C56" s="36"/>
      <c r="D56" s="36"/>
      <c r="F56" s="36"/>
      <c r="G56" s="36"/>
      <c r="H56" s="36">
        <v>10360</v>
      </c>
      <c r="I56" s="36" t="s">
        <v>464</v>
      </c>
      <c r="J56" s="36"/>
      <c r="K56" s="36"/>
      <c r="L56" s="32" t="s">
        <v>760</v>
      </c>
      <c r="M56" s="36">
        <v>1</v>
      </c>
      <c r="N56" s="36">
        <v>3</v>
      </c>
      <c r="O56" s="36">
        <v>1036001</v>
      </c>
      <c r="P56" s="36">
        <f t="shared" si="0"/>
        <v>2</v>
      </c>
      <c r="Q56" s="36" t="s">
        <v>468</v>
      </c>
      <c r="R56" s="36" t="s">
        <v>761</v>
      </c>
      <c r="S56" s="36">
        <v>10360</v>
      </c>
      <c r="T56" s="36">
        <v>10360</v>
      </c>
      <c r="U56" s="36" t="s">
        <v>762</v>
      </c>
      <c r="V56" s="36">
        <v>10000</v>
      </c>
      <c r="W56" s="36">
        <v>1000</v>
      </c>
      <c r="X56" s="36">
        <v>30000</v>
      </c>
      <c r="Y56" s="36">
        <v>10000</v>
      </c>
      <c r="Z56" s="36">
        <v>80</v>
      </c>
      <c r="AA56" s="36" t="s">
        <v>646</v>
      </c>
    </row>
    <row r="57" ht="17.25" spans="1:27">
      <c r="A57" s="36"/>
      <c r="B57" s="36"/>
      <c r="C57" s="36"/>
      <c r="D57" s="36"/>
      <c r="F57" s="36"/>
      <c r="G57" s="36"/>
      <c r="H57" s="36">
        <v>10361</v>
      </c>
      <c r="I57" s="36" t="s">
        <v>469</v>
      </c>
      <c r="J57" s="36"/>
      <c r="K57" s="36"/>
      <c r="L57" s="32" t="s">
        <v>763</v>
      </c>
      <c r="M57" s="36">
        <v>1</v>
      </c>
      <c r="N57" s="36">
        <v>6</v>
      </c>
      <c r="O57" s="36">
        <v>1036101</v>
      </c>
      <c r="P57" s="36">
        <f t="shared" si="0"/>
        <v>2</v>
      </c>
      <c r="Q57" s="36" t="s">
        <v>473</v>
      </c>
      <c r="R57" s="36" t="s">
        <v>764</v>
      </c>
      <c r="S57" s="36">
        <v>10361</v>
      </c>
      <c r="T57" s="36">
        <v>10361</v>
      </c>
      <c r="U57" s="36" t="s">
        <v>765</v>
      </c>
      <c r="V57" s="36">
        <v>20000</v>
      </c>
      <c r="W57" s="36">
        <v>1000</v>
      </c>
      <c r="X57" s="36">
        <v>30000</v>
      </c>
      <c r="Y57" s="36">
        <v>20000</v>
      </c>
      <c r="Z57" s="36">
        <v>70</v>
      </c>
      <c r="AA57" s="36" t="s">
        <v>650</v>
      </c>
    </row>
    <row r="58" ht="17.25" spans="1:27">
      <c r="A58" s="36"/>
      <c r="B58" s="36"/>
      <c r="C58" s="36"/>
      <c r="D58" s="36"/>
      <c r="F58" s="36"/>
      <c r="G58" s="36"/>
      <c r="H58" s="36">
        <v>10380</v>
      </c>
      <c r="I58" s="36" t="s">
        <v>474</v>
      </c>
      <c r="J58" s="36"/>
      <c r="K58" s="36"/>
      <c r="L58" s="32" t="s">
        <v>766</v>
      </c>
      <c r="M58" s="36">
        <v>1</v>
      </c>
      <c r="N58" s="36">
        <v>3</v>
      </c>
      <c r="O58" s="36">
        <v>1038001</v>
      </c>
      <c r="P58" s="36">
        <f t="shared" si="0"/>
        <v>2</v>
      </c>
      <c r="Q58" s="36" t="s">
        <v>478</v>
      </c>
      <c r="R58" s="36" t="s">
        <v>767</v>
      </c>
      <c r="S58" s="36">
        <v>10380</v>
      </c>
      <c r="T58" s="36">
        <v>10380</v>
      </c>
      <c r="U58" s="36" t="s">
        <v>768</v>
      </c>
      <c r="V58" s="36">
        <v>10000</v>
      </c>
      <c r="W58" s="36">
        <v>1000</v>
      </c>
      <c r="X58" s="36">
        <v>30000</v>
      </c>
      <c r="Y58" s="36">
        <v>10000</v>
      </c>
      <c r="Z58" s="36">
        <v>80</v>
      </c>
      <c r="AA58" s="36" t="s">
        <v>769</v>
      </c>
    </row>
    <row r="59" ht="17.25" spans="1:27">
      <c r="A59" s="36"/>
      <c r="B59" s="36"/>
      <c r="C59" s="36"/>
      <c r="D59" s="36"/>
      <c r="F59" s="36"/>
      <c r="G59" s="36"/>
      <c r="H59" s="36">
        <v>10381</v>
      </c>
      <c r="I59" s="36" t="s">
        <v>479</v>
      </c>
      <c r="J59" s="36"/>
      <c r="K59" s="36"/>
      <c r="L59" s="32" t="s">
        <v>770</v>
      </c>
      <c r="M59" s="36">
        <v>1</v>
      </c>
      <c r="N59" s="36">
        <v>4</v>
      </c>
      <c r="O59" s="36">
        <v>1038101</v>
      </c>
      <c r="P59" s="36">
        <f t="shared" si="0"/>
        <v>2</v>
      </c>
      <c r="Q59" s="36" t="s">
        <v>483</v>
      </c>
      <c r="R59" s="36" t="s">
        <v>771</v>
      </c>
      <c r="S59" s="36">
        <v>10381</v>
      </c>
      <c r="T59" s="36">
        <v>10381</v>
      </c>
      <c r="U59" s="36" t="s">
        <v>772</v>
      </c>
      <c r="V59" s="36">
        <v>12000</v>
      </c>
      <c r="W59" s="36">
        <v>1000</v>
      </c>
      <c r="X59" s="36">
        <v>30000</v>
      </c>
      <c r="Y59" s="36">
        <v>12000</v>
      </c>
      <c r="Z59" s="36">
        <v>80</v>
      </c>
      <c r="AA59" s="36" t="s">
        <v>773</v>
      </c>
    </row>
    <row r="60" ht="17.25" spans="1:27">
      <c r="A60" s="36"/>
      <c r="B60" s="36"/>
      <c r="C60" s="36"/>
      <c r="D60" s="36"/>
      <c r="F60" s="36"/>
      <c r="G60" s="36"/>
      <c r="H60" s="36">
        <v>10390</v>
      </c>
      <c r="I60" s="36" t="s">
        <v>484</v>
      </c>
      <c r="J60" s="36"/>
      <c r="K60" s="36"/>
      <c r="L60" s="32" t="s">
        <v>774</v>
      </c>
      <c r="M60" s="36">
        <v>1</v>
      </c>
      <c r="N60" s="36">
        <v>3</v>
      </c>
      <c r="O60" s="36">
        <v>1039001</v>
      </c>
      <c r="P60" s="36">
        <f t="shared" si="0"/>
        <v>2</v>
      </c>
      <c r="Q60" s="36" t="s">
        <v>488</v>
      </c>
      <c r="R60" s="36" t="s">
        <v>775</v>
      </c>
      <c r="S60" s="36">
        <v>10390</v>
      </c>
      <c r="T60" s="36">
        <v>10390</v>
      </c>
      <c r="U60" s="36" t="s">
        <v>776</v>
      </c>
      <c r="V60" s="36">
        <v>10000</v>
      </c>
      <c r="W60" s="36">
        <v>1000</v>
      </c>
      <c r="X60" s="36">
        <v>30000</v>
      </c>
      <c r="Y60" s="36">
        <v>10000</v>
      </c>
      <c r="Z60" s="36">
        <v>80</v>
      </c>
      <c r="AA60" s="36" t="s">
        <v>777</v>
      </c>
    </row>
    <row r="61" ht="17.25" spans="1:27">
      <c r="A61" s="36"/>
      <c r="B61" s="36"/>
      <c r="C61" s="36"/>
      <c r="D61" s="36"/>
      <c r="F61" s="36"/>
      <c r="G61" s="36"/>
      <c r="H61" s="36">
        <v>10391</v>
      </c>
      <c r="I61" s="36" t="s">
        <v>489</v>
      </c>
      <c r="J61" s="36"/>
      <c r="K61" s="36"/>
      <c r="L61" s="32" t="s">
        <v>778</v>
      </c>
      <c r="M61" s="36">
        <v>1</v>
      </c>
      <c r="N61" s="36">
        <v>4</v>
      </c>
      <c r="O61" s="36">
        <v>1039101</v>
      </c>
      <c r="P61" s="36">
        <f t="shared" si="0"/>
        <v>2</v>
      </c>
      <c r="Q61" s="36" t="s">
        <v>493</v>
      </c>
      <c r="R61" s="36" t="s">
        <v>779</v>
      </c>
      <c r="S61" s="36">
        <v>10391</v>
      </c>
      <c r="T61" s="36">
        <v>10391</v>
      </c>
      <c r="U61" s="36" t="s">
        <v>780</v>
      </c>
      <c r="V61" s="36">
        <v>12000</v>
      </c>
      <c r="W61" s="36">
        <v>1000</v>
      </c>
      <c r="X61" s="36">
        <v>30000</v>
      </c>
      <c r="Y61" s="36">
        <v>12000</v>
      </c>
      <c r="Z61" s="36">
        <v>80</v>
      </c>
      <c r="AA61" s="36" t="s">
        <v>777</v>
      </c>
    </row>
    <row r="62" ht="17.25" spans="1:27">
      <c r="A62" s="36"/>
      <c r="B62" s="36"/>
      <c r="C62" s="36"/>
      <c r="D62" s="36"/>
      <c r="F62" s="36"/>
      <c r="G62" s="36"/>
      <c r="H62" s="36">
        <v>10392</v>
      </c>
      <c r="I62" s="36" t="s">
        <v>494</v>
      </c>
      <c r="J62" s="36"/>
      <c r="K62" s="36"/>
      <c r="L62" s="32" t="s">
        <v>781</v>
      </c>
      <c r="M62" s="36">
        <v>1</v>
      </c>
      <c r="N62" s="36">
        <v>7</v>
      </c>
      <c r="O62" s="36">
        <v>1039201</v>
      </c>
      <c r="P62" s="36">
        <f t="shared" si="0"/>
        <v>3</v>
      </c>
      <c r="Q62" s="36" t="s">
        <v>498</v>
      </c>
      <c r="R62" s="36" t="s">
        <v>782</v>
      </c>
      <c r="S62" s="36">
        <v>10392</v>
      </c>
      <c r="T62" s="36">
        <v>10392</v>
      </c>
      <c r="U62" s="36" t="s">
        <v>783</v>
      </c>
      <c r="V62" s="36">
        <v>30000</v>
      </c>
      <c r="W62" s="36">
        <v>1000</v>
      </c>
      <c r="X62" s="36">
        <v>30000</v>
      </c>
      <c r="Y62" s="36">
        <v>30000</v>
      </c>
      <c r="Z62" s="36">
        <v>70</v>
      </c>
      <c r="AA62" s="36" t="s">
        <v>777</v>
      </c>
    </row>
    <row r="63" ht="17.25" spans="1:27">
      <c r="A63" s="36"/>
      <c r="B63" s="36"/>
      <c r="C63" s="36"/>
      <c r="D63" s="36"/>
      <c r="F63" s="36"/>
      <c r="G63" s="36"/>
      <c r="H63" s="36">
        <v>10410</v>
      </c>
      <c r="I63" s="36" t="s">
        <v>154</v>
      </c>
      <c r="J63" s="36">
        <v>1</v>
      </c>
      <c r="K63" s="36" t="s">
        <v>666</v>
      </c>
      <c r="L63" s="32" t="s">
        <v>155</v>
      </c>
      <c r="M63" s="36">
        <v>1</v>
      </c>
      <c r="N63" s="36">
        <v>1</v>
      </c>
      <c r="O63" s="36">
        <v>1041001</v>
      </c>
      <c r="P63" s="36">
        <f t="shared" si="0"/>
        <v>3</v>
      </c>
      <c r="Q63" s="36" t="s">
        <v>156</v>
      </c>
      <c r="R63" s="36" t="s">
        <v>157</v>
      </c>
      <c r="S63" s="36">
        <v>10410</v>
      </c>
      <c r="T63" s="36">
        <v>10410</v>
      </c>
      <c r="U63" s="36" t="s">
        <v>158</v>
      </c>
      <c r="V63" s="36">
        <v>6000</v>
      </c>
      <c r="W63" s="36">
        <v>1000</v>
      </c>
      <c r="X63" s="36">
        <v>30000</v>
      </c>
      <c r="Y63" s="36">
        <v>6000</v>
      </c>
      <c r="Z63" s="36">
        <v>80</v>
      </c>
      <c r="AA63" s="36" t="s">
        <v>159</v>
      </c>
    </row>
    <row r="64" ht="17.25" spans="1:27">
      <c r="A64" s="36"/>
      <c r="B64" s="36"/>
      <c r="C64" s="36"/>
      <c r="D64" s="36"/>
      <c r="F64" s="36"/>
      <c r="G64" s="36"/>
      <c r="H64" s="36">
        <v>10411</v>
      </c>
      <c r="I64" s="36" t="s">
        <v>160</v>
      </c>
      <c r="J64" s="36"/>
      <c r="K64" s="36"/>
      <c r="L64" s="32" t="s">
        <v>161</v>
      </c>
      <c r="M64" s="36">
        <v>1</v>
      </c>
      <c r="N64" s="36">
        <v>4</v>
      </c>
      <c r="O64" s="36">
        <v>1041101</v>
      </c>
      <c r="P64" s="36">
        <f t="shared" si="0"/>
        <v>3</v>
      </c>
      <c r="Q64" s="36" t="s">
        <v>162</v>
      </c>
      <c r="R64" s="36" t="s">
        <v>163</v>
      </c>
      <c r="S64" s="36">
        <v>10411</v>
      </c>
      <c r="T64" s="36">
        <v>10411</v>
      </c>
      <c r="U64" s="36" t="s">
        <v>164</v>
      </c>
      <c r="V64" s="36">
        <v>12000</v>
      </c>
      <c r="W64" s="36">
        <v>1000</v>
      </c>
      <c r="X64" s="36">
        <v>30000</v>
      </c>
      <c r="Y64" s="36">
        <v>12000</v>
      </c>
      <c r="Z64" s="36">
        <v>80</v>
      </c>
      <c r="AA64" s="36" t="s">
        <v>153</v>
      </c>
    </row>
    <row r="65" ht="17.25" spans="1:27">
      <c r="A65" s="36"/>
      <c r="B65" s="36"/>
      <c r="C65" s="36"/>
      <c r="D65" s="36"/>
      <c r="F65" s="36"/>
      <c r="G65" s="36"/>
      <c r="H65" s="36">
        <v>10420</v>
      </c>
      <c r="I65" s="36" t="s">
        <v>505</v>
      </c>
      <c r="J65" s="36"/>
      <c r="K65" s="36"/>
      <c r="L65" s="32" t="s">
        <v>784</v>
      </c>
      <c r="M65" s="36">
        <v>1</v>
      </c>
      <c r="N65" s="36">
        <v>1</v>
      </c>
      <c r="O65" s="36">
        <v>1042001</v>
      </c>
      <c r="P65" s="36">
        <f t="shared" si="0"/>
        <v>3</v>
      </c>
      <c r="Q65" s="36" t="s">
        <v>509</v>
      </c>
      <c r="R65" s="36" t="s">
        <v>785</v>
      </c>
      <c r="S65" s="36">
        <v>10420</v>
      </c>
      <c r="T65" s="36">
        <v>10420</v>
      </c>
      <c r="U65" s="36" t="s">
        <v>786</v>
      </c>
      <c r="V65" s="36">
        <v>6000</v>
      </c>
      <c r="W65" s="36">
        <v>1000</v>
      </c>
      <c r="X65" s="36">
        <v>30000</v>
      </c>
      <c r="Y65" s="36">
        <v>6000</v>
      </c>
      <c r="Z65" s="36">
        <v>80</v>
      </c>
      <c r="AA65" s="36" t="s">
        <v>769</v>
      </c>
    </row>
    <row r="66" ht="17.25" spans="1:27">
      <c r="A66" s="36"/>
      <c r="B66" s="36"/>
      <c r="C66" s="36"/>
      <c r="D66" s="36"/>
      <c r="F66" s="36"/>
      <c r="G66" s="36"/>
      <c r="H66" s="36">
        <v>10421</v>
      </c>
      <c r="I66" s="36" t="s">
        <v>510</v>
      </c>
      <c r="J66" s="36"/>
      <c r="K66" s="36"/>
      <c r="L66" s="32" t="s">
        <v>787</v>
      </c>
      <c r="M66" s="36">
        <v>1</v>
      </c>
      <c r="N66" s="36">
        <v>5</v>
      </c>
      <c r="O66" s="36">
        <v>1042001</v>
      </c>
      <c r="P66" s="36">
        <f t="shared" si="0"/>
        <v>3</v>
      </c>
      <c r="Q66" s="36" t="s">
        <v>514</v>
      </c>
      <c r="R66" s="36" t="s">
        <v>788</v>
      </c>
      <c r="S66" s="36">
        <v>10421</v>
      </c>
      <c r="T66" s="36">
        <v>10421</v>
      </c>
      <c r="U66" s="36" t="s">
        <v>789</v>
      </c>
      <c r="V66" s="36">
        <v>15000</v>
      </c>
      <c r="W66" s="36">
        <v>1000</v>
      </c>
      <c r="X66" s="36">
        <v>30000</v>
      </c>
      <c r="Y66" s="36">
        <v>15000</v>
      </c>
      <c r="Z66" s="36">
        <v>70</v>
      </c>
      <c r="AA66" s="36" t="s">
        <v>773</v>
      </c>
    </row>
    <row r="67" ht="17.25" spans="1:27">
      <c r="A67" s="36"/>
      <c r="B67" s="36"/>
      <c r="C67" s="36"/>
      <c r="D67" s="36"/>
      <c r="F67" s="36"/>
      <c r="G67" s="36"/>
      <c r="H67" s="36">
        <v>10422</v>
      </c>
      <c r="I67" s="36" t="s">
        <v>790</v>
      </c>
      <c r="J67" s="36"/>
      <c r="K67" s="36"/>
      <c r="L67" s="32" t="s">
        <v>791</v>
      </c>
      <c r="M67" s="36">
        <v>1</v>
      </c>
      <c r="N67" s="36">
        <v>7</v>
      </c>
      <c r="O67" s="36">
        <v>1042001</v>
      </c>
      <c r="P67" s="36">
        <f t="shared" si="0"/>
        <v>3</v>
      </c>
      <c r="Q67" s="36" t="s">
        <v>514</v>
      </c>
      <c r="R67" s="36" t="s">
        <v>792</v>
      </c>
      <c r="S67" s="36">
        <v>10422</v>
      </c>
      <c r="T67" s="36">
        <v>10422</v>
      </c>
      <c r="U67" s="36" t="s">
        <v>793</v>
      </c>
      <c r="V67" s="36">
        <v>30000</v>
      </c>
      <c r="W67" s="36">
        <v>1000</v>
      </c>
      <c r="X67" s="36">
        <v>30000</v>
      </c>
      <c r="Y67" s="36">
        <v>30000</v>
      </c>
      <c r="Z67" s="36">
        <v>70</v>
      </c>
      <c r="AA67" s="36" t="s">
        <v>773</v>
      </c>
    </row>
    <row r="68" ht="17.25" spans="1:27">
      <c r="A68" s="36"/>
      <c r="B68" s="36"/>
      <c r="C68" s="36"/>
      <c r="D68" s="36"/>
      <c r="F68" s="36"/>
      <c r="G68" s="36"/>
      <c r="H68" s="36">
        <v>10450</v>
      </c>
      <c r="I68" s="36" t="s">
        <v>165</v>
      </c>
      <c r="J68" s="36"/>
      <c r="K68" s="36"/>
      <c r="L68" s="32" t="s">
        <v>166</v>
      </c>
      <c r="M68" s="36">
        <v>1</v>
      </c>
      <c r="N68" s="36">
        <v>4</v>
      </c>
      <c r="O68" s="36">
        <v>1045001</v>
      </c>
      <c r="P68" s="36">
        <f t="shared" si="0"/>
        <v>3</v>
      </c>
      <c r="Q68" s="36" t="s">
        <v>167</v>
      </c>
      <c r="R68" s="36" t="s">
        <v>168</v>
      </c>
      <c r="S68" s="36">
        <v>10450</v>
      </c>
      <c r="T68" s="36">
        <v>10450</v>
      </c>
      <c r="U68" s="36" t="s">
        <v>169</v>
      </c>
      <c r="V68" s="36">
        <v>12000</v>
      </c>
      <c r="W68" s="36">
        <v>1000</v>
      </c>
      <c r="X68" s="36">
        <v>30000</v>
      </c>
      <c r="Y68" s="36">
        <v>12000</v>
      </c>
      <c r="Z68" s="36">
        <v>80</v>
      </c>
      <c r="AA68" s="36" t="s">
        <v>170</v>
      </c>
    </row>
    <row r="69" ht="17.25" spans="1:27">
      <c r="A69" s="36"/>
      <c r="B69" s="36"/>
      <c r="C69" s="36"/>
      <c r="D69" s="36"/>
      <c r="F69" s="36"/>
      <c r="G69" s="36"/>
      <c r="H69" s="36">
        <v>10451</v>
      </c>
      <c r="I69" s="36" t="s">
        <v>171</v>
      </c>
      <c r="J69" s="36"/>
      <c r="K69" s="36"/>
      <c r="L69" s="32" t="s">
        <v>172</v>
      </c>
      <c r="M69" s="36">
        <v>1</v>
      </c>
      <c r="N69" s="36">
        <v>6</v>
      </c>
      <c r="O69" s="36">
        <v>1045101</v>
      </c>
      <c r="P69" s="36">
        <f t="shared" si="0"/>
        <v>3</v>
      </c>
      <c r="Q69" s="36" t="s">
        <v>173</v>
      </c>
      <c r="R69" s="36" t="s">
        <v>174</v>
      </c>
      <c r="S69" s="36">
        <v>10451</v>
      </c>
      <c r="T69" s="36">
        <v>10451</v>
      </c>
      <c r="U69" s="36" t="s">
        <v>175</v>
      </c>
      <c r="V69" s="36">
        <v>20000</v>
      </c>
      <c r="W69" s="36">
        <v>1000</v>
      </c>
      <c r="X69" s="36">
        <v>30000</v>
      </c>
      <c r="Y69" s="36">
        <v>20000</v>
      </c>
      <c r="Z69" s="36">
        <v>70</v>
      </c>
      <c r="AA69" s="36" t="s">
        <v>170</v>
      </c>
    </row>
    <row r="70" ht="17.25" spans="1:27">
      <c r="A70" s="36"/>
      <c r="B70" s="36"/>
      <c r="C70" s="36"/>
      <c r="D70" s="36"/>
      <c r="F70" s="36"/>
      <c r="G70" s="36"/>
      <c r="H70" s="36">
        <v>10460</v>
      </c>
      <c r="I70" s="36" t="s">
        <v>523</v>
      </c>
      <c r="J70" s="36"/>
      <c r="K70" s="36"/>
      <c r="L70" s="32" t="s">
        <v>794</v>
      </c>
      <c r="M70" s="36">
        <v>1</v>
      </c>
      <c r="N70" s="36">
        <v>1</v>
      </c>
      <c r="O70" s="36">
        <v>1046001</v>
      </c>
      <c r="P70" s="36">
        <f t="shared" si="0"/>
        <v>3</v>
      </c>
      <c r="Q70" s="36" t="s">
        <v>527</v>
      </c>
      <c r="R70" s="36" t="s">
        <v>795</v>
      </c>
      <c r="S70" s="36">
        <v>10460</v>
      </c>
      <c r="T70" s="36">
        <v>10460</v>
      </c>
      <c r="U70" s="36" t="s">
        <v>796</v>
      </c>
      <c r="V70" s="36">
        <v>6000</v>
      </c>
      <c r="W70" s="36">
        <v>1000</v>
      </c>
      <c r="X70" s="36">
        <v>30000</v>
      </c>
      <c r="Y70" s="36">
        <v>6000</v>
      </c>
      <c r="Z70" s="36">
        <v>80</v>
      </c>
      <c r="AA70" s="36" t="s">
        <v>114</v>
      </c>
    </row>
    <row r="71" ht="17.25" spans="1:27">
      <c r="A71" s="36"/>
      <c r="B71" s="36"/>
      <c r="C71" s="36"/>
      <c r="D71" s="36"/>
      <c r="F71" s="36"/>
      <c r="G71" s="36"/>
      <c r="H71" s="36">
        <v>10461</v>
      </c>
      <c r="I71" s="36" t="s">
        <v>528</v>
      </c>
      <c r="J71" s="36"/>
      <c r="K71" s="36"/>
      <c r="L71" s="32" t="s">
        <v>797</v>
      </c>
      <c r="M71" s="36">
        <v>1</v>
      </c>
      <c r="N71" s="36">
        <v>2</v>
      </c>
      <c r="O71" s="36">
        <v>1046101</v>
      </c>
      <c r="P71" s="36">
        <f t="shared" si="0"/>
        <v>3</v>
      </c>
      <c r="Q71" s="36" t="s">
        <v>532</v>
      </c>
      <c r="R71" s="36" t="s">
        <v>798</v>
      </c>
      <c r="S71" s="36">
        <v>10461</v>
      </c>
      <c r="T71" s="36">
        <v>10461</v>
      </c>
      <c r="U71" s="36" t="s">
        <v>799</v>
      </c>
      <c r="V71" s="36">
        <v>8000</v>
      </c>
      <c r="W71" s="36">
        <v>1000</v>
      </c>
      <c r="X71" s="36">
        <v>30000</v>
      </c>
      <c r="Y71" s="36">
        <v>8000</v>
      </c>
      <c r="Z71" s="36">
        <v>80</v>
      </c>
      <c r="AA71" s="36" t="s">
        <v>202</v>
      </c>
    </row>
    <row r="72" ht="17.25" spans="1:27">
      <c r="A72" s="36"/>
      <c r="B72" s="36"/>
      <c r="C72" s="36"/>
      <c r="D72" s="36"/>
      <c r="F72" s="36"/>
      <c r="G72" s="36"/>
      <c r="H72" s="36">
        <v>10470</v>
      </c>
      <c r="I72" s="36" t="s">
        <v>176</v>
      </c>
      <c r="J72" s="36"/>
      <c r="K72" s="36"/>
      <c r="L72" s="32" t="s">
        <v>177</v>
      </c>
      <c r="M72" s="36">
        <v>1</v>
      </c>
      <c r="N72" s="36">
        <v>4</v>
      </c>
      <c r="O72" s="36">
        <v>1047001</v>
      </c>
      <c r="P72" s="36">
        <f t="shared" si="0"/>
        <v>3</v>
      </c>
      <c r="Q72" s="36" t="s">
        <v>178</v>
      </c>
      <c r="R72" s="36" t="s">
        <v>179</v>
      </c>
      <c r="S72" s="36">
        <v>10470</v>
      </c>
      <c r="T72" s="36">
        <v>10470</v>
      </c>
      <c r="U72" s="36" t="s">
        <v>180</v>
      </c>
      <c r="V72" s="36">
        <v>12000</v>
      </c>
      <c r="W72" s="36">
        <v>1000</v>
      </c>
      <c r="X72" s="36">
        <v>30000</v>
      </c>
      <c r="Y72" s="36">
        <v>12000</v>
      </c>
      <c r="Z72" s="36">
        <v>80</v>
      </c>
      <c r="AA72" s="36" t="s">
        <v>114</v>
      </c>
    </row>
    <row r="73" ht="17.25" spans="1:27">
      <c r="A73" s="36"/>
      <c r="B73" s="36"/>
      <c r="C73" s="36"/>
      <c r="D73" s="36"/>
      <c r="F73" s="36"/>
      <c r="G73" s="36"/>
      <c r="H73" s="36">
        <v>10471</v>
      </c>
      <c r="I73" s="36" t="s">
        <v>181</v>
      </c>
      <c r="J73" s="36"/>
      <c r="K73" s="36"/>
      <c r="L73" s="32" t="s">
        <v>182</v>
      </c>
      <c r="M73" s="36">
        <v>1</v>
      </c>
      <c r="N73" s="36">
        <v>5</v>
      </c>
      <c r="O73" s="36">
        <v>1047101</v>
      </c>
      <c r="P73" s="36">
        <f t="shared" si="0"/>
        <v>3</v>
      </c>
      <c r="Q73" s="36" t="s">
        <v>183</v>
      </c>
      <c r="R73" s="36" t="s">
        <v>184</v>
      </c>
      <c r="S73" s="36">
        <v>10471</v>
      </c>
      <c r="T73" s="36">
        <v>10471</v>
      </c>
      <c r="U73" s="36" t="s">
        <v>185</v>
      </c>
      <c r="V73" s="36">
        <v>15000</v>
      </c>
      <c r="W73" s="36">
        <v>1000</v>
      </c>
      <c r="X73" s="36">
        <v>30000</v>
      </c>
      <c r="Y73" s="36">
        <v>15000</v>
      </c>
      <c r="Z73" s="36">
        <v>70</v>
      </c>
      <c r="AA73" s="36" t="s">
        <v>114</v>
      </c>
    </row>
    <row r="74" ht="17.25" spans="1:27">
      <c r="A74" s="36"/>
      <c r="B74" s="36"/>
      <c r="C74" s="36"/>
      <c r="D74" s="36"/>
      <c r="F74" s="36"/>
      <c r="G74" s="36"/>
      <c r="H74" s="36">
        <v>10500</v>
      </c>
      <c r="I74" s="36" t="s">
        <v>186</v>
      </c>
      <c r="J74" s="36"/>
      <c r="K74" s="36"/>
      <c r="L74" s="32" t="s">
        <v>187</v>
      </c>
      <c r="M74" s="36">
        <v>1</v>
      </c>
      <c r="N74" s="36">
        <v>2</v>
      </c>
      <c r="O74" s="36">
        <v>1050001</v>
      </c>
      <c r="P74" s="36">
        <f t="shared" si="0"/>
        <v>3</v>
      </c>
      <c r="Q74" s="36" t="s">
        <v>188</v>
      </c>
      <c r="R74" s="36" t="s">
        <v>189</v>
      </c>
      <c r="S74" s="36">
        <v>10500</v>
      </c>
      <c r="T74" s="36">
        <v>10500</v>
      </c>
      <c r="U74" s="36" t="s">
        <v>190</v>
      </c>
      <c r="V74" s="36">
        <v>8000</v>
      </c>
      <c r="W74" s="36">
        <v>1000</v>
      </c>
      <c r="X74" s="36">
        <v>30000</v>
      </c>
      <c r="Y74" s="36">
        <v>8000</v>
      </c>
      <c r="Z74" s="36">
        <v>80</v>
      </c>
      <c r="AA74" s="36" t="s">
        <v>191</v>
      </c>
    </row>
    <row r="75" ht="17.25" spans="1:27">
      <c r="A75" s="36"/>
      <c r="B75" s="36"/>
      <c r="C75" s="36"/>
      <c r="D75" s="36"/>
      <c r="F75" s="36"/>
      <c r="G75" s="36"/>
      <c r="H75" s="36">
        <v>10501</v>
      </c>
      <c r="I75" s="36" t="s">
        <v>542</v>
      </c>
      <c r="J75" s="36"/>
      <c r="K75" s="36"/>
      <c r="L75" s="32" t="s">
        <v>800</v>
      </c>
      <c r="M75" s="36">
        <v>1</v>
      </c>
      <c r="N75" s="36">
        <v>4</v>
      </c>
      <c r="O75" s="36">
        <v>1050101</v>
      </c>
      <c r="P75" s="36">
        <f t="shared" si="0"/>
        <v>3</v>
      </c>
      <c r="Q75" s="36" t="s">
        <v>546</v>
      </c>
      <c r="R75" s="36" t="s">
        <v>801</v>
      </c>
      <c r="S75" s="36">
        <v>10501</v>
      </c>
      <c r="T75" s="36">
        <v>10501</v>
      </c>
      <c r="U75" s="36" t="s">
        <v>802</v>
      </c>
      <c r="V75" s="36">
        <v>12000</v>
      </c>
      <c r="W75" s="36">
        <v>1000</v>
      </c>
      <c r="X75" s="36">
        <v>30000</v>
      </c>
      <c r="Y75" s="36">
        <v>12000</v>
      </c>
      <c r="Z75" s="36">
        <v>80</v>
      </c>
      <c r="AA75" s="36" t="s">
        <v>170</v>
      </c>
    </row>
    <row r="76" ht="17.25" spans="1:27">
      <c r="A76" s="36"/>
      <c r="B76" s="36"/>
      <c r="C76" s="36"/>
      <c r="D76" s="36"/>
      <c r="F76" s="36"/>
      <c r="G76" s="36"/>
      <c r="H76" s="36">
        <v>10510</v>
      </c>
      <c r="I76" s="36" t="s">
        <v>547</v>
      </c>
      <c r="J76" s="36"/>
      <c r="K76" s="36"/>
      <c r="L76" s="32" t="s">
        <v>803</v>
      </c>
      <c r="M76" s="36">
        <v>1</v>
      </c>
      <c r="N76" s="36">
        <v>2</v>
      </c>
      <c r="O76" s="36">
        <v>1051001</v>
      </c>
      <c r="P76" s="36">
        <f t="shared" si="0"/>
        <v>3</v>
      </c>
      <c r="Q76" s="36" t="s">
        <v>551</v>
      </c>
      <c r="R76" s="36" t="s">
        <v>804</v>
      </c>
      <c r="S76" s="36">
        <v>10510</v>
      </c>
      <c r="T76" s="36">
        <v>10510</v>
      </c>
      <c r="U76" s="36" t="s">
        <v>805</v>
      </c>
      <c r="V76" s="36">
        <v>8000</v>
      </c>
      <c r="W76" s="36">
        <v>1000</v>
      </c>
      <c r="X76" s="36">
        <v>30000</v>
      </c>
      <c r="Y76" s="36">
        <v>8000</v>
      </c>
      <c r="Z76" s="36">
        <v>80</v>
      </c>
      <c r="AA76" s="36" t="s">
        <v>114</v>
      </c>
    </row>
    <row r="77" ht="17.25" spans="1:27">
      <c r="A77" s="36"/>
      <c r="B77" s="36"/>
      <c r="C77" s="36"/>
      <c r="D77" s="36"/>
      <c r="F77" s="36"/>
      <c r="G77" s="36"/>
      <c r="H77" s="36">
        <v>10511</v>
      </c>
      <c r="I77" s="36" t="s">
        <v>552</v>
      </c>
      <c r="J77" s="36"/>
      <c r="K77" s="36"/>
      <c r="L77" s="32" t="s">
        <v>806</v>
      </c>
      <c r="M77" s="36">
        <v>1</v>
      </c>
      <c r="N77" s="36">
        <v>5</v>
      </c>
      <c r="O77" s="36">
        <v>1051101</v>
      </c>
      <c r="P77" s="36">
        <f t="shared" si="0"/>
        <v>3</v>
      </c>
      <c r="Q77" s="36" t="s">
        <v>556</v>
      </c>
      <c r="R77" s="36" t="s">
        <v>807</v>
      </c>
      <c r="S77" s="36">
        <v>10511</v>
      </c>
      <c r="T77" s="36">
        <v>10511</v>
      </c>
      <c r="U77" s="36" t="s">
        <v>808</v>
      </c>
      <c r="V77" s="36">
        <v>15000</v>
      </c>
      <c r="W77" s="36">
        <v>1000</v>
      </c>
      <c r="X77" s="36">
        <v>30000</v>
      </c>
      <c r="Y77" s="36">
        <v>15000</v>
      </c>
      <c r="Z77" s="36">
        <v>70</v>
      </c>
      <c r="AA77" s="36" t="s">
        <v>202</v>
      </c>
    </row>
    <row r="78" ht="17.25" spans="1:27">
      <c r="A78" s="36"/>
      <c r="B78" s="36"/>
      <c r="C78" s="36"/>
      <c r="D78" s="36"/>
      <c r="F78" s="36"/>
      <c r="G78" s="36"/>
      <c r="H78" s="36">
        <v>10512</v>
      </c>
      <c r="I78" s="36" t="s">
        <v>557</v>
      </c>
      <c r="J78" s="36"/>
      <c r="K78" s="36"/>
      <c r="L78" s="32" t="s">
        <v>809</v>
      </c>
      <c r="M78" s="36">
        <v>1</v>
      </c>
      <c r="N78" s="36">
        <v>7</v>
      </c>
      <c r="O78" s="36">
        <v>1051201</v>
      </c>
      <c r="P78" s="36">
        <f t="shared" si="0"/>
        <v>3</v>
      </c>
      <c r="Q78" s="36" t="s">
        <v>561</v>
      </c>
      <c r="R78" s="36" t="s">
        <v>810</v>
      </c>
      <c r="S78" s="36">
        <v>10512</v>
      </c>
      <c r="T78" s="36">
        <v>10512</v>
      </c>
      <c r="U78" s="36" t="s">
        <v>811</v>
      </c>
      <c r="V78" s="36">
        <v>30000</v>
      </c>
      <c r="W78" s="36">
        <v>1000</v>
      </c>
      <c r="X78" s="36">
        <v>30000</v>
      </c>
      <c r="Y78" s="36">
        <v>30000</v>
      </c>
      <c r="Z78" s="36">
        <v>70</v>
      </c>
      <c r="AA78" s="36" t="s">
        <v>202</v>
      </c>
    </row>
    <row r="79" ht="17.25" spans="1:27">
      <c r="A79" s="36"/>
      <c r="B79" s="36"/>
      <c r="C79" s="36"/>
      <c r="D79" s="36"/>
      <c r="F79" s="36"/>
      <c r="G79" s="36"/>
      <c r="H79" s="36">
        <v>10520</v>
      </c>
      <c r="I79" s="36" t="s">
        <v>192</v>
      </c>
      <c r="J79" s="36"/>
      <c r="K79" s="36"/>
      <c r="L79" s="32" t="s">
        <v>193</v>
      </c>
      <c r="M79" s="36">
        <v>1</v>
      </c>
      <c r="N79" s="36">
        <v>3</v>
      </c>
      <c r="O79" s="36">
        <v>1052001</v>
      </c>
      <c r="P79" s="36">
        <f t="shared" si="0"/>
        <v>3</v>
      </c>
      <c r="Q79" s="36" t="s">
        <v>194</v>
      </c>
      <c r="R79" s="36" t="s">
        <v>195</v>
      </c>
      <c r="S79" s="36">
        <v>10520</v>
      </c>
      <c r="T79" s="36">
        <v>10520</v>
      </c>
      <c r="U79" s="36" t="s">
        <v>196</v>
      </c>
      <c r="V79" s="36">
        <v>10000</v>
      </c>
      <c r="W79" s="36">
        <v>1000</v>
      </c>
      <c r="X79" s="36">
        <v>30000</v>
      </c>
      <c r="Y79" s="36">
        <v>10000</v>
      </c>
      <c r="Z79" s="36">
        <v>80</v>
      </c>
      <c r="AA79" s="36" t="s">
        <v>114</v>
      </c>
    </row>
    <row r="80" ht="17.25" spans="1:27">
      <c r="A80" s="36"/>
      <c r="B80" s="36"/>
      <c r="C80" s="36"/>
      <c r="D80" s="36"/>
      <c r="F80" s="36"/>
      <c r="G80" s="36"/>
      <c r="H80" s="36">
        <v>10521</v>
      </c>
      <c r="I80" s="36" t="s">
        <v>197</v>
      </c>
      <c r="J80" s="36"/>
      <c r="K80" s="36"/>
      <c r="L80" s="32" t="s">
        <v>198</v>
      </c>
      <c r="M80" s="36">
        <v>1</v>
      </c>
      <c r="N80" s="36">
        <v>5</v>
      </c>
      <c r="O80" s="36">
        <v>1052101</v>
      </c>
      <c r="P80" s="36">
        <f t="shared" si="0"/>
        <v>3</v>
      </c>
      <c r="Q80" s="36" t="s">
        <v>199</v>
      </c>
      <c r="R80" s="36" t="s">
        <v>200</v>
      </c>
      <c r="S80" s="36">
        <v>10521</v>
      </c>
      <c r="T80" s="36">
        <v>10521</v>
      </c>
      <c r="U80" s="36" t="s">
        <v>201</v>
      </c>
      <c r="V80" s="36">
        <v>15000</v>
      </c>
      <c r="W80" s="36">
        <v>1000</v>
      </c>
      <c r="X80" s="36">
        <v>30000</v>
      </c>
      <c r="Y80" s="36">
        <v>15000</v>
      </c>
      <c r="Z80" s="36">
        <v>70</v>
      </c>
      <c r="AA80" s="36" t="s">
        <v>202</v>
      </c>
    </row>
    <row r="81" ht="17.25" spans="1:27">
      <c r="A81" s="36"/>
      <c r="B81" s="36"/>
      <c r="C81" s="36"/>
      <c r="D81" s="36"/>
      <c r="F81" s="36"/>
      <c r="G81" s="36"/>
      <c r="H81" s="36">
        <v>10522</v>
      </c>
      <c r="I81" s="36" t="s">
        <v>568</v>
      </c>
      <c r="J81" s="36"/>
      <c r="K81" s="36"/>
      <c r="L81" s="32" t="s">
        <v>812</v>
      </c>
      <c r="M81" s="36">
        <v>1</v>
      </c>
      <c r="N81" s="36">
        <v>7</v>
      </c>
      <c r="O81" s="36">
        <v>1052201</v>
      </c>
      <c r="P81" s="36">
        <f t="shared" si="0"/>
        <v>3</v>
      </c>
      <c r="Q81" s="36" t="s">
        <v>572</v>
      </c>
      <c r="R81" s="36" t="s">
        <v>813</v>
      </c>
      <c r="S81" s="36">
        <v>10522</v>
      </c>
      <c r="T81" s="36">
        <v>10522</v>
      </c>
      <c r="U81" s="36" t="s">
        <v>814</v>
      </c>
      <c r="V81" s="36">
        <v>30000</v>
      </c>
      <c r="W81" s="36">
        <v>1000</v>
      </c>
      <c r="X81" s="36">
        <v>30000</v>
      </c>
      <c r="Y81" s="36">
        <v>30000</v>
      </c>
      <c r="Z81" s="36">
        <v>70</v>
      </c>
      <c r="AA81" s="36" t="s">
        <v>69</v>
      </c>
    </row>
    <row r="82" ht="17.25" spans="1:27">
      <c r="A82" s="36"/>
      <c r="B82" s="36"/>
      <c r="C82" s="36"/>
      <c r="D82" s="36"/>
      <c r="F82" s="36"/>
      <c r="G82" s="36"/>
      <c r="H82" s="36">
        <v>10530</v>
      </c>
      <c r="I82" s="36" t="s">
        <v>203</v>
      </c>
      <c r="J82" s="36"/>
      <c r="K82" s="36"/>
      <c r="L82" s="32" t="s">
        <v>204</v>
      </c>
      <c r="M82" s="36">
        <v>1</v>
      </c>
      <c r="N82" s="36">
        <v>4</v>
      </c>
      <c r="O82" s="36">
        <v>1053001</v>
      </c>
      <c r="P82" s="36">
        <f t="shared" si="0"/>
        <v>3</v>
      </c>
      <c r="Q82" s="36" t="s">
        <v>205</v>
      </c>
      <c r="R82" s="36" t="s">
        <v>206</v>
      </c>
      <c r="S82" s="36">
        <v>10530</v>
      </c>
      <c r="T82" s="36">
        <v>10530</v>
      </c>
      <c r="U82" s="36" t="s">
        <v>207</v>
      </c>
      <c r="V82" s="36">
        <v>12000</v>
      </c>
      <c r="W82" s="36">
        <v>1000</v>
      </c>
      <c r="X82" s="36">
        <v>30000</v>
      </c>
      <c r="Y82" s="36">
        <v>12000</v>
      </c>
      <c r="Z82" s="36">
        <v>80</v>
      </c>
      <c r="AA82" s="36" t="s">
        <v>114</v>
      </c>
    </row>
    <row r="83" ht="17.25" spans="1:27">
      <c r="A83" s="36"/>
      <c r="B83" s="36"/>
      <c r="C83" s="36"/>
      <c r="D83" s="36"/>
      <c r="F83" s="36"/>
      <c r="G83" s="36"/>
      <c r="H83" s="36">
        <v>10531</v>
      </c>
      <c r="I83" s="36" t="s">
        <v>208</v>
      </c>
      <c r="J83" s="36"/>
      <c r="K83" s="36"/>
      <c r="L83" s="32" t="s">
        <v>209</v>
      </c>
      <c r="M83" s="36">
        <v>1</v>
      </c>
      <c r="N83" s="36">
        <v>6</v>
      </c>
      <c r="O83" s="36">
        <v>1053101</v>
      </c>
      <c r="P83" s="36">
        <f t="shared" si="0"/>
        <v>3</v>
      </c>
      <c r="Q83" s="36" t="s">
        <v>210</v>
      </c>
      <c r="R83" s="36" t="s">
        <v>211</v>
      </c>
      <c r="S83" s="36">
        <v>10531</v>
      </c>
      <c r="T83" s="36">
        <v>10531</v>
      </c>
      <c r="U83" s="36" t="s">
        <v>212</v>
      </c>
      <c r="V83" s="36">
        <v>20000</v>
      </c>
      <c r="W83" s="36">
        <v>1000</v>
      </c>
      <c r="X83" s="36">
        <v>30000</v>
      </c>
      <c r="Y83" s="36">
        <v>20000</v>
      </c>
      <c r="Z83" s="36">
        <v>70</v>
      </c>
      <c r="AA83" s="36" t="s">
        <v>202</v>
      </c>
    </row>
    <row r="84" ht="17.25" spans="1:27">
      <c r="A84" s="36"/>
      <c r="B84" s="36"/>
      <c r="C84" s="36"/>
      <c r="D84" s="36"/>
      <c r="F84" s="36"/>
      <c r="G84" s="36"/>
      <c r="H84" s="36">
        <v>10560</v>
      </c>
      <c r="I84" s="36" t="s">
        <v>213</v>
      </c>
      <c r="J84" s="36"/>
      <c r="K84" s="36"/>
      <c r="L84" s="32" t="s">
        <v>214</v>
      </c>
      <c r="M84" s="36">
        <v>1</v>
      </c>
      <c r="N84" s="36">
        <v>1</v>
      </c>
      <c r="O84" s="36">
        <v>1056001</v>
      </c>
      <c r="P84" s="36">
        <f t="shared" si="0"/>
        <v>3</v>
      </c>
      <c r="Q84" s="36" t="s">
        <v>215</v>
      </c>
      <c r="R84" s="36" t="s">
        <v>216</v>
      </c>
      <c r="S84" s="36">
        <v>10560</v>
      </c>
      <c r="T84" s="36">
        <v>10560</v>
      </c>
      <c r="U84" s="36" t="s">
        <v>217</v>
      </c>
      <c r="V84" s="36">
        <v>6000</v>
      </c>
      <c r="W84" s="36">
        <v>1000</v>
      </c>
      <c r="X84" s="36">
        <v>30000</v>
      </c>
      <c r="Y84" s="36">
        <v>6000</v>
      </c>
      <c r="Z84" s="36">
        <v>80</v>
      </c>
      <c r="AA84" s="36" t="s">
        <v>218</v>
      </c>
    </row>
    <row r="85" ht="17.25" spans="1:27">
      <c r="A85" s="36"/>
      <c r="B85" s="36"/>
      <c r="C85" s="36"/>
      <c r="D85" s="36"/>
      <c r="F85" s="36"/>
      <c r="G85" s="36"/>
      <c r="H85" s="36">
        <v>10561</v>
      </c>
      <c r="I85" s="36" t="s">
        <v>219</v>
      </c>
      <c r="J85" s="36"/>
      <c r="K85" s="36"/>
      <c r="L85" s="32" t="s">
        <v>220</v>
      </c>
      <c r="M85" s="36">
        <v>1</v>
      </c>
      <c r="N85" s="36">
        <v>4</v>
      </c>
      <c r="O85" s="36">
        <v>1056101</v>
      </c>
      <c r="P85" s="36">
        <f t="shared" si="0"/>
        <v>3</v>
      </c>
      <c r="Q85" s="36" t="s">
        <v>221</v>
      </c>
      <c r="R85" s="36" t="s">
        <v>222</v>
      </c>
      <c r="S85" s="36">
        <v>10561</v>
      </c>
      <c r="T85" s="36">
        <v>10561</v>
      </c>
      <c r="U85" s="36" t="s">
        <v>223</v>
      </c>
      <c r="V85" s="36">
        <v>12000</v>
      </c>
      <c r="W85" s="36">
        <v>1000</v>
      </c>
      <c r="X85" s="36">
        <v>30000</v>
      </c>
      <c r="Y85" s="36">
        <v>12000</v>
      </c>
      <c r="Z85" s="36">
        <v>80</v>
      </c>
      <c r="AA85" s="36" t="s">
        <v>69</v>
      </c>
    </row>
    <row r="86" ht="17.25" spans="1:27">
      <c r="A86" s="36"/>
      <c r="B86" s="36"/>
      <c r="C86" s="36"/>
      <c r="D86" s="36"/>
      <c r="F86" s="36"/>
      <c r="G86" s="36"/>
      <c r="H86" s="36">
        <v>10562</v>
      </c>
      <c r="I86" s="36" t="s">
        <v>585</v>
      </c>
      <c r="J86" s="36"/>
      <c r="K86" s="36"/>
      <c r="L86" s="32" t="s">
        <v>815</v>
      </c>
      <c r="M86" s="36">
        <v>1</v>
      </c>
      <c r="N86" s="36">
        <v>7</v>
      </c>
      <c r="O86" s="36">
        <v>1056201</v>
      </c>
      <c r="P86" s="36">
        <f t="shared" si="0"/>
        <v>3</v>
      </c>
      <c r="Q86" s="36" t="s">
        <v>589</v>
      </c>
      <c r="R86" s="36" t="s">
        <v>816</v>
      </c>
      <c r="S86" s="36">
        <v>10562</v>
      </c>
      <c r="T86" s="36">
        <v>10562</v>
      </c>
      <c r="U86" s="36" t="s">
        <v>817</v>
      </c>
      <c r="V86" s="36">
        <v>30000</v>
      </c>
      <c r="W86" s="36">
        <v>1000</v>
      </c>
      <c r="X86" s="36">
        <v>30000</v>
      </c>
      <c r="Y86" s="36">
        <v>30000</v>
      </c>
      <c r="Z86" s="36">
        <v>70</v>
      </c>
      <c r="AA86" s="36" t="s">
        <v>69</v>
      </c>
    </row>
    <row r="87" ht="17.25" spans="1:27">
      <c r="A87" s="36"/>
      <c r="B87" s="36"/>
      <c r="C87" s="36"/>
      <c r="D87" s="36"/>
      <c r="F87" s="36"/>
      <c r="G87" s="36"/>
      <c r="H87" s="36">
        <v>10570</v>
      </c>
      <c r="I87" s="36" t="s">
        <v>590</v>
      </c>
      <c r="J87" s="36"/>
      <c r="K87" s="36"/>
      <c r="L87" s="32" t="s">
        <v>818</v>
      </c>
      <c r="M87" s="36">
        <v>1</v>
      </c>
      <c r="N87" s="36">
        <v>2</v>
      </c>
      <c r="O87" s="36">
        <v>1057001</v>
      </c>
      <c r="P87" s="36">
        <f t="shared" si="0"/>
        <v>3</v>
      </c>
      <c r="Q87" s="36" t="s">
        <v>594</v>
      </c>
      <c r="R87" s="36" t="s">
        <v>819</v>
      </c>
      <c r="S87" s="36">
        <v>10570</v>
      </c>
      <c r="T87" s="36">
        <v>10570</v>
      </c>
      <c r="U87" s="36" t="s">
        <v>820</v>
      </c>
      <c r="V87" s="36">
        <v>8000</v>
      </c>
      <c r="W87" s="36">
        <v>1000</v>
      </c>
      <c r="X87" s="36">
        <v>30000</v>
      </c>
      <c r="Y87" s="36">
        <v>8000</v>
      </c>
      <c r="Z87" s="36">
        <v>80</v>
      </c>
      <c r="AA87" s="36" t="s">
        <v>821</v>
      </c>
    </row>
    <row r="88" ht="17.25" spans="1:27">
      <c r="A88" s="36"/>
      <c r="B88" s="36"/>
      <c r="C88" s="36"/>
      <c r="D88" s="36"/>
      <c r="F88" s="36"/>
      <c r="G88" s="36"/>
      <c r="H88" s="36">
        <v>10571</v>
      </c>
      <c r="I88" s="36" t="s">
        <v>595</v>
      </c>
      <c r="J88" s="36"/>
      <c r="K88" s="36"/>
      <c r="L88" s="32" t="s">
        <v>822</v>
      </c>
      <c r="M88" s="36">
        <v>1</v>
      </c>
      <c r="N88" s="36">
        <v>4</v>
      </c>
      <c r="O88" s="36">
        <v>1057101</v>
      </c>
      <c r="P88" s="36">
        <f t="shared" si="0"/>
        <v>3</v>
      </c>
      <c r="Q88" s="36" t="s">
        <v>599</v>
      </c>
      <c r="R88" s="36" t="s">
        <v>823</v>
      </c>
      <c r="S88" s="36">
        <v>10571</v>
      </c>
      <c r="T88" s="36">
        <v>10571</v>
      </c>
      <c r="U88" s="36" t="s">
        <v>824</v>
      </c>
      <c r="V88" s="36">
        <v>12000</v>
      </c>
      <c r="W88" s="36">
        <v>1000</v>
      </c>
      <c r="X88" s="36">
        <v>30000</v>
      </c>
      <c r="Y88" s="36">
        <v>12000</v>
      </c>
      <c r="Z88" s="36">
        <v>80</v>
      </c>
      <c r="AA88" s="36" t="s">
        <v>825</v>
      </c>
    </row>
    <row r="89" ht="17.25" spans="1:27">
      <c r="A89" s="36"/>
      <c r="B89" s="36"/>
      <c r="C89" s="36"/>
      <c r="D89" s="36"/>
      <c r="F89" s="36"/>
      <c r="G89" s="36"/>
      <c r="H89" s="36">
        <v>10580</v>
      </c>
      <c r="I89" s="36" t="s">
        <v>224</v>
      </c>
      <c r="J89" s="36"/>
      <c r="K89" s="36"/>
      <c r="L89" s="32" t="s">
        <v>225</v>
      </c>
      <c r="M89" s="36">
        <v>1</v>
      </c>
      <c r="N89" s="36">
        <v>4</v>
      </c>
      <c r="O89" s="36">
        <v>1058001</v>
      </c>
      <c r="P89" s="36">
        <f t="shared" si="0"/>
        <v>3</v>
      </c>
      <c r="Q89" s="36" t="s">
        <v>226</v>
      </c>
      <c r="R89" s="36" t="s">
        <v>227</v>
      </c>
      <c r="S89" s="36">
        <v>10580</v>
      </c>
      <c r="T89" s="36">
        <v>10580</v>
      </c>
      <c r="U89" s="36" t="s">
        <v>228</v>
      </c>
      <c r="V89" s="36">
        <v>12000</v>
      </c>
      <c r="W89" s="36">
        <v>1000</v>
      </c>
      <c r="X89" s="36">
        <v>30000</v>
      </c>
      <c r="Y89" s="36">
        <v>12000</v>
      </c>
      <c r="Z89" s="36">
        <v>80</v>
      </c>
      <c r="AA89" s="36" t="s">
        <v>114</v>
      </c>
    </row>
    <row r="90" ht="17.25" spans="1:27">
      <c r="A90" s="36"/>
      <c r="B90" s="36"/>
      <c r="C90" s="36"/>
      <c r="D90" s="36"/>
      <c r="F90" s="36"/>
      <c r="G90" s="36"/>
      <c r="H90" s="36">
        <v>10581</v>
      </c>
      <c r="I90" s="36" t="s">
        <v>229</v>
      </c>
      <c r="J90" s="36"/>
      <c r="K90" s="36"/>
      <c r="L90" s="32" t="s">
        <v>230</v>
      </c>
      <c r="M90" s="36">
        <v>1</v>
      </c>
      <c r="N90" s="36">
        <v>5</v>
      </c>
      <c r="O90" s="36">
        <v>1058101</v>
      </c>
      <c r="P90" s="36">
        <f t="shared" si="0"/>
        <v>3</v>
      </c>
      <c r="Q90" s="36" t="s">
        <v>231</v>
      </c>
      <c r="R90" s="36" t="s">
        <v>232</v>
      </c>
      <c r="S90" s="36">
        <v>10581</v>
      </c>
      <c r="T90" s="36">
        <v>10581</v>
      </c>
      <c r="U90" s="36" t="s">
        <v>233</v>
      </c>
      <c r="V90" s="36">
        <v>15000</v>
      </c>
      <c r="W90" s="36">
        <v>1000</v>
      </c>
      <c r="X90" s="36">
        <v>30000</v>
      </c>
      <c r="Y90" s="36">
        <v>15000</v>
      </c>
      <c r="Z90" s="36">
        <v>70</v>
      </c>
      <c r="AA90" s="36" t="s">
        <v>114</v>
      </c>
    </row>
    <row r="91" ht="17.25" spans="1:27">
      <c r="A91" s="36"/>
      <c r="B91" s="36"/>
      <c r="C91" s="36"/>
      <c r="D91" s="36"/>
      <c r="F91" s="36"/>
      <c r="G91" s="36"/>
      <c r="H91" s="36">
        <v>10582</v>
      </c>
      <c r="I91" s="36" t="s">
        <v>606</v>
      </c>
      <c r="J91" s="36"/>
      <c r="K91" s="36"/>
      <c r="L91" s="32" t="s">
        <v>826</v>
      </c>
      <c r="M91" s="36">
        <v>1</v>
      </c>
      <c r="N91" s="36">
        <v>7</v>
      </c>
      <c r="O91" s="36">
        <v>1058201</v>
      </c>
      <c r="P91" s="36">
        <f t="shared" si="0"/>
        <v>4</v>
      </c>
      <c r="Q91" s="36" t="s">
        <v>610</v>
      </c>
      <c r="R91" s="36" t="s">
        <v>827</v>
      </c>
      <c r="S91" s="36">
        <v>10582</v>
      </c>
      <c r="T91" s="36">
        <v>10582</v>
      </c>
      <c r="U91" s="36" t="s">
        <v>828</v>
      </c>
      <c r="V91" s="36">
        <v>30000</v>
      </c>
      <c r="W91" s="36">
        <v>1000</v>
      </c>
      <c r="X91" s="36">
        <v>30000</v>
      </c>
      <c r="Y91" s="36">
        <v>30000</v>
      </c>
      <c r="Z91" s="36">
        <v>70</v>
      </c>
      <c r="AA91" s="36" t="s">
        <v>114</v>
      </c>
    </row>
    <row r="92" ht="17.25" spans="1:27">
      <c r="A92" s="36"/>
      <c r="B92" s="36"/>
      <c r="C92" s="36"/>
      <c r="D92" s="36"/>
      <c r="F92" s="36"/>
      <c r="G92" s="36"/>
      <c r="H92" s="36">
        <v>10590</v>
      </c>
      <c r="I92" s="36" t="s">
        <v>611</v>
      </c>
      <c r="J92" s="36"/>
      <c r="K92" s="36"/>
      <c r="L92" s="32" t="s">
        <v>829</v>
      </c>
      <c r="M92" s="36">
        <v>1</v>
      </c>
      <c r="N92" s="36">
        <v>2</v>
      </c>
      <c r="O92" s="36">
        <v>1059001</v>
      </c>
      <c r="P92" s="36">
        <f t="shared" si="0"/>
        <v>4</v>
      </c>
      <c r="Q92" s="36" t="s">
        <v>615</v>
      </c>
      <c r="R92" s="36" t="s">
        <v>830</v>
      </c>
      <c r="S92" s="36">
        <v>10590</v>
      </c>
      <c r="T92" s="36">
        <v>10590</v>
      </c>
      <c r="U92" s="36" t="s">
        <v>831</v>
      </c>
      <c r="V92" s="36">
        <v>8000</v>
      </c>
      <c r="W92" s="36">
        <v>1000</v>
      </c>
      <c r="X92" s="36">
        <v>30000</v>
      </c>
      <c r="Y92" s="36">
        <v>8000</v>
      </c>
      <c r="Z92" s="36">
        <v>80</v>
      </c>
      <c r="AA92" s="36" t="s">
        <v>202</v>
      </c>
    </row>
    <row r="93" ht="17.25" spans="1:27">
      <c r="A93" s="36"/>
      <c r="B93" s="36"/>
      <c r="C93" s="36"/>
      <c r="D93" s="36"/>
      <c r="F93" s="36"/>
      <c r="G93" s="36"/>
      <c r="H93" s="36">
        <v>10591</v>
      </c>
      <c r="I93" s="36" t="s">
        <v>616</v>
      </c>
      <c r="J93" s="36"/>
      <c r="K93" s="36"/>
      <c r="L93" s="32" t="s">
        <v>832</v>
      </c>
      <c r="M93" s="36">
        <v>1</v>
      </c>
      <c r="N93" s="36">
        <v>4</v>
      </c>
      <c r="O93" s="36">
        <v>1059101</v>
      </c>
      <c r="P93" s="36">
        <f t="shared" si="0"/>
        <v>4</v>
      </c>
      <c r="Q93" s="36" t="s">
        <v>620</v>
      </c>
      <c r="R93" s="36" t="s">
        <v>833</v>
      </c>
      <c r="S93" s="36">
        <v>10591</v>
      </c>
      <c r="T93" s="36">
        <v>10591</v>
      </c>
      <c r="U93" s="36" t="s">
        <v>834</v>
      </c>
      <c r="V93" s="36">
        <v>12000</v>
      </c>
      <c r="W93" s="36">
        <v>1000</v>
      </c>
      <c r="X93" s="36">
        <v>30000</v>
      </c>
      <c r="Y93" s="36">
        <v>12000</v>
      </c>
      <c r="Z93" s="36">
        <v>80</v>
      </c>
      <c r="AA93" s="36" t="s">
        <v>202</v>
      </c>
    </row>
    <row r="94" ht="17.25" spans="1:27">
      <c r="A94" s="36"/>
      <c r="B94" s="36"/>
      <c r="C94" s="36"/>
      <c r="D94" s="36"/>
      <c r="F94" s="36"/>
      <c r="G94" s="36"/>
      <c r="H94" s="36">
        <v>10600</v>
      </c>
      <c r="I94" s="36" t="s">
        <v>621</v>
      </c>
      <c r="J94" s="36"/>
      <c r="K94" s="36"/>
      <c r="L94" s="32" t="s">
        <v>835</v>
      </c>
      <c r="M94" s="36">
        <v>1</v>
      </c>
      <c r="N94" s="36">
        <v>1</v>
      </c>
      <c r="O94" s="36">
        <v>1060001</v>
      </c>
      <c r="P94" s="36">
        <f t="shared" si="0"/>
        <v>4</v>
      </c>
      <c r="Q94" s="36" t="s">
        <v>625</v>
      </c>
      <c r="R94" s="36" t="s">
        <v>836</v>
      </c>
      <c r="S94" s="36">
        <v>10600</v>
      </c>
      <c r="T94" s="36">
        <v>10600</v>
      </c>
      <c r="U94" s="36" t="s">
        <v>837</v>
      </c>
      <c r="V94" s="36">
        <v>6000</v>
      </c>
      <c r="W94" s="36">
        <v>1000</v>
      </c>
      <c r="X94" s="36">
        <v>30000</v>
      </c>
      <c r="Y94" s="36">
        <v>6000</v>
      </c>
      <c r="Z94" s="36">
        <v>80</v>
      </c>
      <c r="AA94" s="36" t="s">
        <v>838</v>
      </c>
    </row>
    <row r="95" ht="17.25" spans="1:27">
      <c r="A95" s="36"/>
      <c r="B95" s="36"/>
      <c r="C95" s="36"/>
      <c r="D95" s="36"/>
      <c r="F95" s="36"/>
      <c r="G95" s="36"/>
      <c r="H95" s="36">
        <v>10601</v>
      </c>
      <c r="I95" s="36" t="s">
        <v>626</v>
      </c>
      <c r="J95" s="36"/>
      <c r="K95" s="36"/>
      <c r="L95" s="32" t="s">
        <v>839</v>
      </c>
      <c r="M95" s="36">
        <v>1</v>
      </c>
      <c r="N95" s="36">
        <v>3</v>
      </c>
      <c r="O95" s="36">
        <v>1060101</v>
      </c>
      <c r="P95" s="36">
        <f t="shared" si="0"/>
        <v>4</v>
      </c>
      <c r="Q95" s="36" t="s">
        <v>630</v>
      </c>
      <c r="R95" s="36" t="s">
        <v>840</v>
      </c>
      <c r="S95" s="36">
        <v>10601</v>
      </c>
      <c r="T95" s="36">
        <v>10601</v>
      </c>
      <c r="U95" s="36" t="s">
        <v>841</v>
      </c>
      <c r="V95" s="36">
        <v>10000</v>
      </c>
      <c r="W95" s="36">
        <v>1000</v>
      </c>
      <c r="X95" s="36">
        <v>30000</v>
      </c>
      <c r="Y95" s="36">
        <v>10000</v>
      </c>
      <c r="Z95" s="36">
        <v>80</v>
      </c>
      <c r="AA95" s="36" t="s">
        <v>838</v>
      </c>
    </row>
    <row r="96" ht="17.25" spans="1:27">
      <c r="A96" s="36"/>
      <c r="B96" s="36"/>
      <c r="C96" s="36"/>
      <c r="D96" s="36"/>
      <c r="F96" s="36"/>
      <c r="G96" s="36"/>
      <c r="H96" s="36">
        <v>10620</v>
      </c>
      <c r="I96" s="36" t="s">
        <v>631</v>
      </c>
      <c r="J96" s="36"/>
      <c r="K96" s="36"/>
      <c r="L96" s="32" t="s">
        <v>842</v>
      </c>
      <c r="M96" s="36">
        <v>1</v>
      </c>
      <c r="N96" s="36">
        <v>3</v>
      </c>
      <c r="O96" s="36">
        <v>1062001</v>
      </c>
      <c r="P96" s="36">
        <f t="shared" si="0"/>
        <v>4</v>
      </c>
      <c r="Q96" s="36" t="s">
        <v>635</v>
      </c>
      <c r="R96" s="36" t="s">
        <v>843</v>
      </c>
      <c r="S96" s="36">
        <v>10620</v>
      </c>
      <c r="T96" s="36">
        <v>10620</v>
      </c>
      <c r="U96" s="36" t="s">
        <v>844</v>
      </c>
      <c r="V96" s="36">
        <v>10000</v>
      </c>
      <c r="W96" s="36">
        <v>1000</v>
      </c>
      <c r="X96" s="36">
        <v>30000</v>
      </c>
      <c r="Y96" s="36">
        <v>10000</v>
      </c>
      <c r="Z96" s="36">
        <v>80</v>
      </c>
      <c r="AA96" s="36" t="s">
        <v>838</v>
      </c>
    </row>
    <row r="97" ht="17.25" spans="1:27">
      <c r="A97" s="36"/>
      <c r="B97" s="36"/>
      <c r="C97" s="36"/>
      <c r="D97" s="36"/>
      <c r="F97" s="36"/>
      <c r="G97" s="36"/>
      <c r="H97" s="36">
        <v>10621</v>
      </c>
      <c r="I97" s="36" t="s">
        <v>636</v>
      </c>
      <c r="J97" s="36"/>
      <c r="K97" s="36"/>
      <c r="L97" s="32" t="s">
        <v>845</v>
      </c>
      <c r="M97" s="36">
        <v>1</v>
      </c>
      <c r="N97" s="36">
        <v>6</v>
      </c>
      <c r="O97" s="36">
        <v>1062101</v>
      </c>
      <c r="P97" s="36">
        <f t="shared" ref="P97:P160" si="1">P68+1</f>
        <v>4</v>
      </c>
      <c r="Q97" s="36" t="s">
        <v>640</v>
      </c>
      <c r="R97" s="36" t="s">
        <v>846</v>
      </c>
      <c r="S97" s="36">
        <v>10621</v>
      </c>
      <c r="T97" s="36">
        <v>10621</v>
      </c>
      <c r="U97" s="36" t="s">
        <v>847</v>
      </c>
      <c r="V97" s="36">
        <v>20000</v>
      </c>
      <c r="W97" s="36">
        <v>1000</v>
      </c>
      <c r="X97" s="36">
        <v>30000</v>
      </c>
      <c r="Y97" s="36">
        <v>20000</v>
      </c>
      <c r="Z97" s="36">
        <v>70</v>
      </c>
      <c r="AA97" s="36" t="s">
        <v>838</v>
      </c>
    </row>
    <row r="98" ht="17.25" spans="1:27">
      <c r="A98" s="36"/>
      <c r="B98" s="36"/>
      <c r="C98" s="36"/>
      <c r="D98" s="36"/>
      <c r="F98" s="36"/>
      <c r="G98" s="36"/>
      <c r="H98" s="36">
        <v>10622</v>
      </c>
      <c r="I98" s="36" t="s">
        <v>848</v>
      </c>
      <c r="J98" s="36"/>
      <c r="K98" s="36"/>
      <c r="L98" s="32" t="s">
        <v>849</v>
      </c>
      <c r="M98" s="36">
        <v>1</v>
      </c>
      <c r="N98" s="36">
        <v>7</v>
      </c>
      <c r="O98" s="36">
        <v>1062201</v>
      </c>
      <c r="P98" s="36">
        <f t="shared" si="1"/>
        <v>4</v>
      </c>
      <c r="Q98" s="36" t="s">
        <v>640</v>
      </c>
      <c r="R98" s="36" t="s">
        <v>850</v>
      </c>
      <c r="S98" s="36">
        <v>10622</v>
      </c>
      <c r="T98" s="36">
        <v>10622</v>
      </c>
      <c r="U98" s="36" t="s">
        <v>851</v>
      </c>
      <c r="V98" s="36">
        <v>30000</v>
      </c>
      <c r="W98" s="36">
        <v>1000</v>
      </c>
      <c r="X98" s="36">
        <v>30000</v>
      </c>
      <c r="Y98" s="36">
        <v>30000</v>
      </c>
      <c r="Z98" s="36">
        <v>70</v>
      </c>
      <c r="AA98" s="36" t="s">
        <v>838</v>
      </c>
    </row>
    <row r="99" ht="17.25" spans="1:27">
      <c r="A99" s="36"/>
      <c r="B99" s="36"/>
      <c r="C99" s="36"/>
      <c r="D99" s="36"/>
      <c r="F99" s="36"/>
      <c r="G99" s="36"/>
      <c r="H99" s="36">
        <v>20060</v>
      </c>
      <c r="I99" s="36" t="s">
        <v>40</v>
      </c>
      <c r="J99" s="36"/>
      <c r="K99" s="36"/>
      <c r="L99" s="32" t="s">
        <v>41</v>
      </c>
      <c r="M99" s="36">
        <v>2</v>
      </c>
      <c r="N99" s="36">
        <v>1</v>
      </c>
      <c r="O99" s="36">
        <v>1006001</v>
      </c>
      <c r="P99" s="36">
        <f t="shared" si="1"/>
        <v>4</v>
      </c>
      <c r="Q99" s="36" t="s">
        <v>42</v>
      </c>
      <c r="R99" s="36" t="s">
        <v>43</v>
      </c>
      <c r="S99" s="36">
        <v>10060</v>
      </c>
      <c r="T99" s="36">
        <v>10060</v>
      </c>
      <c r="U99" s="36" t="s">
        <v>44</v>
      </c>
      <c r="V99" s="36">
        <v>10000</v>
      </c>
      <c r="W99" s="36">
        <v>1000</v>
      </c>
      <c r="X99" s="36">
        <v>30000</v>
      </c>
      <c r="Y99" s="36">
        <v>10000</v>
      </c>
      <c r="Z99" s="36">
        <v>110</v>
      </c>
      <c r="AA99" s="36" t="s">
        <v>45</v>
      </c>
    </row>
    <row r="100" ht="17.25" spans="1:27">
      <c r="A100" s="36"/>
      <c r="B100" s="36"/>
      <c r="C100" s="36"/>
      <c r="D100" s="36"/>
      <c r="F100" s="36"/>
      <c r="G100" s="36"/>
      <c r="H100" s="36">
        <v>20061</v>
      </c>
      <c r="I100" s="36" t="s">
        <v>257</v>
      </c>
      <c r="J100" s="36"/>
      <c r="K100" s="36"/>
      <c r="L100" s="32" t="s">
        <v>643</v>
      </c>
      <c r="M100" s="36">
        <v>2</v>
      </c>
      <c r="N100" s="36">
        <v>3</v>
      </c>
      <c r="O100" s="36">
        <v>1006101</v>
      </c>
      <c r="P100" s="36">
        <f t="shared" si="1"/>
        <v>4</v>
      </c>
      <c r="Q100" s="36" t="s">
        <v>261</v>
      </c>
      <c r="R100" s="36" t="s">
        <v>644</v>
      </c>
      <c r="S100" s="36">
        <v>10061</v>
      </c>
      <c r="T100" s="36">
        <v>10061</v>
      </c>
      <c r="U100" s="36" t="s">
        <v>645</v>
      </c>
      <c r="V100" s="36">
        <v>10000</v>
      </c>
      <c r="W100" s="36">
        <v>1000</v>
      </c>
      <c r="X100" s="36">
        <v>30000</v>
      </c>
      <c r="Y100" s="36">
        <v>10000</v>
      </c>
      <c r="Z100" s="36">
        <v>110</v>
      </c>
      <c r="AA100" s="36" t="s">
        <v>646</v>
      </c>
    </row>
    <row r="101" ht="17.25" spans="1:27">
      <c r="A101" s="36"/>
      <c r="B101" s="36"/>
      <c r="C101" s="36"/>
      <c r="D101" s="36"/>
      <c r="F101" s="36"/>
      <c r="G101" s="36"/>
      <c r="H101" s="36">
        <v>20062</v>
      </c>
      <c r="I101" s="36" t="s">
        <v>262</v>
      </c>
      <c r="J101" s="36"/>
      <c r="K101" s="36"/>
      <c r="L101" s="32" t="s">
        <v>647</v>
      </c>
      <c r="M101" s="36">
        <v>2</v>
      </c>
      <c r="N101" s="36">
        <v>5</v>
      </c>
      <c r="O101" s="36">
        <v>1006201</v>
      </c>
      <c r="P101" s="36">
        <f t="shared" si="1"/>
        <v>4</v>
      </c>
      <c r="Q101" s="36" t="s">
        <v>266</v>
      </c>
      <c r="R101" s="36" t="s">
        <v>648</v>
      </c>
      <c r="S101" s="36">
        <v>10062</v>
      </c>
      <c r="T101" s="36">
        <v>10062</v>
      </c>
      <c r="U101" s="36" t="s">
        <v>649</v>
      </c>
      <c r="V101" s="36">
        <v>10000</v>
      </c>
      <c r="W101" s="36">
        <v>1000</v>
      </c>
      <c r="X101" s="36">
        <v>30000</v>
      </c>
      <c r="Y101" s="36">
        <v>10000</v>
      </c>
      <c r="Z101" s="36">
        <v>110</v>
      </c>
      <c r="AA101" s="36" t="s">
        <v>650</v>
      </c>
    </row>
    <row r="102" ht="17.25" spans="1:27">
      <c r="A102" s="36"/>
      <c r="B102" s="36"/>
      <c r="C102" s="36"/>
      <c r="D102" s="36"/>
      <c r="F102" s="36"/>
      <c r="G102" s="36"/>
      <c r="H102" s="36">
        <v>20070</v>
      </c>
      <c r="I102" s="36" t="s">
        <v>267</v>
      </c>
      <c r="J102" s="36"/>
      <c r="K102" s="36"/>
      <c r="L102" s="32" t="s">
        <v>651</v>
      </c>
      <c r="M102" s="36">
        <v>2</v>
      </c>
      <c r="N102" s="36">
        <v>2</v>
      </c>
      <c r="O102" s="36">
        <v>1007001</v>
      </c>
      <c r="P102" s="36">
        <f t="shared" si="1"/>
        <v>4</v>
      </c>
      <c r="Q102" s="36" t="s">
        <v>271</v>
      </c>
      <c r="R102" s="36" t="s">
        <v>652</v>
      </c>
      <c r="S102" s="36">
        <v>10070</v>
      </c>
      <c r="T102" s="36">
        <v>10070</v>
      </c>
      <c r="U102" s="36" t="s">
        <v>653</v>
      </c>
      <c r="V102" s="36">
        <v>10000</v>
      </c>
      <c r="W102" s="36">
        <v>1000</v>
      </c>
      <c r="X102" s="36">
        <v>30000</v>
      </c>
      <c r="Y102" s="36">
        <v>10000</v>
      </c>
      <c r="Z102" s="36">
        <v>110</v>
      </c>
      <c r="AA102" s="36" t="s">
        <v>57</v>
      </c>
    </row>
    <row r="103" ht="17.25" spans="1:27">
      <c r="A103" s="36"/>
      <c r="B103" s="36"/>
      <c r="C103" s="36"/>
      <c r="D103" s="36"/>
      <c r="F103" s="36"/>
      <c r="G103" s="36"/>
      <c r="H103" s="36">
        <v>20071</v>
      </c>
      <c r="I103" s="36" t="s">
        <v>272</v>
      </c>
      <c r="J103" s="36"/>
      <c r="K103" s="36"/>
      <c r="L103" s="32" t="s">
        <v>654</v>
      </c>
      <c r="M103" s="36">
        <v>2</v>
      </c>
      <c r="N103" s="36">
        <v>5</v>
      </c>
      <c r="O103" s="36">
        <v>1007101</v>
      </c>
      <c r="P103" s="36">
        <f t="shared" si="1"/>
        <v>4</v>
      </c>
      <c r="Q103" s="36" t="s">
        <v>276</v>
      </c>
      <c r="R103" s="36" t="s">
        <v>655</v>
      </c>
      <c r="S103" s="36">
        <v>10071</v>
      </c>
      <c r="T103" s="36">
        <v>10071</v>
      </c>
      <c r="U103" s="36" t="s">
        <v>656</v>
      </c>
      <c r="V103" s="36">
        <v>10000</v>
      </c>
      <c r="W103" s="36">
        <v>1000</v>
      </c>
      <c r="X103" s="36">
        <v>30000</v>
      </c>
      <c r="Y103" s="36">
        <v>10000</v>
      </c>
      <c r="Z103" s="36">
        <v>110</v>
      </c>
      <c r="AA103" s="36" t="s">
        <v>57</v>
      </c>
    </row>
    <row r="104" ht="17.25" spans="1:27">
      <c r="A104" s="36"/>
      <c r="B104" s="36"/>
      <c r="C104" s="36"/>
      <c r="D104" s="36"/>
      <c r="F104" s="36"/>
      <c r="G104" s="36"/>
      <c r="H104" s="36">
        <v>20090</v>
      </c>
      <c r="I104" s="36" t="s">
        <v>46</v>
      </c>
      <c r="J104" s="36"/>
      <c r="K104" s="36"/>
      <c r="L104" s="32" t="s">
        <v>47</v>
      </c>
      <c r="M104" s="36">
        <v>2</v>
      </c>
      <c r="N104" s="36">
        <v>3</v>
      </c>
      <c r="O104" s="36">
        <v>1009001</v>
      </c>
      <c r="P104" s="36">
        <f t="shared" si="1"/>
        <v>4</v>
      </c>
      <c r="Q104" s="36" t="s">
        <v>48</v>
      </c>
      <c r="R104" s="36" t="s">
        <v>49</v>
      </c>
      <c r="S104" s="36">
        <v>10090</v>
      </c>
      <c r="T104" s="36">
        <v>10090</v>
      </c>
      <c r="U104" s="36" t="s">
        <v>50</v>
      </c>
      <c r="V104" s="36">
        <v>10000</v>
      </c>
      <c r="W104" s="36">
        <v>1000</v>
      </c>
      <c r="X104" s="36">
        <v>30000</v>
      </c>
      <c r="Y104" s="36">
        <v>10000</v>
      </c>
      <c r="Z104" s="36">
        <v>110</v>
      </c>
      <c r="AA104" s="36" t="s">
        <v>51</v>
      </c>
    </row>
    <row r="105" ht="17.25" spans="1:27">
      <c r="A105" s="36"/>
      <c r="B105" s="36"/>
      <c r="C105" s="36"/>
      <c r="D105" s="36"/>
      <c r="F105" s="36"/>
      <c r="G105" s="36"/>
      <c r="H105" s="36">
        <v>20091</v>
      </c>
      <c r="I105" s="36" t="s">
        <v>279</v>
      </c>
      <c r="J105" s="36"/>
      <c r="K105" s="36"/>
      <c r="L105" s="32" t="s">
        <v>657</v>
      </c>
      <c r="M105" s="36">
        <v>2</v>
      </c>
      <c r="N105" s="36">
        <v>4</v>
      </c>
      <c r="O105" s="36">
        <v>1009101</v>
      </c>
      <c r="P105" s="36">
        <f t="shared" si="1"/>
        <v>4</v>
      </c>
      <c r="Q105" s="36" t="s">
        <v>283</v>
      </c>
      <c r="R105" s="36" t="s">
        <v>658</v>
      </c>
      <c r="S105" s="36">
        <v>10091</v>
      </c>
      <c r="T105" s="36">
        <v>10091</v>
      </c>
      <c r="U105" s="36" t="s">
        <v>659</v>
      </c>
      <c r="V105" s="36">
        <v>10000</v>
      </c>
      <c r="W105" s="36">
        <v>1000</v>
      </c>
      <c r="X105" s="36">
        <v>30000</v>
      </c>
      <c r="Y105" s="36">
        <v>10000</v>
      </c>
      <c r="Z105" s="36">
        <v>110</v>
      </c>
      <c r="AA105" s="36" t="s">
        <v>660</v>
      </c>
    </row>
    <row r="106" ht="17.25" spans="1:27">
      <c r="A106" s="36"/>
      <c r="B106" s="36"/>
      <c r="C106" s="36"/>
      <c r="D106" s="36"/>
      <c r="F106" s="36"/>
      <c r="G106" s="36"/>
      <c r="H106" s="36">
        <v>20100</v>
      </c>
      <c r="I106" s="36" t="s">
        <v>52</v>
      </c>
      <c r="J106" s="36"/>
      <c r="K106" s="36"/>
      <c r="L106" s="32" t="s">
        <v>53</v>
      </c>
      <c r="M106" s="36">
        <v>2</v>
      </c>
      <c r="N106" s="36">
        <v>2</v>
      </c>
      <c r="O106" s="36">
        <v>1010001</v>
      </c>
      <c r="P106" s="36">
        <f t="shared" si="1"/>
        <v>4</v>
      </c>
      <c r="Q106" s="36" t="s">
        <v>852</v>
      </c>
      <c r="R106" s="36" t="s">
        <v>55</v>
      </c>
      <c r="S106" s="36">
        <v>10100</v>
      </c>
      <c r="T106" s="36">
        <v>10100</v>
      </c>
      <c r="U106" s="36" t="s">
        <v>56</v>
      </c>
      <c r="V106" s="36">
        <v>10000</v>
      </c>
      <c r="W106" s="36">
        <v>1000</v>
      </c>
      <c r="X106" s="36">
        <v>30000</v>
      </c>
      <c r="Y106" s="36">
        <v>10000</v>
      </c>
      <c r="Z106" s="36">
        <v>110</v>
      </c>
      <c r="AA106" s="36" t="s">
        <v>57</v>
      </c>
    </row>
    <row r="107" ht="17.25" spans="1:27">
      <c r="A107" s="36"/>
      <c r="B107" s="36"/>
      <c r="C107" s="36"/>
      <c r="D107" s="36"/>
      <c r="F107" s="36"/>
      <c r="G107" s="36"/>
      <c r="H107" s="36">
        <v>20101</v>
      </c>
      <c r="I107" s="36" t="s">
        <v>58</v>
      </c>
      <c r="J107" s="36"/>
      <c r="K107" s="36"/>
      <c r="L107" s="32" t="s">
        <v>59</v>
      </c>
      <c r="M107" s="36">
        <v>2</v>
      </c>
      <c r="N107" s="36">
        <v>4</v>
      </c>
      <c r="O107" s="36">
        <v>1010101</v>
      </c>
      <c r="P107" s="36">
        <f t="shared" si="1"/>
        <v>4</v>
      </c>
      <c r="Q107" s="36" t="s">
        <v>853</v>
      </c>
      <c r="R107" s="36" t="s">
        <v>61</v>
      </c>
      <c r="S107" s="36">
        <v>10101</v>
      </c>
      <c r="T107" s="36">
        <v>10101</v>
      </c>
      <c r="U107" s="36" t="s">
        <v>62</v>
      </c>
      <c r="V107" s="36">
        <v>10000</v>
      </c>
      <c r="W107" s="36">
        <v>1000</v>
      </c>
      <c r="X107" s="36">
        <v>30000</v>
      </c>
      <c r="Y107" s="36">
        <v>10000</v>
      </c>
      <c r="Z107" s="36">
        <v>110</v>
      </c>
      <c r="AA107" s="36" t="s">
        <v>63</v>
      </c>
    </row>
    <row r="108" ht="17.25" spans="1:27">
      <c r="A108" s="36"/>
      <c r="B108" s="36"/>
      <c r="C108" s="36"/>
      <c r="D108" s="36"/>
      <c r="F108" s="36"/>
      <c r="G108" s="36"/>
      <c r="H108" s="36">
        <v>20102</v>
      </c>
      <c r="I108" s="36" t="s">
        <v>290</v>
      </c>
      <c r="J108" s="36"/>
      <c r="K108" s="36"/>
      <c r="L108" s="32" t="s">
        <v>662</v>
      </c>
      <c r="M108" s="36">
        <v>2</v>
      </c>
      <c r="N108" s="36">
        <v>6</v>
      </c>
      <c r="O108" s="36">
        <v>1010201</v>
      </c>
      <c r="P108" s="36">
        <f t="shared" si="1"/>
        <v>4</v>
      </c>
      <c r="Q108" s="36" t="s">
        <v>854</v>
      </c>
      <c r="R108" s="36" t="s">
        <v>663</v>
      </c>
      <c r="S108" s="36">
        <v>10102</v>
      </c>
      <c r="T108" s="36">
        <v>10102</v>
      </c>
      <c r="U108" s="36" t="s">
        <v>664</v>
      </c>
      <c r="V108" s="36">
        <v>10000</v>
      </c>
      <c r="W108" s="36">
        <v>1000</v>
      </c>
      <c r="X108" s="36">
        <v>30000</v>
      </c>
      <c r="Y108" s="36">
        <v>10000</v>
      </c>
      <c r="Z108" s="36">
        <v>110</v>
      </c>
      <c r="AA108" s="36" t="s">
        <v>665</v>
      </c>
    </row>
    <row r="109" ht="17.25" spans="1:27">
      <c r="A109" s="36"/>
      <c r="B109" s="36"/>
      <c r="C109" s="36"/>
      <c r="D109" s="36"/>
      <c r="F109" s="36"/>
      <c r="G109" s="36"/>
      <c r="H109" s="36">
        <v>20110</v>
      </c>
      <c r="I109" s="36" t="s">
        <v>64</v>
      </c>
      <c r="J109" s="36"/>
      <c r="K109" s="36"/>
      <c r="L109" s="32" t="s">
        <v>65</v>
      </c>
      <c r="M109" s="36">
        <v>2</v>
      </c>
      <c r="N109" s="36">
        <v>3</v>
      </c>
      <c r="O109" s="36">
        <v>1011001</v>
      </c>
      <c r="P109" s="36">
        <f t="shared" si="1"/>
        <v>4</v>
      </c>
      <c r="Q109" s="36" t="s">
        <v>66</v>
      </c>
      <c r="R109" s="36" t="s">
        <v>67</v>
      </c>
      <c r="S109" s="36">
        <v>10110</v>
      </c>
      <c r="T109" s="36">
        <v>10110</v>
      </c>
      <c r="U109" s="36" t="s">
        <v>68</v>
      </c>
      <c r="V109" s="36">
        <v>10000</v>
      </c>
      <c r="W109" s="36">
        <v>1000</v>
      </c>
      <c r="X109" s="36">
        <v>30000</v>
      </c>
      <c r="Y109" s="36">
        <v>10000</v>
      </c>
      <c r="Z109" s="36">
        <v>110</v>
      </c>
      <c r="AA109" s="36" t="s">
        <v>69</v>
      </c>
    </row>
    <row r="110" ht="17.25" spans="1:27">
      <c r="A110" s="36"/>
      <c r="B110" s="36"/>
      <c r="C110" s="36"/>
      <c r="D110" s="36"/>
      <c r="F110" s="36"/>
      <c r="G110" s="36"/>
      <c r="H110" s="36">
        <v>20111</v>
      </c>
      <c r="I110" s="36" t="s">
        <v>70</v>
      </c>
      <c r="J110" s="36"/>
      <c r="K110" s="36"/>
      <c r="L110" s="32" t="s">
        <v>71</v>
      </c>
      <c r="M110" s="36">
        <v>2</v>
      </c>
      <c r="N110" s="36">
        <v>4</v>
      </c>
      <c r="O110" s="36">
        <v>1011101</v>
      </c>
      <c r="P110" s="36">
        <f t="shared" si="1"/>
        <v>4</v>
      </c>
      <c r="Q110" s="36" t="s">
        <v>72</v>
      </c>
      <c r="R110" s="36" t="s">
        <v>73</v>
      </c>
      <c r="S110" s="36">
        <v>10111</v>
      </c>
      <c r="T110" s="36">
        <v>10111</v>
      </c>
      <c r="U110" s="36" t="s">
        <v>74</v>
      </c>
      <c r="V110" s="36">
        <v>10000</v>
      </c>
      <c r="W110" s="36">
        <v>1000</v>
      </c>
      <c r="X110" s="36">
        <v>30000</v>
      </c>
      <c r="Y110" s="36">
        <v>10000</v>
      </c>
      <c r="Z110" s="36">
        <v>110</v>
      </c>
      <c r="AA110" s="36" t="s">
        <v>69</v>
      </c>
    </row>
    <row r="111" ht="17.25" spans="1:27">
      <c r="A111" s="36"/>
      <c r="B111" s="36"/>
      <c r="C111" s="36"/>
      <c r="D111" s="36"/>
      <c r="F111" s="36"/>
      <c r="G111" s="36"/>
      <c r="H111" s="36">
        <v>20120</v>
      </c>
      <c r="I111" s="36" t="s">
        <v>75</v>
      </c>
      <c r="J111" s="36">
        <v>1</v>
      </c>
      <c r="K111" s="36" t="s">
        <v>752</v>
      </c>
      <c r="L111" s="32" t="s">
        <v>76</v>
      </c>
      <c r="M111" s="36">
        <v>2</v>
      </c>
      <c r="N111" s="36">
        <v>2</v>
      </c>
      <c r="O111" s="36">
        <v>1012001</v>
      </c>
      <c r="P111" s="36">
        <f t="shared" si="1"/>
        <v>4</v>
      </c>
      <c r="Q111" s="36" t="s">
        <v>855</v>
      </c>
      <c r="R111" s="36" t="s">
        <v>78</v>
      </c>
      <c r="S111" s="36">
        <v>10120</v>
      </c>
      <c r="T111" s="36">
        <v>10120</v>
      </c>
      <c r="U111" s="36" t="s">
        <v>79</v>
      </c>
      <c r="V111" s="36">
        <v>10000</v>
      </c>
      <c r="W111" s="36">
        <v>1000</v>
      </c>
      <c r="X111" s="36">
        <v>30000</v>
      </c>
      <c r="Y111" s="36">
        <v>10000</v>
      </c>
      <c r="Z111" s="36">
        <v>110</v>
      </c>
      <c r="AA111" s="36" t="s">
        <v>80</v>
      </c>
    </row>
    <row r="112" ht="17.25" spans="1:27">
      <c r="A112" s="36"/>
      <c r="B112" s="36"/>
      <c r="C112" s="36"/>
      <c r="D112" s="36"/>
      <c r="F112" s="36"/>
      <c r="G112" s="36"/>
      <c r="H112" s="36">
        <v>20121</v>
      </c>
      <c r="I112" s="36" t="s">
        <v>303</v>
      </c>
      <c r="J112" s="36"/>
      <c r="K112" s="36"/>
      <c r="L112" s="32" t="s">
        <v>667</v>
      </c>
      <c r="M112" s="36">
        <v>2</v>
      </c>
      <c r="N112" s="36">
        <v>5</v>
      </c>
      <c r="O112" s="36">
        <v>1012101</v>
      </c>
      <c r="P112" s="36">
        <f t="shared" si="1"/>
        <v>4</v>
      </c>
      <c r="Q112" s="36" t="s">
        <v>856</v>
      </c>
      <c r="R112" s="36" t="s">
        <v>668</v>
      </c>
      <c r="S112" s="36">
        <v>10121</v>
      </c>
      <c r="T112" s="36">
        <v>10121</v>
      </c>
      <c r="U112" s="36" t="s">
        <v>669</v>
      </c>
      <c r="V112" s="36">
        <v>10000</v>
      </c>
      <c r="W112" s="36">
        <v>1000</v>
      </c>
      <c r="X112" s="36">
        <v>30000</v>
      </c>
      <c r="Y112" s="36">
        <v>10000</v>
      </c>
      <c r="Z112" s="36">
        <v>110</v>
      </c>
      <c r="AA112" s="36" t="s">
        <v>665</v>
      </c>
    </row>
    <row r="113" ht="17.25" spans="1:27">
      <c r="A113" s="36"/>
      <c r="B113" s="36"/>
      <c r="C113" s="36"/>
      <c r="D113" s="36"/>
      <c r="F113" s="36"/>
      <c r="G113" s="36"/>
      <c r="H113" s="36">
        <v>20122</v>
      </c>
      <c r="I113" s="36" t="s">
        <v>307</v>
      </c>
      <c r="J113" s="36"/>
      <c r="K113" s="36"/>
      <c r="L113" s="32" t="s">
        <v>670</v>
      </c>
      <c r="M113" s="36">
        <v>2</v>
      </c>
      <c r="N113" s="36">
        <v>6</v>
      </c>
      <c r="O113" s="36">
        <v>1012201</v>
      </c>
      <c r="P113" s="36">
        <f t="shared" si="1"/>
        <v>4</v>
      </c>
      <c r="Q113" s="36" t="s">
        <v>857</v>
      </c>
      <c r="R113" s="36" t="s">
        <v>671</v>
      </c>
      <c r="S113" s="36">
        <v>10122</v>
      </c>
      <c r="T113" s="36">
        <v>10122</v>
      </c>
      <c r="U113" s="36" t="s">
        <v>672</v>
      </c>
      <c r="V113" s="36">
        <v>10000</v>
      </c>
      <c r="W113" s="36">
        <v>1000</v>
      </c>
      <c r="X113" s="36">
        <v>30000</v>
      </c>
      <c r="Y113" s="36">
        <v>10000</v>
      </c>
      <c r="Z113" s="36">
        <v>110</v>
      </c>
      <c r="AA113" s="36" t="s">
        <v>665</v>
      </c>
    </row>
    <row r="114" ht="17.25" spans="1:27">
      <c r="A114" s="36"/>
      <c r="B114" s="36"/>
      <c r="C114" s="36"/>
      <c r="D114" s="36"/>
      <c r="F114" s="36"/>
      <c r="G114" s="36"/>
      <c r="H114" s="36">
        <v>20130</v>
      </c>
      <c r="I114" s="36" t="s">
        <v>81</v>
      </c>
      <c r="J114" s="36"/>
      <c r="K114" s="36"/>
      <c r="L114" s="32" t="s">
        <v>82</v>
      </c>
      <c r="M114" s="36">
        <v>2</v>
      </c>
      <c r="N114" s="36">
        <v>1</v>
      </c>
      <c r="O114" s="36">
        <v>1013001</v>
      </c>
      <c r="P114" s="36">
        <f t="shared" si="1"/>
        <v>4</v>
      </c>
      <c r="Q114" s="36" t="s">
        <v>858</v>
      </c>
      <c r="R114" s="36" t="s">
        <v>84</v>
      </c>
      <c r="S114" s="36">
        <v>10130</v>
      </c>
      <c r="T114" s="36">
        <v>10130</v>
      </c>
      <c r="U114" s="36" t="s">
        <v>85</v>
      </c>
      <c r="V114" s="36">
        <v>10000</v>
      </c>
      <c r="W114" s="36">
        <v>1000</v>
      </c>
      <c r="X114" s="36">
        <v>30000</v>
      </c>
      <c r="Y114" s="36">
        <v>10000</v>
      </c>
      <c r="Z114" s="36">
        <v>110</v>
      </c>
      <c r="AA114" s="36" t="s">
        <v>86</v>
      </c>
    </row>
    <row r="115" ht="17.25" spans="1:27">
      <c r="A115" s="36"/>
      <c r="B115" s="36"/>
      <c r="C115" s="36"/>
      <c r="D115" s="36"/>
      <c r="F115" s="36"/>
      <c r="G115" s="36"/>
      <c r="H115" s="36">
        <v>20131</v>
      </c>
      <c r="I115" s="36" t="s">
        <v>87</v>
      </c>
      <c r="J115" s="36"/>
      <c r="K115" s="36"/>
      <c r="L115" s="32" t="s">
        <v>88</v>
      </c>
      <c r="M115" s="36">
        <v>2</v>
      </c>
      <c r="N115" s="36">
        <v>3</v>
      </c>
      <c r="O115" s="36">
        <v>1013101</v>
      </c>
      <c r="P115" s="36">
        <f t="shared" si="1"/>
        <v>4</v>
      </c>
      <c r="Q115" s="36" t="s">
        <v>859</v>
      </c>
      <c r="R115" s="36" t="s">
        <v>90</v>
      </c>
      <c r="S115" s="36">
        <v>10131</v>
      </c>
      <c r="T115" s="36">
        <v>10131</v>
      </c>
      <c r="U115" s="36" t="s">
        <v>91</v>
      </c>
      <c r="V115" s="36">
        <v>10000</v>
      </c>
      <c r="W115" s="36">
        <v>1000</v>
      </c>
      <c r="X115" s="36">
        <v>30000</v>
      </c>
      <c r="Y115" s="36">
        <v>10000</v>
      </c>
      <c r="Z115" s="36">
        <v>110</v>
      </c>
      <c r="AA115" s="36" t="s">
        <v>92</v>
      </c>
    </row>
    <row r="116" ht="17.25" spans="1:27">
      <c r="A116" s="36"/>
      <c r="B116" s="36"/>
      <c r="C116" s="36"/>
      <c r="D116" s="36"/>
      <c r="F116" s="36"/>
      <c r="G116" s="36"/>
      <c r="H116" s="36">
        <v>20140</v>
      </c>
      <c r="I116" s="36" t="s">
        <v>93</v>
      </c>
      <c r="J116" s="36"/>
      <c r="K116" s="36"/>
      <c r="L116" s="32" t="s">
        <v>94</v>
      </c>
      <c r="M116" s="36">
        <v>2</v>
      </c>
      <c r="N116" s="36">
        <v>3</v>
      </c>
      <c r="O116" s="36">
        <v>1014001</v>
      </c>
      <c r="P116" s="36">
        <f t="shared" si="1"/>
        <v>4</v>
      </c>
      <c r="Q116" s="36" t="s">
        <v>95</v>
      </c>
      <c r="R116" s="36" t="s">
        <v>96</v>
      </c>
      <c r="S116" s="36">
        <v>10140</v>
      </c>
      <c r="T116" s="36">
        <v>10140</v>
      </c>
      <c r="U116" s="36" t="s">
        <v>97</v>
      </c>
      <c r="V116" s="36">
        <v>10000</v>
      </c>
      <c r="W116" s="36">
        <v>1000</v>
      </c>
      <c r="X116" s="36">
        <v>30000</v>
      </c>
      <c r="Y116" s="36">
        <v>10000</v>
      </c>
      <c r="Z116" s="36">
        <v>110</v>
      </c>
      <c r="AA116" s="36" t="s">
        <v>86</v>
      </c>
    </row>
    <row r="117" ht="17.25" spans="1:27">
      <c r="A117" s="36"/>
      <c r="B117" s="36"/>
      <c r="C117" s="36"/>
      <c r="D117" s="36"/>
      <c r="F117" s="36"/>
      <c r="G117" s="36"/>
      <c r="H117" s="36">
        <v>20141</v>
      </c>
      <c r="I117" s="36" t="s">
        <v>318</v>
      </c>
      <c r="J117" s="36"/>
      <c r="K117" s="36"/>
      <c r="L117" s="32" t="s">
        <v>674</v>
      </c>
      <c r="M117" s="36">
        <v>2</v>
      </c>
      <c r="N117" s="36">
        <v>6</v>
      </c>
      <c r="O117" s="36">
        <v>1014101</v>
      </c>
      <c r="P117" s="36">
        <f t="shared" si="1"/>
        <v>4</v>
      </c>
      <c r="Q117" s="36" t="s">
        <v>322</v>
      </c>
      <c r="R117" s="36" t="s">
        <v>675</v>
      </c>
      <c r="S117" s="36">
        <v>10141</v>
      </c>
      <c r="T117" s="36">
        <v>10141</v>
      </c>
      <c r="U117" s="36" t="s">
        <v>676</v>
      </c>
      <c r="V117" s="36">
        <v>10000</v>
      </c>
      <c r="W117" s="36">
        <v>1000</v>
      </c>
      <c r="X117" s="36">
        <v>30000</v>
      </c>
      <c r="Y117" s="36">
        <v>10000</v>
      </c>
      <c r="Z117" s="36">
        <v>110</v>
      </c>
      <c r="AA117" s="36" t="s">
        <v>57</v>
      </c>
    </row>
    <row r="118" ht="17.25" spans="1:27">
      <c r="A118" s="36"/>
      <c r="B118" s="36"/>
      <c r="C118" s="36"/>
      <c r="D118" s="36"/>
      <c r="F118" s="36"/>
      <c r="G118" s="36"/>
      <c r="H118" s="36">
        <v>20150</v>
      </c>
      <c r="I118" s="36" t="s">
        <v>323</v>
      </c>
      <c r="J118" s="36"/>
      <c r="K118" s="36"/>
      <c r="L118" s="32" t="s">
        <v>677</v>
      </c>
      <c r="M118" s="36">
        <v>2</v>
      </c>
      <c r="N118" s="36">
        <v>2</v>
      </c>
      <c r="O118" s="36">
        <v>1015001</v>
      </c>
      <c r="P118" s="36">
        <f t="shared" si="1"/>
        <v>4</v>
      </c>
      <c r="Q118" s="36" t="s">
        <v>860</v>
      </c>
      <c r="R118" s="36" t="s">
        <v>678</v>
      </c>
      <c r="S118" s="36">
        <v>10150</v>
      </c>
      <c r="T118" s="36">
        <v>10150</v>
      </c>
      <c r="U118" s="36" t="s">
        <v>679</v>
      </c>
      <c r="V118" s="36">
        <v>10000</v>
      </c>
      <c r="W118" s="36">
        <v>1000</v>
      </c>
      <c r="X118" s="36">
        <v>30000</v>
      </c>
      <c r="Y118" s="36">
        <v>10000</v>
      </c>
      <c r="Z118" s="36">
        <v>110</v>
      </c>
      <c r="AA118" s="36" t="s">
        <v>680</v>
      </c>
    </row>
    <row r="119" ht="17.25" spans="1:27">
      <c r="A119" s="36"/>
      <c r="B119" s="36"/>
      <c r="C119" s="36"/>
      <c r="D119" s="36"/>
      <c r="F119" s="36"/>
      <c r="G119" s="36"/>
      <c r="H119" s="36">
        <v>20151</v>
      </c>
      <c r="I119" s="36" t="s">
        <v>328</v>
      </c>
      <c r="J119" s="36"/>
      <c r="K119" s="36"/>
      <c r="L119" s="32" t="s">
        <v>681</v>
      </c>
      <c r="M119" s="36">
        <v>2</v>
      </c>
      <c r="N119" s="36">
        <v>6</v>
      </c>
      <c r="O119" s="36">
        <v>1015101</v>
      </c>
      <c r="P119" s="36">
        <f t="shared" si="1"/>
        <v>4</v>
      </c>
      <c r="Q119" s="36" t="s">
        <v>861</v>
      </c>
      <c r="R119" s="36" t="s">
        <v>682</v>
      </c>
      <c r="S119" s="36">
        <v>10151</v>
      </c>
      <c r="T119" s="36">
        <v>10151</v>
      </c>
      <c r="U119" s="36" t="s">
        <v>683</v>
      </c>
      <c r="V119" s="36">
        <v>10000</v>
      </c>
      <c r="W119" s="36">
        <v>1000</v>
      </c>
      <c r="X119" s="36">
        <v>30000</v>
      </c>
      <c r="Y119" s="36">
        <v>10000</v>
      </c>
      <c r="Z119" s="36">
        <v>110</v>
      </c>
      <c r="AA119" s="36" t="s">
        <v>684</v>
      </c>
    </row>
    <row r="120" ht="17.25" spans="1:27">
      <c r="A120" s="36"/>
      <c r="B120" s="36"/>
      <c r="C120" s="36"/>
      <c r="D120" s="36"/>
      <c r="F120" s="36"/>
      <c r="G120" s="36"/>
      <c r="H120" s="36">
        <v>20160</v>
      </c>
      <c r="I120" s="36" t="s">
        <v>98</v>
      </c>
      <c r="J120" s="36">
        <v>1</v>
      </c>
      <c r="K120" s="36" t="s">
        <v>756</v>
      </c>
      <c r="L120" s="32" t="s">
        <v>99</v>
      </c>
      <c r="M120" s="36">
        <v>2</v>
      </c>
      <c r="N120" s="36">
        <v>2</v>
      </c>
      <c r="O120" s="36">
        <v>1016001</v>
      </c>
      <c r="P120" s="36">
        <f t="shared" si="1"/>
        <v>5</v>
      </c>
      <c r="Q120" s="36" t="s">
        <v>862</v>
      </c>
      <c r="R120" s="36" t="s">
        <v>101</v>
      </c>
      <c r="S120" s="36">
        <v>10160</v>
      </c>
      <c r="T120" s="36">
        <v>10160</v>
      </c>
      <c r="U120" s="36" t="s">
        <v>102</v>
      </c>
      <c r="V120" s="36">
        <v>10000</v>
      </c>
      <c r="W120" s="36">
        <v>1000</v>
      </c>
      <c r="X120" s="36">
        <v>30000</v>
      </c>
      <c r="Y120" s="36">
        <v>10000</v>
      </c>
      <c r="Z120" s="36">
        <v>110</v>
      </c>
      <c r="AA120" s="36" t="s">
        <v>103</v>
      </c>
    </row>
    <row r="121" ht="17.25" spans="1:27">
      <c r="A121" s="36"/>
      <c r="B121" s="36"/>
      <c r="C121" s="36"/>
      <c r="D121" s="36"/>
      <c r="F121" s="36"/>
      <c r="G121" s="36"/>
      <c r="H121" s="36">
        <v>20161</v>
      </c>
      <c r="I121" s="36" t="s">
        <v>104</v>
      </c>
      <c r="J121" s="36"/>
      <c r="K121" s="36"/>
      <c r="L121" s="32" t="s">
        <v>105</v>
      </c>
      <c r="M121" s="36">
        <v>2</v>
      </c>
      <c r="N121" s="36">
        <v>4</v>
      </c>
      <c r="O121" s="36">
        <v>1016101</v>
      </c>
      <c r="P121" s="36">
        <f t="shared" si="1"/>
        <v>5</v>
      </c>
      <c r="Q121" s="36" t="s">
        <v>863</v>
      </c>
      <c r="R121" s="36" t="s">
        <v>107</v>
      </c>
      <c r="S121" s="36">
        <v>10161</v>
      </c>
      <c r="T121" s="36">
        <v>10161</v>
      </c>
      <c r="U121" s="36" t="s">
        <v>108</v>
      </c>
      <c r="V121" s="36">
        <v>10000</v>
      </c>
      <c r="W121" s="36">
        <v>1000</v>
      </c>
      <c r="X121" s="36">
        <v>30000</v>
      </c>
      <c r="Y121" s="36">
        <v>10000</v>
      </c>
      <c r="Z121" s="36">
        <v>110</v>
      </c>
      <c r="AA121" s="36" t="s">
        <v>103</v>
      </c>
    </row>
    <row r="122" ht="17.25" spans="1:27">
      <c r="A122" s="36"/>
      <c r="B122" s="36"/>
      <c r="C122" s="36"/>
      <c r="D122" s="36"/>
      <c r="F122" s="36"/>
      <c r="G122" s="36"/>
      <c r="H122" s="36">
        <v>20170</v>
      </c>
      <c r="I122" s="36" t="s">
        <v>340</v>
      </c>
      <c r="J122" s="36"/>
      <c r="K122" s="36"/>
      <c r="L122" s="32" t="s">
        <v>685</v>
      </c>
      <c r="M122" s="36">
        <v>2</v>
      </c>
      <c r="N122" s="36">
        <v>3</v>
      </c>
      <c r="O122" s="36">
        <v>1017001</v>
      </c>
      <c r="P122" s="36">
        <f t="shared" si="1"/>
        <v>5</v>
      </c>
      <c r="Q122" s="36" t="s">
        <v>864</v>
      </c>
      <c r="R122" s="36" t="s">
        <v>686</v>
      </c>
      <c r="S122" s="36">
        <v>10170</v>
      </c>
      <c r="T122" s="36">
        <v>10170</v>
      </c>
      <c r="U122" s="36" t="s">
        <v>687</v>
      </c>
      <c r="V122" s="36">
        <v>10000</v>
      </c>
      <c r="W122" s="36">
        <v>1000</v>
      </c>
      <c r="X122" s="36">
        <v>30000</v>
      </c>
      <c r="Y122" s="36">
        <v>10000</v>
      </c>
      <c r="Z122" s="36">
        <v>110</v>
      </c>
      <c r="AA122" s="36" t="s">
        <v>114</v>
      </c>
    </row>
    <row r="123" ht="17.25" spans="1:27">
      <c r="A123" s="36"/>
      <c r="B123" s="36"/>
      <c r="C123" s="36"/>
      <c r="D123" s="36"/>
      <c r="F123" s="36"/>
      <c r="G123" s="36"/>
      <c r="H123" s="36">
        <v>20171</v>
      </c>
      <c r="I123" s="36" t="s">
        <v>345</v>
      </c>
      <c r="J123" s="36"/>
      <c r="K123" s="36"/>
      <c r="L123" s="32" t="s">
        <v>688</v>
      </c>
      <c r="M123" s="36">
        <v>2</v>
      </c>
      <c r="N123" s="36">
        <v>4</v>
      </c>
      <c r="O123" s="36">
        <v>1017101</v>
      </c>
      <c r="P123" s="36">
        <f t="shared" si="1"/>
        <v>5</v>
      </c>
      <c r="Q123" s="36" t="s">
        <v>865</v>
      </c>
      <c r="R123" s="36" t="s">
        <v>689</v>
      </c>
      <c r="S123" s="36">
        <v>10171</v>
      </c>
      <c r="T123" s="36">
        <v>10171</v>
      </c>
      <c r="U123" s="36" t="s">
        <v>690</v>
      </c>
      <c r="V123" s="36">
        <v>10000</v>
      </c>
      <c r="W123" s="36">
        <v>1000</v>
      </c>
      <c r="X123" s="36">
        <v>30000</v>
      </c>
      <c r="Y123" s="36">
        <v>10000</v>
      </c>
      <c r="Z123" s="36">
        <v>110</v>
      </c>
      <c r="AA123" s="36" t="s">
        <v>114</v>
      </c>
    </row>
    <row r="124" ht="17.25" spans="1:27">
      <c r="A124" s="36"/>
      <c r="B124" s="36"/>
      <c r="C124" s="36"/>
      <c r="D124" s="36"/>
      <c r="F124" s="36"/>
      <c r="G124" s="36"/>
      <c r="H124" s="36">
        <v>20180</v>
      </c>
      <c r="I124" s="36" t="s">
        <v>350</v>
      </c>
      <c r="J124" s="36"/>
      <c r="K124" s="36"/>
      <c r="L124" s="32" t="s">
        <v>691</v>
      </c>
      <c r="M124" s="36">
        <v>2</v>
      </c>
      <c r="N124" s="36">
        <v>3</v>
      </c>
      <c r="O124" s="36">
        <v>1018001</v>
      </c>
      <c r="P124" s="36">
        <f t="shared" si="1"/>
        <v>5</v>
      </c>
      <c r="Q124" s="36" t="s">
        <v>866</v>
      </c>
      <c r="R124" s="36" t="s">
        <v>692</v>
      </c>
      <c r="S124" s="36">
        <v>10180</v>
      </c>
      <c r="T124" s="36">
        <v>10180</v>
      </c>
      <c r="U124" s="36" t="s">
        <v>693</v>
      </c>
      <c r="V124" s="36">
        <v>10000</v>
      </c>
      <c r="W124" s="36">
        <v>1000</v>
      </c>
      <c r="X124" s="36">
        <v>30000</v>
      </c>
      <c r="Y124" s="36">
        <v>10000</v>
      </c>
      <c r="Z124" s="36">
        <v>110</v>
      </c>
      <c r="AA124" s="36" t="s">
        <v>694</v>
      </c>
    </row>
    <row r="125" ht="17.25" spans="1:27">
      <c r="A125" s="36"/>
      <c r="B125" s="36"/>
      <c r="C125" s="36"/>
      <c r="D125" s="36"/>
      <c r="F125" s="36"/>
      <c r="G125" s="36"/>
      <c r="H125" s="36">
        <v>20181</v>
      </c>
      <c r="I125" s="36" t="s">
        <v>355</v>
      </c>
      <c r="J125" s="36"/>
      <c r="K125" s="36"/>
      <c r="L125" s="32" t="s">
        <v>695</v>
      </c>
      <c r="M125" s="36">
        <v>2</v>
      </c>
      <c r="N125" s="36">
        <v>6</v>
      </c>
      <c r="O125" s="36">
        <v>1018101</v>
      </c>
      <c r="P125" s="36">
        <f t="shared" si="1"/>
        <v>5</v>
      </c>
      <c r="Q125" s="36" t="s">
        <v>867</v>
      </c>
      <c r="R125" s="36" t="s">
        <v>696</v>
      </c>
      <c r="S125" s="36">
        <v>10181</v>
      </c>
      <c r="T125" s="36">
        <v>10181</v>
      </c>
      <c r="U125" s="36" t="s">
        <v>697</v>
      </c>
      <c r="V125" s="36">
        <v>10000</v>
      </c>
      <c r="W125" s="36">
        <v>1000</v>
      </c>
      <c r="X125" s="36">
        <v>30000</v>
      </c>
      <c r="Y125" s="36">
        <v>10000</v>
      </c>
      <c r="Z125" s="36">
        <v>110</v>
      </c>
      <c r="AA125" s="36" t="s">
        <v>114</v>
      </c>
    </row>
    <row r="126" ht="17.25" spans="1:27">
      <c r="A126" s="36"/>
      <c r="B126" s="36"/>
      <c r="C126" s="36"/>
      <c r="D126" s="36"/>
      <c r="F126" s="36"/>
      <c r="G126" s="36"/>
      <c r="H126" s="36">
        <v>20190</v>
      </c>
      <c r="I126" s="36" t="s">
        <v>109</v>
      </c>
      <c r="J126" s="36">
        <v>1</v>
      </c>
      <c r="K126" s="36" t="s">
        <v>661</v>
      </c>
      <c r="L126" s="32" t="s">
        <v>110</v>
      </c>
      <c r="M126" s="36">
        <v>2</v>
      </c>
      <c r="N126" s="36">
        <v>1</v>
      </c>
      <c r="O126" s="36">
        <v>1019001</v>
      </c>
      <c r="P126" s="36">
        <f t="shared" si="1"/>
        <v>5</v>
      </c>
      <c r="Q126" s="36" t="s">
        <v>868</v>
      </c>
      <c r="R126" s="36" t="s">
        <v>112</v>
      </c>
      <c r="S126" s="36">
        <v>10190</v>
      </c>
      <c r="T126" s="36">
        <v>10190</v>
      </c>
      <c r="U126" s="36" t="s">
        <v>113</v>
      </c>
      <c r="V126" s="36">
        <v>10000</v>
      </c>
      <c r="W126" s="36">
        <v>1000</v>
      </c>
      <c r="X126" s="36">
        <v>30000</v>
      </c>
      <c r="Y126" s="36">
        <v>10000</v>
      </c>
      <c r="Z126" s="36">
        <v>110</v>
      </c>
      <c r="AA126" s="36" t="s">
        <v>114</v>
      </c>
    </row>
    <row r="127" ht="17.25" spans="1:27">
      <c r="A127" s="36"/>
      <c r="B127" s="36"/>
      <c r="C127" s="36"/>
      <c r="D127" s="36"/>
      <c r="F127" s="36"/>
      <c r="G127" s="36"/>
      <c r="H127" s="36">
        <v>20191</v>
      </c>
      <c r="I127" s="36" t="s">
        <v>115</v>
      </c>
      <c r="J127" s="36"/>
      <c r="K127" s="36"/>
      <c r="L127" s="32" t="s">
        <v>116</v>
      </c>
      <c r="M127" s="36">
        <v>2</v>
      </c>
      <c r="N127" s="36">
        <v>3</v>
      </c>
      <c r="O127" s="36">
        <v>1019101</v>
      </c>
      <c r="P127" s="36">
        <f t="shared" si="1"/>
        <v>5</v>
      </c>
      <c r="Q127" s="36" t="s">
        <v>869</v>
      </c>
      <c r="R127" s="36" t="s">
        <v>118</v>
      </c>
      <c r="S127" s="36">
        <v>10191</v>
      </c>
      <c r="T127" s="36">
        <v>10191</v>
      </c>
      <c r="U127" s="36" t="s">
        <v>119</v>
      </c>
      <c r="V127" s="36">
        <v>10000</v>
      </c>
      <c r="W127" s="36">
        <v>1000</v>
      </c>
      <c r="X127" s="36">
        <v>30000</v>
      </c>
      <c r="Y127" s="36">
        <v>10000</v>
      </c>
      <c r="Z127" s="36">
        <v>110</v>
      </c>
      <c r="AA127" s="36" t="s">
        <v>114</v>
      </c>
    </row>
    <row r="128" ht="17.25" spans="1:27">
      <c r="A128" s="36"/>
      <c r="B128" s="36"/>
      <c r="C128" s="36"/>
      <c r="D128" s="36"/>
      <c r="F128" s="36"/>
      <c r="G128" s="36"/>
      <c r="H128" s="36">
        <v>20192</v>
      </c>
      <c r="I128" s="36" t="s">
        <v>366</v>
      </c>
      <c r="J128" s="36"/>
      <c r="K128" s="36"/>
      <c r="L128" s="32" t="s">
        <v>702</v>
      </c>
      <c r="M128" s="36">
        <v>2</v>
      </c>
      <c r="N128" s="36">
        <v>7</v>
      </c>
      <c r="O128" s="36">
        <v>1019201</v>
      </c>
      <c r="P128" s="36">
        <f t="shared" si="1"/>
        <v>5</v>
      </c>
      <c r="Q128" s="36" t="s">
        <v>870</v>
      </c>
      <c r="R128" s="36" t="s">
        <v>703</v>
      </c>
      <c r="S128" s="36">
        <v>10192</v>
      </c>
      <c r="T128" s="36">
        <v>10192</v>
      </c>
      <c r="U128" s="36" t="s">
        <v>704</v>
      </c>
      <c r="V128" s="36">
        <v>10000</v>
      </c>
      <c r="W128" s="36">
        <v>1000</v>
      </c>
      <c r="X128" s="36">
        <v>30000</v>
      </c>
      <c r="Y128" s="36">
        <v>10000</v>
      </c>
      <c r="Z128" s="36">
        <v>110</v>
      </c>
      <c r="AA128" s="36" t="s">
        <v>114</v>
      </c>
    </row>
    <row r="129" ht="17.25" spans="1:27">
      <c r="A129" s="36"/>
      <c r="B129" s="36"/>
      <c r="C129" s="36"/>
      <c r="D129" s="36"/>
      <c r="F129" s="36"/>
      <c r="G129" s="36"/>
      <c r="H129" s="36">
        <v>20210</v>
      </c>
      <c r="I129" s="36" t="s">
        <v>371</v>
      </c>
      <c r="J129" s="36"/>
      <c r="K129" s="36"/>
      <c r="L129" s="32" t="s">
        <v>705</v>
      </c>
      <c r="M129" s="36">
        <v>2</v>
      </c>
      <c r="N129" s="36">
        <v>3</v>
      </c>
      <c r="O129" s="36">
        <v>1021001</v>
      </c>
      <c r="P129" s="36">
        <f t="shared" si="1"/>
        <v>5</v>
      </c>
      <c r="Q129" s="36" t="s">
        <v>871</v>
      </c>
      <c r="R129" s="36" t="s">
        <v>706</v>
      </c>
      <c r="S129" s="36">
        <v>10210</v>
      </c>
      <c r="T129" s="36">
        <v>10210</v>
      </c>
      <c r="U129" s="36" t="s">
        <v>707</v>
      </c>
      <c r="V129" s="36">
        <v>10000</v>
      </c>
      <c r="W129" s="36">
        <v>1000</v>
      </c>
      <c r="X129" s="36">
        <v>30000</v>
      </c>
      <c r="Y129" s="36">
        <v>10000</v>
      </c>
      <c r="Z129" s="36">
        <v>110</v>
      </c>
      <c r="AA129" s="36" t="s">
        <v>708</v>
      </c>
    </row>
    <row r="130" ht="17.25" spans="1:27">
      <c r="A130" s="36"/>
      <c r="B130" s="36"/>
      <c r="C130" s="36"/>
      <c r="D130" s="36"/>
      <c r="F130" s="36"/>
      <c r="G130" s="36"/>
      <c r="H130" s="36">
        <v>20211</v>
      </c>
      <c r="I130" s="36" t="s">
        <v>376</v>
      </c>
      <c r="J130" s="36"/>
      <c r="K130" s="36"/>
      <c r="L130" s="32" t="s">
        <v>709</v>
      </c>
      <c r="M130" s="36">
        <v>2</v>
      </c>
      <c r="N130" s="36">
        <v>6</v>
      </c>
      <c r="O130" s="36">
        <v>1021101</v>
      </c>
      <c r="P130" s="36">
        <f t="shared" si="1"/>
        <v>5</v>
      </c>
      <c r="Q130" s="36" t="s">
        <v>872</v>
      </c>
      <c r="R130" s="36" t="s">
        <v>710</v>
      </c>
      <c r="S130" s="36">
        <v>10211</v>
      </c>
      <c r="T130" s="36">
        <v>10211</v>
      </c>
      <c r="U130" s="36" t="s">
        <v>711</v>
      </c>
      <c r="V130" s="36">
        <v>10000</v>
      </c>
      <c r="W130" s="36">
        <v>1000</v>
      </c>
      <c r="X130" s="36">
        <v>30000</v>
      </c>
      <c r="Y130" s="36">
        <v>10000</v>
      </c>
      <c r="Z130" s="36">
        <v>110</v>
      </c>
      <c r="AA130" s="36" t="s">
        <v>712</v>
      </c>
    </row>
    <row r="131" ht="17.25" spans="1:27">
      <c r="A131" s="36"/>
      <c r="B131" s="36"/>
      <c r="C131" s="36"/>
      <c r="D131" s="36"/>
      <c r="F131" s="36"/>
      <c r="G131" s="36"/>
      <c r="H131" s="36">
        <v>20220</v>
      </c>
      <c r="I131" s="36" t="s">
        <v>381</v>
      </c>
      <c r="J131" s="36"/>
      <c r="K131" s="36"/>
      <c r="L131" s="32" t="s">
        <v>713</v>
      </c>
      <c r="M131" s="36">
        <v>2</v>
      </c>
      <c r="N131" s="36">
        <v>1</v>
      </c>
      <c r="O131" s="36">
        <v>1022001</v>
      </c>
      <c r="P131" s="36">
        <f t="shared" si="1"/>
        <v>5</v>
      </c>
      <c r="Q131" s="36" t="s">
        <v>873</v>
      </c>
      <c r="R131" s="36" t="s">
        <v>714</v>
      </c>
      <c r="S131" s="36">
        <v>10220</v>
      </c>
      <c r="T131" s="36">
        <v>10220</v>
      </c>
      <c r="U131" s="36" t="s">
        <v>715</v>
      </c>
      <c r="V131" s="36">
        <v>10000</v>
      </c>
      <c r="W131" s="36">
        <v>1000</v>
      </c>
      <c r="X131" s="36">
        <v>30000</v>
      </c>
      <c r="Y131" s="36">
        <v>10000</v>
      </c>
      <c r="Z131" s="36">
        <v>110</v>
      </c>
      <c r="AA131" s="36" t="s">
        <v>708</v>
      </c>
    </row>
    <row r="132" ht="17.25" spans="1:27">
      <c r="A132" s="36"/>
      <c r="B132" s="36"/>
      <c r="C132" s="36"/>
      <c r="D132" s="36"/>
      <c r="F132" s="36"/>
      <c r="G132" s="36"/>
      <c r="H132" s="36">
        <v>20221</v>
      </c>
      <c r="I132" s="36" t="s">
        <v>386</v>
      </c>
      <c r="J132" s="36"/>
      <c r="K132" s="36"/>
      <c r="L132" s="32" t="s">
        <v>716</v>
      </c>
      <c r="M132" s="36">
        <v>2</v>
      </c>
      <c r="N132" s="36">
        <v>4</v>
      </c>
      <c r="O132" s="36">
        <v>1022101</v>
      </c>
      <c r="P132" s="36">
        <f t="shared" si="1"/>
        <v>5</v>
      </c>
      <c r="Q132" s="36" t="s">
        <v>874</v>
      </c>
      <c r="R132" s="36" t="s">
        <v>717</v>
      </c>
      <c r="S132" s="36">
        <v>10221</v>
      </c>
      <c r="T132" s="36">
        <v>10221</v>
      </c>
      <c r="U132" s="36" t="s">
        <v>718</v>
      </c>
      <c r="V132" s="36">
        <v>10000</v>
      </c>
      <c r="W132" s="36">
        <v>1000</v>
      </c>
      <c r="X132" s="36">
        <v>30000</v>
      </c>
      <c r="Y132" s="36">
        <v>10000</v>
      </c>
      <c r="Z132" s="36">
        <v>110</v>
      </c>
      <c r="AA132" s="36" t="s">
        <v>712</v>
      </c>
    </row>
    <row r="133" ht="17.25" spans="1:27">
      <c r="A133" s="36"/>
      <c r="B133" s="36"/>
      <c r="C133" s="36"/>
      <c r="D133" s="36"/>
      <c r="F133" s="36"/>
      <c r="G133" s="36"/>
      <c r="H133" s="36">
        <v>20230</v>
      </c>
      <c r="I133" s="36" t="s">
        <v>391</v>
      </c>
      <c r="J133" s="36"/>
      <c r="K133" s="36"/>
      <c r="L133" s="32" t="s">
        <v>719</v>
      </c>
      <c r="M133" s="36">
        <v>2</v>
      </c>
      <c r="N133" s="36">
        <v>3</v>
      </c>
      <c r="O133" s="36">
        <v>1023001</v>
      </c>
      <c r="P133" s="36">
        <f t="shared" si="1"/>
        <v>5</v>
      </c>
      <c r="Q133" s="36" t="s">
        <v>875</v>
      </c>
      <c r="R133" s="36" t="s">
        <v>720</v>
      </c>
      <c r="S133" s="36">
        <v>10230</v>
      </c>
      <c r="T133" s="36">
        <v>10230</v>
      </c>
      <c r="U133" s="36" t="s">
        <v>721</v>
      </c>
      <c r="V133" s="36">
        <v>10000</v>
      </c>
      <c r="W133" s="36">
        <v>1000</v>
      </c>
      <c r="X133" s="36">
        <v>30000</v>
      </c>
      <c r="Y133" s="36">
        <v>10000</v>
      </c>
      <c r="Z133" s="36">
        <v>110</v>
      </c>
      <c r="AA133" s="36" t="s">
        <v>80</v>
      </c>
    </row>
    <row r="134" ht="17.25" spans="1:27">
      <c r="A134" s="36"/>
      <c r="B134" s="36"/>
      <c r="C134" s="36"/>
      <c r="D134" s="36"/>
      <c r="F134" s="36"/>
      <c r="G134" s="36"/>
      <c r="H134" s="36">
        <v>20231</v>
      </c>
      <c r="I134" s="36" t="s">
        <v>396</v>
      </c>
      <c r="J134" s="36"/>
      <c r="K134" s="36"/>
      <c r="L134" s="32" t="s">
        <v>722</v>
      </c>
      <c r="M134" s="36">
        <v>2</v>
      </c>
      <c r="N134" s="36">
        <v>5</v>
      </c>
      <c r="O134" s="36">
        <v>1023101</v>
      </c>
      <c r="P134" s="36">
        <f t="shared" si="1"/>
        <v>5</v>
      </c>
      <c r="Q134" s="36" t="s">
        <v>876</v>
      </c>
      <c r="R134" s="36" t="s">
        <v>723</v>
      </c>
      <c r="S134" s="36">
        <v>10231</v>
      </c>
      <c r="T134" s="36">
        <v>10231</v>
      </c>
      <c r="U134" s="36" t="s">
        <v>724</v>
      </c>
      <c r="V134" s="36">
        <v>10000</v>
      </c>
      <c r="W134" s="36">
        <v>1000</v>
      </c>
      <c r="X134" s="36">
        <v>30000</v>
      </c>
      <c r="Y134" s="36">
        <v>10000</v>
      </c>
      <c r="Z134" s="36">
        <v>110</v>
      </c>
      <c r="AA134" s="36" t="s">
        <v>114</v>
      </c>
    </row>
    <row r="135" ht="17.25" spans="1:27">
      <c r="A135" s="36"/>
      <c r="B135" s="36"/>
      <c r="C135" s="36"/>
      <c r="D135" s="36"/>
      <c r="F135" s="36"/>
      <c r="G135" s="36"/>
      <c r="H135" s="36">
        <v>20250</v>
      </c>
      <c r="I135" s="36" t="s">
        <v>725</v>
      </c>
      <c r="J135" s="36"/>
      <c r="K135" s="36"/>
      <c r="L135" s="32" t="s">
        <v>726</v>
      </c>
      <c r="M135" s="36">
        <v>2</v>
      </c>
      <c r="N135" s="36">
        <v>3</v>
      </c>
      <c r="O135" s="36">
        <v>1025001</v>
      </c>
      <c r="P135" s="36">
        <f t="shared" si="1"/>
        <v>5</v>
      </c>
      <c r="Q135" s="36" t="s">
        <v>877</v>
      </c>
      <c r="R135" s="36" t="s">
        <v>727</v>
      </c>
      <c r="S135" s="36">
        <v>10250</v>
      </c>
      <c r="T135" s="36">
        <v>10250</v>
      </c>
      <c r="U135" s="36" t="s">
        <v>728</v>
      </c>
      <c r="V135" s="36">
        <v>10000</v>
      </c>
      <c r="W135" s="36">
        <v>1000</v>
      </c>
      <c r="X135" s="36">
        <v>30000</v>
      </c>
      <c r="Y135" s="36">
        <v>10000</v>
      </c>
      <c r="Z135" s="36">
        <v>110</v>
      </c>
      <c r="AA135" s="36" t="s">
        <v>80</v>
      </c>
    </row>
    <row r="136" ht="17.25" spans="1:27">
      <c r="A136" s="36"/>
      <c r="B136" s="36"/>
      <c r="C136" s="36"/>
      <c r="D136" s="36"/>
      <c r="F136" s="36"/>
      <c r="G136" s="36"/>
      <c r="H136" s="36">
        <v>20251</v>
      </c>
      <c r="I136" s="36" t="s">
        <v>406</v>
      </c>
      <c r="J136" s="36"/>
      <c r="K136" s="36"/>
      <c r="L136" s="32" t="s">
        <v>729</v>
      </c>
      <c r="M136" s="36">
        <v>2</v>
      </c>
      <c r="N136" s="36">
        <v>4</v>
      </c>
      <c r="O136" s="36">
        <v>1025101</v>
      </c>
      <c r="P136" s="36">
        <f t="shared" si="1"/>
        <v>5</v>
      </c>
      <c r="Q136" s="36" t="s">
        <v>878</v>
      </c>
      <c r="R136" s="36" t="s">
        <v>730</v>
      </c>
      <c r="S136" s="36">
        <v>10251</v>
      </c>
      <c r="T136" s="36">
        <v>10251</v>
      </c>
      <c r="U136" s="36" t="s">
        <v>731</v>
      </c>
      <c r="V136" s="36">
        <v>10000</v>
      </c>
      <c r="W136" s="36">
        <v>1000</v>
      </c>
      <c r="X136" s="36">
        <v>30000</v>
      </c>
      <c r="Y136" s="36">
        <v>10000</v>
      </c>
      <c r="Z136" s="36">
        <v>110</v>
      </c>
      <c r="AA136" s="36" t="s">
        <v>80</v>
      </c>
    </row>
    <row r="137" ht="17.25" spans="1:27">
      <c r="A137" s="36"/>
      <c r="B137" s="36"/>
      <c r="C137" s="36"/>
      <c r="D137" s="36"/>
      <c r="F137" s="36"/>
      <c r="G137" s="36"/>
      <c r="H137" s="36">
        <v>20270</v>
      </c>
      <c r="I137" s="36" t="s">
        <v>414</v>
      </c>
      <c r="J137" s="36"/>
      <c r="K137" s="36"/>
      <c r="L137" s="32" t="s">
        <v>732</v>
      </c>
      <c r="M137" s="36">
        <v>2</v>
      </c>
      <c r="N137" s="36">
        <v>3</v>
      </c>
      <c r="O137" s="36">
        <v>1027001</v>
      </c>
      <c r="P137" s="36">
        <f t="shared" si="1"/>
        <v>5</v>
      </c>
      <c r="Q137" s="36" t="s">
        <v>879</v>
      </c>
      <c r="R137" s="36" t="s">
        <v>733</v>
      </c>
      <c r="S137" s="36">
        <v>10270</v>
      </c>
      <c r="T137" s="36">
        <v>10270</v>
      </c>
      <c r="U137" s="36" t="s">
        <v>734</v>
      </c>
      <c r="V137" s="36">
        <v>10000</v>
      </c>
      <c r="W137" s="36">
        <v>1000</v>
      </c>
      <c r="X137" s="36">
        <v>30000</v>
      </c>
      <c r="Y137" s="36">
        <v>10000</v>
      </c>
      <c r="Z137" s="36">
        <v>110</v>
      </c>
      <c r="AA137" s="36" t="s">
        <v>80</v>
      </c>
    </row>
    <row r="138" ht="17.25" spans="1:27">
      <c r="A138" s="36"/>
      <c r="B138" s="36"/>
      <c r="C138" s="36"/>
      <c r="D138" s="36"/>
      <c r="F138" s="36"/>
      <c r="G138" s="36"/>
      <c r="H138" s="36">
        <v>20271</v>
      </c>
      <c r="I138" s="36" t="s">
        <v>419</v>
      </c>
      <c r="J138" s="36"/>
      <c r="K138" s="36"/>
      <c r="L138" s="32" t="s">
        <v>735</v>
      </c>
      <c r="M138" s="36">
        <v>2</v>
      </c>
      <c r="N138" s="36">
        <v>5</v>
      </c>
      <c r="O138" s="36">
        <v>1027101</v>
      </c>
      <c r="P138" s="36">
        <f t="shared" si="1"/>
        <v>5</v>
      </c>
      <c r="Q138" s="36" t="s">
        <v>880</v>
      </c>
      <c r="R138" s="36" t="s">
        <v>736</v>
      </c>
      <c r="S138" s="36">
        <v>10271</v>
      </c>
      <c r="T138" s="36">
        <v>10271</v>
      </c>
      <c r="U138" s="36" t="s">
        <v>737</v>
      </c>
      <c r="V138" s="36">
        <v>10000</v>
      </c>
      <c r="W138" s="36">
        <v>1000</v>
      </c>
      <c r="X138" s="36">
        <v>30000</v>
      </c>
      <c r="Y138" s="36">
        <v>10000</v>
      </c>
      <c r="Z138" s="36">
        <v>110</v>
      </c>
      <c r="AA138" s="36" t="s">
        <v>80</v>
      </c>
    </row>
    <row r="139" ht="17.25" spans="1:27">
      <c r="A139" s="36"/>
      <c r="B139" s="36"/>
      <c r="C139" s="36"/>
      <c r="D139" s="36"/>
      <c r="F139" s="36"/>
      <c r="G139" s="36"/>
      <c r="H139" s="36">
        <v>20300</v>
      </c>
      <c r="I139" s="36" t="s">
        <v>424</v>
      </c>
      <c r="J139" s="36"/>
      <c r="K139" s="36"/>
      <c r="L139" s="32" t="s">
        <v>742</v>
      </c>
      <c r="M139" s="36">
        <v>2</v>
      </c>
      <c r="N139" s="36">
        <v>1</v>
      </c>
      <c r="O139" s="36">
        <v>1030001</v>
      </c>
      <c r="P139" s="36">
        <f t="shared" si="1"/>
        <v>5</v>
      </c>
      <c r="Q139" s="36" t="s">
        <v>881</v>
      </c>
      <c r="R139" s="36" t="s">
        <v>743</v>
      </c>
      <c r="S139" s="36">
        <v>10300</v>
      </c>
      <c r="T139" s="36">
        <v>10300</v>
      </c>
      <c r="U139" s="36" t="s">
        <v>744</v>
      </c>
      <c r="V139" s="36">
        <v>10000</v>
      </c>
      <c r="W139" s="36">
        <v>1000</v>
      </c>
      <c r="X139" s="36">
        <v>30000</v>
      </c>
      <c r="Y139" s="36">
        <v>10000</v>
      </c>
      <c r="Z139" s="36">
        <v>110</v>
      </c>
      <c r="AA139" s="36" t="s">
        <v>745</v>
      </c>
    </row>
    <row r="140" ht="17.25" spans="1:27">
      <c r="A140" s="36"/>
      <c r="B140" s="36"/>
      <c r="C140" s="36"/>
      <c r="D140" s="36"/>
      <c r="F140" s="36"/>
      <c r="G140" s="36"/>
      <c r="H140" s="36">
        <v>20301</v>
      </c>
      <c r="I140" s="36" t="s">
        <v>125</v>
      </c>
      <c r="J140" s="36"/>
      <c r="K140" s="36"/>
      <c r="L140" s="32" t="s">
        <v>126</v>
      </c>
      <c r="M140" s="36">
        <v>2</v>
      </c>
      <c r="N140" s="36">
        <v>2</v>
      </c>
      <c r="O140" s="36">
        <v>1030101</v>
      </c>
      <c r="P140" s="36">
        <f t="shared" si="1"/>
        <v>5</v>
      </c>
      <c r="Q140" s="36" t="s">
        <v>882</v>
      </c>
      <c r="R140" s="36" t="s">
        <v>128</v>
      </c>
      <c r="S140" s="36">
        <v>10301</v>
      </c>
      <c r="T140" s="36">
        <v>10301</v>
      </c>
      <c r="U140" s="36" t="s">
        <v>129</v>
      </c>
      <c r="V140" s="36">
        <v>10000</v>
      </c>
      <c r="W140" s="36">
        <v>1000</v>
      </c>
      <c r="X140" s="36">
        <v>30000</v>
      </c>
      <c r="Y140" s="36">
        <v>10000</v>
      </c>
      <c r="Z140" s="36">
        <v>110</v>
      </c>
      <c r="AA140" s="36" t="s">
        <v>130</v>
      </c>
    </row>
    <row r="141" ht="17.25" spans="1:27">
      <c r="A141" s="36"/>
      <c r="B141" s="36"/>
      <c r="C141" s="36"/>
      <c r="D141" s="36"/>
      <c r="F141" s="36"/>
      <c r="G141" s="36"/>
      <c r="H141" s="36">
        <v>20320</v>
      </c>
      <c r="I141" s="36" t="s">
        <v>432</v>
      </c>
      <c r="J141" s="36"/>
      <c r="K141" s="36"/>
      <c r="L141" s="32" t="s">
        <v>746</v>
      </c>
      <c r="M141" s="36">
        <v>2</v>
      </c>
      <c r="N141" s="36">
        <v>2</v>
      </c>
      <c r="O141" s="36">
        <v>1032001</v>
      </c>
      <c r="P141" s="36">
        <f t="shared" si="1"/>
        <v>5</v>
      </c>
      <c r="Q141" s="36" t="s">
        <v>883</v>
      </c>
      <c r="R141" s="36" t="s">
        <v>747</v>
      </c>
      <c r="S141" s="36">
        <v>10320</v>
      </c>
      <c r="T141" s="36">
        <v>10320</v>
      </c>
      <c r="U141" s="36" t="s">
        <v>748</v>
      </c>
      <c r="V141" s="36">
        <v>10000</v>
      </c>
      <c r="W141" s="36">
        <v>1000</v>
      </c>
      <c r="X141" s="36">
        <v>30000</v>
      </c>
      <c r="Y141" s="36">
        <v>10000</v>
      </c>
      <c r="Z141" s="36">
        <v>110</v>
      </c>
      <c r="AA141" s="36" t="s">
        <v>80</v>
      </c>
    </row>
    <row r="142" ht="17.25" spans="1:27">
      <c r="A142" s="36"/>
      <c r="B142" s="36"/>
      <c r="C142" s="36"/>
      <c r="D142" s="36"/>
      <c r="F142" s="36"/>
      <c r="G142" s="36"/>
      <c r="H142" s="36">
        <v>20321</v>
      </c>
      <c r="I142" s="36" t="s">
        <v>437</v>
      </c>
      <c r="J142" s="36"/>
      <c r="K142" s="36"/>
      <c r="L142" s="32" t="s">
        <v>749</v>
      </c>
      <c r="M142" s="36">
        <v>2</v>
      </c>
      <c r="N142" s="36">
        <v>5</v>
      </c>
      <c r="O142" s="36">
        <v>1032101</v>
      </c>
      <c r="P142" s="36">
        <f t="shared" si="1"/>
        <v>5</v>
      </c>
      <c r="Q142" s="36" t="s">
        <v>884</v>
      </c>
      <c r="R142" s="36" t="s">
        <v>750</v>
      </c>
      <c r="S142" s="36">
        <v>10321</v>
      </c>
      <c r="T142" s="36">
        <v>10321</v>
      </c>
      <c r="U142" s="36" t="s">
        <v>751</v>
      </c>
      <c r="V142" s="36">
        <v>10000</v>
      </c>
      <c r="W142" s="36">
        <v>1000</v>
      </c>
      <c r="X142" s="36">
        <v>30000</v>
      </c>
      <c r="Y142" s="36">
        <v>10000</v>
      </c>
      <c r="Z142" s="36">
        <v>110</v>
      </c>
      <c r="AA142" s="36" t="s">
        <v>80</v>
      </c>
    </row>
    <row r="143" ht="17.25" spans="1:27">
      <c r="A143" s="36"/>
      <c r="B143" s="36"/>
      <c r="C143" s="36"/>
      <c r="D143" s="36"/>
      <c r="F143" s="36"/>
      <c r="G143" s="36"/>
      <c r="H143" s="36">
        <v>20330</v>
      </c>
      <c r="I143" s="36" t="s">
        <v>131</v>
      </c>
      <c r="J143" s="36"/>
      <c r="K143" s="36"/>
      <c r="L143" s="32" t="s">
        <v>132</v>
      </c>
      <c r="M143" s="36">
        <v>2</v>
      </c>
      <c r="N143" s="36">
        <v>2</v>
      </c>
      <c r="O143" s="36">
        <v>1033001</v>
      </c>
      <c r="P143" s="36">
        <f t="shared" si="1"/>
        <v>5</v>
      </c>
      <c r="Q143" s="36" t="s">
        <v>885</v>
      </c>
      <c r="R143" s="36" t="s">
        <v>134</v>
      </c>
      <c r="S143" s="36">
        <v>10330</v>
      </c>
      <c r="T143" s="36">
        <v>10330</v>
      </c>
      <c r="U143" s="36" t="s">
        <v>135</v>
      </c>
      <c r="V143" s="36">
        <v>10000</v>
      </c>
      <c r="W143" s="36">
        <v>1000</v>
      </c>
      <c r="X143" s="36">
        <v>30000</v>
      </c>
      <c r="Y143" s="36">
        <v>10000</v>
      </c>
      <c r="Z143" s="36">
        <v>110</v>
      </c>
      <c r="AA143" s="36" t="s">
        <v>136</v>
      </c>
    </row>
    <row r="144" ht="17.25" spans="1:27">
      <c r="A144" s="36"/>
      <c r="B144" s="36"/>
      <c r="C144" s="36"/>
      <c r="D144" s="36"/>
      <c r="F144" s="36"/>
      <c r="G144" s="36"/>
      <c r="H144" s="36">
        <v>20331</v>
      </c>
      <c r="I144" s="36" t="s">
        <v>137</v>
      </c>
      <c r="J144" s="36"/>
      <c r="K144" s="36"/>
      <c r="L144" s="32" t="s">
        <v>138</v>
      </c>
      <c r="M144" s="36">
        <v>2</v>
      </c>
      <c r="N144" s="36">
        <v>4</v>
      </c>
      <c r="O144" s="36">
        <v>1033101</v>
      </c>
      <c r="P144" s="36">
        <f t="shared" si="1"/>
        <v>5</v>
      </c>
      <c r="Q144" s="36" t="s">
        <v>886</v>
      </c>
      <c r="R144" s="36" t="s">
        <v>140</v>
      </c>
      <c r="S144" s="36">
        <v>10331</v>
      </c>
      <c r="T144" s="36">
        <v>10331</v>
      </c>
      <c r="U144" s="36" t="s">
        <v>141</v>
      </c>
      <c r="V144" s="36">
        <v>10000</v>
      </c>
      <c r="W144" s="36">
        <v>1000</v>
      </c>
      <c r="X144" s="36">
        <v>30000</v>
      </c>
      <c r="Y144" s="36">
        <v>10000</v>
      </c>
      <c r="Z144" s="36">
        <v>110</v>
      </c>
      <c r="AA144" s="36" t="s">
        <v>136</v>
      </c>
    </row>
    <row r="145" ht="17.25" spans="1:27">
      <c r="A145" s="36"/>
      <c r="B145" s="36"/>
      <c r="C145" s="36"/>
      <c r="D145" s="36"/>
      <c r="F145" s="36"/>
      <c r="G145" s="36"/>
      <c r="H145" s="36">
        <v>20332</v>
      </c>
      <c r="I145" s="36" t="s">
        <v>448</v>
      </c>
      <c r="J145" s="36"/>
      <c r="K145" s="36"/>
      <c r="L145" s="32" t="s">
        <v>753</v>
      </c>
      <c r="M145" s="36">
        <v>2</v>
      </c>
      <c r="N145" s="36">
        <v>6</v>
      </c>
      <c r="O145" s="36">
        <v>1033201</v>
      </c>
      <c r="P145" s="36">
        <f t="shared" si="1"/>
        <v>5</v>
      </c>
      <c r="Q145" s="36" t="s">
        <v>887</v>
      </c>
      <c r="R145" s="36" t="s">
        <v>754</v>
      </c>
      <c r="S145" s="36">
        <v>10332</v>
      </c>
      <c r="T145" s="36">
        <v>10332</v>
      </c>
      <c r="U145" s="36" t="s">
        <v>755</v>
      </c>
      <c r="V145" s="36">
        <v>10000</v>
      </c>
      <c r="W145" s="36">
        <v>1000</v>
      </c>
      <c r="X145" s="36">
        <v>30000</v>
      </c>
      <c r="Y145" s="36">
        <v>10000</v>
      </c>
      <c r="Z145" s="36">
        <v>110</v>
      </c>
      <c r="AA145" s="36" t="s">
        <v>136</v>
      </c>
    </row>
    <row r="146" ht="17.25" spans="1:27">
      <c r="A146" s="36"/>
      <c r="B146" s="36"/>
      <c r="C146" s="36"/>
      <c r="D146" s="36"/>
      <c r="F146" s="36"/>
      <c r="G146" s="36"/>
      <c r="H146" s="36">
        <v>20350</v>
      </c>
      <c r="I146" s="36" t="s">
        <v>142</v>
      </c>
      <c r="J146" s="36"/>
      <c r="K146" s="36"/>
      <c r="L146" s="32" t="s">
        <v>143</v>
      </c>
      <c r="M146" s="36">
        <v>2</v>
      </c>
      <c r="N146" s="36">
        <v>1</v>
      </c>
      <c r="O146" s="36">
        <v>1035001</v>
      </c>
      <c r="P146" s="36">
        <f t="shared" si="1"/>
        <v>5</v>
      </c>
      <c r="Q146" s="36" t="s">
        <v>888</v>
      </c>
      <c r="R146" s="36" t="s">
        <v>145</v>
      </c>
      <c r="S146" s="36">
        <v>10350</v>
      </c>
      <c r="T146" s="36">
        <v>10350</v>
      </c>
      <c r="U146" s="36" t="s">
        <v>146</v>
      </c>
      <c r="V146" s="36">
        <v>10000</v>
      </c>
      <c r="W146" s="36">
        <v>1000</v>
      </c>
      <c r="X146" s="36">
        <v>30000</v>
      </c>
      <c r="Y146" s="36">
        <v>10000</v>
      </c>
      <c r="Z146" s="36">
        <v>110</v>
      </c>
      <c r="AA146" s="36" t="s">
        <v>147</v>
      </c>
    </row>
    <row r="147" ht="17.25" spans="1:27">
      <c r="A147" s="36"/>
      <c r="B147" s="36"/>
      <c r="C147" s="36"/>
      <c r="D147" s="36"/>
      <c r="F147" s="36"/>
      <c r="G147" s="36"/>
      <c r="H147" s="36">
        <v>20351</v>
      </c>
      <c r="I147" s="36" t="s">
        <v>148</v>
      </c>
      <c r="J147" s="36"/>
      <c r="K147" s="36"/>
      <c r="L147" s="32" t="s">
        <v>149</v>
      </c>
      <c r="M147" s="36">
        <v>2</v>
      </c>
      <c r="N147" s="36">
        <v>4</v>
      </c>
      <c r="O147" s="36">
        <v>1035101</v>
      </c>
      <c r="P147" s="36">
        <f t="shared" si="1"/>
        <v>5</v>
      </c>
      <c r="Q147" s="36" t="s">
        <v>889</v>
      </c>
      <c r="R147" s="36" t="s">
        <v>151</v>
      </c>
      <c r="S147" s="36">
        <v>10351</v>
      </c>
      <c r="T147" s="36">
        <v>10351</v>
      </c>
      <c r="U147" s="36" t="s">
        <v>152</v>
      </c>
      <c r="V147" s="36">
        <v>10000</v>
      </c>
      <c r="W147" s="36">
        <v>1000</v>
      </c>
      <c r="X147" s="36">
        <v>30000</v>
      </c>
      <c r="Y147" s="36">
        <v>10000</v>
      </c>
      <c r="Z147" s="36">
        <v>110</v>
      </c>
      <c r="AA147" s="36" t="s">
        <v>153</v>
      </c>
    </row>
    <row r="148" ht="17.25" spans="1:27">
      <c r="A148" s="36"/>
      <c r="B148" s="36"/>
      <c r="C148" s="36"/>
      <c r="D148" s="36"/>
      <c r="F148" s="36"/>
      <c r="G148" s="36"/>
      <c r="H148" s="36">
        <v>20352</v>
      </c>
      <c r="I148" s="36" t="s">
        <v>459</v>
      </c>
      <c r="J148" s="36"/>
      <c r="K148" s="36"/>
      <c r="L148" s="32" t="s">
        <v>757</v>
      </c>
      <c r="M148" s="36">
        <v>2</v>
      </c>
      <c r="N148" s="36">
        <v>7</v>
      </c>
      <c r="O148" s="36">
        <v>1035201</v>
      </c>
      <c r="P148" s="36">
        <f t="shared" si="1"/>
        <v>5</v>
      </c>
      <c r="Q148" s="36" t="s">
        <v>890</v>
      </c>
      <c r="R148" s="36" t="s">
        <v>758</v>
      </c>
      <c r="S148" s="36">
        <v>10352</v>
      </c>
      <c r="T148" s="36">
        <v>10352</v>
      </c>
      <c r="U148" s="36" t="s">
        <v>759</v>
      </c>
      <c r="V148" s="36">
        <v>10000</v>
      </c>
      <c r="W148" s="36">
        <v>1000</v>
      </c>
      <c r="X148" s="36">
        <v>30000</v>
      </c>
      <c r="Y148" s="36">
        <v>10000</v>
      </c>
      <c r="Z148" s="36">
        <v>110</v>
      </c>
      <c r="AA148" s="36" t="s">
        <v>153</v>
      </c>
    </row>
    <row r="149" ht="17.25" spans="1:27">
      <c r="A149" s="36"/>
      <c r="B149" s="36"/>
      <c r="C149" s="36"/>
      <c r="D149" s="36"/>
      <c r="F149" s="36"/>
      <c r="G149" s="36"/>
      <c r="H149" s="36">
        <v>20360</v>
      </c>
      <c r="I149" s="36" t="s">
        <v>464</v>
      </c>
      <c r="J149" s="36"/>
      <c r="K149" s="36"/>
      <c r="L149" s="32" t="s">
        <v>760</v>
      </c>
      <c r="M149" s="36">
        <v>2</v>
      </c>
      <c r="N149" s="36">
        <v>3</v>
      </c>
      <c r="O149" s="36">
        <v>1036001</v>
      </c>
      <c r="P149" s="36">
        <f t="shared" si="1"/>
        <v>6</v>
      </c>
      <c r="Q149" s="36" t="s">
        <v>891</v>
      </c>
      <c r="R149" s="36" t="s">
        <v>761</v>
      </c>
      <c r="S149" s="36">
        <v>10360</v>
      </c>
      <c r="T149" s="36">
        <v>10360</v>
      </c>
      <c r="U149" s="36" t="s">
        <v>762</v>
      </c>
      <c r="V149" s="36">
        <v>10000</v>
      </c>
      <c r="W149" s="36">
        <v>1000</v>
      </c>
      <c r="X149" s="36">
        <v>30000</v>
      </c>
      <c r="Y149" s="36">
        <v>10000</v>
      </c>
      <c r="Z149" s="36">
        <v>110</v>
      </c>
      <c r="AA149" s="36" t="s">
        <v>646</v>
      </c>
    </row>
    <row r="150" ht="17.25" spans="1:27">
      <c r="A150" s="36"/>
      <c r="B150" s="36"/>
      <c r="C150" s="36"/>
      <c r="D150" s="36"/>
      <c r="F150" s="36"/>
      <c r="G150" s="36"/>
      <c r="H150" s="36">
        <v>20361</v>
      </c>
      <c r="I150" s="36" t="s">
        <v>469</v>
      </c>
      <c r="J150" s="36"/>
      <c r="K150" s="36"/>
      <c r="L150" s="32" t="s">
        <v>763</v>
      </c>
      <c r="M150" s="36">
        <v>2</v>
      </c>
      <c r="N150" s="36">
        <v>6</v>
      </c>
      <c r="O150" s="36">
        <v>1036101</v>
      </c>
      <c r="P150" s="36">
        <f t="shared" si="1"/>
        <v>6</v>
      </c>
      <c r="Q150" s="36" t="s">
        <v>892</v>
      </c>
      <c r="R150" s="36" t="s">
        <v>764</v>
      </c>
      <c r="S150" s="36">
        <v>10361</v>
      </c>
      <c r="T150" s="36">
        <v>10361</v>
      </c>
      <c r="U150" s="36" t="s">
        <v>765</v>
      </c>
      <c r="V150" s="36">
        <v>10000</v>
      </c>
      <c r="W150" s="36">
        <v>1000</v>
      </c>
      <c r="X150" s="36">
        <v>30000</v>
      </c>
      <c r="Y150" s="36">
        <v>10000</v>
      </c>
      <c r="Z150" s="36">
        <v>110</v>
      </c>
      <c r="AA150" s="36" t="s">
        <v>650</v>
      </c>
    </row>
    <row r="151" ht="17.25" spans="1:27">
      <c r="A151" s="36"/>
      <c r="B151" s="36"/>
      <c r="C151" s="36"/>
      <c r="D151" s="36"/>
      <c r="F151" s="36"/>
      <c r="G151" s="36"/>
      <c r="H151" s="36">
        <v>20380</v>
      </c>
      <c r="I151" s="36" t="s">
        <v>474</v>
      </c>
      <c r="J151" s="36"/>
      <c r="K151" s="36"/>
      <c r="L151" s="32" t="s">
        <v>766</v>
      </c>
      <c r="M151" s="36">
        <v>2</v>
      </c>
      <c r="N151" s="36">
        <v>3</v>
      </c>
      <c r="O151" s="36">
        <v>1038001</v>
      </c>
      <c r="P151" s="36">
        <f t="shared" si="1"/>
        <v>6</v>
      </c>
      <c r="Q151" s="36" t="s">
        <v>893</v>
      </c>
      <c r="R151" s="36" t="s">
        <v>767</v>
      </c>
      <c r="S151" s="36">
        <v>10380</v>
      </c>
      <c r="T151" s="36">
        <v>10380</v>
      </c>
      <c r="U151" s="36" t="s">
        <v>768</v>
      </c>
      <c r="V151" s="36">
        <v>10000</v>
      </c>
      <c r="W151" s="36">
        <v>1000</v>
      </c>
      <c r="X151" s="36">
        <v>30000</v>
      </c>
      <c r="Y151" s="36">
        <v>10000</v>
      </c>
      <c r="Z151" s="36">
        <v>110</v>
      </c>
      <c r="AA151" s="36" t="s">
        <v>769</v>
      </c>
    </row>
    <row r="152" ht="17.25" spans="1:27">
      <c r="A152" s="36"/>
      <c r="B152" s="36"/>
      <c r="C152" s="36"/>
      <c r="D152" s="36"/>
      <c r="F152" s="36"/>
      <c r="G152" s="36"/>
      <c r="H152" s="36">
        <v>20381</v>
      </c>
      <c r="I152" s="36" t="s">
        <v>479</v>
      </c>
      <c r="J152" s="36"/>
      <c r="K152" s="36"/>
      <c r="L152" s="32" t="s">
        <v>770</v>
      </c>
      <c r="M152" s="36">
        <v>2</v>
      </c>
      <c r="N152" s="36">
        <v>4</v>
      </c>
      <c r="O152" s="36">
        <v>1038101</v>
      </c>
      <c r="P152" s="36">
        <f t="shared" si="1"/>
        <v>6</v>
      </c>
      <c r="Q152" s="36" t="s">
        <v>894</v>
      </c>
      <c r="R152" s="36" t="s">
        <v>771</v>
      </c>
      <c r="S152" s="36">
        <v>10381</v>
      </c>
      <c r="T152" s="36">
        <v>10381</v>
      </c>
      <c r="U152" s="36" t="s">
        <v>772</v>
      </c>
      <c r="V152" s="36">
        <v>10000</v>
      </c>
      <c r="W152" s="36">
        <v>1000</v>
      </c>
      <c r="X152" s="36">
        <v>30000</v>
      </c>
      <c r="Y152" s="36">
        <v>10000</v>
      </c>
      <c r="Z152" s="36">
        <v>110</v>
      </c>
      <c r="AA152" s="36" t="s">
        <v>773</v>
      </c>
    </row>
    <row r="153" ht="17.25" spans="1:27">
      <c r="A153" s="36"/>
      <c r="B153" s="36"/>
      <c r="C153" s="36"/>
      <c r="D153" s="36"/>
      <c r="F153" s="36"/>
      <c r="G153" s="36"/>
      <c r="H153" s="36">
        <v>20390</v>
      </c>
      <c r="I153" s="36" t="s">
        <v>484</v>
      </c>
      <c r="J153" s="36"/>
      <c r="K153" s="36"/>
      <c r="L153" s="32" t="s">
        <v>774</v>
      </c>
      <c r="M153" s="36">
        <v>2</v>
      </c>
      <c r="N153" s="36">
        <v>3</v>
      </c>
      <c r="O153" s="36">
        <v>1039001</v>
      </c>
      <c r="P153" s="36">
        <f t="shared" si="1"/>
        <v>6</v>
      </c>
      <c r="Q153" s="36" t="s">
        <v>895</v>
      </c>
      <c r="R153" s="36" t="s">
        <v>775</v>
      </c>
      <c r="S153" s="36">
        <v>10390</v>
      </c>
      <c r="T153" s="36">
        <v>10390</v>
      </c>
      <c r="U153" s="36" t="s">
        <v>776</v>
      </c>
      <c r="V153" s="36">
        <v>10000</v>
      </c>
      <c r="W153" s="36">
        <v>1000</v>
      </c>
      <c r="X153" s="36">
        <v>30000</v>
      </c>
      <c r="Y153" s="36">
        <v>10000</v>
      </c>
      <c r="Z153" s="36">
        <v>110</v>
      </c>
      <c r="AA153" s="36" t="s">
        <v>777</v>
      </c>
    </row>
    <row r="154" ht="17.25" spans="1:27">
      <c r="A154" s="36"/>
      <c r="B154" s="36"/>
      <c r="C154" s="36"/>
      <c r="D154" s="36"/>
      <c r="F154" s="36"/>
      <c r="G154" s="36"/>
      <c r="H154" s="36">
        <v>20391</v>
      </c>
      <c r="I154" s="36" t="s">
        <v>489</v>
      </c>
      <c r="J154" s="36"/>
      <c r="K154" s="36"/>
      <c r="L154" s="32" t="s">
        <v>778</v>
      </c>
      <c r="M154" s="36">
        <v>2</v>
      </c>
      <c r="N154" s="36">
        <v>4</v>
      </c>
      <c r="O154" s="36">
        <v>1039101</v>
      </c>
      <c r="P154" s="36">
        <f t="shared" si="1"/>
        <v>6</v>
      </c>
      <c r="Q154" s="36" t="s">
        <v>896</v>
      </c>
      <c r="R154" s="36" t="s">
        <v>779</v>
      </c>
      <c r="S154" s="36">
        <v>10391</v>
      </c>
      <c r="T154" s="36">
        <v>10391</v>
      </c>
      <c r="U154" s="36" t="s">
        <v>780</v>
      </c>
      <c r="V154" s="36">
        <v>10000</v>
      </c>
      <c r="W154" s="36">
        <v>1000</v>
      </c>
      <c r="X154" s="36">
        <v>30000</v>
      </c>
      <c r="Y154" s="36">
        <v>10000</v>
      </c>
      <c r="Z154" s="36">
        <v>110</v>
      </c>
      <c r="AA154" s="36" t="s">
        <v>777</v>
      </c>
    </row>
    <row r="155" ht="17.25" spans="1:27">
      <c r="A155" s="36"/>
      <c r="B155" s="36"/>
      <c r="C155" s="36"/>
      <c r="D155" s="36"/>
      <c r="F155" s="36"/>
      <c r="G155" s="36"/>
      <c r="H155" s="36">
        <v>20392</v>
      </c>
      <c r="I155" s="36" t="s">
        <v>494</v>
      </c>
      <c r="J155" s="36"/>
      <c r="K155" s="36"/>
      <c r="L155" s="32" t="s">
        <v>781</v>
      </c>
      <c r="M155" s="36">
        <v>2</v>
      </c>
      <c r="N155" s="36">
        <v>7</v>
      </c>
      <c r="O155" s="36">
        <v>1039201</v>
      </c>
      <c r="P155" s="36">
        <f t="shared" si="1"/>
        <v>6</v>
      </c>
      <c r="Q155" s="36" t="s">
        <v>897</v>
      </c>
      <c r="R155" s="36" t="s">
        <v>782</v>
      </c>
      <c r="S155" s="36">
        <v>10392</v>
      </c>
      <c r="T155" s="36">
        <v>10392</v>
      </c>
      <c r="U155" s="36" t="s">
        <v>783</v>
      </c>
      <c r="V155" s="36">
        <v>10000</v>
      </c>
      <c r="W155" s="36">
        <v>1000</v>
      </c>
      <c r="X155" s="36">
        <v>30000</v>
      </c>
      <c r="Y155" s="36">
        <v>10000</v>
      </c>
      <c r="Z155" s="36">
        <v>110</v>
      </c>
      <c r="AA155" s="36" t="s">
        <v>777</v>
      </c>
    </row>
    <row r="156" ht="17.25" spans="1:27">
      <c r="A156" s="36"/>
      <c r="B156" s="36"/>
      <c r="C156" s="36"/>
      <c r="D156" s="36"/>
      <c r="F156" s="36"/>
      <c r="G156" s="36"/>
      <c r="H156" s="36">
        <v>20410</v>
      </c>
      <c r="I156" s="36" t="s">
        <v>154</v>
      </c>
      <c r="J156" s="36"/>
      <c r="K156" s="36"/>
      <c r="L156" s="32" t="s">
        <v>155</v>
      </c>
      <c r="M156" s="36">
        <v>2</v>
      </c>
      <c r="N156" s="36">
        <v>1</v>
      </c>
      <c r="O156" s="36">
        <v>1041001</v>
      </c>
      <c r="P156" s="36">
        <f t="shared" si="1"/>
        <v>6</v>
      </c>
      <c r="Q156" s="36" t="s">
        <v>898</v>
      </c>
      <c r="R156" s="36" t="s">
        <v>157</v>
      </c>
      <c r="S156" s="36">
        <v>10410</v>
      </c>
      <c r="T156" s="36">
        <v>10410</v>
      </c>
      <c r="U156" s="36" t="s">
        <v>158</v>
      </c>
      <c r="V156" s="36">
        <v>10000</v>
      </c>
      <c r="W156" s="36">
        <v>1000</v>
      </c>
      <c r="X156" s="36">
        <v>30000</v>
      </c>
      <c r="Y156" s="36">
        <v>10000</v>
      </c>
      <c r="Z156" s="36">
        <v>110</v>
      </c>
      <c r="AA156" s="36" t="s">
        <v>159</v>
      </c>
    </row>
    <row r="157" ht="17.25" spans="1:27">
      <c r="A157" s="36"/>
      <c r="B157" s="36"/>
      <c r="C157" s="36"/>
      <c r="D157" s="36"/>
      <c r="F157" s="36"/>
      <c r="G157" s="36"/>
      <c r="H157" s="36">
        <v>20411</v>
      </c>
      <c r="I157" s="36" t="s">
        <v>160</v>
      </c>
      <c r="J157" s="36"/>
      <c r="K157" s="36"/>
      <c r="L157" s="32" t="s">
        <v>161</v>
      </c>
      <c r="M157" s="36">
        <v>2</v>
      </c>
      <c r="N157" s="36">
        <v>4</v>
      </c>
      <c r="O157" s="36">
        <v>1041101</v>
      </c>
      <c r="P157" s="36">
        <f t="shared" si="1"/>
        <v>6</v>
      </c>
      <c r="Q157" s="36" t="s">
        <v>899</v>
      </c>
      <c r="R157" s="36" t="s">
        <v>163</v>
      </c>
      <c r="S157" s="36">
        <v>10411</v>
      </c>
      <c r="T157" s="36">
        <v>10411</v>
      </c>
      <c r="U157" s="36" t="s">
        <v>164</v>
      </c>
      <c r="V157" s="36">
        <v>10000</v>
      </c>
      <c r="W157" s="36">
        <v>1000</v>
      </c>
      <c r="X157" s="36">
        <v>30000</v>
      </c>
      <c r="Y157" s="36">
        <v>10000</v>
      </c>
      <c r="Z157" s="36">
        <v>110</v>
      </c>
      <c r="AA157" s="36" t="s">
        <v>153</v>
      </c>
    </row>
    <row r="158" ht="17.25" spans="1:27">
      <c r="A158" s="36"/>
      <c r="B158" s="36"/>
      <c r="C158" s="36"/>
      <c r="D158" s="36"/>
      <c r="F158" s="36"/>
      <c r="G158" s="36"/>
      <c r="H158" s="36">
        <v>20420</v>
      </c>
      <c r="I158" s="36" t="s">
        <v>505</v>
      </c>
      <c r="J158" s="36"/>
      <c r="K158" s="36"/>
      <c r="L158" s="32" t="s">
        <v>784</v>
      </c>
      <c r="M158" s="36">
        <v>2</v>
      </c>
      <c r="N158" s="36">
        <v>1</v>
      </c>
      <c r="O158" s="36">
        <v>1042001</v>
      </c>
      <c r="P158" s="36">
        <f t="shared" si="1"/>
        <v>6</v>
      </c>
      <c r="Q158" s="36" t="s">
        <v>900</v>
      </c>
      <c r="R158" s="36" t="s">
        <v>785</v>
      </c>
      <c r="S158" s="36">
        <v>10420</v>
      </c>
      <c r="T158" s="36">
        <v>10420</v>
      </c>
      <c r="U158" s="36" t="s">
        <v>786</v>
      </c>
      <c r="V158" s="36">
        <v>10000</v>
      </c>
      <c r="W158" s="36">
        <v>1000</v>
      </c>
      <c r="X158" s="36">
        <v>30000</v>
      </c>
      <c r="Y158" s="36">
        <v>10000</v>
      </c>
      <c r="Z158" s="36">
        <v>110</v>
      </c>
      <c r="AA158" s="36" t="s">
        <v>769</v>
      </c>
    </row>
    <row r="159" ht="17.25" spans="1:27">
      <c r="A159" s="36"/>
      <c r="B159" s="36"/>
      <c r="C159" s="36"/>
      <c r="D159" s="36"/>
      <c r="F159" s="36"/>
      <c r="G159" s="36"/>
      <c r="H159" s="36">
        <v>20421</v>
      </c>
      <c r="I159" s="36" t="s">
        <v>510</v>
      </c>
      <c r="J159" s="36"/>
      <c r="K159" s="36"/>
      <c r="L159" s="32" t="s">
        <v>787</v>
      </c>
      <c r="M159" s="36">
        <v>2</v>
      </c>
      <c r="N159" s="36">
        <v>5</v>
      </c>
      <c r="O159" s="36">
        <v>1042101</v>
      </c>
      <c r="P159" s="36">
        <f t="shared" si="1"/>
        <v>6</v>
      </c>
      <c r="Q159" s="36" t="s">
        <v>901</v>
      </c>
      <c r="R159" s="36" t="s">
        <v>788</v>
      </c>
      <c r="S159" s="36">
        <v>10421</v>
      </c>
      <c r="T159" s="36">
        <v>10421</v>
      </c>
      <c r="U159" s="36" t="s">
        <v>789</v>
      </c>
      <c r="V159" s="36">
        <v>10000</v>
      </c>
      <c r="W159" s="36">
        <v>1000</v>
      </c>
      <c r="X159" s="36">
        <v>30000</v>
      </c>
      <c r="Y159" s="36">
        <v>10000</v>
      </c>
      <c r="Z159" s="36">
        <v>110</v>
      </c>
      <c r="AA159" s="36" t="s">
        <v>773</v>
      </c>
    </row>
    <row r="160" ht="17.25" spans="1:27">
      <c r="A160" s="36"/>
      <c r="B160" s="36"/>
      <c r="C160" s="36"/>
      <c r="D160" s="36"/>
      <c r="F160" s="36"/>
      <c r="G160" s="36"/>
      <c r="H160" s="36">
        <v>20450</v>
      </c>
      <c r="I160" s="36" t="s">
        <v>165</v>
      </c>
      <c r="J160" s="36"/>
      <c r="K160" s="36"/>
      <c r="L160" s="32" t="s">
        <v>166</v>
      </c>
      <c r="M160" s="36">
        <v>2</v>
      </c>
      <c r="N160" s="36">
        <v>4</v>
      </c>
      <c r="O160" s="36">
        <v>1045001</v>
      </c>
      <c r="P160" s="36">
        <f t="shared" si="1"/>
        <v>6</v>
      </c>
      <c r="Q160" s="36" t="s">
        <v>902</v>
      </c>
      <c r="R160" s="36" t="s">
        <v>168</v>
      </c>
      <c r="S160" s="36">
        <v>10450</v>
      </c>
      <c r="T160" s="36">
        <v>10450</v>
      </c>
      <c r="U160" s="36" t="s">
        <v>169</v>
      </c>
      <c r="V160" s="36">
        <v>10000</v>
      </c>
      <c r="W160" s="36">
        <v>1000</v>
      </c>
      <c r="X160" s="36">
        <v>30000</v>
      </c>
      <c r="Y160" s="36">
        <v>10000</v>
      </c>
      <c r="Z160" s="36">
        <v>110</v>
      </c>
      <c r="AA160" s="36" t="s">
        <v>170</v>
      </c>
    </row>
    <row r="161" ht="17.25" spans="1:27">
      <c r="A161" s="36"/>
      <c r="B161" s="36"/>
      <c r="C161" s="36"/>
      <c r="D161" s="36"/>
      <c r="F161" s="36"/>
      <c r="G161" s="36"/>
      <c r="H161" s="36">
        <v>20451</v>
      </c>
      <c r="I161" s="36" t="s">
        <v>171</v>
      </c>
      <c r="J161" s="36"/>
      <c r="K161" s="36"/>
      <c r="L161" s="32" t="s">
        <v>172</v>
      </c>
      <c r="M161" s="36">
        <v>2</v>
      </c>
      <c r="N161" s="36">
        <v>6</v>
      </c>
      <c r="O161" s="36">
        <v>1045101</v>
      </c>
      <c r="P161" s="36">
        <f t="shared" ref="P161:P189" si="2">P132+1</f>
        <v>6</v>
      </c>
      <c r="Q161" s="36" t="s">
        <v>903</v>
      </c>
      <c r="R161" s="36" t="s">
        <v>174</v>
      </c>
      <c r="S161" s="36">
        <v>10451</v>
      </c>
      <c r="T161" s="36">
        <v>10451</v>
      </c>
      <c r="U161" s="36" t="s">
        <v>175</v>
      </c>
      <c r="V161" s="36">
        <v>10000</v>
      </c>
      <c r="W161" s="36">
        <v>1000</v>
      </c>
      <c r="X161" s="36">
        <v>30000</v>
      </c>
      <c r="Y161" s="36">
        <v>10000</v>
      </c>
      <c r="Z161" s="36">
        <v>110</v>
      </c>
      <c r="AA161" s="36" t="s">
        <v>170</v>
      </c>
    </row>
    <row r="162" ht="17.25" spans="1:27">
      <c r="A162" s="36"/>
      <c r="B162" s="36"/>
      <c r="C162" s="36"/>
      <c r="D162" s="36"/>
      <c r="F162" s="36"/>
      <c r="G162" s="36"/>
      <c r="H162" s="36">
        <v>20460</v>
      </c>
      <c r="I162" s="36" t="s">
        <v>523</v>
      </c>
      <c r="J162" s="36"/>
      <c r="K162" s="36"/>
      <c r="L162" s="32" t="s">
        <v>794</v>
      </c>
      <c r="M162" s="36">
        <v>2</v>
      </c>
      <c r="N162" s="36">
        <v>1</v>
      </c>
      <c r="O162" s="36">
        <v>1046001</v>
      </c>
      <c r="P162" s="36">
        <f t="shared" si="2"/>
        <v>6</v>
      </c>
      <c r="Q162" s="36" t="s">
        <v>904</v>
      </c>
      <c r="R162" s="36" t="s">
        <v>795</v>
      </c>
      <c r="S162" s="36">
        <v>10460</v>
      </c>
      <c r="T162" s="36">
        <v>10460</v>
      </c>
      <c r="U162" s="36" t="s">
        <v>796</v>
      </c>
      <c r="V162" s="36">
        <v>10000</v>
      </c>
      <c r="W162" s="36">
        <v>1000</v>
      </c>
      <c r="X162" s="36">
        <v>30000</v>
      </c>
      <c r="Y162" s="36">
        <v>10000</v>
      </c>
      <c r="Z162" s="36">
        <v>110</v>
      </c>
      <c r="AA162" s="36" t="s">
        <v>114</v>
      </c>
    </row>
    <row r="163" ht="17.25" spans="1:27">
      <c r="A163" s="36"/>
      <c r="B163" s="36"/>
      <c r="C163" s="36"/>
      <c r="D163" s="36"/>
      <c r="F163" s="36"/>
      <c r="G163" s="36"/>
      <c r="H163" s="36">
        <v>20461</v>
      </c>
      <c r="I163" s="36" t="s">
        <v>528</v>
      </c>
      <c r="J163" s="36"/>
      <c r="K163" s="36"/>
      <c r="L163" s="32" t="s">
        <v>797</v>
      </c>
      <c r="M163" s="36">
        <v>2</v>
      </c>
      <c r="N163" s="36">
        <v>2</v>
      </c>
      <c r="O163" s="36">
        <v>1046101</v>
      </c>
      <c r="P163" s="36">
        <f t="shared" si="2"/>
        <v>6</v>
      </c>
      <c r="Q163" s="36" t="s">
        <v>905</v>
      </c>
      <c r="R163" s="36" t="s">
        <v>798</v>
      </c>
      <c r="S163" s="36">
        <v>10461</v>
      </c>
      <c r="T163" s="36">
        <v>10461</v>
      </c>
      <c r="U163" s="36" t="s">
        <v>799</v>
      </c>
      <c r="V163" s="36">
        <v>10000</v>
      </c>
      <c r="W163" s="36">
        <v>1000</v>
      </c>
      <c r="X163" s="36">
        <v>30000</v>
      </c>
      <c r="Y163" s="36">
        <v>10000</v>
      </c>
      <c r="Z163" s="36">
        <v>110</v>
      </c>
      <c r="AA163" s="36" t="s">
        <v>202</v>
      </c>
    </row>
    <row r="164" ht="17.25" spans="1:27">
      <c r="A164" s="36"/>
      <c r="B164" s="36"/>
      <c r="C164" s="36"/>
      <c r="D164" s="36"/>
      <c r="F164" s="36"/>
      <c r="G164" s="36"/>
      <c r="H164" s="36">
        <v>20470</v>
      </c>
      <c r="I164" s="36" t="s">
        <v>176</v>
      </c>
      <c r="J164" s="36"/>
      <c r="K164" s="36"/>
      <c r="L164" s="32" t="s">
        <v>177</v>
      </c>
      <c r="M164" s="36">
        <v>2</v>
      </c>
      <c r="N164" s="36">
        <v>4</v>
      </c>
      <c r="O164" s="36">
        <v>1047001</v>
      </c>
      <c r="P164" s="36">
        <f t="shared" si="2"/>
        <v>6</v>
      </c>
      <c r="Q164" s="36" t="s">
        <v>906</v>
      </c>
      <c r="R164" s="36" t="s">
        <v>179</v>
      </c>
      <c r="S164" s="36">
        <v>10470</v>
      </c>
      <c r="T164" s="36">
        <v>10470</v>
      </c>
      <c r="U164" s="36" t="s">
        <v>180</v>
      </c>
      <c r="V164" s="36">
        <v>10000</v>
      </c>
      <c r="W164" s="36">
        <v>1000</v>
      </c>
      <c r="X164" s="36">
        <v>30000</v>
      </c>
      <c r="Y164" s="36">
        <v>10000</v>
      </c>
      <c r="Z164" s="36">
        <v>110</v>
      </c>
      <c r="AA164" s="36" t="s">
        <v>114</v>
      </c>
    </row>
    <row r="165" ht="17.25" spans="1:27">
      <c r="A165" s="36"/>
      <c r="B165" s="36"/>
      <c r="C165" s="36"/>
      <c r="D165" s="36"/>
      <c r="F165" s="36"/>
      <c r="G165" s="36"/>
      <c r="H165" s="36">
        <v>20471</v>
      </c>
      <c r="I165" s="36" t="s">
        <v>181</v>
      </c>
      <c r="J165" s="36"/>
      <c r="K165" s="36"/>
      <c r="L165" s="32" t="s">
        <v>182</v>
      </c>
      <c r="M165" s="36">
        <v>2</v>
      </c>
      <c r="N165" s="36">
        <v>5</v>
      </c>
      <c r="O165" s="36">
        <v>1047101</v>
      </c>
      <c r="P165" s="36">
        <f t="shared" si="2"/>
        <v>6</v>
      </c>
      <c r="Q165" s="36" t="s">
        <v>907</v>
      </c>
      <c r="R165" s="36" t="s">
        <v>184</v>
      </c>
      <c r="S165" s="36">
        <v>10471</v>
      </c>
      <c r="T165" s="36">
        <v>10471</v>
      </c>
      <c r="U165" s="36" t="s">
        <v>185</v>
      </c>
      <c r="V165" s="36">
        <v>10000</v>
      </c>
      <c r="W165" s="36">
        <v>1000</v>
      </c>
      <c r="X165" s="36">
        <v>30000</v>
      </c>
      <c r="Y165" s="36">
        <v>10000</v>
      </c>
      <c r="Z165" s="36">
        <v>110</v>
      </c>
      <c r="AA165" s="36" t="s">
        <v>114</v>
      </c>
    </row>
    <row r="166" ht="17.25" spans="1:27">
      <c r="A166" s="36"/>
      <c r="B166" s="36"/>
      <c r="C166" s="36"/>
      <c r="D166" s="36"/>
      <c r="F166" s="36"/>
      <c r="G166" s="36"/>
      <c r="H166" s="36">
        <v>20500</v>
      </c>
      <c r="I166" s="36" t="s">
        <v>186</v>
      </c>
      <c r="J166" s="36">
        <v>1</v>
      </c>
      <c r="K166" s="36" t="s">
        <v>673</v>
      </c>
      <c r="L166" s="32" t="s">
        <v>187</v>
      </c>
      <c r="M166" s="36">
        <v>2</v>
      </c>
      <c r="N166" s="36">
        <v>2</v>
      </c>
      <c r="O166" s="36">
        <v>1050001</v>
      </c>
      <c r="P166" s="36">
        <f t="shared" si="2"/>
        <v>6</v>
      </c>
      <c r="Q166" s="36" t="s">
        <v>908</v>
      </c>
      <c r="R166" s="36" t="s">
        <v>189</v>
      </c>
      <c r="S166" s="36">
        <v>10500</v>
      </c>
      <c r="T166" s="36">
        <v>10500</v>
      </c>
      <c r="U166" s="36" t="s">
        <v>190</v>
      </c>
      <c r="V166" s="36">
        <v>10000</v>
      </c>
      <c r="W166" s="36">
        <v>1000</v>
      </c>
      <c r="X166" s="36">
        <v>30000</v>
      </c>
      <c r="Y166" s="36">
        <v>10000</v>
      </c>
      <c r="Z166" s="36">
        <v>110</v>
      </c>
      <c r="AA166" s="36" t="s">
        <v>191</v>
      </c>
    </row>
    <row r="167" ht="17.25" spans="1:27">
      <c r="A167" s="36"/>
      <c r="B167" s="36"/>
      <c r="C167" s="36"/>
      <c r="D167" s="36"/>
      <c r="F167" s="36"/>
      <c r="G167" s="36"/>
      <c r="H167" s="36">
        <v>20501</v>
      </c>
      <c r="I167" s="36" t="s">
        <v>542</v>
      </c>
      <c r="J167" s="36"/>
      <c r="K167" s="36"/>
      <c r="L167" s="32" t="s">
        <v>800</v>
      </c>
      <c r="M167" s="36">
        <v>2</v>
      </c>
      <c r="N167" s="36">
        <v>4</v>
      </c>
      <c r="O167" s="36">
        <v>1050101</v>
      </c>
      <c r="P167" s="36">
        <f t="shared" si="2"/>
        <v>6</v>
      </c>
      <c r="Q167" s="36" t="s">
        <v>909</v>
      </c>
      <c r="R167" s="36" t="s">
        <v>801</v>
      </c>
      <c r="S167" s="36">
        <v>10501</v>
      </c>
      <c r="T167" s="36">
        <v>10501</v>
      </c>
      <c r="U167" s="36" t="s">
        <v>802</v>
      </c>
      <c r="V167" s="36">
        <v>10000</v>
      </c>
      <c r="W167" s="36">
        <v>1000</v>
      </c>
      <c r="X167" s="36">
        <v>30000</v>
      </c>
      <c r="Y167" s="36">
        <v>10000</v>
      </c>
      <c r="Z167" s="36">
        <v>110</v>
      </c>
      <c r="AA167" s="36" t="s">
        <v>170</v>
      </c>
    </row>
    <row r="168" ht="17.25" spans="1:27">
      <c r="A168" s="36"/>
      <c r="B168" s="36"/>
      <c r="C168" s="36"/>
      <c r="D168" s="36"/>
      <c r="F168" s="36"/>
      <c r="G168" s="36"/>
      <c r="H168" s="36">
        <v>20510</v>
      </c>
      <c r="I168" s="36" t="s">
        <v>547</v>
      </c>
      <c r="J168" s="36"/>
      <c r="K168" s="36"/>
      <c r="L168" s="32" t="s">
        <v>803</v>
      </c>
      <c r="M168" s="36">
        <v>2</v>
      </c>
      <c r="N168" s="36">
        <v>2</v>
      </c>
      <c r="O168" s="36">
        <v>1051001</v>
      </c>
      <c r="P168" s="36">
        <f t="shared" si="2"/>
        <v>6</v>
      </c>
      <c r="Q168" s="36" t="s">
        <v>910</v>
      </c>
      <c r="R168" s="36" t="s">
        <v>804</v>
      </c>
      <c r="S168" s="36">
        <v>10510</v>
      </c>
      <c r="T168" s="36">
        <v>10510</v>
      </c>
      <c r="U168" s="36" t="s">
        <v>805</v>
      </c>
      <c r="V168" s="36">
        <v>10000</v>
      </c>
      <c r="W168" s="36">
        <v>1000</v>
      </c>
      <c r="X168" s="36">
        <v>30000</v>
      </c>
      <c r="Y168" s="36">
        <v>10000</v>
      </c>
      <c r="Z168" s="36">
        <v>110</v>
      </c>
      <c r="AA168" s="36" t="s">
        <v>114</v>
      </c>
    </row>
    <row r="169" ht="17.25" spans="1:27">
      <c r="A169" s="36"/>
      <c r="B169" s="36"/>
      <c r="C169" s="36"/>
      <c r="D169" s="36"/>
      <c r="F169" s="36"/>
      <c r="G169" s="36"/>
      <c r="H169" s="36">
        <v>20511</v>
      </c>
      <c r="I169" s="36" t="s">
        <v>552</v>
      </c>
      <c r="J169" s="36"/>
      <c r="K169" s="36"/>
      <c r="L169" s="32" t="s">
        <v>806</v>
      </c>
      <c r="M169" s="36">
        <v>2</v>
      </c>
      <c r="N169" s="36">
        <v>5</v>
      </c>
      <c r="O169" s="36">
        <v>1051101</v>
      </c>
      <c r="P169" s="36">
        <f t="shared" si="2"/>
        <v>6</v>
      </c>
      <c r="Q169" s="36" t="s">
        <v>911</v>
      </c>
      <c r="R169" s="36" t="s">
        <v>807</v>
      </c>
      <c r="S169" s="36">
        <v>10511</v>
      </c>
      <c r="T169" s="36">
        <v>10511</v>
      </c>
      <c r="U169" s="36" t="s">
        <v>808</v>
      </c>
      <c r="V169" s="36">
        <v>10000</v>
      </c>
      <c r="W169" s="36">
        <v>1000</v>
      </c>
      <c r="X169" s="36">
        <v>30000</v>
      </c>
      <c r="Y169" s="36">
        <v>10000</v>
      </c>
      <c r="Z169" s="36">
        <v>110</v>
      </c>
      <c r="AA169" s="36" t="s">
        <v>202</v>
      </c>
    </row>
    <row r="170" ht="17.25" spans="1:27">
      <c r="A170" s="36"/>
      <c r="B170" s="36"/>
      <c r="C170" s="36"/>
      <c r="D170" s="36"/>
      <c r="F170" s="36"/>
      <c r="G170" s="36"/>
      <c r="H170" s="36">
        <v>20512</v>
      </c>
      <c r="I170" s="36" t="s">
        <v>557</v>
      </c>
      <c r="J170" s="36"/>
      <c r="K170" s="36"/>
      <c r="L170" s="32" t="s">
        <v>809</v>
      </c>
      <c r="M170" s="36">
        <v>2</v>
      </c>
      <c r="N170" s="36">
        <v>7</v>
      </c>
      <c r="O170" s="36">
        <v>1051201</v>
      </c>
      <c r="P170" s="36">
        <f t="shared" si="2"/>
        <v>6</v>
      </c>
      <c r="Q170" s="36" t="s">
        <v>912</v>
      </c>
      <c r="R170" s="36" t="s">
        <v>810</v>
      </c>
      <c r="S170" s="36">
        <v>10512</v>
      </c>
      <c r="T170" s="36">
        <v>10512</v>
      </c>
      <c r="U170" s="36" t="s">
        <v>811</v>
      </c>
      <c r="V170" s="36">
        <v>10000</v>
      </c>
      <c r="W170" s="36">
        <v>1000</v>
      </c>
      <c r="X170" s="36">
        <v>30000</v>
      </c>
      <c r="Y170" s="36">
        <v>10000</v>
      </c>
      <c r="Z170" s="36">
        <v>110</v>
      </c>
      <c r="AA170" s="36" t="s">
        <v>202</v>
      </c>
    </row>
    <row r="171" ht="17.25" spans="1:27">
      <c r="A171" s="36"/>
      <c r="B171" s="36"/>
      <c r="C171" s="36"/>
      <c r="D171" s="36"/>
      <c r="F171" s="36"/>
      <c r="G171" s="36"/>
      <c r="H171" s="36">
        <v>20520</v>
      </c>
      <c r="I171" s="36" t="s">
        <v>192</v>
      </c>
      <c r="J171" s="36"/>
      <c r="K171" s="36"/>
      <c r="L171" s="32" t="s">
        <v>193</v>
      </c>
      <c r="M171" s="36">
        <v>2</v>
      </c>
      <c r="N171" s="36">
        <v>3</v>
      </c>
      <c r="O171" s="36">
        <v>1052001</v>
      </c>
      <c r="P171" s="36">
        <f t="shared" si="2"/>
        <v>6</v>
      </c>
      <c r="Q171" s="36" t="s">
        <v>913</v>
      </c>
      <c r="R171" s="36" t="s">
        <v>195</v>
      </c>
      <c r="S171" s="36">
        <v>10520</v>
      </c>
      <c r="T171" s="36">
        <v>10520</v>
      </c>
      <c r="U171" s="36" t="s">
        <v>196</v>
      </c>
      <c r="V171" s="36">
        <v>10000</v>
      </c>
      <c r="W171" s="36">
        <v>1000</v>
      </c>
      <c r="X171" s="36">
        <v>30000</v>
      </c>
      <c r="Y171" s="36">
        <v>10000</v>
      </c>
      <c r="Z171" s="36">
        <v>110</v>
      </c>
      <c r="AA171" s="36" t="s">
        <v>114</v>
      </c>
    </row>
    <row r="172" ht="17.25" spans="1:27">
      <c r="A172" s="36"/>
      <c r="B172" s="36"/>
      <c r="C172" s="36"/>
      <c r="D172" s="36"/>
      <c r="F172" s="36"/>
      <c r="G172" s="36"/>
      <c r="H172" s="36">
        <v>20521</v>
      </c>
      <c r="I172" s="36" t="s">
        <v>197</v>
      </c>
      <c r="J172" s="36"/>
      <c r="K172" s="36"/>
      <c r="L172" s="32" t="s">
        <v>198</v>
      </c>
      <c r="M172" s="36">
        <v>2</v>
      </c>
      <c r="N172" s="36">
        <v>5</v>
      </c>
      <c r="O172" s="36">
        <v>1052101</v>
      </c>
      <c r="P172" s="36">
        <f t="shared" si="2"/>
        <v>6</v>
      </c>
      <c r="Q172" s="36" t="s">
        <v>914</v>
      </c>
      <c r="R172" s="36" t="s">
        <v>200</v>
      </c>
      <c r="S172" s="36">
        <v>10521</v>
      </c>
      <c r="T172" s="36">
        <v>10521</v>
      </c>
      <c r="U172" s="36" t="s">
        <v>201</v>
      </c>
      <c r="V172" s="36">
        <v>10000</v>
      </c>
      <c r="W172" s="36">
        <v>1000</v>
      </c>
      <c r="X172" s="36">
        <v>30000</v>
      </c>
      <c r="Y172" s="36">
        <v>10000</v>
      </c>
      <c r="Z172" s="36">
        <v>110</v>
      </c>
      <c r="AA172" s="36" t="s">
        <v>202</v>
      </c>
    </row>
    <row r="173" ht="17.25" spans="1:27">
      <c r="A173" s="36"/>
      <c r="B173" s="36"/>
      <c r="C173" s="36"/>
      <c r="D173" s="36"/>
      <c r="F173" s="36"/>
      <c r="G173" s="36"/>
      <c r="H173" s="36">
        <v>20522</v>
      </c>
      <c r="I173" s="36" t="s">
        <v>568</v>
      </c>
      <c r="J173" s="36"/>
      <c r="K173" s="36"/>
      <c r="L173" s="32" t="s">
        <v>812</v>
      </c>
      <c r="M173" s="36">
        <v>2</v>
      </c>
      <c r="N173" s="36">
        <v>7</v>
      </c>
      <c r="O173" s="36">
        <v>1052201</v>
      </c>
      <c r="P173" s="36">
        <f t="shared" si="2"/>
        <v>6</v>
      </c>
      <c r="Q173" s="36" t="s">
        <v>915</v>
      </c>
      <c r="R173" s="36" t="s">
        <v>813</v>
      </c>
      <c r="S173" s="36">
        <v>10522</v>
      </c>
      <c r="T173" s="36">
        <v>10522</v>
      </c>
      <c r="U173" s="36" t="s">
        <v>814</v>
      </c>
      <c r="V173" s="36">
        <v>10000</v>
      </c>
      <c r="W173" s="36">
        <v>1000</v>
      </c>
      <c r="X173" s="36">
        <v>30000</v>
      </c>
      <c r="Y173" s="36">
        <v>10000</v>
      </c>
      <c r="Z173" s="36">
        <v>110</v>
      </c>
      <c r="AA173" s="36" t="s">
        <v>69</v>
      </c>
    </row>
    <row r="174" ht="17.25" spans="1:27">
      <c r="A174" s="36"/>
      <c r="B174" s="36"/>
      <c r="C174" s="36"/>
      <c r="D174" s="36"/>
      <c r="F174" s="36"/>
      <c r="G174" s="36"/>
      <c r="H174" s="36">
        <v>20530</v>
      </c>
      <c r="I174" s="36" t="s">
        <v>203</v>
      </c>
      <c r="J174" s="36"/>
      <c r="K174" s="36"/>
      <c r="L174" s="32" t="s">
        <v>204</v>
      </c>
      <c r="M174" s="36">
        <v>2</v>
      </c>
      <c r="N174" s="36">
        <v>4</v>
      </c>
      <c r="O174" s="36">
        <v>1053001</v>
      </c>
      <c r="P174" s="36">
        <f t="shared" si="2"/>
        <v>6</v>
      </c>
      <c r="Q174" s="36" t="s">
        <v>916</v>
      </c>
      <c r="R174" s="36" t="s">
        <v>206</v>
      </c>
      <c r="S174" s="36">
        <v>10530</v>
      </c>
      <c r="T174" s="36">
        <v>10530</v>
      </c>
      <c r="U174" s="36" t="s">
        <v>207</v>
      </c>
      <c r="V174" s="36">
        <v>10000</v>
      </c>
      <c r="W174" s="36">
        <v>1000</v>
      </c>
      <c r="X174" s="36">
        <v>30000</v>
      </c>
      <c r="Y174" s="36">
        <v>10000</v>
      </c>
      <c r="Z174" s="36">
        <v>110</v>
      </c>
      <c r="AA174" s="36" t="s">
        <v>114</v>
      </c>
    </row>
    <row r="175" ht="17.25" spans="1:27">
      <c r="A175" s="36"/>
      <c r="B175" s="36"/>
      <c r="C175" s="36"/>
      <c r="D175" s="36"/>
      <c r="F175" s="36"/>
      <c r="G175" s="36"/>
      <c r="H175" s="36">
        <v>20531</v>
      </c>
      <c r="I175" s="36" t="s">
        <v>208</v>
      </c>
      <c r="J175" s="36"/>
      <c r="K175" s="36"/>
      <c r="L175" s="32" t="s">
        <v>209</v>
      </c>
      <c r="M175" s="36">
        <v>2</v>
      </c>
      <c r="N175" s="36">
        <v>6</v>
      </c>
      <c r="O175" s="36">
        <v>1053101</v>
      </c>
      <c r="P175" s="36">
        <f t="shared" si="2"/>
        <v>6</v>
      </c>
      <c r="Q175" s="36" t="s">
        <v>917</v>
      </c>
      <c r="R175" s="36" t="s">
        <v>211</v>
      </c>
      <c r="S175" s="36">
        <v>10531</v>
      </c>
      <c r="T175" s="36">
        <v>10531</v>
      </c>
      <c r="U175" s="36" t="s">
        <v>212</v>
      </c>
      <c r="V175" s="36">
        <v>10000</v>
      </c>
      <c r="W175" s="36">
        <v>1000</v>
      </c>
      <c r="X175" s="36">
        <v>30000</v>
      </c>
      <c r="Y175" s="36">
        <v>10000</v>
      </c>
      <c r="Z175" s="36">
        <v>110</v>
      </c>
      <c r="AA175" s="36" t="s">
        <v>202</v>
      </c>
    </row>
    <row r="176" ht="17.25" spans="1:27">
      <c r="A176" s="36"/>
      <c r="B176" s="36"/>
      <c r="C176" s="36"/>
      <c r="D176" s="36"/>
      <c r="F176" s="36"/>
      <c r="G176" s="36"/>
      <c r="H176" s="36">
        <v>20560</v>
      </c>
      <c r="I176" s="36" t="s">
        <v>213</v>
      </c>
      <c r="J176" s="36"/>
      <c r="K176" s="36"/>
      <c r="L176" s="32" t="s">
        <v>214</v>
      </c>
      <c r="M176" s="36">
        <v>2</v>
      </c>
      <c r="N176" s="36">
        <v>1</v>
      </c>
      <c r="O176" s="36">
        <v>1056001</v>
      </c>
      <c r="P176" s="36">
        <f t="shared" si="2"/>
        <v>6</v>
      </c>
      <c r="Q176" s="36" t="s">
        <v>918</v>
      </c>
      <c r="R176" s="36" t="s">
        <v>216</v>
      </c>
      <c r="S176" s="36">
        <v>10560</v>
      </c>
      <c r="T176" s="36">
        <v>10560</v>
      </c>
      <c r="U176" s="36" t="s">
        <v>217</v>
      </c>
      <c r="V176" s="36">
        <v>10000</v>
      </c>
      <c r="W176" s="36">
        <v>1000</v>
      </c>
      <c r="X176" s="36">
        <v>30000</v>
      </c>
      <c r="Y176" s="36">
        <v>10000</v>
      </c>
      <c r="Z176" s="36">
        <v>110</v>
      </c>
      <c r="AA176" s="36" t="s">
        <v>218</v>
      </c>
    </row>
    <row r="177" ht="17.25" spans="1:27">
      <c r="A177" s="36"/>
      <c r="B177" s="36"/>
      <c r="C177" s="36"/>
      <c r="D177" s="36"/>
      <c r="F177" s="36"/>
      <c r="G177" s="36"/>
      <c r="H177" s="36">
        <v>20561</v>
      </c>
      <c r="I177" s="36" t="s">
        <v>219</v>
      </c>
      <c r="J177" s="36"/>
      <c r="K177" s="36"/>
      <c r="L177" s="32" t="s">
        <v>220</v>
      </c>
      <c r="M177" s="36">
        <v>2</v>
      </c>
      <c r="N177" s="36">
        <v>4</v>
      </c>
      <c r="O177" s="36">
        <v>1056101</v>
      </c>
      <c r="P177" s="36">
        <f t="shared" si="2"/>
        <v>6</v>
      </c>
      <c r="Q177" s="36" t="s">
        <v>919</v>
      </c>
      <c r="R177" s="36" t="s">
        <v>222</v>
      </c>
      <c r="S177" s="36">
        <v>10561</v>
      </c>
      <c r="T177" s="36">
        <v>10561</v>
      </c>
      <c r="U177" s="36" t="s">
        <v>223</v>
      </c>
      <c r="V177" s="36">
        <v>10000</v>
      </c>
      <c r="W177" s="36">
        <v>1000</v>
      </c>
      <c r="X177" s="36">
        <v>30000</v>
      </c>
      <c r="Y177" s="36">
        <v>10000</v>
      </c>
      <c r="Z177" s="36">
        <v>110</v>
      </c>
      <c r="AA177" s="36" t="s">
        <v>69</v>
      </c>
    </row>
    <row r="178" ht="17.25" spans="1:27">
      <c r="A178" s="36"/>
      <c r="B178" s="36"/>
      <c r="C178" s="36"/>
      <c r="D178" s="36"/>
      <c r="F178" s="36"/>
      <c r="G178" s="36"/>
      <c r="H178" s="36">
        <v>20562</v>
      </c>
      <c r="I178" s="36" t="s">
        <v>585</v>
      </c>
      <c r="J178" s="36"/>
      <c r="K178" s="36"/>
      <c r="L178" s="32" t="s">
        <v>815</v>
      </c>
      <c r="M178" s="36">
        <v>2</v>
      </c>
      <c r="N178" s="36">
        <v>7</v>
      </c>
      <c r="O178" s="36">
        <v>1056201</v>
      </c>
      <c r="P178" s="36">
        <f t="shared" si="2"/>
        <v>7</v>
      </c>
      <c r="Q178" s="36" t="s">
        <v>920</v>
      </c>
      <c r="R178" s="36" t="s">
        <v>816</v>
      </c>
      <c r="S178" s="36">
        <v>10562</v>
      </c>
      <c r="T178" s="36">
        <v>10562</v>
      </c>
      <c r="U178" s="36" t="s">
        <v>817</v>
      </c>
      <c r="V178" s="36">
        <v>10000</v>
      </c>
      <c r="W178" s="36">
        <v>1000</v>
      </c>
      <c r="X178" s="36">
        <v>30000</v>
      </c>
      <c r="Y178" s="36">
        <v>10000</v>
      </c>
      <c r="Z178" s="36">
        <v>110</v>
      </c>
      <c r="AA178" s="36" t="s">
        <v>69</v>
      </c>
    </row>
    <row r="179" ht="17.25" spans="1:27">
      <c r="A179" s="36"/>
      <c r="B179" s="36"/>
      <c r="C179" s="36"/>
      <c r="D179" s="36"/>
      <c r="F179" s="36"/>
      <c r="G179" s="36"/>
      <c r="H179" s="36">
        <v>20570</v>
      </c>
      <c r="I179" s="36" t="s">
        <v>590</v>
      </c>
      <c r="J179" s="36"/>
      <c r="K179" s="36"/>
      <c r="L179" s="32" t="s">
        <v>818</v>
      </c>
      <c r="M179" s="36">
        <v>2</v>
      </c>
      <c r="N179" s="36">
        <v>2</v>
      </c>
      <c r="O179" s="36">
        <v>1057001</v>
      </c>
      <c r="P179" s="36">
        <f t="shared" si="2"/>
        <v>7</v>
      </c>
      <c r="Q179" s="36" t="s">
        <v>921</v>
      </c>
      <c r="R179" s="36" t="s">
        <v>819</v>
      </c>
      <c r="S179" s="36">
        <v>10570</v>
      </c>
      <c r="T179" s="36">
        <v>10570</v>
      </c>
      <c r="U179" s="36" t="s">
        <v>820</v>
      </c>
      <c r="V179" s="36">
        <v>10000</v>
      </c>
      <c r="W179" s="36">
        <v>1000</v>
      </c>
      <c r="X179" s="36">
        <v>30000</v>
      </c>
      <c r="Y179" s="36">
        <v>10000</v>
      </c>
      <c r="Z179" s="36">
        <v>110</v>
      </c>
      <c r="AA179" s="36" t="s">
        <v>821</v>
      </c>
    </row>
    <row r="180" ht="17.25" spans="1:27">
      <c r="A180" s="36"/>
      <c r="B180" s="36"/>
      <c r="C180" s="36"/>
      <c r="D180" s="36"/>
      <c r="F180" s="36"/>
      <c r="G180" s="36"/>
      <c r="H180" s="36">
        <v>20571</v>
      </c>
      <c r="I180" s="36" t="s">
        <v>595</v>
      </c>
      <c r="J180" s="36"/>
      <c r="K180" s="36"/>
      <c r="L180" s="32" t="s">
        <v>822</v>
      </c>
      <c r="M180" s="36">
        <v>2</v>
      </c>
      <c r="N180" s="36">
        <v>4</v>
      </c>
      <c r="O180" s="36">
        <v>1057101</v>
      </c>
      <c r="P180" s="36">
        <f t="shared" si="2"/>
        <v>7</v>
      </c>
      <c r="Q180" s="36" t="s">
        <v>922</v>
      </c>
      <c r="R180" s="36" t="s">
        <v>823</v>
      </c>
      <c r="S180" s="36">
        <v>10571</v>
      </c>
      <c r="T180" s="36">
        <v>10571</v>
      </c>
      <c r="U180" s="36" t="s">
        <v>824</v>
      </c>
      <c r="V180" s="36">
        <v>10000</v>
      </c>
      <c r="W180" s="36">
        <v>1000</v>
      </c>
      <c r="X180" s="36">
        <v>30000</v>
      </c>
      <c r="Y180" s="36">
        <v>10000</v>
      </c>
      <c r="Z180" s="36">
        <v>110</v>
      </c>
      <c r="AA180" s="36" t="s">
        <v>825</v>
      </c>
    </row>
    <row r="181" ht="17.25" spans="1:27">
      <c r="A181" s="36"/>
      <c r="B181" s="36"/>
      <c r="C181" s="36"/>
      <c r="D181" s="36"/>
      <c r="F181" s="36"/>
      <c r="G181" s="36"/>
      <c r="H181" s="36">
        <v>20580</v>
      </c>
      <c r="I181" s="36" t="s">
        <v>224</v>
      </c>
      <c r="J181" s="36"/>
      <c r="K181" s="36"/>
      <c r="L181" s="32" t="s">
        <v>225</v>
      </c>
      <c r="M181" s="36">
        <v>2</v>
      </c>
      <c r="N181" s="36">
        <v>4</v>
      </c>
      <c r="O181" s="36">
        <v>1058001</v>
      </c>
      <c r="P181" s="36">
        <f t="shared" si="2"/>
        <v>7</v>
      </c>
      <c r="Q181" s="36" t="s">
        <v>923</v>
      </c>
      <c r="R181" s="36" t="s">
        <v>227</v>
      </c>
      <c r="S181" s="36">
        <v>10580</v>
      </c>
      <c r="T181" s="36">
        <v>10580</v>
      </c>
      <c r="U181" s="36" t="s">
        <v>228</v>
      </c>
      <c r="V181" s="36">
        <v>10000</v>
      </c>
      <c r="W181" s="36">
        <v>1000</v>
      </c>
      <c r="X181" s="36">
        <v>30000</v>
      </c>
      <c r="Y181" s="36">
        <v>10000</v>
      </c>
      <c r="Z181" s="36">
        <v>110</v>
      </c>
      <c r="AA181" s="36" t="s">
        <v>114</v>
      </c>
    </row>
    <row r="182" ht="17.25" spans="1:27">
      <c r="A182" s="36"/>
      <c r="B182" s="36"/>
      <c r="C182" s="36"/>
      <c r="D182" s="36"/>
      <c r="F182" s="36"/>
      <c r="G182" s="36"/>
      <c r="H182" s="36">
        <v>20581</v>
      </c>
      <c r="I182" s="36" t="s">
        <v>229</v>
      </c>
      <c r="J182" s="36"/>
      <c r="K182" s="36"/>
      <c r="L182" s="32" t="s">
        <v>230</v>
      </c>
      <c r="M182" s="36">
        <v>2</v>
      </c>
      <c r="N182" s="36">
        <v>5</v>
      </c>
      <c r="O182" s="36">
        <v>1058101</v>
      </c>
      <c r="P182" s="36">
        <f t="shared" si="2"/>
        <v>7</v>
      </c>
      <c r="Q182" s="36" t="s">
        <v>924</v>
      </c>
      <c r="R182" s="36" t="s">
        <v>232</v>
      </c>
      <c r="S182" s="36">
        <v>10581</v>
      </c>
      <c r="T182" s="36">
        <v>10581</v>
      </c>
      <c r="U182" s="36" t="s">
        <v>233</v>
      </c>
      <c r="V182" s="36">
        <v>10000</v>
      </c>
      <c r="W182" s="36">
        <v>1000</v>
      </c>
      <c r="X182" s="36">
        <v>30000</v>
      </c>
      <c r="Y182" s="36">
        <v>10000</v>
      </c>
      <c r="Z182" s="36">
        <v>110</v>
      </c>
      <c r="AA182" s="36" t="s">
        <v>114</v>
      </c>
    </row>
    <row r="183" ht="17.25" spans="1:27">
      <c r="A183" s="36"/>
      <c r="B183" s="36"/>
      <c r="C183" s="36"/>
      <c r="D183" s="36"/>
      <c r="F183" s="36"/>
      <c r="G183" s="36"/>
      <c r="H183" s="36">
        <v>20582</v>
      </c>
      <c r="I183" s="36" t="s">
        <v>606</v>
      </c>
      <c r="J183" s="36"/>
      <c r="K183" s="36"/>
      <c r="L183" s="32" t="s">
        <v>826</v>
      </c>
      <c r="M183" s="36">
        <v>2</v>
      </c>
      <c r="N183" s="36">
        <v>7</v>
      </c>
      <c r="O183" s="36">
        <v>1058201</v>
      </c>
      <c r="P183" s="36">
        <f t="shared" si="2"/>
        <v>7</v>
      </c>
      <c r="Q183" s="36" t="s">
        <v>925</v>
      </c>
      <c r="R183" s="36" t="s">
        <v>827</v>
      </c>
      <c r="S183" s="36">
        <v>10582</v>
      </c>
      <c r="T183" s="36">
        <v>10582</v>
      </c>
      <c r="U183" s="36" t="s">
        <v>828</v>
      </c>
      <c r="V183" s="36">
        <v>10000</v>
      </c>
      <c r="W183" s="36">
        <v>1000</v>
      </c>
      <c r="X183" s="36">
        <v>30000</v>
      </c>
      <c r="Y183" s="36">
        <v>10000</v>
      </c>
      <c r="Z183" s="36">
        <v>110</v>
      </c>
      <c r="AA183" s="36" t="s">
        <v>114</v>
      </c>
    </row>
    <row r="184" ht="17.25" spans="1:27">
      <c r="A184" s="36"/>
      <c r="B184" s="36"/>
      <c r="C184" s="36"/>
      <c r="D184" s="36"/>
      <c r="F184" s="36"/>
      <c r="G184" s="36"/>
      <c r="H184" s="36">
        <v>20590</v>
      </c>
      <c r="I184" s="36" t="s">
        <v>611</v>
      </c>
      <c r="J184" s="36"/>
      <c r="K184" s="36"/>
      <c r="L184" s="32" t="s">
        <v>829</v>
      </c>
      <c r="M184" s="36">
        <v>2</v>
      </c>
      <c r="N184" s="36">
        <v>2</v>
      </c>
      <c r="O184" s="36">
        <v>1059001</v>
      </c>
      <c r="P184" s="36">
        <f t="shared" si="2"/>
        <v>7</v>
      </c>
      <c r="Q184" s="36" t="s">
        <v>926</v>
      </c>
      <c r="R184" s="36" t="s">
        <v>830</v>
      </c>
      <c r="S184" s="36">
        <v>10590</v>
      </c>
      <c r="T184" s="36">
        <v>10590</v>
      </c>
      <c r="U184" s="36" t="s">
        <v>831</v>
      </c>
      <c r="V184" s="36">
        <v>10000</v>
      </c>
      <c r="W184" s="36">
        <v>1000</v>
      </c>
      <c r="X184" s="36">
        <v>30000</v>
      </c>
      <c r="Y184" s="36">
        <v>10000</v>
      </c>
      <c r="Z184" s="36">
        <v>110</v>
      </c>
      <c r="AA184" s="36" t="s">
        <v>202</v>
      </c>
    </row>
    <row r="185" ht="17.25" spans="1:27">
      <c r="A185" s="36"/>
      <c r="B185" s="36"/>
      <c r="C185" s="36"/>
      <c r="D185" s="36"/>
      <c r="F185" s="36"/>
      <c r="G185" s="36"/>
      <c r="H185" s="36">
        <v>20591</v>
      </c>
      <c r="I185" s="36" t="s">
        <v>616</v>
      </c>
      <c r="J185" s="36"/>
      <c r="K185" s="36"/>
      <c r="L185" s="32" t="s">
        <v>832</v>
      </c>
      <c r="M185" s="36">
        <v>2</v>
      </c>
      <c r="N185" s="36">
        <v>4</v>
      </c>
      <c r="O185" s="36">
        <v>1059101</v>
      </c>
      <c r="P185" s="36">
        <f t="shared" si="2"/>
        <v>7</v>
      </c>
      <c r="Q185" s="36" t="s">
        <v>927</v>
      </c>
      <c r="R185" s="36" t="s">
        <v>833</v>
      </c>
      <c r="S185" s="36">
        <v>10591</v>
      </c>
      <c r="T185" s="36">
        <v>10591</v>
      </c>
      <c r="U185" s="36" t="s">
        <v>834</v>
      </c>
      <c r="V185" s="36">
        <v>10000</v>
      </c>
      <c r="W185" s="36">
        <v>1000</v>
      </c>
      <c r="X185" s="36">
        <v>30000</v>
      </c>
      <c r="Y185" s="36">
        <v>10000</v>
      </c>
      <c r="Z185" s="36">
        <v>110</v>
      </c>
      <c r="AA185" s="36" t="s">
        <v>202</v>
      </c>
    </row>
    <row r="186" ht="17.25" spans="1:27">
      <c r="A186" s="36"/>
      <c r="B186" s="36"/>
      <c r="C186" s="36"/>
      <c r="D186" s="36"/>
      <c r="F186" s="36"/>
      <c r="G186" s="36"/>
      <c r="H186" s="36">
        <v>20600</v>
      </c>
      <c r="I186" s="36" t="s">
        <v>621</v>
      </c>
      <c r="J186" s="36"/>
      <c r="K186" s="36"/>
      <c r="L186" s="32" t="s">
        <v>835</v>
      </c>
      <c r="M186" s="36">
        <v>2</v>
      </c>
      <c r="N186" s="36">
        <v>1</v>
      </c>
      <c r="O186" s="36">
        <v>1060001</v>
      </c>
      <c r="P186" s="36">
        <f t="shared" si="2"/>
        <v>7</v>
      </c>
      <c r="Q186" s="36" t="s">
        <v>928</v>
      </c>
      <c r="R186" s="36" t="s">
        <v>836</v>
      </c>
      <c r="S186" s="36">
        <v>10600</v>
      </c>
      <c r="T186" s="36">
        <v>10600</v>
      </c>
      <c r="U186" s="36" t="s">
        <v>837</v>
      </c>
      <c r="V186" s="36">
        <v>10000</v>
      </c>
      <c r="W186" s="36">
        <v>1000</v>
      </c>
      <c r="X186" s="36">
        <v>30000</v>
      </c>
      <c r="Y186" s="36">
        <v>10000</v>
      </c>
      <c r="Z186" s="36">
        <v>110</v>
      </c>
      <c r="AA186" s="36" t="s">
        <v>838</v>
      </c>
    </row>
    <row r="187" ht="17.25" spans="1:27">
      <c r="A187" s="36"/>
      <c r="B187" s="36"/>
      <c r="C187" s="36"/>
      <c r="D187" s="36"/>
      <c r="F187" s="36"/>
      <c r="G187" s="36"/>
      <c r="H187" s="36">
        <v>20601</v>
      </c>
      <c r="I187" s="36" t="s">
        <v>626</v>
      </c>
      <c r="J187" s="36"/>
      <c r="K187" s="36"/>
      <c r="L187" s="32" t="s">
        <v>839</v>
      </c>
      <c r="M187" s="36">
        <v>2</v>
      </c>
      <c r="N187" s="36">
        <v>3</v>
      </c>
      <c r="O187" s="36">
        <v>1060101</v>
      </c>
      <c r="P187" s="36">
        <f t="shared" si="2"/>
        <v>7</v>
      </c>
      <c r="Q187" s="36" t="s">
        <v>929</v>
      </c>
      <c r="R187" s="36" t="s">
        <v>840</v>
      </c>
      <c r="S187" s="36">
        <v>10601</v>
      </c>
      <c r="T187" s="36">
        <v>10601</v>
      </c>
      <c r="U187" s="36" t="s">
        <v>841</v>
      </c>
      <c r="V187" s="36">
        <v>10000</v>
      </c>
      <c r="W187" s="36">
        <v>1000</v>
      </c>
      <c r="X187" s="36">
        <v>30000</v>
      </c>
      <c r="Y187" s="36">
        <v>10000</v>
      </c>
      <c r="Z187" s="36">
        <v>110</v>
      </c>
      <c r="AA187" s="36" t="s">
        <v>838</v>
      </c>
    </row>
    <row r="188" ht="17.25" spans="1:27">
      <c r="A188" s="36"/>
      <c r="B188" s="36"/>
      <c r="C188" s="36"/>
      <c r="D188" s="36"/>
      <c r="F188" s="36"/>
      <c r="G188" s="36"/>
      <c r="H188" s="36">
        <v>20620</v>
      </c>
      <c r="I188" s="36" t="s">
        <v>631</v>
      </c>
      <c r="J188" s="36"/>
      <c r="K188" s="36"/>
      <c r="L188" s="32" t="s">
        <v>842</v>
      </c>
      <c r="M188" s="36">
        <v>2</v>
      </c>
      <c r="N188" s="36">
        <v>3</v>
      </c>
      <c r="O188" s="36">
        <v>1062001</v>
      </c>
      <c r="P188" s="36">
        <f t="shared" si="2"/>
        <v>7</v>
      </c>
      <c r="Q188" s="36" t="s">
        <v>930</v>
      </c>
      <c r="R188" s="36" t="s">
        <v>843</v>
      </c>
      <c r="S188" s="36">
        <v>10620</v>
      </c>
      <c r="T188" s="36">
        <v>10620</v>
      </c>
      <c r="U188" s="36" t="s">
        <v>844</v>
      </c>
      <c r="V188" s="36">
        <v>10000</v>
      </c>
      <c r="W188" s="36">
        <v>1000</v>
      </c>
      <c r="X188" s="36">
        <v>30000</v>
      </c>
      <c r="Y188" s="36">
        <v>10000</v>
      </c>
      <c r="Z188" s="36">
        <v>110</v>
      </c>
      <c r="AA188" s="36" t="s">
        <v>838</v>
      </c>
    </row>
    <row r="189" ht="17.25" spans="1:27">
      <c r="A189" s="36"/>
      <c r="B189" s="36"/>
      <c r="C189" s="36"/>
      <c r="D189" s="36"/>
      <c r="F189" s="36"/>
      <c r="G189" s="36"/>
      <c r="H189" s="36">
        <v>20621</v>
      </c>
      <c r="I189" s="36" t="s">
        <v>636</v>
      </c>
      <c r="J189" s="36"/>
      <c r="K189" s="36"/>
      <c r="L189" s="32" t="s">
        <v>845</v>
      </c>
      <c r="M189" s="36">
        <v>2</v>
      </c>
      <c r="N189" s="36">
        <v>6</v>
      </c>
      <c r="O189" s="36">
        <v>1062101</v>
      </c>
      <c r="P189" s="36">
        <f t="shared" si="2"/>
        <v>7</v>
      </c>
      <c r="Q189" s="36" t="s">
        <v>931</v>
      </c>
      <c r="R189" s="36" t="s">
        <v>846</v>
      </c>
      <c r="S189" s="36">
        <v>10621</v>
      </c>
      <c r="T189" s="36">
        <v>10621</v>
      </c>
      <c r="U189" s="36" t="s">
        <v>847</v>
      </c>
      <c r="V189" s="36">
        <v>10000</v>
      </c>
      <c r="W189" s="36">
        <v>1000</v>
      </c>
      <c r="X189" s="36">
        <v>30000</v>
      </c>
      <c r="Y189" s="36">
        <v>10000</v>
      </c>
      <c r="Z189" s="36">
        <v>110</v>
      </c>
      <c r="AA189" s="36" t="s">
        <v>838</v>
      </c>
    </row>
  </sheetData>
  <pageMargins left="0.7" right="0.7" top="0.75" bottom="0.75" header="0.3" footer="0.3"/>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96"/>
  <sheetViews>
    <sheetView topLeftCell="A9" workbookViewId="0">
      <selection activeCell="G28" sqref="G28"/>
    </sheetView>
  </sheetViews>
  <sheetFormatPr defaultColWidth="9" defaultRowHeight="16.5" outlineLevelCol="3"/>
  <cols>
    <col min="1" max="1" width="7.375" style="29" customWidth="1"/>
    <col min="2" max="2" width="5.75" style="29" customWidth="1"/>
    <col min="4" max="4" width="11" customWidth="1"/>
  </cols>
  <sheetData>
    <row r="1" ht="17.25" spans="1:2">
      <c r="A1" s="30" t="s">
        <v>932</v>
      </c>
      <c r="B1" s="30" t="s">
        <v>26</v>
      </c>
    </row>
    <row r="2" ht="17.25" spans="1:4">
      <c r="A2" s="30">
        <v>10182</v>
      </c>
      <c r="B2" s="30" t="s">
        <v>933</v>
      </c>
      <c r="C2">
        <v>7</v>
      </c>
      <c r="D2" s="31" t="str">
        <f>VLOOKUP(A:A,Sheet6!A:B,2,FALSE)</f>
        <v>软软国王</v>
      </c>
    </row>
    <row r="3" ht="17.25" spans="1:4">
      <c r="A3" s="30">
        <v>10192</v>
      </c>
      <c r="B3" s="30" t="s">
        <v>933</v>
      </c>
      <c r="C3">
        <v>7</v>
      </c>
      <c r="D3" t="str">
        <f>VLOOKUP(A:A,Sheet6!A:B,2,FALSE)</f>
        <v>拳王兔</v>
      </c>
    </row>
    <row r="4" ht="17.25" spans="1:4">
      <c r="A4" s="30">
        <v>10272</v>
      </c>
      <c r="B4" s="30" t="s">
        <v>933</v>
      </c>
      <c r="C4">
        <v>7</v>
      </c>
      <c r="D4" s="31" t="str">
        <f>VLOOKUP(A:A,Sheet6!A:B,2,FALSE)</f>
        <v>熔岩王</v>
      </c>
    </row>
    <row r="5" ht="17.25" spans="1:4">
      <c r="A5" s="30">
        <v>10622</v>
      </c>
      <c r="B5" s="30" t="s">
        <v>933</v>
      </c>
      <c r="C5">
        <v>7</v>
      </c>
      <c r="D5" s="31" t="str">
        <f>VLOOKUP(A:A,Sheet6!A:B,2,FALSE)</f>
        <v>船长海盗鲨</v>
      </c>
    </row>
    <row r="6" ht="17.25" spans="1:4">
      <c r="A6" s="30">
        <v>10352</v>
      </c>
      <c r="B6" s="30" t="s">
        <v>933</v>
      </c>
      <c r="C6">
        <v>7</v>
      </c>
      <c r="D6" t="str">
        <f>VLOOKUP(A:A,Sheet6!A:B,2,FALSE)</f>
        <v>夜影公爵</v>
      </c>
    </row>
    <row r="7" ht="17.25" spans="1:4">
      <c r="A7" s="30">
        <v>10392</v>
      </c>
      <c r="B7" s="30" t="s">
        <v>933</v>
      </c>
      <c r="C7">
        <v>7</v>
      </c>
      <c r="D7" t="str">
        <f>VLOOKUP(A:A,Sheet6!A:B,2,FALSE)</f>
        <v>壶灵王</v>
      </c>
    </row>
    <row r="8" ht="17.25" spans="1:4">
      <c r="A8" s="30">
        <v>10422</v>
      </c>
      <c r="B8" s="30" t="s">
        <v>933</v>
      </c>
      <c r="C8">
        <v>7</v>
      </c>
      <c r="D8" s="31" t="str">
        <f>VLOOKUP(A:A,Sheet6!A:B,2,FALSE)</f>
        <v>三头犬神</v>
      </c>
    </row>
    <row r="9" ht="17.25" spans="1:4">
      <c r="A9" s="30">
        <v>10512</v>
      </c>
      <c r="B9" s="30" t="s">
        <v>933</v>
      </c>
      <c r="C9">
        <v>7</v>
      </c>
      <c r="D9" t="str">
        <f>VLOOKUP(A:A,Sheet6!A:B,2,FALSE)</f>
        <v>机械暴龙</v>
      </c>
    </row>
    <row r="10" ht="17.25" spans="1:4">
      <c r="A10" s="30">
        <v>10522</v>
      </c>
      <c r="B10" s="30" t="s">
        <v>933</v>
      </c>
      <c r="C10">
        <v>7</v>
      </c>
      <c r="D10" t="str">
        <f>VLOOKUP(A:A,Sheet6!A:B,2,FALSE)</f>
        <v>骑士蜥</v>
      </c>
    </row>
    <row r="11" ht="17.25" spans="1:4">
      <c r="A11" s="30">
        <v>10562</v>
      </c>
      <c r="B11" s="30" t="s">
        <v>933</v>
      </c>
      <c r="C11">
        <v>7</v>
      </c>
      <c r="D11" t="str">
        <f>VLOOKUP(A:A,Sheet6!A:B,2,FALSE)</f>
        <v>核弹鲨</v>
      </c>
    </row>
    <row r="12" ht="17.25" spans="1:4">
      <c r="A12" s="30">
        <v>10582</v>
      </c>
      <c r="B12" s="30" t="s">
        <v>933</v>
      </c>
      <c r="C12">
        <v>7</v>
      </c>
      <c r="D12" t="str">
        <f>VLOOKUP(A:A,Sheet6!A:B,2,FALSE)</f>
        <v>城堡蝸牛</v>
      </c>
    </row>
    <row r="13" ht="17.25" spans="1:4">
      <c r="A13" s="30">
        <v>10332</v>
      </c>
      <c r="B13" s="30" t="s">
        <v>934</v>
      </c>
      <c r="C13">
        <v>6</v>
      </c>
      <c r="D13" t="str">
        <f>VLOOKUP(A:A,Sheet6!A:B,2,FALSE)</f>
        <v>炽焰羊</v>
      </c>
    </row>
    <row r="14" ht="17.25" spans="1:4">
      <c r="A14" s="30">
        <v>10621</v>
      </c>
      <c r="B14" s="30" t="s">
        <v>934</v>
      </c>
      <c r="C14">
        <v>6</v>
      </c>
      <c r="D14" t="str">
        <f>VLOOKUP(A:A,Sheet6!A:B,2,FALSE)</f>
        <v>大副海盗鲨</v>
      </c>
    </row>
    <row r="15" ht="17.25" spans="1:4">
      <c r="A15" s="30">
        <v>10102</v>
      </c>
      <c r="B15" s="30" t="s">
        <v>934</v>
      </c>
      <c r="C15">
        <v>6</v>
      </c>
      <c r="D15" t="str">
        <f>VLOOKUP(A:A,Sheet6!A:B,2,FALSE)</f>
        <v>影忍菇</v>
      </c>
    </row>
    <row r="16" ht="17.25" spans="1:4">
      <c r="A16" s="30">
        <v>10531</v>
      </c>
      <c r="B16" s="30" t="s">
        <v>934</v>
      </c>
      <c r="C16">
        <v>6</v>
      </c>
      <c r="D16" t="str">
        <f>VLOOKUP(A:A,Sheet6!A:B,2,FALSE)</f>
        <v>财宝龙</v>
      </c>
    </row>
    <row r="17" ht="17.25" spans="1:4">
      <c r="A17" s="30">
        <v>10451</v>
      </c>
      <c r="B17" s="30" t="s">
        <v>934</v>
      </c>
      <c r="C17">
        <v>6</v>
      </c>
      <c r="D17" t="str">
        <f>VLOOKUP(A:A,Sheet6!A:B,2,FALSE)</f>
        <v>火炮翼龙</v>
      </c>
    </row>
    <row r="18" ht="17.25" spans="1:4">
      <c r="A18" s="30">
        <v>10361</v>
      </c>
      <c r="B18" s="30" t="s">
        <v>934</v>
      </c>
      <c r="C18">
        <v>6</v>
      </c>
      <c r="D18" t="str">
        <f>VLOOKUP(A:A,Sheet6!A:B,2,FALSE)</f>
        <v>稻草绅士</v>
      </c>
    </row>
    <row r="19" ht="17.25" spans="1:4">
      <c r="A19" s="30">
        <v>10122</v>
      </c>
      <c r="B19" s="30" t="s">
        <v>934</v>
      </c>
      <c r="C19">
        <v>6</v>
      </c>
      <c r="D19" t="str">
        <f>VLOOKUP(A:A,Sheet6!A:B,2,FALSE)</f>
        <v>三头巨蔓</v>
      </c>
    </row>
    <row r="20" ht="17.25" spans="1:4">
      <c r="A20" s="30">
        <v>10151</v>
      </c>
      <c r="B20" s="30" t="s">
        <v>934</v>
      </c>
      <c r="C20">
        <v>6</v>
      </c>
      <c r="D20" t="str">
        <f>VLOOKUP(A:A,Sheet6!A:B,2,FALSE)</f>
        <v>小丑魔盒</v>
      </c>
    </row>
    <row r="21" ht="17.25" spans="1:4">
      <c r="A21" s="30">
        <v>10211</v>
      </c>
      <c r="B21" s="30" t="s">
        <v>934</v>
      </c>
      <c r="C21">
        <v>6</v>
      </c>
      <c r="D21" t="str">
        <f>VLOOKUP(A:A,Sheet6!A:B,2,FALSE)</f>
        <v>巨角斗牛</v>
      </c>
    </row>
    <row r="22" ht="17.25" spans="1:4">
      <c r="A22" s="30">
        <v>10181</v>
      </c>
      <c r="B22" s="30" t="s">
        <v>934</v>
      </c>
      <c r="C22">
        <v>6</v>
      </c>
      <c r="D22" t="str">
        <f>VLOOKUP(A:A,Sheet6!A:B,2,FALSE)</f>
        <v>战斗小软</v>
      </c>
    </row>
    <row r="23" ht="17.25" spans="1:4">
      <c r="A23" s="30">
        <v>10141</v>
      </c>
      <c r="B23" s="30" t="s">
        <v>934</v>
      </c>
      <c r="C23">
        <v>6</v>
      </c>
      <c r="D23" t="str">
        <f>VLOOKUP(A:A,Sheet6!A:B,2,FALSE)</f>
        <v>炽焰虎</v>
      </c>
    </row>
    <row r="24" ht="17.25" spans="1:4">
      <c r="A24" s="30">
        <v>10071</v>
      </c>
      <c r="B24" s="30" t="s">
        <v>935</v>
      </c>
      <c r="C24">
        <v>5</v>
      </c>
      <c r="D24" t="str">
        <f>VLOOKUP(A:A,Sheet6!A:B,2,FALSE)</f>
        <v>行路兽</v>
      </c>
    </row>
    <row r="25" ht="17.25" spans="1:4">
      <c r="A25" s="30">
        <v>10581</v>
      </c>
      <c r="B25" s="30" t="s">
        <v>935</v>
      </c>
      <c r="C25">
        <v>5</v>
      </c>
      <c r="D25" t="str">
        <f>VLOOKUP(A:A,Sheet6!A:B,2,FALSE)</f>
        <v>堡垒蜗牛</v>
      </c>
    </row>
    <row r="26" ht="17.25" spans="1:4">
      <c r="A26" s="30">
        <v>10521</v>
      </c>
      <c r="B26" s="30" t="s">
        <v>935</v>
      </c>
      <c r="C26">
        <v>5</v>
      </c>
      <c r="D26" t="str">
        <f>VLOOKUP(A:A,Sheet6!A:B,2,FALSE)</f>
        <v>戟手蜥</v>
      </c>
    </row>
    <row r="27" ht="17.25" spans="1:4">
      <c r="A27" s="30">
        <v>10121</v>
      </c>
      <c r="B27" s="30" t="s">
        <v>935</v>
      </c>
      <c r="C27">
        <v>5</v>
      </c>
      <c r="D27" t="str">
        <f>VLOOKUP(A:A,Sheet6!A:B,2,FALSE)</f>
        <v>尖牙蔓</v>
      </c>
    </row>
    <row r="28" ht="17.25" spans="1:4">
      <c r="A28" s="30">
        <v>10321</v>
      </c>
      <c r="B28" s="30" t="s">
        <v>935</v>
      </c>
      <c r="C28">
        <v>5</v>
      </c>
      <c r="D28" t="str">
        <f>VLOOKUP(A:A,Sheet6!A:B,2,FALSE)</f>
        <v>惡魔小分隊</v>
      </c>
    </row>
    <row r="29" ht="17.25" spans="1:4">
      <c r="A29" s="30">
        <v>10231</v>
      </c>
      <c r="B29" s="30" t="s">
        <v>935</v>
      </c>
      <c r="C29">
        <v>5</v>
      </c>
      <c r="D29" t="str">
        <f>VLOOKUP(A:A,Sheet6!A:B,2,FALSE)</f>
        <v>烛灵枪手</v>
      </c>
    </row>
    <row r="30" ht="17.25" spans="1:4">
      <c r="A30" s="30">
        <v>10271</v>
      </c>
      <c r="B30" s="30" t="s">
        <v>935</v>
      </c>
      <c r="C30">
        <v>5</v>
      </c>
      <c r="D30" t="str">
        <f>VLOOKUP(A:A,Sheet6!A:B,2,FALSE)</f>
        <v>熔岩精灵</v>
      </c>
    </row>
    <row r="31" ht="17.25" spans="1:4">
      <c r="A31" s="30">
        <v>10062</v>
      </c>
      <c r="B31" s="30" t="s">
        <v>935</v>
      </c>
      <c r="C31">
        <v>5</v>
      </c>
      <c r="D31" t="str">
        <f>VLOOKUP(A:A,Sheet6!A:B,2,FALSE)</f>
        <v>虚梦猫</v>
      </c>
    </row>
    <row r="32" ht="17.25" spans="1:4">
      <c r="A32" s="30">
        <v>10421</v>
      </c>
      <c r="B32" s="30" t="s">
        <v>935</v>
      </c>
      <c r="C32">
        <v>5</v>
      </c>
      <c r="D32" t="str">
        <f>VLOOKUP(A:A,Sheet6!A:B,2,FALSE)</f>
        <v>三头灵犬</v>
      </c>
    </row>
    <row r="33" ht="17.25" spans="1:4">
      <c r="A33" s="30">
        <v>10471</v>
      </c>
      <c r="B33" s="30" t="s">
        <v>935</v>
      </c>
      <c r="C33">
        <v>5</v>
      </c>
      <c r="D33" t="str">
        <f>VLOOKUP(A:A,Sheet6!A:B,2,FALSE)</f>
        <v>音响鳄</v>
      </c>
    </row>
    <row r="34" ht="17.25" spans="1:4">
      <c r="A34" s="30">
        <v>10511</v>
      </c>
      <c r="B34" s="30" t="s">
        <v>935</v>
      </c>
      <c r="C34">
        <v>5</v>
      </c>
      <c r="D34" t="str">
        <f>VLOOKUP(A:A,Sheet6!A:B,2,FALSE)</f>
        <v>钢甲暴龙</v>
      </c>
    </row>
    <row r="35" ht="17.25" spans="1:4">
      <c r="A35" s="30">
        <v>10591</v>
      </c>
      <c r="B35" s="30" t="s">
        <v>936</v>
      </c>
      <c r="C35">
        <v>4</v>
      </c>
      <c r="D35" t="str">
        <f>VLOOKUP(A:A,Sheet6!A:B,2,FALSE)</f>
        <v>雪怪</v>
      </c>
    </row>
    <row r="36" ht="17.25" spans="1:4">
      <c r="A36" s="30">
        <v>10571</v>
      </c>
      <c r="B36" s="30" t="s">
        <v>936</v>
      </c>
      <c r="C36">
        <v>4</v>
      </c>
      <c r="D36" t="str">
        <f>VLOOKUP(A:A,Sheet6!A:B,2,FALSE)</f>
        <v>象茶壶</v>
      </c>
    </row>
    <row r="37" ht="17.25" spans="1:4">
      <c r="A37" s="30">
        <v>10111</v>
      </c>
      <c r="B37" s="30" t="s">
        <v>936</v>
      </c>
      <c r="C37">
        <v>4</v>
      </c>
      <c r="D37" t="str">
        <f>VLOOKUP(A:A,Sheet6!A:B,2,FALSE)</f>
        <v>树桩战士</v>
      </c>
    </row>
    <row r="38" ht="17.25" spans="1:4">
      <c r="A38" s="30">
        <v>10501</v>
      </c>
      <c r="B38" s="30" t="s">
        <v>936</v>
      </c>
      <c r="C38">
        <v>4</v>
      </c>
      <c r="D38" t="str">
        <f>VLOOKUP(A:A,Sheet6!A:B,2,FALSE)</f>
        <v>炽焰猪</v>
      </c>
    </row>
    <row r="39" ht="17.25" spans="1:4">
      <c r="A39" s="30">
        <v>10351</v>
      </c>
      <c r="B39" s="30" t="s">
        <v>936</v>
      </c>
      <c r="C39">
        <v>4</v>
      </c>
      <c r="D39" t="str">
        <f>VLOOKUP(A:A,Sheet6!A:B,2,FALSE)</f>
        <v>夜影伯爵</v>
      </c>
    </row>
    <row r="40" ht="17.25" spans="1:4">
      <c r="A40" s="30">
        <v>10331</v>
      </c>
      <c r="B40" s="30" t="s">
        <v>936</v>
      </c>
      <c r="C40">
        <v>4</v>
      </c>
      <c r="D40" t="str">
        <f>VLOOKUP(A:A,Sheet6!A:B,2,FALSE)</f>
        <v>巨角羊</v>
      </c>
    </row>
    <row r="41" ht="17.25" spans="1:4">
      <c r="A41" s="30">
        <v>10381</v>
      </c>
      <c r="B41" s="30" t="s">
        <v>936</v>
      </c>
      <c r="C41">
        <v>4</v>
      </c>
      <c r="D41" t="str">
        <f>VLOOKUP(A:A,Sheet6!A:B,2,FALSE)</f>
        <v>胆小鬼鬼</v>
      </c>
    </row>
    <row r="42" ht="17.25" spans="1:4">
      <c r="A42" s="29">
        <v>10221</v>
      </c>
      <c r="B42" s="30" t="s">
        <v>936</v>
      </c>
      <c r="C42">
        <v>4</v>
      </c>
      <c r="D42" t="str">
        <f>VLOOKUP(A:A,Sheet6!A:B,2,FALSE)</f>
        <v>重锤巨兽</v>
      </c>
    </row>
    <row r="43" ht="17.25" spans="1:4">
      <c r="A43" s="30">
        <v>10251</v>
      </c>
      <c r="B43" s="30" t="s">
        <v>936</v>
      </c>
      <c r="C43">
        <v>4</v>
      </c>
      <c r="D43" t="str">
        <f>VLOOKUP(A:A,Sheet6!A:B,2,FALSE)</f>
        <v>火焰猴</v>
      </c>
    </row>
    <row r="44" ht="17.25" spans="1:4">
      <c r="A44" s="30">
        <v>10171</v>
      </c>
      <c r="B44" s="30" t="s">
        <v>936</v>
      </c>
      <c r="C44">
        <v>4</v>
      </c>
      <c r="D44" t="str">
        <f>VLOOKUP(A:A,Sheet6!A:B,2,FALSE)</f>
        <v>鼹鼠矿工</v>
      </c>
    </row>
    <row r="45" ht="17.25" spans="1:4">
      <c r="A45" s="30">
        <v>10161</v>
      </c>
      <c r="B45" s="30" t="s">
        <v>936</v>
      </c>
      <c r="C45">
        <v>4</v>
      </c>
      <c r="D45" t="str">
        <f>VLOOKUP(A:A,Sheet6!A:B,2,FALSE)</f>
        <v>勇士鸡</v>
      </c>
    </row>
    <row r="46" ht="17.25" spans="1:4">
      <c r="A46" s="30">
        <v>10391</v>
      </c>
      <c r="B46" s="30" t="s">
        <v>936</v>
      </c>
      <c r="C46">
        <v>4</v>
      </c>
      <c r="D46" t="str">
        <f>VLOOKUP(A:A,Sheet6!A:B,2,FALSE)</f>
        <v>壶灵将</v>
      </c>
    </row>
    <row r="47" ht="17.25" spans="1:4">
      <c r="A47" s="30">
        <v>10411</v>
      </c>
      <c r="B47" s="30" t="s">
        <v>936</v>
      </c>
      <c r="C47">
        <v>4</v>
      </c>
      <c r="D47" t="str">
        <f>VLOOKUP(A:A,Sheet6!A:B,2,FALSE)</f>
        <v>潜灵章鱼</v>
      </c>
    </row>
    <row r="48" ht="17.25" spans="1:4">
      <c r="A48" s="30">
        <v>10561</v>
      </c>
      <c r="B48" s="30" t="s">
        <v>936</v>
      </c>
      <c r="C48">
        <v>4</v>
      </c>
      <c r="D48" t="str">
        <f>VLOOKUP(A:A,Sheet6!A:B,2,FALSE)</f>
        <v>鱼雷鲨</v>
      </c>
    </row>
    <row r="49" ht="17.25" spans="1:4">
      <c r="A49" s="30">
        <v>10091</v>
      </c>
      <c r="B49" s="30" t="s">
        <v>936</v>
      </c>
      <c r="C49">
        <v>4</v>
      </c>
      <c r="D49" t="str">
        <f>VLOOKUP(A:A,Sheet6!A:B,2,FALSE)</f>
        <v>霜角鹿</v>
      </c>
    </row>
    <row r="50" ht="17.25" spans="1:4">
      <c r="A50" s="30">
        <v>10101</v>
      </c>
      <c r="B50" s="30" t="s">
        <v>936</v>
      </c>
      <c r="C50">
        <v>4</v>
      </c>
      <c r="D50" t="str">
        <f>VLOOKUP(A:A,Sheet6!A:B,2,FALSE)</f>
        <v>上忍菇</v>
      </c>
    </row>
    <row r="51" ht="17.25" spans="1:4">
      <c r="A51" s="30">
        <v>10580</v>
      </c>
      <c r="B51" s="30" t="s">
        <v>936</v>
      </c>
      <c r="C51">
        <v>4</v>
      </c>
      <c r="D51" t="str">
        <f>VLOOKUP(A:A,Sheet6!A:B,2,FALSE)</f>
        <v>蜜汁蝸牛</v>
      </c>
    </row>
    <row r="52" ht="17.25" spans="1:4">
      <c r="A52" s="30">
        <v>10530</v>
      </c>
      <c r="B52" s="30" t="s">
        <v>936</v>
      </c>
      <c r="C52">
        <v>4</v>
      </c>
      <c r="D52" t="str">
        <f>VLOOKUP(A:A,Sheet6!A:B,2,FALSE)</f>
        <v>小财龙</v>
      </c>
    </row>
    <row r="53" ht="17.25" spans="1:4">
      <c r="A53" s="30">
        <v>10470</v>
      </c>
      <c r="B53" s="30" t="s">
        <v>936</v>
      </c>
      <c r="C53">
        <v>4</v>
      </c>
      <c r="D53" t="str">
        <f>VLOOKUP(A:A,Sheet6!A:B,2,FALSE)</f>
        <v>音波鳄</v>
      </c>
    </row>
    <row r="54" ht="17.25" spans="1:4">
      <c r="A54" s="30">
        <v>10450</v>
      </c>
      <c r="B54" s="30" t="s">
        <v>936</v>
      </c>
      <c r="C54">
        <v>4</v>
      </c>
      <c r="D54" t="str">
        <f>VLOOKUP(A:A,Sheet6!A:B,2,FALSE)</f>
        <v>彈弓翼龍</v>
      </c>
    </row>
    <row r="55" ht="17.25" spans="1:4">
      <c r="A55" s="30">
        <v>10090</v>
      </c>
      <c r="B55" s="30" t="s">
        <v>937</v>
      </c>
      <c r="C55">
        <v>3</v>
      </c>
      <c r="D55" t="str">
        <f>VLOOKUP(A:A,Sheet6!A:B,2,FALSE)</f>
        <v>冰角鹿</v>
      </c>
    </row>
    <row r="56" ht="17.25" spans="1:4">
      <c r="A56" s="30">
        <v>10191</v>
      </c>
      <c r="B56" s="30" t="s">
        <v>937</v>
      </c>
      <c r="C56">
        <v>3</v>
      </c>
      <c r="D56" t="str">
        <f>VLOOKUP(A:A,Sheet6!A:B,2,FALSE)</f>
        <v>拳击兔</v>
      </c>
    </row>
    <row r="57" ht="17.25" spans="1:4">
      <c r="A57" s="30">
        <v>10110</v>
      </c>
      <c r="B57" s="30" t="s">
        <v>937</v>
      </c>
      <c r="C57">
        <v>3</v>
      </c>
      <c r="D57" t="str">
        <f>VLOOKUP(A:A,Sheet6!A:B,2,FALSE)</f>
        <v>小树卫</v>
      </c>
    </row>
    <row r="58" ht="17.25" spans="1:4">
      <c r="A58" s="30">
        <v>10140</v>
      </c>
      <c r="B58" s="30" t="s">
        <v>937</v>
      </c>
      <c r="C58">
        <v>3</v>
      </c>
      <c r="D58" t="str">
        <f>VLOOKUP(A:A,Sheet6!A:B,2,FALSE)</f>
        <v>炽焰幼虎</v>
      </c>
    </row>
    <row r="59" ht="17.25" spans="1:4">
      <c r="A59" s="30">
        <v>10160</v>
      </c>
      <c r="B59" s="30" t="s">
        <v>937</v>
      </c>
      <c r="C59">
        <v>3</v>
      </c>
      <c r="D59" t="str">
        <f>VLOOKUP(A:A,Sheet6!A:B,2,FALSE)</f>
        <v>尖叫鸡</v>
      </c>
    </row>
    <row r="60" ht="17.25" spans="1:4">
      <c r="A60" s="30">
        <v>10170</v>
      </c>
      <c r="B60" s="30" t="s">
        <v>937</v>
      </c>
      <c r="C60">
        <v>3</v>
      </c>
      <c r="D60" t="str">
        <f>VLOOKUP(A:A,Sheet6!A:B,2,FALSE)</f>
        <v>鼹鼠幼崽</v>
      </c>
    </row>
    <row r="61" ht="17.25" spans="1:4">
      <c r="A61" s="30">
        <v>10180</v>
      </c>
      <c r="B61" s="30" t="s">
        <v>937</v>
      </c>
      <c r="C61">
        <v>3</v>
      </c>
      <c r="D61" t="str">
        <f>VLOOKUP(A:A,Sheet6!A:B,2,FALSE)</f>
        <v>受伤小软</v>
      </c>
    </row>
    <row r="62" ht="17.25" spans="1:4">
      <c r="A62" s="30">
        <v>10061</v>
      </c>
      <c r="B62" s="30" t="s">
        <v>937</v>
      </c>
      <c r="C62">
        <v>3</v>
      </c>
      <c r="D62" t="str">
        <f>VLOOKUP(A:A,Sheet6!A:B,2,FALSE)</f>
        <v>梦影猫</v>
      </c>
    </row>
    <row r="63" ht="17.25" spans="1:4">
      <c r="A63" s="30">
        <v>10210</v>
      </c>
      <c r="B63" s="30" t="s">
        <v>937</v>
      </c>
      <c r="C63">
        <v>3</v>
      </c>
      <c r="D63" t="str">
        <f>VLOOKUP(A:A,Sheet6!A:B,2,FALSE)</f>
        <v>角斗娃</v>
      </c>
    </row>
    <row r="64" ht="17.25" spans="1:4">
      <c r="A64" s="30">
        <v>10230</v>
      </c>
      <c r="B64" s="30" t="s">
        <v>937</v>
      </c>
      <c r="C64">
        <v>3</v>
      </c>
      <c r="D64" t="str">
        <f>VLOOKUP(A:A,Sheet6!A:B,2,FALSE)</f>
        <v>小烛灵</v>
      </c>
    </row>
    <row r="65" ht="17.25" spans="1:4">
      <c r="A65" s="30">
        <v>10250</v>
      </c>
      <c r="B65" s="30" t="s">
        <v>937</v>
      </c>
      <c r="C65">
        <v>3</v>
      </c>
      <c r="D65" t="str">
        <f>VLOOKUP(A:A,Sheet6!A:B,2,FALSE)</f>
        <v>火尾猴</v>
      </c>
    </row>
    <row r="66" ht="17.25" spans="1:4">
      <c r="A66" s="30">
        <v>10620</v>
      </c>
      <c r="B66" s="30" t="s">
        <v>937</v>
      </c>
      <c r="C66">
        <v>3</v>
      </c>
      <c r="D66" t="str">
        <f>VLOOKUP(A:A,Sheet6!A:B,2,FALSE)</f>
        <v>见习海盗鲨</v>
      </c>
    </row>
    <row r="67" ht="17.25" spans="1:4">
      <c r="A67" s="30">
        <v>10270</v>
      </c>
      <c r="B67" s="30" t="s">
        <v>937</v>
      </c>
      <c r="C67">
        <v>3</v>
      </c>
      <c r="D67" t="str">
        <f>VLOOKUP(A:A,Sheet6!A:B,2,FALSE)</f>
        <v>火焰精灵</v>
      </c>
    </row>
    <row r="68" ht="17.25" spans="1:4">
      <c r="A68" s="30">
        <v>10601</v>
      </c>
      <c r="B68" s="30" t="s">
        <v>937</v>
      </c>
      <c r="C68">
        <v>3</v>
      </c>
      <c r="D68" t="str">
        <f>VLOOKUP(A:A,Sheet6!A:B,2,FALSE)</f>
        <v>冰甲兽</v>
      </c>
    </row>
    <row r="69" ht="17.25" spans="1:4">
      <c r="A69" s="30">
        <v>10360</v>
      </c>
      <c r="B69" s="30" t="s">
        <v>937</v>
      </c>
      <c r="C69">
        <v>3</v>
      </c>
      <c r="D69" t="str">
        <f>VLOOKUP(A:A,Sheet6!A:B,2,FALSE)</f>
        <v>稻草人</v>
      </c>
    </row>
    <row r="70" ht="17.25" spans="1:4">
      <c r="A70" s="30">
        <v>10380</v>
      </c>
      <c r="B70" s="30" t="s">
        <v>937</v>
      </c>
      <c r="C70">
        <v>3</v>
      </c>
      <c r="D70" t="str">
        <f>VLOOKUP(A:A,Sheet6!A:B,2,FALSE)</f>
        <v>好奇鬼鬼</v>
      </c>
    </row>
    <row r="71" ht="17.25" spans="1:4">
      <c r="A71" s="30">
        <v>10390</v>
      </c>
      <c r="B71" s="30" t="s">
        <v>937</v>
      </c>
      <c r="C71">
        <v>3</v>
      </c>
      <c r="D71" t="str">
        <f>VLOOKUP(A:A,Sheet6!A:B,2,FALSE)</f>
        <v>壶灵</v>
      </c>
    </row>
    <row r="72" ht="17.25" spans="1:4">
      <c r="A72" s="30">
        <v>10131</v>
      </c>
      <c r="B72" s="30" t="s">
        <v>937</v>
      </c>
      <c r="C72">
        <v>3</v>
      </c>
      <c r="D72" t="str">
        <f>VLOOKUP(A:A,Sheet6!A:B,2,FALSE)</f>
        <v>灵灯蜂</v>
      </c>
    </row>
    <row r="73" ht="17.25" spans="1:4">
      <c r="A73" s="30">
        <v>10520</v>
      </c>
      <c r="B73" s="30" t="s">
        <v>937</v>
      </c>
      <c r="C73">
        <v>3</v>
      </c>
      <c r="D73" t="str">
        <f>VLOOKUP(A:A,Sheet6!A:B,2,FALSE)</f>
        <v>木宝蜥</v>
      </c>
    </row>
    <row r="74" ht="17.25" spans="1:4">
      <c r="A74" s="30">
        <v>10301</v>
      </c>
      <c r="B74" s="30" t="s">
        <v>937</v>
      </c>
      <c r="C74">
        <v>2</v>
      </c>
      <c r="D74" t="str">
        <f>VLOOKUP(A:A,Sheet6!A:B,2,FALSE)</f>
        <v>火药蟹</v>
      </c>
    </row>
    <row r="75" ht="17.25" spans="1:4">
      <c r="A75" s="30">
        <v>10070</v>
      </c>
      <c r="B75" s="30" t="s">
        <v>938</v>
      </c>
      <c r="C75">
        <v>2</v>
      </c>
      <c r="D75" t="str">
        <f>VLOOKUP(A:A,Sheet6!A:B,2,FALSE)</f>
        <v>行路草</v>
      </c>
    </row>
    <row r="76" ht="17.25" spans="1:4">
      <c r="A76" s="30">
        <v>10120</v>
      </c>
      <c r="B76" s="30" t="s">
        <v>938</v>
      </c>
      <c r="C76">
        <v>2</v>
      </c>
      <c r="D76" t="str">
        <f>VLOOKUP(A:A,Sheet6!A:B,2,FALSE)</f>
        <v>藤蔓球</v>
      </c>
    </row>
    <row r="77" ht="17.25" spans="1:4">
      <c r="A77" s="30">
        <v>10500</v>
      </c>
      <c r="B77" s="30" t="s">
        <v>938</v>
      </c>
      <c r="C77">
        <v>2</v>
      </c>
      <c r="D77" t="str">
        <f>VLOOKUP(A:A,Sheet6!A:B,2,FALSE)</f>
        <v>火灵猪</v>
      </c>
    </row>
    <row r="78" ht="17.25" spans="1:4">
      <c r="A78" s="30">
        <v>10150</v>
      </c>
      <c r="B78" s="30" t="s">
        <v>938</v>
      </c>
      <c r="C78">
        <v>2</v>
      </c>
      <c r="D78" t="str">
        <f>VLOOKUP(A:A,Sheet6!A:B,2,FALSE)</f>
        <v>惊吓魔盒</v>
      </c>
    </row>
    <row r="79" ht="17.25" spans="1:4">
      <c r="A79" s="30">
        <v>10570</v>
      </c>
      <c r="B79" s="30" t="s">
        <v>938</v>
      </c>
      <c r="C79">
        <v>2</v>
      </c>
      <c r="D79" t="str">
        <f>VLOOKUP(A:A,Sheet6!A:B,2,FALSE)</f>
        <v>茶杯灵</v>
      </c>
    </row>
    <row r="80" ht="17.25" spans="1:4">
      <c r="A80" s="30">
        <v>10100</v>
      </c>
      <c r="B80" s="30" t="s">
        <v>938</v>
      </c>
      <c r="C80">
        <v>2</v>
      </c>
      <c r="D80" t="str">
        <f>VLOOKUP(A:A,Sheet6!A:B,2,FALSE)</f>
        <v>下忍菇</v>
      </c>
    </row>
    <row r="81" ht="17.25" spans="1:4">
      <c r="A81" s="30">
        <v>10320</v>
      </c>
      <c r="B81" s="30" t="s">
        <v>938</v>
      </c>
      <c r="C81">
        <v>2</v>
      </c>
      <c r="D81" t="str">
        <f>VLOOKUP(A:A,Sheet6!A:B,2,FALSE)</f>
        <v>三惡魔</v>
      </c>
    </row>
    <row r="82" ht="17.25" spans="1:4">
      <c r="A82" s="30">
        <v>10590</v>
      </c>
      <c r="B82" s="30" t="s">
        <v>938</v>
      </c>
      <c r="C82">
        <v>2</v>
      </c>
      <c r="D82" t="str">
        <f>VLOOKUP(A:A,Sheet6!A:B,2,FALSE)</f>
        <v>雪人</v>
      </c>
    </row>
    <row r="83" ht="17.25" spans="1:4">
      <c r="A83" s="30">
        <v>10461</v>
      </c>
      <c r="B83" s="30" t="s">
        <v>938</v>
      </c>
      <c r="C83">
        <v>2</v>
      </c>
      <c r="D83" t="str">
        <f>VLOOKUP(A:A,Sheet6!A:B,2,FALSE)</f>
        <v>雷暴幼龙</v>
      </c>
    </row>
    <row r="84" ht="17.25" spans="1:4">
      <c r="A84" s="30">
        <v>10510</v>
      </c>
      <c r="B84" s="30" t="s">
        <v>938</v>
      </c>
      <c r="C84">
        <v>2</v>
      </c>
      <c r="D84" t="str">
        <f>VLOOKUP(A:A,Sheet6!A:B,2,FALSE)</f>
        <v>钢爪幼龙</v>
      </c>
    </row>
    <row r="85" ht="17.25" spans="1:4">
      <c r="A85" s="30">
        <v>10330</v>
      </c>
      <c r="B85" s="30" t="s">
        <v>938</v>
      </c>
      <c r="C85">
        <v>2</v>
      </c>
      <c r="D85" t="str">
        <f>VLOOKUP(A:A,Sheet6!A:B,2,FALSE)</f>
        <v>蓬蓬羊</v>
      </c>
    </row>
    <row r="86" ht="17.25" spans="1:4">
      <c r="A86" s="30">
        <v>10220</v>
      </c>
      <c r="B86" s="30" t="s">
        <v>939</v>
      </c>
      <c r="C86">
        <v>1</v>
      </c>
      <c r="D86" t="str">
        <f>VLOOKUP(A:A,Sheet6!A:B,2,FALSE)</f>
        <v>重锤兽</v>
      </c>
    </row>
    <row r="87" ht="17.25" spans="1:4">
      <c r="A87" s="30">
        <v>10060</v>
      </c>
      <c r="B87" s="30" t="s">
        <v>939</v>
      </c>
      <c r="C87">
        <v>1</v>
      </c>
      <c r="D87" t="str">
        <f>VLOOKUP(A:A,Sheet6!A:B,2,FALSE)</f>
        <v>幻影猫</v>
      </c>
    </row>
    <row r="88" ht="17.25" spans="1:4">
      <c r="A88" s="30">
        <v>10560</v>
      </c>
      <c r="B88" s="30" t="s">
        <v>939</v>
      </c>
      <c r="C88">
        <v>1</v>
      </c>
      <c r="D88" t="str">
        <f>VLOOKUP(A:A,Sheet6!A:B,2,FALSE)</f>
        <v>导弹鲨</v>
      </c>
    </row>
    <row r="89" ht="17.25" spans="1:4">
      <c r="A89" s="30">
        <v>10350</v>
      </c>
      <c r="B89" s="30" t="s">
        <v>939</v>
      </c>
      <c r="C89">
        <v>1</v>
      </c>
      <c r="D89" t="str">
        <f>VLOOKUP(A:A,Sheet6!A:B,2,FALSE)</f>
        <v>迷眩蝙蝠</v>
      </c>
    </row>
    <row r="90" ht="17.25" spans="1:4">
      <c r="A90" s="30">
        <v>10420</v>
      </c>
      <c r="B90" s="30" t="s">
        <v>939</v>
      </c>
      <c r="C90">
        <v>1</v>
      </c>
      <c r="D90" t="str">
        <f>VLOOKUP(A:A,Sheet6!A:B,2,FALSE)</f>
        <v>幼灵犬</v>
      </c>
    </row>
    <row r="91" ht="17.25" spans="1:4">
      <c r="A91" s="30">
        <v>10600</v>
      </c>
      <c r="B91" s="30" t="s">
        <v>939</v>
      </c>
      <c r="C91">
        <v>1</v>
      </c>
      <c r="D91" t="str">
        <f>VLOOKUP(A:A,Sheet6!A:B,2,FALSE)</f>
        <v>冰灵</v>
      </c>
    </row>
    <row r="92" ht="17.25" spans="1:4">
      <c r="A92" s="29">
        <v>10460</v>
      </c>
      <c r="B92" s="30" t="s">
        <v>939</v>
      </c>
      <c r="C92">
        <v>1</v>
      </c>
      <c r="D92" t="str">
        <f>VLOOKUP(A:A,Sheet6!A:B,2,FALSE)</f>
        <v>雷鸣幼龙</v>
      </c>
    </row>
    <row r="93" ht="17.25" spans="1:4">
      <c r="A93" s="29">
        <v>10130</v>
      </c>
      <c r="B93" s="30" t="s">
        <v>939</v>
      </c>
      <c r="C93">
        <v>1</v>
      </c>
      <c r="D93" t="str">
        <f>VLOOKUP(A:A,Sheet6!A:B,2,FALSE)</f>
        <v>小灯蜂</v>
      </c>
    </row>
    <row r="94" ht="17.25" spans="1:4">
      <c r="A94" s="29">
        <v>10410</v>
      </c>
      <c r="B94" s="30" t="s">
        <v>939</v>
      </c>
      <c r="C94">
        <v>1</v>
      </c>
      <c r="D94" t="str">
        <f>VLOOKUP(A:A,Sheet6!A:B,2,FALSE)</f>
        <v>灯灵章鱼</v>
      </c>
    </row>
    <row r="95" ht="17.25" spans="1:4">
      <c r="A95" s="29">
        <v>10300</v>
      </c>
      <c r="B95" s="30" t="s">
        <v>939</v>
      </c>
      <c r="C95">
        <v>1</v>
      </c>
      <c r="D95" t="str">
        <f>VLOOKUP(A:A,Sheet6!A:B,2,FALSE)</f>
        <v>爆弹蟹</v>
      </c>
    </row>
    <row r="96" ht="17.25" spans="1:4">
      <c r="A96" s="29">
        <v>10190</v>
      </c>
      <c r="B96" s="30" t="s">
        <v>939</v>
      </c>
      <c r="C96">
        <v>1</v>
      </c>
      <c r="D96" t="str">
        <f>VLOOKUP(A:A,Sheet6!A:B,2,FALSE)</f>
        <v>奶拳兔</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04"/>
  <sheetViews>
    <sheetView topLeftCell="A40" workbookViewId="0">
      <selection activeCell="C73" sqref="C73"/>
    </sheetView>
  </sheetViews>
  <sheetFormatPr defaultColWidth="9" defaultRowHeight="14.25"/>
  <cols>
    <col min="2" max="3" width="9.625" customWidth="1"/>
    <col min="4" max="4" width="31.375" customWidth="1"/>
    <col min="5" max="5" width="7.5" customWidth="1"/>
    <col min="20" max="20" width="8.875" customWidth="1"/>
  </cols>
  <sheetData>
    <row r="1" ht="26.25" spans="1:20">
      <c r="A1" s="3" t="s">
        <v>940</v>
      </c>
      <c r="B1" s="3" t="s">
        <v>2</v>
      </c>
      <c r="C1" s="4" t="s">
        <v>11</v>
      </c>
      <c r="D1" s="5" t="s">
        <v>941</v>
      </c>
      <c r="E1" s="6" t="s">
        <v>9</v>
      </c>
      <c r="F1" s="5" t="s">
        <v>942</v>
      </c>
      <c r="G1" s="4" t="s">
        <v>10</v>
      </c>
      <c r="H1" s="5" t="s">
        <v>943</v>
      </c>
      <c r="I1" s="4" t="s">
        <v>944</v>
      </c>
      <c r="J1" s="16"/>
      <c r="K1" s="4" t="s">
        <v>944</v>
      </c>
      <c r="L1" s="16"/>
      <c r="M1" s="16"/>
      <c r="N1" s="16"/>
      <c r="O1" s="4" t="s">
        <v>945</v>
      </c>
      <c r="P1" s="4" t="s">
        <v>945</v>
      </c>
      <c r="Q1" s="4" t="s">
        <v>945</v>
      </c>
      <c r="R1" s="4" t="s">
        <v>945</v>
      </c>
      <c r="S1" s="4" t="s">
        <v>945</v>
      </c>
      <c r="T1" s="4" t="s">
        <v>945</v>
      </c>
    </row>
    <row r="2" ht="15" spans="1:20">
      <c r="A2" s="7" t="s">
        <v>20</v>
      </c>
      <c r="B2" s="7" t="s">
        <v>946</v>
      </c>
      <c r="C2" s="4" t="s">
        <v>19</v>
      </c>
      <c r="D2" s="5" t="s">
        <v>947</v>
      </c>
      <c r="E2" s="4" t="s">
        <v>946</v>
      </c>
      <c r="F2" s="5" t="s">
        <v>948</v>
      </c>
      <c r="G2" s="4" t="s">
        <v>946</v>
      </c>
      <c r="H2" s="5" t="s">
        <v>948</v>
      </c>
      <c r="I2" s="4" t="s">
        <v>946</v>
      </c>
      <c r="J2" s="16"/>
      <c r="K2" s="4" t="s">
        <v>946</v>
      </c>
      <c r="L2" s="16"/>
      <c r="M2" s="16"/>
      <c r="N2" s="16"/>
      <c r="O2" s="4" t="s">
        <v>946</v>
      </c>
      <c r="P2" s="4" t="s">
        <v>946</v>
      </c>
      <c r="Q2" s="4" t="s">
        <v>946</v>
      </c>
      <c r="R2" s="4" t="s">
        <v>946</v>
      </c>
      <c r="S2" s="4" t="s">
        <v>946</v>
      </c>
      <c r="T2" s="4" t="s">
        <v>946</v>
      </c>
    </row>
    <row r="3" ht="64.5" spans="1:20">
      <c r="A3" s="7" t="s">
        <v>22</v>
      </c>
      <c r="B3" s="7" t="s">
        <v>24</v>
      </c>
      <c r="C3" s="4" t="s">
        <v>949</v>
      </c>
      <c r="D3" s="5" t="s">
        <v>950</v>
      </c>
      <c r="E3" s="4" t="s">
        <v>31</v>
      </c>
      <c r="F3" s="5" t="s">
        <v>951</v>
      </c>
      <c r="G3" s="4" t="s">
        <v>32</v>
      </c>
      <c r="H3" s="5" t="s">
        <v>952</v>
      </c>
      <c r="I3" s="4" t="s">
        <v>953</v>
      </c>
      <c r="J3" s="4" t="s">
        <v>954</v>
      </c>
      <c r="K3" s="4" t="s">
        <v>955</v>
      </c>
      <c r="L3" s="4" t="s">
        <v>956</v>
      </c>
      <c r="M3" s="4" t="s">
        <v>957</v>
      </c>
      <c r="N3" s="4" t="s">
        <v>958</v>
      </c>
      <c r="O3" s="4" t="s">
        <v>959</v>
      </c>
      <c r="P3" s="4" t="s">
        <v>960</v>
      </c>
      <c r="Q3" s="4" t="s">
        <v>961</v>
      </c>
      <c r="R3" s="4" t="s">
        <v>962</v>
      </c>
      <c r="S3" s="4" t="s">
        <v>963</v>
      </c>
      <c r="T3" s="4" t="s">
        <v>964</v>
      </c>
    </row>
    <row r="4" spans="1:20">
      <c r="A4" s="8">
        <v>10012</v>
      </c>
      <c r="B4" s="9" t="s">
        <v>241</v>
      </c>
      <c r="C4" s="10" t="s">
        <v>965</v>
      </c>
      <c r="D4" s="11" t="s">
        <v>966</v>
      </c>
      <c r="E4" s="10">
        <v>10012</v>
      </c>
      <c r="F4" s="11" t="s">
        <v>966</v>
      </c>
      <c r="G4" s="10">
        <v>10012</v>
      </c>
      <c r="H4" s="11"/>
      <c r="I4" s="17" t="s">
        <v>967</v>
      </c>
      <c r="J4" s="18">
        <v>0.5</v>
      </c>
      <c r="K4" s="17" t="s">
        <v>968</v>
      </c>
      <c r="L4" s="19">
        <v>1.67</v>
      </c>
      <c r="M4" s="19">
        <v>0.4</v>
      </c>
      <c r="N4" s="19">
        <v>0.45</v>
      </c>
      <c r="O4" s="19">
        <v>1001202</v>
      </c>
      <c r="P4" s="19">
        <v>1001203</v>
      </c>
      <c r="Q4" s="19">
        <v>1001204</v>
      </c>
      <c r="R4" s="19">
        <v>1001205</v>
      </c>
      <c r="S4" s="19">
        <v>1001206</v>
      </c>
      <c r="T4" s="19">
        <v>1001207</v>
      </c>
    </row>
    <row r="5" spans="1:20">
      <c r="A5" s="8">
        <v>10032</v>
      </c>
      <c r="B5" s="9" t="s">
        <v>247</v>
      </c>
      <c r="C5" s="10" t="s">
        <v>969</v>
      </c>
      <c r="D5" s="11" t="s">
        <v>966</v>
      </c>
      <c r="E5" s="10">
        <v>10032</v>
      </c>
      <c r="F5" s="11" t="s">
        <v>966</v>
      </c>
      <c r="G5" s="10">
        <v>10032</v>
      </c>
      <c r="H5" s="11"/>
      <c r="I5" s="17" t="s">
        <v>970</v>
      </c>
      <c r="J5" s="18">
        <v>0.4</v>
      </c>
      <c r="K5" s="17" t="s">
        <v>971</v>
      </c>
      <c r="L5" s="19">
        <v>1</v>
      </c>
      <c r="M5" s="19">
        <v>0.5</v>
      </c>
      <c r="N5" s="20" t="s">
        <v>972</v>
      </c>
      <c r="O5" s="19">
        <v>1003202</v>
      </c>
      <c r="P5" s="19">
        <v>1003203</v>
      </c>
      <c r="Q5" s="19">
        <v>1003204</v>
      </c>
      <c r="R5" s="19">
        <v>1003205</v>
      </c>
      <c r="S5" s="19">
        <v>1003206</v>
      </c>
      <c r="T5" s="19">
        <v>1003207</v>
      </c>
    </row>
    <row r="6" spans="1:20">
      <c r="A6" s="8">
        <v>10042</v>
      </c>
      <c r="B6" s="9" t="s">
        <v>250</v>
      </c>
      <c r="C6" s="10" t="s">
        <v>973</v>
      </c>
      <c r="D6" s="11" t="s">
        <v>966</v>
      </c>
      <c r="E6" s="10">
        <v>10042</v>
      </c>
      <c r="F6" s="11" t="s">
        <v>966</v>
      </c>
      <c r="G6" s="10">
        <v>10042</v>
      </c>
      <c r="H6" s="11"/>
      <c r="I6" s="17" t="s">
        <v>974</v>
      </c>
      <c r="J6" s="18">
        <v>0.4</v>
      </c>
      <c r="K6" s="17" t="s">
        <v>975</v>
      </c>
      <c r="L6" s="19">
        <v>1.5</v>
      </c>
      <c r="M6" s="19">
        <v>0.4</v>
      </c>
      <c r="N6" s="19" t="s">
        <v>976</v>
      </c>
      <c r="O6" s="19">
        <v>1004202</v>
      </c>
      <c r="P6" s="19">
        <v>1004203</v>
      </c>
      <c r="Q6" s="19">
        <v>1004204</v>
      </c>
      <c r="R6" s="19">
        <v>1004205</v>
      </c>
      <c r="S6" s="19">
        <v>1004206</v>
      </c>
      <c r="T6" s="19">
        <v>1004207</v>
      </c>
    </row>
    <row r="7" spans="1:20">
      <c r="A7" s="8">
        <v>10060</v>
      </c>
      <c r="B7" s="12" t="s">
        <v>40</v>
      </c>
      <c r="C7" s="10" t="s">
        <v>44</v>
      </c>
      <c r="D7" s="11" t="s">
        <v>966</v>
      </c>
      <c r="E7" s="10">
        <v>10060</v>
      </c>
      <c r="F7" s="11" t="s">
        <v>966</v>
      </c>
      <c r="G7" s="10">
        <v>10060</v>
      </c>
      <c r="H7" s="11" t="s">
        <v>966</v>
      </c>
      <c r="I7" s="17" t="s">
        <v>977</v>
      </c>
      <c r="J7" s="18">
        <v>0.33</v>
      </c>
      <c r="K7" s="17" t="s">
        <v>978</v>
      </c>
      <c r="L7" s="21">
        <v>1.33</v>
      </c>
      <c r="M7" s="21">
        <v>0.6</v>
      </c>
      <c r="N7" s="21">
        <v>0.55</v>
      </c>
      <c r="O7" s="19">
        <v>1006002</v>
      </c>
      <c r="P7" s="19">
        <v>1006003</v>
      </c>
      <c r="Q7" s="19">
        <v>1006004</v>
      </c>
      <c r="R7" s="19">
        <v>1006005</v>
      </c>
      <c r="S7" s="19">
        <v>1006006</v>
      </c>
      <c r="T7" s="19">
        <v>1006007</v>
      </c>
    </row>
    <row r="8" spans="1:20">
      <c r="A8" s="8">
        <v>10061</v>
      </c>
      <c r="B8" s="12" t="s">
        <v>257</v>
      </c>
      <c r="C8" s="10" t="s">
        <v>645</v>
      </c>
      <c r="D8" s="11" t="s">
        <v>966</v>
      </c>
      <c r="E8" s="10">
        <v>10061</v>
      </c>
      <c r="F8" s="11" t="s">
        <v>966</v>
      </c>
      <c r="G8" s="10">
        <v>10061</v>
      </c>
      <c r="H8" s="11" t="s">
        <v>966</v>
      </c>
      <c r="I8" s="17" t="s">
        <v>977</v>
      </c>
      <c r="J8" s="18">
        <v>0.4</v>
      </c>
      <c r="K8" s="17" t="s">
        <v>979</v>
      </c>
      <c r="L8" s="21">
        <v>1.67</v>
      </c>
      <c r="M8" s="21">
        <v>0.5</v>
      </c>
      <c r="N8" s="19">
        <v>1</v>
      </c>
      <c r="O8" s="19">
        <v>1006102</v>
      </c>
      <c r="P8" s="19">
        <v>1006103</v>
      </c>
      <c r="Q8" s="19">
        <v>1006104</v>
      </c>
      <c r="R8" s="19">
        <v>1006105</v>
      </c>
      <c r="S8" s="19">
        <v>1006106</v>
      </c>
      <c r="T8" s="19">
        <v>1006107</v>
      </c>
    </row>
    <row r="9" spans="1:20">
      <c r="A9" s="8">
        <v>10062</v>
      </c>
      <c r="B9" s="12" t="s">
        <v>262</v>
      </c>
      <c r="C9" s="10" t="s">
        <v>649</v>
      </c>
      <c r="D9" s="11" t="s">
        <v>966</v>
      </c>
      <c r="E9" s="10">
        <v>10062</v>
      </c>
      <c r="F9" s="11" t="s">
        <v>966</v>
      </c>
      <c r="G9" s="10">
        <v>10062</v>
      </c>
      <c r="H9" s="11" t="s">
        <v>966</v>
      </c>
      <c r="I9" s="17" t="s">
        <v>977</v>
      </c>
      <c r="J9" s="18">
        <v>0.5</v>
      </c>
      <c r="K9" s="17" t="s">
        <v>980</v>
      </c>
      <c r="L9" s="21">
        <v>1.67</v>
      </c>
      <c r="M9" s="21">
        <v>0.6</v>
      </c>
      <c r="N9" s="19" t="s">
        <v>981</v>
      </c>
      <c r="O9" s="19">
        <v>1006202</v>
      </c>
      <c r="P9" s="19">
        <v>1006203</v>
      </c>
      <c r="Q9" s="19">
        <v>1006204</v>
      </c>
      <c r="R9" s="19">
        <v>1006205</v>
      </c>
      <c r="S9" s="19">
        <v>1006206</v>
      </c>
      <c r="T9" s="19">
        <v>1006207</v>
      </c>
    </row>
    <row r="10" spans="1:20">
      <c r="A10" s="8">
        <v>10070</v>
      </c>
      <c r="B10" s="12" t="s">
        <v>267</v>
      </c>
      <c r="C10" s="10" t="s">
        <v>653</v>
      </c>
      <c r="D10" s="11" t="s">
        <v>982</v>
      </c>
      <c r="E10" s="10">
        <v>10070</v>
      </c>
      <c r="F10" s="11"/>
      <c r="G10" s="10">
        <v>10070</v>
      </c>
      <c r="H10" s="11"/>
      <c r="I10" s="17" t="s">
        <v>983</v>
      </c>
      <c r="J10" s="19">
        <v>0.3</v>
      </c>
      <c r="K10" s="17" t="s">
        <v>984</v>
      </c>
      <c r="L10" s="21">
        <v>3.4</v>
      </c>
      <c r="M10" s="21">
        <v>0.9</v>
      </c>
      <c r="N10" s="19">
        <v>0.5</v>
      </c>
      <c r="O10" s="19">
        <v>1007002</v>
      </c>
      <c r="P10" s="19">
        <v>1007003</v>
      </c>
      <c r="Q10" s="19">
        <v>1007004</v>
      </c>
      <c r="R10" s="19">
        <v>1007005</v>
      </c>
      <c r="S10" s="19">
        <v>1007006</v>
      </c>
      <c r="T10" s="19">
        <v>1007007</v>
      </c>
    </row>
    <row r="11" spans="1:20">
      <c r="A11" s="8">
        <v>10071</v>
      </c>
      <c r="B11" s="12" t="s">
        <v>272</v>
      </c>
      <c r="C11" s="10" t="s">
        <v>656</v>
      </c>
      <c r="D11" s="11" t="s">
        <v>985</v>
      </c>
      <c r="E11" s="10">
        <v>10071</v>
      </c>
      <c r="F11" s="11" t="s">
        <v>986</v>
      </c>
      <c r="G11" s="10">
        <v>10071</v>
      </c>
      <c r="H11" s="11" t="s">
        <v>986</v>
      </c>
      <c r="I11" s="17" t="s">
        <v>983</v>
      </c>
      <c r="J11" s="19">
        <v>0.4</v>
      </c>
      <c r="K11" s="17" t="s">
        <v>987</v>
      </c>
      <c r="L11" s="21">
        <v>2.8</v>
      </c>
      <c r="M11" s="21">
        <v>1</v>
      </c>
      <c r="N11" s="19">
        <v>0.5</v>
      </c>
      <c r="O11" s="19">
        <v>1007102</v>
      </c>
      <c r="P11" s="19">
        <v>1007103</v>
      </c>
      <c r="Q11" s="19">
        <v>1007104</v>
      </c>
      <c r="R11" s="19">
        <v>1007105</v>
      </c>
      <c r="S11" s="19">
        <v>1007106</v>
      </c>
      <c r="T11" s="19">
        <v>1007107</v>
      </c>
    </row>
    <row r="12" spans="1:20">
      <c r="A12" s="8">
        <v>10090</v>
      </c>
      <c r="B12" s="12" t="s">
        <v>46</v>
      </c>
      <c r="C12" s="10" t="s">
        <v>50</v>
      </c>
      <c r="D12" s="11" t="s">
        <v>988</v>
      </c>
      <c r="E12" s="10">
        <v>10090</v>
      </c>
      <c r="F12" s="11" t="s">
        <v>989</v>
      </c>
      <c r="G12" s="10">
        <v>10090</v>
      </c>
      <c r="H12" s="11" t="s">
        <v>989</v>
      </c>
      <c r="I12" s="17" t="s">
        <v>990</v>
      </c>
      <c r="J12" s="19">
        <v>0.4</v>
      </c>
      <c r="K12" s="17" t="s">
        <v>991</v>
      </c>
      <c r="L12" s="21">
        <v>2.7</v>
      </c>
      <c r="M12" s="21">
        <v>0.5</v>
      </c>
      <c r="N12" s="19" t="s">
        <v>992</v>
      </c>
      <c r="O12" s="19">
        <v>1009002</v>
      </c>
      <c r="P12" s="19">
        <v>1009003</v>
      </c>
      <c r="Q12" s="19">
        <v>1009004</v>
      </c>
      <c r="R12" s="19">
        <v>1009005</v>
      </c>
      <c r="S12" s="19">
        <v>1009006</v>
      </c>
      <c r="T12" s="19">
        <v>1009007</v>
      </c>
    </row>
    <row r="13" spans="1:20">
      <c r="A13" s="8">
        <v>10091</v>
      </c>
      <c r="B13" s="12" t="s">
        <v>279</v>
      </c>
      <c r="C13" s="10" t="s">
        <v>659</v>
      </c>
      <c r="D13" s="11" t="s">
        <v>988</v>
      </c>
      <c r="E13" s="10">
        <v>10091</v>
      </c>
      <c r="F13" s="11" t="s">
        <v>989</v>
      </c>
      <c r="G13" s="10">
        <v>10091</v>
      </c>
      <c r="H13" s="11" t="s">
        <v>989</v>
      </c>
      <c r="I13" s="17" t="s">
        <v>990</v>
      </c>
      <c r="J13" s="19">
        <v>0.5</v>
      </c>
      <c r="K13" s="17" t="s">
        <v>993</v>
      </c>
      <c r="L13" s="21">
        <v>3.2</v>
      </c>
      <c r="M13" s="21">
        <v>0.7</v>
      </c>
      <c r="N13" s="19" t="s">
        <v>992</v>
      </c>
      <c r="O13" s="19">
        <v>1009102</v>
      </c>
      <c r="P13" s="19">
        <v>1009103</v>
      </c>
      <c r="Q13" s="19">
        <v>1009104</v>
      </c>
      <c r="R13" s="19">
        <v>1009105</v>
      </c>
      <c r="S13" s="19">
        <v>1009106</v>
      </c>
      <c r="T13" s="19">
        <v>1009107</v>
      </c>
    </row>
    <row r="14" spans="1:20">
      <c r="A14" s="8">
        <v>10100</v>
      </c>
      <c r="B14" s="12" t="s">
        <v>52</v>
      </c>
      <c r="C14" s="10" t="s">
        <v>56</v>
      </c>
      <c r="D14" s="11" t="s">
        <v>988</v>
      </c>
      <c r="E14" s="10">
        <v>10100</v>
      </c>
      <c r="F14" s="11" t="s">
        <v>989</v>
      </c>
      <c r="G14" s="10">
        <v>10100</v>
      </c>
      <c r="H14" s="11" t="s">
        <v>989</v>
      </c>
      <c r="I14" s="17" t="s">
        <v>994</v>
      </c>
      <c r="J14" s="19">
        <v>0.4</v>
      </c>
      <c r="K14" s="17" t="s">
        <v>995</v>
      </c>
      <c r="L14" s="21">
        <v>2.33</v>
      </c>
      <c r="M14" s="21">
        <v>0.6</v>
      </c>
      <c r="N14" s="19">
        <v>0.6</v>
      </c>
      <c r="O14" s="19">
        <v>1010002</v>
      </c>
      <c r="P14" s="19">
        <v>1010003</v>
      </c>
      <c r="Q14" s="19">
        <v>1010004</v>
      </c>
      <c r="R14" s="19">
        <v>1010005</v>
      </c>
      <c r="S14" s="19">
        <v>1010006</v>
      </c>
      <c r="T14" s="19">
        <v>1010007</v>
      </c>
    </row>
    <row r="15" spans="1:20">
      <c r="A15" s="8">
        <v>10101</v>
      </c>
      <c r="B15" s="12" t="s">
        <v>58</v>
      </c>
      <c r="C15" s="10" t="s">
        <v>62</v>
      </c>
      <c r="D15" s="11" t="s">
        <v>988</v>
      </c>
      <c r="E15" s="10">
        <v>10101</v>
      </c>
      <c r="F15" s="11" t="s">
        <v>989</v>
      </c>
      <c r="G15" s="10">
        <v>10101</v>
      </c>
      <c r="H15" s="11" t="s">
        <v>989</v>
      </c>
      <c r="I15" s="17" t="s">
        <v>994</v>
      </c>
      <c r="J15" s="19">
        <v>0.4</v>
      </c>
      <c r="K15" s="17" t="s">
        <v>996</v>
      </c>
      <c r="L15" s="21">
        <v>2.7</v>
      </c>
      <c r="M15" s="22" t="s">
        <v>997</v>
      </c>
      <c r="N15" s="19" t="s">
        <v>998</v>
      </c>
      <c r="O15" s="19">
        <v>1010102</v>
      </c>
      <c r="P15" s="19">
        <v>1010103</v>
      </c>
      <c r="Q15" s="19">
        <v>1010104</v>
      </c>
      <c r="R15" s="19">
        <v>1010105</v>
      </c>
      <c r="S15" s="19">
        <v>1010106</v>
      </c>
      <c r="T15" s="19">
        <v>1010107</v>
      </c>
    </row>
    <row r="16" spans="1:20">
      <c r="A16" s="8">
        <v>10102</v>
      </c>
      <c r="B16" s="12" t="s">
        <v>290</v>
      </c>
      <c r="C16" s="10" t="s">
        <v>664</v>
      </c>
      <c r="D16" s="11" t="s">
        <v>982</v>
      </c>
      <c r="E16" s="10">
        <v>10102</v>
      </c>
      <c r="F16" s="11"/>
      <c r="G16" s="10">
        <v>10102</v>
      </c>
      <c r="H16" s="11"/>
      <c r="I16" s="17" t="s">
        <v>994</v>
      </c>
      <c r="J16" s="19">
        <v>0.4</v>
      </c>
      <c r="K16" s="17" t="s">
        <v>999</v>
      </c>
      <c r="L16" s="21">
        <v>3</v>
      </c>
      <c r="M16" s="22" t="s">
        <v>1000</v>
      </c>
      <c r="N16" s="19" t="s">
        <v>1001</v>
      </c>
      <c r="O16" s="19">
        <v>1010202</v>
      </c>
      <c r="P16" s="19">
        <v>1010203</v>
      </c>
      <c r="Q16" s="19">
        <v>1010204</v>
      </c>
      <c r="R16" s="19">
        <v>1010205</v>
      </c>
      <c r="S16" s="19">
        <v>1010206</v>
      </c>
      <c r="T16" s="19">
        <v>1010207</v>
      </c>
    </row>
    <row r="17" spans="1:20">
      <c r="A17" s="8">
        <v>10110</v>
      </c>
      <c r="B17" s="12" t="s">
        <v>64</v>
      </c>
      <c r="C17" s="10" t="s">
        <v>68</v>
      </c>
      <c r="D17" s="11" t="s">
        <v>1002</v>
      </c>
      <c r="E17" s="10">
        <v>10110</v>
      </c>
      <c r="F17" s="11" t="s">
        <v>1003</v>
      </c>
      <c r="G17" s="10">
        <v>10110</v>
      </c>
      <c r="H17" s="11" t="s">
        <v>1003</v>
      </c>
      <c r="I17" s="17" t="s">
        <v>1004</v>
      </c>
      <c r="J17" s="19">
        <v>0.4</v>
      </c>
      <c r="K17" s="17" t="s">
        <v>1005</v>
      </c>
      <c r="L17" s="21">
        <v>3.5</v>
      </c>
      <c r="M17" s="22" t="s">
        <v>1006</v>
      </c>
      <c r="N17" s="19" t="s">
        <v>1007</v>
      </c>
      <c r="O17" s="19">
        <v>1011002</v>
      </c>
      <c r="P17" s="19">
        <v>1011003</v>
      </c>
      <c r="Q17" s="19">
        <v>1011004</v>
      </c>
      <c r="R17" s="19">
        <v>1011005</v>
      </c>
      <c r="S17" s="19">
        <v>1011006</v>
      </c>
      <c r="T17" s="19">
        <v>1011007</v>
      </c>
    </row>
    <row r="18" spans="1:20">
      <c r="A18" s="8">
        <v>10111</v>
      </c>
      <c r="B18" s="12" t="s">
        <v>70</v>
      </c>
      <c r="C18" s="10" t="s">
        <v>74</v>
      </c>
      <c r="D18" s="11" t="s">
        <v>1002</v>
      </c>
      <c r="E18" s="10">
        <v>10111</v>
      </c>
      <c r="F18" s="11" t="s">
        <v>1003</v>
      </c>
      <c r="G18" s="10">
        <v>10111</v>
      </c>
      <c r="H18" s="11" t="s">
        <v>1003</v>
      </c>
      <c r="I18" s="17" t="s">
        <v>1008</v>
      </c>
      <c r="J18" s="19">
        <v>0.4</v>
      </c>
      <c r="K18" s="17" t="s">
        <v>1009</v>
      </c>
      <c r="L18" s="21">
        <v>3.7</v>
      </c>
      <c r="M18" s="22" t="s">
        <v>997</v>
      </c>
      <c r="N18" s="19" t="s">
        <v>1007</v>
      </c>
      <c r="O18" s="19">
        <v>1011102</v>
      </c>
      <c r="P18" s="19">
        <v>1011103</v>
      </c>
      <c r="Q18" s="19">
        <v>1011104</v>
      </c>
      <c r="R18" s="19">
        <v>1011105</v>
      </c>
      <c r="S18" s="19">
        <v>1011106</v>
      </c>
      <c r="T18" s="19">
        <v>1011107</v>
      </c>
    </row>
    <row r="19" spans="1:20">
      <c r="A19" s="8">
        <v>10120</v>
      </c>
      <c r="B19" s="12" t="s">
        <v>75</v>
      </c>
      <c r="C19" s="10" t="s">
        <v>79</v>
      </c>
      <c r="D19" s="11" t="s">
        <v>988</v>
      </c>
      <c r="E19" s="10">
        <v>10120</v>
      </c>
      <c r="F19" s="11" t="s">
        <v>986</v>
      </c>
      <c r="G19" s="10">
        <v>10120</v>
      </c>
      <c r="H19" s="11" t="s">
        <v>986</v>
      </c>
      <c r="I19" s="17" t="s">
        <v>1010</v>
      </c>
      <c r="J19" s="19">
        <v>0.3</v>
      </c>
      <c r="K19" s="17" t="s">
        <v>1011</v>
      </c>
      <c r="L19" s="21">
        <v>3</v>
      </c>
      <c r="M19" s="21">
        <v>0.7</v>
      </c>
      <c r="N19" s="20" t="s">
        <v>1012</v>
      </c>
      <c r="O19" s="19">
        <v>1012002</v>
      </c>
      <c r="P19" s="19">
        <v>1012003</v>
      </c>
      <c r="Q19" s="19">
        <v>1012004</v>
      </c>
      <c r="R19" s="19">
        <v>1012005</v>
      </c>
      <c r="S19" s="19">
        <v>1012006</v>
      </c>
      <c r="T19" s="19">
        <v>1012007</v>
      </c>
    </row>
    <row r="20" spans="1:20">
      <c r="A20" s="8">
        <v>10121</v>
      </c>
      <c r="B20" s="12" t="s">
        <v>303</v>
      </c>
      <c r="C20" s="10" t="s">
        <v>669</v>
      </c>
      <c r="D20" s="11" t="s">
        <v>988</v>
      </c>
      <c r="E20" s="10">
        <v>10121</v>
      </c>
      <c r="F20" s="11" t="s">
        <v>986</v>
      </c>
      <c r="G20" s="10">
        <v>10121</v>
      </c>
      <c r="H20" s="11" t="s">
        <v>986</v>
      </c>
      <c r="I20" s="17" t="s">
        <v>1010</v>
      </c>
      <c r="J20" s="19">
        <v>0.3</v>
      </c>
      <c r="K20" s="17" t="s">
        <v>1013</v>
      </c>
      <c r="L20" s="21">
        <v>3</v>
      </c>
      <c r="M20" s="21">
        <v>0.7</v>
      </c>
      <c r="N20" s="20" t="s">
        <v>1012</v>
      </c>
      <c r="O20" s="19">
        <v>1012102</v>
      </c>
      <c r="P20" s="19">
        <v>1012103</v>
      </c>
      <c r="Q20" s="19">
        <v>1012104</v>
      </c>
      <c r="R20" s="19">
        <v>1012105</v>
      </c>
      <c r="S20" s="19">
        <v>1012106</v>
      </c>
      <c r="T20" s="19">
        <v>1012107</v>
      </c>
    </row>
    <row r="21" spans="1:20">
      <c r="A21" s="8">
        <v>10122</v>
      </c>
      <c r="B21" s="12" t="s">
        <v>307</v>
      </c>
      <c r="C21" s="10" t="s">
        <v>672</v>
      </c>
      <c r="D21" s="11" t="s">
        <v>1003</v>
      </c>
      <c r="E21" s="10">
        <v>10122</v>
      </c>
      <c r="F21" s="11"/>
      <c r="G21" s="10">
        <v>10122</v>
      </c>
      <c r="H21" s="11"/>
      <c r="I21" s="17" t="s">
        <v>1010</v>
      </c>
      <c r="J21" s="19">
        <v>0.4</v>
      </c>
      <c r="K21" s="17" t="s">
        <v>1014</v>
      </c>
      <c r="L21" s="21">
        <v>2.7</v>
      </c>
      <c r="M21" s="22" t="s">
        <v>1015</v>
      </c>
      <c r="N21" s="20" t="s">
        <v>1016</v>
      </c>
      <c r="O21" s="19">
        <v>1012202</v>
      </c>
      <c r="P21" s="19">
        <v>1012203</v>
      </c>
      <c r="Q21" s="19">
        <v>1012204</v>
      </c>
      <c r="R21" s="19">
        <v>1012205</v>
      </c>
      <c r="S21" s="19">
        <v>1012206</v>
      </c>
      <c r="T21" s="19">
        <v>1012207</v>
      </c>
    </row>
    <row r="22" spans="1:20">
      <c r="A22" s="8">
        <v>10130</v>
      </c>
      <c r="B22" s="12" t="s">
        <v>81</v>
      </c>
      <c r="C22" s="10" t="s">
        <v>85</v>
      </c>
      <c r="D22" s="11" t="s">
        <v>988</v>
      </c>
      <c r="E22" s="10">
        <v>10130</v>
      </c>
      <c r="F22" s="11" t="s">
        <v>989</v>
      </c>
      <c r="G22" s="10">
        <v>10130</v>
      </c>
      <c r="H22" s="11" t="s">
        <v>989</v>
      </c>
      <c r="I22" s="17" t="s">
        <v>1017</v>
      </c>
      <c r="J22" s="19">
        <v>0.5</v>
      </c>
      <c r="K22" s="17" t="s">
        <v>1018</v>
      </c>
      <c r="L22" s="21">
        <v>2.7</v>
      </c>
      <c r="M22" s="21">
        <v>0.5</v>
      </c>
      <c r="N22" s="19" t="s">
        <v>1019</v>
      </c>
      <c r="O22" s="19">
        <v>1013002</v>
      </c>
      <c r="P22" s="19">
        <v>1013003</v>
      </c>
      <c r="Q22" s="19">
        <v>1013004</v>
      </c>
      <c r="R22" s="19">
        <v>1013005</v>
      </c>
      <c r="S22" s="19">
        <v>1013006</v>
      </c>
      <c r="T22" s="19">
        <v>1013007</v>
      </c>
    </row>
    <row r="23" spans="1:20">
      <c r="A23" s="8">
        <v>10131</v>
      </c>
      <c r="B23" s="12" t="s">
        <v>87</v>
      </c>
      <c r="C23" s="10" t="s">
        <v>91</v>
      </c>
      <c r="D23" s="11" t="s">
        <v>988</v>
      </c>
      <c r="E23" s="10">
        <v>10131</v>
      </c>
      <c r="F23" s="11" t="s">
        <v>989</v>
      </c>
      <c r="G23" s="10">
        <v>10131</v>
      </c>
      <c r="H23" s="11" t="s">
        <v>989</v>
      </c>
      <c r="I23" s="17" t="s">
        <v>1017</v>
      </c>
      <c r="J23" s="19">
        <v>0.4</v>
      </c>
      <c r="K23" s="17" t="s">
        <v>1020</v>
      </c>
      <c r="L23" s="21">
        <v>2.7</v>
      </c>
      <c r="M23" s="21">
        <v>0.6</v>
      </c>
      <c r="N23" s="19" t="s">
        <v>1019</v>
      </c>
      <c r="O23" s="19">
        <v>1013102</v>
      </c>
      <c r="P23" s="19">
        <v>1013103</v>
      </c>
      <c r="Q23" s="19">
        <v>1013104</v>
      </c>
      <c r="R23" s="19">
        <v>1013105</v>
      </c>
      <c r="S23" s="19">
        <v>1013106</v>
      </c>
      <c r="T23" s="19">
        <v>1013107</v>
      </c>
    </row>
    <row r="24" spans="1:20">
      <c r="A24" s="8">
        <v>10140</v>
      </c>
      <c r="B24" s="12" t="s">
        <v>93</v>
      </c>
      <c r="C24" s="10" t="s">
        <v>97</v>
      </c>
      <c r="D24" s="11" t="s">
        <v>1021</v>
      </c>
      <c r="E24" s="10">
        <v>10140</v>
      </c>
      <c r="F24" s="11" t="s">
        <v>1022</v>
      </c>
      <c r="G24" s="10">
        <v>10140</v>
      </c>
      <c r="H24" s="11" t="s">
        <v>1022</v>
      </c>
      <c r="I24" s="17" t="s">
        <v>1023</v>
      </c>
      <c r="J24" s="19">
        <v>0.4</v>
      </c>
      <c r="K24" s="17" t="s">
        <v>1024</v>
      </c>
      <c r="L24" s="21">
        <v>2.9</v>
      </c>
      <c r="M24" s="22" t="s">
        <v>1025</v>
      </c>
      <c r="N24" s="19">
        <v>0.45</v>
      </c>
      <c r="O24" s="19">
        <v>1014002</v>
      </c>
      <c r="P24" s="19">
        <v>1014003</v>
      </c>
      <c r="Q24" s="19">
        <v>1014004</v>
      </c>
      <c r="R24" s="19">
        <v>1014005</v>
      </c>
      <c r="S24" s="19">
        <v>1014006</v>
      </c>
      <c r="T24" s="19">
        <v>1014007</v>
      </c>
    </row>
    <row r="25" spans="1:20">
      <c r="A25" s="8">
        <v>10141</v>
      </c>
      <c r="B25" s="12" t="s">
        <v>318</v>
      </c>
      <c r="C25" s="10" t="s">
        <v>676</v>
      </c>
      <c r="D25" s="11" t="s">
        <v>1021</v>
      </c>
      <c r="E25" s="10">
        <v>10141</v>
      </c>
      <c r="F25" s="11"/>
      <c r="G25" s="10">
        <v>10141</v>
      </c>
      <c r="H25" s="11" t="s">
        <v>1022</v>
      </c>
      <c r="I25" s="17" t="s">
        <v>1023</v>
      </c>
      <c r="J25" s="19">
        <v>0.4</v>
      </c>
      <c r="K25" s="17" t="s">
        <v>1026</v>
      </c>
      <c r="L25" s="21">
        <v>2.3</v>
      </c>
      <c r="M25" s="22" t="s">
        <v>1027</v>
      </c>
      <c r="N25" s="19">
        <v>1</v>
      </c>
      <c r="O25" s="19">
        <v>1014102</v>
      </c>
      <c r="P25" s="19">
        <v>1014103</v>
      </c>
      <c r="Q25" s="19">
        <v>1014104</v>
      </c>
      <c r="R25" s="19">
        <v>1014105</v>
      </c>
      <c r="S25" s="19">
        <v>1014106</v>
      </c>
      <c r="T25" s="19">
        <v>1014107</v>
      </c>
    </row>
    <row r="26" spans="1:20">
      <c r="A26" s="8">
        <v>10150</v>
      </c>
      <c r="B26" s="12" t="s">
        <v>323</v>
      </c>
      <c r="C26" s="10" t="s">
        <v>679</v>
      </c>
      <c r="D26" s="11" t="s">
        <v>988</v>
      </c>
      <c r="E26" s="10">
        <v>10150</v>
      </c>
      <c r="F26" s="11"/>
      <c r="G26" s="10">
        <v>10150</v>
      </c>
      <c r="H26" s="11"/>
      <c r="I26" s="17" t="s">
        <v>1028</v>
      </c>
      <c r="J26" s="19">
        <v>0.4</v>
      </c>
      <c r="K26" s="17" t="s">
        <v>1029</v>
      </c>
      <c r="L26" s="21">
        <v>1.8</v>
      </c>
      <c r="M26" s="22" t="s">
        <v>1006</v>
      </c>
      <c r="N26" s="19">
        <v>0.85</v>
      </c>
      <c r="O26" s="19">
        <v>1015002</v>
      </c>
      <c r="P26" s="19">
        <v>1015003</v>
      </c>
      <c r="Q26" s="19">
        <v>1015004</v>
      </c>
      <c r="R26" s="19">
        <v>1015005</v>
      </c>
      <c r="S26" s="19">
        <v>1015006</v>
      </c>
      <c r="T26" s="19">
        <v>1015007</v>
      </c>
    </row>
    <row r="27" spans="1:20">
      <c r="A27" s="8">
        <v>10151</v>
      </c>
      <c r="B27" s="12" t="s">
        <v>328</v>
      </c>
      <c r="C27" s="10" t="s">
        <v>683</v>
      </c>
      <c r="D27" s="11" t="s">
        <v>988</v>
      </c>
      <c r="E27" s="10">
        <v>10151</v>
      </c>
      <c r="F27" s="11"/>
      <c r="G27" s="10">
        <v>10151</v>
      </c>
      <c r="H27" s="11"/>
      <c r="I27" s="17" t="s">
        <v>1028</v>
      </c>
      <c r="J27" s="19">
        <v>0.4</v>
      </c>
      <c r="K27" s="17" t="s">
        <v>1030</v>
      </c>
      <c r="L27" s="21">
        <v>2.7</v>
      </c>
      <c r="M27" s="22" t="s">
        <v>1000</v>
      </c>
      <c r="N27" s="19">
        <v>0.85</v>
      </c>
      <c r="O27" s="19">
        <v>1015102</v>
      </c>
      <c r="P27" s="19">
        <v>1015103</v>
      </c>
      <c r="Q27" s="19">
        <v>1015104</v>
      </c>
      <c r="R27" s="19">
        <v>1015105</v>
      </c>
      <c r="S27" s="19">
        <v>1015106</v>
      </c>
      <c r="T27" s="19">
        <v>1015107</v>
      </c>
    </row>
    <row r="28" spans="1:20">
      <c r="A28" s="8">
        <v>10160</v>
      </c>
      <c r="B28" s="12" t="s">
        <v>98</v>
      </c>
      <c r="C28" s="10" t="s">
        <v>102</v>
      </c>
      <c r="D28" s="11" t="s">
        <v>1031</v>
      </c>
      <c r="E28" s="10">
        <v>10160</v>
      </c>
      <c r="F28" s="11" t="s">
        <v>989</v>
      </c>
      <c r="G28" s="10">
        <v>10160</v>
      </c>
      <c r="H28" s="11" t="s">
        <v>989</v>
      </c>
      <c r="I28" s="17" t="s">
        <v>1032</v>
      </c>
      <c r="J28" s="19">
        <v>0.4</v>
      </c>
      <c r="K28" s="17" t="s">
        <v>1033</v>
      </c>
      <c r="L28" s="21">
        <v>2.4</v>
      </c>
      <c r="M28" s="21">
        <v>0.7</v>
      </c>
      <c r="N28" s="19" t="s">
        <v>1034</v>
      </c>
      <c r="O28" s="19">
        <v>1016002</v>
      </c>
      <c r="P28" s="19">
        <v>1016003</v>
      </c>
      <c r="Q28" s="19">
        <v>1016004</v>
      </c>
      <c r="R28" s="19">
        <v>1016005</v>
      </c>
      <c r="S28" s="19">
        <v>1016006</v>
      </c>
      <c r="T28" s="19">
        <v>1016007</v>
      </c>
    </row>
    <row r="29" spans="1:20">
      <c r="A29" s="8">
        <v>10161</v>
      </c>
      <c r="B29" s="12" t="s">
        <v>104</v>
      </c>
      <c r="C29" s="10" t="s">
        <v>108</v>
      </c>
      <c r="D29" s="11" t="s">
        <v>988</v>
      </c>
      <c r="E29" s="10">
        <v>10161</v>
      </c>
      <c r="F29" s="11" t="s">
        <v>989</v>
      </c>
      <c r="G29" s="10">
        <v>10161</v>
      </c>
      <c r="H29" s="11" t="s">
        <v>989</v>
      </c>
      <c r="I29" s="17" t="s">
        <v>1032</v>
      </c>
      <c r="J29" s="19">
        <v>0.4</v>
      </c>
      <c r="K29" s="17" t="s">
        <v>1035</v>
      </c>
      <c r="L29" s="21">
        <v>1.7</v>
      </c>
      <c r="M29" s="22" t="s">
        <v>1025</v>
      </c>
      <c r="N29" s="19">
        <v>0.65</v>
      </c>
      <c r="O29" s="19">
        <v>1016102</v>
      </c>
      <c r="P29" s="19">
        <v>1016103</v>
      </c>
      <c r="Q29" s="19">
        <v>1016104</v>
      </c>
      <c r="R29" s="19">
        <v>1016105</v>
      </c>
      <c r="S29" s="19">
        <v>1016106</v>
      </c>
      <c r="T29" s="19">
        <v>1016107</v>
      </c>
    </row>
    <row r="30" spans="1:20">
      <c r="A30" s="8">
        <v>10170</v>
      </c>
      <c r="B30" s="12" t="s">
        <v>340</v>
      </c>
      <c r="C30" s="10" t="s">
        <v>687</v>
      </c>
      <c r="D30" s="11" t="s">
        <v>1036</v>
      </c>
      <c r="E30" s="10">
        <v>10170</v>
      </c>
      <c r="F30" s="11" t="s">
        <v>986</v>
      </c>
      <c r="G30" s="10">
        <v>10170</v>
      </c>
      <c r="H30" s="11" t="s">
        <v>986</v>
      </c>
      <c r="I30" s="17" t="s">
        <v>1037</v>
      </c>
      <c r="J30" s="19">
        <v>0.3</v>
      </c>
      <c r="K30" s="17" t="s">
        <v>1038</v>
      </c>
      <c r="L30" s="21">
        <v>3.1</v>
      </c>
      <c r="M30" s="22" t="s">
        <v>1039</v>
      </c>
      <c r="N30" s="19">
        <v>0.1</v>
      </c>
      <c r="O30" s="19">
        <v>1017002</v>
      </c>
      <c r="P30" s="19">
        <v>1017003</v>
      </c>
      <c r="Q30" s="19">
        <v>1017004</v>
      </c>
      <c r="R30" s="19">
        <v>1017005</v>
      </c>
      <c r="S30" s="19">
        <v>1017006</v>
      </c>
      <c r="T30" s="19">
        <v>1017007</v>
      </c>
    </row>
    <row r="31" spans="1:20">
      <c r="A31" s="8">
        <v>10171</v>
      </c>
      <c r="B31" s="12" t="s">
        <v>345</v>
      </c>
      <c r="C31" s="10" t="s">
        <v>690</v>
      </c>
      <c r="D31" s="11" t="s">
        <v>1036</v>
      </c>
      <c r="E31" s="10">
        <v>10171</v>
      </c>
      <c r="F31" s="11"/>
      <c r="G31" s="10">
        <v>10171</v>
      </c>
      <c r="H31" s="11"/>
      <c r="I31" s="17" t="s">
        <v>1037</v>
      </c>
      <c r="J31" s="19">
        <v>0.3</v>
      </c>
      <c r="K31" s="17" t="s">
        <v>1040</v>
      </c>
      <c r="L31" s="21">
        <v>3.1</v>
      </c>
      <c r="M31" s="22" t="s">
        <v>1039</v>
      </c>
      <c r="N31" s="19">
        <v>0.1</v>
      </c>
      <c r="O31" s="19">
        <v>1017102</v>
      </c>
      <c r="P31" s="19">
        <v>1017103</v>
      </c>
      <c r="Q31" s="19">
        <v>1017104</v>
      </c>
      <c r="R31" s="19">
        <v>1017105</v>
      </c>
      <c r="S31" s="19">
        <v>1017106</v>
      </c>
      <c r="T31" s="19">
        <v>1017107</v>
      </c>
    </row>
    <row r="32" spans="1:20">
      <c r="A32" s="8">
        <v>10180</v>
      </c>
      <c r="B32" s="12" t="s">
        <v>350</v>
      </c>
      <c r="C32" s="10" t="s">
        <v>693</v>
      </c>
      <c r="D32" s="11" t="s">
        <v>988</v>
      </c>
      <c r="E32" s="10">
        <v>10180</v>
      </c>
      <c r="F32" s="11" t="s">
        <v>1041</v>
      </c>
      <c r="G32" s="10">
        <v>10180</v>
      </c>
      <c r="H32" s="11" t="s">
        <v>1041</v>
      </c>
      <c r="I32" s="17" t="s">
        <v>1042</v>
      </c>
      <c r="J32" s="19">
        <v>0.4</v>
      </c>
      <c r="K32" s="17" t="s">
        <v>1043</v>
      </c>
      <c r="L32" s="21">
        <v>2.5</v>
      </c>
      <c r="M32" s="21">
        <v>0.7</v>
      </c>
      <c r="N32" s="19" t="s">
        <v>1044</v>
      </c>
      <c r="O32" s="19">
        <v>1018002</v>
      </c>
      <c r="P32" s="19">
        <v>1018003</v>
      </c>
      <c r="Q32" s="19">
        <v>1018004</v>
      </c>
      <c r="R32" s="19">
        <v>1018005</v>
      </c>
      <c r="S32" s="19">
        <v>1018006</v>
      </c>
      <c r="T32" s="19">
        <v>1018007</v>
      </c>
    </row>
    <row r="33" spans="1:20">
      <c r="A33" s="8">
        <v>10181</v>
      </c>
      <c r="B33" s="12" t="s">
        <v>355</v>
      </c>
      <c r="C33" s="10" t="s">
        <v>697</v>
      </c>
      <c r="D33" s="11" t="s">
        <v>982</v>
      </c>
      <c r="E33" s="10">
        <v>10181</v>
      </c>
      <c r="F33" s="11" t="s">
        <v>1041</v>
      </c>
      <c r="G33" s="10">
        <v>10181</v>
      </c>
      <c r="H33" s="11" t="s">
        <v>1041</v>
      </c>
      <c r="I33" s="17" t="s">
        <v>1042</v>
      </c>
      <c r="J33" s="19">
        <v>0.4</v>
      </c>
      <c r="K33" s="17" t="s">
        <v>1045</v>
      </c>
      <c r="L33" s="21">
        <v>2.7</v>
      </c>
      <c r="M33" s="22" t="s">
        <v>1046</v>
      </c>
      <c r="N33" s="20" t="s">
        <v>1044</v>
      </c>
      <c r="O33" s="19">
        <v>1018102</v>
      </c>
      <c r="P33" s="19">
        <v>1018103</v>
      </c>
      <c r="Q33" s="19">
        <v>1018104</v>
      </c>
      <c r="R33" s="19">
        <v>1018105</v>
      </c>
      <c r="S33" s="19">
        <v>1018106</v>
      </c>
      <c r="T33" s="19">
        <v>1018107</v>
      </c>
    </row>
    <row r="34" spans="1:20">
      <c r="A34" s="8">
        <v>10182</v>
      </c>
      <c r="B34" s="13" t="s">
        <v>698</v>
      </c>
      <c r="C34" s="14" t="s">
        <v>701</v>
      </c>
      <c r="D34" s="11"/>
      <c r="E34" s="14">
        <v>10182</v>
      </c>
      <c r="F34" s="11"/>
      <c r="G34" s="14">
        <v>10182</v>
      </c>
      <c r="H34" s="11"/>
      <c r="I34" s="17" t="s">
        <v>1042</v>
      </c>
      <c r="J34" s="19">
        <v>0.4</v>
      </c>
      <c r="K34" s="17" t="s">
        <v>1047</v>
      </c>
      <c r="L34" s="23">
        <v>2.7</v>
      </c>
      <c r="M34" s="24" t="s">
        <v>1048</v>
      </c>
      <c r="N34" s="19" t="s">
        <v>1049</v>
      </c>
      <c r="O34" s="19">
        <v>1018202</v>
      </c>
      <c r="P34" s="19">
        <v>1018203</v>
      </c>
      <c r="Q34" s="19">
        <v>1018204</v>
      </c>
      <c r="R34" s="19">
        <v>1018205</v>
      </c>
      <c r="S34" s="19">
        <v>1018206</v>
      </c>
      <c r="T34" s="19">
        <v>1018207</v>
      </c>
    </row>
    <row r="35" spans="1:20">
      <c r="A35" s="8">
        <v>10190</v>
      </c>
      <c r="B35" s="12" t="s">
        <v>109</v>
      </c>
      <c r="C35" s="10" t="s">
        <v>113</v>
      </c>
      <c r="D35" s="11" t="s">
        <v>1003</v>
      </c>
      <c r="E35" s="10">
        <v>10190</v>
      </c>
      <c r="F35" s="11"/>
      <c r="G35" s="10">
        <v>10190</v>
      </c>
      <c r="H35" s="11"/>
      <c r="I35" s="17" t="s">
        <v>1050</v>
      </c>
      <c r="J35" s="19">
        <v>0.4</v>
      </c>
      <c r="K35" s="17" t="s">
        <v>1051</v>
      </c>
      <c r="L35" s="21">
        <v>2</v>
      </c>
      <c r="M35" s="22" t="s">
        <v>1015</v>
      </c>
      <c r="N35" s="20" t="s">
        <v>1052</v>
      </c>
      <c r="O35" s="19">
        <v>1019002</v>
      </c>
      <c r="P35" s="19">
        <v>1019003</v>
      </c>
      <c r="Q35" s="19">
        <v>1019004</v>
      </c>
      <c r="R35" s="19">
        <v>1019005</v>
      </c>
      <c r="S35" s="19">
        <v>1019006</v>
      </c>
      <c r="T35" s="19">
        <v>1019007</v>
      </c>
    </row>
    <row r="36" spans="1:20">
      <c r="A36" s="8">
        <v>10191</v>
      </c>
      <c r="B36" s="12" t="s">
        <v>115</v>
      </c>
      <c r="C36" s="10" t="s">
        <v>119</v>
      </c>
      <c r="D36" s="11" t="s">
        <v>1053</v>
      </c>
      <c r="E36" s="10">
        <v>10191</v>
      </c>
      <c r="F36" s="11"/>
      <c r="G36" s="10">
        <v>10191</v>
      </c>
      <c r="H36" s="11"/>
      <c r="I36" s="17" t="s">
        <v>1050</v>
      </c>
      <c r="J36" s="19">
        <v>0.4</v>
      </c>
      <c r="K36" s="17" t="s">
        <v>1054</v>
      </c>
      <c r="L36" s="21">
        <v>2.7</v>
      </c>
      <c r="M36" s="22" t="s">
        <v>997</v>
      </c>
      <c r="N36" s="19" t="s">
        <v>1055</v>
      </c>
      <c r="O36" s="19">
        <v>1019102</v>
      </c>
      <c r="P36" s="19">
        <v>1019103</v>
      </c>
      <c r="Q36" s="19">
        <v>1019104</v>
      </c>
      <c r="R36" s="19">
        <v>1019105</v>
      </c>
      <c r="S36" s="19">
        <v>1019106</v>
      </c>
      <c r="T36" s="19">
        <v>1019107</v>
      </c>
    </row>
    <row r="37" spans="1:20">
      <c r="A37" s="8">
        <v>10192</v>
      </c>
      <c r="B37" s="12" t="s">
        <v>366</v>
      </c>
      <c r="C37" s="10" t="s">
        <v>704</v>
      </c>
      <c r="D37" s="11" t="s">
        <v>1053</v>
      </c>
      <c r="E37" s="10">
        <v>10192</v>
      </c>
      <c r="F37" s="11" t="s">
        <v>986</v>
      </c>
      <c r="G37" s="10">
        <v>10192</v>
      </c>
      <c r="H37" s="11" t="s">
        <v>986</v>
      </c>
      <c r="I37" s="17" t="s">
        <v>1050</v>
      </c>
      <c r="J37" s="19">
        <v>0.4</v>
      </c>
      <c r="K37" s="17" t="s">
        <v>1056</v>
      </c>
      <c r="L37" s="21">
        <v>3</v>
      </c>
      <c r="M37" s="21">
        <v>1.7</v>
      </c>
      <c r="N37" s="19">
        <v>0.15</v>
      </c>
      <c r="O37" s="19">
        <v>1019202</v>
      </c>
      <c r="P37" s="19">
        <v>1019203</v>
      </c>
      <c r="Q37" s="19">
        <v>1019204</v>
      </c>
      <c r="R37" s="19">
        <v>1019205</v>
      </c>
      <c r="S37" s="19">
        <v>1019206</v>
      </c>
      <c r="T37" s="19">
        <v>1019207</v>
      </c>
    </row>
    <row r="38" spans="1:20">
      <c r="A38" s="8">
        <v>10210</v>
      </c>
      <c r="B38" s="12" t="s">
        <v>371</v>
      </c>
      <c r="C38" s="10" t="s">
        <v>707</v>
      </c>
      <c r="D38" s="11" t="s">
        <v>982</v>
      </c>
      <c r="E38" s="10">
        <v>10210</v>
      </c>
      <c r="F38" s="11" t="s">
        <v>1022</v>
      </c>
      <c r="G38" s="10">
        <v>10210</v>
      </c>
      <c r="H38" s="11" t="s">
        <v>1022</v>
      </c>
      <c r="I38" s="17" t="s">
        <v>1057</v>
      </c>
      <c r="J38" s="19">
        <v>0.4</v>
      </c>
      <c r="K38" s="17" t="s">
        <v>1058</v>
      </c>
      <c r="L38" s="21">
        <v>2.9</v>
      </c>
      <c r="M38" s="21">
        <v>1.1</v>
      </c>
      <c r="N38" s="20" t="s">
        <v>1059</v>
      </c>
      <c r="O38" s="19">
        <v>1021002</v>
      </c>
      <c r="P38" s="19">
        <v>1021003</v>
      </c>
      <c r="Q38" s="19">
        <v>1021004</v>
      </c>
      <c r="R38" s="19">
        <v>1021005</v>
      </c>
      <c r="S38" s="19">
        <v>1021006</v>
      </c>
      <c r="T38" s="19">
        <v>1021007</v>
      </c>
    </row>
    <row r="39" spans="1:20">
      <c r="A39" s="8">
        <v>10211</v>
      </c>
      <c r="B39" s="12" t="s">
        <v>376</v>
      </c>
      <c r="C39" s="10" t="s">
        <v>711</v>
      </c>
      <c r="D39" s="11" t="s">
        <v>982</v>
      </c>
      <c r="E39" s="10">
        <v>10211</v>
      </c>
      <c r="F39" s="11" t="s">
        <v>1022</v>
      </c>
      <c r="G39" s="10">
        <v>10211</v>
      </c>
      <c r="H39" s="11" t="s">
        <v>1022</v>
      </c>
      <c r="I39" s="17" t="s">
        <v>1057</v>
      </c>
      <c r="J39" s="19">
        <v>0.4</v>
      </c>
      <c r="K39" s="17" t="s">
        <v>1060</v>
      </c>
      <c r="L39" s="21">
        <v>3</v>
      </c>
      <c r="M39" s="22" t="s">
        <v>1061</v>
      </c>
      <c r="N39" s="20" t="s">
        <v>1059</v>
      </c>
      <c r="O39" s="19">
        <v>1021102</v>
      </c>
      <c r="P39" s="19">
        <v>1021103</v>
      </c>
      <c r="Q39" s="19">
        <v>1021104</v>
      </c>
      <c r="R39" s="19">
        <v>1021105</v>
      </c>
      <c r="S39" s="19">
        <v>1021106</v>
      </c>
      <c r="T39" s="19">
        <v>1021107</v>
      </c>
    </row>
    <row r="40" spans="1:20">
      <c r="A40" s="8">
        <v>10220</v>
      </c>
      <c r="B40" s="12" t="s">
        <v>381</v>
      </c>
      <c r="C40" s="10" t="s">
        <v>715</v>
      </c>
      <c r="D40" s="11" t="s">
        <v>988</v>
      </c>
      <c r="E40" s="10">
        <v>10220</v>
      </c>
      <c r="F40" s="11" t="s">
        <v>966</v>
      </c>
      <c r="G40" s="10">
        <v>10220</v>
      </c>
      <c r="H40" s="11" t="s">
        <v>966</v>
      </c>
      <c r="I40" s="17" t="s">
        <v>1062</v>
      </c>
      <c r="J40" s="18">
        <v>0.4</v>
      </c>
      <c r="K40" s="17" t="s">
        <v>1063</v>
      </c>
      <c r="L40" s="21">
        <v>1.7</v>
      </c>
      <c r="M40" s="21">
        <v>0.6</v>
      </c>
      <c r="N40" s="19">
        <v>0.2</v>
      </c>
      <c r="O40" s="19">
        <v>1022002</v>
      </c>
      <c r="P40" s="19">
        <v>1022003</v>
      </c>
      <c r="Q40" s="19">
        <v>1022004</v>
      </c>
      <c r="R40" s="19">
        <v>1022005</v>
      </c>
      <c r="S40" s="19">
        <v>1022006</v>
      </c>
      <c r="T40" s="19">
        <v>1022007</v>
      </c>
    </row>
    <row r="41" spans="1:20">
      <c r="A41" s="8">
        <v>10221</v>
      </c>
      <c r="B41" s="12" t="s">
        <v>386</v>
      </c>
      <c r="C41" s="10" t="s">
        <v>718</v>
      </c>
      <c r="D41" s="11" t="s">
        <v>988</v>
      </c>
      <c r="E41" s="10">
        <v>10221</v>
      </c>
      <c r="F41" s="11" t="s">
        <v>966</v>
      </c>
      <c r="G41" s="10">
        <v>10221</v>
      </c>
      <c r="H41" s="11" t="s">
        <v>966</v>
      </c>
      <c r="I41" s="17" t="s">
        <v>1062</v>
      </c>
      <c r="J41" s="18">
        <v>0.3</v>
      </c>
      <c r="K41" s="17" t="s">
        <v>1064</v>
      </c>
      <c r="L41" s="21">
        <v>2.7</v>
      </c>
      <c r="M41" s="21">
        <v>0.7</v>
      </c>
      <c r="N41" s="19">
        <v>0.2</v>
      </c>
      <c r="O41" s="19">
        <v>1022102</v>
      </c>
      <c r="P41" s="19">
        <v>1022103</v>
      </c>
      <c r="Q41" s="19">
        <v>1022104</v>
      </c>
      <c r="R41" s="19">
        <v>1022105</v>
      </c>
      <c r="S41" s="19">
        <v>1022106</v>
      </c>
      <c r="T41" s="19">
        <v>1022107</v>
      </c>
    </row>
    <row r="42" spans="1:20">
      <c r="A42" s="8">
        <v>10230</v>
      </c>
      <c r="B42" s="12" t="s">
        <v>391</v>
      </c>
      <c r="C42" s="10" t="s">
        <v>721</v>
      </c>
      <c r="D42" s="11" t="s">
        <v>982</v>
      </c>
      <c r="E42" s="10">
        <v>10230</v>
      </c>
      <c r="F42" s="11" t="s">
        <v>1003</v>
      </c>
      <c r="G42" s="10">
        <v>10230</v>
      </c>
      <c r="H42" s="11" t="s">
        <v>1003</v>
      </c>
      <c r="I42" s="17" t="s">
        <v>1065</v>
      </c>
      <c r="J42" s="19">
        <v>0.4</v>
      </c>
      <c r="K42" s="17" t="s">
        <v>1066</v>
      </c>
      <c r="L42" s="21">
        <v>2.7</v>
      </c>
      <c r="M42" s="22" t="s">
        <v>1048</v>
      </c>
      <c r="N42" s="20" t="s">
        <v>1067</v>
      </c>
      <c r="O42" s="19">
        <v>1023002</v>
      </c>
      <c r="P42" s="19">
        <v>1023003</v>
      </c>
      <c r="Q42" s="19">
        <v>1023004</v>
      </c>
      <c r="R42" s="19">
        <v>1023005</v>
      </c>
      <c r="S42" s="19">
        <v>1023006</v>
      </c>
      <c r="T42" s="19">
        <v>1023007</v>
      </c>
    </row>
    <row r="43" spans="1:20">
      <c r="A43" s="8">
        <v>10231</v>
      </c>
      <c r="B43" s="12" t="s">
        <v>396</v>
      </c>
      <c r="C43" s="10" t="s">
        <v>724</v>
      </c>
      <c r="D43" s="11" t="s">
        <v>1022</v>
      </c>
      <c r="E43" s="10">
        <v>10231</v>
      </c>
      <c r="F43" s="11" t="s">
        <v>1003</v>
      </c>
      <c r="G43" s="10">
        <v>10231</v>
      </c>
      <c r="H43" s="11" t="s">
        <v>1003</v>
      </c>
      <c r="I43" s="17" t="s">
        <v>1065</v>
      </c>
      <c r="J43" s="19">
        <v>0.3</v>
      </c>
      <c r="K43" s="17" t="s">
        <v>1068</v>
      </c>
      <c r="L43" s="21">
        <v>2.7</v>
      </c>
      <c r="M43" s="22" t="s">
        <v>1015</v>
      </c>
      <c r="N43" s="20" t="s">
        <v>1067</v>
      </c>
      <c r="O43" s="19">
        <v>1023102</v>
      </c>
      <c r="P43" s="19">
        <v>1023103</v>
      </c>
      <c r="Q43" s="19">
        <v>1023104</v>
      </c>
      <c r="R43" s="19">
        <v>1023105</v>
      </c>
      <c r="S43" s="19">
        <v>1023106</v>
      </c>
      <c r="T43" s="19">
        <v>1023107</v>
      </c>
    </row>
    <row r="44" spans="1:20">
      <c r="A44" s="8">
        <v>10250</v>
      </c>
      <c r="B44" s="12" t="s">
        <v>725</v>
      </c>
      <c r="C44" s="10" t="s">
        <v>728</v>
      </c>
      <c r="D44" s="11"/>
      <c r="E44" s="10">
        <v>10250</v>
      </c>
      <c r="F44" s="11"/>
      <c r="G44" s="10">
        <v>10250</v>
      </c>
      <c r="H44" s="11"/>
      <c r="I44" s="17" t="s">
        <v>1069</v>
      </c>
      <c r="J44" s="19">
        <v>0.4</v>
      </c>
      <c r="K44" s="17" t="s">
        <v>1070</v>
      </c>
      <c r="L44" s="21">
        <v>1.6</v>
      </c>
      <c r="M44" s="22" t="s">
        <v>1061</v>
      </c>
      <c r="N44" s="19">
        <v>0.6</v>
      </c>
      <c r="O44" s="19">
        <v>1025002</v>
      </c>
      <c r="P44" s="19">
        <v>1025003</v>
      </c>
      <c r="Q44" s="19">
        <v>1025004</v>
      </c>
      <c r="R44" s="19">
        <v>1025005</v>
      </c>
      <c r="S44" s="19">
        <v>1025006</v>
      </c>
      <c r="T44" s="19">
        <v>1025007</v>
      </c>
    </row>
    <row r="45" spans="1:20">
      <c r="A45" s="8">
        <v>10251</v>
      </c>
      <c r="B45" s="12" t="s">
        <v>406</v>
      </c>
      <c r="C45" s="10" t="s">
        <v>731</v>
      </c>
      <c r="D45" s="11"/>
      <c r="E45" s="10">
        <v>10251</v>
      </c>
      <c r="F45" s="11"/>
      <c r="G45" s="10">
        <v>10251</v>
      </c>
      <c r="H45" s="11"/>
      <c r="I45" s="17" t="s">
        <v>1069</v>
      </c>
      <c r="J45" s="19">
        <v>0.4</v>
      </c>
      <c r="K45" s="17" t="s">
        <v>1071</v>
      </c>
      <c r="L45" s="21">
        <v>3.7</v>
      </c>
      <c r="M45" s="22" t="s">
        <v>1015</v>
      </c>
      <c r="N45" s="20" t="s">
        <v>1072</v>
      </c>
      <c r="O45" s="19">
        <v>1025102</v>
      </c>
      <c r="P45" s="19">
        <v>1025103</v>
      </c>
      <c r="Q45" s="19">
        <v>1025104</v>
      </c>
      <c r="R45" s="19">
        <v>1025105</v>
      </c>
      <c r="S45" s="19">
        <v>1025106</v>
      </c>
      <c r="T45" s="19">
        <v>1025107</v>
      </c>
    </row>
    <row r="46" spans="1:20">
      <c r="A46" s="8">
        <v>10260</v>
      </c>
      <c r="B46" s="15" t="s">
        <v>411</v>
      </c>
      <c r="C46" s="10" t="s">
        <v>124</v>
      </c>
      <c r="D46" s="11" t="s">
        <v>1022</v>
      </c>
      <c r="E46" s="10">
        <v>10260</v>
      </c>
      <c r="F46" s="11" t="s">
        <v>1003</v>
      </c>
      <c r="G46" s="10">
        <v>10260</v>
      </c>
      <c r="H46" s="11" t="s">
        <v>1003</v>
      </c>
      <c r="I46" s="17" t="s">
        <v>1073</v>
      </c>
      <c r="J46" s="19">
        <v>0.5</v>
      </c>
      <c r="K46" s="17" t="s">
        <v>1074</v>
      </c>
      <c r="L46" s="21">
        <v>2.5</v>
      </c>
      <c r="M46" s="21">
        <v>0.5</v>
      </c>
      <c r="N46" s="19">
        <v>0.95</v>
      </c>
      <c r="O46" s="19">
        <v>1026002</v>
      </c>
      <c r="P46" s="19">
        <v>1026003</v>
      </c>
      <c r="Q46" s="19">
        <v>1026004</v>
      </c>
      <c r="R46" s="19">
        <v>1026005</v>
      </c>
      <c r="S46" s="19">
        <v>1026006</v>
      </c>
      <c r="T46" s="19">
        <v>1026007</v>
      </c>
    </row>
    <row r="47" spans="1:20">
      <c r="A47" s="8">
        <v>10270</v>
      </c>
      <c r="B47" s="12" t="s">
        <v>414</v>
      </c>
      <c r="C47" s="10" t="s">
        <v>734</v>
      </c>
      <c r="D47" s="11" t="s">
        <v>1022</v>
      </c>
      <c r="E47" s="10">
        <v>10270</v>
      </c>
      <c r="F47" s="11" t="s">
        <v>986</v>
      </c>
      <c r="G47" s="10">
        <v>10270</v>
      </c>
      <c r="H47" s="11" t="s">
        <v>986</v>
      </c>
      <c r="I47" s="17" t="s">
        <v>1075</v>
      </c>
      <c r="J47" s="19">
        <v>0.4</v>
      </c>
      <c r="K47" s="17" t="s">
        <v>1076</v>
      </c>
      <c r="L47" s="21">
        <v>2</v>
      </c>
      <c r="M47" s="21">
        <v>0.5</v>
      </c>
      <c r="N47" s="19">
        <v>0.8</v>
      </c>
      <c r="O47" s="19">
        <v>1027002</v>
      </c>
      <c r="P47" s="19">
        <v>1027003</v>
      </c>
      <c r="Q47" s="19">
        <v>1027004</v>
      </c>
      <c r="R47" s="19">
        <v>1027005</v>
      </c>
      <c r="S47" s="19">
        <v>1027006</v>
      </c>
      <c r="T47" s="19">
        <v>1027007</v>
      </c>
    </row>
    <row r="48" spans="1:20">
      <c r="A48" s="8">
        <v>10271</v>
      </c>
      <c r="B48" s="12" t="s">
        <v>419</v>
      </c>
      <c r="C48" s="10" t="s">
        <v>737</v>
      </c>
      <c r="D48" s="11" t="s">
        <v>1022</v>
      </c>
      <c r="E48" s="10">
        <v>10271</v>
      </c>
      <c r="F48" s="11" t="s">
        <v>986</v>
      </c>
      <c r="G48" s="10">
        <v>10271</v>
      </c>
      <c r="H48" s="11" t="s">
        <v>986</v>
      </c>
      <c r="I48" s="17" t="s">
        <v>1075</v>
      </c>
      <c r="J48" s="19">
        <v>0.4</v>
      </c>
      <c r="K48" s="17" t="s">
        <v>1077</v>
      </c>
      <c r="L48" s="21">
        <v>2</v>
      </c>
      <c r="M48" s="21">
        <v>0.5</v>
      </c>
      <c r="N48" s="19">
        <v>0.8</v>
      </c>
      <c r="O48" s="19">
        <v>1027102</v>
      </c>
      <c r="P48" s="19">
        <v>1027103</v>
      </c>
      <c r="Q48" s="19">
        <v>1027104</v>
      </c>
      <c r="R48" s="19">
        <v>1027105</v>
      </c>
      <c r="S48" s="19">
        <v>1027106</v>
      </c>
      <c r="T48" s="19">
        <v>1027107</v>
      </c>
    </row>
    <row r="49" spans="1:20">
      <c r="A49" s="8">
        <v>10272</v>
      </c>
      <c r="B49" s="12" t="s">
        <v>738</v>
      </c>
      <c r="C49" s="10" t="s">
        <v>741</v>
      </c>
      <c r="D49" s="11"/>
      <c r="E49" s="14">
        <v>10272</v>
      </c>
      <c r="F49" s="11"/>
      <c r="G49" s="14">
        <v>10272</v>
      </c>
      <c r="H49" s="11"/>
      <c r="I49" s="17" t="s">
        <v>1075</v>
      </c>
      <c r="J49" s="19">
        <v>0.4</v>
      </c>
      <c r="K49" s="17" t="s">
        <v>1078</v>
      </c>
      <c r="L49" s="21">
        <v>2.7</v>
      </c>
      <c r="M49" s="21">
        <v>0.5</v>
      </c>
      <c r="N49" s="21" t="s">
        <v>1079</v>
      </c>
      <c r="O49" s="19">
        <v>1027202</v>
      </c>
      <c r="P49" s="19">
        <v>1027203</v>
      </c>
      <c r="Q49" s="19">
        <v>1027204</v>
      </c>
      <c r="R49" s="19">
        <v>1027205</v>
      </c>
      <c r="S49" s="19">
        <v>1027206</v>
      </c>
      <c r="T49" s="19">
        <v>1027207</v>
      </c>
    </row>
    <row r="50" spans="1:20">
      <c r="A50" s="8">
        <v>10300</v>
      </c>
      <c r="B50" s="12" t="s">
        <v>424</v>
      </c>
      <c r="C50" s="10" t="s">
        <v>744</v>
      </c>
      <c r="D50" s="11" t="s">
        <v>988</v>
      </c>
      <c r="E50" s="10">
        <v>10300</v>
      </c>
      <c r="F50" s="11" t="s">
        <v>966</v>
      </c>
      <c r="G50" s="10">
        <v>10300</v>
      </c>
      <c r="H50" s="11" t="s">
        <v>966</v>
      </c>
      <c r="I50" s="17" t="s">
        <v>1080</v>
      </c>
      <c r="J50" s="18">
        <v>0.5</v>
      </c>
      <c r="K50" s="17" t="s">
        <v>1081</v>
      </c>
      <c r="L50" s="21">
        <v>3</v>
      </c>
      <c r="M50" s="22" t="s">
        <v>1027</v>
      </c>
      <c r="N50" s="19">
        <v>1.45</v>
      </c>
      <c r="O50" s="19">
        <v>1030002</v>
      </c>
      <c r="P50" s="19">
        <v>1030003</v>
      </c>
      <c r="Q50" s="19">
        <v>1030004</v>
      </c>
      <c r="R50" s="19">
        <v>1030005</v>
      </c>
      <c r="S50" s="19">
        <v>1030006</v>
      </c>
      <c r="T50" s="19">
        <v>1030007</v>
      </c>
    </row>
    <row r="51" spans="1:20">
      <c r="A51" s="8">
        <v>10301</v>
      </c>
      <c r="B51" s="12" t="s">
        <v>125</v>
      </c>
      <c r="C51" s="10" t="s">
        <v>129</v>
      </c>
      <c r="D51" s="11" t="s">
        <v>988</v>
      </c>
      <c r="E51" s="10">
        <v>10301</v>
      </c>
      <c r="F51" s="11" t="s">
        <v>966</v>
      </c>
      <c r="G51" s="10">
        <v>10301</v>
      </c>
      <c r="H51" s="11" t="s">
        <v>966</v>
      </c>
      <c r="I51" s="17" t="s">
        <v>1080</v>
      </c>
      <c r="J51" s="18">
        <v>0.4</v>
      </c>
      <c r="K51" s="17" t="s">
        <v>1082</v>
      </c>
      <c r="L51" s="21">
        <v>3</v>
      </c>
      <c r="M51" s="22" t="s">
        <v>1083</v>
      </c>
      <c r="N51" s="21">
        <v>1.3</v>
      </c>
      <c r="O51" s="19">
        <v>1030102</v>
      </c>
      <c r="P51" s="19">
        <v>1030103</v>
      </c>
      <c r="Q51" s="19">
        <v>1030104</v>
      </c>
      <c r="R51" s="19">
        <v>1030105</v>
      </c>
      <c r="S51" s="19">
        <v>1030106</v>
      </c>
      <c r="T51" s="19">
        <v>1030107</v>
      </c>
    </row>
    <row r="52" spans="1:20">
      <c r="A52" s="8">
        <v>10302</v>
      </c>
      <c r="B52" s="12" t="s">
        <v>1084</v>
      </c>
      <c r="C52" s="14" t="s">
        <v>1085</v>
      </c>
      <c r="D52" s="11"/>
      <c r="E52" s="14">
        <v>10302</v>
      </c>
      <c r="F52" s="11"/>
      <c r="G52" s="14">
        <v>10302</v>
      </c>
      <c r="H52" s="11"/>
      <c r="I52" s="17" t="s">
        <v>1080</v>
      </c>
      <c r="J52" s="25"/>
      <c r="K52" s="17" t="s">
        <v>1081</v>
      </c>
      <c r="L52" s="26"/>
      <c r="M52" s="26"/>
      <c r="N52" s="26"/>
      <c r="O52" s="19">
        <v>1030202</v>
      </c>
      <c r="P52" s="19">
        <v>1030203</v>
      </c>
      <c r="Q52" s="19">
        <v>1030204</v>
      </c>
      <c r="R52" s="19">
        <v>1030205</v>
      </c>
      <c r="S52" s="19">
        <v>1030206</v>
      </c>
      <c r="T52" s="19">
        <v>1030207</v>
      </c>
    </row>
    <row r="53" spans="1:20">
      <c r="A53" s="8">
        <v>10320</v>
      </c>
      <c r="B53" s="12" t="s">
        <v>1086</v>
      </c>
      <c r="C53" s="10" t="s">
        <v>748</v>
      </c>
      <c r="D53" s="11" t="s">
        <v>1031</v>
      </c>
      <c r="E53" s="10">
        <v>10320</v>
      </c>
      <c r="F53" s="11"/>
      <c r="G53" s="10">
        <v>10320</v>
      </c>
      <c r="H53" s="11"/>
      <c r="I53" s="17" t="s">
        <v>1087</v>
      </c>
      <c r="J53" s="19">
        <v>0.2</v>
      </c>
      <c r="K53" s="17" t="s">
        <v>1088</v>
      </c>
      <c r="L53" s="21">
        <v>2.7</v>
      </c>
      <c r="M53" s="22" t="s">
        <v>1061</v>
      </c>
      <c r="N53" s="21" t="s">
        <v>1089</v>
      </c>
      <c r="O53" s="19">
        <v>1032002</v>
      </c>
      <c r="P53" s="19">
        <v>1032003</v>
      </c>
      <c r="Q53" s="19">
        <v>1032004</v>
      </c>
      <c r="R53" s="19">
        <v>1032005</v>
      </c>
      <c r="S53" s="19">
        <v>1032006</v>
      </c>
      <c r="T53" s="19">
        <v>1032007</v>
      </c>
    </row>
    <row r="54" spans="1:20">
      <c r="A54" s="8">
        <v>10321</v>
      </c>
      <c r="B54" s="12" t="s">
        <v>1090</v>
      </c>
      <c r="C54" s="10" t="s">
        <v>751</v>
      </c>
      <c r="D54" s="11" t="s">
        <v>1091</v>
      </c>
      <c r="E54" s="10">
        <v>10321</v>
      </c>
      <c r="F54" s="11"/>
      <c r="G54" s="10">
        <v>10321</v>
      </c>
      <c r="H54" s="11"/>
      <c r="I54" s="17" t="s">
        <v>1087</v>
      </c>
      <c r="J54" s="19">
        <v>0.4</v>
      </c>
      <c r="K54" s="17" t="s">
        <v>1092</v>
      </c>
      <c r="L54" s="21">
        <v>3</v>
      </c>
      <c r="M54" s="22" t="s">
        <v>1061</v>
      </c>
      <c r="N54" s="21" t="s">
        <v>1089</v>
      </c>
      <c r="O54" s="19">
        <v>1032102</v>
      </c>
      <c r="P54" s="19">
        <v>1032103</v>
      </c>
      <c r="Q54" s="19">
        <v>1032104</v>
      </c>
      <c r="R54" s="19">
        <v>1032105</v>
      </c>
      <c r="S54" s="19">
        <v>1032106</v>
      </c>
      <c r="T54" s="19">
        <v>1032107</v>
      </c>
    </row>
    <row r="55" spans="1:20">
      <c r="A55" s="8">
        <v>10330</v>
      </c>
      <c r="B55" s="12" t="s">
        <v>131</v>
      </c>
      <c r="C55" s="10" t="s">
        <v>135</v>
      </c>
      <c r="D55" s="11" t="s">
        <v>988</v>
      </c>
      <c r="E55" s="10">
        <v>10330</v>
      </c>
      <c r="F55" s="11" t="s">
        <v>989</v>
      </c>
      <c r="G55" s="10">
        <v>10330</v>
      </c>
      <c r="H55" s="11" t="s">
        <v>989</v>
      </c>
      <c r="I55" s="17" t="s">
        <v>1093</v>
      </c>
      <c r="J55" s="19">
        <v>0.4</v>
      </c>
      <c r="K55" s="17" t="s">
        <v>1094</v>
      </c>
      <c r="L55" s="21">
        <v>2.9</v>
      </c>
      <c r="M55" s="21">
        <v>1.3</v>
      </c>
      <c r="N55" s="19" t="s">
        <v>1095</v>
      </c>
      <c r="O55" s="19">
        <v>1033002</v>
      </c>
      <c r="P55" s="19">
        <v>1033003</v>
      </c>
      <c r="Q55" s="19">
        <v>1033004</v>
      </c>
      <c r="R55" s="19">
        <v>1033005</v>
      </c>
      <c r="S55" s="19">
        <v>1033006</v>
      </c>
      <c r="T55" s="19">
        <v>1033007</v>
      </c>
    </row>
    <row r="56" spans="1:20">
      <c r="A56" s="8">
        <v>10331</v>
      </c>
      <c r="B56" s="12" t="s">
        <v>137</v>
      </c>
      <c r="C56" s="10" t="s">
        <v>141</v>
      </c>
      <c r="D56" s="11" t="s">
        <v>1053</v>
      </c>
      <c r="E56" s="10">
        <v>10331</v>
      </c>
      <c r="F56" s="11" t="s">
        <v>989</v>
      </c>
      <c r="G56" s="10">
        <v>10331</v>
      </c>
      <c r="H56" s="11" t="s">
        <v>989</v>
      </c>
      <c r="I56" s="17" t="s">
        <v>1093</v>
      </c>
      <c r="J56" s="19">
        <v>0.3</v>
      </c>
      <c r="K56" s="17" t="s">
        <v>1096</v>
      </c>
      <c r="L56" s="21">
        <v>2.7</v>
      </c>
      <c r="M56" s="21">
        <v>0.5</v>
      </c>
      <c r="N56" s="19" t="s">
        <v>1095</v>
      </c>
      <c r="O56" s="19">
        <v>1033102</v>
      </c>
      <c r="P56" s="19">
        <v>1033103</v>
      </c>
      <c r="Q56" s="19">
        <v>1033104</v>
      </c>
      <c r="R56" s="19">
        <v>1033105</v>
      </c>
      <c r="S56" s="19">
        <v>1033106</v>
      </c>
      <c r="T56" s="19">
        <v>1033107</v>
      </c>
    </row>
    <row r="57" ht="25.5" spans="1:20">
      <c r="A57" s="8">
        <v>10332</v>
      </c>
      <c r="B57" s="12" t="s">
        <v>448</v>
      </c>
      <c r="C57" s="10" t="s">
        <v>755</v>
      </c>
      <c r="D57" s="11" t="s">
        <v>1022</v>
      </c>
      <c r="E57" s="10">
        <v>10332</v>
      </c>
      <c r="F57" s="11" t="s">
        <v>989</v>
      </c>
      <c r="G57" s="10">
        <v>10332</v>
      </c>
      <c r="H57" s="11" t="s">
        <v>989</v>
      </c>
      <c r="I57" s="17" t="s">
        <v>1093</v>
      </c>
      <c r="J57" s="19">
        <v>0.4</v>
      </c>
      <c r="K57" s="10" t="s">
        <v>1097</v>
      </c>
      <c r="L57" s="21">
        <v>2.7</v>
      </c>
      <c r="M57" s="22" t="s">
        <v>1098</v>
      </c>
      <c r="N57" s="19" t="s">
        <v>1099</v>
      </c>
      <c r="O57" s="19">
        <v>1033202</v>
      </c>
      <c r="P57" s="19">
        <v>1033203</v>
      </c>
      <c r="Q57" s="19">
        <v>1033204</v>
      </c>
      <c r="R57" s="19">
        <v>1033205</v>
      </c>
      <c r="S57" s="19">
        <v>1033206</v>
      </c>
      <c r="T57" s="19">
        <v>1033207</v>
      </c>
    </row>
    <row r="58" spans="1:20">
      <c r="A58" s="8">
        <v>10350</v>
      </c>
      <c r="B58" s="12" t="s">
        <v>142</v>
      </c>
      <c r="C58" s="10" t="s">
        <v>146</v>
      </c>
      <c r="D58" s="11" t="s">
        <v>988</v>
      </c>
      <c r="E58" s="10">
        <v>10350</v>
      </c>
      <c r="F58" s="11" t="s">
        <v>1041</v>
      </c>
      <c r="G58" s="10">
        <v>10350</v>
      </c>
      <c r="H58" s="11" t="s">
        <v>1041</v>
      </c>
      <c r="I58" s="17" t="s">
        <v>1100</v>
      </c>
      <c r="J58" s="19">
        <v>0.4</v>
      </c>
      <c r="K58" s="17" t="s">
        <v>1101</v>
      </c>
      <c r="L58" s="21">
        <v>2.3</v>
      </c>
      <c r="M58" s="21">
        <v>0.6</v>
      </c>
      <c r="N58" s="19" t="s">
        <v>1102</v>
      </c>
      <c r="O58" s="19">
        <v>1035002</v>
      </c>
      <c r="P58" s="19">
        <v>1035003</v>
      </c>
      <c r="Q58" s="19">
        <v>1035004</v>
      </c>
      <c r="R58" s="19">
        <v>1035005</v>
      </c>
      <c r="S58" s="19">
        <v>1035006</v>
      </c>
      <c r="T58" s="19">
        <v>1035007</v>
      </c>
    </row>
    <row r="59" spans="1:20">
      <c r="A59" s="8">
        <v>10351</v>
      </c>
      <c r="B59" s="12" t="s">
        <v>148</v>
      </c>
      <c r="C59" s="10" t="s">
        <v>152</v>
      </c>
      <c r="D59" s="11" t="s">
        <v>1103</v>
      </c>
      <c r="E59" s="10">
        <v>10351</v>
      </c>
      <c r="F59" s="11" t="s">
        <v>1041</v>
      </c>
      <c r="G59" s="10">
        <v>10351</v>
      </c>
      <c r="H59" s="11" t="s">
        <v>1041</v>
      </c>
      <c r="I59" s="17" t="s">
        <v>1100</v>
      </c>
      <c r="J59" s="19">
        <v>0.5</v>
      </c>
      <c r="K59" s="17" t="s">
        <v>1104</v>
      </c>
      <c r="L59" s="21">
        <v>2.7</v>
      </c>
      <c r="M59" s="21">
        <v>0.7</v>
      </c>
      <c r="N59" s="19" t="s">
        <v>1102</v>
      </c>
      <c r="O59" s="19">
        <v>1035102</v>
      </c>
      <c r="P59" s="19">
        <v>1035103</v>
      </c>
      <c r="Q59" s="19">
        <v>1035104</v>
      </c>
      <c r="R59" s="19">
        <v>1035105</v>
      </c>
      <c r="S59" s="19">
        <v>1035106</v>
      </c>
      <c r="T59" s="19">
        <v>1035107</v>
      </c>
    </row>
    <row r="60" spans="1:20">
      <c r="A60" s="8">
        <v>10352</v>
      </c>
      <c r="B60" s="12" t="s">
        <v>459</v>
      </c>
      <c r="C60" s="10" t="s">
        <v>759</v>
      </c>
      <c r="D60" s="11" t="s">
        <v>986</v>
      </c>
      <c r="E60" s="10">
        <v>10352</v>
      </c>
      <c r="F60" s="11"/>
      <c r="G60" s="10">
        <v>10352</v>
      </c>
      <c r="H60" s="11"/>
      <c r="I60" s="17" t="s">
        <v>1100</v>
      </c>
      <c r="J60" s="19">
        <v>0.5</v>
      </c>
      <c r="K60" s="17" t="s">
        <v>1105</v>
      </c>
      <c r="L60" s="21">
        <v>4</v>
      </c>
      <c r="M60" s="21">
        <v>1.5</v>
      </c>
      <c r="N60" s="19" t="s">
        <v>1106</v>
      </c>
      <c r="O60" s="19">
        <v>1035202</v>
      </c>
      <c r="P60" s="19">
        <v>1035203</v>
      </c>
      <c r="Q60" s="19">
        <v>1035204</v>
      </c>
      <c r="R60" s="19">
        <v>1035205</v>
      </c>
      <c r="S60" s="19">
        <v>1035206</v>
      </c>
      <c r="T60" s="19">
        <v>1035207</v>
      </c>
    </row>
    <row r="61" spans="1:20">
      <c r="A61" s="8">
        <v>10360</v>
      </c>
      <c r="B61" s="12" t="s">
        <v>464</v>
      </c>
      <c r="C61" s="10" t="s">
        <v>762</v>
      </c>
      <c r="D61" s="11" t="s">
        <v>986</v>
      </c>
      <c r="E61" s="10">
        <v>10360</v>
      </c>
      <c r="F61" s="11"/>
      <c r="G61" s="10">
        <v>10360</v>
      </c>
      <c r="H61" s="11"/>
      <c r="I61" s="17" t="s">
        <v>1107</v>
      </c>
      <c r="J61" s="19">
        <v>0.4</v>
      </c>
      <c r="K61" s="17" t="s">
        <v>1108</v>
      </c>
      <c r="L61" s="21">
        <v>3</v>
      </c>
      <c r="M61" s="22" t="s">
        <v>1006</v>
      </c>
      <c r="N61" s="20" t="s">
        <v>1109</v>
      </c>
      <c r="O61" s="19">
        <v>1036002</v>
      </c>
      <c r="P61" s="19">
        <v>1036003</v>
      </c>
      <c r="Q61" s="19">
        <v>1036004</v>
      </c>
      <c r="R61" s="19">
        <v>1036005</v>
      </c>
      <c r="S61" s="19">
        <v>1036006</v>
      </c>
      <c r="T61" s="19">
        <v>1036007</v>
      </c>
    </row>
    <row r="62" spans="1:20">
      <c r="A62" s="8">
        <v>10361</v>
      </c>
      <c r="B62" s="12" t="s">
        <v>469</v>
      </c>
      <c r="C62" s="10" t="s">
        <v>765</v>
      </c>
      <c r="D62" s="11" t="s">
        <v>986</v>
      </c>
      <c r="E62" s="10">
        <v>10361</v>
      </c>
      <c r="F62" s="11"/>
      <c r="G62" s="10">
        <v>10361</v>
      </c>
      <c r="H62" s="11"/>
      <c r="I62" s="17" t="s">
        <v>1107</v>
      </c>
      <c r="J62" s="19">
        <v>0.4</v>
      </c>
      <c r="K62" s="17" t="s">
        <v>1110</v>
      </c>
      <c r="L62" s="21">
        <v>3</v>
      </c>
      <c r="M62" s="22" t="s">
        <v>1006</v>
      </c>
      <c r="N62" s="20" t="s">
        <v>1109</v>
      </c>
      <c r="O62" s="19">
        <v>1036102</v>
      </c>
      <c r="P62" s="19">
        <v>1036103</v>
      </c>
      <c r="Q62" s="19">
        <v>1036104</v>
      </c>
      <c r="R62" s="19">
        <v>1036105</v>
      </c>
      <c r="S62" s="19">
        <v>1036106</v>
      </c>
      <c r="T62" s="19">
        <v>1036107</v>
      </c>
    </row>
    <row r="63" spans="1:20">
      <c r="A63" s="8">
        <v>10380</v>
      </c>
      <c r="B63" s="12" t="s">
        <v>474</v>
      </c>
      <c r="C63" s="10" t="s">
        <v>768</v>
      </c>
      <c r="D63" s="11" t="s">
        <v>1103</v>
      </c>
      <c r="E63" s="10">
        <v>10380</v>
      </c>
      <c r="F63" s="11"/>
      <c r="G63" s="10">
        <v>10380</v>
      </c>
      <c r="H63" s="11"/>
      <c r="I63" s="17" t="s">
        <v>1111</v>
      </c>
      <c r="J63" s="19">
        <v>0.4</v>
      </c>
      <c r="K63" s="17" t="s">
        <v>1112</v>
      </c>
      <c r="L63" s="21">
        <v>2.8</v>
      </c>
      <c r="M63" s="21">
        <v>0.7</v>
      </c>
      <c r="N63" s="19" t="s">
        <v>1113</v>
      </c>
      <c r="O63" s="19">
        <v>1038002</v>
      </c>
      <c r="P63" s="19">
        <v>1038003</v>
      </c>
      <c r="Q63" s="19">
        <v>1038004</v>
      </c>
      <c r="R63" s="19">
        <v>1038005</v>
      </c>
      <c r="S63" s="19">
        <v>1038006</v>
      </c>
      <c r="T63" s="19">
        <v>1038007</v>
      </c>
    </row>
    <row r="64" spans="1:20">
      <c r="A64" s="8">
        <v>10381</v>
      </c>
      <c r="B64" s="12" t="s">
        <v>479</v>
      </c>
      <c r="C64" s="10" t="s">
        <v>772</v>
      </c>
      <c r="D64" s="11" t="s">
        <v>1103</v>
      </c>
      <c r="E64" s="10">
        <v>10381</v>
      </c>
      <c r="F64" s="11"/>
      <c r="G64" s="10">
        <v>10381</v>
      </c>
      <c r="H64" s="11"/>
      <c r="I64" s="17" t="s">
        <v>1111</v>
      </c>
      <c r="J64" s="19">
        <v>0.3</v>
      </c>
      <c r="K64" s="17" t="s">
        <v>1114</v>
      </c>
      <c r="L64" s="21">
        <v>2.8</v>
      </c>
      <c r="M64" s="21">
        <v>0.7</v>
      </c>
      <c r="N64" s="19" t="s">
        <v>1113</v>
      </c>
      <c r="O64" s="19">
        <v>1038102</v>
      </c>
      <c r="P64" s="19">
        <v>1038103</v>
      </c>
      <c r="Q64" s="19">
        <v>1038104</v>
      </c>
      <c r="R64" s="19">
        <v>1038105</v>
      </c>
      <c r="S64" s="19">
        <v>1038106</v>
      </c>
      <c r="T64" s="19">
        <v>1038107</v>
      </c>
    </row>
    <row r="65" spans="1:20">
      <c r="A65" s="8">
        <v>10390</v>
      </c>
      <c r="B65" s="12" t="s">
        <v>484</v>
      </c>
      <c r="C65" s="10" t="s">
        <v>776</v>
      </c>
      <c r="D65" s="11" t="s">
        <v>988</v>
      </c>
      <c r="E65" s="10">
        <v>10390</v>
      </c>
      <c r="F65" s="11"/>
      <c r="G65" s="10">
        <v>10390</v>
      </c>
      <c r="H65" s="11"/>
      <c r="I65" s="17" t="s">
        <v>1115</v>
      </c>
      <c r="J65" s="19">
        <v>0.4</v>
      </c>
      <c r="K65" s="17" t="s">
        <v>1116</v>
      </c>
      <c r="L65" s="21">
        <v>2.7</v>
      </c>
      <c r="M65" s="21">
        <v>0.6</v>
      </c>
      <c r="N65" s="19" t="s">
        <v>1117</v>
      </c>
      <c r="O65" s="19">
        <v>1039002</v>
      </c>
      <c r="P65" s="19">
        <v>1039003</v>
      </c>
      <c r="Q65" s="19">
        <v>1039004</v>
      </c>
      <c r="R65" s="19">
        <v>1039005</v>
      </c>
      <c r="S65" s="19">
        <v>1039006</v>
      </c>
      <c r="T65" s="19">
        <v>1039007</v>
      </c>
    </row>
    <row r="66" spans="1:20">
      <c r="A66" s="8">
        <v>10391</v>
      </c>
      <c r="B66" s="12" t="s">
        <v>489</v>
      </c>
      <c r="C66" s="10" t="s">
        <v>780</v>
      </c>
      <c r="D66" s="11" t="s">
        <v>988</v>
      </c>
      <c r="E66" s="10">
        <v>10391</v>
      </c>
      <c r="F66" s="11"/>
      <c r="G66" s="10">
        <v>10391</v>
      </c>
      <c r="H66" s="11"/>
      <c r="I66" s="17" t="s">
        <v>1115</v>
      </c>
      <c r="J66" s="19">
        <v>0.4</v>
      </c>
      <c r="K66" s="17" t="s">
        <v>1118</v>
      </c>
      <c r="L66" s="21">
        <v>2.7</v>
      </c>
      <c r="M66" s="21">
        <v>0.7</v>
      </c>
      <c r="N66" s="19" t="s">
        <v>1119</v>
      </c>
      <c r="O66" s="19">
        <v>1039102</v>
      </c>
      <c r="P66" s="19">
        <v>1039103</v>
      </c>
      <c r="Q66" s="19">
        <v>1039104</v>
      </c>
      <c r="R66" s="19">
        <v>1039105</v>
      </c>
      <c r="S66" s="19">
        <v>1039106</v>
      </c>
      <c r="T66" s="19">
        <v>1039107</v>
      </c>
    </row>
    <row r="67" ht="25.5" spans="1:20">
      <c r="A67" s="8">
        <v>10392</v>
      </c>
      <c r="B67" s="12" t="s">
        <v>494</v>
      </c>
      <c r="C67" s="10" t="s">
        <v>783</v>
      </c>
      <c r="D67" s="11" t="s">
        <v>1120</v>
      </c>
      <c r="E67" s="10">
        <v>10392</v>
      </c>
      <c r="F67" s="11"/>
      <c r="G67" s="10">
        <v>10392</v>
      </c>
      <c r="H67" s="11"/>
      <c r="I67" s="17" t="s">
        <v>1121</v>
      </c>
      <c r="J67" s="19">
        <v>0.4</v>
      </c>
      <c r="K67" s="10" t="s">
        <v>1122</v>
      </c>
      <c r="L67" s="21">
        <v>2.7</v>
      </c>
      <c r="M67" s="21">
        <v>0.6</v>
      </c>
      <c r="N67" s="19" t="s">
        <v>1123</v>
      </c>
      <c r="O67" s="19">
        <v>1039202</v>
      </c>
      <c r="P67" s="19">
        <v>1039203</v>
      </c>
      <c r="Q67" s="19">
        <v>1039204</v>
      </c>
      <c r="R67" s="19">
        <v>1039205</v>
      </c>
      <c r="S67" s="19">
        <v>1039206</v>
      </c>
      <c r="T67" s="19">
        <v>1039207</v>
      </c>
    </row>
    <row r="68" spans="1:20">
      <c r="A68" s="8">
        <v>10410</v>
      </c>
      <c r="B68" s="12" t="s">
        <v>154</v>
      </c>
      <c r="C68" s="10" t="s">
        <v>158</v>
      </c>
      <c r="D68" s="11" t="s">
        <v>988</v>
      </c>
      <c r="E68" s="10">
        <v>10410</v>
      </c>
      <c r="F68" s="11" t="s">
        <v>989</v>
      </c>
      <c r="G68" s="10">
        <v>10410</v>
      </c>
      <c r="H68" s="11" t="s">
        <v>989</v>
      </c>
      <c r="I68" s="17" t="s">
        <v>1124</v>
      </c>
      <c r="J68" s="19">
        <v>0.5</v>
      </c>
      <c r="K68" s="17" t="s">
        <v>1125</v>
      </c>
      <c r="L68" s="21">
        <v>2.8</v>
      </c>
      <c r="M68" s="21">
        <v>0.7</v>
      </c>
      <c r="N68" s="19" t="s">
        <v>1126</v>
      </c>
      <c r="O68" s="19">
        <v>1041002</v>
      </c>
      <c r="P68" s="19">
        <v>1041003</v>
      </c>
      <c r="Q68" s="19">
        <v>1041004</v>
      </c>
      <c r="R68" s="19">
        <v>1041005</v>
      </c>
      <c r="S68" s="19">
        <v>1041006</v>
      </c>
      <c r="T68" s="19">
        <v>1041007</v>
      </c>
    </row>
    <row r="69" spans="1:20">
      <c r="A69" s="8">
        <v>10411</v>
      </c>
      <c r="B69" s="12" t="s">
        <v>160</v>
      </c>
      <c r="C69" s="10" t="s">
        <v>164</v>
      </c>
      <c r="D69" s="11" t="s">
        <v>988</v>
      </c>
      <c r="E69" s="10">
        <v>10411</v>
      </c>
      <c r="F69" s="11" t="s">
        <v>989</v>
      </c>
      <c r="G69" s="10">
        <v>10411</v>
      </c>
      <c r="H69" s="11" t="s">
        <v>989</v>
      </c>
      <c r="I69" s="17" t="s">
        <v>1124</v>
      </c>
      <c r="J69" s="19">
        <v>0.4</v>
      </c>
      <c r="K69" s="17" t="s">
        <v>1127</v>
      </c>
      <c r="L69" s="21">
        <v>2.7</v>
      </c>
      <c r="M69" s="21">
        <v>0.7</v>
      </c>
      <c r="N69" s="19" t="s">
        <v>1126</v>
      </c>
      <c r="O69" s="19">
        <v>1041102</v>
      </c>
      <c r="P69" s="19">
        <v>1041103</v>
      </c>
      <c r="Q69" s="19">
        <v>1041104</v>
      </c>
      <c r="R69" s="19">
        <v>1041105</v>
      </c>
      <c r="S69" s="19">
        <v>1041106</v>
      </c>
      <c r="T69" s="19">
        <v>1041107</v>
      </c>
    </row>
    <row r="70" spans="1:20">
      <c r="A70" s="8">
        <v>10420</v>
      </c>
      <c r="B70" s="12" t="s">
        <v>505</v>
      </c>
      <c r="C70" s="10" t="s">
        <v>786</v>
      </c>
      <c r="D70" s="11" t="s">
        <v>988</v>
      </c>
      <c r="E70" s="10">
        <v>10420</v>
      </c>
      <c r="F70" s="11" t="s">
        <v>1041</v>
      </c>
      <c r="G70" s="10">
        <v>10420</v>
      </c>
      <c r="H70" s="11" t="s">
        <v>1041</v>
      </c>
      <c r="I70" s="17" t="s">
        <v>1128</v>
      </c>
      <c r="J70" s="19">
        <v>0.4</v>
      </c>
      <c r="K70" s="17" t="s">
        <v>1129</v>
      </c>
      <c r="L70" s="21">
        <v>2.9</v>
      </c>
      <c r="M70" s="21">
        <v>0.9</v>
      </c>
      <c r="N70" s="21">
        <v>0.5</v>
      </c>
      <c r="O70" s="19">
        <v>1042002</v>
      </c>
      <c r="P70" s="19">
        <v>1042003</v>
      </c>
      <c r="Q70" s="19">
        <v>1042004</v>
      </c>
      <c r="R70" s="19">
        <v>1042005</v>
      </c>
      <c r="S70" s="19">
        <v>1042006</v>
      </c>
      <c r="T70" s="19">
        <v>1042007</v>
      </c>
    </row>
    <row r="71" spans="1:20">
      <c r="A71" s="8">
        <v>10421</v>
      </c>
      <c r="B71" s="12" t="s">
        <v>510</v>
      </c>
      <c r="C71" s="10" t="s">
        <v>789</v>
      </c>
      <c r="D71" s="11" t="s">
        <v>988</v>
      </c>
      <c r="E71" s="10">
        <v>10421</v>
      </c>
      <c r="F71" s="11" t="s">
        <v>1041</v>
      </c>
      <c r="G71" s="10">
        <v>10421</v>
      </c>
      <c r="H71" s="11" t="s">
        <v>1041</v>
      </c>
      <c r="I71" s="17" t="s">
        <v>1128</v>
      </c>
      <c r="J71" s="19">
        <v>0.4</v>
      </c>
      <c r="K71" s="17" t="s">
        <v>1130</v>
      </c>
      <c r="L71" s="21">
        <v>2.3</v>
      </c>
      <c r="M71" s="21">
        <v>0.5</v>
      </c>
      <c r="N71" s="20" t="s">
        <v>1131</v>
      </c>
      <c r="O71" s="19">
        <v>1042102</v>
      </c>
      <c r="P71" s="19">
        <v>1042103</v>
      </c>
      <c r="Q71" s="19">
        <v>1042104</v>
      </c>
      <c r="R71" s="19">
        <v>1042105</v>
      </c>
      <c r="S71" s="19">
        <v>1042106</v>
      </c>
      <c r="T71" s="19">
        <v>1042107</v>
      </c>
    </row>
    <row r="72" spans="1:20">
      <c r="A72" s="8">
        <v>10422</v>
      </c>
      <c r="B72" s="12" t="s">
        <v>790</v>
      </c>
      <c r="C72" s="10" t="s">
        <v>793</v>
      </c>
      <c r="D72" s="11"/>
      <c r="E72" s="14">
        <v>10422</v>
      </c>
      <c r="F72" s="11"/>
      <c r="G72" s="14">
        <v>10422</v>
      </c>
      <c r="H72" s="11"/>
      <c r="I72" s="17" t="s">
        <v>1128</v>
      </c>
      <c r="J72" s="19">
        <v>0.4</v>
      </c>
      <c r="K72" s="17" t="s">
        <v>1132</v>
      </c>
      <c r="L72" s="21">
        <v>2.3</v>
      </c>
      <c r="M72" s="21">
        <v>0.5</v>
      </c>
      <c r="N72" s="22" t="s">
        <v>1133</v>
      </c>
      <c r="O72" s="19">
        <v>1042202</v>
      </c>
      <c r="P72" s="19">
        <v>1042203</v>
      </c>
      <c r="Q72" s="19">
        <v>1042204</v>
      </c>
      <c r="R72" s="19">
        <v>1042205</v>
      </c>
      <c r="S72" s="19">
        <v>1042206</v>
      </c>
      <c r="T72" s="19">
        <v>1042207</v>
      </c>
    </row>
    <row r="73" spans="1:20">
      <c r="A73" s="8">
        <v>10450</v>
      </c>
      <c r="B73" s="12" t="s">
        <v>1134</v>
      </c>
      <c r="C73" s="10" t="s">
        <v>169</v>
      </c>
      <c r="D73" s="11" t="s">
        <v>1002</v>
      </c>
      <c r="E73" s="10">
        <v>10450</v>
      </c>
      <c r="F73" s="11" t="s">
        <v>1022</v>
      </c>
      <c r="G73" s="10">
        <v>10450</v>
      </c>
      <c r="H73" s="11" t="s">
        <v>1022</v>
      </c>
      <c r="I73" s="17" t="s">
        <v>1135</v>
      </c>
      <c r="J73" s="19">
        <v>0.4</v>
      </c>
      <c r="K73" s="17" t="s">
        <v>1136</v>
      </c>
      <c r="L73" s="21">
        <v>4</v>
      </c>
      <c r="M73" s="22" t="s">
        <v>1039</v>
      </c>
      <c r="N73" s="19">
        <v>0.65</v>
      </c>
      <c r="O73" s="19">
        <v>1045002</v>
      </c>
      <c r="P73" s="19">
        <v>1045003</v>
      </c>
      <c r="Q73" s="19">
        <v>1045004</v>
      </c>
      <c r="R73" s="19">
        <v>1045005</v>
      </c>
      <c r="S73" s="19">
        <v>1045006</v>
      </c>
      <c r="T73" s="19">
        <v>1045007</v>
      </c>
    </row>
    <row r="74" spans="1:20">
      <c r="A74" s="8">
        <v>10451</v>
      </c>
      <c r="B74" s="12" t="s">
        <v>171</v>
      </c>
      <c r="C74" s="10" t="s">
        <v>175</v>
      </c>
      <c r="D74" s="11" t="s">
        <v>1002</v>
      </c>
      <c r="E74" s="10">
        <v>10451</v>
      </c>
      <c r="F74" s="11" t="s">
        <v>1022</v>
      </c>
      <c r="G74" s="10">
        <v>10451</v>
      </c>
      <c r="H74" s="11" t="s">
        <v>1022</v>
      </c>
      <c r="I74" s="17" t="s">
        <v>1135</v>
      </c>
      <c r="J74" s="19">
        <v>0.4</v>
      </c>
      <c r="K74" s="17" t="s">
        <v>1137</v>
      </c>
      <c r="L74" s="21">
        <v>2.7</v>
      </c>
      <c r="M74" s="22" t="s">
        <v>1048</v>
      </c>
      <c r="N74" s="19" t="s">
        <v>1138</v>
      </c>
      <c r="O74" s="19">
        <v>1045102</v>
      </c>
      <c r="P74" s="19">
        <v>1045103</v>
      </c>
      <c r="Q74" s="19">
        <v>1045104</v>
      </c>
      <c r="R74" s="19">
        <v>1045105</v>
      </c>
      <c r="S74" s="19">
        <v>1045106</v>
      </c>
      <c r="T74" s="19">
        <v>1045107</v>
      </c>
    </row>
    <row r="75" spans="1:20">
      <c r="A75" s="8">
        <v>10460</v>
      </c>
      <c r="B75" s="12" t="s">
        <v>523</v>
      </c>
      <c r="C75" s="10" t="s">
        <v>796</v>
      </c>
      <c r="D75" s="11" t="s">
        <v>988</v>
      </c>
      <c r="E75" s="10">
        <v>10460</v>
      </c>
      <c r="F75" s="11" t="s">
        <v>966</v>
      </c>
      <c r="G75" s="10">
        <v>10460</v>
      </c>
      <c r="H75" s="11" t="s">
        <v>966</v>
      </c>
      <c r="I75" s="17" t="s">
        <v>1139</v>
      </c>
      <c r="J75" s="18">
        <v>0.5</v>
      </c>
      <c r="K75" s="17" t="s">
        <v>1140</v>
      </c>
      <c r="L75" s="27">
        <v>3</v>
      </c>
      <c r="M75" s="27">
        <v>1</v>
      </c>
      <c r="N75" s="19" t="s">
        <v>1141</v>
      </c>
      <c r="O75" s="19">
        <v>1046002</v>
      </c>
      <c r="P75" s="19">
        <v>1046003</v>
      </c>
      <c r="Q75" s="19">
        <v>1046004</v>
      </c>
      <c r="R75" s="19">
        <v>1046005</v>
      </c>
      <c r="S75" s="19">
        <v>1046006</v>
      </c>
      <c r="T75" s="19">
        <v>1046007</v>
      </c>
    </row>
    <row r="76" spans="1:20">
      <c r="A76" s="8">
        <v>10461</v>
      </c>
      <c r="B76" s="12" t="s">
        <v>528</v>
      </c>
      <c r="C76" s="10" t="s">
        <v>799</v>
      </c>
      <c r="D76" s="11" t="s">
        <v>988</v>
      </c>
      <c r="E76" s="10">
        <v>10461</v>
      </c>
      <c r="F76" s="11" t="s">
        <v>966</v>
      </c>
      <c r="G76" s="10">
        <v>10461</v>
      </c>
      <c r="H76" s="11" t="s">
        <v>966</v>
      </c>
      <c r="I76" s="17" t="s">
        <v>1139</v>
      </c>
      <c r="J76" s="18">
        <v>0.4</v>
      </c>
      <c r="K76" s="17" t="s">
        <v>1142</v>
      </c>
      <c r="L76" s="21">
        <v>2.7</v>
      </c>
      <c r="M76" s="21">
        <v>0.8</v>
      </c>
      <c r="N76" s="19" t="s">
        <v>1141</v>
      </c>
      <c r="O76" s="19">
        <v>1046102</v>
      </c>
      <c r="P76" s="19">
        <v>1046103</v>
      </c>
      <c r="Q76" s="19">
        <v>1046104</v>
      </c>
      <c r="R76" s="19">
        <v>1046105</v>
      </c>
      <c r="S76" s="19">
        <v>1046106</v>
      </c>
      <c r="T76" s="19">
        <v>1046107</v>
      </c>
    </row>
    <row r="77" spans="1:20">
      <c r="A77" s="8">
        <v>10470</v>
      </c>
      <c r="B77" s="12" t="s">
        <v>176</v>
      </c>
      <c r="C77" s="10" t="s">
        <v>180</v>
      </c>
      <c r="D77" s="11" t="s">
        <v>1022</v>
      </c>
      <c r="E77" s="10">
        <v>10470</v>
      </c>
      <c r="F77" s="11" t="s">
        <v>1003</v>
      </c>
      <c r="G77" s="10">
        <v>10470</v>
      </c>
      <c r="H77" s="11" t="s">
        <v>1003</v>
      </c>
      <c r="I77" s="17" t="s">
        <v>1143</v>
      </c>
      <c r="J77" s="19">
        <v>0.4</v>
      </c>
      <c r="K77" s="17" t="s">
        <v>1144</v>
      </c>
      <c r="L77" s="21">
        <v>3.3</v>
      </c>
      <c r="M77" s="21">
        <v>0.5</v>
      </c>
      <c r="N77" s="19" t="s">
        <v>1034</v>
      </c>
      <c r="O77" s="19">
        <v>1047002</v>
      </c>
      <c r="P77" s="19">
        <v>1047003</v>
      </c>
      <c r="Q77" s="19">
        <v>1047004</v>
      </c>
      <c r="R77" s="19">
        <v>1047005</v>
      </c>
      <c r="S77" s="19">
        <v>1047006</v>
      </c>
      <c r="T77" s="19">
        <v>1047007</v>
      </c>
    </row>
    <row r="78" spans="1:20">
      <c r="A78" s="8">
        <v>10471</v>
      </c>
      <c r="B78" s="12" t="s">
        <v>181</v>
      </c>
      <c r="C78" s="10" t="s">
        <v>185</v>
      </c>
      <c r="D78" s="11" t="s">
        <v>1021</v>
      </c>
      <c r="E78" s="10">
        <v>10471</v>
      </c>
      <c r="F78" s="11" t="s">
        <v>1145</v>
      </c>
      <c r="G78" s="10">
        <v>10471</v>
      </c>
      <c r="H78" s="11" t="s">
        <v>1145</v>
      </c>
      <c r="I78" s="17" t="s">
        <v>1143</v>
      </c>
      <c r="J78" s="19">
        <v>0.4</v>
      </c>
      <c r="K78" s="17" t="s">
        <v>1146</v>
      </c>
      <c r="L78" s="21">
        <v>2.8</v>
      </c>
      <c r="M78" s="21">
        <v>0.9</v>
      </c>
      <c r="N78" s="19" t="s">
        <v>1034</v>
      </c>
      <c r="O78" s="19">
        <v>1047102</v>
      </c>
      <c r="P78" s="19">
        <v>1047103</v>
      </c>
      <c r="Q78" s="19">
        <v>1047104</v>
      </c>
      <c r="R78" s="19">
        <v>1047105</v>
      </c>
      <c r="S78" s="19">
        <v>1047106</v>
      </c>
      <c r="T78" s="19">
        <v>1047107</v>
      </c>
    </row>
    <row r="79" spans="1:20">
      <c r="A79" s="8">
        <v>10500</v>
      </c>
      <c r="B79" s="12" t="s">
        <v>186</v>
      </c>
      <c r="C79" s="10" t="s">
        <v>190</v>
      </c>
      <c r="D79" s="11" t="s">
        <v>988</v>
      </c>
      <c r="E79" s="10">
        <v>10500</v>
      </c>
      <c r="F79" s="11" t="s">
        <v>966</v>
      </c>
      <c r="G79" s="10">
        <v>10500</v>
      </c>
      <c r="H79" s="11" t="s">
        <v>966</v>
      </c>
      <c r="I79" s="17" t="s">
        <v>1147</v>
      </c>
      <c r="J79" s="19">
        <v>0.4</v>
      </c>
      <c r="K79" s="17" t="s">
        <v>1148</v>
      </c>
      <c r="L79" s="27">
        <v>3</v>
      </c>
      <c r="M79" s="27">
        <v>1</v>
      </c>
      <c r="N79" s="19" t="s">
        <v>1149</v>
      </c>
      <c r="O79" s="19">
        <v>1050002</v>
      </c>
      <c r="P79" s="19">
        <v>1050003</v>
      </c>
      <c r="Q79" s="19">
        <v>1050004</v>
      </c>
      <c r="R79" s="19">
        <v>1050005</v>
      </c>
      <c r="S79" s="19">
        <v>1050006</v>
      </c>
      <c r="T79" s="19">
        <v>1050007</v>
      </c>
    </row>
    <row r="80" spans="1:20">
      <c r="A80" s="8">
        <v>10501</v>
      </c>
      <c r="B80" s="12" t="s">
        <v>542</v>
      </c>
      <c r="C80" s="10" t="s">
        <v>802</v>
      </c>
      <c r="D80" s="11" t="s">
        <v>988</v>
      </c>
      <c r="E80" s="10">
        <v>10501</v>
      </c>
      <c r="F80" s="11" t="s">
        <v>966</v>
      </c>
      <c r="G80" s="10">
        <v>10501</v>
      </c>
      <c r="H80" s="11" t="s">
        <v>966</v>
      </c>
      <c r="I80" s="17" t="s">
        <v>1147</v>
      </c>
      <c r="J80" s="19">
        <v>0.4</v>
      </c>
      <c r="K80" s="17" t="s">
        <v>1150</v>
      </c>
      <c r="L80" s="21">
        <v>2.2</v>
      </c>
      <c r="M80" s="21">
        <v>0.4</v>
      </c>
      <c r="N80" s="19" t="s">
        <v>1149</v>
      </c>
      <c r="O80" s="19">
        <v>1050102</v>
      </c>
      <c r="P80" s="19">
        <v>1050103</v>
      </c>
      <c r="Q80" s="19">
        <v>1050104</v>
      </c>
      <c r="R80" s="19">
        <v>1050105</v>
      </c>
      <c r="S80" s="19">
        <v>1050106</v>
      </c>
      <c r="T80" s="19">
        <v>1050107</v>
      </c>
    </row>
    <row r="81" spans="1:20">
      <c r="A81" s="8">
        <v>10510</v>
      </c>
      <c r="B81" s="12" t="s">
        <v>547</v>
      </c>
      <c r="C81" s="10" t="s">
        <v>805</v>
      </c>
      <c r="D81" s="11" t="s">
        <v>1021</v>
      </c>
      <c r="E81" s="10">
        <v>10510</v>
      </c>
      <c r="F81" s="11" t="s">
        <v>1003</v>
      </c>
      <c r="G81" s="10">
        <v>10510</v>
      </c>
      <c r="H81" s="11" t="s">
        <v>1003</v>
      </c>
      <c r="I81" s="17" t="s">
        <v>1151</v>
      </c>
      <c r="J81" s="19">
        <v>0.4</v>
      </c>
      <c r="K81" s="17" t="s">
        <v>1152</v>
      </c>
      <c r="L81" s="21">
        <v>3</v>
      </c>
      <c r="M81" s="21">
        <v>0.7</v>
      </c>
      <c r="N81" s="19" t="s">
        <v>1153</v>
      </c>
      <c r="O81" s="19">
        <v>1051002</v>
      </c>
      <c r="P81" s="19">
        <v>1051003</v>
      </c>
      <c r="Q81" s="19">
        <v>1051004</v>
      </c>
      <c r="R81" s="19">
        <v>1051005</v>
      </c>
      <c r="S81" s="19">
        <v>1051006</v>
      </c>
      <c r="T81" s="19">
        <v>1051007</v>
      </c>
    </row>
    <row r="82" spans="1:20">
      <c r="A82" s="8">
        <v>10511</v>
      </c>
      <c r="B82" s="12" t="s">
        <v>552</v>
      </c>
      <c r="C82" s="10" t="s">
        <v>808</v>
      </c>
      <c r="D82" s="11" t="s">
        <v>1021</v>
      </c>
      <c r="E82" s="10">
        <v>10511</v>
      </c>
      <c r="F82" s="11" t="s">
        <v>1003</v>
      </c>
      <c r="G82" s="10">
        <v>10511</v>
      </c>
      <c r="H82" s="11" t="s">
        <v>1003</v>
      </c>
      <c r="I82" s="17" t="s">
        <v>1151</v>
      </c>
      <c r="J82" s="19">
        <v>0.4</v>
      </c>
      <c r="K82" s="17" t="s">
        <v>1154</v>
      </c>
      <c r="L82" s="21">
        <v>3</v>
      </c>
      <c r="M82" s="21">
        <v>0.7</v>
      </c>
      <c r="N82" s="19" t="s">
        <v>1153</v>
      </c>
      <c r="O82" s="19">
        <v>1051102</v>
      </c>
      <c r="P82" s="19">
        <v>1051103</v>
      </c>
      <c r="Q82" s="19">
        <v>1051104</v>
      </c>
      <c r="R82" s="19">
        <v>1051105</v>
      </c>
      <c r="S82" s="19">
        <v>1051106</v>
      </c>
      <c r="T82" s="19">
        <v>1051107</v>
      </c>
    </row>
    <row r="83" spans="1:20">
      <c r="A83" s="8">
        <v>10512</v>
      </c>
      <c r="B83" s="12" t="s">
        <v>557</v>
      </c>
      <c r="C83" s="10" t="s">
        <v>811</v>
      </c>
      <c r="D83" s="11" t="s">
        <v>986</v>
      </c>
      <c r="E83" s="10">
        <v>10512</v>
      </c>
      <c r="F83" s="11"/>
      <c r="G83" s="10">
        <v>10512</v>
      </c>
      <c r="H83" s="11"/>
      <c r="I83" s="17" t="s">
        <v>1151</v>
      </c>
      <c r="J83" s="19">
        <v>0.4</v>
      </c>
      <c r="K83" s="17" t="s">
        <v>1155</v>
      </c>
      <c r="L83" s="21">
        <v>2.7</v>
      </c>
      <c r="M83" s="21">
        <v>0.5</v>
      </c>
      <c r="N83" s="19" t="s">
        <v>1153</v>
      </c>
      <c r="O83" s="19">
        <v>1051202</v>
      </c>
      <c r="P83" s="19">
        <v>1051203</v>
      </c>
      <c r="Q83" s="19">
        <v>1051204</v>
      </c>
      <c r="R83" s="19">
        <v>1051205</v>
      </c>
      <c r="S83" s="19">
        <v>1051206</v>
      </c>
      <c r="T83" s="19">
        <v>1051207</v>
      </c>
    </row>
    <row r="84" spans="1:20">
      <c r="A84" s="8">
        <v>10520</v>
      </c>
      <c r="B84" s="12" t="s">
        <v>192</v>
      </c>
      <c r="C84" s="10" t="s">
        <v>196</v>
      </c>
      <c r="D84" s="11" t="s">
        <v>1053</v>
      </c>
      <c r="E84" s="10">
        <v>10520</v>
      </c>
      <c r="F84" s="11" t="s">
        <v>1003</v>
      </c>
      <c r="G84" s="10">
        <v>10520</v>
      </c>
      <c r="H84" s="11" t="s">
        <v>1003</v>
      </c>
      <c r="I84" s="17" t="s">
        <v>1156</v>
      </c>
      <c r="J84" s="19">
        <v>0.4</v>
      </c>
      <c r="K84" s="17" t="s">
        <v>1157</v>
      </c>
      <c r="L84" s="27">
        <v>1.33</v>
      </c>
      <c r="M84" s="17" t="s">
        <v>1158</v>
      </c>
      <c r="N84" s="19">
        <v>0.35</v>
      </c>
      <c r="O84" s="19">
        <v>1052002</v>
      </c>
      <c r="P84" s="19">
        <v>1052003</v>
      </c>
      <c r="Q84" s="19">
        <v>1052004</v>
      </c>
      <c r="R84" s="19">
        <v>1052005</v>
      </c>
      <c r="S84" s="19">
        <v>1052006</v>
      </c>
      <c r="T84" s="19">
        <v>1052007</v>
      </c>
    </row>
    <row r="85" spans="1:20">
      <c r="A85" s="8">
        <v>10521</v>
      </c>
      <c r="B85" s="12" t="s">
        <v>197</v>
      </c>
      <c r="C85" s="10" t="s">
        <v>201</v>
      </c>
      <c r="D85" s="11" t="s">
        <v>1053</v>
      </c>
      <c r="E85" s="10">
        <v>10521</v>
      </c>
      <c r="F85" s="11" t="s">
        <v>1003</v>
      </c>
      <c r="G85" s="10">
        <v>10521</v>
      </c>
      <c r="H85" s="11" t="s">
        <v>1003</v>
      </c>
      <c r="I85" s="17" t="s">
        <v>1156</v>
      </c>
      <c r="J85" s="19">
        <v>0.4</v>
      </c>
      <c r="K85" s="17" t="s">
        <v>1159</v>
      </c>
      <c r="L85" s="27">
        <v>1.8</v>
      </c>
      <c r="M85" s="17" t="s">
        <v>1015</v>
      </c>
      <c r="N85" s="19" t="s">
        <v>1160</v>
      </c>
      <c r="O85" s="19">
        <v>1052102</v>
      </c>
      <c r="P85" s="19">
        <v>1052103</v>
      </c>
      <c r="Q85" s="19">
        <v>1052104</v>
      </c>
      <c r="R85" s="19">
        <v>1052105</v>
      </c>
      <c r="S85" s="19">
        <v>1052106</v>
      </c>
      <c r="T85" s="19">
        <v>1052107</v>
      </c>
    </row>
    <row r="86" spans="1:20">
      <c r="A86" s="8">
        <v>10522</v>
      </c>
      <c r="B86" s="12" t="s">
        <v>568</v>
      </c>
      <c r="C86" s="10" t="s">
        <v>814</v>
      </c>
      <c r="D86" s="11" t="s">
        <v>1161</v>
      </c>
      <c r="E86" s="10">
        <v>10522</v>
      </c>
      <c r="F86" s="11"/>
      <c r="G86" s="10">
        <v>10522</v>
      </c>
      <c r="H86" s="11"/>
      <c r="I86" s="17" t="s">
        <v>1156</v>
      </c>
      <c r="J86" s="19">
        <v>0.4</v>
      </c>
      <c r="K86" s="17" t="s">
        <v>1162</v>
      </c>
      <c r="L86" s="21">
        <v>2.7</v>
      </c>
      <c r="M86" s="21" t="s">
        <v>1163</v>
      </c>
      <c r="N86" s="19">
        <v>0.9</v>
      </c>
      <c r="O86" s="19">
        <v>1052202</v>
      </c>
      <c r="P86" s="19">
        <v>1052203</v>
      </c>
      <c r="Q86" s="19">
        <v>1052204</v>
      </c>
      <c r="R86" s="19">
        <v>1052205</v>
      </c>
      <c r="S86" s="19">
        <v>1052206</v>
      </c>
      <c r="T86" s="19">
        <v>1052207</v>
      </c>
    </row>
    <row r="87" spans="1:20">
      <c r="A87" s="8">
        <v>10530</v>
      </c>
      <c r="B87" s="12" t="s">
        <v>203</v>
      </c>
      <c r="C87" s="10" t="s">
        <v>207</v>
      </c>
      <c r="D87" s="11" t="s">
        <v>1021</v>
      </c>
      <c r="E87" s="10">
        <v>10530</v>
      </c>
      <c r="F87" s="11" t="s">
        <v>1003</v>
      </c>
      <c r="G87" s="10">
        <v>10530</v>
      </c>
      <c r="H87" s="11" t="s">
        <v>1003</v>
      </c>
      <c r="I87" s="17" t="s">
        <v>1164</v>
      </c>
      <c r="J87" s="19">
        <v>0.4</v>
      </c>
      <c r="K87" s="17" t="s">
        <v>1165</v>
      </c>
      <c r="L87" s="21">
        <v>4</v>
      </c>
      <c r="M87" s="21">
        <v>1</v>
      </c>
      <c r="N87" s="21" t="s">
        <v>1166</v>
      </c>
      <c r="O87" s="19">
        <v>1053002</v>
      </c>
      <c r="P87" s="19">
        <v>1053003</v>
      </c>
      <c r="Q87" s="19">
        <v>1053004</v>
      </c>
      <c r="R87" s="19">
        <v>1053005</v>
      </c>
      <c r="S87" s="19">
        <v>1053006</v>
      </c>
      <c r="T87" s="19">
        <v>1053007</v>
      </c>
    </row>
    <row r="88" spans="1:20">
      <c r="A88" s="8">
        <v>10531</v>
      </c>
      <c r="B88" s="12" t="s">
        <v>208</v>
      </c>
      <c r="C88" s="10" t="s">
        <v>212</v>
      </c>
      <c r="D88" s="11" t="s">
        <v>1021</v>
      </c>
      <c r="E88" s="10">
        <v>10531</v>
      </c>
      <c r="F88" s="11" t="s">
        <v>1003</v>
      </c>
      <c r="G88" s="10">
        <v>10531</v>
      </c>
      <c r="H88" s="11" t="s">
        <v>1003</v>
      </c>
      <c r="I88" s="17" t="s">
        <v>1164</v>
      </c>
      <c r="J88" s="19">
        <v>0.4</v>
      </c>
      <c r="K88" s="17" t="s">
        <v>1167</v>
      </c>
      <c r="L88" s="21">
        <v>3.9</v>
      </c>
      <c r="M88" s="21">
        <v>1</v>
      </c>
      <c r="N88" s="19" t="s">
        <v>1126</v>
      </c>
      <c r="O88" s="19">
        <v>1053102</v>
      </c>
      <c r="P88" s="19">
        <v>1053103</v>
      </c>
      <c r="Q88" s="19">
        <v>1053104</v>
      </c>
      <c r="R88" s="19">
        <v>1053105</v>
      </c>
      <c r="S88" s="19">
        <v>1053106</v>
      </c>
      <c r="T88" s="19">
        <v>1053107</v>
      </c>
    </row>
    <row r="89" spans="1:20">
      <c r="A89" s="8">
        <v>10560</v>
      </c>
      <c r="B89" s="12" t="s">
        <v>213</v>
      </c>
      <c r="C89" s="10" t="s">
        <v>217</v>
      </c>
      <c r="D89" s="11" t="s">
        <v>988</v>
      </c>
      <c r="E89" s="10">
        <v>10560</v>
      </c>
      <c r="F89" s="11" t="s">
        <v>966</v>
      </c>
      <c r="G89" s="10">
        <v>10560</v>
      </c>
      <c r="H89" s="11" t="s">
        <v>966</v>
      </c>
      <c r="I89" s="17" t="s">
        <v>1168</v>
      </c>
      <c r="J89" s="19">
        <v>0.4</v>
      </c>
      <c r="K89" s="17" t="s">
        <v>1169</v>
      </c>
      <c r="L89" s="27">
        <v>3.33</v>
      </c>
      <c r="M89" s="27">
        <v>0.7</v>
      </c>
      <c r="N89" s="19" t="s">
        <v>1034</v>
      </c>
      <c r="O89" s="19">
        <v>1056002</v>
      </c>
      <c r="P89" s="19">
        <v>1056003</v>
      </c>
      <c r="Q89" s="19">
        <v>1056004</v>
      </c>
      <c r="R89" s="19">
        <v>1056005</v>
      </c>
      <c r="S89" s="19">
        <v>1056006</v>
      </c>
      <c r="T89" s="19">
        <v>1056007</v>
      </c>
    </row>
    <row r="90" spans="1:20">
      <c r="A90" s="8">
        <v>10561</v>
      </c>
      <c r="B90" s="12" t="s">
        <v>219</v>
      </c>
      <c r="C90" s="10" t="s">
        <v>223</v>
      </c>
      <c r="D90" s="11" t="s">
        <v>988</v>
      </c>
      <c r="E90" s="10">
        <v>10561</v>
      </c>
      <c r="F90" s="11" t="s">
        <v>989</v>
      </c>
      <c r="G90" s="10">
        <v>10561</v>
      </c>
      <c r="H90" s="11" t="s">
        <v>989</v>
      </c>
      <c r="I90" s="17" t="s">
        <v>1168</v>
      </c>
      <c r="J90" s="19">
        <v>0.3</v>
      </c>
      <c r="K90" s="17" t="s">
        <v>1170</v>
      </c>
      <c r="L90" s="21">
        <v>3</v>
      </c>
      <c r="M90" s="21">
        <v>0.6</v>
      </c>
      <c r="N90" s="19">
        <v>0.5</v>
      </c>
      <c r="O90" s="19">
        <v>1056102</v>
      </c>
      <c r="P90" s="19">
        <v>1056103</v>
      </c>
      <c r="Q90" s="19">
        <v>1056104</v>
      </c>
      <c r="R90" s="19">
        <v>1056105</v>
      </c>
      <c r="S90" s="19">
        <v>1056106</v>
      </c>
      <c r="T90" s="19">
        <v>1056107</v>
      </c>
    </row>
    <row r="91" spans="1:20">
      <c r="A91" s="8">
        <v>10562</v>
      </c>
      <c r="B91" s="12" t="s">
        <v>585</v>
      </c>
      <c r="C91" s="10" t="s">
        <v>817</v>
      </c>
      <c r="D91" s="11" t="s">
        <v>1103</v>
      </c>
      <c r="E91" s="10">
        <v>10562</v>
      </c>
      <c r="F91" s="11" t="s">
        <v>986</v>
      </c>
      <c r="G91" s="10">
        <v>10562</v>
      </c>
      <c r="H91" s="11" t="s">
        <v>986</v>
      </c>
      <c r="I91" s="17" t="s">
        <v>1171</v>
      </c>
      <c r="J91" s="19">
        <v>0.4</v>
      </c>
      <c r="K91" s="17" t="s">
        <v>1172</v>
      </c>
      <c r="L91" s="21">
        <v>4</v>
      </c>
      <c r="M91" s="21">
        <v>0.7</v>
      </c>
      <c r="N91" s="19" t="s">
        <v>1173</v>
      </c>
      <c r="O91" s="19">
        <v>1056202</v>
      </c>
      <c r="P91" s="19">
        <v>1056203</v>
      </c>
      <c r="Q91" s="19">
        <v>1056204</v>
      </c>
      <c r="R91" s="19">
        <v>1056205</v>
      </c>
      <c r="S91" s="19">
        <v>1056206</v>
      </c>
      <c r="T91" s="19">
        <v>1056207</v>
      </c>
    </row>
    <row r="92" spans="1:20">
      <c r="A92" s="8">
        <v>10570</v>
      </c>
      <c r="B92" s="12" t="s">
        <v>590</v>
      </c>
      <c r="C92" s="10" t="s">
        <v>820</v>
      </c>
      <c r="D92" s="11" t="s">
        <v>988</v>
      </c>
      <c r="E92" s="10">
        <v>10570</v>
      </c>
      <c r="F92" s="11" t="s">
        <v>989</v>
      </c>
      <c r="G92" s="10">
        <v>10570</v>
      </c>
      <c r="H92" s="11" t="s">
        <v>989</v>
      </c>
      <c r="I92" s="17" t="s">
        <v>1174</v>
      </c>
      <c r="J92" s="19">
        <v>0.4</v>
      </c>
      <c r="K92" s="17" t="s">
        <v>1175</v>
      </c>
      <c r="L92" s="21">
        <v>2.6</v>
      </c>
      <c r="M92" s="21">
        <v>0.6</v>
      </c>
      <c r="N92" s="19">
        <v>0.5</v>
      </c>
      <c r="O92" s="19">
        <v>1057002</v>
      </c>
      <c r="P92" s="19">
        <v>1057003</v>
      </c>
      <c r="Q92" s="19">
        <v>1057004</v>
      </c>
      <c r="R92" s="19">
        <v>1057005</v>
      </c>
      <c r="S92" s="19">
        <v>1057006</v>
      </c>
      <c r="T92" s="19">
        <v>1057007</v>
      </c>
    </row>
    <row r="93" spans="1:20">
      <c r="A93" s="8">
        <v>10571</v>
      </c>
      <c r="B93" s="12" t="s">
        <v>595</v>
      </c>
      <c r="C93" s="10" t="s">
        <v>824</v>
      </c>
      <c r="D93" s="11" t="s">
        <v>988</v>
      </c>
      <c r="E93" s="10">
        <v>10571</v>
      </c>
      <c r="F93" s="11" t="s">
        <v>989</v>
      </c>
      <c r="G93" s="10">
        <v>10571</v>
      </c>
      <c r="H93" s="11" t="s">
        <v>989</v>
      </c>
      <c r="I93" s="17" t="s">
        <v>1174</v>
      </c>
      <c r="J93" s="19">
        <v>0.4</v>
      </c>
      <c r="K93" s="17" t="s">
        <v>1176</v>
      </c>
      <c r="L93" s="21">
        <v>2.6</v>
      </c>
      <c r="M93" s="21">
        <v>0.5</v>
      </c>
      <c r="N93" s="19">
        <v>0.5</v>
      </c>
      <c r="O93" s="19">
        <v>1057102</v>
      </c>
      <c r="P93" s="19">
        <v>1057103</v>
      </c>
      <c r="Q93" s="19">
        <v>1057104</v>
      </c>
      <c r="R93" s="19">
        <v>1057105</v>
      </c>
      <c r="S93" s="19">
        <v>1057106</v>
      </c>
      <c r="T93" s="19">
        <v>1057107</v>
      </c>
    </row>
    <row r="94" spans="1:20">
      <c r="A94" s="8">
        <v>10580</v>
      </c>
      <c r="B94" s="12" t="s">
        <v>1177</v>
      </c>
      <c r="C94" s="10" t="s">
        <v>228</v>
      </c>
      <c r="D94" s="11" t="s">
        <v>1002</v>
      </c>
      <c r="E94" s="10">
        <v>10580</v>
      </c>
      <c r="F94" s="11" t="s">
        <v>1022</v>
      </c>
      <c r="G94" s="10">
        <v>10580</v>
      </c>
      <c r="H94" s="11" t="s">
        <v>1022</v>
      </c>
      <c r="I94" s="17" t="s">
        <v>1178</v>
      </c>
      <c r="J94" s="19">
        <v>0.4</v>
      </c>
      <c r="K94" s="17" t="s">
        <v>1179</v>
      </c>
      <c r="L94" s="21">
        <v>2.7</v>
      </c>
      <c r="M94" s="22" t="s">
        <v>1061</v>
      </c>
      <c r="N94" s="19">
        <v>1.6</v>
      </c>
      <c r="O94" s="19">
        <v>1058002</v>
      </c>
      <c r="P94" s="19">
        <v>1058003</v>
      </c>
      <c r="Q94" s="19">
        <v>1058004</v>
      </c>
      <c r="R94" s="19">
        <v>1058005</v>
      </c>
      <c r="S94" s="19">
        <v>1058006</v>
      </c>
      <c r="T94" s="19">
        <v>1058007</v>
      </c>
    </row>
    <row r="95" spans="1:20">
      <c r="A95" s="8">
        <v>10581</v>
      </c>
      <c r="B95" s="12" t="s">
        <v>229</v>
      </c>
      <c r="C95" s="10" t="s">
        <v>233</v>
      </c>
      <c r="D95" s="11" t="s">
        <v>986</v>
      </c>
      <c r="E95" s="10">
        <v>10581</v>
      </c>
      <c r="F95" s="11" t="s">
        <v>986</v>
      </c>
      <c r="G95" s="10">
        <v>10581</v>
      </c>
      <c r="H95" s="11" t="s">
        <v>986</v>
      </c>
      <c r="I95" s="17" t="s">
        <v>1178</v>
      </c>
      <c r="J95" s="19">
        <v>0.4</v>
      </c>
      <c r="K95" s="17" t="s">
        <v>1180</v>
      </c>
      <c r="L95" s="21">
        <v>2.7</v>
      </c>
      <c r="M95" s="22" t="s">
        <v>1061</v>
      </c>
      <c r="N95" s="22" t="s">
        <v>1181</v>
      </c>
      <c r="O95" s="19">
        <v>1058102</v>
      </c>
      <c r="P95" s="19">
        <v>1058103</v>
      </c>
      <c r="Q95" s="19">
        <v>1058104</v>
      </c>
      <c r="R95" s="19">
        <v>1058105</v>
      </c>
      <c r="S95" s="19">
        <v>1058106</v>
      </c>
      <c r="T95" s="19">
        <v>1058107</v>
      </c>
    </row>
    <row r="96" spans="1:20">
      <c r="A96" s="8">
        <v>10582</v>
      </c>
      <c r="B96" s="12" t="s">
        <v>1182</v>
      </c>
      <c r="C96" s="10" t="s">
        <v>828</v>
      </c>
      <c r="D96" s="11" t="s">
        <v>986</v>
      </c>
      <c r="E96" s="10">
        <v>10582</v>
      </c>
      <c r="F96" s="11"/>
      <c r="G96" s="10">
        <v>10582</v>
      </c>
      <c r="H96" s="11"/>
      <c r="I96" s="17" t="s">
        <v>1178</v>
      </c>
      <c r="J96" s="19">
        <v>0.4</v>
      </c>
      <c r="K96" s="17" t="s">
        <v>1183</v>
      </c>
      <c r="L96" s="21">
        <v>2.7</v>
      </c>
      <c r="M96" s="22" t="s">
        <v>1027</v>
      </c>
      <c r="N96" s="19" t="s">
        <v>1099</v>
      </c>
      <c r="O96" s="19">
        <v>1058202</v>
      </c>
      <c r="P96" s="19">
        <v>1058203</v>
      </c>
      <c r="Q96" s="19">
        <v>1058204</v>
      </c>
      <c r="R96" s="19">
        <v>1058205</v>
      </c>
      <c r="S96" s="19">
        <v>1058206</v>
      </c>
      <c r="T96" s="19">
        <v>1058207</v>
      </c>
    </row>
    <row r="97" spans="1:20">
      <c r="A97" s="8">
        <v>10590</v>
      </c>
      <c r="B97" s="12" t="s">
        <v>611</v>
      </c>
      <c r="C97" s="10" t="s">
        <v>831</v>
      </c>
      <c r="D97" s="11" t="s">
        <v>1091</v>
      </c>
      <c r="E97" s="10">
        <v>10590</v>
      </c>
      <c r="F97" s="11"/>
      <c r="G97" s="10">
        <v>10590</v>
      </c>
      <c r="H97" s="11"/>
      <c r="I97" s="17" t="s">
        <v>1184</v>
      </c>
      <c r="J97" s="19">
        <v>0.3</v>
      </c>
      <c r="K97" s="17" t="s">
        <v>1185</v>
      </c>
      <c r="L97" s="21">
        <v>3</v>
      </c>
      <c r="M97" s="21">
        <v>1.4</v>
      </c>
      <c r="N97" s="19">
        <v>0.45</v>
      </c>
      <c r="O97" s="19">
        <v>1059002</v>
      </c>
      <c r="P97" s="19">
        <v>1059003</v>
      </c>
      <c r="Q97" s="19">
        <v>1059004</v>
      </c>
      <c r="R97" s="19">
        <v>1059005</v>
      </c>
      <c r="S97" s="19">
        <v>1059006</v>
      </c>
      <c r="T97" s="19">
        <v>1059007</v>
      </c>
    </row>
    <row r="98" spans="1:20">
      <c r="A98" s="8">
        <v>10591</v>
      </c>
      <c r="B98" s="12" t="s">
        <v>616</v>
      </c>
      <c r="C98" s="10" t="s">
        <v>834</v>
      </c>
      <c r="D98" s="11" t="s">
        <v>1091</v>
      </c>
      <c r="E98" s="10">
        <v>10591</v>
      </c>
      <c r="F98" s="11"/>
      <c r="G98" s="10">
        <v>10591</v>
      </c>
      <c r="H98" s="11"/>
      <c r="I98" s="17" t="s">
        <v>1184</v>
      </c>
      <c r="J98" s="19">
        <v>0.4</v>
      </c>
      <c r="K98" s="17" t="s">
        <v>1186</v>
      </c>
      <c r="L98" s="21">
        <v>2.7</v>
      </c>
      <c r="M98" s="21">
        <v>0.8</v>
      </c>
      <c r="N98" s="19" t="s">
        <v>1187</v>
      </c>
      <c r="O98" s="19">
        <v>1059102</v>
      </c>
      <c r="P98" s="19">
        <v>1059103</v>
      </c>
      <c r="Q98" s="19">
        <v>1059104</v>
      </c>
      <c r="R98" s="19">
        <v>1059105</v>
      </c>
      <c r="S98" s="19">
        <v>1059106</v>
      </c>
      <c r="T98" s="19">
        <v>1059107</v>
      </c>
    </row>
    <row r="99" spans="1:20">
      <c r="A99" s="8">
        <v>10600</v>
      </c>
      <c r="B99" s="12" t="s">
        <v>621</v>
      </c>
      <c r="C99" s="10" t="s">
        <v>837</v>
      </c>
      <c r="D99" s="11" t="s">
        <v>1188</v>
      </c>
      <c r="E99" s="10">
        <v>10600</v>
      </c>
      <c r="F99" s="11"/>
      <c r="G99" s="10">
        <v>10600</v>
      </c>
      <c r="H99" s="11"/>
      <c r="I99" s="17" t="s">
        <v>1189</v>
      </c>
      <c r="J99" s="19">
        <v>0.4</v>
      </c>
      <c r="K99" s="17" t="s">
        <v>1190</v>
      </c>
      <c r="L99" s="21">
        <v>4.1</v>
      </c>
      <c r="M99" s="21">
        <v>1.1</v>
      </c>
      <c r="N99" s="22" t="s">
        <v>1191</v>
      </c>
      <c r="O99" s="19">
        <v>1060002</v>
      </c>
      <c r="P99" s="19">
        <v>1060003</v>
      </c>
      <c r="Q99" s="19">
        <v>1060004</v>
      </c>
      <c r="R99" s="19">
        <v>1060005</v>
      </c>
      <c r="S99" s="19">
        <v>1060006</v>
      </c>
      <c r="T99" s="19">
        <v>1060007</v>
      </c>
    </row>
    <row r="100" spans="1:20">
      <c r="A100" s="8">
        <v>10601</v>
      </c>
      <c r="B100" s="12" t="s">
        <v>626</v>
      </c>
      <c r="C100" s="10" t="s">
        <v>841</v>
      </c>
      <c r="D100" s="11" t="s">
        <v>1192</v>
      </c>
      <c r="E100" s="10">
        <v>10601</v>
      </c>
      <c r="F100" s="11" t="s">
        <v>986</v>
      </c>
      <c r="G100" s="10">
        <v>10601</v>
      </c>
      <c r="H100" s="11" t="s">
        <v>986</v>
      </c>
      <c r="I100" s="17" t="s">
        <v>1189</v>
      </c>
      <c r="J100" s="19">
        <v>0.4</v>
      </c>
      <c r="K100" s="17" t="s">
        <v>1193</v>
      </c>
      <c r="L100" s="21">
        <v>4.1</v>
      </c>
      <c r="M100" s="21">
        <v>1.1</v>
      </c>
      <c r="N100" s="20" t="s">
        <v>1194</v>
      </c>
      <c r="O100" s="19">
        <v>1060102</v>
      </c>
      <c r="P100" s="19">
        <v>1060103</v>
      </c>
      <c r="Q100" s="19">
        <v>1060104</v>
      </c>
      <c r="R100" s="19">
        <v>1060105</v>
      </c>
      <c r="S100" s="19">
        <v>1060106</v>
      </c>
      <c r="T100" s="19">
        <v>1060107</v>
      </c>
    </row>
    <row r="101" spans="1:20">
      <c r="A101" s="8">
        <v>10620</v>
      </c>
      <c r="B101" s="12" t="s">
        <v>631</v>
      </c>
      <c r="C101" s="10" t="s">
        <v>844</v>
      </c>
      <c r="D101" s="11" t="s">
        <v>982</v>
      </c>
      <c r="E101" s="10">
        <v>10620</v>
      </c>
      <c r="F101" s="11"/>
      <c r="G101" s="10">
        <v>10620</v>
      </c>
      <c r="H101" s="11"/>
      <c r="I101" s="17" t="s">
        <v>1195</v>
      </c>
      <c r="J101" s="19">
        <v>0.4</v>
      </c>
      <c r="K101" s="17" t="s">
        <v>1196</v>
      </c>
      <c r="L101" s="21">
        <v>3.2</v>
      </c>
      <c r="M101" s="22" t="s">
        <v>1197</v>
      </c>
      <c r="N101" s="19" t="s">
        <v>1198</v>
      </c>
      <c r="O101" s="19">
        <v>1062002</v>
      </c>
      <c r="P101" s="19">
        <v>1062003</v>
      </c>
      <c r="Q101" s="19">
        <v>1062004</v>
      </c>
      <c r="R101" s="19">
        <v>1062005</v>
      </c>
      <c r="S101" s="19">
        <v>1062006</v>
      </c>
      <c r="T101" s="19">
        <v>1062007</v>
      </c>
    </row>
    <row r="102" spans="1:20">
      <c r="A102" s="8">
        <v>10621</v>
      </c>
      <c r="B102" s="12" t="s">
        <v>636</v>
      </c>
      <c r="C102" s="10" t="s">
        <v>847</v>
      </c>
      <c r="D102" s="11" t="s">
        <v>982</v>
      </c>
      <c r="E102" s="10">
        <v>10621</v>
      </c>
      <c r="F102" s="11"/>
      <c r="G102" s="10">
        <v>10621</v>
      </c>
      <c r="H102" s="11"/>
      <c r="I102" s="17" t="s">
        <v>1195</v>
      </c>
      <c r="J102" s="19">
        <v>0.4</v>
      </c>
      <c r="K102" s="17" t="s">
        <v>1199</v>
      </c>
      <c r="L102" s="21">
        <v>3.2</v>
      </c>
      <c r="M102" s="22" t="s">
        <v>1197</v>
      </c>
      <c r="N102" s="19" t="s">
        <v>1198</v>
      </c>
      <c r="O102" s="19">
        <v>1062102</v>
      </c>
      <c r="P102" s="19">
        <v>1062103</v>
      </c>
      <c r="Q102" s="19">
        <v>1062104</v>
      </c>
      <c r="R102" s="19">
        <v>1062105</v>
      </c>
      <c r="S102" s="19">
        <v>1062106</v>
      </c>
      <c r="T102" s="19">
        <v>1062107</v>
      </c>
    </row>
    <row r="103" spans="1:20">
      <c r="A103" s="8">
        <v>10622</v>
      </c>
      <c r="B103" s="12" t="s">
        <v>848</v>
      </c>
      <c r="C103" s="10" t="s">
        <v>851</v>
      </c>
      <c r="D103" s="11"/>
      <c r="E103" s="10">
        <v>10622</v>
      </c>
      <c r="F103" s="11"/>
      <c r="G103" s="10">
        <v>10622</v>
      </c>
      <c r="H103" s="26"/>
      <c r="I103" s="17" t="s">
        <v>1195</v>
      </c>
      <c r="J103" s="19">
        <v>0.4</v>
      </c>
      <c r="K103" s="17" t="s">
        <v>1200</v>
      </c>
      <c r="L103" s="21">
        <v>2.7</v>
      </c>
      <c r="M103" s="22" t="s">
        <v>1048</v>
      </c>
      <c r="N103" s="21">
        <v>0.85</v>
      </c>
      <c r="O103" s="19">
        <v>1062202</v>
      </c>
      <c r="P103" s="19">
        <v>1062203</v>
      </c>
      <c r="Q103" s="19">
        <v>1062204</v>
      </c>
      <c r="R103" s="19">
        <v>1062205</v>
      </c>
      <c r="S103" s="19">
        <v>1062206</v>
      </c>
      <c r="T103" s="19">
        <v>1062207</v>
      </c>
    </row>
    <row r="104" spans="1:20">
      <c r="A104" s="8">
        <v>11000</v>
      </c>
      <c r="B104" s="12" t="s">
        <v>1201</v>
      </c>
      <c r="C104" s="10" t="s">
        <v>1202</v>
      </c>
      <c r="D104" s="11" t="s">
        <v>985</v>
      </c>
      <c r="E104" s="11">
        <v>11000</v>
      </c>
      <c r="F104" s="11"/>
      <c r="G104" s="11">
        <v>11000</v>
      </c>
      <c r="H104" s="26"/>
      <c r="I104" s="28" t="s">
        <v>1203</v>
      </c>
      <c r="J104" s="26"/>
      <c r="K104" s="28" t="s">
        <v>1204</v>
      </c>
      <c r="L104" s="26"/>
      <c r="M104" s="26"/>
      <c r="N104" s="26"/>
      <c r="O104" s="19">
        <v>1100002</v>
      </c>
      <c r="P104" s="19">
        <v>1100003</v>
      </c>
      <c r="Q104" s="19">
        <v>1100004</v>
      </c>
      <c r="R104" s="19">
        <v>1100005</v>
      </c>
      <c r="S104" s="19">
        <v>1100006</v>
      </c>
      <c r="T104" s="19">
        <v>1100007</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62"/>
  <sheetViews>
    <sheetView workbookViewId="0">
      <selection activeCell="H9" sqref="H9"/>
    </sheetView>
  </sheetViews>
  <sheetFormatPr defaultColWidth="9" defaultRowHeight="14.25"/>
  <sheetData>
    <row r="1" s="1" customFormat="1" ht="22.5" customHeight="1" spans="1:20">
      <c r="A1" s="2">
        <v>10060</v>
      </c>
      <c r="B1" s="2" t="s">
        <v>40</v>
      </c>
      <c r="C1" s="2"/>
      <c r="D1" s="2"/>
      <c r="E1" t="s">
        <v>41</v>
      </c>
      <c r="F1" s="2">
        <v>1</v>
      </c>
      <c r="G1" s="2"/>
      <c r="H1" s="2">
        <v>1006001</v>
      </c>
      <c r="I1" s="2">
        <v>1</v>
      </c>
      <c r="J1" s="2" t="s">
        <v>42</v>
      </c>
      <c r="K1" s="2" t="s">
        <v>43</v>
      </c>
      <c r="L1" s="2">
        <v>10060</v>
      </c>
      <c r="M1" s="2">
        <v>10060</v>
      </c>
      <c r="N1" s="2" t="s">
        <v>44</v>
      </c>
      <c r="O1" s="2">
        <v>6000</v>
      </c>
      <c r="P1" s="2">
        <v>1000</v>
      </c>
      <c r="Q1" s="2">
        <v>30000</v>
      </c>
      <c r="R1" s="2">
        <v>6000</v>
      </c>
      <c r="S1" s="2">
        <v>80</v>
      </c>
      <c r="T1" s="2" t="s">
        <v>45</v>
      </c>
    </row>
    <row r="2" s="1" customFormat="1" ht="22.5" customHeight="1" spans="1:20">
      <c r="A2" s="2">
        <v>10061</v>
      </c>
      <c r="B2" s="2" t="s">
        <v>257</v>
      </c>
      <c r="C2" s="2"/>
      <c r="D2" s="2"/>
      <c r="E2" t="s">
        <v>643</v>
      </c>
      <c r="F2" s="2">
        <v>1</v>
      </c>
      <c r="G2" s="2"/>
      <c r="H2" s="2">
        <v>1006101</v>
      </c>
      <c r="I2" s="2">
        <v>1</v>
      </c>
      <c r="J2" s="2" t="s">
        <v>261</v>
      </c>
      <c r="K2" s="2" t="s">
        <v>644</v>
      </c>
      <c r="L2" s="2">
        <v>10061</v>
      </c>
      <c r="M2" s="2">
        <v>10061</v>
      </c>
      <c r="N2" s="2" t="s">
        <v>645</v>
      </c>
      <c r="O2" s="2">
        <v>10000</v>
      </c>
      <c r="P2" s="2">
        <v>1000</v>
      </c>
      <c r="Q2" s="2">
        <v>30000</v>
      </c>
      <c r="R2" s="2">
        <v>10000</v>
      </c>
      <c r="S2" s="2">
        <v>80</v>
      </c>
      <c r="T2" s="2" t="s">
        <v>646</v>
      </c>
    </row>
    <row r="3" s="1" customFormat="1" ht="22.5" customHeight="1" spans="1:20">
      <c r="A3" s="2">
        <v>10062</v>
      </c>
      <c r="B3" s="2" t="s">
        <v>262</v>
      </c>
      <c r="C3" s="2"/>
      <c r="D3" s="2"/>
      <c r="E3" t="s">
        <v>647</v>
      </c>
      <c r="F3" s="2">
        <v>1</v>
      </c>
      <c r="G3" s="2"/>
      <c r="H3" s="2">
        <v>1006201</v>
      </c>
      <c r="I3" s="2">
        <v>1</v>
      </c>
      <c r="J3" s="2" t="s">
        <v>266</v>
      </c>
      <c r="K3" s="2" t="s">
        <v>648</v>
      </c>
      <c r="L3" s="2">
        <v>10062</v>
      </c>
      <c r="M3" s="2">
        <v>10062</v>
      </c>
      <c r="N3" s="2" t="s">
        <v>649</v>
      </c>
      <c r="O3" s="2">
        <v>15000</v>
      </c>
      <c r="P3" s="2">
        <v>1000</v>
      </c>
      <c r="Q3" s="2">
        <v>30000</v>
      </c>
      <c r="R3" s="2">
        <v>15000</v>
      </c>
      <c r="S3" s="2">
        <v>70</v>
      </c>
      <c r="T3" s="2" t="s">
        <v>650</v>
      </c>
    </row>
    <row r="4" s="1" customFormat="1" ht="22.5" customHeight="1" spans="1:20">
      <c r="A4" s="2">
        <v>10070</v>
      </c>
      <c r="B4" s="2" t="s">
        <v>267</v>
      </c>
      <c r="C4" s="2"/>
      <c r="D4" s="2"/>
      <c r="E4" t="s">
        <v>651</v>
      </c>
      <c r="F4" s="2">
        <v>1</v>
      </c>
      <c r="G4" s="2"/>
      <c r="H4" s="2">
        <v>1007001</v>
      </c>
      <c r="I4" s="2">
        <v>1</v>
      </c>
      <c r="J4" s="2" t="s">
        <v>271</v>
      </c>
      <c r="K4" s="2" t="s">
        <v>652</v>
      </c>
      <c r="L4" s="2">
        <v>10070</v>
      </c>
      <c r="M4" s="2">
        <v>10070</v>
      </c>
      <c r="N4" s="2" t="s">
        <v>653</v>
      </c>
      <c r="O4" s="2">
        <v>8000</v>
      </c>
      <c r="P4" s="2">
        <v>1000</v>
      </c>
      <c r="Q4" s="2">
        <v>30000</v>
      </c>
      <c r="R4" s="2">
        <v>8000</v>
      </c>
      <c r="S4" s="2">
        <v>80</v>
      </c>
      <c r="T4" s="2" t="s">
        <v>57</v>
      </c>
    </row>
    <row r="5" s="1" customFormat="1" ht="22.5" customHeight="1" spans="1:20">
      <c r="A5" s="2">
        <v>10071</v>
      </c>
      <c r="B5" s="2" t="s">
        <v>272</v>
      </c>
      <c r="C5" s="2"/>
      <c r="D5" s="2"/>
      <c r="E5" t="s">
        <v>654</v>
      </c>
      <c r="F5" s="2">
        <v>1</v>
      </c>
      <c r="G5" s="2"/>
      <c r="H5" s="2">
        <v>1007101</v>
      </c>
      <c r="I5" s="2">
        <v>1</v>
      </c>
      <c r="J5" s="2" t="s">
        <v>276</v>
      </c>
      <c r="K5" s="2" t="s">
        <v>655</v>
      </c>
      <c r="L5" s="2">
        <v>10071</v>
      </c>
      <c r="M5" s="2">
        <v>10071</v>
      </c>
      <c r="N5" s="2" t="s">
        <v>656</v>
      </c>
      <c r="O5" s="2">
        <v>15000</v>
      </c>
      <c r="P5" s="2">
        <v>1000</v>
      </c>
      <c r="Q5" s="2">
        <v>30000</v>
      </c>
      <c r="R5" s="2">
        <v>15000</v>
      </c>
      <c r="S5" s="2">
        <v>70</v>
      </c>
      <c r="T5" s="2" t="s">
        <v>57</v>
      </c>
    </row>
    <row r="6" s="1" customFormat="1" ht="22.5" customHeight="1" spans="1:20">
      <c r="A6" s="2">
        <v>10090</v>
      </c>
      <c r="B6" s="2" t="s">
        <v>46</v>
      </c>
      <c r="C6" s="2"/>
      <c r="D6" s="2"/>
      <c r="E6" t="s">
        <v>47</v>
      </c>
      <c r="F6" s="2">
        <v>1</v>
      </c>
      <c r="G6" s="2"/>
      <c r="H6" s="2">
        <v>1009001</v>
      </c>
      <c r="I6" s="2">
        <v>1</v>
      </c>
      <c r="J6" s="2" t="s">
        <v>48</v>
      </c>
      <c r="K6" s="2" t="s">
        <v>49</v>
      </c>
      <c r="L6" s="2">
        <v>10090</v>
      </c>
      <c r="M6" s="2">
        <v>10090</v>
      </c>
      <c r="N6" s="2" t="s">
        <v>50</v>
      </c>
      <c r="O6" s="2">
        <v>10000</v>
      </c>
      <c r="P6" s="2">
        <v>1000</v>
      </c>
      <c r="Q6" s="2">
        <v>30000</v>
      </c>
      <c r="R6" s="2">
        <v>10000</v>
      </c>
      <c r="S6" s="2">
        <v>80</v>
      </c>
      <c r="T6" s="2" t="s">
        <v>51</v>
      </c>
    </row>
    <row r="7" s="1" customFormat="1" ht="22.5" customHeight="1" spans="1:20">
      <c r="A7" s="2">
        <v>10091</v>
      </c>
      <c r="B7" s="2" t="s">
        <v>279</v>
      </c>
      <c r="C7" s="2"/>
      <c r="D7" s="2"/>
      <c r="E7" t="s">
        <v>657</v>
      </c>
      <c r="F7" s="2">
        <v>1</v>
      </c>
      <c r="G7" s="2"/>
      <c r="H7" s="2">
        <v>1009101</v>
      </c>
      <c r="I7" s="2">
        <v>1</v>
      </c>
      <c r="J7" s="2" t="s">
        <v>283</v>
      </c>
      <c r="K7" s="2" t="s">
        <v>658</v>
      </c>
      <c r="L7" s="2">
        <v>10091</v>
      </c>
      <c r="M7" s="2">
        <v>10091</v>
      </c>
      <c r="N7" s="2" t="s">
        <v>659</v>
      </c>
      <c r="O7" s="2">
        <v>12000</v>
      </c>
      <c r="P7" s="2">
        <v>1000</v>
      </c>
      <c r="Q7" s="2">
        <v>30000</v>
      </c>
      <c r="R7" s="2">
        <v>12000</v>
      </c>
      <c r="S7" s="2">
        <v>80</v>
      </c>
      <c r="T7" s="2" t="s">
        <v>660</v>
      </c>
    </row>
    <row r="8" s="1" customFormat="1" ht="22.5" customHeight="1" spans="1:20">
      <c r="A8" s="2">
        <v>10102</v>
      </c>
      <c r="B8" s="2" t="s">
        <v>290</v>
      </c>
      <c r="C8" s="2"/>
      <c r="D8" s="2"/>
      <c r="E8" t="s">
        <v>662</v>
      </c>
      <c r="F8" s="2">
        <v>1</v>
      </c>
      <c r="G8" s="2"/>
      <c r="H8" s="2">
        <v>1010201</v>
      </c>
      <c r="I8" s="2">
        <v>1</v>
      </c>
      <c r="J8" s="2" t="s">
        <v>294</v>
      </c>
      <c r="K8" s="2" t="s">
        <v>663</v>
      </c>
      <c r="L8" s="2">
        <v>10102</v>
      </c>
      <c r="M8" s="2">
        <v>10102</v>
      </c>
      <c r="N8" s="2" t="s">
        <v>664</v>
      </c>
      <c r="O8" s="2">
        <v>20000</v>
      </c>
      <c r="P8" s="2">
        <v>1000</v>
      </c>
      <c r="Q8" s="2">
        <v>30000</v>
      </c>
      <c r="R8" s="2">
        <v>20000</v>
      </c>
      <c r="S8" s="2">
        <v>70</v>
      </c>
      <c r="T8" s="2" t="s">
        <v>665</v>
      </c>
    </row>
    <row r="9" s="1" customFormat="1" ht="22.5" customHeight="1" spans="1:20">
      <c r="A9" s="2">
        <v>10121</v>
      </c>
      <c r="B9" s="2" t="s">
        <v>303</v>
      </c>
      <c r="C9" s="2"/>
      <c r="D9" s="2"/>
      <c r="E9" t="s">
        <v>667</v>
      </c>
      <c r="F9" s="2">
        <v>1</v>
      </c>
      <c r="G9" s="2"/>
      <c r="H9" s="2">
        <v>1012101</v>
      </c>
      <c r="I9" s="2">
        <v>1</v>
      </c>
      <c r="J9" s="2" t="s">
        <v>306</v>
      </c>
      <c r="K9" s="2" t="s">
        <v>668</v>
      </c>
      <c r="L9" s="2">
        <v>10121</v>
      </c>
      <c r="M9" s="2">
        <v>10121</v>
      </c>
      <c r="N9" s="2" t="s">
        <v>669</v>
      </c>
      <c r="O9" s="2">
        <v>15000</v>
      </c>
      <c r="P9" s="2">
        <v>1000</v>
      </c>
      <c r="Q9" s="2">
        <v>30000</v>
      </c>
      <c r="R9" s="2">
        <v>15000</v>
      </c>
      <c r="S9" s="2">
        <v>70</v>
      </c>
      <c r="T9" s="2" t="s">
        <v>665</v>
      </c>
    </row>
    <row r="10" s="1" customFormat="1" ht="22.5" customHeight="1" spans="1:20">
      <c r="A10" s="2">
        <v>10122</v>
      </c>
      <c r="B10" s="2" t="s">
        <v>307</v>
      </c>
      <c r="C10" s="2"/>
      <c r="D10" s="2"/>
      <c r="E10" t="s">
        <v>670</v>
      </c>
      <c r="F10" s="2">
        <v>1</v>
      </c>
      <c r="G10" s="2"/>
      <c r="H10" s="2">
        <v>1012201</v>
      </c>
      <c r="I10" s="2">
        <v>1</v>
      </c>
      <c r="J10" s="2" t="s">
        <v>310</v>
      </c>
      <c r="K10" s="2" t="s">
        <v>671</v>
      </c>
      <c r="L10" s="2">
        <v>10122</v>
      </c>
      <c r="M10" s="2">
        <v>10122</v>
      </c>
      <c r="N10" s="2" t="s">
        <v>672</v>
      </c>
      <c r="O10" s="2">
        <v>20000</v>
      </c>
      <c r="P10" s="2">
        <v>1000</v>
      </c>
      <c r="Q10" s="2">
        <v>30000</v>
      </c>
      <c r="R10" s="2">
        <v>20000</v>
      </c>
      <c r="S10" s="2">
        <v>70</v>
      </c>
      <c r="T10" s="2" t="s">
        <v>665</v>
      </c>
    </row>
    <row r="11" s="1" customFormat="1" ht="22.5" customHeight="1" spans="1:20">
      <c r="A11" s="2">
        <v>10141</v>
      </c>
      <c r="B11" s="2" t="s">
        <v>318</v>
      </c>
      <c r="C11" s="2"/>
      <c r="D11" s="2"/>
      <c r="E11" t="s">
        <v>674</v>
      </c>
      <c r="F11" s="2">
        <v>1</v>
      </c>
      <c r="G11" s="2"/>
      <c r="H11" s="2">
        <v>1014101</v>
      </c>
      <c r="I11" s="2">
        <v>1</v>
      </c>
      <c r="J11" s="2" t="s">
        <v>322</v>
      </c>
      <c r="K11" s="2" t="s">
        <v>675</v>
      </c>
      <c r="L11" s="2">
        <v>10141</v>
      </c>
      <c r="M11" s="2">
        <v>10141</v>
      </c>
      <c r="N11" s="2" t="s">
        <v>676</v>
      </c>
      <c r="O11" s="2">
        <v>20000</v>
      </c>
      <c r="P11" s="2">
        <v>1000</v>
      </c>
      <c r="Q11" s="2">
        <v>30000</v>
      </c>
      <c r="R11" s="2">
        <v>20000</v>
      </c>
      <c r="S11" s="2">
        <v>70</v>
      </c>
      <c r="T11" s="2" t="s">
        <v>57</v>
      </c>
    </row>
    <row r="12" s="1" customFormat="1" ht="22.5" customHeight="1" spans="1:20">
      <c r="A12" s="2">
        <v>10150</v>
      </c>
      <c r="B12" s="2" t="s">
        <v>323</v>
      </c>
      <c r="C12" s="2"/>
      <c r="D12" s="2"/>
      <c r="E12" t="s">
        <v>677</v>
      </c>
      <c r="F12" s="2">
        <v>1</v>
      </c>
      <c r="G12" s="2"/>
      <c r="H12" s="2">
        <v>1015001</v>
      </c>
      <c r="I12" s="2">
        <v>1</v>
      </c>
      <c r="J12" s="2" t="s">
        <v>327</v>
      </c>
      <c r="K12" s="2" t="s">
        <v>678</v>
      </c>
      <c r="L12" s="2">
        <v>10150</v>
      </c>
      <c r="M12" s="2">
        <v>10150</v>
      </c>
      <c r="N12" s="2" t="s">
        <v>679</v>
      </c>
      <c r="O12" s="2">
        <v>8000</v>
      </c>
      <c r="P12" s="2">
        <v>1000</v>
      </c>
      <c r="Q12" s="2">
        <v>30000</v>
      </c>
      <c r="R12" s="2">
        <v>8000</v>
      </c>
      <c r="S12" s="2">
        <v>80</v>
      </c>
      <c r="T12" s="2" t="s">
        <v>680</v>
      </c>
    </row>
    <row r="13" s="1" customFormat="1" ht="22.5" customHeight="1" spans="1:20">
      <c r="A13" s="2">
        <v>10151</v>
      </c>
      <c r="B13" s="2" t="s">
        <v>328</v>
      </c>
      <c r="C13" s="2"/>
      <c r="D13" s="2"/>
      <c r="E13" t="s">
        <v>681</v>
      </c>
      <c r="F13" s="2">
        <v>1</v>
      </c>
      <c r="G13" s="2"/>
      <c r="H13" s="2">
        <v>1015101</v>
      </c>
      <c r="I13" s="2">
        <v>1</v>
      </c>
      <c r="J13" s="2" t="s">
        <v>332</v>
      </c>
      <c r="K13" s="2" t="s">
        <v>682</v>
      </c>
      <c r="L13" s="2">
        <v>10151</v>
      </c>
      <c r="M13" s="2">
        <v>10151</v>
      </c>
      <c r="N13" s="2" t="s">
        <v>683</v>
      </c>
      <c r="O13" s="2">
        <v>20000</v>
      </c>
      <c r="P13" s="2">
        <v>1000</v>
      </c>
      <c r="Q13" s="2">
        <v>30000</v>
      </c>
      <c r="R13" s="2">
        <v>20000</v>
      </c>
      <c r="S13" s="2">
        <v>70</v>
      </c>
      <c r="T13" s="2" t="s">
        <v>684</v>
      </c>
    </row>
    <row r="14" s="2" customFormat="1" ht="22.5" customHeight="1" spans="1:20">
      <c r="A14" s="2">
        <v>10170</v>
      </c>
      <c r="B14" s="2" t="s">
        <v>340</v>
      </c>
      <c r="E14" t="s">
        <v>685</v>
      </c>
      <c r="F14" s="2">
        <v>1</v>
      </c>
      <c r="H14" s="2">
        <v>1017001</v>
      </c>
      <c r="I14" s="2">
        <v>1</v>
      </c>
      <c r="J14" s="2" t="s">
        <v>344</v>
      </c>
      <c r="K14" s="2" t="s">
        <v>686</v>
      </c>
      <c r="L14" s="2">
        <v>10170</v>
      </c>
      <c r="M14" s="2">
        <v>10170</v>
      </c>
      <c r="N14" s="2" t="s">
        <v>687</v>
      </c>
      <c r="O14" s="2">
        <v>10000</v>
      </c>
      <c r="P14" s="2">
        <v>1000</v>
      </c>
      <c r="Q14" s="2">
        <v>30000</v>
      </c>
      <c r="R14" s="2">
        <v>10000</v>
      </c>
      <c r="S14" s="2">
        <v>80</v>
      </c>
      <c r="T14" s="2" t="s">
        <v>114</v>
      </c>
    </row>
    <row r="15" s="2" customFormat="1" ht="22.5" customHeight="1" spans="1:20">
      <c r="A15" s="2">
        <v>10171</v>
      </c>
      <c r="B15" s="2" t="s">
        <v>345</v>
      </c>
      <c r="E15" t="s">
        <v>688</v>
      </c>
      <c r="F15" s="2">
        <v>1</v>
      </c>
      <c r="H15" s="2">
        <v>1017101</v>
      </c>
      <c r="I15" s="2">
        <v>1</v>
      </c>
      <c r="J15" s="2" t="s">
        <v>349</v>
      </c>
      <c r="K15" s="2" t="s">
        <v>689</v>
      </c>
      <c r="L15" s="2">
        <v>10171</v>
      </c>
      <c r="M15" s="2">
        <v>10171</v>
      </c>
      <c r="N15" s="2" t="s">
        <v>690</v>
      </c>
      <c r="O15" s="2">
        <v>12000</v>
      </c>
      <c r="P15" s="2">
        <v>1000</v>
      </c>
      <c r="Q15" s="2">
        <v>30000</v>
      </c>
      <c r="R15" s="2">
        <v>12000</v>
      </c>
      <c r="S15" s="2">
        <v>80</v>
      </c>
      <c r="T15" s="2" t="s">
        <v>114</v>
      </c>
    </row>
    <row r="16" s="2" customFormat="1" ht="22.5" customHeight="1" spans="1:20">
      <c r="A16" s="2">
        <v>10180</v>
      </c>
      <c r="B16" s="2" t="s">
        <v>350</v>
      </c>
      <c r="E16" t="s">
        <v>691</v>
      </c>
      <c r="F16" s="2">
        <v>1</v>
      </c>
      <c r="H16" s="2">
        <v>1018001</v>
      </c>
      <c r="I16" s="2">
        <v>1</v>
      </c>
      <c r="J16" s="2" t="s">
        <v>354</v>
      </c>
      <c r="K16" s="2" t="s">
        <v>692</v>
      </c>
      <c r="L16" s="2">
        <v>10180</v>
      </c>
      <c r="M16" s="2">
        <v>10180</v>
      </c>
      <c r="N16" s="2" t="s">
        <v>693</v>
      </c>
      <c r="O16" s="2">
        <v>10000</v>
      </c>
      <c r="P16" s="2">
        <v>1000</v>
      </c>
      <c r="Q16" s="2">
        <v>30000</v>
      </c>
      <c r="R16" s="2">
        <v>10000</v>
      </c>
      <c r="S16" s="2">
        <v>80</v>
      </c>
      <c r="T16" s="2" t="s">
        <v>694</v>
      </c>
    </row>
    <row r="17" s="2" customFormat="1" ht="22.5" customHeight="1" spans="1:20">
      <c r="A17" s="2">
        <v>10181</v>
      </c>
      <c r="B17" s="2" t="s">
        <v>355</v>
      </c>
      <c r="E17" t="s">
        <v>695</v>
      </c>
      <c r="F17" s="2">
        <v>1</v>
      </c>
      <c r="H17" s="2">
        <v>1018001</v>
      </c>
      <c r="I17" s="2">
        <v>1</v>
      </c>
      <c r="J17" s="2" t="s">
        <v>359</v>
      </c>
      <c r="K17" s="2" t="s">
        <v>696</v>
      </c>
      <c r="L17" s="2">
        <v>10181</v>
      </c>
      <c r="M17" s="2">
        <v>10181</v>
      </c>
      <c r="N17" s="2" t="s">
        <v>697</v>
      </c>
      <c r="O17" s="2">
        <v>20000</v>
      </c>
      <c r="P17" s="2">
        <v>1000</v>
      </c>
      <c r="Q17" s="2">
        <v>30000</v>
      </c>
      <c r="R17" s="2">
        <v>20000</v>
      </c>
      <c r="S17" s="2">
        <v>70</v>
      </c>
      <c r="T17" s="2" t="s">
        <v>114</v>
      </c>
    </row>
    <row r="18" s="2" customFormat="1" ht="22.5" customHeight="1" spans="1:20">
      <c r="A18" s="2">
        <v>10182</v>
      </c>
      <c r="B18" s="2" t="s">
        <v>698</v>
      </c>
      <c r="E18" t="s">
        <v>699</v>
      </c>
      <c r="F18" s="2">
        <v>1</v>
      </c>
      <c r="H18" s="2">
        <v>1018001</v>
      </c>
      <c r="I18" s="2">
        <v>1</v>
      </c>
      <c r="J18" s="2" t="s">
        <v>359</v>
      </c>
      <c r="K18" s="2" t="s">
        <v>700</v>
      </c>
      <c r="L18" s="2">
        <v>10182</v>
      </c>
      <c r="M18" s="2">
        <v>10182</v>
      </c>
      <c r="N18" s="2" t="s">
        <v>701</v>
      </c>
      <c r="O18" s="2">
        <v>30000</v>
      </c>
      <c r="P18" s="2">
        <v>1000</v>
      </c>
      <c r="Q18" s="2">
        <v>30000</v>
      </c>
      <c r="R18" s="2">
        <v>30000</v>
      </c>
      <c r="S18" s="2">
        <v>70</v>
      </c>
      <c r="T18" s="2" t="s">
        <v>114</v>
      </c>
    </row>
    <row r="19" s="2" customFormat="1" ht="22.5" customHeight="1" spans="1:20">
      <c r="A19" s="2">
        <v>10192</v>
      </c>
      <c r="B19" s="2" t="s">
        <v>366</v>
      </c>
      <c r="E19" t="s">
        <v>702</v>
      </c>
      <c r="F19" s="2">
        <v>1</v>
      </c>
      <c r="H19" s="2">
        <v>1019201</v>
      </c>
      <c r="I19" s="2">
        <v>2</v>
      </c>
      <c r="J19" s="2" t="s">
        <v>370</v>
      </c>
      <c r="K19" s="2" t="s">
        <v>703</v>
      </c>
      <c r="L19" s="2">
        <v>10192</v>
      </c>
      <c r="M19" s="2">
        <v>10192</v>
      </c>
      <c r="N19" s="2" t="s">
        <v>704</v>
      </c>
      <c r="O19" s="2">
        <v>30000</v>
      </c>
      <c r="P19" s="2">
        <v>1000</v>
      </c>
      <c r="Q19" s="2">
        <v>30000</v>
      </c>
      <c r="R19" s="2">
        <v>30000</v>
      </c>
      <c r="S19" s="2">
        <v>70</v>
      </c>
      <c r="T19" s="2" t="s">
        <v>114</v>
      </c>
    </row>
    <row r="20" s="2" customFormat="1" ht="22.5" customHeight="1" spans="1:20">
      <c r="A20" s="2">
        <v>10210</v>
      </c>
      <c r="B20" s="2" t="s">
        <v>371</v>
      </c>
      <c r="E20" t="s">
        <v>705</v>
      </c>
      <c r="F20" s="2">
        <v>1</v>
      </c>
      <c r="H20" s="2">
        <v>1021001</v>
      </c>
      <c r="I20" s="2">
        <v>2</v>
      </c>
      <c r="J20" s="2" t="s">
        <v>375</v>
      </c>
      <c r="K20" s="2" t="s">
        <v>706</v>
      </c>
      <c r="L20" s="2">
        <v>10210</v>
      </c>
      <c r="M20" s="2">
        <v>10210</v>
      </c>
      <c r="N20" s="2" t="s">
        <v>707</v>
      </c>
      <c r="O20" s="2">
        <v>10000</v>
      </c>
      <c r="P20" s="2">
        <v>1000</v>
      </c>
      <c r="Q20" s="2">
        <v>30000</v>
      </c>
      <c r="R20" s="2">
        <v>10000</v>
      </c>
      <c r="S20" s="2">
        <v>80</v>
      </c>
      <c r="T20" s="2" t="s">
        <v>708</v>
      </c>
    </row>
    <row r="21" s="2" customFormat="1" ht="22.5" customHeight="1" spans="1:20">
      <c r="A21" s="2">
        <v>10211</v>
      </c>
      <c r="B21" s="2" t="s">
        <v>376</v>
      </c>
      <c r="E21" t="s">
        <v>709</v>
      </c>
      <c r="F21" s="2">
        <v>1</v>
      </c>
      <c r="H21" s="2">
        <v>1021101</v>
      </c>
      <c r="I21" s="2">
        <v>2</v>
      </c>
      <c r="J21" s="2" t="s">
        <v>380</v>
      </c>
      <c r="K21" s="2" t="s">
        <v>710</v>
      </c>
      <c r="L21" s="2">
        <v>10211</v>
      </c>
      <c r="M21" s="2">
        <v>10211</v>
      </c>
      <c r="N21" s="2" t="s">
        <v>711</v>
      </c>
      <c r="O21" s="2">
        <v>20000</v>
      </c>
      <c r="P21" s="2">
        <v>1000</v>
      </c>
      <c r="Q21" s="2">
        <v>30000</v>
      </c>
      <c r="R21" s="2">
        <v>20000</v>
      </c>
      <c r="S21" s="2">
        <v>70</v>
      </c>
      <c r="T21" s="2" t="s">
        <v>712</v>
      </c>
    </row>
    <row r="22" s="2" customFormat="1" ht="22.5" customHeight="1" spans="1:20">
      <c r="A22" s="2">
        <v>10220</v>
      </c>
      <c r="B22" s="2" t="s">
        <v>381</v>
      </c>
      <c r="E22" t="s">
        <v>713</v>
      </c>
      <c r="F22" s="2">
        <v>1</v>
      </c>
      <c r="H22" s="2">
        <v>1022001</v>
      </c>
      <c r="I22" s="2">
        <v>2</v>
      </c>
      <c r="J22" s="2" t="s">
        <v>385</v>
      </c>
      <c r="K22" s="2" t="s">
        <v>714</v>
      </c>
      <c r="L22" s="2">
        <v>10220</v>
      </c>
      <c r="M22" s="2">
        <v>10220</v>
      </c>
      <c r="N22" s="2" t="s">
        <v>715</v>
      </c>
      <c r="O22" s="2">
        <v>6000</v>
      </c>
      <c r="P22" s="2">
        <v>1000</v>
      </c>
      <c r="Q22" s="2">
        <v>30000</v>
      </c>
      <c r="R22" s="2">
        <v>6000</v>
      </c>
      <c r="S22" s="2">
        <v>80</v>
      </c>
      <c r="T22" s="2" t="s">
        <v>708</v>
      </c>
    </row>
    <row r="23" s="2" customFormat="1" ht="22.5" customHeight="1" spans="1:20">
      <c r="A23" s="2">
        <v>10221</v>
      </c>
      <c r="B23" s="2" t="s">
        <v>386</v>
      </c>
      <c r="E23" t="s">
        <v>716</v>
      </c>
      <c r="F23" s="2">
        <v>1</v>
      </c>
      <c r="H23" s="2">
        <v>1022101</v>
      </c>
      <c r="I23" s="2">
        <v>2</v>
      </c>
      <c r="J23" s="2" t="s">
        <v>390</v>
      </c>
      <c r="K23" s="2" t="s">
        <v>717</v>
      </c>
      <c r="L23" s="2">
        <v>10221</v>
      </c>
      <c r="M23" s="2">
        <v>10221</v>
      </c>
      <c r="N23" s="2" t="s">
        <v>718</v>
      </c>
      <c r="O23" s="2">
        <v>12000</v>
      </c>
      <c r="P23" s="2">
        <v>1000</v>
      </c>
      <c r="Q23" s="2">
        <v>30000</v>
      </c>
      <c r="R23" s="2">
        <v>12000</v>
      </c>
      <c r="S23" s="2">
        <v>80</v>
      </c>
      <c r="T23" s="2" t="s">
        <v>712</v>
      </c>
    </row>
    <row r="24" s="2" customFormat="1" ht="22.5" customHeight="1" spans="1:20">
      <c r="A24" s="2">
        <v>10230</v>
      </c>
      <c r="B24" s="2" t="s">
        <v>391</v>
      </c>
      <c r="E24" t="s">
        <v>719</v>
      </c>
      <c r="F24" s="2">
        <v>1</v>
      </c>
      <c r="H24" s="2">
        <v>1023001</v>
      </c>
      <c r="I24" s="2">
        <v>2</v>
      </c>
      <c r="J24" s="2" t="s">
        <v>395</v>
      </c>
      <c r="K24" s="2" t="s">
        <v>720</v>
      </c>
      <c r="L24" s="2">
        <v>10230</v>
      </c>
      <c r="M24" s="2">
        <v>10230</v>
      </c>
      <c r="N24" s="2" t="s">
        <v>721</v>
      </c>
      <c r="O24" s="2">
        <v>10000</v>
      </c>
      <c r="P24" s="2">
        <v>1000</v>
      </c>
      <c r="Q24" s="2">
        <v>30000</v>
      </c>
      <c r="R24" s="2">
        <v>10000</v>
      </c>
      <c r="S24" s="2">
        <v>80</v>
      </c>
      <c r="T24" s="2" t="s">
        <v>80</v>
      </c>
    </row>
    <row r="25" s="2" customFormat="1" ht="22.5" customHeight="1" spans="1:20">
      <c r="A25" s="2">
        <v>10231</v>
      </c>
      <c r="B25" s="2" t="s">
        <v>396</v>
      </c>
      <c r="E25" t="s">
        <v>722</v>
      </c>
      <c r="F25" s="2">
        <v>1</v>
      </c>
      <c r="H25" s="2">
        <v>1023101</v>
      </c>
      <c r="I25" s="2">
        <v>2</v>
      </c>
      <c r="J25" s="2" t="s">
        <v>400</v>
      </c>
      <c r="K25" s="2" t="s">
        <v>723</v>
      </c>
      <c r="L25" s="2">
        <v>10231</v>
      </c>
      <c r="M25" s="2">
        <v>10231</v>
      </c>
      <c r="N25" s="2" t="s">
        <v>724</v>
      </c>
      <c r="O25" s="2">
        <v>15000</v>
      </c>
      <c r="P25" s="2">
        <v>1000</v>
      </c>
      <c r="Q25" s="2">
        <v>30000</v>
      </c>
      <c r="R25" s="2">
        <v>15000</v>
      </c>
      <c r="S25" s="2">
        <v>70</v>
      </c>
      <c r="T25" s="2" t="s">
        <v>114</v>
      </c>
    </row>
    <row r="26" s="2" customFormat="1" ht="22.5" customHeight="1" spans="1:20">
      <c r="A26" s="2">
        <v>10250</v>
      </c>
      <c r="B26" s="2" t="s">
        <v>725</v>
      </c>
      <c r="E26" t="s">
        <v>726</v>
      </c>
      <c r="F26" s="2">
        <v>1</v>
      </c>
      <c r="H26" s="2">
        <v>1025001</v>
      </c>
      <c r="I26" s="2">
        <v>2</v>
      </c>
      <c r="J26" s="2" t="s">
        <v>405</v>
      </c>
      <c r="K26" s="2" t="s">
        <v>727</v>
      </c>
      <c r="L26" s="2">
        <v>10250</v>
      </c>
      <c r="M26" s="2">
        <v>10250</v>
      </c>
      <c r="N26" s="2" t="s">
        <v>728</v>
      </c>
      <c r="O26" s="2">
        <v>10000</v>
      </c>
      <c r="P26" s="2">
        <v>1000</v>
      </c>
      <c r="Q26" s="2">
        <v>30000</v>
      </c>
      <c r="R26" s="2">
        <v>10000</v>
      </c>
      <c r="S26" s="2">
        <v>80</v>
      </c>
      <c r="T26" s="2" t="s">
        <v>80</v>
      </c>
    </row>
    <row r="27" s="2" customFormat="1" ht="22.5" customHeight="1" spans="1:20">
      <c r="A27" s="2">
        <v>10251</v>
      </c>
      <c r="B27" s="2" t="s">
        <v>406</v>
      </c>
      <c r="E27" t="s">
        <v>729</v>
      </c>
      <c r="F27" s="2">
        <v>1</v>
      </c>
      <c r="H27" s="2">
        <v>1025101</v>
      </c>
      <c r="I27" s="2">
        <v>2</v>
      </c>
      <c r="J27" s="2" t="s">
        <v>410</v>
      </c>
      <c r="K27" s="2" t="s">
        <v>730</v>
      </c>
      <c r="L27" s="2">
        <v>10251</v>
      </c>
      <c r="M27" s="2">
        <v>10251</v>
      </c>
      <c r="N27" s="2" t="s">
        <v>731</v>
      </c>
      <c r="O27" s="2">
        <v>12000</v>
      </c>
      <c r="P27" s="2">
        <v>1000</v>
      </c>
      <c r="Q27" s="2">
        <v>30000</v>
      </c>
      <c r="R27" s="2">
        <v>12000</v>
      </c>
      <c r="S27" s="2">
        <v>80</v>
      </c>
      <c r="T27" s="2" t="s">
        <v>80</v>
      </c>
    </row>
    <row r="28" s="2" customFormat="1" ht="22.5" customHeight="1" spans="1:20">
      <c r="A28" s="2">
        <v>10270</v>
      </c>
      <c r="B28" s="2" t="s">
        <v>414</v>
      </c>
      <c r="E28" t="s">
        <v>732</v>
      </c>
      <c r="F28" s="2">
        <v>1</v>
      </c>
      <c r="H28" s="2">
        <v>1027001</v>
      </c>
      <c r="I28" s="2">
        <v>2</v>
      </c>
      <c r="J28" s="2" t="s">
        <v>418</v>
      </c>
      <c r="K28" s="2" t="s">
        <v>733</v>
      </c>
      <c r="L28" s="2">
        <v>10270</v>
      </c>
      <c r="M28" s="2">
        <v>10270</v>
      </c>
      <c r="N28" s="2" t="s">
        <v>734</v>
      </c>
      <c r="O28" s="2">
        <v>10000</v>
      </c>
      <c r="P28" s="2">
        <v>1000</v>
      </c>
      <c r="Q28" s="2">
        <v>30000</v>
      </c>
      <c r="R28" s="2">
        <v>10000</v>
      </c>
      <c r="S28" s="2">
        <v>80</v>
      </c>
      <c r="T28" s="2" t="s">
        <v>80</v>
      </c>
    </row>
    <row r="29" s="2" customFormat="1" ht="22.5" customHeight="1" spans="1:20">
      <c r="A29" s="2">
        <v>10271</v>
      </c>
      <c r="B29" s="2" t="s">
        <v>419</v>
      </c>
      <c r="E29" t="s">
        <v>735</v>
      </c>
      <c r="F29" s="2">
        <v>1</v>
      </c>
      <c r="H29" s="2">
        <v>1027101</v>
      </c>
      <c r="I29" s="2">
        <v>2</v>
      </c>
      <c r="J29" s="2" t="s">
        <v>423</v>
      </c>
      <c r="K29" s="2" t="s">
        <v>736</v>
      </c>
      <c r="L29" s="2">
        <v>10271</v>
      </c>
      <c r="M29" s="2">
        <v>10271</v>
      </c>
      <c r="N29" s="2" t="s">
        <v>737</v>
      </c>
      <c r="O29" s="2">
        <v>15000</v>
      </c>
      <c r="P29" s="2">
        <v>1000</v>
      </c>
      <c r="Q29" s="2">
        <v>30000</v>
      </c>
      <c r="R29" s="2">
        <v>15000</v>
      </c>
      <c r="S29" s="2">
        <v>70</v>
      </c>
      <c r="T29" s="2" t="s">
        <v>80</v>
      </c>
    </row>
    <row r="30" s="2" customFormat="1" ht="22.5" customHeight="1" spans="1:20">
      <c r="A30" s="2">
        <v>10272</v>
      </c>
      <c r="B30" s="2" t="s">
        <v>738</v>
      </c>
      <c r="E30" t="s">
        <v>739</v>
      </c>
      <c r="F30" s="2">
        <v>1</v>
      </c>
      <c r="H30" s="2">
        <v>1027101</v>
      </c>
      <c r="I30" s="2">
        <v>2</v>
      </c>
      <c r="J30" s="2" t="s">
        <v>423</v>
      </c>
      <c r="K30" s="2" t="s">
        <v>740</v>
      </c>
      <c r="L30" s="2">
        <v>10272</v>
      </c>
      <c r="M30" s="2">
        <v>10272</v>
      </c>
      <c r="N30" s="2" t="s">
        <v>741</v>
      </c>
      <c r="O30" s="2">
        <v>30000</v>
      </c>
      <c r="P30" s="2">
        <v>1000</v>
      </c>
      <c r="Q30" s="2">
        <v>30000</v>
      </c>
      <c r="R30" s="2">
        <v>30000</v>
      </c>
      <c r="S30" s="2">
        <v>70</v>
      </c>
      <c r="T30" s="2" t="s">
        <v>80</v>
      </c>
    </row>
    <row r="31" s="2" customFormat="1" ht="22.5" customHeight="1" spans="1:20">
      <c r="A31" s="2">
        <v>10300</v>
      </c>
      <c r="B31" s="2" t="s">
        <v>424</v>
      </c>
      <c r="E31" t="s">
        <v>742</v>
      </c>
      <c r="F31" s="2">
        <v>1</v>
      </c>
      <c r="H31" s="2">
        <v>1030001</v>
      </c>
      <c r="I31" s="2">
        <v>2</v>
      </c>
      <c r="J31" s="2" t="s">
        <v>428</v>
      </c>
      <c r="K31" s="2" t="s">
        <v>743</v>
      </c>
      <c r="L31" s="2">
        <v>10300</v>
      </c>
      <c r="M31" s="2">
        <v>10300</v>
      </c>
      <c r="N31" s="2" t="s">
        <v>744</v>
      </c>
      <c r="O31" s="2">
        <v>6000</v>
      </c>
      <c r="P31" s="2">
        <v>1000</v>
      </c>
      <c r="Q31" s="2">
        <v>30000</v>
      </c>
      <c r="R31" s="2">
        <v>6000</v>
      </c>
      <c r="S31" s="2">
        <v>80</v>
      </c>
      <c r="T31" s="2" t="s">
        <v>745</v>
      </c>
    </row>
    <row r="32" s="2" customFormat="1" ht="22.5" customHeight="1" spans="1:20">
      <c r="A32" s="2">
        <v>10301</v>
      </c>
      <c r="B32" s="2" t="s">
        <v>125</v>
      </c>
      <c r="E32" t="s">
        <v>126</v>
      </c>
      <c r="F32" s="2">
        <v>1</v>
      </c>
      <c r="H32" s="2">
        <v>1030101</v>
      </c>
      <c r="I32" s="2">
        <v>2</v>
      </c>
      <c r="J32" s="2" t="s">
        <v>127</v>
      </c>
      <c r="K32" s="2" t="s">
        <v>128</v>
      </c>
      <c r="L32" s="2">
        <v>10301</v>
      </c>
      <c r="M32" s="2">
        <v>10301</v>
      </c>
      <c r="N32" s="2" t="s">
        <v>129</v>
      </c>
      <c r="O32" s="2">
        <v>8000</v>
      </c>
      <c r="P32" s="2">
        <v>1000</v>
      </c>
      <c r="Q32" s="2">
        <v>30000</v>
      </c>
      <c r="R32" s="2">
        <v>8000</v>
      </c>
      <c r="S32" s="2">
        <v>80</v>
      </c>
      <c r="T32" s="2" t="s">
        <v>130</v>
      </c>
    </row>
    <row r="33" s="2" customFormat="1" ht="22.5" customHeight="1" spans="1:20">
      <c r="A33" s="2">
        <v>10320</v>
      </c>
      <c r="B33" s="2" t="s">
        <v>432</v>
      </c>
      <c r="E33" t="s">
        <v>746</v>
      </c>
      <c r="F33" s="2">
        <v>1</v>
      </c>
      <c r="H33" s="2">
        <v>1032001</v>
      </c>
      <c r="I33" s="2">
        <v>2</v>
      </c>
      <c r="J33" s="2" t="s">
        <v>436</v>
      </c>
      <c r="K33" s="2" t="s">
        <v>747</v>
      </c>
      <c r="L33" s="2">
        <v>10320</v>
      </c>
      <c r="M33" s="2">
        <v>10320</v>
      </c>
      <c r="N33" s="2" t="s">
        <v>748</v>
      </c>
      <c r="O33" s="2">
        <v>8000</v>
      </c>
      <c r="P33" s="2">
        <v>1000</v>
      </c>
      <c r="Q33" s="2">
        <v>30000</v>
      </c>
      <c r="R33" s="2">
        <v>8000</v>
      </c>
      <c r="S33" s="2">
        <v>80</v>
      </c>
      <c r="T33" s="2" t="s">
        <v>80</v>
      </c>
    </row>
    <row r="34" s="2" customFormat="1" ht="22.5" customHeight="1" spans="1:20">
      <c r="A34" s="2">
        <v>10321</v>
      </c>
      <c r="B34" s="2" t="s">
        <v>437</v>
      </c>
      <c r="E34" t="s">
        <v>749</v>
      </c>
      <c r="F34" s="2">
        <v>1</v>
      </c>
      <c r="H34" s="2">
        <v>1032101</v>
      </c>
      <c r="I34" s="2">
        <v>2</v>
      </c>
      <c r="J34" s="2" t="s">
        <v>441</v>
      </c>
      <c r="K34" s="2" t="s">
        <v>750</v>
      </c>
      <c r="L34" s="2">
        <v>10321</v>
      </c>
      <c r="M34" s="2">
        <v>10321</v>
      </c>
      <c r="N34" s="2" t="s">
        <v>751</v>
      </c>
      <c r="O34" s="2">
        <v>15000</v>
      </c>
      <c r="P34" s="2">
        <v>1000</v>
      </c>
      <c r="Q34" s="2">
        <v>30000</v>
      </c>
      <c r="R34" s="2">
        <v>15000</v>
      </c>
      <c r="S34" s="2">
        <v>70</v>
      </c>
      <c r="T34" s="2" t="s">
        <v>80</v>
      </c>
    </row>
    <row r="35" s="1" customFormat="1" ht="22.5" customHeight="1" spans="1:20">
      <c r="A35" s="2">
        <v>10332</v>
      </c>
      <c r="B35" s="2" t="s">
        <v>448</v>
      </c>
      <c r="C35" s="2"/>
      <c r="D35" s="2"/>
      <c r="E35" t="s">
        <v>753</v>
      </c>
      <c r="F35" s="2">
        <v>1</v>
      </c>
      <c r="G35" s="2"/>
      <c r="H35" s="2">
        <v>1033201</v>
      </c>
      <c r="I35" s="2">
        <v>2</v>
      </c>
      <c r="J35" s="2" t="s">
        <v>452</v>
      </c>
      <c r="K35" s="2" t="s">
        <v>754</v>
      </c>
      <c r="L35" s="2">
        <v>10332</v>
      </c>
      <c r="M35" s="2">
        <v>10332</v>
      </c>
      <c r="N35" s="2" t="s">
        <v>755</v>
      </c>
      <c r="O35" s="2">
        <v>20000</v>
      </c>
      <c r="P35" s="2">
        <v>1000</v>
      </c>
      <c r="Q35" s="2">
        <v>30000</v>
      </c>
      <c r="R35" s="2">
        <v>20000</v>
      </c>
      <c r="S35" s="2">
        <v>70</v>
      </c>
      <c r="T35" s="2" t="s">
        <v>136</v>
      </c>
    </row>
    <row r="36" s="1" customFormat="1" ht="22.5" customHeight="1" spans="1:20">
      <c r="A36" s="2">
        <v>10352</v>
      </c>
      <c r="B36" s="2" t="s">
        <v>459</v>
      </c>
      <c r="C36" s="2"/>
      <c r="D36" s="2"/>
      <c r="E36" t="s">
        <v>757</v>
      </c>
      <c r="F36" s="2">
        <v>1</v>
      </c>
      <c r="G36" s="2"/>
      <c r="H36" s="2">
        <v>1035201</v>
      </c>
      <c r="I36" s="2">
        <v>2</v>
      </c>
      <c r="J36" s="2" t="s">
        <v>463</v>
      </c>
      <c r="K36" s="2" t="s">
        <v>758</v>
      </c>
      <c r="L36" s="2">
        <v>10352</v>
      </c>
      <c r="M36" s="2">
        <v>10352</v>
      </c>
      <c r="N36" s="2" t="s">
        <v>759</v>
      </c>
      <c r="O36" s="2">
        <v>30000</v>
      </c>
      <c r="P36" s="2">
        <v>1000</v>
      </c>
      <c r="Q36" s="2">
        <v>30000</v>
      </c>
      <c r="R36" s="2">
        <v>30000</v>
      </c>
      <c r="S36" s="2">
        <v>70</v>
      </c>
      <c r="T36" s="2" t="s">
        <v>153</v>
      </c>
    </row>
    <row r="37" s="1" customFormat="1" ht="22.5" customHeight="1" spans="1:20">
      <c r="A37" s="2">
        <v>10360</v>
      </c>
      <c r="B37" s="2" t="s">
        <v>464</v>
      </c>
      <c r="C37" s="2"/>
      <c r="D37" s="2"/>
      <c r="E37" t="s">
        <v>760</v>
      </c>
      <c r="F37" s="2">
        <v>1</v>
      </c>
      <c r="G37" s="2"/>
      <c r="H37" s="2">
        <v>1036001</v>
      </c>
      <c r="I37" s="2">
        <v>2</v>
      </c>
      <c r="J37" s="2" t="s">
        <v>468</v>
      </c>
      <c r="K37" s="2" t="s">
        <v>761</v>
      </c>
      <c r="L37" s="2">
        <v>10360</v>
      </c>
      <c r="M37" s="2">
        <v>10360</v>
      </c>
      <c r="N37" s="2" t="s">
        <v>762</v>
      </c>
      <c r="O37" s="2">
        <v>10000</v>
      </c>
      <c r="P37" s="2">
        <v>1000</v>
      </c>
      <c r="Q37" s="2">
        <v>30000</v>
      </c>
      <c r="R37" s="2">
        <v>10000</v>
      </c>
      <c r="S37" s="2">
        <v>80</v>
      </c>
      <c r="T37" s="2" t="s">
        <v>646</v>
      </c>
    </row>
    <row r="38" s="1" customFormat="1" ht="22.5" customHeight="1" spans="1:20">
      <c r="A38" s="2">
        <v>10361</v>
      </c>
      <c r="B38" s="2" t="s">
        <v>469</v>
      </c>
      <c r="C38" s="2"/>
      <c r="D38" s="2"/>
      <c r="E38" t="s">
        <v>763</v>
      </c>
      <c r="F38" s="2">
        <v>1</v>
      </c>
      <c r="G38" s="2"/>
      <c r="H38" s="2">
        <v>1036101</v>
      </c>
      <c r="I38" s="2">
        <v>2</v>
      </c>
      <c r="J38" s="2" t="s">
        <v>473</v>
      </c>
      <c r="K38" s="2" t="s">
        <v>764</v>
      </c>
      <c r="L38" s="2">
        <v>10361</v>
      </c>
      <c r="M38" s="2">
        <v>10361</v>
      </c>
      <c r="N38" s="2" t="s">
        <v>765</v>
      </c>
      <c r="O38" s="2">
        <v>20000</v>
      </c>
      <c r="P38" s="2">
        <v>1000</v>
      </c>
      <c r="Q38" s="2">
        <v>30000</v>
      </c>
      <c r="R38" s="2">
        <v>20000</v>
      </c>
      <c r="S38" s="2">
        <v>70</v>
      </c>
      <c r="T38" s="2" t="s">
        <v>650</v>
      </c>
    </row>
    <row r="39" s="1" customFormat="1" ht="22.5" customHeight="1" spans="1:20">
      <c r="A39" s="2">
        <v>10380</v>
      </c>
      <c r="B39" s="2" t="s">
        <v>474</v>
      </c>
      <c r="C39" s="2"/>
      <c r="D39" s="2"/>
      <c r="E39" t="s">
        <v>766</v>
      </c>
      <c r="F39" s="2">
        <v>1</v>
      </c>
      <c r="G39" s="2"/>
      <c r="H39" s="2">
        <v>1038001</v>
      </c>
      <c r="I39" s="2">
        <v>2</v>
      </c>
      <c r="J39" s="2" t="s">
        <v>478</v>
      </c>
      <c r="K39" s="2" t="s">
        <v>767</v>
      </c>
      <c r="L39" s="2">
        <v>10380</v>
      </c>
      <c r="M39" s="2">
        <v>10380</v>
      </c>
      <c r="N39" s="2" t="s">
        <v>768</v>
      </c>
      <c r="O39" s="2">
        <v>10000</v>
      </c>
      <c r="P39" s="2">
        <v>1000</v>
      </c>
      <c r="Q39" s="2">
        <v>30000</v>
      </c>
      <c r="R39" s="2">
        <v>10000</v>
      </c>
      <c r="S39" s="2">
        <v>80</v>
      </c>
      <c r="T39" s="2" t="s">
        <v>769</v>
      </c>
    </row>
    <row r="40" s="1" customFormat="1" ht="22.5" customHeight="1" spans="1:20">
      <c r="A40" s="2">
        <v>10381</v>
      </c>
      <c r="B40" s="2" t="s">
        <v>479</v>
      </c>
      <c r="C40" s="2"/>
      <c r="D40" s="2"/>
      <c r="E40" t="s">
        <v>770</v>
      </c>
      <c r="F40" s="2">
        <v>1</v>
      </c>
      <c r="G40" s="2"/>
      <c r="H40" s="2">
        <v>1038101</v>
      </c>
      <c r="I40" s="2">
        <v>2</v>
      </c>
      <c r="J40" s="2" t="s">
        <v>483</v>
      </c>
      <c r="K40" s="2" t="s">
        <v>771</v>
      </c>
      <c r="L40" s="2">
        <v>10381</v>
      </c>
      <c r="M40" s="2">
        <v>10381</v>
      </c>
      <c r="N40" s="2" t="s">
        <v>772</v>
      </c>
      <c r="O40" s="2">
        <v>12000</v>
      </c>
      <c r="P40" s="2">
        <v>1000</v>
      </c>
      <c r="Q40" s="2">
        <v>30000</v>
      </c>
      <c r="R40" s="2">
        <v>12000</v>
      </c>
      <c r="S40" s="2">
        <v>80</v>
      </c>
      <c r="T40" s="2" t="s">
        <v>773</v>
      </c>
    </row>
    <row r="41" s="1" customFormat="1" ht="22.5" customHeight="1" spans="1:20">
      <c r="A41" s="2">
        <v>10390</v>
      </c>
      <c r="B41" s="2" t="s">
        <v>484</v>
      </c>
      <c r="C41" s="2"/>
      <c r="D41" s="2"/>
      <c r="E41" t="s">
        <v>774</v>
      </c>
      <c r="F41" s="2">
        <v>1</v>
      </c>
      <c r="G41" s="2"/>
      <c r="H41" s="2">
        <v>1039001</v>
      </c>
      <c r="I41" s="2">
        <v>2</v>
      </c>
      <c r="J41" s="2" t="s">
        <v>488</v>
      </c>
      <c r="K41" s="2" t="s">
        <v>775</v>
      </c>
      <c r="L41" s="2">
        <v>10390</v>
      </c>
      <c r="M41" s="2">
        <v>10390</v>
      </c>
      <c r="N41" s="2" t="s">
        <v>776</v>
      </c>
      <c r="O41" s="2">
        <v>10000</v>
      </c>
      <c r="P41" s="2">
        <v>1000</v>
      </c>
      <c r="Q41" s="2">
        <v>30000</v>
      </c>
      <c r="R41" s="2">
        <v>10000</v>
      </c>
      <c r="S41" s="2">
        <v>80</v>
      </c>
      <c r="T41" s="2" t="s">
        <v>777</v>
      </c>
    </row>
    <row r="42" s="1" customFormat="1" ht="22.5" customHeight="1" spans="1:20">
      <c r="A42" s="2">
        <v>10391</v>
      </c>
      <c r="B42" s="2" t="s">
        <v>489</v>
      </c>
      <c r="C42" s="2"/>
      <c r="D42" s="2"/>
      <c r="E42" t="s">
        <v>778</v>
      </c>
      <c r="F42" s="2">
        <v>1</v>
      </c>
      <c r="G42" s="2"/>
      <c r="H42" s="2">
        <v>1039101</v>
      </c>
      <c r="I42" s="2">
        <v>2</v>
      </c>
      <c r="J42" s="2" t="s">
        <v>493</v>
      </c>
      <c r="K42" s="2" t="s">
        <v>779</v>
      </c>
      <c r="L42" s="2">
        <v>10391</v>
      </c>
      <c r="M42" s="2">
        <v>10391</v>
      </c>
      <c r="N42" s="2" t="s">
        <v>780</v>
      </c>
      <c r="O42" s="2">
        <v>12000</v>
      </c>
      <c r="P42" s="2">
        <v>1000</v>
      </c>
      <c r="Q42" s="2">
        <v>30000</v>
      </c>
      <c r="R42" s="2">
        <v>12000</v>
      </c>
      <c r="S42" s="2">
        <v>80</v>
      </c>
      <c r="T42" s="2" t="s">
        <v>777</v>
      </c>
    </row>
    <row r="43" s="1" customFormat="1" ht="22.5" customHeight="1" spans="1:20">
      <c r="A43" s="2">
        <v>10392</v>
      </c>
      <c r="B43" s="2" t="s">
        <v>494</v>
      </c>
      <c r="C43" s="2"/>
      <c r="D43" s="2"/>
      <c r="E43" t="s">
        <v>781</v>
      </c>
      <c r="F43" s="2">
        <v>1</v>
      </c>
      <c r="G43" s="2"/>
      <c r="H43" s="2">
        <v>1039201</v>
      </c>
      <c r="I43" s="2">
        <v>3</v>
      </c>
      <c r="J43" s="2" t="s">
        <v>498</v>
      </c>
      <c r="K43" s="2" t="s">
        <v>782</v>
      </c>
      <c r="L43" s="2">
        <v>10392</v>
      </c>
      <c r="M43" s="2">
        <v>10392</v>
      </c>
      <c r="N43" s="2" t="s">
        <v>783</v>
      </c>
      <c r="O43" s="2">
        <v>30000</v>
      </c>
      <c r="P43" s="2">
        <v>1000</v>
      </c>
      <c r="Q43" s="2">
        <v>30000</v>
      </c>
      <c r="R43" s="2">
        <v>30000</v>
      </c>
      <c r="S43" s="2">
        <v>70</v>
      </c>
      <c r="T43" s="2" t="s">
        <v>777</v>
      </c>
    </row>
    <row r="44" s="1" customFormat="1" ht="22.5" customHeight="1" spans="1:20">
      <c r="A44" s="2">
        <v>10420</v>
      </c>
      <c r="B44" s="2" t="s">
        <v>505</v>
      </c>
      <c r="C44" s="2"/>
      <c r="D44" s="2"/>
      <c r="E44" t="s">
        <v>784</v>
      </c>
      <c r="F44" s="2">
        <v>1</v>
      </c>
      <c r="G44" s="2"/>
      <c r="H44" s="2">
        <v>1042001</v>
      </c>
      <c r="I44" s="2">
        <v>3</v>
      </c>
      <c r="J44" s="2" t="s">
        <v>509</v>
      </c>
      <c r="K44" s="2" t="s">
        <v>785</v>
      </c>
      <c r="L44" s="2">
        <v>10420</v>
      </c>
      <c r="M44" s="2">
        <v>10420</v>
      </c>
      <c r="N44" s="2" t="s">
        <v>786</v>
      </c>
      <c r="O44" s="2">
        <v>6000</v>
      </c>
      <c r="P44" s="2">
        <v>1000</v>
      </c>
      <c r="Q44" s="2">
        <v>30000</v>
      </c>
      <c r="R44" s="2">
        <v>6000</v>
      </c>
      <c r="S44" s="2">
        <v>80</v>
      </c>
      <c r="T44" s="2" t="s">
        <v>769</v>
      </c>
    </row>
    <row r="45" s="1" customFormat="1" ht="22.5" customHeight="1" spans="1:20">
      <c r="A45" s="2">
        <v>10421</v>
      </c>
      <c r="B45" s="2" t="s">
        <v>510</v>
      </c>
      <c r="C45" s="2"/>
      <c r="D45" s="2"/>
      <c r="E45" t="s">
        <v>787</v>
      </c>
      <c r="F45" s="2">
        <v>1</v>
      </c>
      <c r="G45" s="2"/>
      <c r="H45" s="2">
        <v>1042001</v>
      </c>
      <c r="I45" s="2">
        <v>3</v>
      </c>
      <c r="J45" s="2" t="s">
        <v>514</v>
      </c>
      <c r="K45" s="2" t="s">
        <v>788</v>
      </c>
      <c r="L45" s="2">
        <v>10421</v>
      </c>
      <c r="M45" s="2">
        <v>10421</v>
      </c>
      <c r="N45" s="2" t="s">
        <v>789</v>
      </c>
      <c r="O45" s="2">
        <v>15000</v>
      </c>
      <c r="P45" s="2">
        <v>1000</v>
      </c>
      <c r="Q45" s="2">
        <v>30000</v>
      </c>
      <c r="R45" s="2">
        <v>15000</v>
      </c>
      <c r="S45" s="2">
        <v>70</v>
      </c>
      <c r="T45" s="2" t="s">
        <v>773</v>
      </c>
    </row>
    <row r="46" s="1" customFormat="1" ht="22.5" customHeight="1" spans="1:20">
      <c r="A46" s="2">
        <v>10422</v>
      </c>
      <c r="B46" s="2" t="s">
        <v>790</v>
      </c>
      <c r="C46" s="2"/>
      <c r="D46" s="2"/>
      <c r="E46" t="s">
        <v>791</v>
      </c>
      <c r="F46" s="2">
        <v>1</v>
      </c>
      <c r="G46" s="2"/>
      <c r="H46" s="2">
        <v>1042001</v>
      </c>
      <c r="I46" s="2">
        <v>3</v>
      </c>
      <c r="J46" s="2" t="s">
        <v>514</v>
      </c>
      <c r="K46" s="2" t="s">
        <v>792</v>
      </c>
      <c r="L46" s="2">
        <v>10422</v>
      </c>
      <c r="M46" s="2">
        <v>10422</v>
      </c>
      <c r="N46" s="2" t="s">
        <v>793</v>
      </c>
      <c r="O46" s="2">
        <v>30000</v>
      </c>
      <c r="P46" s="2">
        <v>1000</v>
      </c>
      <c r="Q46" s="2">
        <v>30000</v>
      </c>
      <c r="R46" s="2">
        <v>30000</v>
      </c>
      <c r="S46" s="2">
        <v>70</v>
      </c>
      <c r="T46" s="2" t="s">
        <v>773</v>
      </c>
    </row>
    <row r="47" s="1" customFormat="1" ht="22.5" customHeight="1" spans="1:20">
      <c r="A47" s="2">
        <v>10460</v>
      </c>
      <c r="B47" s="2" t="s">
        <v>523</v>
      </c>
      <c r="C47" s="2"/>
      <c r="D47" s="2"/>
      <c r="E47" t="s">
        <v>794</v>
      </c>
      <c r="F47" s="2">
        <v>1</v>
      </c>
      <c r="G47" s="2"/>
      <c r="H47" s="2">
        <v>1046001</v>
      </c>
      <c r="I47" s="2">
        <v>3</v>
      </c>
      <c r="J47" s="2" t="s">
        <v>527</v>
      </c>
      <c r="K47" s="2" t="s">
        <v>795</v>
      </c>
      <c r="L47" s="2">
        <v>10460</v>
      </c>
      <c r="M47" s="2">
        <v>10460</v>
      </c>
      <c r="N47" s="2" t="s">
        <v>796</v>
      </c>
      <c r="O47" s="2">
        <v>6000</v>
      </c>
      <c r="P47" s="2">
        <v>1000</v>
      </c>
      <c r="Q47" s="2">
        <v>30000</v>
      </c>
      <c r="R47" s="2">
        <v>6000</v>
      </c>
      <c r="S47" s="2">
        <v>80</v>
      </c>
      <c r="T47" s="2" t="s">
        <v>114</v>
      </c>
    </row>
    <row r="48" s="2" customFormat="1" ht="22.5" customHeight="1" spans="1:20">
      <c r="A48" s="2">
        <v>10461</v>
      </c>
      <c r="B48" s="2" t="s">
        <v>528</v>
      </c>
      <c r="E48" t="s">
        <v>797</v>
      </c>
      <c r="F48" s="2">
        <v>1</v>
      </c>
      <c r="H48" s="2">
        <v>1046101</v>
      </c>
      <c r="I48" s="2">
        <v>3</v>
      </c>
      <c r="J48" s="2" t="s">
        <v>532</v>
      </c>
      <c r="K48" s="2" t="s">
        <v>798</v>
      </c>
      <c r="L48" s="2">
        <v>10461</v>
      </c>
      <c r="M48" s="2">
        <v>10461</v>
      </c>
      <c r="N48" s="2" t="s">
        <v>799</v>
      </c>
      <c r="O48" s="2">
        <v>8000</v>
      </c>
      <c r="P48" s="2">
        <v>1000</v>
      </c>
      <c r="Q48" s="2">
        <v>30000</v>
      </c>
      <c r="R48" s="2">
        <v>8000</v>
      </c>
      <c r="S48" s="2">
        <v>80</v>
      </c>
      <c r="T48" s="2" t="s">
        <v>202</v>
      </c>
    </row>
    <row r="49" s="2" customFormat="1" ht="22.5" customHeight="1" spans="1:20">
      <c r="A49" s="2">
        <v>10501</v>
      </c>
      <c r="B49" s="2" t="s">
        <v>542</v>
      </c>
      <c r="E49" t="s">
        <v>800</v>
      </c>
      <c r="F49" s="2">
        <v>1</v>
      </c>
      <c r="H49" s="2">
        <v>1050101</v>
      </c>
      <c r="I49" s="2">
        <v>3</v>
      </c>
      <c r="J49" s="2" t="s">
        <v>546</v>
      </c>
      <c r="K49" s="2" t="s">
        <v>801</v>
      </c>
      <c r="L49" s="2">
        <v>10501</v>
      </c>
      <c r="M49" s="2">
        <v>10501</v>
      </c>
      <c r="N49" s="2" t="s">
        <v>802</v>
      </c>
      <c r="O49" s="2">
        <v>12000</v>
      </c>
      <c r="P49" s="2">
        <v>1000</v>
      </c>
      <c r="Q49" s="2">
        <v>30000</v>
      </c>
      <c r="R49" s="2">
        <v>12000</v>
      </c>
      <c r="S49" s="2">
        <v>80</v>
      </c>
      <c r="T49" s="2" t="s">
        <v>170</v>
      </c>
    </row>
    <row r="50" s="2" customFormat="1" ht="22.5" customHeight="1" spans="1:20">
      <c r="A50" s="2">
        <v>10510</v>
      </c>
      <c r="B50" s="2" t="s">
        <v>547</v>
      </c>
      <c r="E50" t="s">
        <v>803</v>
      </c>
      <c r="F50" s="2">
        <v>1</v>
      </c>
      <c r="H50" s="2">
        <v>1051001</v>
      </c>
      <c r="I50" s="2">
        <v>3</v>
      </c>
      <c r="J50" s="2" t="s">
        <v>551</v>
      </c>
      <c r="K50" s="2" t="s">
        <v>804</v>
      </c>
      <c r="L50" s="2">
        <v>10510</v>
      </c>
      <c r="M50" s="2">
        <v>10510</v>
      </c>
      <c r="N50" s="2" t="s">
        <v>805</v>
      </c>
      <c r="O50" s="2">
        <v>8000</v>
      </c>
      <c r="P50" s="2">
        <v>1000</v>
      </c>
      <c r="Q50" s="2">
        <v>30000</v>
      </c>
      <c r="R50" s="2">
        <v>8000</v>
      </c>
      <c r="S50" s="2">
        <v>80</v>
      </c>
      <c r="T50" s="2" t="s">
        <v>114</v>
      </c>
    </row>
    <row r="51" s="2" customFormat="1" ht="22.5" customHeight="1" spans="1:20">
      <c r="A51" s="2">
        <v>10511</v>
      </c>
      <c r="B51" s="2" t="s">
        <v>552</v>
      </c>
      <c r="E51" t="s">
        <v>806</v>
      </c>
      <c r="F51" s="2">
        <v>1</v>
      </c>
      <c r="H51" s="2">
        <v>1051101</v>
      </c>
      <c r="I51" s="2">
        <v>3</v>
      </c>
      <c r="J51" s="2" t="s">
        <v>556</v>
      </c>
      <c r="K51" s="2" t="s">
        <v>807</v>
      </c>
      <c r="L51" s="2">
        <v>10511</v>
      </c>
      <c r="M51" s="2">
        <v>10511</v>
      </c>
      <c r="N51" s="2" t="s">
        <v>808</v>
      </c>
      <c r="O51" s="2">
        <v>15000</v>
      </c>
      <c r="P51" s="2">
        <v>1000</v>
      </c>
      <c r="Q51" s="2">
        <v>30000</v>
      </c>
      <c r="R51" s="2">
        <v>15000</v>
      </c>
      <c r="S51" s="2">
        <v>70</v>
      </c>
      <c r="T51" s="2" t="s">
        <v>202</v>
      </c>
    </row>
    <row r="52" s="2" customFormat="1" ht="22.5" customHeight="1" spans="1:20">
      <c r="A52" s="2">
        <v>10512</v>
      </c>
      <c r="B52" s="2" t="s">
        <v>557</v>
      </c>
      <c r="E52" t="s">
        <v>809</v>
      </c>
      <c r="F52" s="2">
        <v>1</v>
      </c>
      <c r="H52" s="2">
        <v>1051201</v>
      </c>
      <c r="I52" s="2">
        <v>3</v>
      </c>
      <c r="J52" s="2" t="s">
        <v>561</v>
      </c>
      <c r="K52" s="2" t="s">
        <v>810</v>
      </c>
      <c r="L52" s="2">
        <v>10512</v>
      </c>
      <c r="M52" s="2">
        <v>10512</v>
      </c>
      <c r="N52" s="2" t="s">
        <v>811</v>
      </c>
      <c r="O52" s="2">
        <v>30000</v>
      </c>
      <c r="P52" s="2">
        <v>1000</v>
      </c>
      <c r="Q52" s="2">
        <v>30000</v>
      </c>
      <c r="R52" s="2">
        <v>30000</v>
      </c>
      <c r="S52" s="2">
        <v>70</v>
      </c>
      <c r="T52" s="2" t="s">
        <v>202</v>
      </c>
    </row>
    <row r="53" s="2" customFormat="1" ht="22.5" customHeight="1" spans="1:20">
      <c r="A53" s="2">
        <v>10522</v>
      </c>
      <c r="B53" s="2" t="s">
        <v>568</v>
      </c>
      <c r="E53" t="s">
        <v>812</v>
      </c>
      <c r="F53" s="2">
        <v>1</v>
      </c>
      <c r="H53" s="2">
        <v>1052201</v>
      </c>
      <c r="I53" s="2">
        <v>3</v>
      </c>
      <c r="J53" s="2" t="s">
        <v>572</v>
      </c>
      <c r="K53" s="2" t="s">
        <v>813</v>
      </c>
      <c r="L53" s="2">
        <v>10522</v>
      </c>
      <c r="M53" s="2">
        <v>10522</v>
      </c>
      <c r="N53" s="2" t="s">
        <v>814</v>
      </c>
      <c r="O53" s="2">
        <v>30000</v>
      </c>
      <c r="P53" s="2">
        <v>1000</v>
      </c>
      <c r="Q53" s="2">
        <v>30000</v>
      </c>
      <c r="R53" s="2">
        <v>30000</v>
      </c>
      <c r="S53" s="2">
        <v>70</v>
      </c>
      <c r="T53" s="2" t="s">
        <v>69</v>
      </c>
    </row>
    <row r="54" s="2" customFormat="1" ht="22.5" customHeight="1" spans="1:20">
      <c r="A54" s="2">
        <v>10562</v>
      </c>
      <c r="B54" s="2" t="s">
        <v>585</v>
      </c>
      <c r="E54" t="s">
        <v>815</v>
      </c>
      <c r="F54" s="2">
        <v>1</v>
      </c>
      <c r="H54" s="2">
        <v>1056201</v>
      </c>
      <c r="I54" s="2">
        <v>3</v>
      </c>
      <c r="J54" s="2" t="s">
        <v>589</v>
      </c>
      <c r="K54" s="2" t="s">
        <v>816</v>
      </c>
      <c r="L54" s="2">
        <v>10562</v>
      </c>
      <c r="M54" s="2">
        <v>10562</v>
      </c>
      <c r="N54" s="2" t="s">
        <v>817</v>
      </c>
      <c r="O54" s="2">
        <v>30000</v>
      </c>
      <c r="P54" s="2">
        <v>1000</v>
      </c>
      <c r="Q54" s="2">
        <v>30000</v>
      </c>
      <c r="R54" s="2">
        <v>30000</v>
      </c>
      <c r="S54" s="2">
        <v>70</v>
      </c>
      <c r="T54" s="2" t="s">
        <v>69</v>
      </c>
    </row>
    <row r="55" s="2" customFormat="1" ht="22.5" customHeight="1" spans="1:20">
      <c r="A55" s="2">
        <v>10582</v>
      </c>
      <c r="B55" s="2" t="s">
        <v>606</v>
      </c>
      <c r="E55" t="s">
        <v>826</v>
      </c>
      <c r="F55" s="2">
        <v>1</v>
      </c>
      <c r="H55" s="2">
        <v>1058201</v>
      </c>
      <c r="I55" s="2">
        <v>4</v>
      </c>
      <c r="J55" s="2" t="s">
        <v>610</v>
      </c>
      <c r="K55" s="2" t="s">
        <v>827</v>
      </c>
      <c r="L55" s="2">
        <v>10582</v>
      </c>
      <c r="M55" s="2">
        <v>10582</v>
      </c>
      <c r="N55" s="2" t="s">
        <v>828</v>
      </c>
      <c r="O55" s="2">
        <v>30000</v>
      </c>
      <c r="P55" s="2">
        <v>1000</v>
      </c>
      <c r="Q55" s="2">
        <v>30000</v>
      </c>
      <c r="R55" s="2">
        <v>30000</v>
      </c>
      <c r="S55" s="2">
        <v>70</v>
      </c>
      <c r="T55" s="2" t="s">
        <v>114</v>
      </c>
    </row>
    <row r="56" s="2" customFormat="1" ht="22.5" customHeight="1" spans="1:20">
      <c r="A56" s="2">
        <v>10590</v>
      </c>
      <c r="B56" s="2" t="s">
        <v>611</v>
      </c>
      <c r="E56" t="s">
        <v>829</v>
      </c>
      <c r="F56" s="2">
        <v>1</v>
      </c>
      <c r="H56" s="2">
        <v>1059001</v>
      </c>
      <c r="I56" s="2">
        <v>4</v>
      </c>
      <c r="J56" s="2" t="s">
        <v>615</v>
      </c>
      <c r="K56" s="2" t="s">
        <v>830</v>
      </c>
      <c r="L56" s="2">
        <v>10590</v>
      </c>
      <c r="M56" s="2">
        <v>10590</v>
      </c>
      <c r="N56" s="2" t="s">
        <v>831</v>
      </c>
      <c r="O56" s="2">
        <v>8000</v>
      </c>
      <c r="P56" s="2">
        <v>1000</v>
      </c>
      <c r="Q56" s="2">
        <v>30000</v>
      </c>
      <c r="R56" s="2">
        <v>8000</v>
      </c>
      <c r="S56" s="2">
        <v>80</v>
      </c>
      <c r="T56" s="2" t="s">
        <v>202</v>
      </c>
    </row>
    <row r="57" s="2" customFormat="1" ht="22.5" customHeight="1" spans="1:20">
      <c r="A57" s="2">
        <v>10591</v>
      </c>
      <c r="B57" s="2" t="s">
        <v>616</v>
      </c>
      <c r="E57" t="s">
        <v>832</v>
      </c>
      <c r="F57" s="2">
        <v>1</v>
      </c>
      <c r="H57" s="2">
        <v>1059101</v>
      </c>
      <c r="I57" s="2">
        <v>4</v>
      </c>
      <c r="J57" s="2" t="s">
        <v>620</v>
      </c>
      <c r="K57" s="2" t="s">
        <v>833</v>
      </c>
      <c r="L57" s="2">
        <v>10591</v>
      </c>
      <c r="M57" s="2">
        <v>10591</v>
      </c>
      <c r="N57" s="2" t="s">
        <v>834</v>
      </c>
      <c r="O57" s="2">
        <v>12000</v>
      </c>
      <c r="P57" s="2">
        <v>1000</v>
      </c>
      <c r="Q57" s="2">
        <v>30000</v>
      </c>
      <c r="R57" s="2">
        <v>12000</v>
      </c>
      <c r="S57" s="2">
        <v>80</v>
      </c>
      <c r="T57" s="2" t="s">
        <v>202</v>
      </c>
    </row>
    <row r="58" s="2" customFormat="1" ht="22.5" customHeight="1" spans="1:20">
      <c r="A58" s="2">
        <v>10600</v>
      </c>
      <c r="B58" s="2" t="s">
        <v>621</v>
      </c>
      <c r="E58" t="s">
        <v>835</v>
      </c>
      <c r="F58" s="2">
        <v>1</v>
      </c>
      <c r="H58" s="2">
        <v>1060001</v>
      </c>
      <c r="I58" s="2">
        <v>4</v>
      </c>
      <c r="J58" s="2" t="s">
        <v>625</v>
      </c>
      <c r="K58" s="2" t="s">
        <v>836</v>
      </c>
      <c r="L58" s="2">
        <v>10600</v>
      </c>
      <c r="M58" s="2">
        <v>10600</v>
      </c>
      <c r="N58" s="2" t="s">
        <v>837</v>
      </c>
      <c r="O58" s="2">
        <v>6000</v>
      </c>
      <c r="P58" s="2">
        <v>1000</v>
      </c>
      <c r="Q58" s="2">
        <v>30000</v>
      </c>
      <c r="R58" s="2">
        <v>6000</v>
      </c>
      <c r="S58" s="2">
        <v>80</v>
      </c>
      <c r="T58" s="2" t="s">
        <v>838</v>
      </c>
    </row>
    <row r="59" s="2" customFormat="1" ht="22.5" customHeight="1" spans="1:20">
      <c r="A59" s="2">
        <v>10601</v>
      </c>
      <c r="B59" s="2" t="s">
        <v>626</v>
      </c>
      <c r="E59" t="s">
        <v>839</v>
      </c>
      <c r="F59" s="2">
        <v>1</v>
      </c>
      <c r="H59" s="2">
        <v>1060101</v>
      </c>
      <c r="I59" s="2">
        <v>4</v>
      </c>
      <c r="J59" s="2" t="s">
        <v>630</v>
      </c>
      <c r="K59" s="2" t="s">
        <v>840</v>
      </c>
      <c r="L59" s="2">
        <v>10601</v>
      </c>
      <c r="M59" s="2">
        <v>10601</v>
      </c>
      <c r="N59" s="2" t="s">
        <v>841</v>
      </c>
      <c r="O59" s="2">
        <v>10000</v>
      </c>
      <c r="P59" s="2">
        <v>1000</v>
      </c>
      <c r="Q59" s="2">
        <v>30000</v>
      </c>
      <c r="R59" s="2">
        <v>10000</v>
      </c>
      <c r="S59" s="2">
        <v>80</v>
      </c>
      <c r="T59" s="2" t="s">
        <v>838</v>
      </c>
    </row>
    <row r="60" s="2" customFormat="1" ht="22.5" customHeight="1" spans="1:20">
      <c r="A60" s="2">
        <v>10620</v>
      </c>
      <c r="B60" s="2" t="s">
        <v>631</v>
      </c>
      <c r="E60" t="s">
        <v>842</v>
      </c>
      <c r="F60" s="2">
        <v>1</v>
      </c>
      <c r="H60" s="2">
        <v>1062001</v>
      </c>
      <c r="I60" s="2">
        <v>4</v>
      </c>
      <c r="J60" s="2" t="s">
        <v>635</v>
      </c>
      <c r="K60" s="2" t="s">
        <v>843</v>
      </c>
      <c r="L60" s="2">
        <v>10620</v>
      </c>
      <c r="M60" s="2">
        <v>10620</v>
      </c>
      <c r="N60" s="2" t="s">
        <v>844</v>
      </c>
      <c r="O60" s="2">
        <v>10000</v>
      </c>
      <c r="P60" s="2">
        <v>1000</v>
      </c>
      <c r="Q60" s="2">
        <v>30000</v>
      </c>
      <c r="R60" s="2">
        <v>10000</v>
      </c>
      <c r="S60" s="2">
        <v>80</v>
      </c>
      <c r="T60" s="2" t="s">
        <v>838</v>
      </c>
    </row>
    <row r="61" s="2" customFormat="1" ht="22.5" customHeight="1" spans="1:20">
      <c r="A61" s="2">
        <v>10621</v>
      </c>
      <c r="B61" s="2" t="s">
        <v>636</v>
      </c>
      <c r="E61" t="s">
        <v>845</v>
      </c>
      <c r="F61" s="2">
        <v>1</v>
      </c>
      <c r="H61" s="2">
        <v>1062101</v>
      </c>
      <c r="I61" s="2">
        <v>4</v>
      </c>
      <c r="J61" s="2" t="s">
        <v>640</v>
      </c>
      <c r="K61" s="2" t="s">
        <v>846</v>
      </c>
      <c r="L61" s="2">
        <v>10621</v>
      </c>
      <c r="M61" s="2">
        <v>10621</v>
      </c>
      <c r="N61" s="2" t="s">
        <v>847</v>
      </c>
      <c r="O61" s="2">
        <v>20000</v>
      </c>
      <c r="P61" s="2">
        <v>1000</v>
      </c>
      <c r="Q61" s="2">
        <v>30000</v>
      </c>
      <c r="R61" s="2">
        <v>20000</v>
      </c>
      <c r="S61" s="2">
        <v>70</v>
      </c>
      <c r="T61" s="2" t="s">
        <v>838</v>
      </c>
    </row>
    <row r="62" s="2" customFormat="1" ht="22.5" customHeight="1" spans="1:20">
      <c r="A62" s="2">
        <v>10622</v>
      </c>
      <c r="B62" s="2" t="s">
        <v>848</v>
      </c>
      <c r="E62" t="s">
        <v>849</v>
      </c>
      <c r="F62" s="2">
        <v>1</v>
      </c>
      <c r="H62" s="2">
        <v>1062201</v>
      </c>
      <c r="I62" s="2">
        <v>4</v>
      </c>
      <c r="J62" s="2" t="s">
        <v>640</v>
      </c>
      <c r="K62" s="2" t="s">
        <v>850</v>
      </c>
      <c r="L62" s="2">
        <v>10622</v>
      </c>
      <c r="M62" s="2">
        <v>10622</v>
      </c>
      <c r="N62" s="2" t="s">
        <v>851</v>
      </c>
      <c r="O62" s="2">
        <v>30000</v>
      </c>
      <c r="P62" s="2">
        <v>1000</v>
      </c>
      <c r="Q62" s="2">
        <v>30000</v>
      </c>
      <c r="R62" s="2">
        <v>30000</v>
      </c>
      <c r="S62" s="2">
        <v>70</v>
      </c>
      <c r="T62" s="2" t="s">
        <v>838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Sheet1</vt:lpstr>
      <vt:lpstr>Sheet3</vt:lpstr>
      <vt:lpstr>Sheet2</vt:lpstr>
      <vt:lpstr>Sheet5</vt:lpstr>
      <vt:lpstr>Sheet6</vt:lpstr>
      <vt:lpstr>未使用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丶风情。</cp:lastModifiedBy>
  <dcterms:created xsi:type="dcterms:W3CDTF">2015-06-05T18:19:00Z</dcterms:created>
  <dcterms:modified xsi:type="dcterms:W3CDTF">2025-06-27T10:26:33Z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39D2CA0127BB4CA4B11018B7DAB88697_12</vt:lpwstr>
  </property>
  <property fmtid="{D5CDD505-2E9C-101B-9397-08002B2CF9AE}" pid="3" name="KSOProductBuildVer">
    <vt:lpwstr>2052-12.1.0.21541</vt:lpwstr>
  </property>
</Properties>
</file>