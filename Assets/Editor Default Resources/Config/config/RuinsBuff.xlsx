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属性，加成比例(万分比)</t>
        </r>
      </text>
    </comment>
  </commentList>
</comments>
</file>

<file path=xl/sharedStrings.xml><?xml version="1.0" encoding="utf-8"?>
<sst xmlns="http://schemas.openxmlformats.org/spreadsheetml/2006/main" count="413" uniqueCount="187">
  <si>
    <t>Id</t>
  </si>
  <si>
    <t>Name_note</t>
  </si>
  <si>
    <t>Name</t>
  </si>
  <si>
    <t>Lv</t>
  </si>
  <si>
    <t>Attr</t>
  </si>
  <si>
    <t>Rate</t>
  </si>
  <si>
    <t>Time</t>
  </si>
  <si>
    <r>
      <rPr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>1</t>
    </r>
  </si>
  <si>
    <t>Icon</t>
  </si>
  <si>
    <t>int</t>
  </si>
  <si>
    <t>String</t>
  </si>
  <si>
    <t>序ID</t>
  </si>
  <si>
    <t>&lt;C&gt;遗迹BUFF名称</t>
  </si>
  <si>
    <t>遗迹BUFF名称</t>
  </si>
  <si>
    <t>BUFF等级</t>
  </si>
  <si>
    <t>BUFF属性</t>
  </si>
  <si>
    <t>事件权重</t>
  </si>
  <si>
    <t>生效时间</t>
  </si>
  <si>
    <t>备注</t>
  </si>
  <si>
    <t>属性图标</t>
  </si>
  <si>
    <t>高阶伤害加成</t>
  </si>
  <si>
    <t>RuinsBuff_Name_001</t>
  </si>
  <si>
    <t>10,30000|11,30000|12,30000</t>
  </si>
  <si>
    <t>伤害加成</t>
  </si>
  <si>
    <t>高阶生命加成</t>
  </si>
  <si>
    <t>RuinsBuff_Name_002</t>
  </si>
  <si>
    <t>13,50000</t>
  </si>
  <si>
    <t>生命加成</t>
  </si>
  <si>
    <t>高阶防御加成</t>
  </si>
  <si>
    <t>RuinsBuff_Name_003</t>
  </si>
  <si>
    <t>14,30000|15,30000|16,30000</t>
  </si>
  <si>
    <t>防御加成</t>
  </si>
  <si>
    <t>高阶金币加成</t>
  </si>
  <si>
    <t>RuinsBuff_Name_004</t>
  </si>
  <si>
    <t>39,10000</t>
  </si>
  <si>
    <t>金币加成</t>
  </si>
  <si>
    <t>高阶暴击率</t>
  </si>
  <si>
    <t>RuinsBuff_Name_005</t>
  </si>
  <si>
    <t>29,1000</t>
  </si>
  <si>
    <t>暴击率</t>
  </si>
  <si>
    <t>高阶爆伤值</t>
  </si>
  <si>
    <t>RuinsBuff_Name_006</t>
  </si>
  <si>
    <t>30,50000</t>
  </si>
  <si>
    <t>爆伤值</t>
  </si>
  <si>
    <t>高阶元素加成</t>
  </si>
  <si>
    <t>RuinsBuff_Name_007</t>
  </si>
  <si>
    <t>17,30000|18,30000|19,30000|20,30000</t>
  </si>
  <si>
    <t>元素加成</t>
  </si>
  <si>
    <t>高阶宠物伤害加成</t>
  </si>
  <si>
    <t>RuinsBuff_Name_008</t>
  </si>
  <si>
    <t>21,30000</t>
  </si>
  <si>
    <t>宠物伤害加成</t>
  </si>
  <si>
    <t>高阶格挡率</t>
  </si>
  <si>
    <t>RuinsBuff_Name_009</t>
  </si>
  <si>
    <t>26,1000</t>
  </si>
  <si>
    <t>格挡率</t>
  </si>
  <si>
    <t>高阶闪避率</t>
  </si>
  <si>
    <t>RuinsBuff_Name_010</t>
  </si>
  <si>
    <t>24,1000</t>
  </si>
  <si>
    <t>闪避率</t>
  </si>
  <si>
    <t>高阶稀有传承概率</t>
  </si>
  <si>
    <t>RuinsBuff_Name_011</t>
  </si>
  <si>
    <t>44,3000</t>
  </si>
  <si>
    <t>稀有传承概率</t>
  </si>
  <si>
    <t>高阶传承掉落概率</t>
  </si>
  <si>
    <t>RuinsBuff_Name_012</t>
  </si>
  <si>
    <t>45,3000</t>
  </si>
  <si>
    <t>传承掉落概率</t>
  </si>
  <si>
    <t>高阶无视防御</t>
  </si>
  <si>
    <t>RuinsBuff_Name_013</t>
  </si>
  <si>
    <t>28,1000</t>
  </si>
  <si>
    <t>无视防御</t>
  </si>
  <si>
    <t>高阶BOSS伤害加成</t>
  </si>
  <si>
    <t>RuinsBuff_Name_014</t>
  </si>
  <si>
    <t>31,5000</t>
  </si>
  <si>
    <t>BOSS伤害加成</t>
  </si>
  <si>
    <t>高阶小怪伤害加成</t>
  </si>
  <si>
    <t>RuinsBuff_Name_015</t>
  </si>
  <si>
    <t>32,5000</t>
  </si>
  <si>
    <t>小怪伤害加成</t>
  </si>
  <si>
    <t>高阶技能冷却</t>
  </si>
  <si>
    <t>RuinsBuff_Name_016</t>
  </si>
  <si>
    <t>40,1000</t>
  </si>
  <si>
    <t>技能冷却</t>
  </si>
  <si>
    <t>中阶伤害加成</t>
  </si>
  <si>
    <t>RuinsBuff_Name_017</t>
  </si>
  <si>
    <t>10,15000|11,15000|12,15000</t>
  </si>
  <si>
    <t>中阶生命加成</t>
  </si>
  <si>
    <t>RuinsBuff_Name_018</t>
  </si>
  <si>
    <t>13,25000</t>
  </si>
  <si>
    <t>中阶防御加成</t>
  </si>
  <si>
    <t>RuinsBuff_Name_019</t>
  </si>
  <si>
    <t>14,15000|15,15000|16,15000</t>
  </si>
  <si>
    <t>中阶金币加成</t>
  </si>
  <si>
    <t>RuinsBuff_Name_020</t>
  </si>
  <si>
    <t>39,5000</t>
  </si>
  <si>
    <t>中阶暴击率</t>
  </si>
  <si>
    <t>RuinsBuff_Name_021</t>
  </si>
  <si>
    <t>29,500</t>
  </si>
  <si>
    <t>中阶爆伤值</t>
  </si>
  <si>
    <t>RuinsBuff_Name_022</t>
  </si>
  <si>
    <t>30,25000</t>
  </si>
  <si>
    <t>中阶元素加成</t>
  </si>
  <si>
    <t>RuinsBuff_Name_023</t>
  </si>
  <si>
    <t>17,15000|18,15000|19,15000|20,15000</t>
  </si>
  <si>
    <t>中阶宠物伤害加成</t>
  </si>
  <si>
    <t>RuinsBuff_Name_024</t>
  </si>
  <si>
    <t>21,15000</t>
  </si>
  <si>
    <t>中阶格挡率</t>
  </si>
  <si>
    <t>RuinsBuff_Name_025</t>
  </si>
  <si>
    <t>26,500</t>
  </si>
  <si>
    <t>中阶闪避率</t>
  </si>
  <si>
    <t>RuinsBuff_Name_026</t>
  </si>
  <si>
    <t>24,500</t>
  </si>
  <si>
    <t>中阶稀有传承概率</t>
  </si>
  <si>
    <t>RuinsBuff_Name_027</t>
  </si>
  <si>
    <t>44,1500</t>
  </si>
  <si>
    <t>中阶传承掉落概率</t>
  </si>
  <si>
    <t>RuinsBuff_Name_028</t>
  </si>
  <si>
    <t>45,1500</t>
  </si>
  <si>
    <t>中阶无视防御</t>
  </si>
  <si>
    <t>RuinsBuff_Name_029</t>
  </si>
  <si>
    <t>28,500</t>
  </si>
  <si>
    <t>中阶BOSS伤害加成</t>
  </si>
  <si>
    <t>RuinsBuff_Name_030</t>
  </si>
  <si>
    <t>31,2500</t>
  </si>
  <si>
    <t>中阶小怪伤害加成</t>
  </si>
  <si>
    <t>RuinsBuff_Name_031</t>
  </si>
  <si>
    <t>32,2500</t>
  </si>
  <si>
    <t>中阶技能冷却</t>
  </si>
  <si>
    <t>RuinsBuff_Name_032</t>
  </si>
  <si>
    <t>40,500</t>
  </si>
  <si>
    <t>普通伤害加成</t>
  </si>
  <si>
    <t>RuinsBuff_Name_033</t>
  </si>
  <si>
    <t>10,7500|11,7500|12,7500</t>
  </si>
  <si>
    <t>普通生命加成</t>
  </si>
  <si>
    <t>RuinsBuff_Name_034</t>
  </si>
  <si>
    <t>13,12500</t>
  </si>
  <si>
    <t>普通防御加成</t>
  </si>
  <si>
    <t>RuinsBuff_Name_035</t>
  </si>
  <si>
    <t>14,7500|15,7500|16,7500</t>
  </si>
  <si>
    <t>普通金币加成</t>
  </si>
  <si>
    <t>RuinsBuff_Name_036</t>
  </si>
  <si>
    <t>39,2500</t>
  </si>
  <si>
    <t>普通暴击率</t>
  </si>
  <si>
    <t>RuinsBuff_Name_037</t>
  </si>
  <si>
    <t>29,250</t>
  </si>
  <si>
    <t>普通爆伤值</t>
  </si>
  <si>
    <t>RuinsBuff_Name_038</t>
  </si>
  <si>
    <t>30,12500</t>
  </si>
  <si>
    <t>普通元素加成</t>
  </si>
  <si>
    <t>RuinsBuff_Name_039</t>
  </si>
  <si>
    <t>17,7500|18,7500|19,7500|20,7500</t>
  </si>
  <si>
    <t>普通宠物伤害加成</t>
  </si>
  <si>
    <t>RuinsBuff_Name_040</t>
  </si>
  <si>
    <t>21,7500</t>
  </si>
  <si>
    <t>普通格挡率</t>
  </si>
  <si>
    <t>RuinsBuff_Name_041</t>
  </si>
  <si>
    <t>26,250</t>
  </si>
  <si>
    <t>普通闪避率</t>
  </si>
  <si>
    <t>RuinsBuff_Name_042</t>
  </si>
  <si>
    <t>24,250</t>
  </si>
  <si>
    <t>普通稀有传承概率</t>
  </si>
  <si>
    <t>RuinsBuff_Name_043</t>
  </si>
  <si>
    <t>44,750</t>
  </si>
  <si>
    <t>普通传承掉落概率</t>
  </si>
  <si>
    <t>RuinsBuff_Name_044</t>
  </si>
  <si>
    <t>45,750</t>
  </si>
  <si>
    <t>普通无视防御</t>
  </si>
  <si>
    <t>RuinsBuff_Name_045</t>
  </si>
  <si>
    <t>28,250</t>
  </si>
  <si>
    <t>普通BOSS伤害加成</t>
  </si>
  <si>
    <t>RuinsBuff_Name_046</t>
  </si>
  <si>
    <t>31,1250</t>
  </si>
  <si>
    <t>普通小怪伤害加成</t>
  </si>
  <si>
    <t>RuinsBuff_Name_047</t>
  </si>
  <si>
    <t>32,1250</t>
  </si>
  <si>
    <t>普通技能冷却</t>
  </si>
  <si>
    <t>RuinsBuff_Name_048</t>
  </si>
  <si>
    <t>40,250</t>
  </si>
  <si>
    <r>
      <rPr>
        <sz val="11"/>
        <color theme="1"/>
        <rFont val="宋体"/>
        <charset val="134"/>
        <scheme val="minor"/>
      </rPr>
      <t>遗迹B</t>
    </r>
    <r>
      <rPr>
        <sz val="11"/>
        <color theme="1"/>
        <rFont val="宋体"/>
        <charset val="134"/>
        <scheme val="minor"/>
      </rPr>
      <t>UFF类型</t>
    </r>
  </si>
  <si>
    <t>数值</t>
  </si>
  <si>
    <t>高阶</t>
  </si>
  <si>
    <t>|</t>
  </si>
  <si>
    <t>,</t>
  </si>
  <si>
    <t>中阶</t>
  </si>
  <si>
    <t>普通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</si>
</sst>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 applyAlignment="1"/>
    <xf numFmtId="0" fontId="0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workbookViewId="0">
      <selection activeCell="L17" sqref="L17"/>
    </sheetView>
  </sheetViews>
  <sheetFormatPr defaultColWidth="9" defaultRowHeight="13.5"/>
  <cols>
    <col min="1" max="1" width="9" style="5"/>
    <col min="2" max="2" width="17.5" style="5" customWidth="1"/>
    <col min="3" max="4" width="24" style="5" customWidth="1"/>
    <col min="5" max="5" width="39.375" style="5" customWidth="1"/>
    <col min="6" max="7" width="9" style="5"/>
    <col min="8" max="8" width="13.375" style="5" customWidth="1"/>
    <col min="9" max="16384" width="9" style="5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5" t="s">
        <v>8</v>
      </c>
    </row>
    <row r="2" spans="1:9">
      <c r="A2" s="6" t="s">
        <v>9</v>
      </c>
      <c r="B2" s="6" t="s">
        <v>10</v>
      </c>
      <c r="C2" s="6" t="s">
        <v>10</v>
      </c>
      <c r="D2" s="6" t="s">
        <v>9</v>
      </c>
      <c r="E2" s="6" t="s">
        <v>10</v>
      </c>
      <c r="F2" s="6" t="s">
        <v>9</v>
      </c>
      <c r="G2" s="6" t="s">
        <v>9</v>
      </c>
      <c r="H2" s="6" t="s">
        <v>10</v>
      </c>
      <c r="I2" s="5" t="s">
        <v>9</v>
      </c>
    </row>
    <row r="3" spans="1:9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7" t="s">
        <v>17</v>
      </c>
      <c r="H3" s="7" t="s">
        <v>18</v>
      </c>
      <c r="I3" s="5" t="s">
        <v>19</v>
      </c>
    </row>
    <row r="4" spans="1:9">
      <c r="A4" s="5">
        <v>1001</v>
      </c>
      <c r="B4" s="7" t="s">
        <v>20</v>
      </c>
      <c r="C4" s="7" t="s">
        <v>21</v>
      </c>
      <c r="D4" s="7">
        <v>3</v>
      </c>
      <c r="E4" s="7" t="s">
        <v>22</v>
      </c>
      <c r="F4" s="5">
        <v>100</v>
      </c>
      <c r="G4" s="5">
        <v>600</v>
      </c>
      <c r="H4" s="8" t="s">
        <v>23</v>
      </c>
      <c r="I4" s="6">
        <v>1004</v>
      </c>
    </row>
    <row r="5" spans="1:9">
      <c r="A5" s="5">
        <v>1002</v>
      </c>
      <c r="B5" s="7" t="s">
        <v>24</v>
      </c>
      <c r="C5" s="7" t="s">
        <v>25</v>
      </c>
      <c r="D5" s="7">
        <v>3</v>
      </c>
      <c r="E5" s="7" t="s">
        <v>26</v>
      </c>
      <c r="F5" s="5">
        <v>100</v>
      </c>
      <c r="G5" s="5">
        <v>600</v>
      </c>
      <c r="H5" s="8" t="s">
        <v>27</v>
      </c>
      <c r="I5" s="6">
        <v>3004</v>
      </c>
    </row>
    <row r="6" spans="1:9">
      <c r="A6" s="5">
        <v>1003</v>
      </c>
      <c r="B6" s="7" t="s">
        <v>28</v>
      </c>
      <c r="C6" s="7" t="s">
        <v>29</v>
      </c>
      <c r="D6" s="7">
        <v>3</v>
      </c>
      <c r="E6" s="7" t="s">
        <v>30</v>
      </c>
      <c r="F6" s="5">
        <v>100</v>
      </c>
      <c r="G6" s="5">
        <v>600</v>
      </c>
      <c r="H6" s="8" t="s">
        <v>31</v>
      </c>
      <c r="I6" s="8">
        <v>2004</v>
      </c>
    </row>
    <row r="7" spans="1:9">
      <c r="A7" s="5">
        <v>1004</v>
      </c>
      <c r="B7" s="7" t="s">
        <v>32</v>
      </c>
      <c r="C7" s="7" t="s">
        <v>33</v>
      </c>
      <c r="D7" s="7">
        <v>3</v>
      </c>
      <c r="E7" s="7" t="s">
        <v>34</v>
      </c>
      <c r="F7" s="5">
        <v>100</v>
      </c>
      <c r="G7" s="5">
        <v>600</v>
      </c>
      <c r="H7" s="8" t="s">
        <v>35</v>
      </c>
      <c r="I7" s="8">
        <v>3013</v>
      </c>
    </row>
    <row r="8" spans="1:9">
      <c r="A8" s="5">
        <v>1005</v>
      </c>
      <c r="B8" s="7" t="s">
        <v>36</v>
      </c>
      <c r="C8" s="7" t="s">
        <v>37</v>
      </c>
      <c r="D8" s="7">
        <v>3</v>
      </c>
      <c r="E8" s="7" t="s">
        <v>38</v>
      </c>
      <c r="F8" s="5">
        <v>100</v>
      </c>
      <c r="G8" s="5">
        <v>600</v>
      </c>
      <c r="H8" s="8" t="s">
        <v>39</v>
      </c>
      <c r="I8" s="8">
        <v>1006</v>
      </c>
    </row>
    <row r="9" spans="1:9">
      <c r="A9" s="5">
        <v>1006</v>
      </c>
      <c r="B9" s="7" t="s">
        <v>40</v>
      </c>
      <c r="C9" s="7" t="s">
        <v>41</v>
      </c>
      <c r="D9" s="7">
        <v>3</v>
      </c>
      <c r="E9" s="7" t="s">
        <v>42</v>
      </c>
      <c r="F9" s="5">
        <v>100</v>
      </c>
      <c r="G9" s="5">
        <v>600</v>
      </c>
      <c r="H9" s="8" t="s">
        <v>43</v>
      </c>
      <c r="I9" s="8">
        <v>1017</v>
      </c>
    </row>
    <row r="10" spans="1:9">
      <c r="A10" s="5">
        <v>1007</v>
      </c>
      <c r="B10" s="7" t="s">
        <v>44</v>
      </c>
      <c r="C10" s="7" t="s">
        <v>45</v>
      </c>
      <c r="D10" s="7">
        <v>3</v>
      </c>
      <c r="E10" s="7" t="s">
        <v>46</v>
      </c>
      <c r="F10" s="5">
        <v>100</v>
      </c>
      <c r="G10" s="5">
        <v>600</v>
      </c>
      <c r="H10" s="8" t="s">
        <v>47</v>
      </c>
      <c r="I10" s="8">
        <v>1015</v>
      </c>
    </row>
    <row r="11" spans="1:9">
      <c r="A11" s="5">
        <v>1008</v>
      </c>
      <c r="B11" s="7" t="s">
        <v>48</v>
      </c>
      <c r="C11" s="7" t="s">
        <v>49</v>
      </c>
      <c r="D11" s="7">
        <v>3</v>
      </c>
      <c r="E11" s="7" t="s">
        <v>50</v>
      </c>
      <c r="F11" s="5">
        <v>100</v>
      </c>
      <c r="G11" s="5">
        <v>600</v>
      </c>
      <c r="H11" s="9" t="s">
        <v>51</v>
      </c>
      <c r="I11" s="8">
        <v>272</v>
      </c>
    </row>
    <row r="12" spans="1:9">
      <c r="A12" s="5">
        <v>1009</v>
      </c>
      <c r="B12" s="7" t="s">
        <v>52</v>
      </c>
      <c r="C12" s="7" t="s">
        <v>53</v>
      </c>
      <c r="D12" s="7">
        <v>3</v>
      </c>
      <c r="E12" s="5" t="s">
        <v>54</v>
      </c>
      <c r="F12" s="5">
        <v>100</v>
      </c>
      <c r="G12" s="5">
        <v>600</v>
      </c>
      <c r="H12" s="9" t="s">
        <v>55</v>
      </c>
      <c r="I12" s="8">
        <v>2006</v>
      </c>
    </row>
    <row r="13" spans="1:9">
      <c r="A13" s="5">
        <v>1010</v>
      </c>
      <c r="B13" s="7" t="s">
        <v>56</v>
      </c>
      <c r="C13" s="7" t="s">
        <v>57</v>
      </c>
      <c r="D13" s="7">
        <v>3</v>
      </c>
      <c r="E13" s="5" t="s">
        <v>58</v>
      </c>
      <c r="F13" s="5">
        <v>100</v>
      </c>
      <c r="G13" s="5">
        <v>600</v>
      </c>
      <c r="H13" s="9" t="s">
        <v>59</v>
      </c>
      <c r="I13" s="8">
        <v>2010</v>
      </c>
    </row>
    <row r="14" spans="1:9">
      <c r="A14" s="5">
        <v>1011</v>
      </c>
      <c r="B14" s="7" t="s">
        <v>60</v>
      </c>
      <c r="C14" s="7" t="s">
        <v>61</v>
      </c>
      <c r="D14" s="7">
        <v>3</v>
      </c>
      <c r="E14" s="5" t="s">
        <v>62</v>
      </c>
      <c r="F14" s="5">
        <v>100</v>
      </c>
      <c r="G14" s="5">
        <v>600</v>
      </c>
      <c r="H14" s="8" t="s">
        <v>63</v>
      </c>
      <c r="I14" s="8">
        <v>3015</v>
      </c>
    </row>
    <row r="15" spans="1:9">
      <c r="A15" s="5">
        <v>1012</v>
      </c>
      <c r="B15" s="7" t="s">
        <v>64</v>
      </c>
      <c r="C15" s="7" t="s">
        <v>65</v>
      </c>
      <c r="D15" s="7">
        <v>3</v>
      </c>
      <c r="E15" s="5" t="s">
        <v>66</v>
      </c>
      <c r="F15" s="5">
        <v>100</v>
      </c>
      <c r="G15" s="5">
        <v>600</v>
      </c>
      <c r="H15" s="9" t="s">
        <v>67</v>
      </c>
      <c r="I15" s="8">
        <v>3008</v>
      </c>
    </row>
    <row r="16" spans="1:9">
      <c r="A16" s="5">
        <v>1013</v>
      </c>
      <c r="B16" s="7" t="s">
        <v>68</v>
      </c>
      <c r="C16" s="7" t="s">
        <v>69</v>
      </c>
      <c r="D16" s="7">
        <v>3</v>
      </c>
      <c r="E16" s="5" t="s">
        <v>70</v>
      </c>
      <c r="F16" s="5">
        <v>100</v>
      </c>
      <c r="G16" s="5">
        <v>600</v>
      </c>
      <c r="H16" s="9" t="s">
        <v>71</v>
      </c>
      <c r="I16" s="8">
        <v>1013</v>
      </c>
    </row>
    <row r="17" spans="1:9">
      <c r="A17" s="5">
        <v>1014</v>
      </c>
      <c r="B17" s="7" t="s">
        <v>72</v>
      </c>
      <c r="C17" s="7" t="s">
        <v>73</v>
      </c>
      <c r="D17" s="7">
        <v>3</v>
      </c>
      <c r="E17" s="5" t="s">
        <v>74</v>
      </c>
      <c r="F17" s="5">
        <v>100</v>
      </c>
      <c r="G17" s="5">
        <v>600</v>
      </c>
      <c r="H17" s="9" t="s">
        <v>75</v>
      </c>
      <c r="I17" s="8">
        <v>2017</v>
      </c>
    </row>
    <row r="18" spans="1:9">
      <c r="A18" s="5">
        <v>1015</v>
      </c>
      <c r="B18" s="7" t="s">
        <v>76</v>
      </c>
      <c r="C18" s="7" t="s">
        <v>77</v>
      </c>
      <c r="D18" s="7">
        <v>3</v>
      </c>
      <c r="E18" s="5" t="s">
        <v>78</v>
      </c>
      <c r="F18" s="5">
        <v>100</v>
      </c>
      <c r="G18" s="5">
        <v>600</v>
      </c>
      <c r="H18" s="9" t="s">
        <v>79</v>
      </c>
      <c r="I18" s="8">
        <v>1019</v>
      </c>
    </row>
    <row r="19" spans="1:9">
      <c r="A19" s="5">
        <v>1016</v>
      </c>
      <c r="B19" s="7" t="s">
        <v>80</v>
      </c>
      <c r="C19" s="7" t="s">
        <v>81</v>
      </c>
      <c r="D19" s="7">
        <v>3</v>
      </c>
      <c r="E19" s="5" t="s">
        <v>82</v>
      </c>
      <c r="F19" s="5">
        <v>100</v>
      </c>
      <c r="G19" s="5">
        <v>600</v>
      </c>
      <c r="H19" s="9" t="s">
        <v>83</v>
      </c>
      <c r="I19" s="8">
        <v>3022</v>
      </c>
    </row>
    <row r="20" spans="1:9">
      <c r="A20" s="5">
        <v>1017</v>
      </c>
      <c r="B20" s="7" t="s">
        <v>84</v>
      </c>
      <c r="C20" s="7" t="s">
        <v>85</v>
      </c>
      <c r="D20" s="7">
        <f>D4-1</f>
        <v>2</v>
      </c>
      <c r="E20" s="5" t="s">
        <v>86</v>
      </c>
      <c r="F20" s="5">
        <f>F4*5</f>
        <v>500</v>
      </c>
      <c r="G20" s="5">
        <v>600</v>
      </c>
      <c r="H20" s="8" t="s">
        <v>23</v>
      </c>
      <c r="I20" s="6">
        <v>1004</v>
      </c>
    </row>
    <row r="21" spans="1:9">
      <c r="A21" s="5">
        <v>1018</v>
      </c>
      <c r="B21" s="7" t="s">
        <v>87</v>
      </c>
      <c r="C21" s="7" t="s">
        <v>88</v>
      </c>
      <c r="D21" s="7">
        <f t="shared" ref="D21:D51" si="0">D5-1</f>
        <v>2</v>
      </c>
      <c r="E21" s="5" t="s">
        <v>89</v>
      </c>
      <c r="F21" s="5">
        <f t="shared" ref="F21:F51" si="1">F5*5</f>
        <v>500</v>
      </c>
      <c r="G21" s="5">
        <v>600</v>
      </c>
      <c r="H21" s="8" t="s">
        <v>27</v>
      </c>
      <c r="I21" s="6">
        <v>3004</v>
      </c>
    </row>
    <row r="22" spans="1:9">
      <c r="A22" s="5">
        <v>1019</v>
      </c>
      <c r="B22" s="7" t="s">
        <v>90</v>
      </c>
      <c r="C22" s="7" t="s">
        <v>91</v>
      </c>
      <c r="D22" s="7">
        <f t="shared" si="0"/>
        <v>2</v>
      </c>
      <c r="E22" s="5" t="s">
        <v>92</v>
      </c>
      <c r="F22" s="5">
        <f t="shared" si="1"/>
        <v>500</v>
      </c>
      <c r="G22" s="5">
        <v>600</v>
      </c>
      <c r="H22" s="8" t="s">
        <v>31</v>
      </c>
      <c r="I22" s="8">
        <v>2004</v>
      </c>
    </row>
    <row r="23" spans="1:9">
      <c r="A23" s="5">
        <v>1020</v>
      </c>
      <c r="B23" s="7" t="s">
        <v>93</v>
      </c>
      <c r="C23" s="7" t="s">
        <v>94</v>
      </c>
      <c r="D23" s="7">
        <f t="shared" si="0"/>
        <v>2</v>
      </c>
      <c r="E23" s="5" t="s">
        <v>95</v>
      </c>
      <c r="F23" s="5">
        <f t="shared" si="1"/>
        <v>500</v>
      </c>
      <c r="G23" s="5">
        <v>600</v>
      </c>
      <c r="H23" s="8" t="s">
        <v>35</v>
      </c>
      <c r="I23" s="8">
        <v>3013</v>
      </c>
    </row>
    <row r="24" spans="1:9">
      <c r="A24" s="5">
        <v>1021</v>
      </c>
      <c r="B24" s="7" t="s">
        <v>96</v>
      </c>
      <c r="C24" s="7" t="s">
        <v>97</v>
      </c>
      <c r="D24" s="7">
        <f t="shared" si="0"/>
        <v>2</v>
      </c>
      <c r="E24" s="5" t="s">
        <v>98</v>
      </c>
      <c r="F24" s="5">
        <f t="shared" si="1"/>
        <v>500</v>
      </c>
      <c r="G24" s="5">
        <v>600</v>
      </c>
      <c r="H24" s="8" t="s">
        <v>39</v>
      </c>
      <c r="I24" s="8">
        <v>1006</v>
      </c>
    </row>
    <row r="25" spans="1:9">
      <c r="A25" s="5">
        <v>1022</v>
      </c>
      <c r="B25" s="7" t="s">
        <v>99</v>
      </c>
      <c r="C25" s="7" t="s">
        <v>100</v>
      </c>
      <c r="D25" s="7">
        <f t="shared" si="0"/>
        <v>2</v>
      </c>
      <c r="E25" s="5" t="s">
        <v>101</v>
      </c>
      <c r="F25" s="5">
        <f t="shared" si="1"/>
        <v>500</v>
      </c>
      <c r="G25" s="5">
        <v>600</v>
      </c>
      <c r="H25" s="8" t="s">
        <v>43</v>
      </c>
      <c r="I25" s="8">
        <v>1017</v>
      </c>
    </row>
    <row r="26" spans="1:9">
      <c r="A26" s="5">
        <v>1023</v>
      </c>
      <c r="B26" s="7" t="s">
        <v>102</v>
      </c>
      <c r="C26" s="7" t="s">
        <v>103</v>
      </c>
      <c r="D26" s="7">
        <f t="shared" si="0"/>
        <v>2</v>
      </c>
      <c r="E26" s="5" t="s">
        <v>104</v>
      </c>
      <c r="F26" s="5">
        <f t="shared" si="1"/>
        <v>500</v>
      </c>
      <c r="G26" s="5">
        <v>600</v>
      </c>
      <c r="H26" s="8" t="s">
        <v>47</v>
      </c>
      <c r="I26" s="8">
        <v>1015</v>
      </c>
    </row>
    <row r="27" spans="1:9">
      <c r="A27" s="5">
        <v>1024</v>
      </c>
      <c r="B27" s="7" t="s">
        <v>105</v>
      </c>
      <c r="C27" s="7" t="s">
        <v>106</v>
      </c>
      <c r="D27" s="7">
        <f t="shared" si="0"/>
        <v>2</v>
      </c>
      <c r="E27" s="5" t="s">
        <v>107</v>
      </c>
      <c r="F27" s="5">
        <f t="shared" si="1"/>
        <v>500</v>
      </c>
      <c r="G27" s="5">
        <v>600</v>
      </c>
      <c r="H27" s="9" t="s">
        <v>51</v>
      </c>
      <c r="I27" s="8">
        <v>272</v>
      </c>
    </row>
    <row r="28" spans="1:9">
      <c r="A28" s="5">
        <v>1025</v>
      </c>
      <c r="B28" s="7" t="s">
        <v>108</v>
      </c>
      <c r="C28" s="7" t="s">
        <v>109</v>
      </c>
      <c r="D28" s="7">
        <f t="shared" si="0"/>
        <v>2</v>
      </c>
      <c r="E28" s="5" t="s">
        <v>110</v>
      </c>
      <c r="F28" s="5">
        <f t="shared" si="1"/>
        <v>500</v>
      </c>
      <c r="G28" s="5">
        <v>600</v>
      </c>
      <c r="H28" s="9" t="s">
        <v>55</v>
      </c>
      <c r="I28" s="8">
        <v>2006</v>
      </c>
    </row>
    <row r="29" spans="1:9">
      <c r="A29" s="5">
        <v>1026</v>
      </c>
      <c r="B29" s="7" t="s">
        <v>111</v>
      </c>
      <c r="C29" s="7" t="s">
        <v>112</v>
      </c>
      <c r="D29" s="7">
        <f t="shared" si="0"/>
        <v>2</v>
      </c>
      <c r="E29" s="5" t="s">
        <v>113</v>
      </c>
      <c r="F29" s="5">
        <f t="shared" si="1"/>
        <v>500</v>
      </c>
      <c r="G29" s="5">
        <v>600</v>
      </c>
      <c r="H29" s="9" t="s">
        <v>59</v>
      </c>
      <c r="I29" s="8">
        <v>2010</v>
      </c>
    </row>
    <row r="30" spans="1:9">
      <c r="A30" s="5">
        <v>1027</v>
      </c>
      <c r="B30" s="7" t="s">
        <v>114</v>
      </c>
      <c r="C30" s="7" t="s">
        <v>115</v>
      </c>
      <c r="D30" s="7">
        <f t="shared" si="0"/>
        <v>2</v>
      </c>
      <c r="E30" s="5" t="s">
        <v>116</v>
      </c>
      <c r="F30" s="5">
        <f t="shared" si="1"/>
        <v>500</v>
      </c>
      <c r="G30" s="5">
        <v>600</v>
      </c>
      <c r="H30" s="8" t="s">
        <v>63</v>
      </c>
      <c r="I30" s="8">
        <v>3015</v>
      </c>
    </row>
    <row r="31" spans="1:9">
      <c r="A31" s="5">
        <v>1028</v>
      </c>
      <c r="B31" s="7" t="s">
        <v>117</v>
      </c>
      <c r="C31" s="7" t="s">
        <v>118</v>
      </c>
      <c r="D31" s="7">
        <f t="shared" si="0"/>
        <v>2</v>
      </c>
      <c r="E31" s="5" t="s">
        <v>119</v>
      </c>
      <c r="F31" s="5">
        <f t="shared" si="1"/>
        <v>500</v>
      </c>
      <c r="G31" s="5">
        <v>600</v>
      </c>
      <c r="H31" s="9" t="s">
        <v>67</v>
      </c>
      <c r="I31" s="8">
        <v>3008</v>
      </c>
    </row>
    <row r="32" spans="1:9">
      <c r="A32" s="5">
        <v>1029</v>
      </c>
      <c r="B32" s="7" t="s">
        <v>120</v>
      </c>
      <c r="C32" s="7" t="s">
        <v>121</v>
      </c>
      <c r="D32" s="7">
        <f t="shared" si="0"/>
        <v>2</v>
      </c>
      <c r="E32" s="5" t="s">
        <v>122</v>
      </c>
      <c r="F32" s="5">
        <f t="shared" si="1"/>
        <v>500</v>
      </c>
      <c r="G32" s="5">
        <v>600</v>
      </c>
      <c r="H32" s="9" t="s">
        <v>71</v>
      </c>
      <c r="I32" s="8">
        <v>1013</v>
      </c>
    </row>
    <row r="33" spans="1:9">
      <c r="A33" s="5">
        <v>1030</v>
      </c>
      <c r="B33" s="7" t="s">
        <v>123</v>
      </c>
      <c r="C33" s="7" t="s">
        <v>124</v>
      </c>
      <c r="D33" s="7">
        <f t="shared" si="0"/>
        <v>2</v>
      </c>
      <c r="E33" s="5" t="s">
        <v>125</v>
      </c>
      <c r="F33" s="5">
        <f t="shared" si="1"/>
        <v>500</v>
      </c>
      <c r="G33" s="5">
        <v>600</v>
      </c>
      <c r="H33" s="9" t="s">
        <v>75</v>
      </c>
      <c r="I33" s="8">
        <v>2017</v>
      </c>
    </row>
    <row r="34" spans="1:9">
      <c r="A34" s="5">
        <v>1031</v>
      </c>
      <c r="B34" s="7" t="s">
        <v>126</v>
      </c>
      <c r="C34" s="7" t="s">
        <v>127</v>
      </c>
      <c r="D34" s="7">
        <f t="shared" si="0"/>
        <v>2</v>
      </c>
      <c r="E34" s="5" t="s">
        <v>128</v>
      </c>
      <c r="F34" s="5">
        <f t="shared" si="1"/>
        <v>500</v>
      </c>
      <c r="G34" s="5">
        <v>600</v>
      </c>
      <c r="H34" s="9" t="s">
        <v>79</v>
      </c>
      <c r="I34" s="8">
        <v>1019</v>
      </c>
    </row>
    <row r="35" spans="1:9">
      <c r="A35" s="5">
        <v>1032</v>
      </c>
      <c r="B35" s="7" t="s">
        <v>129</v>
      </c>
      <c r="C35" s="7" t="s">
        <v>130</v>
      </c>
      <c r="D35" s="7">
        <f t="shared" si="0"/>
        <v>2</v>
      </c>
      <c r="E35" s="5" t="s">
        <v>131</v>
      </c>
      <c r="F35" s="5">
        <f t="shared" si="1"/>
        <v>500</v>
      </c>
      <c r="G35" s="5">
        <v>600</v>
      </c>
      <c r="H35" s="9" t="s">
        <v>83</v>
      </c>
      <c r="I35" s="8">
        <v>3022</v>
      </c>
    </row>
    <row r="36" spans="1:9">
      <c r="A36" s="5">
        <v>1033</v>
      </c>
      <c r="B36" s="7" t="s">
        <v>132</v>
      </c>
      <c r="C36" s="7" t="s">
        <v>133</v>
      </c>
      <c r="D36" s="7">
        <f t="shared" si="0"/>
        <v>1</v>
      </c>
      <c r="E36" s="5" t="s">
        <v>134</v>
      </c>
      <c r="F36" s="5">
        <f t="shared" si="1"/>
        <v>2500</v>
      </c>
      <c r="G36" s="5">
        <v>600</v>
      </c>
      <c r="H36" s="8" t="s">
        <v>23</v>
      </c>
      <c r="I36" s="6">
        <v>1004</v>
      </c>
    </row>
    <row r="37" spans="1:9">
      <c r="A37" s="5">
        <v>1034</v>
      </c>
      <c r="B37" s="7" t="s">
        <v>135</v>
      </c>
      <c r="C37" s="7" t="s">
        <v>136</v>
      </c>
      <c r="D37" s="7">
        <f t="shared" si="0"/>
        <v>1</v>
      </c>
      <c r="E37" s="5" t="s">
        <v>137</v>
      </c>
      <c r="F37" s="5">
        <f t="shared" si="1"/>
        <v>2500</v>
      </c>
      <c r="G37" s="5">
        <v>600</v>
      </c>
      <c r="H37" s="8" t="s">
        <v>27</v>
      </c>
      <c r="I37" s="6">
        <v>3004</v>
      </c>
    </row>
    <row r="38" spans="1:9">
      <c r="A38" s="5">
        <v>1035</v>
      </c>
      <c r="B38" s="7" t="s">
        <v>138</v>
      </c>
      <c r="C38" s="7" t="s">
        <v>139</v>
      </c>
      <c r="D38" s="7">
        <f t="shared" si="0"/>
        <v>1</v>
      </c>
      <c r="E38" s="5" t="s">
        <v>140</v>
      </c>
      <c r="F38" s="5">
        <f t="shared" si="1"/>
        <v>2500</v>
      </c>
      <c r="G38" s="5">
        <v>600</v>
      </c>
      <c r="H38" s="8" t="s">
        <v>31</v>
      </c>
      <c r="I38" s="8">
        <v>2004</v>
      </c>
    </row>
    <row r="39" spans="1:9">
      <c r="A39" s="5">
        <v>1036</v>
      </c>
      <c r="B39" s="7" t="s">
        <v>141</v>
      </c>
      <c r="C39" s="7" t="s">
        <v>142</v>
      </c>
      <c r="D39" s="7">
        <f t="shared" si="0"/>
        <v>1</v>
      </c>
      <c r="E39" s="5" t="s">
        <v>143</v>
      </c>
      <c r="F39" s="5">
        <f t="shared" si="1"/>
        <v>2500</v>
      </c>
      <c r="G39" s="5">
        <v>600</v>
      </c>
      <c r="H39" s="8" t="s">
        <v>35</v>
      </c>
      <c r="I39" s="8">
        <v>3013</v>
      </c>
    </row>
    <row r="40" spans="1:9">
      <c r="A40" s="5">
        <v>1037</v>
      </c>
      <c r="B40" s="7" t="s">
        <v>144</v>
      </c>
      <c r="C40" s="7" t="s">
        <v>145</v>
      </c>
      <c r="D40" s="7">
        <f t="shared" si="0"/>
        <v>1</v>
      </c>
      <c r="E40" s="5" t="s">
        <v>146</v>
      </c>
      <c r="F40" s="5">
        <f t="shared" si="1"/>
        <v>2500</v>
      </c>
      <c r="G40" s="5">
        <v>600</v>
      </c>
      <c r="H40" s="8" t="s">
        <v>39</v>
      </c>
      <c r="I40" s="8">
        <v>1006</v>
      </c>
    </row>
    <row r="41" spans="1:9">
      <c r="A41" s="5">
        <v>1038</v>
      </c>
      <c r="B41" s="7" t="s">
        <v>147</v>
      </c>
      <c r="C41" s="7" t="s">
        <v>148</v>
      </c>
      <c r="D41" s="7">
        <f t="shared" si="0"/>
        <v>1</v>
      </c>
      <c r="E41" s="5" t="s">
        <v>149</v>
      </c>
      <c r="F41" s="5">
        <f t="shared" si="1"/>
        <v>2500</v>
      </c>
      <c r="G41" s="5">
        <v>600</v>
      </c>
      <c r="H41" s="8" t="s">
        <v>43</v>
      </c>
      <c r="I41" s="8">
        <v>1017</v>
      </c>
    </row>
    <row r="42" spans="1:9">
      <c r="A42" s="5">
        <v>1039</v>
      </c>
      <c r="B42" s="7" t="s">
        <v>150</v>
      </c>
      <c r="C42" s="7" t="s">
        <v>151</v>
      </c>
      <c r="D42" s="7">
        <f t="shared" si="0"/>
        <v>1</v>
      </c>
      <c r="E42" s="5" t="s">
        <v>152</v>
      </c>
      <c r="F42" s="5">
        <f t="shared" si="1"/>
        <v>2500</v>
      </c>
      <c r="G42" s="5">
        <v>600</v>
      </c>
      <c r="H42" s="8" t="s">
        <v>47</v>
      </c>
      <c r="I42" s="8">
        <v>1015</v>
      </c>
    </row>
    <row r="43" spans="1:9">
      <c r="A43" s="5">
        <v>1040</v>
      </c>
      <c r="B43" s="7" t="s">
        <v>153</v>
      </c>
      <c r="C43" s="7" t="s">
        <v>154</v>
      </c>
      <c r="D43" s="7">
        <f t="shared" si="0"/>
        <v>1</v>
      </c>
      <c r="E43" s="5" t="s">
        <v>155</v>
      </c>
      <c r="F43" s="5">
        <f t="shared" si="1"/>
        <v>2500</v>
      </c>
      <c r="G43" s="5">
        <v>600</v>
      </c>
      <c r="H43" s="9" t="s">
        <v>51</v>
      </c>
      <c r="I43" s="8">
        <v>272</v>
      </c>
    </row>
    <row r="44" spans="1:9">
      <c r="A44" s="5">
        <v>1041</v>
      </c>
      <c r="B44" s="7" t="s">
        <v>156</v>
      </c>
      <c r="C44" s="7" t="s">
        <v>157</v>
      </c>
      <c r="D44" s="7">
        <f t="shared" si="0"/>
        <v>1</v>
      </c>
      <c r="E44" s="5" t="s">
        <v>158</v>
      </c>
      <c r="F44" s="5">
        <f t="shared" si="1"/>
        <v>2500</v>
      </c>
      <c r="G44" s="5">
        <v>600</v>
      </c>
      <c r="H44" s="9" t="s">
        <v>55</v>
      </c>
      <c r="I44" s="8">
        <v>2006</v>
      </c>
    </row>
    <row r="45" spans="1:9">
      <c r="A45" s="5">
        <v>1042</v>
      </c>
      <c r="B45" s="7" t="s">
        <v>159</v>
      </c>
      <c r="C45" s="7" t="s">
        <v>160</v>
      </c>
      <c r="D45" s="7">
        <f t="shared" si="0"/>
        <v>1</v>
      </c>
      <c r="E45" s="5" t="s">
        <v>161</v>
      </c>
      <c r="F45" s="5">
        <f t="shared" si="1"/>
        <v>2500</v>
      </c>
      <c r="G45" s="5">
        <v>600</v>
      </c>
      <c r="H45" s="9" t="s">
        <v>59</v>
      </c>
      <c r="I45" s="8">
        <v>2010</v>
      </c>
    </row>
    <row r="46" spans="1:9">
      <c r="A46" s="5">
        <v>1043</v>
      </c>
      <c r="B46" s="7" t="s">
        <v>162</v>
      </c>
      <c r="C46" s="7" t="s">
        <v>163</v>
      </c>
      <c r="D46" s="7">
        <f t="shared" si="0"/>
        <v>1</v>
      </c>
      <c r="E46" s="5" t="s">
        <v>164</v>
      </c>
      <c r="F46" s="5">
        <f t="shared" si="1"/>
        <v>2500</v>
      </c>
      <c r="G46" s="5">
        <v>600</v>
      </c>
      <c r="H46" s="8" t="s">
        <v>63</v>
      </c>
      <c r="I46" s="8">
        <v>3015</v>
      </c>
    </row>
    <row r="47" spans="1:9">
      <c r="A47" s="5">
        <v>1044</v>
      </c>
      <c r="B47" s="7" t="s">
        <v>165</v>
      </c>
      <c r="C47" s="7" t="s">
        <v>166</v>
      </c>
      <c r="D47" s="7">
        <f t="shared" si="0"/>
        <v>1</v>
      </c>
      <c r="E47" s="5" t="s">
        <v>167</v>
      </c>
      <c r="F47" s="5">
        <f t="shared" si="1"/>
        <v>2500</v>
      </c>
      <c r="G47" s="5">
        <v>600</v>
      </c>
      <c r="H47" s="9" t="s">
        <v>67</v>
      </c>
      <c r="I47" s="8">
        <v>3008</v>
      </c>
    </row>
    <row r="48" spans="1:9">
      <c r="A48" s="5">
        <v>1045</v>
      </c>
      <c r="B48" s="7" t="s">
        <v>168</v>
      </c>
      <c r="C48" s="7" t="s">
        <v>169</v>
      </c>
      <c r="D48" s="7">
        <f t="shared" si="0"/>
        <v>1</v>
      </c>
      <c r="E48" s="5" t="s">
        <v>170</v>
      </c>
      <c r="F48" s="5">
        <f t="shared" si="1"/>
        <v>2500</v>
      </c>
      <c r="G48" s="5">
        <v>600</v>
      </c>
      <c r="H48" s="9" t="s">
        <v>71</v>
      </c>
      <c r="I48" s="8">
        <v>1013</v>
      </c>
    </row>
    <row r="49" spans="1:9">
      <c r="A49" s="5">
        <v>1046</v>
      </c>
      <c r="B49" s="7" t="s">
        <v>171</v>
      </c>
      <c r="C49" s="7" t="s">
        <v>172</v>
      </c>
      <c r="D49" s="7">
        <f t="shared" si="0"/>
        <v>1</v>
      </c>
      <c r="E49" s="5" t="s">
        <v>173</v>
      </c>
      <c r="F49" s="5">
        <f t="shared" si="1"/>
        <v>2500</v>
      </c>
      <c r="G49" s="5">
        <v>600</v>
      </c>
      <c r="H49" s="9" t="s">
        <v>75</v>
      </c>
      <c r="I49" s="8">
        <v>2017</v>
      </c>
    </row>
    <row r="50" spans="1:9">
      <c r="A50" s="5">
        <v>1047</v>
      </c>
      <c r="B50" s="7" t="s">
        <v>174</v>
      </c>
      <c r="C50" s="7" t="s">
        <v>175</v>
      </c>
      <c r="D50" s="7">
        <f t="shared" si="0"/>
        <v>1</v>
      </c>
      <c r="E50" s="5" t="s">
        <v>176</v>
      </c>
      <c r="F50" s="5">
        <f t="shared" si="1"/>
        <v>2500</v>
      </c>
      <c r="G50" s="5">
        <v>600</v>
      </c>
      <c r="H50" s="9" t="s">
        <v>79</v>
      </c>
      <c r="I50" s="8">
        <v>1019</v>
      </c>
    </row>
    <row r="51" spans="1:9">
      <c r="A51" s="5">
        <v>1048</v>
      </c>
      <c r="B51" s="7" t="s">
        <v>177</v>
      </c>
      <c r="C51" s="7" t="s">
        <v>178</v>
      </c>
      <c r="D51" s="7">
        <f t="shared" si="0"/>
        <v>1</v>
      </c>
      <c r="E51" s="5" t="s">
        <v>179</v>
      </c>
      <c r="F51" s="5">
        <f t="shared" si="1"/>
        <v>2500</v>
      </c>
      <c r="G51" s="5">
        <v>600</v>
      </c>
      <c r="H51" s="9" t="s">
        <v>83</v>
      </c>
      <c r="I51" s="8">
        <v>3022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opLeftCell="A13" workbookViewId="0">
      <selection activeCell="J2" sqref="J2:J49"/>
    </sheetView>
  </sheetViews>
  <sheetFormatPr defaultColWidth="9" defaultRowHeight="13.5"/>
  <cols>
    <col min="1" max="1" width="13.375" style="1" customWidth="1"/>
    <col min="2" max="2" width="9" style="1"/>
    <col min="3" max="3" width="9" style="2"/>
    <col min="4" max="9" width="9" style="1"/>
    <col min="10" max="10" width="39.375" style="1" customWidth="1"/>
    <col min="11" max="16384" width="9" style="1"/>
  </cols>
  <sheetData>
    <row r="1" spans="1:2">
      <c r="A1" s="3" t="s">
        <v>180</v>
      </c>
      <c r="B1" s="3" t="s">
        <v>181</v>
      </c>
    </row>
    <row r="2" spans="1:10">
      <c r="A2" s="3" t="s">
        <v>23</v>
      </c>
      <c r="B2" s="3" t="s">
        <v>182</v>
      </c>
      <c r="C2" s="2">
        <v>30000</v>
      </c>
      <c r="D2" s="4">
        <v>10</v>
      </c>
      <c r="E2" s="4">
        <v>11</v>
      </c>
      <c r="F2" s="4">
        <v>12</v>
      </c>
      <c r="G2" s="4"/>
      <c r="H2" s="3" t="s">
        <v>183</v>
      </c>
      <c r="I2" s="3" t="s">
        <v>184</v>
      </c>
      <c r="J2" s="1" t="str">
        <f>D2&amp;I2&amp;C2&amp;H2&amp;E2&amp;I2&amp;C2&amp;H2&amp;F2&amp;I2&amp;C2</f>
        <v>10,30000|11,30000|12,30000</v>
      </c>
    </row>
    <row r="3" spans="1:10">
      <c r="A3" s="3" t="s">
        <v>27</v>
      </c>
      <c r="B3" s="3" t="s">
        <v>182</v>
      </c>
      <c r="C3" s="2">
        <v>50000</v>
      </c>
      <c r="D3" s="4">
        <v>13</v>
      </c>
      <c r="E3" s="4"/>
      <c r="F3" s="4"/>
      <c r="G3" s="4"/>
      <c r="H3" s="3" t="s">
        <v>183</v>
      </c>
      <c r="I3" s="3" t="s">
        <v>184</v>
      </c>
      <c r="J3" s="1" t="str">
        <f t="shared" ref="J3:J49" si="0">D3&amp;I3&amp;C3</f>
        <v>13,50000</v>
      </c>
    </row>
    <row r="4" spans="1:10">
      <c r="A4" s="3" t="s">
        <v>31</v>
      </c>
      <c r="B4" s="3" t="s">
        <v>182</v>
      </c>
      <c r="C4" s="2">
        <v>30000</v>
      </c>
      <c r="D4" s="4">
        <v>14</v>
      </c>
      <c r="E4" s="4">
        <v>15</v>
      </c>
      <c r="F4" s="4">
        <v>16</v>
      </c>
      <c r="G4" s="4"/>
      <c r="H4" s="3" t="s">
        <v>183</v>
      </c>
      <c r="I4" s="3" t="s">
        <v>184</v>
      </c>
      <c r="J4" s="1" t="str">
        <f>D4&amp;I4&amp;C4&amp;H4&amp;E4&amp;I4&amp;C4&amp;H4&amp;F4&amp;I4&amp;C4</f>
        <v>14,30000|15,30000|16,30000</v>
      </c>
    </row>
    <row r="5" spans="1:10">
      <c r="A5" s="3" t="s">
        <v>35</v>
      </c>
      <c r="B5" s="3" t="s">
        <v>182</v>
      </c>
      <c r="C5" s="2">
        <v>10000</v>
      </c>
      <c r="D5" s="4">
        <v>39</v>
      </c>
      <c r="E5" s="4"/>
      <c r="F5" s="4"/>
      <c r="G5" s="4"/>
      <c r="H5" s="3" t="s">
        <v>183</v>
      </c>
      <c r="I5" s="3" t="s">
        <v>184</v>
      </c>
      <c r="J5" s="1" t="str">
        <f t="shared" si="0"/>
        <v>39,10000</v>
      </c>
    </row>
    <row r="6" spans="1:10">
      <c r="A6" s="3" t="s">
        <v>39</v>
      </c>
      <c r="B6" s="3" t="s">
        <v>182</v>
      </c>
      <c r="C6" s="2">
        <v>1000</v>
      </c>
      <c r="D6" s="4">
        <v>29</v>
      </c>
      <c r="E6" s="4"/>
      <c r="F6" s="4"/>
      <c r="G6" s="4"/>
      <c r="H6" s="3" t="s">
        <v>183</v>
      </c>
      <c r="I6" s="3" t="s">
        <v>184</v>
      </c>
      <c r="J6" s="1" t="str">
        <f t="shared" si="0"/>
        <v>29,1000</v>
      </c>
    </row>
    <row r="7" spans="1:10">
      <c r="A7" s="3" t="s">
        <v>43</v>
      </c>
      <c r="B7" s="3" t="s">
        <v>182</v>
      </c>
      <c r="C7" s="2">
        <v>50000</v>
      </c>
      <c r="D7" s="4">
        <v>30</v>
      </c>
      <c r="E7" s="4"/>
      <c r="F7" s="4"/>
      <c r="G7" s="4"/>
      <c r="H7" s="3" t="s">
        <v>183</v>
      </c>
      <c r="I7" s="3" t="s">
        <v>184</v>
      </c>
      <c r="J7" s="1" t="str">
        <f t="shared" si="0"/>
        <v>30,50000</v>
      </c>
    </row>
    <row r="8" spans="1:10">
      <c r="A8" s="3" t="s">
        <v>47</v>
      </c>
      <c r="B8" s="3" t="s">
        <v>182</v>
      </c>
      <c r="C8" s="2">
        <v>30000</v>
      </c>
      <c r="D8" s="4">
        <v>17</v>
      </c>
      <c r="E8" s="4">
        <v>18</v>
      </c>
      <c r="F8" s="4">
        <v>19</v>
      </c>
      <c r="G8" s="4">
        <v>20</v>
      </c>
      <c r="H8" s="3" t="s">
        <v>183</v>
      </c>
      <c r="I8" s="3" t="s">
        <v>184</v>
      </c>
      <c r="J8" s="1" t="str">
        <f>D8&amp;I8&amp;C8&amp;H8&amp;E8&amp;I8&amp;C8&amp;H8&amp;F8&amp;I8&amp;C8&amp;H8&amp;G8&amp;I8&amp;C8</f>
        <v>17,30000|18,30000|19,30000|20,30000</v>
      </c>
    </row>
    <row r="9" spans="1:10">
      <c r="A9" s="1" t="s">
        <v>51</v>
      </c>
      <c r="B9" s="3" t="s">
        <v>182</v>
      </c>
      <c r="C9" s="2">
        <v>30000</v>
      </c>
      <c r="D9" s="4">
        <v>21</v>
      </c>
      <c r="E9" s="4"/>
      <c r="F9" s="4"/>
      <c r="G9" s="4"/>
      <c r="H9" s="3" t="s">
        <v>183</v>
      </c>
      <c r="I9" s="3" t="s">
        <v>184</v>
      </c>
      <c r="J9" s="1" t="str">
        <f t="shared" si="0"/>
        <v>21,30000</v>
      </c>
    </row>
    <row r="10" spans="1:10">
      <c r="A10" s="1" t="s">
        <v>55</v>
      </c>
      <c r="B10" s="3" t="s">
        <v>182</v>
      </c>
      <c r="C10" s="2">
        <v>1000</v>
      </c>
      <c r="D10" s="4">
        <v>26</v>
      </c>
      <c r="E10" s="4"/>
      <c r="F10" s="4"/>
      <c r="G10" s="4"/>
      <c r="H10" s="3" t="s">
        <v>183</v>
      </c>
      <c r="I10" s="3" t="s">
        <v>184</v>
      </c>
      <c r="J10" s="1" t="str">
        <f t="shared" si="0"/>
        <v>26,1000</v>
      </c>
    </row>
    <row r="11" spans="1:10">
      <c r="A11" s="1" t="s">
        <v>59</v>
      </c>
      <c r="B11" s="3" t="s">
        <v>182</v>
      </c>
      <c r="C11" s="2">
        <v>1000</v>
      </c>
      <c r="D11" s="4">
        <v>24</v>
      </c>
      <c r="E11" s="4"/>
      <c r="F11" s="4"/>
      <c r="G11" s="4"/>
      <c r="H11" s="3" t="s">
        <v>183</v>
      </c>
      <c r="I11" s="3" t="s">
        <v>184</v>
      </c>
      <c r="J11" s="1" t="str">
        <f t="shared" si="0"/>
        <v>24,1000</v>
      </c>
    </row>
    <row r="12" spans="1:10">
      <c r="A12" s="3" t="s">
        <v>63</v>
      </c>
      <c r="B12" s="3" t="s">
        <v>182</v>
      </c>
      <c r="C12" s="2">
        <v>3000</v>
      </c>
      <c r="D12" s="4">
        <v>44</v>
      </c>
      <c r="E12" s="4"/>
      <c r="F12" s="4"/>
      <c r="G12" s="4"/>
      <c r="H12" s="3" t="s">
        <v>183</v>
      </c>
      <c r="I12" s="3" t="s">
        <v>184</v>
      </c>
      <c r="J12" s="1" t="str">
        <f t="shared" si="0"/>
        <v>44,3000</v>
      </c>
    </row>
    <row r="13" spans="1:10">
      <c r="A13" s="1" t="s">
        <v>67</v>
      </c>
      <c r="B13" s="3" t="s">
        <v>182</v>
      </c>
      <c r="C13" s="2">
        <v>3000</v>
      </c>
      <c r="D13" s="4">
        <v>45</v>
      </c>
      <c r="E13" s="4"/>
      <c r="F13" s="4"/>
      <c r="G13" s="4"/>
      <c r="H13" s="3" t="s">
        <v>183</v>
      </c>
      <c r="I13" s="3" t="s">
        <v>184</v>
      </c>
      <c r="J13" s="1" t="str">
        <f t="shared" si="0"/>
        <v>45,3000</v>
      </c>
    </row>
    <row r="14" spans="1:10">
      <c r="A14" s="1" t="s">
        <v>71</v>
      </c>
      <c r="B14" s="3" t="s">
        <v>182</v>
      </c>
      <c r="C14" s="2">
        <v>1000</v>
      </c>
      <c r="D14" s="4">
        <v>28</v>
      </c>
      <c r="E14" s="4"/>
      <c r="F14" s="4"/>
      <c r="G14" s="4"/>
      <c r="H14" s="3" t="s">
        <v>183</v>
      </c>
      <c r="I14" s="3" t="s">
        <v>184</v>
      </c>
      <c r="J14" s="1" t="str">
        <f t="shared" si="0"/>
        <v>28,1000</v>
      </c>
    </row>
    <row r="15" spans="1:10">
      <c r="A15" s="1" t="s">
        <v>75</v>
      </c>
      <c r="B15" s="3" t="s">
        <v>182</v>
      </c>
      <c r="C15" s="2">
        <v>5000</v>
      </c>
      <c r="D15" s="4">
        <v>31</v>
      </c>
      <c r="E15" s="4"/>
      <c r="F15" s="4"/>
      <c r="G15" s="4"/>
      <c r="H15" s="3" t="s">
        <v>183</v>
      </c>
      <c r="I15" s="3" t="s">
        <v>184</v>
      </c>
      <c r="J15" s="1" t="str">
        <f t="shared" si="0"/>
        <v>31,5000</v>
      </c>
    </row>
    <row r="16" spans="1:10">
      <c r="A16" s="1" t="s">
        <v>79</v>
      </c>
      <c r="B16" s="3" t="s">
        <v>182</v>
      </c>
      <c r="C16" s="2">
        <v>5000</v>
      </c>
      <c r="D16" s="4">
        <v>32</v>
      </c>
      <c r="E16" s="4"/>
      <c r="F16" s="4"/>
      <c r="G16" s="4"/>
      <c r="H16" s="3" t="s">
        <v>183</v>
      </c>
      <c r="I16" s="3" t="s">
        <v>184</v>
      </c>
      <c r="J16" s="1" t="str">
        <f t="shared" si="0"/>
        <v>32,5000</v>
      </c>
    </row>
    <row r="17" spans="1:10">
      <c r="A17" s="1" t="s">
        <v>83</v>
      </c>
      <c r="B17" s="3" t="s">
        <v>182</v>
      </c>
      <c r="C17" s="2">
        <v>1000</v>
      </c>
      <c r="D17" s="4">
        <v>40</v>
      </c>
      <c r="E17" s="4"/>
      <c r="F17" s="4"/>
      <c r="G17" s="4"/>
      <c r="H17" s="3" t="s">
        <v>183</v>
      </c>
      <c r="I17" s="3" t="s">
        <v>184</v>
      </c>
      <c r="J17" s="1" t="str">
        <f t="shared" si="0"/>
        <v>40,1000</v>
      </c>
    </row>
    <row r="18" spans="1:10">
      <c r="A18" s="3" t="s">
        <v>23</v>
      </c>
      <c r="B18" s="3" t="s">
        <v>185</v>
      </c>
      <c r="C18" s="2">
        <v>15000</v>
      </c>
      <c r="D18" s="4">
        <f>D2</f>
        <v>10</v>
      </c>
      <c r="E18" s="4">
        <f t="shared" ref="E18:G18" si="1">E2</f>
        <v>11</v>
      </c>
      <c r="F18" s="4">
        <f t="shared" si="1"/>
        <v>12</v>
      </c>
      <c r="G18" s="4">
        <f t="shared" si="1"/>
        <v>0</v>
      </c>
      <c r="H18" s="3" t="s">
        <v>183</v>
      </c>
      <c r="I18" s="3" t="s">
        <v>184</v>
      </c>
      <c r="J18" s="1" t="str">
        <f>D18&amp;I18&amp;C18&amp;H18&amp;E18&amp;I18&amp;C18&amp;H18&amp;F18&amp;I18&amp;C18</f>
        <v>10,15000|11,15000|12,15000</v>
      </c>
    </row>
    <row r="19" spans="1:10">
      <c r="A19" s="3" t="s">
        <v>27</v>
      </c>
      <c r="B19" s="3" t="s">
        <v>185</v>
      </c>
      <c r="C19" s="2">
        <v>25000</v>
      </c>
      <c r="D19" s="4">
        <f t="shared" ref="D19:G34" si="2">D3</f>
        <v>13</v>
      </c>
      <c r="E19" s="4">
        <f t="shared" si="2"/>
        <v>0</v>
      </c>
      <c r="F19" s="4">
        <f t="shared" si="2"/>
        <v>0</v>
      </c>
      <c r="G19" s="4">
        <f t="shared" si="2"/>
        <v>0</v>
      </c>
      <c r="H19" s="3" t="s">
        <v>183</v>
      </c>
      <c r="I19" s="3" t="s">
        <v>184</v>
      </c>
      <c r="J19" s="1" t="str">
        <f t="shared" si="0"/>
        <v>13,25000</v>
      </c>
    </row>
    <row r="20" spans="1:10">
      <c r="A20" s="3" t="s">
        <v>31</v>
      </c>
      <c r="B20" s="3" t="s">
        <v>185</v>
      </c>
      <c r="C20" s="2">
        <v>15000</v>
      </c>
      <c r="D20" s="4">
        <f t="shared" si="2"/>
        <v>14</v>
      </c>
      <c r="E20" s="4">
        <f t="shared" si="2"/>
        <v>15</v>
      </c>
      <c r="F20" s="4">
        <f t="shared" si="2"/>
        <v>16</v>
      </c>
      <c r="G20" s="4">
        <f t="shared" si="2"/>
        <v>0</v>
      </c>
      <c r="H20" s="3" t="s">
        <v>183</v>
      </c>
      <c r="I20" s="3" t="s">
        <v>184</v>
      </c>
      <c r="J20" s="1" t="str">
        <f>D20&amp;I20&amp;C20&amp;H20&amp;E20&amp;I20&amp;C20&amp;H20&amp;F20&amp;I20&amp;C20</f>
        <v>14,15000|15,15000|16,15000</v>
      </c>
    </row>
    <row r="21" spans="1:10">
      <c r="A21" s="3" t="s">
        <v>35</v>
      </c>
      <c r="B21" s="3" t="s">
        <v>185</v>
      </c>
      <c r="C21" s="2">
        <v>5000</v>
      </c>
      <c r="D21" s="4">
        <f t="shared" si="2"/>
        <v>39</v>
      </c>
      <c r="E21" s="4">
        <f t="shared" si="2"/>
        <v>0</v>
      </c>
      <c r="F21" s="4">
        <f t="shared" si="2"/>
        <v>0</v>
      </c>
      <c r="G21" s="4">
        <f t="shared" si="2"/>
        <v>0</v>
      </c>
      <c r="H21" s="3" t="s">
        <v>183</v>
      </c>
      <c r="I21" s="3" t="s">
        <v>184</v>
      </c>
      <c r="J21" s="1" t="str">
        <f t="shared" si="0"/>
        <v>39,5000</v>
      </c>
    </row>
    <row r="22" spans="1:10">
      <c r="A22" s="3" t="s">
        <v>39</v>
      </c>
      <c r="B22" s="3" t="s">
        <v>185</v>
      </c>
      <c r="C22" s="2">
        <v>500</v>
      </c>
      <c r="D22" s="4">
        <f t="shared" si="2"/>
        <v>29</v>
      </c>
      <c r="E22" s="4">
        <f t="shared" si="2"/>
        <v>0</v>
      </c>
      <c r="F22" s="4">
        <f t="shared" si="2"/>
        <v>0</v>
      </c>
      <c r="G22" s="4">
        <f t="shared" si="2"/>
        <v>0</v>
      </c>
      <c r="H22" s="3" t="s">
        <v>183</v>
      </c>
      <c r="I22" s="3" t="s">
        <v>184</v>
      </c>
      <c r="J22" s="1" t="str">
        <f t="shared" si="0"/>
        <v>29,500</v>
      </c>
    </row>
    <row r="23" spans="1:10">
      <c r="A23" s="3" t="s">
        <v>43</v>
      </c>
      <c r="B23" s="3" t="s">
        <v>185</v>
      </c>
      <c r="C23" s="2">
        <v>25000</v>
      </c>
      <c r="D23" s="4">
        <f t="shared" si="2"/>
        <v>30</v>
      </c>
      <c r="E23" s="4">
        <f t="shared" si="2"/>
        <v>0</v>
      </c>
      <c r="F23" s="4">
        <f t="shared" si="2"/>
        <v>0</v>
      </c>
      <c r="G23" s="4">
        <f t="shared" si="2"/>
        <v>0</v>
      </c>
      <c r="H23" s="3" t="s">
        <v>183</v>
      </c>
      <c r="I23" s="3" t="s">
        <v>184</v>
      </c>
      <c r="J23" s="1" t="str">
        <f t="shared" si="0"/>
        <v>30,25000</v>
      </c>
    </row>
    <row r="24" spans="1:10">
      <c r="A24" s="3" t="s">
        <v>47</v>
      </c>
      <c r="B24" s="3" t="s">
        <v>185</v>
      </c>
      <c r="C24" s="2">
        <v>15000</v>
      </c>
      <c r="D24" s="4">
        <f t="shared" si="2"/>
        <v>17</v>
      </c>
      <c r="E24" s="4">
        <f t="shared" si="2"/>
        <v>18</v>
      </c>
      <c r="F24" s="4">
        <f t="shared" si="2"/>
        <v>19</v>
      </c>
      <c r="G24" s="4">
        <f t="shared" si="2"/>
        <v>20</v>
      </c>
      <c r="H24" s="3" t="s">
        <v>183</v>
      </c>
      <c r="I24" s="3" t="s">
        <v>184</v>
      </c>
      <c r="J24" s="1" t="str">
        <f>D24&amp;I24&amp;C24&amp;H24&amp;E24&amp;I24&amp;C24&amp;H24&amp;F24&amp;I24&amp;C24&amp;H24&amp;G24&amp;I24&amp;C24</f>
        <v>17,15000|18,15000|19,15000|20,15000</v>
      </c>
    </row>
    <row r="25" spans="1:10">
      <c r="A25" s="1" t="s">
        <v>51</v>
      </c>
      <c r="B25" s="3" t="s">
        <v>185</v>
      </c>
      <c r="C25" s="2">
        <v>15000</v>
      </c>
      <c r="D25" s="4">
        <f t="shared" si="2"/>
        <v>21</v>
      </c>
      <c r="E25" s="4">
        <f t="shared" si="2"/>
        <v>0</v>
      </c>
      <c r="F25" s="4">
        <f t="shared" si="2"/>
        <v>0</v>
      </c>
      <c r="G25" s="4">
        <f t="shared" si="2"/>
        <v>0</v>
      </c>
      <c r="H25" s="3" t="s">
        <v>183</v>
      </c>
      <c r="I25" s="3" t="s">
        <v>184</v>
      </c>
      <c r="J25" s="1" t="str">
        <f t="shared" si="0"/>
        <v>21,15000</v>
      </c>
    </row>
    <row r="26" spans="1:10">
      <c r="A26" s="1" t="s">
        <v>55</v>
      </c>
      <c r="B26" s="3" t="s">
        <v>185</v>
      </c>
      <c r="C26" s="2">
        <v>500</v>
      </c>
      <c r="D26" s="4">
        <f t="shared" si="2"/>
        <v>26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3" t="s">
        <v>183</v>
      </c>
      <c r="I26" s="3" t="s">
        <v>184</v>
      </c>
      <c r="J26" s="1" t="str">
        <f t="shared" si="0"/>
        <v>26,500</v>
      </c>
    </row>
    <row r="27" spans="1:10">
      <c r="A27" s="1" t="s">
        <v>59</v>
      </c>
      <c r="B27" s="3" t="s">
        <v>185</v>
      </c>
      <c r="C27" s="2">
        <v>500</v>
      </c>
      <c r="D27" s="4">
        <f t="shared" si="2"/>
        <v>24</v>
      </c>
      <c r="E27" s="4">
        <f t="shared" si="2"/>
        <v>0</v>
      </c>
      <c r="F27" s="4">
        <f t="shared" si="2"/>
        <v>0</v>
      </c>
      <c r="G27" s="4">
        <f t="shared" si="2"/>
        <v>0</v>
      </c>
      <c r="H27" s="3" t="s">
        <v>183</v>
      </c>
      <c r="I27" s="3" t="s">
        <v>184</v>
      </c>
      <c r="J27" s="1" t="str">
        <f t="shared" si="0"/>
        <v>24,500</v>
      </c>
    </row>
    <row r="28" spans="1:10">
      <c r="A28" s="3" t="s">
        <v>63</v>
      </c>
      <c r="B28" s="3" t="s">
        <v>185</v>
      </c>
      <c r="C28" s="2">
        <v>1500</v>
      </c>
      <c r="D28" s="4">
        <f t="shared" si="2"/>
        <v>44</v>
      </c>
      <c r="E28" s="4">
        <f t="shared" si="2"/>
        <v>0</v>
      </c>
      <c r="F28" s="4">
        <f t="shared" si="2"/>
        <v>0</v>
      </c>
      <c r="G28" s="4">
        <f t="shared" si="2"/>
        <v>0</v>
      </c>
      <c r="H28" s="3" t="s">
        <v>183</v>
      </c>
      <c r="I28" s="3" t="s">
        <v>184</v>
      </c>
      <c r="J28" s="1" t="str">
        <f t="shared" si="0"/>
        <v>44,1500</v>
      </c>
    </row>
    <row r="29" spans="1:10">
      <c r="A29" s="1" t="s">
        <v>67</v>
      </c>
      <c r="B29" s="3" t="s">
        <v>185</v>
      </c>
      <c r="C29" s="2">
        <v>1500</v>
      </c>
      <c r="D29" s="4">
        <f t="shared" si="2"/>
        <v>45</v>
      </c>
      <c r="E29" s="4">
        <f t="shared" si="2"/>
        <v>0</v>
      </c>
      <c r="F29" s="4">
        <f t="shared" si="2"/>
        <v>0</v>
      </c>
      <c r="G29" s="4">
        <f t="shared" si="2"/>
        <v>0</v>
      </c>
      <c r="H29" s="3" t="s">
        <v>183</v>
      </c>
      <c r="I29" s="3" t="s">
        <v>184</v>
      </c>
      <c r="J29" s="1" t="str">
        <f t="shared" si="0"/>
        <v>45,1500</v>
      </c>
    </row>
    <row r="30" spans="1:10">
      <c r="A30" s="1" t="s">
        <v>71</v>
      </c>
      <c r="B30" s="3" t="s">
        <v>185</v>
      </c>
      <c r="C30" s="2">
        <v>500</v>
      </c>
      <c r="D30" s="4">
        <f t="shared" si="2"/>
        <v>28</v>
      </c>
      <c r="E30" s="4">
        <f t="shared" si="2"/>
        <v>0</v>
      </c>
      <c r="F30" s="4">
        <f t="shared" si="2"/>
        <v>0</v>
      </c>
      <c r="G30" s="4">
        <f t="shared" si="2"/>
        <v>0</v>
      </c>
      <c r="H30" s="3" t="s">
        <v>183</v>
      </c>
      <c r="I30" s="3" t="s">
        <v>184</v>
      </c>
      <c r="J30" s="1" t="str">
        <f t="shared" si="0"/>
        <v>28,500</v>
      </c>
    </row>
    <row r="31" spans="1:10">
      <c r="A31" s="1" t="s">
        <v>75</v>
      </c>
      <c r="B31" s="3" t="s">
        <v>185</v>
      </c>
      <c r="C31" s="2">
        <v>2500</v>
      </c>
      <c r="D31" s="4">
        <f t="shared" si="2"/>
        <v>31</v>
      </c>
      <c r="E31" s="4">
        <f t="shared" si="2"/>
        <v>0</v>
      </c>
      <c r="F31" s="4">
        <f t="shared" si="2"/>
        <v>0</v>
      </c>
      <c r="G31" s="4">
        <f t="shared" si="2"/>
        <v>0</v>
      </c>
      <c r="H31" s="3" t="s">
        <v>183</v>
      </c>
      <c r="I31" s="3" t="s">
        <v>184</v>
      </c>
      <c r="J31" s="1" t="str">
        <f t="shared" si="0"/>
        <v>31,2500</v>
      </c>
    </row>
    <row r="32" spans="1:10">
      <c r="A32" s="1" t="s">
        <v>79</v>
      </c>
      <c r="B32" s="3" t="s">
        <v>185</v>
      </c>
      <c r="C32" s="2">
        <v>2500</v>
      </c>
      <c r="D32" s="4">
        <f t="shared" si="2"/>
        <v>32</v>
      </c>
      <c r="E32" s="4">
        <f t="shared" si="2"/>
        <v>0</v>
      </c>
      <c r="F32" s="4">
        <f t="shared" si="2"/>
        <v>0</v>
      </c>
      <c r="G32" s="4">
        <f t="shared" si="2"/>
        <v>0</v>
      </c>
      <c r="H32" s="3" t="s">
        <v>183</v>
      </c>
      <c r="I32" s="3" t="s">
        <v>184</v>
      </c>
      <c r="J32" s="1" t="str">
        <f t="shared" si="0"/>
        <v>32,2500</v>
      </c>
    </row>
    <row r="33" spans="1:10">
      <c r="A33" s="1" t="s">
        <v>83</v>
      </c>
      <c r="B33" s="3" t="s">
        <v>185</v>
      </c>
      <c r="C33" s="2">
        <v>500</v>
      </c>
      <c r="D33" s="4">
        <f t="shared" si="2"/>
        <v>40</v>
      </c>
      <c r="E33" s="4">
        <f t="shared" si="2"/>
        <v>0</v>
      </c>
      <c r="F33" s="4">
        <f t="shared" si="2"/>
        <v>0</v>
      </c>
      <c r="G33" s="4">
        <f t="shared" si="2"/>
        <v>0</v>
      </c>
      <c r="H33" s="3" t="s">
        <v>183</v>
      </c>
      <c r="I33" s="3" t="s">
        <v>184</v>
      </c>
      <c r="J33" s="1" t="str">
        <f t="shared" si="0"/>
        <v>40,500</v>
      </c>
    </row>
    <row r="34" spans="1:10">
      <c r="A34" s="3" t="s">
        <v>23</v>
      </c>
      <c r="B34" s="3" t="s">
        <v>186</v>
      </c>
      <c r="C34" s="2">
        <v>7500</v>
      </c>
      <c r="D34" s="4">
        <f t="shared" si="2"/>
        <v>10</v>
      </c>
      <c r="E34" s="4">
        <f t="shared" si="2"/>
        <v>11</v>
      </c>
      <c r="F34" s="4">
        <f t="shared" si="2"/>
        <v>12</v>
      </c>
      <c r="G34" s="4">
        <f t="shared" si="2"/>
        <v>0</v>
      </c>
      <c r="H34" s="3" t="s">
        <v>183</v>
      </c>
      <c r="I34" s="3" t="s">
        <v>184</v>
      </c>
      <c r="J34" s="1" t="str">
        <f>D34&amp;I34&amp;C34&amp;H34&amp;E34&amp;I34&amp;C34&amp;H34&amp;F34&amp;I34&amp;C34</f>
        <v>10,7500|11,7500|12,7500</v>
      </c>
    </row>
    <row r="35" spans="1:10">
      <c r="A35" s="3" t="s">
        <v>27</v>
      </c>
      <c r="B35" s="3" t="s">
        <v>186</v>
      </c>
      <c r="C35" s="2">
        <v>12500</v>
      </c>
      <c r="D35" s="4">
        <f t="shared" ref="D35:G49" si="3">D19</f>
        <v>13</v>
      </c>
      <c r="E35" s="4">
        <f t="shared" si="3"/>
        <v>0</v>
      </c>
      <c r="F35" s="4">
        <f t="shared" si="3"/>
        <v>0</v>
      </c>
      <c r="G35" s="4">
        <f t="shared" si="3"/>
        <v>0</v>
      </c>
      <c r="H35" s="3" t="s">
        <v>183</v>
      </c>
      <c r="I35" s="3" t="s">
        <v>184</v>
      </c>
      <c r="J35" s="1" t="str">
        <f t="shared" si="0"/>
        <v>13,12500</v>
      </c>
    </row>
    <row r="36" spans="1:10">
      <c r="A36" s="3" t="s">
        <v>31</v>
      </c>
      <c r="B36" s="3" t="s">
        <v>186</v>
      </c>
      <c r="C36" s="2">
        <v>7500</v>
      </c>
      <c r="D36" s="4">
        <f t="shared" si="3"/>
        <v>14</v>
      </c>
      <c r="E36" s="4">
        <f t="shared" si="3"/>
        <v>15</v>
      </c>
      <c r="F36" s="4">
        <f t="shared" si="3"/>
        <v>16</v>
      </c>
      <c r="G36" s="4">
        <f t="shared" si="3"/>
        <v>0</v>
      </c>
      <c r="H36" s="3" t="s">
        <v>183</v>
      </c>
      <c r="I36" s="3" t="s">
        <v>184</v>
      </c>
      <c r="J36" s="1" t="str">
        <f>D36&amp;I36&amp;C36&amp;H36&amp;E36&amp;I36&amp;C36&amp;H36&amp;F36&amp;I36&amp;C36</f>
        <v>14,7500|15,7500|16,7500</v>
      </c>
    </row>
    <row r="37" spans="1:10">
      <c r="A37" s="3" t="s">
        <v>35</v>
      </c>
      <c r="B37" s="3" t="s">
        <v>186</v>
      </c>
      <c r="C37" s="2">
        <v>2500</v>
      </c>
      <c r="D37" s="4">
        <f t="shared" si="3"/>
        <v>39</v>
      </c>
      <c r="E37" s="4">
        <f t="shared" si="3"/>
        <v>0</v>
      </c>
      <c r="F37" s="4">
        <f t="shared" si="3"/>
        <v>0</v>
      </c>
      <c r="G37" s="4">
        <f t="shared" si="3"/>
        <v>0</v>
      </c>
      <c r="H37" s="3" t="s">
        <v>183</v>
      </c>
      <c r="I37" s="3" t="s">
        <v>184</v>
      </c>
      <c r="J37" s="1" t="str">
        <f t="shared" si="0"/>
        <v>39,2500</v>
      </c>
    </row>
    <row r="38" spans="1:10">
      <c r="A38" s="3" t="s">
        <v>39</v>
      </c>
      <c r="B38" s="3" t="s">
        <v>186</v>
      </c>
      <c r="C38" s="2">
        <v>250</v>
      </c>
      <c r="D38" s="4">
        <f t="shared" si="3"/>
        <v>29</v>
      </c>
      <c r="E38" s="4">
        <f t="shared" si="3"/>
        <v>0</v>
      </c>
      <c r="F38" s="4">
        <f t="shared" si="3"/>
        <v>0</v>
      </c>
      <c r="G38" s="4">
        <f t="shared" si="3"/>
        <v>0</v>
      </c>
      <c r="H38" s="3" t="s">
        <v>183</v>
      </c>
      <c r="I38" s="3" t="s">
        <v>184</v>
      </c>
      <c r="J38" s="1" t="str">
        <f t="shared" si="0"/>
        <v>29,250</v>
      </c>
    </row>
    <row r="39" spans="1:10">
      <c r="A39" s="3" t="s">
        <v>43</v>
      </c>
      <c r="B39" s="3" t="s">
        <v>186</v>
      </c>
      <c r="C39" s="2">
        <v>12500</v>
      </c>
      <c r="D39" s="4">
        <f t="shared" si="3"/>
        <v>30</v>
      </c>
      <c r="E39" s="4">
        <f t="shared" si="3"/>
        <v>0</v>
      </c>
      <c r="F39" s="4">
        <f t="shared" si="3"/>
        <v>0</v>
      </c>
      <c r="G39" s="4">
        <f t="shared" si="3"/>
        <v>0</v>
      </c>
      <c r="H39" s="3" t="s">
        <v>183</v>
      </c>
      <c r="I39" s="3" t="s">
        <v>184</v>
      </c>
      <c r="J39" s="1" t="str">
        <f t="shared" si="0"/>
        <v>30,12500</v>
      </c>
    </row>
    <row r="40" spans="1:10">
      <c r="A40" s="3" t="s">
        <v>47</v>
      </c>
      <c r="B40" s="3" t="s">
        <v>186</v>
      </c>
      <c r="C40" s="2">
        <v>7500</v>
      </c>
      <c r="D40" s="4">
        <f t="shared" si="3"/>
        <v>17</v>
      </c>
      <c r="E40" s="4">
        <f t="shared" si="3"/>
        <v>18</v>
      </c>
      <c r="F40" s="4">
        <f t="shared" si="3"/>
        <v>19</v>
      </c>
      <c r="G40" s="4">
        <f t="shared" si="3"/>
        <v>20</v>
      </c>
      <c r="H40" s="3" t="s">
        <v>183</v>
      </c>
      <c r="I40" s="3" t="s">
        <v>184</v>
      </c>
      <c r="J40" s="1" t="str">
        <f>D40&amp;I40&amp;C40&amp;H40&amp;E40&amp;I40&amp;C40&amp;H40&amp;F40&amp;I40&amp;C40&amp;H40&amp;G40&amp;I40&amp;C40</f>
        <v>17,7500|18,7500|19,7500|20,7500</v>
      </c>
    </row>
    <row r="41" spans="1:10">
      <c r="A41" s="1" t="s">
        <v>51</v>
      </c>
      <c r="B41" s="3" t="s">
        <v>186</v>
      </c>
      <c r="C41" s="2">
        <v>7500</v>
      </c>
      <c r="D41" s="4">
        <f t="shared" si="3"/>
        <v>21</v>
      </c>
      <c r="E41" s="4">
        <f t="shared" si="3"/>
        <v>0</v>
      </c>
      <c r="F41" s="4">
        <f t="shared" si="3"/>
        <v>0</v>
      </c>
      <c r="G41" s="4">
        <f t="shared" si="3"/>
        <v>0</v>
      </c>
      <c r="H41" s="3" t="s">
        <v>183</v>
      </c>
      <c r="I41" s="3" t="s">
        <v>184</v>
      </c>
      <c r="J41" s="1" t="str">
        <f t="shared" si="0"/>
        <v>21,7500</v>
      </c>
    </row>
    <row r="42" spans="1:10">
      <c r="A42" s="1" t="s">
        <v>55</v>
      </c>
      <c r="B42" s="3" t="s">
        <v>186</v>
      </c>
      <c r="C42" s="2">
        <v>250</v>
      </c>
      <c r="D42" s="4">
        <f t="shared" si="3"/>
        <v>26</v>
      </c>
      <c r="E42" s="4">
        <f t="shared" si="3"/>
        <v>0</v>
      </c>
      <c r="F42" s="4">
        <f t="shared" si="3"/>
        <v>0</v>
      </c>
      <c r="G42" s="4">
        <f t="shared" si="3"/>
        <v>0</v>
      </c>
      <c r="H42" s="3" t="s">
        <v>183</v>
      </c>
      <c r="I42" s="3" t="s">
        <v>184</v>
      </c>
      <c r="J42" s="1" t="str">
        <f t="shared" si="0"/>
        <v>26,250</v>
      </c>
    </row>
    <row r="43" spans="1:10">
      <c r="A43" s="1" t="s">
        <v>59</v>
      </c>
      <c r="B43" s="3" t="s">
        <v>186</v>
      </c>
      <c r="C43" s="2">
        <v>250</v>
      </c>
      <c r="D43" s="4">
        <f t="shared" si="3"/>
        <v>24</v>
      </c>
      <c r="E43" s="4">
        <f t="shared" si="3"/>
        <v>0</v>
      </c>
      <c r="F43" s="4">
        <f t="shared" si="3"/>
        <v>0</v>
      </c>
      <c r="G43" s="4">
        <f t="shared" si="3"/>
        <v>0</v>
      </c>
      <c r="H43" s="3" t="s">
        <v>183</v>
      </c>
      <c r="I43" s="3" t="s">
        <v>184</v>
      </c>
      <c r="J43" s="1" t="str">
        <f t="shared" si="0"/>
        <v>24,250</v>
      </c>
    </row>
    <row r="44" spans="1:10">
      <c r="A44" s="3" t="s">
        <v>63</v>
      </c>
      <c r="B44" s="3" t="s">
        <v>186</v>
      </c>
      <c r="C44" s="2">
        <v>750</v>
      </c>
      <c r="D44" s="4">
        <f t="shared" si="3"/>
        <v>44</v>
      </c>
      <c r="E44" s="4">
        <f t="shared" si="3"/>
        <v>0</v>
      </c>
      <c r="F44" s="4">
        <f t="shared" si="3"/>
        <v>0</v>
      </c>
      <c r="G44" s="4">
        <f t="shared" si="3"/>
        <v>0</v>
      </c>
      <c r="H44" s="3" t="s">
        <v>183</v>
      </c>
      <c r="I44" s="3" t="s">
        <v>184</v>
      </c>
      <c r="J44" s="1" t="str">
        <f t="shared" si="0"/>
        <v>44,750</v>
      </c>
    </row>
    <row r="45" spans="1:10">
      <c r="A45" s="1" t="s">
        <v>67</v>
      </c>
      <c r="B45" s="3" t="s">
        <v>186</v>
      </c>
      <c r="C45" s="2">
        <v>750</v>
      </c>
      <c r="D45" s="4">
        <f t="shared" si="3"/>
        <v>45</v>
      </c>
      <c r="E45" s="4">
        <f t="shared" si="3"/>
        <v>0</v>
      </c>
      <c r="F45" s="4">
        <f t="shared" si="3"/>
        <v>0</v>
      </c>
      <c r="G45" s="4">
        <f t="shared" si="3"/>
        <v>0</v>
      </c>
      <c r="H45" s="3" t="s">
        <v>183</v>
      </c>
      <c r="I45" s="3" t="s">
        <v>184</v>
      </c>
      <c r="J45" s="1" t="str">
        <f t="shared" si="0"/>
        <v>45,750</v>
      </c>
    </row>
    <row r="46" spans="1:10">
      <c r="A46" s="1" t="s">
        <v>71</v>
      </c>
      <c r="B46" s="3" t="s">
        <v>186</v>
      </c>
      <c r="C46" s="2">
        <v>250</v>
      </c>
      <c r="D46" s="4">
        <f t="shared" si="3"/>
        <v>28</v>
      </c>
      <c r="E46" s="4">
        <f t="shared" si="3"/>
        <v>0</v>
      </c>
      <c r="F46" s="4">
        <f t="shared" si="3"/>
        <v>0</v>
      </c>
      <c r="G46" s="4">
        <f t="shared" si="3"/>
        <v>0</v>
      </c>
      <c r="H46" s="3" t="s">
        <v>183</v>
      </c>
      <c r="I46" s="3" t="s">
        <v>184</v>
      </c>
      <c r="J46" s="1" t="str">
        <f t="shared" si="0"/>
        <v>28,250</v>
      </c>
    </row>
    <row r="47" spans="1:10">
      <c r="A47" s="1" t="s">
        <v>75</v>
      </c>
      <c r="B47" s="3" t="s">
        <v>186</v>
      </c>
      <c r="C47" s="2">
        <v>1250</v>
      </c>
      <c r="D47" s="4">
        <f t="shared" si="3"/>
        <v>31</v>
      </c>
      <c r="E47" s="4">
        <f t="shared" si="3"/>
        <v>0</v>
      </c>
      <c r="F47" s="4">
        <f t="shared" si="3"/>
        <v>0</v>
      </c>
      <c r="G47" s="4">
        <f t="shared" si="3"/>
        <v>0</v>
      </c>
      <c r="H47" s="3" t="s">
        <v>183</v>
      </c>
      <c r="I47" s="3" t="s">
        <v>184</v>
      </c>
      <c r="J47" s="1" t="str">
        <f t="shared" si="0"/>
        <v>31,1250</v>
      </c>
    </row>
    <row r="48" spans="1:10">
      <c r="A48" s="1" t="s">
        <v>79</v>
      </c>
      <c r="B48" s="3" t="s">
        <v>186</v>
      </c>
      <c r="C48" s="2">
        <v>1250</v>
      </c>
      <c r="D48" s="4">
        <f t="shared" si="3"/>
        <v>32</v>
      </c>
      <c r="E48" s="4">
        <f t="shared" si="3"/>
        <v>0</v>
      </c>
      <c r="F48" s="4">
        <f t="shared" si="3"/>
        <v>0</v>
      </c>
      <c r="G48" s="4">
        <f t="shared" si="3"/>
        <v>0</v>
      </c>
      <c r="H48" s="3" t="s">
        <v>183</v>
      </c>
      <c r="I48" s="3" t="s">
        <v>184</v>
      </c>
      <c r="J48" s="1" t="str">
        <f t="shared" si="0"/>
        <v>32,1250</v>
      </c>
    </row>
    <row r="49" spans="1:10">
      <c r="A49" s="1" t="s">
        <v>83</v>
      </c>
      <c r="B49" s="3" t="s">
        <v>186</v>
      </c>
      <c r="C49" s="2">
        <v>250</v>
      </c>
      <c r="D49" s="4">
        <f t="shared" si="3"/>
        <v>40</v>
      </c>
      <c r="E49" s="4">
        <f t="shared" si="3"/>
        <v>0</v>
      </c>
      <c r="F49" s="4">
        <f t="shared" si="3"/>
        <v>0</v>
      </c>
      <c r="G49" s="4">
        <f t="shared" si="3"/>
        <v>0</v>
      </c>
      <c r="H49" s="3" t="s">
        <v>183</v>
      </c>
      <c r="I49" s="3" t="s">
        <v>184</v>
      </c>
      <c r="J49" s="1" t="str">
        <f t="shared" si="0"/>
        <v>40,250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2025-07-07T10:35:51Z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EE8F7ED4776F4DA68FADB451FC0B5AEF_12</vt:lpwstr>
  </property>
  <property fmtid="{D5CDD505-2E9C-101B-9397-08002B2CF9AE}" pid="4" name="KSOReadingLayout">
    <vt:bool>true</vt:bool>
  </property>
</Properties>
</file>