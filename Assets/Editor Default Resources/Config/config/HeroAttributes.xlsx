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1=角色
2=宠物</t>
        </r>
      </text>
    </comment>
    <comment ref="C3" authorId="0">
      <text>
        <r>
          <rPr>
            <sz val="9"/>
            <rFont val="宋体"/>
            <charset val="134"/>
          </rPr>
          <t>0=通用属性
1=地系战士
2=水系战士
3=火系战士
4=风系战士
5=地系法师
6=水系法师
7=火系法师
8=风系法师
9=地系道士
10=水系道士
11=火系道士
12=风系道士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1=基础属性
2=高级属性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关联数据结构表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语言表key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排序规则，从左到右，数字越小越靠前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1=默认展示
2=获得该属性后面板展示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</commentList>
</comments>
</file>

<file path=xl/sharedStrings.xml><?xml version="1.0" encoding="utf-8"?>
<sst xmlns="http://schemas.openxmlformats.org/spreadsheetml/2006/main" count="286" uniqueCount="116">
  <si>
    <t>Id</t>
  </si>
  <si>
    <t>ObjectType</t>
  </si>
  <si>
    <t>HeroType</t>
  </si>
  <si>
    <t>AttributesType</t>
  </si>
  <si>
    <t>AttributesID</t>
  </si>
  <si>
    <t>Doc</t>
  </si>
  <si>
    <t>Doc_Note</t>
  </si>
  <si>
    <t>SortID</t>
  </si>
  <si>
    <t>ShowID</t>
  </si>
  <si>
    <t>Remark_Note</t>
  </si>
  <si>
    <t>Int</t>
  </si>
  <si>
    <t>String</t>
  </si>
  <si>
    <t>序ID</t>
  </si>
  <si>
    <t>对象类型</t>
  </si>
  <si>
    <t>角色类型</t>
  </si>
  <si>
    <t>属性类型</t>
  </si>
  <si>
    <t>属性ID</t>
  </si>
  <si>
    <t>属性面板描述</t>
  </si>
  <si>
    <t>&lt;C&gt;属性面板描述</t>
  </si>
  <si>
    <t>排序ID</t>
  </si>
  <si>
    <t>展示ID</t>
  </si>
  <si>
    <t>&lt;c&gt;备注属性名称</t>
  </si>
  <si>
    <t>生命值</t>
  </si>
  <si>
    <t>物理防御</t>
  </si>
  <si>
    <t>魔法防御</t>
  </si>
  <si>
    <t>道术防御</t>
  </si>
  <si>
    <t>暴击</t>
  </si>
  <si>
    <t>爆伤</t>
  </si>
  <si>
    <t>攻速</t>
  </si>
  <si>
    <t>生命恢复</t>
  </si>
  <si>
    <t>AttrName_009</t>
  </si>
  <si>
    <t>附加宠物伤害</t>
  </si>
  <si>
    <t>生命加成</t>
  </si>
  <si>
    <t>物防加成</t>
  </si>
  <si>
    <t>宠物伤害加成</t>
  </si>
  <si>
    <t>魔防加成</t>
  </si>
  <si>
    <t>道防加成</t>
  </si>
  <si>
    <t>伤害倍率</t>
  </si>
  <si>
    <t>BOSS伤害加成</t>
  </si>
  <si>
    <t>命中率</t>
  </si>
  <si>
    <t>小怪伤害加成</t>
  </si>
  <si>
    <t>无视防御</t>
  </si>
  <si>
    <t>技能伤害</t>
  </si>
  <si>
    <t>减伤</t>
  </si>
  <si>
    <t>吸血</t>
  </si>
  <si>
    <t>技能冷却</t>
  </si>
  <si>
    <t>格挡率</t>
  </si>
  <si>
    <t>格挡值</t>
  </si>
  <si>
    <t>连击</t>
  </si>
  <si>
    <t>反击</t>
  </si>
  <si>
    <t>最终伤害</t>
  </si>
  <si>
    <t>生命倍率</t>
  </si>
  <si>
    <t>闪避率</t>
  </si>
  <si>
    <t>攻击回复</t>
  </si>
  <si>
    <t>击杀回复</t>
  </si>
  <si>
    <t>稀有传承概率</t>
  </si>
  <si>
    <t>传承掉落概率</t>
  </si>
  <si>
    <t>金币加成</t>
  </si>
  <si>
    <t>物理伤害</t>
  </si>
  <si>
    <t>物伤加成</t>
  </si>
  <si>
    <t>地系伤害加成</t>
  </si>
  <si>
    <t>AttrName_203</t>
  </si>
  <si>
    <t>物理次数加成</t>
  </si>
  <si>
    <t>技能次数加成</t>
  </si>
  <si>
    <t>AttrName_204</t>
  </si>
  <si>
    <t>物理次数</t>
  </si>
  <si>
    <t>技能次数</t>
  </si>
  <si>
    <t>水系伤害加成</t>
  </si>
  <si>
    <t>火系伤害加成</t>
  </si>
  <si>
    <t>风系伤害加成</t>
  </si>
  <si>
    <t>魔法伤害</t>
  </si>
  <si>
    <t>魔伤加成</t>
  </si>
  <si>
    <t>AttrName_205</t>
  </si>
  <si>
    <t>魔法次数加成</t>
  </si>
  <si>
    <t>AttrName_206</t>
  </si>
  <si>
    <t>魔法次数</t>
  </si>
  <si>
    <t>道术伤害</t>
  </si>
  <si>
    <t>道伤加成</t>
  </si>
  <si>
    <t>AttrName_207</t>
  </si>
  <si>
    <t>道术次数加成</t>
  </si>
  <si>
    <t>AttrName_208</t>
  </si>
  <si>
    <t>道术次数</t>
  </si>
  <si>
    <t>AttrName_209</t>
  </si>
  <si>
    <t>宠物伤害</t>
  </si>
  <si>
    <t>成长率</t>
  </si>
  <si>
    <t>属性继承</t>
  </si>
  <si>
    <t>属性名称</t>
  </si>
  <si>
    <t>面板展示</t>
  </si>
  <si>
    <t>物理</t>
  </si>
  <si>
    <t>魔法</t>
  </si>
  <si>
    <t>道术</t>
  </si>
  <si>
    <t>生命</t>
  </si>
  <si>
    <t>物御</t>
  </si>
  <si>
    <t>魔御</t>
  </si>
  <si>
    <t>道御</t>
  </si>
  <si>
    <t>回复</t>
  </si>
  <si>
    <t>物伤</t>
  </si>
  <si>
    <t>魔伤</t>
  </si>
  <si>
    <t>道伤</t>
  </si>
  <si>
    <t>物防</t>
  </si>
  <si>
    <t>魔防</t>
  </si>
  <si>
    <t>道防</t>
  </si>
  <si>
    <t>地系伤害</t>
  </si>
  <si>
    <t>水系伤害</t>
  </si>
  <si>
    <t>火系伤害</t>
  </si>
  <si>
    <t>风系伤害</t>
  </si>
  <si>
    <t>闪避</t>
  </si>
  <si>
    <t>命中</t>
  </si>
  <si>
    <t>金币</t>
  </si>
  <si>
    <t>冷却减缩</t>
  </si>
  <si>
    <t>稀有概率</t>
  </si>
  <si>
    <t>传承掉落</t>
  </si>
  <si>
    <t>关卡挂机奖励次数</t>
  </si>
  <si>
    <t>家园挂机时间上限</t>
  </si>
  <si>
    <t>主属性攻击</t>
  </si>
  <si>
    <t>主属性防御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</si>
</sst>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1" fillId="2" borderId="0" xfId="22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 vertical="center" wrapText="1"/>
    </xf>
    <xf numFmtId="49" fontId="0" fillId="0" borderId="0" xfId="0" applyNumberFormat="1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49" fontId="0" fillId="0" borderId="0" xfId="0" applyNumberFormat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tabSelected="1" workbookViewId="0">
      <pane ySplit="3" topLeftCell="A4" activePane="bottomLeft" state="frozen"/>
      <selection/>
      <selection pane="bottomLeft" activeCell="M64" sqref="M64"/>
    </sheetView>
  </sheetViews>
  <sheetFormatPr defaultColWidth="9" defaultRowHeight="13.5"/>
  <cols>
    <col min="2" max="3" width="11.25" customWidth="1"/>
    <col min="4" max="4" width="11.5" customWidth="1"/>
    <col min="5" max="5" width="16" customWidth="1"/>
    <col min="6" max="6" width="13.75" customWidth="1"/>
    <col min="7" max="7" width="19.875" customWidth="1"/>
    <col min="10" max="10" width="16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10</v>
      </c>
      <c r="I2" t="s">
        <v>10</v>
      </c>
      <c r="J2" t="s">
        <v>11</v>
      </c>
    </row>
    <row r="3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>
        <v>1001001</v>
      </c>
      <c r="B4">
        <v>1</v>
      </c>
      <c r="C4">
        <v>0</v>
      </c>
      <c r="D4">
        <v>1</v>
      </c>
      <c r="E4" s="10">
        <f>VLOOKUP(J4,Sheet2!A:C,3,FALSE)</f>
        <v>4</v>
      </c>
      <c r="F4" t="str">
        <f t="shared" ref="F4:F8" si="0">"AttrName_00"&amp;E4</f>
        <v>AttrName_004</v>
      </c>
      <c r="G4" s="10" t="str">
        <f>VLOOKUP(J4,Sheet2!A:C,2,FALSE)</f>
        <v>生命</v>
      </c>
      <c r="H4">
        <v>2</v>
      </c>
      <c r="I4">
        <v>1</v>
      </c>
      <c r="J4" s="11" t="s">
        <v>22</v>
      </c>
    </row>
    <row r="5" spans="1:10">
      <c r="A5">
        <v>1001002</v>
      </c>
      <c r="B5">
        <v>1</v>
      </c>
      <c r="C5">
        <v>0</v>
      </c>
      <c r="D5">
        <v>1</v>
      </c>
      <c r="E5" s="10">
        <f>VLOOKUP(J5,Sheet2!A:C,3,FALSE)</f>
        <v>5</v>
      </c>
      <c r="F5" t="str">
        <f t="shared" si="0"/>
        <v>AttrName_005</v>
      </c>
      <c r="G5" s="10" t="str">
        <f>VLOOKUP(J5,Sheet2!A:C,2,FALSE)</f>
        <v>物御</v>
      </c>
      <c r="H5">
        <v>4</v>
      </c>
      <c r="I5">
        <v>1</v>
      </c>
      <c r="J5" s="10" t="s">
        <v>23</v>
      </c>
    </row>
    <row r="6" spans="1:10">
      <c r="A6">
        <v>1001003</v>
      </c>
      <c r="B6">
        <v>1</v>
      </c>
      <c r="C6">
        <v>0</v>
      </c>
      <c r="D6">
        <v>1</v>
      </c>
      <c r="E6" s="10">
        <f>VLOOKUP(J6,Sheet2!A:C,3,FALSE)</f>
        <v>6</v>
      </c>
      <c r="F6" t="str">
        <f t="shared" si="0"/>
        <v>AttrName_006</v>
      </c>
      <c r="G6" s="10" t="str">
        <f>VLOOKUP(J6,Sheet2!A:C,2,FALSE)</f>
        <v>魔御</v>
      </c>
      <c r="H6">
        <v>6</v>
      </c>
      <c r="I6">
        <v>1</v>
      </c>
      <c r="J6" s="11" t="s">
        <v>24</v>
      </c>
    </row>
    <row r="7" spans="1:10">
      <c r="A7">
        <v>1001004</v>
      </c>
      <c r="B7">
        <v>1</v>
      </c>
      <c r="C7">
        <v>0</v>
      </c>
      <c r="D7">
        <v>1</v>
      </c>
      <c r="E7" s="10">
        <f>VLOOKUP(J7,Sheet2!A:C,3,FALSE)</f>
        <v>7</v>
      </c>
      <c r="F7" t="str">
        <f t="shared" si="0"/>
        <v>AttrName_007</v>
      </c>
      <c r="G7" s="10" t="str">
        <f>VLOOKUP(J7,Sheet2!A:C,2,FALSE)</f>
        <v>道御</v>
      </c>
      <c r="H7">
        <v>8</v>
      </c>
      <c r="I7">
        <v>1</v>
      </c>
      <c r="J7" s="11" t="s">
        <v>25</v>
      </c>
    </row>
    <row r="8" spans="1:10">
      <c r="A8">
        <v>1001005</v>
      </c>
      <c r="B8">
        <v>1</v>
      </c>
      <c r="C8">
        <v>0</v>
      </c>
      <c r="D8">
        <v>1</v>
      </c>
      <c r="E8" s="10">
        <f>VLOOKUP(J8,Sheet2!A:C,3,FALSE)</f>
        <v>29</v>
      </c>
      <c r="F8" t="str">
        <f t="shared" ref="F8:F10" si="1">"AttrName_0"&amp;E8</f>
        <v>AttrName_029</v>
      </c>
      <c r="G8" s="10" t="str">
        <f>VLOOKUP(J8,Sheet2!A:C,2,FALSE)</f>
        <v>暴击</v>
      </c>
      <c r="H8">
        <v>5</v>
      </c>
      <c r="I8">
        <v>1</v>
      </c>
      <c r="J8" s="10" t="s">
        <v>26</v>
      </c>
    </row>
    <row r="9" spans="1:10">
      <c r="A9">
        <v>1001006</v>
      </c>
      <c r="B9">
        <v>1</v>
      </c>
      <c r="C9">
        <v>0</v>
      </c>
      <c r="D9">
        <v>1</v>
      </c>
      <c r="E9" s="10">
        <f>VLOOKUP(J9,Sheet2!A:C,3,FALSE)</f>
        <v>30</v>
      </c>
      <c r="F9" t="str">
        <f t="shared" si="1"/>
        <v>AttrName_030</v>
      </c>
      <c r="G9" s="10" t="str">
        <f>VLOOKUP(J9,Sheet2!A:C,2,FALSE)</f>
        <v>爆伤</v>
      </c>
      <c r="H9">
        <v>7</v>
      </c>
      <c r="I9">
        <v>1</v>
      </c>
      <c r="J9" s="10" t="s">
        <v>27</v>
      </c>
    </row>
    <row r="10" spans="1:10">
      <c r="A10">
        <v>1001007</v>
      </c>
      <c r="B10">
        <v>1</v>
      </c>
      <c r="C10">
        <v>0</v>
      </c>
      <c r="D10">
        <v>1</v>
      </c>
      <c r="E10" s="10">
        <f>VLOOKUP(J10,Sheet2!A:C,3,FALSE)</f>
        <v>41</v>
      </c>
      <c r="F10" t="str">
        <f t="shared" si="1"/>
        <v>AttrName_041</v>
      </c>
      <c r="G10" s="10" t="str">
        <f>VLOOKUP(J10,Sheet2!A:C,2,FALSE)</f>
        <v>攻速</v>
      </c>
      <c r="H10">
        <v>3</v>
      </c>
      <c r="I10">
        <v>1</v>
      </c>
      <c r="J10" s="10" t="s">
        <v>28</v>
      </c>
    </row>
    <row r="11" spans="1:10">
      <c r="A11">
        <v>1001008</v>
      </c>
      <c r="B11">
        <v>1</v>
      </c>
      <c r="C11">
        <v>0</v>
      </c>
      <c r="D11">
        <v>2</v>
      </c>
      <c r="E11" s="10">
        <f>VLOOKUP(J11,Sheet2!A:C,3,FALSE)</f>
        <v>8</v>
      </c>
      <c r="F11" t="str">
        <f>"AttrName_00"&amp;E11</f>
        <v>AttrName_008</v>
      </c>
      <c r="G11" s="10" t="str">
        <f>VLOOKUP(J11,Sheet2!A:C,2,FALSE)</f>
        <v>回复</v>
      </c>
      <c r="H11">
        <v>27</v>
      </c>
      <c r="I11">
        <v>1</v>
      </c>
      <c r="J11" s="10" t="s">
        <v>29</v>
      </c>
    </row>
    <row r="12" spans="1:10">
      <c r="A12">
        <v>1001009</v>
      </c>
      <c r="B12">
        <v>1</v>
      </c>
      <c r="C12">
        <v>0</v>
      </c>
      <c r="D12">
        <v>2</v>
      </c>
      <c r="E12" s="10">
        <v>9</v>
      </c>
      <c r="F12" t="s">
        <v>30</v>
      </c>
      <c r="G12" s="10" t="s">
        <v>31</v>
      </c>
      <c r="H12">
        <v>16</v>
      </c>
      <c r="I12">
        <v>1</v>
      </c>
      <c r="J12" s="10" t="s">
        <v>31</v>
      </c>
    </row>
    <row r="13" spans="1:10">
      <c r="A13">
        <v>1001010</v>
      </c>
      <c r="B13">
        <v>1</v>
      </c>
      <c r="C13">
        <v>0</v>
      </c>
      <c r="D13">
        <v>2</v>
      </c>
      <c r="E13" s="10">
        <f>VLOOKUP(J13,Sheet2!A:C,3,FALSE)</f>
        <v>13</v>
      </c>
      <c r="F13" t="str">
        <f t="shared" ref="F13:F38" si="2">"AttrName_0"&amp;E13</f>
        <v>AttrName_013</v>
      </c>
      <c r="G13" s="10" t="str">
        <f>VLOOKUP(J13,Sheet2!A:C,2,FALSE)</f>
        <v>生命</v>
      </c>
      <c r="H13">
        <v>10</v>
      </c>
      <c r="I13">
        <v>1</v>
      </c>
      <c r="J13" s="11" t="s">
        <v>32</v>
      </c>
    </row>
    <row r="14" spans="1:10">
      <c r="A14">
        <v>1001011</v>
      </c>
      <c r="B14">
        <v>1</v>
      </c>
      <c r="C14">
        <v>0</v>
      </c>
      <c r="D14">
        <v>2</v>
      </c>
      <c r="E14" s="10">
        <f>VLOOKUP(J14,Sheet2!A:C,3,FALSE)</f>
        <v>14</v>
      </c>
      <c r="F14" t="str">
        <f t="shared" si="2"/>
        <v>AttrName_014</v>
      </c>
      <c r="G14" s="10" t="str">
        <f>VLOOKUP(J14,Sheet2!A:C,2,FALSE)</f>
        <v>物防</v>
      </c>
      <c r="H14">
        <v>11</v>
      </c>
      <c r="I14">
        <v>2</v>
      </c>
      <c r="J14" s="10" t="s">
        <v>33</v>
      </c>
    </row>
    <row r="15" spans="1:10">
      <c r="A15">
        <v>1001012</v>
      </c>
      <c r="B15">
        <v>1</v>
      </c>
      <c r="C15">
        <v>0</v>
      </c>
      <c r="D15">
        <v>2</v>
      </c>
      <c r="E15" s="10">
        <f>VLOOKUP(J15,Sheet2!A:C,3,FALSE)</f>
        <v>21</v>
      </c>
      <c r="F15" t="str">
        <f t="shared" si="2"/>
        <v>AttrName_021</v>
      </c>
      <c r="G15" s="10" t="str">
        <f>VLOOKUP(J15,Sheet2!A:C,2,FALSE)</f>
        <v>宠物伤害加成</v>
      </c>
      <c r="H15">
        <v>15</v>
      </c>
      <c r="I15">
        <v>1</v>
      </c>
      <c r="J15" s="10" t="s">
        <v>34</v>
      </c>
    </row>
    <row r="16" spans="1:10">
      <c r="A16">
        <v>1001013</v>
      </c>
      <c r="B16">
        <v>1</v>
      </c>
      <c r="C16">
        <v>0</v>
      </c>
      <c r="D16">
        <v>2</v>
      </c>
      <c r="E16" s="10">
        <f>VLOOKUP(J16,Sheet2!A:C,3,FALSE)</f>
        <v>15</v>
      </c>
      <c r="F16" t="str">
        <f t="shared" si="2"/>
        <v>AttrName_015</v>
      </c>
      <c r="G16" s="10" t="str">
        <f>VLOOKUP(J16,Sheet2!A:C,2,FALSE)</f>
        <v>魔防</v>
      </c>
      <c r="H16">
        <v>12</v>
      </c>
      <c r="I16">
        <v>2</v>
      </c>
      <c r="J16" s="11" t="s">
        <v>35</v>
      </c>
    </row>
    <row r="17" spans="1:10">
      <c r="A17">
        <v>1001014</v>
      </c>
      <c r="B17">
        <v>1</v>
      </c>
      <c r="C17">
        <v>0</v>
      </c>
      <c r="D17">
        <v>2</v>
      </c>
      <c r="E17" s="10">
        <f>VLOOKUP(J17,Sheet2!A:C,3,FALSE)</f>
        <v>16</v>
      </c>
      <c r="F17" t="str">
        <f t="shared" si="2"/>
        <v>AttrName_016</v>
      </c>
      <c r="G17" s="10" t="str">
        <f>VLOOKUP(J17,Sheet2!A:C,2,FALSE)</f>
        <v>道防</v>
      </c>
      <c r="H17">
        <v>14</v>
      </c>
      <c r="I17">
        <v>2</v>
      </c>
      <c r="J17" s="11" t="s">
        <v>36</v>
      </c>
    </row>
    <row r="18" spans="1:10">
      <c r="A18">
        <v>1001015</v>
      </c>
      <c r="B18">
        <v>1</v>
      </c>
      <c r="C18">
        <v>0</v>
      </c>
      <c r="D18">
        <v>2</v>
      </c>
      <c r="E18" s="10">
        <f>VLOOKUP(J18,Sheet2!A:C,3,FALSE)</f>
        <v>23</v>
      </c>
      <c r="F18" t="str">
        <f t="shared" si="2"/>
        <v>AttrName_023</v>
      </c>
      <c r="G18" s="10" t="str">
        <f>VLOOKUP(J18,Sheet2!A:C,2,FALSE)</f>
        <v>伤害倍率</v>
      </c>
      <c r="H18">
        <v>33</v>
      </c>
      <c r="I18">
        <v>2</v>
      </c>
      <c r="J18" s="10" t="s">
        <v>37</v>
      </c>
    </row>
    <row r="19" spans="1:10">
      <c r="A19">
        <v>1001016</v>
      </c>
      <c r="B19">
        <v>1</v>
      </c>
      <c r="C19">
        <v>0</v>
      </c>
      <c r="D19">
        <v>2</v>
      </c>
      <c r="E19" s="10">
        <f>VLOOKUP(J19,Sheet2!A:C,3,FALSE)</f>
        <v>31</v>
      </c>
      <c r="F19" t="str">
        <f t="shared" si="2"/>
        <v>AttrName_031</v>
      </c>
      <c r="G19" s="10" t="str">
        <f>VLOOKUP(J19,Sheet2!A:C,2,FALSE)</f>
        <v>BOSS伤害加成</v>
      </c>
      <c r="H19">
        <v>17</v>
      </c>
      <c r="I19">
        <v>2</v>
      </c>
      <c r="J19" s="10" t="s">
        <v>38</v>
      </c>
    </row>
    <row r="20" spans="1:10">
      <c r="A20">
        <v>1001017</v>
      </c>
      <c r="B20">
        <v>1</v>
      </c>
      <c r="C20">
        <v>0</v>
      </c>
      <c r="D20">
        <v>2</v>
      </c>
      <c r="E20" s="10">
        <f>VLOOKUP(J20,Sheet2!A:C,3,FALSE)</f>
        <v>25</v>
      </c>
      <c r="F20" t="str">
        <f t="shared" si="2"/>
        <v>AttrName_025</v>
      </c>
      <c r="G20" s="10" t="str">
        <f>VLOOKUP(J20,Sheet2!A:C,2,FALSE)</f>
        <v>命中</v>
      </c>
      <c r="H20">
        <v>20</v>
      </c>
      <c r="I20">
        <v>1</v>
      </c>
      <c r="J20" s="10" t="s">
        <v>39</v>
      </c>
    </row>
    <row r="21" spans="1:10">
      <c r="A21">
        <v>1001018</v>
      </c>
      <c r="B21">
        <v>1</v>
      </c>
      <c r="C21">
        <v>0</v>
      </c>
      <c r="D21">
        <v>2</v>
      </c>
      <c r="E21" s="10">
        <f>VLOOKUP(J21,Sheet2!A:C,3,FALSE)</f>
        <v>32</v>
      </c>
      <c r="F21" t="str">
        <f t="shared" si="2"/>
        <v>AttrName_032</v>
      </c>
      <c r="G21" s="10" t="str">
        <f>VLOOKUP(J21,Sheet2!A:C,2,FALSE)</f>
        <v>小怪伤害加成</v>
      </c>
      <c r="H21">
        <v>19</v>
      </c>
      <c r="I21">
        <v>2</v>
      </c>
      <c r="J21" s="10" t="s">
        <v>40</v>
      </c>
    </row>
    <row r="22" spans="1:10">
      <c r="A22">
        <v>1001019</v>
      </c>
      <c r="B22">
        <v>1</v>
      </c>
      <c r="C22">
        <v>0</v>
      </c>
      <c r="D22">
        <v>2</v>
      </c>
      <c r="E22" s="10">
        <f>VLOOKUP(J22,Sheet2!A:C,3,FALSE)</f>
        <v>28</v>
      </c>
      <c r="F22" t="str">
        <f t="shared" si="2"/>
        <v>AttrName_028</v>
      </c>
      <c r="G22" s="10" t="str">
        <f>VLOOKUP(J22,Sheet2!A:C,2,FALSE)</f>
        <v>无视防御</v>
      </c>
      <c r="H22">
        <v>22</v>
      </c>
      <c r="I22">
        <v>2</v>
      </c>
      <c r="J22" s="10" t="s">
        <v>41</v>
      </c>
    </row>
    <row r="23" spans="1:10">
      <c r="A23">
        <v>1001020</v>
      </c>
      <c r="B23">
        <v>1</v>
      </c>
      <c r="C23">
        <v>0</v>
      </c>
      <c r="D23">
        <v>2</v>
      </c>
      <c r="E23" s="10">
        <f>VLOOKUP(J23,Sheet2!A:C,3,FALSE)</f>
        <v>36</v>
      </c>
      <c r="F23" t="str">
        <f t="shared" si="2"/>
        <v>AttrName_036</v>
      </c>
      <c r="G23" s="10" t="str">
        <f>VLOOKUP(J23,Sheet2!A:C,2,FALSE)</f>
        <v>技能伤害</v>
      </c>
      <c r="H23">
        <v>21</v>
      </c>
      <c r="I23">
        <v>2</v>
      </c>
      <c r="J23" s="10" t="s">
        <v>42</v>
      </c>
    </row>
    <row r="24" spans="1:10">
      <c r="A24">
        <v>1001021</v>
      </c>
      <c r="B24">
        <v>1</v>
      </c>
      <c r="C24">
        <v>0</v>
      </c>
      <c r="D24">
        <v>2</v>
      </c>
      <c r="E24" s="10">
        <f>VLOOKUP(J24,Sheet2!A:C,3,FALSE)</f>
        <v>33</v>
      </c>
      <c r="F24" t="str">
        <f t="shared" si="2"/>
        <v>AttrName_033</v>
      </c>
      <c r="G24" s="10" t="str">
        <f>VLOOKUP(J24,Sheet2!A:C,2,FALSE)</f>
        <v>减伤</v>
      </c>
      <c r="H24">
        <v>26</v>
      </c>
      <c r="I24">
        <v>2</v>
      </c>
      <c r="J24" s="10" t="s">
        <v>43</v>
      </c>
    </row>
    <row r="25" spans="1:10">
      <c r="A25">
        <v>1001022</v>
      </c>
      <c r="B25">
        <v>1</v>
      </c>
      <c r="C25">
        <v>0</v>
      </c>
      <c r="D25">
        <v>2</v>
      </c>
      <c r="E25" s="10">
        <f>VLOOKUP(J25,Sheet2!A:C,3,FALSE)</f>
        <v>34</v>
      </c>
      <c r="F25" t="str">
        <f t="shared" si="2"/>
        <v>AttrName_034</v>
      </c>
      <c r="G25" s="10" t="str">
        <f>VLOOKUP(J25,Sheet2!A:C,2,FALSE)</f>
        <v>吸血</v>
      </c>
      <c r="H25">
        <v>28</v>
      </c>
      <c r="I25">
        <v>2</v>
      </c>
      <c r="J25" s="10" t="s">
        <v>44</v>
      </c>
    </row>
    <row r="26" spans="1:10">
      <c r="A26">
        <v>1001023</v>
      </c>
      <c r="B26">
        <v>1</v>
      </c>
      <c r="C26">
        <v>0</v>
      </c>
      <c r="D26">
        <v>2</v>
      </c>
      <c r="E26" s="10">
        <f>VLOOKUP(J26,Sheet2!A:C,3,FALSE)</f>
        <v>40</v>
      </c>
      <c r="F26" t="str">
        <f t="shared" si="2"/>
        <v>AttrName_040</v>
      </c>
      <c r="G26" s="10" t="str">
        <f>VLOOKUP(J26,Sheet2!A:C,2,FALSE)</f>
        <v>冷却减缩</v>
      </c>
      <c r="H26">
        <v>25</v>
      </c>
      <c r="I26">
        <v>2</v>
      </c>
      <c r="J26" s="10" t="s">
        <v>45</v>
      </c>
    </row>
    <row r="27" spans="1:10">
      <c r="A27">
        <v>1001024</v>
      </c>
      <c r="B27">
        <v>1</v>
      </c>
      <c r="C27">
        <v>0</v>
      </c>
      <c r="D27">
        <v>2</v>
      </c>
      <c r="E27" s="10">
        <f>VLOOKUP(J27,Sheet2!A:C,3,FALSE)</f>
        <v>26</v>
      </c>
      <c r="F27" t="str">
        <f t="shared" si="2"/>
        <v>AttrName_026</v>
      </c>
      <c r="G27" s="10" t="str">
        <f>VLOOKUP(J27,Sheet2!A:C,2,FALSE)</f>
        <v>格挡率</v>
      </c>
      <c r="H27">
        <v>31</v>
      </c>
      <c r="I27">
        <v>2</v>
      </c>
      <c r="J27" s="10" t="s">
        <v>46</v>
      </c>
    </row>
    <row r="28" spans="1:10">
      <c r="A28">
        <v>1001025</v>
      </c>
      <c r="B28">
        <v>1</v>
      </c>
      <c r="C28">
        <v>0</v>
      </c>
      <c r="D28">
        <v>2</v>
      </c>
      <c r="E28" s="10">
        <f>VLOOKUP(J28,Sheet2!A:C,3,FALSE)</f>
        <v>27</v>
      </c>
      <c r="F28" t="str">
        <f t="shared" si="2"/>
        <v>AttrName_027</v>
      </c>
      <c r="G28" s="10" t="str">
        <f>VLOOKUP(J28,Sheet2!A:C,2,FALSE)</f>
        <v>格挡值</v>
      </c>
      <c r="H28">
        <v>32</v>
      </c>
      <c r="I28">
        <v>2</v>
      </c>
      <c r="J28" s="10" t="s">
        <v>47</v>
      </c>
    </row>
    <row r="29" spans="1:10">
      <c r="A29">
        <v>1001026</v>
      </c>
      <c r="B29">
        <v>1</v>
      </c>
      <c r="C29">
        <v>0</v>
      </c>
      <c r="D29">
        <v>2</v>
      </c>
      <c r="E29" s="10">
        <f>VLOOKUP(J29,Sheet2!A:C,3,FALSE)</f>
        <v>42</v>
      </c>
      <c r="F29" t="str">
        <f t="shared" si="2"/>
        <v>AttrName_042</v>
      </c>
      <c r="G29" s="10" t="str">
        <f>VLOOKUP(J29,Sheet2!A:C,2,FALSE)</f>
        <v>连击</v>
      </c>
      <c r="H29">
        <v>29</v>
      </c>
      <c r="I29">
        <v>2</v>
      </c>
      <c r="J29" s="10" t="s">
        <v>48</v>
      </c>
    </row>
    <row r="30" spans="1:10">
      <c r="A30">
        <v>1001027</v>
      </c>
      <c r="B30">
        <v>1</v>
      </c>
      <c r="C30">
        <v>0</v>
      </c>
      <c r="D30">
        <v>2</v>
      </c>
      <c r="E30" s="10">
        <f>VLOOKUP(J30,Sheet2!A:C,3,FALSE)</f>
        <v>43</v>
      </c>
      <c r="F30" t="str">
        <f t="shared" si="2"/>
        <v>AttrName_043</v>
      </c>
      <c r="G30" s="10" t="str">
        <f>VLOOKUP(J30,Sheet2!A:C,2,FALSE)</f>
        <v>反击</v>
      </c>
      <c r="H30">
        <v>30</v>
      </c>
      <c r="I30">
        <v>2</v>
      </c>
      <c r="J30" s="10" t="s">
        <v>49</v>
      </c>
    </row>
    <row r="31" spans="1:10">
      <c r="A31">
        <v>1001028</v>
      </c>
      <c r="B31">
        <v>1</v>
      </c>
      <c r="C31">
        <v>0</v>
      </c>
      <c r="D31">
        <v>2</v>
      </c>
      <c r="E31" s="10">
        <f>VLOOKUP(J31,Sheet2!A:C,3,FALSE)</f>
        <v>48</v>
      </c>
      <c r="F31" t="str">
        <f t="shared" si="2"/>
        <v>AttrName_048</v>
      </c>
      <c r="G31" s="10" t="str">
        <f>VLOOKUP(J31,Sheet2!A:C,2,FALSE)</f>
        <v>最终伤害</v>
      </c>
      <c r="H31">
        <v>37</v>
      </c>
      <c r="I31">
        <v>2</v>
      </c>
      <c r="J31" s="10" t="s">
        <v>50</v>
      </c>
    </row>
    <row r="32" spans="1:10">
      <c r="A32">
        <v>1001029</v>
      </c>
      <c r="B32">
        <v>1</v>
      </c>
      <c r="C32">
        <v>0</v>
      </c>
      <c r="D32">
        <v>2</v>
      </c>
      <c r="E32" s="10">
        <f>VLOOKUP(J32,Sheet2!A:C,3,FALSE)</f>
        <v>22</v>
      </c>
      <c r="F32" t="str">
        <f t="shared" si="2"/>
        <v>AttrName_022</v>
      </c>
      <c r="G32" s="10" t="str">
        <f>VLOOKUP(J32,Sheet2!A:C,2,FALSE)</f>
        <v>生命倍率</v>
      </c>
      <c r="H32">
        <v>34</v>
      </c>
      <c r="I32">
        <v>2</v>
      </c>
      <c r="J32" s="10" t="s">
        <v>51</v>
      </c>
    </row>
    <row r="33" spans="1:10">
      <c r="A33">
        <v>1001030</v>
      </c>
      <c r="B33">
        <v>1</v>
      </c>
      <c r="C33">
        <v>0</v>
      </c>
      <c r="D33">
        <v>2</v>
      </c>
      <c r="E33" s="10">
        <f>VLOOKUP(J33,Sheet2!A:C,3,FALSE)</f>
        <v>24</v>
      </c>
      <c r="F33" t="str">
        <f t="shared" si="2"/>
        <v>AttrName_024</v>
      </c>
      <c r="G33" s="10" t="str">
        <f>VLOOKUP(J33,Sheet2!A:C,2,FALSE)</f>
        <v>闪避</v>
      </c>
      <c r="H33">
        <v>18</v>
      </c>
      <c r="I33">
        <v>1</v>
      </c>
      <c r="J33" s="10" t="s">
        <v>52</v>
      </c>
    </row>
    <row r="34" spans="1:10">
      <c r="A34">
        <v>1001031</v>
      </c>
      <c r="B34">
        <v>1</v>
      </c>
      <c r="C34">
        <v>0</v>
      </c>
      <c r="D34">
        <v>2</v>
      </c>
      <c r="E34" s="10">
        <f>VLOOKUP(J34,Sheet2!A:C,3,FALSE)</f>
        <v>35</v>
      </c>
      <c r="F34" t="str">
        <f t="shared" si="2"/>
        <v>AttrName_035</v>
      </c>
      <c r="G34" s="10" t="str">
        <f>VLOOKUP(J34,Sheet2!A:C,2,FALSE)</f>
        <v>攻击回复</v>
      </c>
      <c r="H34">
        <v>35</v>
      </c>
      <c r="I34">
        <v>2</v>
      </c>
      <c r="J34" s="10" t="s">
        <v>53</v>
      </c>
    </row>
    <row r="35" spans="1:10">
      <c r="A35">
        <v>1001032</v>
      </c>
      <c r="B35">
        <v>1</v>
      </c>
      <c r="C35">
        <v>0</v>
      </c>
      <c r="D35">
        <v>2</v>
      </c>
      <c r="E35" s="10">
        <f>VLOOKUP(J35,Sheet2!A:C,3,FALSE)</f>
        <v>49</v>
      </c>
      <c r="F35" t="str">
        <f t="shared" si="2"/>
        <v>AttrName_049</v>
      </c>
      <c r="G35" s="10" t="str">
        <f>VLOOKUP(J35,Sheet2!A:C,2,FALSE)</f>
        <v>击杀回复</v>
      </c>
      <c r="H35">
        <v>36</v>
      </c>
      <c r="I35">
        <v>2</v>
      </c>
      <c r="J35" s="12" t="s">
        <v>54</v>
      </c>
    </row>
    <row r="36" spans="1:10">
      <c r="A36">
        <v>1001033</v>
      </c>
      <c r="B36">
        <v>1</v>
      </c>
      <c r="C36">
        <v>0</v>
      </c>
      <c r="D36">
        <v>2</v>
      </c>
      <c r="E36" s="10">
        <f>VLOOKUP(J36,Sheet2!A:C,3,FALSE)</f>
        <v>44</v>
      </c>
      <c r="F36" t="str">
        <f t="shared" si="2"/>
        <v>AttrName_044</v>
      </c>
      <c r="G36" s="10" t="str">
        <f>VLOOKUP(J36,Sheet2!A:C,2,FALSE)</f>
        <v>稀有概率</v>
      </c>
      <c r="H36">
        <v>38</v>
      </c>
      <c r="I36">
        <v>2</v>
      </c>
      <c r="J36" s="10" t="s">
        <v>55</v>
      </c>
    </row>
    <row r="37" spans="1:10">
      <c r="A37">
        <v>1001034</v>
      </c>
      <c r="B37">
        <v>1</v>
      </c>
      <c r="C37">
        <v>0</v>
      </c>
      <c r="D37">
        <v>2</v>
      </c>
      <c r="E37" s="10">
        <f>VLOOKUP(J37,Sheet2!A:C,3,FALSE)</f>
        <v>45</v>
      </c>
      <c r="F37" t="str">
        <f t="shared" si="2"/>
        <v>AttrName_045</v>
      </c>
      <c r="G37" s="10" t="str">
        <f>VLOOKUP(J37,Sheet2!A:C,2,FALSE)</f>
        <v>传承掉落</v>
      </c>
      <c r="H37">
        <v>40</v>
      </c>
      <c r="I37">
        <v>2</v>
      </c>
      <c r="J37" s="10" t="s">
        <v>56</v>
      </c>
    </row>
    <row r="38" spans="1:10">
      <c r="A38">
        <v>1001035</v>
      </c>
      <c r="B38">
        <v>1</v>
      </c>
      <c r="C38">
        <v>0</v>
      </c>
      <c r="D38">
        <v>2</v>
      </c>
      <c r="E38" s="10">
        <f>VLOOKUP(J38,Sheet2!A:C,3,FALSE)</f>
        <v>39</v>
      </c>
      <c r="F38" t="str">
        <f t="shared" si="2"/>
        <v>AttrName_039</v>
      </c>
      <c r="G38" s="10" t="str">
        <f>VLOOKUP(J38,Sheet2!A:C,2,FALSE)</f>
        <v>金币</v>
      </c>
      <c r="H38">
        <v>39</v>
      </c>
      <c r="I38">
        <v>2</v>
      </c>
      <c r="J38" s="10" t="s">
        <v>57</v>
      </c>
    </row>
    <row r="39" spans="1:10">
      <c r="A39">
        <v>1001036</v>
      </c>
      <c r="B39">
        <v>1</v>
      </c>
      <c r="C39">
        <v>1</v>
      </c>
      <c r="D39">
        <v>1</v>
      </c>
      <c r="E39" s="10">
        <f>VLOOKUP(J39,Sheet2!A:C,3,FALSE)</f>
        <v>1</v>
      </c>
      <c r="F39" t="str">
        <f>"AttrName_00"&amp;E39</f>
        <v>AttrName_001</v>
      </c>
      <c r="G39" s="10" t="str">
        <f>VLOOKUP(J39,Sheet2!A:C,2,FALSE)</f>
        <v>物理</v>
      </c>
      <c r="H39">
        <v>1</v>
      </c>
      <c r="I39">
        <v>1</v>
      </c>
      <c r="J39" s="10" t="s">
        <v>58</v>
      </c>
    </row>
    <row r="40" spans="1:10">
      <c r="A40">
        <v>1001037</v>
      </c>
      <c r="B40">
        <v>1</v>
      </c>
      <c r="C40">
        <v>1</v>
      </c>
      <c r="D40">
        <v>2</v>
      </c>
      <c r="E40" s="10">
        <f>VLOOKUP(J40,Sheet2!A:C,3,FALSE)</f>
        <v>10</v>
      </c>
      <c r="F40" t="str">
        <f>"AttrName_0"&amp;E40</f>
        <v>AttrName_010</v>
      </c>
      <c r="G40" s="10" t="str">
        <f>VLOOKUP(J40,Sheet2!A:C,2,FALSE)</f>
        <v>物伤</v>
      </c>
      <c r="H40">
        <v>9</v>
      </c>
      <c r="I40">
        <v>1</v>
      </c>
      <c r="J40" s="11" t="s">
        <v>59</v>
      </c>
    </row>
    <row r="41" spans="1:10">
      <c r="A41">
        <v>1001038</v>
      </c>
      <c r="B41">
        <v>1</v>
      </c>
      <c r="C41">
        <v>1</v>
      </c>
      <c r="D41">
        <v>2</v>
      </c>
      <c r="E41" s="10">
        <f>VLOOKUP(J41,Sheet2!A:C,3,FALSE)</f>
        <v>17</v>
      </c>
      <c r="F41" t="str">
        <f t="shared" ref="F41:F43" si="3">"AttrName_0"&amp;E41</f>
        <v>AttrName_017</v>
      </c>
      <c r="G41" s="10" t="str">
        <f>VLOOKUP(J41,Sheet2!A:C,2,FALSE)</f>
        <v>地系伤害</v>
      </c>
      <c r="H41">
        <v>13</v>
      </c>
      <c r="I41">
        <v>1</v>
      </c>
      <c r="J41" s="10" t="s">
        <v>60</v>
      </c>
    </row>
    <row r="42" spans="1:10">
      <c r="A42">
        <v>1001039</v>
      </c>
      <c r="B42">
        <v>1</v>
      </c>
      <c r="C42">
        <v>1</v>
      </c>
      <c r="D42">
        <v>2</v>
      </c>
      <c r="E42" s="10">
        <f>VLOOKUP(J42,Sheet2!A:C,3,FALSE)</f>
        <v>37</v>
      </c>
      <c r="F42" t="s">
        <v>61</v>
      </c>
      <c r="G42" s="10" t="s">
        <v>62</v>
      </c>
      <c r="H42">
        <v>23</v>
      </c>
      <c r="I42">
        <v>2</v>
      </c>
      <c r="J42" s="10" t="s">
        <v>63</v>
      </c>
    </row>
    <row r="43" spans="1:10">
      <c r="A43">
        <v>1001040</v>
      </c>
      <c r="B43">
        <v>1</v>
      </c>
      <c r="C43">
        <v>1</v>
      </c>
      <c r="D43">
        <v>2</v>
      </c>
      <c r="E43" s="10">
        <f>VLOOKUP(J43,Sheet2!A:C,3,FALSE)</f>
        <v>38</v>
      </c>
      <c r="F43" t="s">
        <v>64</v>
      </c>
      <c r="G43" s="10" t="s">
        <v>65</v>
      </c>
      <c r="H43">
        <v>24</v>
      </c>
      <c r="I43">
        <v>2</v>
      </c>
      <c r="J43" s="10" t="s">
        <v>66</v>
      </c>
    </row>
    <row r="44" spans="1:10">
      <c r="A44">
        <v>1001041</v>
      </c>
      <c r="B44">
        <v>1</v>
      </c>
      <c r="C44">
        <v>2</v>
      </c>
      <c r="D44">
        <f>D4</f>
        <v>1</v>
      </c>
      <c r="E44" s="10">
        <f>VLOOKUP(J44,Sheet2!A:C,3,FALSE)</f>
        <v>1</v>
      </c>
      <c r="F44" t="str">
        <f>"AttrName_00"&amp;E44</f>
        <v>AttrName_001</v>
      </c>
      <c r="G44" s="10" t="str">
        <f>VLOOKUP(J44,Sheet2!A:C,2,FALSE)</f>
        <v>物理</v>
      </c>
      <c r="H44">
        <v>1</v>
      </c>
      <c r="I44">
        <f>I4</f>
        <v>1</v>
      </c>
      <c r="J44" s="10" t="s">
        <v>58</v>
      </c>
    </row>
    <row r="45" spans="1:10">
      <c r="A45">
        <v>1001042</v>
      </c>
      <c r="B45">
        <v>1</v>
      </c>
      <c r="C45">
        <v>2</v>
      </c>
      <c r="D45">
        <v>2</v>
      </c>
      <c r="E45" s="10">
        <f>VLOOKUP(J45,Sheet2!A:C,3,FALSE)</f>
        <v>10</v>
      </c>
      <c r="F45" t="str">
        <f>"AttrName_0"&amp;E45</f>
        <v>AttrName_010</v>
      </c>
      <c r="G45" s="10" t="str">
        <f>VLOOKUP(J45,Sheet2!A:C,2,FALSE)</f>
        <v>物伤</v>
      </c>
      <c r="H45">
        <v>9</v>
      </c>
      <c r="I45">
        <v>1</v>
      </c>
      <c r="J45" s="11" t="s">
        <v>59</v>
      </c>
    </row>
    <row r="46" spans="1:10">
      <c r="A46">
        <v>1001043</v>
      </c>
      <c r="B46">
        <v>1</v>
      </c>
      <c r="C46">
        <v>2</v>
      </c>
      <c r="D46">
        <f>D40</f>
        <v>2</v>
      </c>
      <c r="E46" s="10">
        <f>VLOOKUP(J46,Sheet2!A:C,3,FALSE)</f>
        <v>18</v>
      </c>
      <c r="F46" t="str">
        <f t="shared" ref="F46:F48" si="4">"AttrName_0"&amp;E46</f>
        <v>AttrName_018</v>
      </c>
      <c r="G46" s="10" t="str">
        <f>VLOOKUP(J46,Sheet2!A:C,2,FALSE)</f>
        <v>水系伤害</v>
      </c>
      <c r="H46">
        <v>13</v>
      </c>
      <c r="I46">
        <f>I40</f>
        <v>1</v>
      </c>
      <c r="J46" s="10" t="s">
        <v>67</v>
      </c>
    </row>
    <row r="47" spans="1:10">
      <c r="A47">
        <v>1001044</v>
      </c>
      <c r="B47">
        <v>1</v>
      </c>
      <c r="C47">
        <v>2</v>
      </c>
      <c r="D47">
        <f>D26</f>
        <v>2</v>
      </c>
      <c r="E47" s="10">
        <f>VLOOKUP(J47,Sheet2!A:C,3,FALSE)</f>
        <v>37</v>
      </c>
      <c r="F47" t="s">
        <v>61</v>
      </c>
      <c r="G47" s="10" t="s">
        <v>62</v>
      </c>
      <c r="H47">
        <v>23</v>
      </c>
      <c r="I47">
        <f>I26</f>
        <v>2</v>
      </c>
      <c r="J47" s="10" t="s">
        <v>63</v>
      </c>
    </row>
    <row r="48" spans="1:10">
      <c r="A48">
        <v>1001045</v>
      </c>
      <c r="B48">
        <v>1</v>
      </c>
      <c r="C48">
        <v>2</v>
      </c>
      <c r="D48">
        <f>D36</f>
        <v>2</v>
      </c>
      <c r="E48" s="10">
        <f>VLOOKUP(J48,Sheet2!A:C,3,FALSE)</f>
        <v>38</v>
      </c>
      <c r="F48" t="s">
        <v>64</v>
      </c>
      <c r="G48" s="10" t="s">
        <v>65</v>
      </c>
      <c r="H48">
        <v>24</v>
      </c>
      <c r="I48">
        <f>I36</f>
        <v>2</v>
      </c>
      <c r="J48" s="10" t="s">
        <v>66</v>
      </c>
    </row>
    <row r="49" spans="1:10">
      <c r="A49">
        <v>1001046</v>
      </c>
      <c r="B49">
        <v>1</v>
      </c>
      <c r="C49">
        <v>3</v>
      </c>
      <c r="D49">
        <f>D8</f>
        <v>1</v>
      </c>
      <c r="E49" s="10">
        <f>VLOOKUP(J49,Sheet2!A:C,3,FALSE)</f>
        <v>1</v>
      </c>
      <c r="F49" t="str">
        <f>"AttrName_00"&amp;E49</f>
        <v>AttrName_001</v>
      </c>
      <c r="G49" s="10" t="str">
        <f>VLOOKUP(J49,Sheet2!A:C,2,FALSE)</f>
        <v>物理</v>
      </c>
      <c r="H49">
        <v>1</v>
      </c>
      <c r="I49">
        <f>$I$4</f>
        <v>1</v>
      </c>
      <c r="J49" s="10" t="s">
        <v>58</v>
      </c>
    </row>
    <row r="50" spans="1:10">
      <c r="A50">
        <v>1001047</v>
      </c>
      <c r="B50">
        <v>1</v>
      </c>
      <c r="C50">
        <v>3</v>
      </c>
      <c r="D50">
        <f>D16</f>
        <v>2</v>
      </c>
      <c r="E50" s="10">
        <f>VLOOKUP(J50,Sheet2!A:C,3,FALSE)</f>
        <v>19</v>
      </c>
      <c r="F50" t="str">
        <f t="shared" ref="F50:F55" si="5">"AttrName_0"&amp;E50</f>
        <v>AttrName_019</v>
      </c>
      <c r="G50" s="10" t="str">
        <f>VLOOKUP(J50,Sheet2!A:C,2,FALSE)</f>
        <v>火系伤害</v>
      </c>
      <c r="H50">
        <v>13</v>
      </c>
      <c r="I50">
        <f>$I$16</f>
        <v>2</v>
      </c>
      <c r="J50" s="10" t="s">
        <v>68</v>
      </c>
    </row>
    <row r="51" spans="1:10">
      <c r="A51">
        <v>1001048</v>
      </c>
      <c r="B51">
        <v>1</v>
      </c>
      <c r="C51">
        <v>3</v>
      </c>
      <c r="D51">
        <v>2</v>
      </c>
      <c r="E51" s="10">
        <f>VLOOKUP(J51,Sheet2!A:C,3,FALSE)</f>
        <v>10</v>
      </c>
      <c r="F51" t="str">
        <f t="shared" si="5"/>
        <v>AttrName_010</v>
      </c>
      <c r="G51" s="10" t="str">
        <f>VLOOKUP(J51,Sheet2!A:C,2,FALSE)</f>
        <v>物伤</v>
      </c>
      <c r="H51">
        <v>9</v>
      </c>
      <c r="I51">
        <v>1</v>
      </c>
      <c r="J51" s="11" t="s">
        <v>59</v>
      </c>
    </row>
    <row r="52" spans="1:10">
      <c r="A52">
        <v>1001049</v>
      </c>
      <c r="B52">
        <v>1</v>
      </c>
      <c r="C52">
        <v>3</v>
      </c>
      <c r="D52">
        <f>D30</f>
        <v>2</v>
      </c>
      <c r="E52" s="10">
        <f>VLOOKUP(J52,Sheet2!A:C,3,FALSE)</f>
        <v>37</v>
      </c>
      <c r="F52" t="s">
        <v>61</v>
      </c>
      <c r="G52" s="10" t="s">
        <v>62</v>
      </c>
      <c r="H52">
        <v>23</v>
      </c>
      <c r="I52">
        <f>$I$27</f>
        <v>2</v>
      </c>
      <c r="J52" s="10" t="s">
        <v>63</v>
      </c>
    </row>
    <row r="53" spans="1:10">
      <c r="A53">
        <v>1001050</v>
      </c>
      <c r="B53">
        <v>1</v>
      </c>
      <c r="C53">
        <v>3</v>
      </c>
      <c r="D53">
        <f>D41</f>
        <v>2</v>
      </c>
      <c r="E53" s="10">
        <f>VLOOKUP(J53,Sheet2!A:C,3,FALSE)</f>
        <v>38</v>
      </c>
      <c r="F53" t="s">
        <v>64</v>
      </c>
      <c r="G53" s="10" t="s">
        <v>65</v>
      </c>
      <c r="H53">
        <v>24</v>
      </c>
      <c r="I53">
        <f>$I$48</f>
        <v>2</v>
      </c>
      <c r="J53" s="10" t="s">
        <v>66</v>
      </c>
    </row>
    <row r="54" spans="1:10">
      <c r="A54">
        <v>1001051</v>
      </c>
      <c r="B54">
        <v>1</v>
      </c>
      <c r="C54">
        <v>4</v>
      </c>
      <c r="D54">
        <v>1</v>
      </c>
      <c r="E54" s="10">
        <f>VLOOKUP(J54,Sheet2!A:C,3,FALSE)</f>
        <v>1</v>
      </c>
      <c r="F54" t="str">
        <f>"AttrName_00"&amp;E54</f>
        <v>AttrName_001</v>
      </c>
      <c r="G54" s="10" t="str">
        <f>VLOOKUP(J54,Sheet2!A:C,2,FALSE)</f>
        <v>物理</v>
      </c>
      <c r="H54">
        <v>1</v>
      </c>
      <c r="I54">
        <f>$I$4</f>
        <v>1</v>
      </c>
      <c r="J54" s="10" t="s">
        <v>58</v>
      </c>
    </row>
    <row r="55" spans="1:10">
      <c r="A55">
        <v>1001052</v>
      </c>
      <c r="B55">
        <v>1</v>
      </c>
      <c r="C55">
        <v>4</v>
      </c>
      <c r="D55">
        <v>2</v>
      </c>
      <c r="E55" s="10">
        <f>VLOOKUP(J55,Sheet2!A:C,3,FALSE)</f>
        <v>10</v>
      </c>
      <c r="F55" t="str">
        <f t="shared" si="5"/>
        <v>AttrName_010</v>
      </c>
      <c r="G55" s="10" t="str">
        <f>VLOOKUP(J55,Sheet2!A:C,2,FALSE)</f>
        <v>物伤</v>
      </c>
      <c r="H55">
        <v>9</v>
      </c>
      <c r="I55">
        <v>1</v>
      </c>
      <c r="J55" s="11" t="s">
        <v>59</v>
      </c>
    </row>
    <row r="56" spans="1:10">
      <c r="A56">
        <v>1001053</v>
      </c>
      <c r="B56">
        <v>1</v>
      </c>
      <c r="C56">
        <v>4</v>
      </c>
      <c r="D56">
        <f>D20</f>
        <v>2</v>
      </c>
      <c r="E56" s="10">
        <f>VLOOKUP(J56,Sheet2!A:C,3,FALSE)</f>
        <v>20</v>
      </c>
      <c r="F56" t="str">
        <f t="shared" ref="F56:F58" si="6">"AttrName_0"&amp;E56</f>
        <v>AttrName_020</v>
      </c>
      <c r="G56" s="10" t="str">
        <f>VLOOKUP(J56,Sheet2!A:C,2,FALSE)</f>
        <v>风系伤害</v>
      </c>
      <c r="H56">
        <v>13</v>
      </c>
      <c r="I56">
        <f>$I$16</f>
        <v>2</v>
      </c>
      <c r="J56" s="10" t="s">
        <v>69</v>
      </c>
    </row>
    <row r="57" spans="1:10">
      <c r="A57">
        <v>1001054</v>
      </c>
      <c r="B57">
        <v>1</v>
      </c>
      <c r="C57">
        <v>4</v>
      </c>
      <c r="D57">
        <f>D34</f>
        <v>2</v>
      </c>
      <c r="E57" s="10">
        <f>VLOOKUP(J57,Sheet2!A:C,3,FALSE)</f>
        <v>37</v>
      </c>
      <c r="F57" t="s">
        <v>61</v>
      </c>
      <c r="G57" s="10" t="s">
        <v>62</v>
      </c>
      <c r="H57">
        <v>23</v>
      </c>
      <c r="I57">
        <f>$I$27</f>
        <v>2</v>
      </c>
      <c r="J57" s="10" t="s">
        <v>63</v>
      </c>
    </row>
    <row r="58" spans="1:10">
      <c r="A58">
        <v>1001055</v>
      </c>
      <c r="B58">
        <v>1</v>
      </c>
      <c r="C58">
        <v>4</v>
      </c>
      <c r="D58">
        <f>D46</f>
        <v>2</v>
      </c>
      <c r="E58" s="10">
        <f>VLOOKUP(J58,Sheet2!A:C,3,FALSE)</f>
        <v>38</v>
      </c>
      <c r="F58" t="s">
        <v>64</v>
      </c>
      <c r="G58" s="10" t="s">
        <v>65</v>
      </c>
      <c r="H58">
        <v>24</v>
      </c>
      <c r="I58">
        <f>$I$48</f>
        <v>2</v>
      </c>
      <c r="J58" s="10" t="s">
        <v>66</v>
      </c>
    </row>
    <row r="59" spans="1:10">
      <c r="A59">
        <v>1001056</v>
      </c>
      <c r="B59">
        <v>1</v>
      </c>
      <c r="C59">
        <v>5</v>
      </c>
      <c r="D59">
        <v>1</v>
      </c>
      <c r="E59" s="10">
        <f>VLOOKUP(J59,Sheet2!A:C,3,FALSE)</f>
        <v>2</v>
      </c>
      <c r="F59" t="str">
        <f>"AttrName_00"&amp;E59</f>
        <v>AttrName_002</v>
      </c>
      <c r="G59" s="10" t="str">
        <f>VLOOKUP(J59,Sheet2!A:C,2,FALSE)</f>
        <v>魔法</v>
      </c>
      <c r="H59">
        <v>2</v>
      </c>
      <c r="I59">
        <f>$I$4</f>
        <v>1</v>
      </c>
      <c r="J59" s="10" t="s">
        <v>70</v>
      </c>
    </row>
    <row r="60" spans="1:10">
      <c r="A60">
        <v>1001057</v>
      </c>
      <c r="B60">
        <v>1</v>
      </c>
      <c r="C60">
        <v>5</v>
      </c>
      <c r="D60">
        <v>2</v>
      </c>
      <c r="E60" s="10">
        <f>VLOOKUP(J60,Sheet2!A:C,3,FALSE)</f>
        <v>11</v>
      </c>
      <c r="F60" t="str">
        <f>"AttrName_0"&amp;E60</f>
        <v>AttrName_011</v>
      </c>
      <c r="G60" s="10" t="str">
        <f>VLOOKUP(J60,Sheet2!A:C,2,FALSE)</f>
        <v>魔伤</v>
      </c>
      <c r="H60">
        <v>9</v>
      </c>
      <c r="I60">
        <v>1</v>
      </c>
      <c r="J60" s="11" t="s">
        <v>71</v>
      </c>
    </row>
    <row r="61" spans="1:10">
      <c r="A61">
        <v>1001058</v>
      </c>
      <c r="B61">
        <v>1</v>
      </c>
      <c r="C61">
        <v>5</v>
      </c>
      <c r="D61">
        <f>D24</f>
        <v>2</v>
      </c>
      <c r="E61" s="10">
        <f>VLOOKUP(J61,Sheet2!A:C,3,FALSE)</f>
        <v>17</v>
      </c>
      <c r="F61" t="str">
        <f t="shared" ref="F61:F63" si="7">"AttrName_0"&amp;E61</f>
        <v>AttrName_017</v>
      </c>
      <c r="G61" s="10" t="str">
        <f>VLOOKUP(J61,Sheet2!A:C,2,FALSE)</f>
        <v>地系伤害</v>
      </c>
      <c r="H61">
        <v>13</v>
      </c>
      <c r="I61">
        <f>$I$16</f>
        <v>2</v>
      </c>
      <c r="J61" s="10" t="s">
        <v>60</v>
      </c>
    </row>
    <row r="62" spans="1:10">
      <c r="A62">
        <v>1001059</v>
      </c>
      <c r="B62">
        <v>1</v>
      </c>
      <c r="C62">
        <v>5</v>
      </c>
      <c r="D62">
        <f>D38</f>
        <v>2</v>
      </c>
      <c r="E62" s="10">
        <f>VLOOKUP(J62,Sheet2!A:C,3,FALSE)</f>
        <v>37</v>
      </c>
      <c r="F62" t="s">
        <v>72</v>
      </c>
      <c r="G62" s="10" t="s">
        <v>73</v>
      </c>
      <c r="H62">
        <v>23</v>
      </c>
      <c r="I62">
        <f>$I$27</f>
        <v>2</v>
      </c>
      <c r="J62" s="10" t="s">
        <v>63</v>
      </c>
    </row>
    <row r="63" spans="1:10">
      <c r="A63">
        <v>1001060</v>
      </c>
      <c r="B63">
        <v>1</v>
      </c>
      <c r="C63">
        <v>5</v>
      </c>
      <c r="D63">
        <f>D50</f>
        <v>2</v>
      </c>
      <c r="E63" s="10">
        <f>VLOOKUP(J63,Sheet2!A:C,3,FALSE)</f>
        <v>38</v>
      </c>
      <c r="F63" t="s">
        <v>74</v>
      </c>
      <c r="G63" s="10" t="s">
        <v>75</v>
      </c>
      <c r="H63">
        <v>24</v>
      </c>
      <c r="I63">
        <f>$I$48</f>
        <v>2</v>
      </c>
      <c r="J63" s="10" t="s">
        <v>66</v>
      </c>
    </row>
    <row r="64" spans="1:10">
      <c r="A64">
        <v>1001061</v>
      </c>
      <c r="B64">
        <v>1</v>
      </c>
      <c r="C64">
        <v>6</v>
      </c>
      <c r="D64">
        <v>1</v>
      </c>
      <c r="E64" s="10">
        <f>VLOOKUP(J64,Sheet2!A:C,3,FALSE)</f>
        <v>2</v>
      </c>
      <c r="F64" t="str">
        <f>"AttrName_00"&amp;E64</f>
        <v>AttrName_002</v>
      </c>
      <c r="G64" s="10" t="str">
        <f>VLOOKUP(J64,Sheet2!A:C,2,FALSE)</f>
        <v>魔法</v>
      </c>
      <c r="H64">
        <v>2</v>
      </c>
      <c r="I64">
        <f>$I$4</f>
        <v>1</v>
      </c>
      <c r="J64" s="10" t="s">
        <v>70</v>
      </c>
    </row>
    <row r="65" spans="1:10">
      <c r="A65">
        <v>1001062</v>
      </c>
      <c r="B65">
        <v>1</v>
      </c>
      <c r="C65">
        <v>6</v>
      </c>
      <c r="D65">
        <v>2</v>
      </c>
      <c r="E65" s="10">
        <f>VLOOKUP(J65,Sheet2!A:C,3,FALSE)</f>
        <v>11</v>
      </c>
      <c r="F65" t="str">
        <f>"AttrName_0"&amp;E65</f>
        <v>AttrName_011</v>
      </c>
      <c r="G65" s="10" t="str">
        <f>VLOOKUP(J65,Sheet2!A:C,2,FALSE)</f>
        <v>魔伤</v>
      </c>
      <c r="H65">
        <v>9</v>
      </c>
      <c r="I65">
        <v>1</v>
      </c>
      <c r="J65" s="11" t="s">
        <v>71</v>
      </c>
    </row>
    <row r="66" spans="1:10">
      <c r="A66">
        <v>1001063</v>
      </c>
      <c r="B66">
        <v>1</v>
      </c>
      <c r="C66">
        <v>6</v>
      </c>
      <c r="D66">
        <f>D28</f>
        <v>2</v>
      </c>
      <c r="E66" s="10">
        <f>VLOOKUP(J66,Sheet2!A:C,3,FALSE)</f>
        <v>18</v>
      </c>
      <c r="F66" t="str">
        <f t="shared" ref="F66:F68" si="8">"AttrName_0"&amp;E66</f>
        <v>AttrName_018</v>
      </c>
      <c r="G66" s="10" t="str">
        <f>VLOOKUP(J66,Sheet2!A:C,2,FALSE)</f>
        <v>水系伤害</v>
      </c>
      <c r="H66">
        <v>13</v>
      </c>
      <c r="I66">
        <f>$I$16</f>
        <v>2</v>
      </c>
      <c r="J66" s="10" t="s">
        <v>67</v>
      </c>
    </row>
    <row r="67" spans="1:10">
      <c r="A67">
        <v>1001064</v>
      </c>
      <c r="B67">
        <v>1</v>
      </c>
      <c r="C67">
        <v>6</v>
      </c>
      <c r="D67">
        <f>D43</f>
        <v>2</v>
      </c>
      <c r="E67" s="10">
        <f>VLOOKUP(J67,Sheet2!A:C,3,FALSE)</f>
        <v>37</v>
      </c>
      <c r="F67" t="s">
        <v>72</v>
      </c>
      <c r="G67" s="10" t="s">
        <v>73</v>
      </c>
      <c r="H67">
        <v>23</v>
      </c>
      <c r="I67">
        <f>$I$27</f>
        <v>2</v>
      </c>
      <c r="J67" s="10" t="s">
        <v>63</v>
      </c>
    </row>
    <row r="68" spans="1:10">
      <c r="A68">
        <v>1001065</v>
      </c>
      <c r="B68">
        <v>1</v>
      </c>
      <c r="C68">
        <v>6</v>
      </c>
      <c r="D68">
        <f>D56</f>
        <v>2</v>
      </c>
      <c r="E68" s="10">
        <f>VLOOKUP(J68,Sheet2!A:C,3,FALSE)</f>
        <v>38</v>
      </c>
      <c r="F68" t="s">
        <v>74</v>
      </c>
      <c r="G68" s="10" t="s">
        <v>75</v>
      </c>
      <c r="H68">
        <v>24</v>
      </c>
      <c r="I68">
        <f>$I$48</f>
        <v>2</v>
      </c>
      <c r="J68" s="10" t="s">
        <v>66</v>
      </c>
    </row>
    <row r="69" spans="1:10">
      <c r="A69">
        <v>1001066</v>
      </c>
      <c r="B69">
        <v>1</v>
      </c>
      <c r="C69">
        <v>7</v>
      </c>
      <c r="D69">
        <f>D23</f>
        <v>2</v>
      </c>
      <c r="E69" s="10">
        <f>VLOOKUP(J69,Sheet2!A:C,3,FALSE)</f>
        <v>2</v>
      </c>
      <c r="F69" t="str">
        <f>"AttrName_00"&amp;E69</f>
        <v>AttrName_002</v>
      </c>
      <c r="G69" s="10" t="str">
        <f>VLOOKUP(J69,Sheet2!A:C,2,FALSE)</f>
        <v>魔法</v>
      </c>
      <c r="H69">
        <v>2</v>
      </c>
      <c r="I69">
        <f>$I$4</f>
        <v>1</v>
      </c>
      <c r="J69" s="10" t="s">
        <v>70</v>
      </c>
    </row>
    <row r="70" spans="1:10">
      <c r="A70">
        <v>1001067</v>
      </c>
      <c r="B70">
        <v>1</v>
      </c>
      <c r="C70">
        <v>7</v>
      </c>
      <c r="D70">
        <v>2</v>
      </c>
      <c r="E70" s="10">
        <f>VLOOKUP(J70,Sheet2!A:C,3,FALSE)</f>
        <v>11</v>
      </c>
      <c r="F70" t="str">
        <f>"AttrName_0"&amp;E70</f>
        <v>AttrName_011</v>
      </c>
      <c r="G70" s="10" t="str">
        <f>VLOOKUP(J70,Sheet2!A:C,2,FALSE)</f>
        <v>魔伤</v>
      </c>
      <c r="H70">
        <v>9</v>
      </c>
      <c r="I70">
        <v>1</v>
      </c>
      <c r="J70" s="11" t="s">
        <v>71</v>
      </c>
    </row>
    <row r="71" spans="1:10">
      <c r="A71">
        <v>1001068</v>
      </c>
      <c r="B71">
        <v>1</v>
      </c>
      <c r="C71">
        <v>7</v>
      </c>
      <c r="D71">
        <f>D32</f>
        <v>2</v>
      </c>
      <c r="E71" s="10">
        <f>VLOOKUP(J71,Sheet2!A:C,3,FALSE)</f>
        <v>19</v>
      </c>
      <c r="F71" t="str">
        <f t="shared" ref="F71:F73" si="9">"AttrName_0"&amp;E71</f>
        <v>AttrName_019</v>
      </c>
      <c r="G71" s="10" t="str">
        <f>VLOOKUP(J71,Sheet2!A:C,2,FALSE)</f>
        <v>火系伤害</v>
      </c>
      <c r="H71">
        <v>13</v>
      </c>
      <c r="I71">
        <f>$I$16</f>
        <v>2</v>
      </c>
      <c r="J71" s="10" t="s">
        <v>68</v>
      </c>
    </row>
    <row r="72" spans="1:10">
      <c r="A72">
        <v>1001069</v>
      </c>
      <c r="B72">
        <v>1</v>
      </c>
      <c r="C72">
        <v>7</v>
      </c>
      <c r="D72">
        <f>D48</f>
        <v>2</v>
      </c>
      <c r="E72" s="10">
        <f>VLOOKUP(J72,Sheet2!A:C,3,FALSE)</f>
        <v>37</v>
      </c>
      <c r="F72" t="s">
        <v>72</v>
      </c>
      <c r="G72" s="10" t="s">
        <v>73</v>
      </c>
      <c r="H72">
        <v>23</v>
      </c>
      <c r="I72">
        <f>$I$27</f>
        <v>2</v>
      </c>
      <c r="J72" s="10" t="s">
        <v>63</v>
      </c>
    </row>
    <row r="73" spans="1:10">
      <c r="A73">
        <v>1001070</v>
      </c>
      <c r="B73">
        <v>1</v>
      </c>
      <c r="C73">
        <v>7</v>
      </c>
      <c r="D73">
        <f>D61</f>
        <v>2</v>
      </c>
      <c r="E73" s="10">
        <f>VLOOKUP(J73,Sheet2!A:C,3,FALSE)</f>
        <v>38</v>
      </c>
      <c r="F73" t="s">
        <v>74</v>
      </c>
      <c r="G73" s="10" t="s">
        <v>75</v>
      </c>
      <c r="H73">
        <v>24</v>
      </c>
      <c r="I73">
        <f>$I$48</f>
        <v>2</v>
      </c>
      <c r="J73" s="10" t="s">
        <v>66</v>
      </c>
    </row>
    <row r="74" spans="1:10">
      <c r="A74">
        <v>1001071</v>
      </c>
      <c r="B74">
        <v>1</v>
      </c>
      <c r="C74">
        <v>8</v>
      </c>
      <c r="D74">
        <v>1</v>
      </c>
      <c r="E74" s="10">
        <f>VLOOKUP(J74,Sheet2!A:C,3,FALSE)</f>
        <v>2</v>
      </c>
      <c r="F74" t="str">
        <f>"AttrName_00"&amp;E74</f>
        <v>AttrName_002</v>
      </c>
      <c r="G74" s="10" t="str">
        <f>VLOOKUP(J74,Sheet2!A:C,2,FALSE)</f>
        <v>魔法</v>
      </c>
      <c r="H74">
        <v>2</v>
      </c>
      <c r="I74">
        <f>$I$4</f>
        <v>1</v>
      </c>
      <c r="J74" s="10" t="s">
        <v>70</v>
      </c>
    </row>
    <row r="75" spans="1:10">
      <c r="A75">
        <v>1001072</v>
      </c>
      <c r="B75">
        <v>1</v>
      </c>
      <c r="C75">
        <v>8</v>
      </c>
      <c r="D75">
        <v>2</v>
      </c>
      <c r="E75" s="10">
        <f>VLOOKUP(J75,Sheet2!A:C,3,FALSE)</f>
        <v>11</v>
      </c>
      <c r="F75" t="str">
        <f>"AttrName_0"&amp;E75</f>
        <v>AttrName_011</v>
      </c>
      <c r="G75" s="10" t="str">
        <f>VLOOKUP(J75,Sheet2!A:C,2,FALSE)</f>
        <v>魔伤</v>
      </c>
      <c r="H75">
        <v>9</v>
      </c>
      <c r="I75">
        <v>1</v>
      </c>
      <c r="J75" s="11" t="s">
        <v>71</v>
      </c>
    </row>
    <row r="76" spans="1:10">
      <c r="A76">
        <v>1001073</v>
      </c>
      <c r="B76">
        <v>1</v>
      </c>
      <c r="C76">
        <v>8</v>
      </c>
      <c r="D76">
        <f>D36</f>
        <v>2</v>
      </c>
      <c r="E76" s="10">
        <f>VLOOKUP(J76,Sheet2!A:C,3,FALSE)</f>
        <v>20</v>
      </c>
      <c r="F76" t="str">
        <f t="shared" ref="F76:F78" si="10">"AttrName_0"&amp;E76</f>
        <v>AttrName_020</v>
      </c>
      <c r="G76" s="10" t="str">
        <f>VLOOKUP(J76,Sheet2!A:C,2,FALSE)</f>
        <v>风系伤害</v>
      </c>
      <c r="H76">
        <v>13</v>
      </c>
      <c r="I76">
        <f>$I$16</f>
        <v>2</v>
      </c>
      <c r="J76" s="10" t="s">
        <v>69</v>
      </c>
    </row>
    <row r="77" spans="1:10">
      <c r="A77">
        <v>1001074</v>
      </c>
      <c r="B77">
        <v>1</v>
      </c>
      <c r="C77">
        <v>8</v>
      </c>
      <c r="D77">
        <f>D53</f>
        <v>2</v>
      </c>
      <c r="E77" s="10">
        <f>VLOOKUP(J77,Sheet2!A:C,3,FALSE)</f>
        <v>37</v>
      </c>
      <c r="F77" t="s">
        <v>72</v>
      </c>
      <c r="G77" s="10" t="s">
        <v>73</v>
      </c>
      <c r="H77">
        <v>23</v>
      </c>
      <c r="I77">
        <f>$I$27</f>
        <v>2</v>
      </c>
      <c r="J77" s="10" t="s">
        <v>63</v>
      </c>
    </row>
    <row r="78" spans="1:10">
      <c r="A78">
        <v>1001075</v>
      </c>
      <c r="B78">
        <v>1</v>
      </c>
      <c r="C78">
        <v>8</v>
      </c>
      <c r="D78">
        <f>D66</f>
        <v>2</v>
      </c>
      <c r="E78" s="10">
        <f>VLOOKUP(J78,Sheet2!A:C,3,FALSE)</f>
        <v>38</v>
      </c>
      <c r="F78" t="s">
        <v>74</v>
      </c>
      <c r="G78" s="10" t="s">
        <v>75</v>
      </c>
      <c r="H78">
        <v>24</v>
      </c>
      <c r="I78">
        <f>$I$48</f>
        <v>2</v>
      </c>
      <c r="J78" s="10" t="s">
        <v>66</v>
      </c>
    </row>
    <row r="79" spans="1:10">
      <c r="A79">
        <v>1001076</v>
      </c>
      <c r="B79">
        <v>1</v>
      </c>
      <c r="C79">
        <v>9</v>
      </c>
      <c r="D79">
        <v>1</v>
      </c>
      <c r="E79" s="10">
        <f>VLOOKUP(J79,Sheet2!A:C,3,FALSE)</f>
        <v>3</v>
      </c>
      <c r="F79" t="str">
        <f>"AttrName_00"&amp;E79</f>
        <v>AttrName_003</v>
      </c>
      <c r="G79" s="10" t="str">
        <f>VLOOKUP(J79,Sheet2!A:C,2,FALSE)</f>
        <v>道术</v>
      </c>
      <c r="H79">
        <v>3</v>
      </c>
      <c r="I79">
        <f>$I$4</f>
        <v>1</v>
      </c>
      <c r="J79" s="10" t="s">
        <v>76</v>
      </c>
    </row>
    <row r="80" spans="1:10">
      <c r="A80">
        <v>1001077</v>
      </c>
      <c r="B80">
        <v>1</v>
      </c>
      <c r="C80">
        <v>9</v>
      </c>
      <c r="D80">
        <v>2</v>
      </c>
      <c r="E80" s="10">
        <f>VLOOKUP(J80,Sheet2!A:C,3,FALSE)</f>
        <v>12</v>
      </c>
      <c r="F80" t="str">
        <f>"AttrName_0"&amp;E80</f>
        <v>AttrName_012</v>
      </c>
      <c r="G80" s="10" t="str">
        <f>VLOOKUP(J80,Sheet2!A:C,2,FALSE)</f>
        <v>道伤</v>
      </c>
      <c r="H80">
        <v>9</v>
      </c>
      <c r="I80">
        <v>1</v>
      </c>
      <c r="J80" s="11" t="s">
        <v>77</v>
      </c>
    </row>
    <row r="81" spans="1:10">
      <c r="A81">
        <v>1001078</v>
      </c>
      <c r="B81">
        <v>1</v>
      </c>
      <c r="C81">
        <v>9</v>
      </c>
      <c r="D81">
        <f>D41</f>
        <v>2</v>
      </c>
      <c r="E81" s="10">
        <f>VLOOKUP(J81,Sheet2!A:C,3,FALSE)</f>
        <v>17</v>
      </c>
      <c r="F81" t="str">
        <f t="shared" ref="F81:F83" si="11">"AttrName_0"&amp;E81</f>
        <v>AttrName_017</v>
      </c>
      <c r="G81" s="10" t="str">
        <f>VLOOKUP(J81,Sheet2!A:C,2,FALSE)</f>
        <v>地系伤害</v>
      </c>
      <c r="H81">
        <v>13</v>
      </c>
      <c r="I81">
        <f>$I$16</f>
        <v>2</v>
      </c>
      <c r="J81" s="10" t="s">
        <v>60</v>
      </c>
    </row>
    <row r="82" spans="1:10">
      <c r="A82">
        <v>1001079</v>
      </c>
      <c r="B82">
        <v>1</v>
      </c>
      <c r="C82">
        <v>9</v>
      </c>
      <c r="D82">
        <f>D58</f>
        <v>2</v>
      </c>
      <c r="E82" s="10">
        <f>VLOOKUP(J82,Sheet2!A:C,3,FALSE)</f>
        <v>37</v>
      </c>
      <c r="F82" t="s">
        <v>78</v>
      </c>
      <c r="G82" s="10" t="s">
        <v>79</v>
      </c>
      <c r="H82">
        <v>23</v>
      </c>
      <c r="I82">
        <f>$I$27</f>
        <v>2</v>
      </c>
      <c r="J82" s="10" t="s">
        <v>63</v>
      </c>
    </row>
    <row r="83" spans="1:10">
      <c r="A83">
        <v>1001080</v>
      </c>
      <c r="B83">
        <v>1</v>
      </c>
      <c r="C83">
        <v>9</v>
      </c>
      <c r="D83">
        <f>D71</f>
        <v>2</v>
      </c>
      <c r="E83" s="10">
        <f>VLOOKUP(J83,Sheet2!A:C,3,FALSE)</f>
        <v>38</v>
      </c>
      <c r="F83" t="s">
        <v>80</v>
      </c>
      <c r="G83" s="10" t="s">
        <v>81</v>
      </c>
      <c r="H83">
        <v>24</v>
      </c>
      <c r="I83">
        <f>$I$48</f>
        <v>2</v>
      </c>
      <c r="J83" s="10" t="s">
        <v>66</v>
      </c>
    </row>
    <row r="84" spans="1:10">
      <c r="A84">
        <v>1001081</v>
      </c>
      <c r="B84">
        <v>1</v>
      </c>
      <c r="C84">
        <v>10</v>
      </c>
      <c r="D84">
        <v>1</v>
      </c>
      <c r="E84" s="10">
        <f>VLOOKUP(J84,Sheet2!A:C,3,FALSE)</f>
        <v>3</v>
      </c>
      <c r="F84" t="str">
        <f>"AttrName_00"&amp;E84</f>
        <v>AttrName_003</v>
      </c>
      <c r="G84" s="10" t="str">
        <f>VLOOKUP(J84,Sheet2!A:C,2,FALSE)</f>
        <v>道术</v>
      </c>
      <c r="H84">
        <v>3</v>
      </c>
      <c r="I84">
        <f>$I$4</f>
        <v>1</v>
      </c>
      <c r="J84" s="10" t="s">
        <v>76</v>
      </c>
    </row>
    <row r="85" spans="1:10">
      <c r="A85">
        <v>1001082</v>
      </c>
      <c r="B85">
        <v>1</v>
      </c>
      <c r="C85">
        <v>10</v>
      </c>
      <c r="D85">
        <v>2</v>
      </c>
      <c r="E85" s="10">
        <f>VLOOKUP(J85,Sheet2!A:C,3,FALSE)</f>
        <v>12</v>
      </c>
      <c r="F85" t="str">
        <f>"AttrName_0"&amp;E85</f>
        <v>AttrName_012</v>
      </c>
      <c r="G85" s="10" t="str">
        <f>VLOOKUP(J85,Sheet2!A:C,2,FALSE)</f>
        <v>道伤</v>
      </c>
      <c r="H85">
        <v>9</v>
      </c>
      <c r="I85">
        <v>1</v>
      </c>
      <c r="J85" s="11" t="s">
        <v>77</v>
      </c>
    </row>
    <row r="86" spans="1:10">
      <c r="A86">
        <v>1001083</v>
      </c>
      <c r="B86">
        <v>1</v>
      </c>
      <c r="C86">
        <v>10</v>
      </c>
      <c r="D86">
        <f>D46</f>
        <v>2</v>
      </c>
      <c r="E86" s="10">
        <f>VLOOKUP(J86,Sheet2!A:C,3,FALSE)</f>
        <v>18</v>
      </c>
      <c r="F86" t="str">
        <f t="shared" ref="F86:F88" si="12">"AttrName_0"&amp;E86</f>
        <v>AttrName_018</v>
      </c>
      <c r="G86" s="10" t="str">
        <f>VLOOKUP(J86,Sheet2!A:C,2,FALSE)</f>
        <v>水系伤害</v>
      </c>
      <c r="H86">
        <v>13</v>
      </c>
      <c r="I86">
        <f>$I$16</f>
        <v>2</v>
      </c>
      <c r="J86" s="10" t="s">
        <v>67</v>
      </c>
    </row>
    <row r="87" spans="1:10">
      <c r="A87">
        <v>1001084</v>
      </c>
      <c r="B87">
        <v>1</v>
      </c>
      <c r="C87">
        <v>10</v>
      </c>
      <c r="D87">
        <f>D63</f>
        <v>2</v>
      </c>
      <c r="E87" s="10">
        <f>VLOOKUP(J87,Sheet2!A:C,3,FALSE)</f>
        <v>37</v>
      </c>
      <c r="F87" t="s">
        <v>78</v>
      </c>
      <c r="G87" s="10" t="s">
        <v>79</v>
      </c>
      <c r="H87">
        <v>23</v>
      </c>
      <c r="I87">
        <f>$I$27</f>
        <v>2</v>
      </c>
      <c r="J87" s="10" t="s">
        <v>63</v>
      </c>
    </row>
    <row r="88" spans="1:10">
      <c r="A88">
        <v>1001085</v>
      </c>
      <c r="B88">
        <v>1</v>
      </c>
      <c r="C88">
        <v>10</v>
      </c>
      <c r="D88">
        <f>D76</f>
        <v>2</v>
      </c>
      <c r="E88" s="10">
        <f>VLOOKUP(J88,Sheet2!A:C,3,FALSE)</f>
        <v>38</v>
      </c>
      <c r="F88" t="s">
        <v>80</v>
      </c>
      <c r="G88" s="10" t="s">
        <v>81</v>
      </c>
      <c r="H88">
        <v>24</v>
      </c>
      <c r="I88">
        <f>$I$48</f>
        <v>2</v>
      </c>
      <c r="J88" s="10" t="s">
        <v>66</v>
      </c>
    </row>
    <row r="89" spans="1:10">
      <c r="A89">
        <v>1001086</v>
      </c>
      <c r="B89">
        <v>1</v>
      </c>
      <c r="C89">
        <v>11</v>
      </c>
      <c r="D89">
        <f>D39</f>
        <v>1</v>
      </c>
      <c r="E89" s="10">
        <f>VLOOKUP(J89,Sheet2!A:C,3,FALSE)</f>
        <v>3</v>
      </c>
      <c r="F89" t="str">
        <f>"AttrName_00"&amp;E89</f>
        <v>AttrName_003</v>
      </c>
      <c r="G89" s="10" t="str">
        <f>VLOOKUP(J89,Sheet2!A:C,2,FALSE)</f>
        <v>道术</v>
      </c>
      <c r="H89">
        <v>3</v>
      </c>
      <c r="I89">
        <f>$I$4</f>
        <v>1</v>
      </c>
      <c r="J89" s="10" t="s">
        <v>76</v>
      </c>
    </row>
    <row r="90" spans="1:10">
      <c r="A90">
        <v>1001087</v>
      </c>
      <c r="B90">
        <v>1</v>
      </c>
      <c r="C90">
        <v>11</v>
      </c>
      <c r="D90">
        <v>2</v>
      </c>
      <c r="E90" s="10">
        <f>VLOOKUP(J90,Sheet2!A:C,3,FALSE)</f>
        <v>12</v>
      </c>
      <c r="F90" t="str">
        <f>"AttrName_0"&amp;E90</f>
        <v>AttrName_012</v>
      </c>
      <c r="G90" s="10" t="str">
        <f>VLOOKUP(J90,Sheet2!A:C,2,FALSE)</f>
        <v>道伤</v>
      </c>
      <c r="H90">
        <v>9</v>
      </c>
      <c r="I90">
        <v>1</v>
      </c>
      <c r="J90" s="11" t="s">
        <v>77</v>
      </c>
    </row>
    <row r="91" spans="1:10">
      <c r="A91">
        <v>1001088</v>
      </c>
      <c r="B91">
        <v>1</v>
      </c>
      <c r="C91">
        <v>11</v>
      </c>
      <c r="D91">
        <f>D50</f>
        <v>2</v>
      </c>
      <c r="E91" s="10">
        <f>VLOOKUP(J91,Sheet2!A:C,3,FALSE)</f>
        <v>19</v>
      </c>
      <c r="F91" t="str">
        <f t="shared" ref="F91:F93" si="13">"AttrName_0"&amp;E91</f>
        <v>AttrName_019</v>
      </c>
      <c r="G91" s="10" t="str">
        <f>VLOOKUP(J91,Sheet2!A:C,2,FALSE)</f>
        <v>火系伤害</v>
      </c>
      <c r="H91">
        <v>13</v>
      </c>
      <c r="I91">
        <f>$I$16</f>
        <v>2</v>
      </c>
      <c r="J91" s="10" t="s">
        <v>68</v>
      </c>
    </row>
    <row r="92" spans="1:10">
      <c r="A92">
        <v>1001089</v>
      </c>
      <c r="B92">
        <v>1</v>
      </c>
      <c r="C92">
        <v>11</v>
      </c>
      <c r="D92">
        <f>D68</f>
        <v>2</v>
      </c>
      <c r="E92" s="10">
        <f>VLOOKUP(J92,Sheet2!A:C,3,FALSE)</f>
        <v>37</v>
      </c>
      <c r="F92" t="s">
        <v>78</v>
      </c>
      <c r="G92" s="10" t="s">
        <v>79</v>
      </c>
      <c r="H92">
        <v>23</v>
      </c>
      <c r="I92">
        <f>$I$27</f>
        <v>2</v>
      </c>
      <c r="J92" s="10" t="s">
        <v>63</v>
      </c>
    </row>
    <row r="93" spans="1:10">
      <c r="A93">
        <v>1001090</v>
      </c>
      <c r="B93">
        <v>1</v>
      </c>
      <c r="C93">
        <v>11</v>
      </c>
      <c r="D93">
        <f>D81</f>
        <v>2</v>
      </c>
      <c r="E93" s="10">
        <f>VLOOKUP(J93,Sheet2!A:C,3,FALSE)</f>
        <v>38</v>
      </c>
      <c r="F93" t="s">
        <v>80</v>
      </c>
      <c r="G93" s="10" t="s">
        <v>81</v>
      </c>
      <c r="H93">
        <v>24</v>
      </c>
      <c r="I93">
        <f>$I$48</f>
        <v>2</v>
      </c>
      <c r="J93" s="10" t="s">
        <v>66</v>
      </c>
    </row>
    <row r="94" spans="1:10">
      <c r="A94">
        <v>1001091</v>
      </c>
      <c r="B94">
        <v>1</v>
      </c>
      <c r="C94">
        <v>12</v>
      </c>
      <c r="D94">
        <f>D44</f>
        <v>1</v>
      </c>
      <c r="E94" s="10">
        <f>VLOOKUP(J94,Sheet2!A:C,3,FALSE)</f>
        <v>3</v>
      </c>
      <c r="F94" t="str">
        <f>"AttrName_00"&amp;E94</f>
        <v>AttrName_003</v>
      </c>
      <c r="G94" s="10" t="str">
        <f>VLOOKUP(J94,Sheet2!A:C,2,FALSE)</f>
        <v>道术</v>
      </c>
      <c r="H94">
        <v>3</v>
      </c>
      <c r="I94">
        <f>$I$4</f>
        <v>1</v>
      </c>
      <c r="J94" s="10" t="s">
        <v>76</v>
      </c>
    </row>
    <row r="95" spans="1:10">
      <c r="A95">
        <v>1001092</v>
      </c>
      <c r="B95">
        <v>1</v>
      </c>
      <c r="C95">
        <v>12</v>
      </c>
      <c r="D95">
        <v>2</v>
      </c>
      <c r="E95" s="10">
        <f>VLOOKUP(J95,Sheet2!A:C,3,FALSE)</f>
        <v>12</v>
      </c>
      <c r="F95" t="str">
        <f>"AttrName_0"&amp;E95</f>
        <v>AttrName_012</v>
      </c>
      <c r="G95" s="10" t="str">
        <f>VLOOKUP(J95,Sheet2!A:C,2,FALSE)</f>
        <v>道伤</v>
      </c>
      <c r="H95">
        <v>9</v>
      </c>
      <c r="I95">
        <v>1</v>
      </c>
      <c r="J95" s="11" t="s">
        <v>77</v>
      </c>
    </row>
    <row r="96" spans="1:10">
      <c r="A96">
        <v>1001093</v>
      </c>
      <c r="B96">
        <v>1</v>
      </c>
      <c r="C96">
        <v>12</v>
      </c>
      <c r="D96">
        <f>D56</f>
        <v>2</v>
      </c>
      <c r="E96" s="10">
        <f>VLOOKUP(J96,Sheet2!A:C,3,FALSE)</f>
        <v>20</v>
      </c>
      <c r="F96" t="str">
        <f t="shared" ref="F96:F101" si="14">"AttrName_0"&amp;E96</f>
        <v>AttrName_020</v>
      </c>
      <c r="G96" s="10" t="str">
        <f>VLOOKUP(J96,Sheet2!A:C,2,FALSE)</f>
        <v>风系伤害</v>
      </c>
      <c r="H96">
        <v>13</v>
      </c>
      <c r="I96">
        <f>$I$16</f>
        <v>2</v>
      </c>
      <c r="J96" s="10" t="s">
        <v>69</v>
      </c>
    </row>
    <row r="97" spans="1:10">
      <c r="A97">
        <v>1001094</v>
      </c>
      <c r="B97">
        <v>1</v>
      </c>
      <c r="C97">
        <v>12</v>
      </c>
      <c r="D97">
        <f>D73</f>
        <v>2</v>
      </c>
      <c r="E97" s="10">
        <f>VLOOKUP(J97,Sheet2!A:C,3,FALSE)</f>
        <v>37</v>
      </c>
      <c r="F97" t="s">
        <v>78</v>
      </c>
      <c r="G97" s="10" t="s">
        <v>79</v>
      </c>
      <c r="H97">
        <v>23</v>
      </c>
      <c r="I97">
        <f>$I$27</f>
        <v>2</v>
      </c>
      <c r="J97" s="10" t="s">
        <v>63</v>
      </c>
    </row>
    <row r="98" spans="1:10">
      <c r="A98">
        <v>1001095</v>
      </c>
      <c r="B98">
        <v>1</v>
      </c>
      <c r="C98">
        <v>12</v>
      </c>
      <c r="D98">
        <f>D86</f>
        <v>2</v>
      </c>
      <c r="E98" s="10">
        <f>VLOOKUP(J98,Sheet2!A:C,3,FALSE)</f>
        <v>38</v>
      </c>
      <c r="F98" t="s">
        <v>80</v>
      </c>
      <c r="G98" s="10" t="s">
        <v>81</v>
      </c>
      <c r="H98">
        <v>24</v>
      </c>
      <c r="I98">
        <f>$I$48</f>
        <v>2</v>
      </c>
      <c r="J98" s="10" t="s">
        <v>66</v>
      </c>
    </row>
    <row r="99" spans="1:10">
      <c r="A99">
        <v>1001096</v>
      </c>
      <c r="B99">
        <v>2</v>
      </c>
      <c r="C99">
        <v>0</v>
      </c>
      <c r="D99">
        <v>1</v>
      </c>
      <c r="E99" s="10">
        <f>VLOOKUP(J99,Sheet2!A:C,3,FALSE)</f>
        <v>29</v>
      </c>
      <c r="F99" t="str">
        <f t="shared" si="14"/>
        <v>AttrName_029</v>
      </c>
      <c r="G99" s="10" t="str">
        <f>VLOOKUP(J99,Sheet2!A:C,2,FALSE)</f>
        <v>暴击</v>
      </c>
      <c r="H99">
        <v>2</v>
      </c>
      <c r="I99">
        <v>1</v>
      </c>
      <c r="J99" s="10" t="s">
        <v>26</v>
      </c>
    </row>
    <row r="100" spans="1:10">
      <c r="A100">
        <v>1001097</v>
      </c>
      <c r="B100">
        <v>2</v>
      </c>
      <c r="C100">
        <v>0</v>
      </c>
      <c r="D100">
        <v>1</v>
      </c>
      <c r="E100" s="10">
        <f>VLOOKUP(J100,Sheet2!A:C,3,FALSE)</f>
        <v>30</v>
      </c>
      <c r="F100" t="str">
        <f t="shared" si="14"/>
        <v>AttrName_030</v>
      </c>
      <c r="G100" s="10" t="str">
        <f>VLOOKUP(J100,Sheet2!A:C,2,FALSE)</f>
        <v>爆伤</v>
      </c>
      <c r="H100">
        <v>4</v>
      </c>
      <c r="I100">
        <v>1</v>
      </c>
      <c r="J100" s="10" t="s">
        <v>27</v>
      </c>
    </row>
    <row r="101" spans="1:10">
      <c r="A101">
        <v>1001098</v>
      </c>
      <c r="B101">
        <v>2</v>
      </c>
      <c r="C101">
        <v>0</v>
      </c>
      <c r="D101">
        <v>2</v>
      </c>
      <c r="E101" s="10">
        <v>101</v>
      </c>
      <c r="F101" t="s">
        <v>82</v>
      </c>
      <c r="G101" s="10" t="str">
        <f>VLOOKUP(J101,Sheet2!A:C,2,FALSE)</f>
        <v>宠物伤害</v>
      </c>
      <c r="H101">
        <v>5</v>
      </c>
      <c r="I101">
        <v>1</v>
      </c>
      <c r="J101" s="10" t="s">
        <v>83</v>
      </c>
    </row>
    <row r="102" spans="1:10">
      <c r="A102">
        <v>1001099</v>
      </c>
      <c r="B102">
        <v>2</v>
      </c>
      <c r="C102">
        <v>0</v>
      </c>
      <c r="D102">
        <v>1</v>
      </c>
      <c r="E102" s="13">
        <v>201</v>
      </c>
      <c r="F102" t="str">
        <f>"AttrName_"&amp;E102</f>
        <v>AttrName_201</v>
      </c>
      <c r="G102" s="14" t="s">
        <v>84</v>
      </c>
      <c r="H102">
        <v>1</v>
      </c>
      <c r="I102">
        <v>1</v>
      </c>
      <c r="J102" s="14" t="s">
        <v>84</v>
      </c>
    </row>
    <row r="103" spans="1:10">
      <c r="A103">
        <v>1001100</v>
      </c>
      <c r="B103">
        <v>2</v>
      </c>
      <c r="C103">
        <v>0</v>
      </c>
      <c r="D103">
        <v>1</v>
      </c>
      <c r="E103" s="13">
        <v>202</v>
      </c>
      <c r="F103" t="str">
        <f>"AttrName_"&amp;E103</f>
        <v>AttrName_202</v>
      </c>
      <c r="G103" s="14" t="s">
        <v>85</v>
      </c>
      <c r="H103">
        <v>3</v>
      </c>
      <c r="I103">
        <v>1</v>
      </c>
      <c r="J103" s="14" t="s">
        <v>85</v>
      </c>
    </row>
  </sheetData>
  <sortState ref="C4:J87">
    <sortCondition ref="C4"/>
  </sortState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opLeftCell="A5" workbookViewId="0">
      <selection activeCell="F30" sqref="F30"/>
    </sheetView>
  </sheetViews>
  <sheetFormatPr defaultColWidth="9" defaultRowHeight="13.5" outlineLevelCol="2"/>
  <cols>
    <col min="1" max="1" width="17.125" customWidth="1"/>
    <col min="2" max="2" width="15.25" customWidth="1"/>
  </cols>
  <sheetData>
    <row r="1" spans="1:3">
      <c r="A1" s="1" t="s">
        <v>86</v>
      </c>
      <c r="B1" s="1" t="s">
        <v>87</v>
      </c>
      <c r="C1" s="1" t="s">
        <v>16</v>
      </c>
    </row>
    <row r="2" spans="1:3">
      <c r="A2" s="2" t="s">
        <v>58</v>
      </c>
      <c r="B2" s="3" t="s">
        <v>88</v>
      </c>
      <c r="C2" s="4">
        <v>1</v>
      </c>
    </row>
    <row r="3" spans="1:3">
      <c r="A3" s="2" t="s">
        <v>70</v>
      </c>
      <c r="B3" s="3" t="s">
        <v>89</v>
      </c>
      <c r="C3" s="4">
        <v>2</v>
      </c>
    </row>
    <row r="4" spans="1:3">
      <c r="A4" s="2" t="s">
        <v>76</v>
      </c>
      <c r="B4" s="3" t="s">
        <v>90</v>
      </c>
      <c r="C4" s="4">
        <v>3</v>
      </c>
    </row>
    <row r="5" spans="1:3">
      <c r="A5" s="5" t="s">
        <v>22</v>
      </c>
      <c r="B5" s="6" t="s">
        <v>91</v>
      </c>
      <c r="C5" s="4">
        <v>4</v>
      </c>
    </row>
    <row r="6" spans="1:3">
      <c r="A6" s="2" t="s">
        <v>23</v>
      </c>
      <c r="B6" s="3" t="s">
        <v>92</v>
      </c>
      <c r="C6" s="4">
        <v>5</v>
      </c>
    </row>
    <row r="7" spans="1:3">
      <c r="A7" s="5" t="s">
        <v>24</v>
      </c>
      <c r="B7" s="6" t="s">
        <v>93</v>
      </c>
      <c r="C7" s="4">
        <v>6</v>
      </c>
    </row>
    <row r="8" spans="1:3">
      <c r="A8" s="5" t="s">
        <v>25</v>
      </c>
      <c r="B8" s="6" t="s">
        <v>94</v>
      </c>
      <c r="C8" s="4">
        <v>7</v>
      </c>
    </row>
    <row r="9" spans="1:3">
      <c r="A9" s="2" t="s">
        <v>29</v>
      </c>
      <c r="B9" s="3" t="s">
        <v>95</v>
      </c>
      <c r="C9" s="4">
        <v>8</v>
      </c>
    </row>
    <row r="10" spans="1:3">
      <c r="A10" s="2" t="s">
        <v>83</v>
      </c>
      <c r="B10" s="3" t="s">
        <v>83</v>
      </c>
      <c r="C10" s="4">
        <v>9</v>
      </c>
    </row>
    <row r="11" spans="1:3">
      <c r="A11" s="5" t="s">
        <v>59</v>
      </c>
      <c r="B11" s="6" t="s">
        <v>96</v>
      </c>
      <c r="C11" s="4">
        <v>10</v>
      </c>
    </row>
    <row r="12" spans="1:3">
      <c r="A12" s="2" t="s">
        <v>71</v>
      </c>
      <c r="B12" s="3" t="s">
        <v>97</v>
      </c>
      <c r="C12" s="4">
        <v>11</v>
      </c>
    </row>
    <row r="13" spans="1:3">
      <c r="A13" s="2" t="s">
        <v>77</v>
      </c>
      <c r="B13" s="3" t="s">
        <v>98</v>
      </c>
      <c r="C13" s="4">
        <v>12</v>
      </c>
    </row>
    <row r="14" spans="1:3">
      <c r="A14" s="5" t="s">
        <v>32</v>
      </c>
      <c r="B14" s="6" t="s">
        <v>91</v>
      </c>
      <c r="C14" s="4">
        <v>13</v>
      </c>
    </row>
    <row r="15" spans="1:3">
      <c r="A15" s="2" t="s">
        <v>33</v>
      </c>
      <c r="B15" s="3" t="s">
        <v>99</v>
      </c>
      <c r="C15" s="4">
        <v>14</v>
      </c>
    </row>
    <row r="16" spans="1:3">
      <c r="A16" s="5" t="s">
        <v>35</v>
      </c>
      <c r="B16" s="6" t="s">
        <v>100</v>
      </c>
      <c r="C16" s="4">
        <v>15</v>
      </c>
    </row>
    <row r="17" spans="1:3">
      <c r="A17" s="5" t="s">
        <v>36</v>
      </c>
      <c r="B17" s="6" t="s">
        <v>101</v>
      </c>
      <c r="C17" s="4">
        <v>16</v>
      </c>
    </row>
    <row r="18" spans="1:3">
      <c r="A18" s="2" t="s">
        <v>60</v>
      </c>
      <c r="B18" s="3" t="s">
        <v>102</v>
      </c>
      <c r="C18" s="4">
        <v>17</v>
      </c>
    </row>
    <row r="19" spans="1:3">
      <c r="A19" s="2" t="s">
        <v>67</v>
      </c>
      <c r="B19" s="3" t="s">
        <v>103</v>
      </c>
      <c r="C19" s="4">
        <v>18</v>
      </c>
    </row>
    <row r="20" spans="1:3">
      <c r="A20" s="2" t="s">
        <v>68</v>
      </c>
      <c r="B20" s="3" t="s">
        <v>104</v>
      </c>
      <c r="C20" s="4">
        <v>19</v>
      </c>
    </row>
    <row r="21" spans="1:3">
      <c r="A21" s="2" t="s">
        <v>69</v>
      </c>
      <c r="B21" s="3" t="s">
        <v>105</v>
      </c>
      <c r="C21" s="4">
        <v>20</v>
      </c>
    </row>
    <row r="22" spans="1:3">
      <c r="A22" s="2" t="s">
        <v>34</v>
      </c>
      <c r="B22" s="3" t="s">
        <v>34</v>
      </c>
      <c r="C22" s="4">
        <v>21</v>
      </c>
    </row>
    <row r="23" spans="1:3">
      <c r="A23" s="2" t="s">
        <v>51</v>
      </c>
      <c r="B23" s="3" t="s">
        <v>51</v>
      </c>
      <c r="C23" s="4">
        <v>22</v>
      </c>
    </row>
    <row r="24" spans="1:3">
      <c r="A24" s="2" t="s">
        <v>37</v>
      </c>
      <c r="B24" s="3" t="s">
        <v>37</v>
      </c>
      <c r="C24" s="4">
        <v>23</v>
      </c>
    </row>
    <row r="25" spans="1:3">
      <c r="A25" s="2" t="s">
        <v>52</v>
      </c>
      <c r="B25" s="3" t="s">
        <v>106</v>
      </c>
      <c r="C25" s="4">
        <v>24</v>
      </c>
    </row>
    <row r="26" spans="1:3">
      <c r="A26" s="2" t="s">
        <v>39</v>
      </c>
      <c r="B26" s="3" t="s">
        <v>107</v>
      </c>
      <c r="C26" s="4">
        <v>25</v>
      </c>
    </row>
    <row r="27" spans="1:3">
      <c r="A27" s="2" t="s">
        <v>46</v>
      </c>
      <c r="B27" s="3" t="s">
        <v>46</v>
      </c>
      <c r="C27" s="4">
        <v>26</v>
      </c>
    </row>
    <row r="28" spans="1:3">
      <c r="A28" s="2" t="s">
        <v>47</v>
      </c>
      <c r="B28" s="3" t="s">
        <v>47</v>
      </c>
      <c r="C28" s="4">
        <v>27</v>
      </c>
    </row>
    <row r="29" spans="1:3">
      <c r="A29" s="2" t="s">
        <v>41</v>
      </c>
      <c r="B29" s="3" t="s">
        <v>41</v>
      </c>
      <c r="C29" s="4">
        <v>28</v>
      </c>
    </row>
    <row r="30" spans="1:3">
      <c r="A30" s="2" t="s">
        <v>26</v>
      </c>
      <c r="B30" s="3" t="s">
        <v>26</v>
      </c>
      <c r="C30" s="4">
        <v>29</v>
      </c>
    </row>
    <row r="31" spans="1:3">
      <c r="A31" s="2" t="s">
        <v>27</v>
      </c>
      <c r="B31" s="3" t="s">
        <v>27</v>
      </c>
      <c r="C31" s="4">
        <v>30</v>
      </c>
    </row>
    <row r="32" spans="1:3">
      <c r="A32" s="2" t="s">
        <v>38</v>
      </c>
      <c r="B32" s="3" t="s">
        <v>38</v>
      </c>
      <c r="C32" s="4">
        <v>31</v>
      </c>
    </row>
    <row r="33" spans="1:3">
      <c r="A33" s="2" t="s">
        <v>40</v>
      </c>
      <c r="B33" s="3" t="s">
        <v>40</v>
      </c>
      <c r="C33" s="4">
        <v>32</v>
      </c>
    </row>
    <row r="34" spans="1:3">
      <c r="A34" s="2" t="s">
        <v>43</v>
      </c>
      <c r="B34" s="3" t="s">
        <v>43</v>
      </c>
      <c r="C34" s="4">
        <v>33</v>
      </c>
    </row>
    <row r="35" spans="1:3">
      <c r="A35" s="2" t="s">
        <v>44</v>
      </c>
      <c r="B35" s="3" t="s">
        <v>44</v>
      </c>
      <c r="C35" s="4">
        <v>34</v>
      </c>
    </row>
    <row r="36" spans="1:3">
      <c r="A36" s="2" t="s">
        <v>53</v>
      </c>
      <c r="B36" s="3" t="s">
        <v>53</v>
      </c>
      <c r="C36" s="4">
        <v>35</v>
      </c>
    </row>
    <row r="37" spans="1:3">
      <c r="A37" s="2" t="s">
        <v>42</v>
      </c>
      <c r="B37" s="3" t="s">
        <v>42</v>
      </c>
      <c r="C37" s="4">
        <v>36</v>
      </c>
    </row>
    <row r="38" spans="1:3">
      <c r="A38" s="2" t="s">
        <v>63</v>
      </c>
      <c r="B38" s="3" t="s">
        <v>63</v>
      </c>
      <c r="C38" s="4">
        <v>37</v>
      </c>
    </row>
    <row r="39" spans="1:3">
      <c r="A39" s="2" t="s">
        <v>66</v>
      </c>
      <c r="B39" s="3" t="s">
        <v>66</v>
      </c>
      <c r="C39" s="4">
        <v>38</v>
      </c>
    </row>
    <row r="40" spans="1:3">
      <c r="A40" s="2" t="s">
        <v>57</v>
      </c>
      <c r="B40" s="3" t="s">
        <v>108</v>
      </c>
      <c r="C40" s="4">
        <v>39</v>
      </c>
    </row>
    <row r="41" spans="1:3">
      <c r="A41" s="2" t="s">
        <v>45</v>
      </c>
      <c r="B41" s="3" t="s">
        <v>109</v>
      </c>
      <c r="C41" s="4">
        <v>40</v>
      </c>
    </row>
    <row r="42" spans="1:3">
      <c r="A42" s="2" t="s">
        <v>28</v>
      </c>
      <c r="B42" s="3" t="s">
        <v>28</v>
      </c>
      <c r="C42" s="4">
        <v>41</v>
      </c>
    </row>
    <row r="43" spans="1:3">
      <c r="A43" s="2" t="s">
        <v>48</v>
      </c>
      <c r="B43" s="3" t="s">
        <v>48</v>
      </c>
      <c r="C43" s="4">
        <v>42</v>
      </c>
    </row>
    <row r="44" spans="1:3">
      <c r="A44" s="2" t="s">
        <v>49</v>
      </c>
      <c r="B44" s="3" t="s">
        <v>49</v>
      </c>
      <c r="C44" s="4">
        <v>43</v>
      </c>
    </row>
    <row r="45" spans="1:3">
      <c r="A45" s="2" t="s">
        <v>55</v>
      </c>
      <c r="B45" s="3" t="s">
        <v>110</v>
      </c>
      <c r="C45" s="4">
        <v>44</v>
      </c>
    </row>
    <row r="46" spans="1:3">
      <c r="A46" s="2" t="s">
        <v>56</v>
      </c>
      <c r="B46" s="3" t="s">
        <v>111</v>
      </c>
      <c r="C46" s="4">
        <v>45</v>
      </c>
    </row>
    <row r="47" spans="1:3">
      <c r="A47" s="2" t="s">
        <v>112</v>
      </c>
      <c r="B47" s="3" t="s">
        <v>112</v>
      </c>
      <c r="C47" s="4">
        <v>46</v>
      </c>
    </row>
    <row r="48" spans="1:3">
      <c r="A48" s="2" t="s">
        <v>113</v>
      </c>
      <c r="B48" s="3" t="s">
        <v>113</v>
      </c>
      <c r="C48" s="4">
        <v>47</v>
      </c>
    </row>
    <row r="49" spans="1:3">
      <c r="A49" s="2" t="s">
        <v>50</v>
      </c>
      <c r="B49" s="3" t="s">
        <v>50</v>
      </c>
      <c r="C49" s="2">
        <v>48</v>
      </c>
    </row>
    <row r="50" spans="1:3">
      <c r="A50" s="7" t="s">
        <v>54</v>
      </c>
      <c r="B50" s="8" t="s">
        <v>54</v>
      </c>
      <c r="C50" s="2">
        <v>49</v>
      </c>
    </row>
    <row r="51" spans="1:3">
      <c r="A51" s="2" t="s">
        <v>114</v>
      </c>
      <c r="B51" s="9"/>
      <c r="C51" s="2">
        <v>101</v>
      </c>
    </row>
    <row r="52" spans="1:3">
      <c r="A52" s="2" t="s">
        <v>115</v>
      </c>
      <c r="B52" s="9"/>
      <c r="C52" s="2">
        <v>102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2023-05-12T11:15:00Z</dcterms:created>
  <dcterms:modified xsi:type="dcterms:W3CDTF">2025-06-17T07:00:39Z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KSOReadingLayout">
    <vt:bool>true</vt:bool>
  </property>
  <property fmtid="{D5CDD505-2E9C-101B-9397-08002B2CF9AE}" pid="4" name="ICV">
    <vt:lpwstr>29C530A793C1445CB82DEC9E5D1E823F_12</vt:lpwstr>
  </property>
</Properties>
</file>