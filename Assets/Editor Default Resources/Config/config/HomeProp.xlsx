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Sheet1!$A$3:$M$3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5" i="3" l="1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64" i="3"/>
  <c r="B65" i="3"/>
  <c r="C65" i="3"/>
  <c r="D65" i="3"/>
  <c r="E65" i="3"/>
  <c r="F65" i="3"/>
  <c r="G65" i="3"/>
  <c r="H65" i="3"/>
  <c r="I65" i="3"/>
  <c r="B66" i="3"/>
  <c r="C66" i="3"/>
  <c r="D66" i="3"/>
  <c r="E66" i="3"/>
  <c r="F66" i="3"/>
  <c r="G66" i="3"/>
  <c r="H66" i="3"/>
  <c r="I66" i="3"/>
  <c r="B67" i="3"/>
  <c r="C67" i="3"/>
  <c r="D67" i="3"/>
  <c r="E67" i="3"/>
  <c r="F67" i="3"/>
  <c r="G67" i="3"/>
  <c r="H67" i="3"/>
  <c r="I67" i="3"/>
  <c r="B68" i="3"/>
  <c r="C68" i="3"/>
  <c r="D68" i="3"/>
  <c r="E68" i="3"/>
  <c r="F68" i="3"/>
  <c r="G68" i="3"/>
  <c r="H68" i="3"/>
  <c r="I68" i="3"/>
  <c r="B69" i="3"/>
  <c r="C69" i="3"/>
  <c r="D69" i="3"/>
  <c r="E69" i="3"/>
  <c r="F69" i="3"/>
  <c r="G69" i="3"/>
  <c r="H69" i="3"/>
  <c r="I69" i="3"/>
  <c r="B70" i="3"/>
  <c r="C70" i="3"/>
  <c r="D70" i="3"/>
  <c r="E70" i="3"/>
  <c r="F70" i="3"/>
  <c r="G70" i="3"/>
  <c r="H70" i="3"/>
  <c r="I70" i="3"/>
  <c r="B71" i="3"/>
  <c r="C71" i="3"/>
  <c r="D71" i="3"/>
  <c r="E71" i="3"/>
  <c r="F71" i="3"/>
  <c r="G71" i="3"/>
  <c r="H71" i="3"/>
  <c r="I71" i="3"/>
  <c r="B72" i="3"/>
  <c r="C72" i="3"/>
  <c r="D72" i="3"/>
  <c r="E72" i="3"/>
  <c r="F72" i="3"/>
  <c r="G72" i="3"/>
  <c r="H72" i="3"/>
  <c r="I72" i="3"/>
  <c r="B73" i="3"/>
  <c r="C73" i="3"/>
  <c r="D73" i="3"/>
  <c r="E73" i="3"/>
  <c r="F73" i="3"/>
  <c r="G73" i="3"/>
  <c r="H73" i="3"/>
  <c r="I73" i="3"/>
  <c r="B74" i="3"/>
  <c r="C74" i="3"/>
  <c r="D74" i="3"/>
  <c r="E74" i="3"/>
  <c r="F74" i="3"/>
  <c r="G74" i="3"/>
  <c r="H74" i="3"/>
  <c r="I74" i="3"/>
  <c r="B75" i="3"/>
  <c r="C75" i="3"/>
  <c r="D75" i="3"/>
  <c r="E75" i="3"/>
  <c r="F75" i="3"/>
  <c r="G75" i="3"/>
  <c r="H75" i="3"/>
  <c r="I75" i="3"/>
  <c r="B76" i="3"/>
  <c r="C76" i="3"/>
  <c r="D76" i="3"/>
  <c r="E76" i="3"/>
  <c r="F76" i="3"/>
  <c r="G76" i="3"/>
  <c r="H76" i="3"/>
  <c r="I76" i="3"/>
  <c r="B77" i="3"/>
  <c r="C77" i="3"/>
  <c r="D77" i="3"/>
  <c r="E77" i="3"/>
  <c r="F77" i="3"/>
  <c r="G77" i="3"/>
  <c r="H77" i="3"/>
  <c r="I77" i="3"/>
  <c r="B78" i="3"/>
  <c r="C78" i="3"/>
  <c r="D78" i="3"/>
  <c r="E78" i="3"/>
  <c r="F78" i="3"/>
  <c r="G78" i="3"/>
  <c r="H78" i="3"/>
  <c r="I78" i="3"/>
  <c r="B79" i="3"/>
  <c r="C79" i="3"/>
  <c r="D79" i="3"/>
  <c r="E79" i="3"/>
  <c r="F79" i="3"/>
  <c r="G79" i="3"/>
  <c r="H79" i="3"/>
  <c r="I79" i="3"/>
  <c r="B80" i="3"/>
  <c r="C80" i="3"/>
  <c r="D80" i="3"/>
  <c r="E80" i="3"/>
  <c r="F80" i="3"/>
  <c r="G80" i="3"/>
  <c r="H80" i="3"/>
  <c r="I80" i="3"/>
  <c r="B81" i="3"/>
  <c r="C81" i="3"/>
  <c r="D81" i="3"/>
  <c r="E81" i="3"/>
  <c r="F81" i="3"/>
  <c r="G81" i="3"/>
  <c r="H81" i="3"/>
  <c r="I81" i="3"/>
  <c r="B82" i="3"/>
  <c r="C82" i="3"/>
  <c r="D82" i="3"/>
  <c r="E82" i="3"/>
  <c r="F82" i="3"/>
  <c r="G82" i="3"/>
  <c r="H82" i="3"/>
  <c r="I82" i="3"/>
  <c r="B83" i="3"/>
  <c r="C83" i="3"/>
  <c r="D83" i="3"/>
  <c r="E83" i="3"/>
  <c r="F83" i="3"/>
  <c r="G83" i="3"/>
  <c r="H83" i="3"/>
  <c r="I83" i="3"/>
  <c r="B84" i="3"/>
  <c r="C84" i="3"/>
  <c r="D84" i="3"/>
  <c r="E84" i="3"/>
  <c r="F84" i="3"/>
  <c r="G84" i="3"/>
  <c r="H84" i="3"/>
  <c r="I84" i="3"/>
  <c r="B85" i="3"/>
  <c r="C85" i="3"/>
  <c r="D85" i="3"/>
  <c r="E85" i="3"/>
  <c r="F85" i="3"/>
  <c r="G85" i="3"/>
  <c r="H85" i="3"/>
  <c r="I85" i="3"/>
  <c r="B86" i="3"/>
  <c r="C86" i="3"/>
  <c r="D86" i="3"/>
  <c r="E86" i="3"/>
  <c r="F86" i="3"/>
  <c r="G86" i="3"/>
  <c r="H86" i="3"/>
  <c r="I86" i="3"/>
  <c r="B87" i="3"/>
  <c r="C87" i="3"/>
  <c r="D87" i="3"/>
  <c r="E87" i="3"/>
  <c r="F87" i="3"/>
  <c r="G87" i="3"/>
  <c r="H87" i="3"/>
  <c r="I87" i="3"/>
  <c r="B88" i="3"/>
  <c r="C88" i="3"/>
  <c r="D88" i="3"/>
  <c r="E88" i="3"/>
  <c r="F88" i="3"/>
  <c r="G88" i="3"/>
  <c r="H88" i="3"/>
  <c r="I88" i="3"/>
  <c r="B89" i="3"/>
  <c r="C89" i="3"/>
  <c r="D89" i="3"/>
  <c r="E89" i="3"/>
  <c r="F89" i="3"/>
  <c r="G89" i="3"/>
  <c r="H89" i="3"/>
  <c r="I89" i="3"/>
  <c r="B90" i="3"/>
  <c r="C90" i="3"/>
  <c r="D90" i="3"/>
  <c r="E90" i="3"/>
  <c r="F90" i="3"/>
  <c r="G90" i="3"/>
  <c r="H90" i="3"/>
  <c r="I90" i="3"/>
  <c r="B91" i="3"/>
  <c r="C91" i="3"/>
  <c r="D91" i="3"/>
  <c r="E91" i="3"/>
  <c r="F91" i="3"/>
  <c r="G91" i="3"/>
  <c r="H91" i="3"/>
  <c r="I91" i="3"/>
  <c r="B92" i="3"/>
  <c r="C92" i="3"/>
  <c r="D92" i="3"/>
  <c r="E92" i="3"/>
  <c r="F92" i="3"/>
  <c r="G92" i="3"/>
  <c r="H92" i="3"/>
  <c r="I92" i="3"/>
  <c r="B93" i="3"/>
  <c r="C93" i="3"/>
  <c r="D93" i="3"/>
  <c r="E93" i="3"/>
  <c r="F93" i="3"/>
  <c r="G93" i="3"/>
  <c r="H93" i="3"/>
  <c r="I93" i="3"/>
  <c r="B94" i="3"/>
  <c r="C94" i="3"/>
  <c r="D94" i="3"/>
  <c r="E94" i="3"/>
  <c r="F94" i="3"/>
  <c r="G94" i="3"/>
  <c r="H94" i="3"/>
  <c r="I94" i="3"/>
  <c r="B95" i="3"/>
  <c r="C95" i="3"/>
  <c r="D95" i="3"/>
  <c r="E95" i="3"/>
  <c r="F95" i="3"/>
  <c r="G95" i="3"/>
  <c r="H95" i="3"/>
  <c r="I95" i="3"/>
  <c r="B96" i="3"/>
  <c r="C96" i="3"/>
  <c r="D96" i="3"/>
  <c r="E96" i="3"/>
  <c r="F96" i="3"/>
  <c r="G96" i="3"/>
  <c r="H96" i="3"/>
  <c r="I96" i="3"/>
  <c r="B97" i="3"/>
  <c r="C97" i="3"/>
  <c r="D97" i="3"/>
  <c r="E97" i="3"/>
  <c r="F97" i="3"/>
  <c r="G97" i="3"/>
  <c r="H97" i="3"/>
  <c r="I97" i="3"/>
  <c r="B98" i="3"/>
  <c r="C98" i="3"/>
  <c r="D98" i="3"/>
  <c r="E98" i="3"/>
  <c r="F98" i="3"/>
  <c r="G98" i="3"/>
  <c r="H98" i="3"/>
  <c r="I98" i="3"/>
  <c r="B99" i="3"/>
  <c r="C99" i="3"/>
  <c r="D99" i="3"/>
  <c r="E99" i="3"/>
  <c r="F99" i="3"/>
  <c r="G99" i="3"/>
  <c r="H99" i="3"/>
  <c r="I99" i="3"/>
  <c r="B100" i="3"/>
  <c r="C100" i="3"/>
  <c r="D100" i="3"/>
  <c r="E100" i="3"/>
  <c r="F100" i="3"/>
  <c r="G100" i="3"/>
  <c r="H100" i="3"/>
  <c r="I100" i="3"/>
  <c r="B101" i="3"/>
  <c r="C101" i="3"/>
  <c r="D101" i="3"/>
  <c r="E101" i="3"/>
  <c r="F101" i="3"/>
  <c r="G101" i="3"/>
  <c r="H101" i="3"/>
  <c r="I101" i="3"/>
  <c r="B102" i="3"/>
  <c r="C102" i="3"/>
  <c r="D102" i="3"/>
  <c r="E102" i="3"/>
  <c r="F102" i="3"/>
  <c r="G102" i="3"/>
  <c r="H102" i="3"/>
  <c r="I102" i="3"/>
  <c r="B103" i="3"/>
  <c r="C103" i="3"/>
  <c r="D103" i="3"/>
  <c r="E103" i="3"/>
  <c r="F103" i="3"/>
  <c r="G103" i="3"/>
  <c r="H103" i="3"/>
  <c r="I103" i="3"/>
  <c r="B104" i="3"/>
  <c r="C104" i="3"/>
  <c r="D104" i="3"/>
  <c r="E104" i="3"/>
  <c r="F104" i="3"/>
  <c r="G104" i="3"/>
  <c r="H104" i="3"/>
  <c r="I104" i="3"/>
  <c r="B105" i="3"/>
  <c r="C105" i="3"/>
  <c r="D105" i="3"/>
  <c r="E105" i="3"/>
  <c r="F105" i="3"/>
  <c r="G105" i="3"/>
  <c r="H105" i="3"/>
  <c r="I105" i="3"/>
  <c r="B106" i="3"/>
  <c r="C106" i="3"/>
  <c r="D106" i="3"/>
  <c r="E106" i="3"/>
  <c r="F106" i="3"/>
  <c r="G106" i="3"/>
  <c r="H106" i="3"/>
  <c r="I106" i="3"/>
  <c r="B107" i="3"/>
  <c r="C107" i="3"/>
  <c r="D107" i="3"/>
  <c r="E107" i="3"/>
  <c r="F107" i="3"/>
  <c r="G107" i="3"/>
  <c r="H107" i="3"/>
  <c r="I107" i="3"/>
  <c r="B108" i="3"/>
  <c r="C108" i="3"/>
  <c r="D108" i="3"/>
  <c r="E108" i="3"/>
  <c r="F108" i="3"/>
  <c r="G108" i="3"/>
  <c r="H108" i="3"/>
  <c r="I108" i="3"/>
  <c r="B109" i="3"/>
  <c r="C109" i="3"/>
  <c r="D109" i="3"/>
  <c r="E109" i="3"/>
  <c r="F109" i="3"/>
  <c r="G109" i="3"/>
  <c r="H109" i="3"/>
  <c r="I109" i="3"/>
  <c r="B110" i="3"/>
  <c r="C110" i="3"/>
  <c r="D110" i="3"/>
  <c r="E110" i="3"/>
  <c r="F110" i="3"/>
  <c r="G110" i="3"/>
  <c r="H110" i="3"/>
  <c r="I110" i="3"/>
  <c r="B111" i="3"/>
  <c r="C111" i="3"/>
  <c r="D111" i="3"/>
  <c r="E111" i="3"/>
  <c r="F111" i="3"/>
  <c r="G111" i="3"/>
  <c r="H111" i="3"/>
  <c r="I111" i="3"/>
  <c r="B112" i="3"/>
  <c r="C112" i="3"/>
  <c r="D112" i="3"/>
  <c r="E112" i="3"/>
  <c r="F112" i="3"/>
  <c r="G112" i="3"/>
  <c r="H112" i="3"/>
  <c r="I112" i="3"/>
  <c r="B113" i="3"/>
  <c r="C113" i="3"/>
  <c r="D113" i="3"/>
  <c r="E113" i="3"/>
  <c r="F113" i="3"/>
  <c r="G113" i="3"/>
  <c r="H113" i="3"/>
  <c r="I113" i="3"/>
  <c r="B114" i="3"/>
  <c r="C114" i="3"/>
  <c r="D114" i="3"/>
  <c r="F114" i="3"/>
  <c r="G114" i="3"/>
  <c r="H114" i="3"/>
  <c r="I114" i="3"/>
  <c r="D115" i="3"/>
  <c r="F115" i="3"/>
  <c r="G115" i="3"/>
  <c r="H115" i="3"/>
  <c r="C116" i="3"/>
  <c r="D116" i="3"/>
  <c r="F116" i="3"/>
  <c r="G116" i="3"/>
  <c r="H116" i="3"/>
  <c r="B117" i="3"/>
  <c r="C117" i="3"/>
  <c r="D117" i="3"/>
  <c r="E117" i="3"/>
  <c r="F117" i="3"/>
  <c r="H117" i="3"/>
  <c r="D118" i="3"/>
  <c r="F118" i="3"/>
  <c r="H118" i="3"/>
  <c r="B119" i="3"/>
  <c r="C119" i="3"/>
  <c r="D119" i="3"/>
  <c r="F119" i="3"/>
  <c r="G119" i="3"/>
  <c r="H119" i="3"/>
  <c r="I119" i="3"/>
  <c r="D120" i="3"/>
  <c r="F120" i="3"/>
  <c r="H120" i="3"/>
  <c r="D121" i="3"/>
  <c r="F121" i="3"/>
  <c r="G121" i="3"/>
  <c r="H121" i="3"/>
  <c r="B122" i="3"/>
  <c r="C122" i="3"/>
  <c r="D122" i="3"/>
  <c r="E122" i="3"/>
  <c r="F122" i="3"/>
  <c r="H122" i="3"/>
  <c r="D123" i="3"/>
  <c r="F123" i="3"/>
  <c r="H123" i="3"/>
  <c r="B124" i="3"/>
  <c r="C124" i="3"/>
  <c r="D124" i="3"/>
  <c r="F124" i="3"/>
  <c r="G124" i="3"/>
  <c r="H124" i="3"/>
  <c r="I124" i="3"/>
  <c r="D125" i="3"/>
  <c r="F125" i="3"/>
  <c r="H125" i="3"/>
  <c r="D126" i="3"/>
  <c r="F126" i="3"/>
  <c r="G126" i="3"/>
  <c r="H126" i="3"/>
  <c r="B127" i="3"/>
  <c r="C127" i="3"/>
  <c r="D127" i="3"/>
  <c r="E127" i="3"/>
  <c r="F127" i="3"/>
  <c r="H127" i="3"/>
  <c r="D128" i="3"/>
  <c r="F128" i="3"/>
  <c r="H128" i="3"/>
  <c r="B129" i="3"/>
  <c r="C129" i="3"/>
  <c r="D129" i="3"/>
  <c r="F129" i="3"/>
  <c r="G129" i="3"/>
  <c r="H129" i="3"/>
  <c r="I129" i="3"/>
  <c r="D130" i="3"/>
  <c r="F130" i="3"/>
  <c r="G130" i="3"/>
  <c r="H130" i="3"/>
  <c r="C131" i="3"/>
  <c r="D131" i="3"/>
  <c r="F131" i="3"/>
  <c r="G131" i="3"/>
  <c r="H131" i="3"/>
  <c r="I131" i="3"/>
  <c r="B132" i="3"/>
  <c r="C132" i="3"/>
  <c r="D132" i="3"/>
  <c r="E132" i="3"/>
  <c r="F132" i="3"/>
  <c r="H132" i="3"/>
  <c r="C133" i="3"/>
  <c r="D133" i="3"/>
  <c r="F133" i="3"/>
  <c r="G133" i="3"/>
  <c r="H133" i="3"/>
  <c r="C134" i="3"/>
  <c r="D134" i="3"/>
  <c r="E134" i="3"/>
  <c r="F134" i="3"/>
  <c r="G134" i="3"/>
  <c r="H134" i="3"/>
  <c r="I134" i="3"/>
  <c r="D135" i="3"/>
  <c r="F135" i="3"/>
  <c r="G135" i="3"/>
  <c r="H135" i="3"/>
  <c r="C136" i="3"/>
  <c r="D136" i="3"/>
  <c r="F136" i="3"/>
  <c r="G136" i="3"/>
  <c r="H136" i="3"/>
  <c r="I136" i="3"/>
  <c r="B137" i="3"/>
  <c r="C137" i="3"/>
  <c r="D137" i="3"/>
  <c r="E137" i="3"/>
  <c r="F137" i="3"/>
  <c r="H137" i="3"/>
  <c r="C138" i="3"/>
  <c r="D138" i="3"/>
  <c r="F138" i="3"/>
  <c r="G138" i="3"/>
  <c r="H138" i="3"/>
  <c r="C139" i="3"/>
  <c r="D139" i="3"/>
  <c r="E139" i="3"/>
  <c r="F139" i="3"/>
  <c r="G139" i="3"/>
  <c r="H139" i="3"/>
  <c r="I139" i="3"/>
  <c r="D140" i="3"/>
  <c r="F140" i="3"/>
  <c r="G140" i="3"/>
  <c r="H140" i="3"/>
  <c r="C141" i="3"/>
  <c r="D141" i="3"/>
  <c r="F141" i="3"/>
  <c r="G141" i="3"/>
  <c r="H141" i="3"/>
  <c r="I141" i="3"/>
  <c r="B142" i="3"/>
  <c r="C142" i="3"/>
  <c r="D142" i="3"/>
  <c r="E142" i="3"/>
  <c r="F142" i="3"/>
  <c r="H142" i="3"/>
  <c r="C143" i="3"/>
  <c r="D143" i="3"/>
  <c r="F143" i="3"/>
  <c r="G143" i="3"/>
  <c r="H143" i="3"/>
  <c r="C144" i="3"/>
  <c r="D144" i="3"/>
  <c r="E144" i="3"/>
  <c r="F144" i="3"/>
  <c r="G144" i="3"/>
  <c r="H144" i="3"/>
  <c r="I144" i="3"/>
  <c r="D145" i="3"/>
  <c r="F145" i="3"/>
  <c r="G145" i="3"/>
  <c r="H145" i="3"/>
  <c r="C146" i="3"/>
  <c r="D146" i="3"/>
  <c r="E146" i="3"/>
  <c r="F146" i="3"/>
  <c r="G146" i="3"/>
  <c r="H146" i="3"/>
  <c r="I146" i="3"/>
  <c r="C147" i="3"/>
  <c r="D147" i="3"/>
  <c r="E147" i="3"/>
  <c r="F147" i="3"/>
  <c r="H147" i="3"/>
  <c r="C148" i="3"/>
  <c r="D148" i="3"/>
  <c r="F148" i="3"/>
  <c r="G148" i="3"/>
  <c r="H148" i="3"/>
  <c r="I148" i="3"/>
  <c r="C149" i="3"/>
  <c r="D149" i="3"/>
  <c r="E149" i="3"/>
  <c r="F149" i="3"/>
  <c r="G149" i="3"/>
  <c r="H149" i="3"/>
  <c r="I149" i="3"/>
  <c r="D150" i="3"/>
  <c r="F150" i="3"/>
  <c r="H150" i="3"/>
  <c r="I150" i="3"/>
  <c r="D151" i="3"/>
  <c r="E151" i="3"/>
  <c r="F151" i="3"/>
  <c r="H151" i="3"/>
  <c r="I151" i="3"/>
  <c r="D152" i="3"/>
  <c r="E152" i="3"/>
  <c r="F152" i="3"/>
  <c r="H152" i="3"/>
  <c r="D153" i="3"/>
  <c r="E153" i="3"/>
  <c r="F153" i="3"/>
  <c r="H153" i="3"/>
  <c r="I153" i="3"/>
  <c r="D154" i="3"/>
  <c r="E154" i="3"/>
  <c r="F154" i="3"/>
  <c r="H154" i="3"/>
  <c r="I154" i="3"/>
  <c r="D155" i="3"/>
  <c r="F155" i="3"/>
  <c r="H155" i="3"/>
  <c r="I155" i="3"/>
  <c r="D156" i="3"/>
  <c r="E156" i="3"/>
  <c r="F156" i="3"/>
  <c r="H156" i="3"/>
  <c r="I156" i="3"/>
  <c r="D157" i="3"/>
  <c r="E157" i="3"/>
  <c r="F157" i="3"/>
  <c r="H157" i="3"/>
  <c r="D158" i="3"/>
  <c r="E158" i="3"/>
  <c r="F158" i="3"/>
  <c r="H158" i="3"/>
  <c r="I158" i="3"/>
  <c r="D159" i="3"/>
  <c r="E159" i="3"/>
  <c r="F159" i="3"/>
  <c r="H159" i="3"/>
  <c r="I159" i="3"/>
  <c r="D160" i="3"/>
  <c r="F160" i="3"/>
  <c r="H160" i="3"/>
  <c r="I160" i="3"/>
  <c r="D161" i="3"/>
  <c r="E161" i="3"/>
  <c r="F161" i="3"/>
  <c r="H161" i="3"/>
  <c r="I161" i="3"/>
  <c r="D162" i="3"/>
  <c r="E162" i="3"/>
  <c r="F162" i="3"/>
  <c r="H162" i="3"/>
  <c r="D163" i="3"/>
  <c r="E163" i="3"/>
  <c r="F163" i="3"/>
  <c r="H163" i="3"/>
  <c r="I163" i="3"/>
  <c r="D164" i="3"/>
  <c r="E164" i="3"/>
  <c r="F164" i="3"/>
  <c r="H164" i="3"/>
  <c r="I164" i="3"/>
  <c r="I64" i="3"/>
  <c r="H64" i="3"/>
  <c r="G64" i="3"/>
  <c r="F64" i="3"/>
  <c r="E64" i="3"/>
  <c r="D64" i="3"/>
  <c r="C64" i="3"/>
  <c r="B64" i="3"/>
  <c r="O14" i="3"/>
  <c r="B115" i="3" s="1"/>
  <c r="V23" i="3"/>
  <c r="I162" i="3" s="1"/>
  <c r="V22" i="3"/>
  <c r="I147" i="3" s="1"/>
  <c r="V21" i="3"/>
  <c r="I142" i="3" s="1"/>
  <c r="V20" i="3"/>
  <c r="I140" i="3" s="1"/>
  <c r="V19" i="3"/>
  <c r="I137" i="3" s="1"/>
  <c r="V18" i="3"/>
  <c r="I132" i="3" s="1"/>
  <c r="V17" i="3"/>
  <c r="I126" i="3" s="1"/>
  <c r="V16" i="3"/>
  <c r="I123" i="3" s="1"/>
  <c r="V15" i="3"/>
  <c r="I120" i="3" s="1"/>
  <c r="V14" i="3"/>
  <c r="I115" i="3" s="1"/>
  <c r="T23" i="3"/>
  <c r="G155" i="3" s="1"/>
  <c r="T22" i="3"/>
  <c r="G147" i="3" s="1"/>
  <c r="T21" i="3"/>
  <c r="G142" i="3" s="1"/>
  <c r="T20" i="3"/>
  <c r="T19" i="3"/>
  <c r="G137" i="3" s="1"/>
  <c r="T18" i="3"/>
  <c r="G132" i="3" s="1"/>
  <c r="T17" i="3"/>
  <c r="G127" i="3" s="1"/>
  <c r="T16" i="3"/>
  <c r="G122" i="3" s="1"/>
  <c r="T15" i="3"/>
  <c r="G120" i="3" s="1"/>
  <c r="T14" i="3"/>
  <c r="G117" i="3" s="1"/>
  <c r="R23" i="3"/>
  <c r="E150" i="3" s="1"/>
  <c r="R22" i="3"/>
  <c r="E148" i="3" s="1"/>
  <c r="R21" i="3"/>
  <c r="E145" i="3" s="1"/>
  <c r="R20" i="3"/>
  <c r="E141" i="3" s="1"/>
  <c r="R19" i="3"/>
  <c r="E135" i="3" s="1"/>
  <c r="R18" i="3"/>
  <c r="E130" i="3" s="1"/>
  <c r="R17" i="3"/>
  <c r="E128" i="3" s="1"/>
  <c r="R16" i="3"/>
  <c r="E125" i="3" s="1"/>
  <c r="R15" i="3"/>
  <c r="E121" i="3" s="1"/>
  <c r="R14" i="3"/>
  <c r="E116" i="3" s="1"/>
  <c r="P23" i="3"/>
  <c r="C152" i="3" s="1"/>
  <c r="P22" i="3"/>
  <c r="P21" i="3"/>
  <c r="C145" i="3" s="1"/>
  <c r="P20" i="3"/>
  <c r="C140" i="3" s="1"/>
  <c r="P19" i="3"/>
  <c r="C135" i="3" s="1"/>
  <c r="P18" i="3"/>
  <c r="C130" i="3" s="1"/>
  <c r="P17" i="3"/>
  <c r="C128" i="3" s="1"/>
  <c r="P16" i="3"/>
  <c r="C125" i="3" s="1"/>
  <c r="P15" i="3"/>
  <c r="C120" i="3" s="1"/>
  <c r="P14" i="3"/>
  <c r="C115" i="3" s="1"/>
  <c r="O15" i="3"/>
  <c r="B120" i="3" s="1"/>
  <c r="O16" i="3"/>
  <c r="B125" i="3" s="1"/>
  <c r="O17" i="3"/>
  <c r="B128" i="3" s="1"/>
  <c r="O18" i="3"/>
  <c r="B130" i="3" s="1"/>
  <c r="O19" i="3"/>
  <c r="B135" i="3" s="1"/>
  <c r="O20" i="3"/>
  <c r="B140" i="3" s="1"/>
  <c r="O21" i="3"/>
  <c r="B145" i="3" s="1"/>
  <c r="O22" i="3"/>
  <c r="B148" i="3" s="1"/>
  <c r="O23" i="3"/>
  <c r="B150" i="3" s="1"/>
  <c r="A87" i="3"/>
  <c r="A88" i="3"/>
  <c r="A89" i="3"/>
  <c r="A90" i="3"/>
  <c r="A91" i="3"/>
  <c r="A92" i="3"/>
  <c r="A96" i="3" s="1"/>
  <c r="A100" i="3" s="1"/>
  <c r="A104" i="3" s="1"/>
  <c r="A108" i="3" s="1"/>
  <c r="A112" i="3" s="1"/>
  <c r="A116" i="3" s="1"/>
  <c r="A120" i="3" s="1"/>
  <c r="A124" i="3" s="1"/>
  <c r="A128" i="3" s="1"/>
  <c r="A132" i="3" s="1"/>
  <c r="A136" i="3" s="1"/>
  <c r="A140" i="3" s="1"/>
  <c r="A144" i="3" s="1"/>
  <c r="A148" i="3" s="1"/>
  <c r="A152" i="3" s="1"/>
  <c r="A93" i="3"/>
  <c r="A94" i="3"/>
  <c r="A95" i="3"/>
  <c r="A97" i="3"/>
  <c r="A98" i="3"/>
  <c r="A99" i="3"/>
  <c r="A101" i="3"/>
  <c r="A102" i="3"/>
  <c r="A103" i="3"/>
  <c r="A107" i="3" s="1"/>
  <c r="A111" i="3" s="1"/>
  <c r="A115" i="3" s="1"/>
  <c r="A119" i="3" s="1"/>
  <c r="A123" i="3" s="1"/>
  <c r="A127" i="3" s="1"/>
  <c r="A131" i="3" s="1"/>
  <c r="A135" i="3" s="1"/>
  <c r="A139" i="3" s="1"/>
  <c r="A143" i="3" s="1"/>
  <c r="A147" i="3" s="1"/>
  <c r="A151" i="3" s="1"/>
  <c r="A105" i="3"/>
  <c r="A109" i="3" s="1"/>
  <c r="A113" i="3" s="1"/>
  <c r="A117" i="3" s="1"/>
  <c r="A121" i="3" s="1"/>
  <c r="A125" i="3" s="1"/>
  <c r="A129" i="3" s="1"/>
  <c r="A133" i="3" s="1"/>
  <c r="A137" i="3" s="1"/>
  <c r="A141" i="3" s="1"/>
  <c r="A145" i="3" s="1"/>
  <c r="A149" i="3" s="1"/>
  <c r="A153" i="3" s="1"/>
  <c r="A106" i="3"/>
  <c r="A110" i="3" s="1"/>
  <c r="A114" i="3" s="1"/>
  <c r="A118" i="3" s="1"/>
  <c r="A122" i="3" s="1"/>
  <c r="A126" i="3" s="1"/>
  <c r="A130" i="3" s="1"/>
  <c r="A134" i="3" s="1"/>
  <c r="A138" i="3" s="1"/>
  <c r="A142" i="3" s="1"/>
  <c r="A146" i="3" s="1"/>
  <c r="A150" i="3" s="1"/>
  <c r="A86" i="3"/>
  <c r="E7" i="1"/>
  <c r="E9" i="1" s="1"/>
  <c r="E11" i="1" s="1"/>
  <c r="E13" i="1" s="1"/>
  <c r="E15" i="1" s="1"/>
  <c r="E17" i="1" s="1"/>
  <c r="E19" i="1" s="1"/>
  <c r="E21" i="1" s="1"/>
  <c r="E23" i="1" s="1"/>
  <c r="E6" i="1"/>
  <c r="E8" i="1" s="1"/>
  <c r="E10" i="1" s="1"/>
  <c r="E12" i="1" s="1"/>
  <c r="E14" i="1" s="1"/>
  <c r="E16" i="1" s="1"/>
  <c r="E18" i="1" s="1"/>
  <c r="E20" i="1" s="1"/>
  <c r="E22" i="1" s="1"/>
  <c r="E129" i="3" l="1"/>
  <c r="E124" i="3"/>
  <c r="C164" i="3"/>
  <c r="B147" i="3"/>
  <c r="I116" i="3"/>
  <c r="C159" i="3"/>
  <c r="B149" i="3"/>
  <c r="E126" i="3"/>
  <c r="G163" i="3"/>
  <c r="G158" i="3"/>
  <c r="C156" i="3"/>
  <c r="C151" i="3"/>
  <c r="G118" i="3"/>
  <c r="C157" i="3"/>
  <c r="G151" i="3"/>
  <c r="E136" i="3"/>
  <c r="C161" i="3"/>
  <c r="G153" i="3"/>
  <c r="G128" i="3"/>
  <c r="C126" i="3"/>
  <c r="G123" i="3"/>
  <c r="C121" i="3"/>
  <c r="B161" i="3"/>
  <c r="B156" i="3"/>
  <c r="B151" i="3"/>
  <c r="B146" i="3"/>
  <c r="B141" i="3"/>
  <c r="B136" i="3"/>
  <c r="B131" i="3"/>
  <c r="B126" i="3"/>
  <c r="B121" i="3"/>
  <c r="B116" i="3"/>
  <c r="G154" i="3"/>
  <c r="B157" i="3"/>
  <c r="E114" i="3"/>
  <c r="G156" i="3"/>
  <c r="B164" i="3"/>
  <c r="I143" i="3"/>
  <c r="I128" i="3"/>
  <c r="E143" i="3"/>
  <c r="I130" i="3"/>
  <c r="E118" i="3"/>
  <c r="G160" i="3"/>
  <c r="G125" i="3"/>
  <c r="B138" i="3"/>
  <c r="B133" i="3"/>
  <c r="B123" i="3"/>
  <c r="B118" i="3"/>
  <c r="G164" i="3"/>
  <c r="I121" i="3"/>
  <c r="B144" i="3"/>
  <c r="I133" i="3"/>
  <c r="I118" i="3"/>
  <c r="E138" i="3"/>
  <c r="I125" i="3"/>
  <c r="C163" i="3"/>
  <c r="G150" i="3"/>
  <c r="C123" i="3"/>
  <c r="B153" i="3"/>
  <c r="I157" i="3"/>
  <c r="E140" i="3"/>
  <c r="I127" i="3"/>
  <c r="I122" i="3"/>
  <c r="E120" i="3"/>
  <c r="I117" i="3"/>
  <c r="E115" i="3"/>
  <c r="G159" i="3"/>
  <c r="E119" i="3"/>
  <c r="B139" i="3"/>
  <c r="I135" i="3"/>
  <c r="C158" i="3"/>
  <c r="B163" i="3"/>
  <c r="I152" i="3"/>
  <c r="C162" i="3"/>
  <c r="B152" i="3"/>
  <c r="C154" i="3"/>
  <c r="B154" i="3"/>
  <c r="B134" i="3"/>
  <c r="I138" i="3"/>
  <c r="E123" i="3"/>
  <c r="C153" i="3"/>
  <c r="C118" i="3"/>
  <c r="B158" i="3"/>
  <c r="E155" i="3"/>
  <c r="G162" i="3"/>
  <c r="C160" i="3"/>
  <c r="G157" i="3"/>
  <c r="C155" i="3"/>
  <c r="G152" i="3"/>
  <c r="C150" i="3"/>
  <c r="B162" i="3"/>
  <c r="G161" i="3"/>
  <c r="B159" i="3"/>
  <c r="E131" i="3"/>
  <c r="I145" i="3"/>
  <c r="E133" i="3"/>
  <c r="B143" i="3"/>
  <c r="E160" i="3"/>
  <c r="B160" i="3"/>
  <c r="B155" i="3"/>
</calcChain>
</file>

<file path=xl/comments1.xml><?xml version="1.0" encoding="utf-8"?>
<comments xmlns="http://schemas.openxmlformats.org/spreadsheetml/2006/main">
  <authors>
    <author>作者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关联itemTypeID
</t>
        </r>
      </text>
    </commen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1=宠物玩具
2=宠物粮食
3=护理用品</t>
        </r>
      </text>
    </commen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Type=1时表示宠物玩具，配置为使用后增加的欢乐值
Type=2时表示宠物粮食，配置为使用后增加的饥饿值
Type=3时表示护理用品，配置为使用后增加的体力值
Type=4时表示护理用品，配置1=抓捕道具
</t>
        </r>
      </text>
    </commen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配置：材料ID,数量；材料ID,数量</t>
        </r>
      </text>
    </comment>
    <comment ref="J3" authorId="0" shapeId="0">
      <text>
        <r>
          <rPr>
            <b/>
            <sz val="9"/>
            <color indexed="81"/>
            <rFont val="宋体"/>
            <family val="3"/>
            <charset val="134"/>
          </rPr>
          <t>熟练度值，提升熟练度概率（万分比）|熟练度值，提升熟练度概率（万分比）；必定配置4个熟练度差值，100%成功的红色差值，66%-99%成功的黄色差值，33%-66%成功的绿色差值，0%成功的灰色差值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C3" authorId="0" shapeId="0">
      <text>
        <r>
          <rPr>
            <b/>
            <sz val="9"/>
            <color indexed="81"/>
            <rFont val="宋体"/>
            <family val="3"/>
            <charset val="134"/>
          </rPr>
          <t>熟练度值，提升熟练度概率（万分比）|熟练度值，提升熟练度概率（万分比）；必定配置4个熟练度差值，100%成功的红色差值，66%-99%成功的黄色差值，33%-66%成功的绿色差值，0%成功的灰色差值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关联itemTypeID
</t>
        </r>
      </text>
    </commen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1=宠物玩具
2=宠物粮食
3=护理用品</t>
        </r>
      </text>
    </commen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Type=1时表示宠物玩具，配置为使用后增加的欢乐值
Type=2时表示宠物粮食，配置为使用后增加的饥饿值
Type=3时表示护理用品，配置为使用后增加的体力值
Type=4时表示护理用品，配置1=抓捕道具
</t>
        </r>
      </text>
    </commen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配置：材料ID,数量；材料ID,数量</t>
        </r>
      </text>
    </comment>
    <comment ref="J3" authorId="0" shapeId="0">
      <text>
        <r>
          <rPr>
            <b/>
            <sz val="9"/>
            <color indexed="81"/>
            <rFont val="宋体"/>
            <family val="3"/>
            <charset val="134"/>
          </rPr>
          <t>熟练度值，提升熟练度概率（万分比）|熟练度值，提升熟练度概率（万分比）；必定配置4个熟练度差值，100%成功的红色差值，66%-99%成功的黄色差值，33%-66%成功的绿色差值，0%成功的灰色差值</t>
        </r>
      </text>
    </comment>
  </commentList>
</comments>
</file>

<file path=xl/sharedStrings.xml><?xml version="1.0" encoding="utf-8"?>
<sst xmlns="http://schemas.openxmlformats.org/spreadsheetml/2006/main" count="1248" uniqueCount="622">
  <si>
    <t>Id</t>
  </si>
  <si>
    <t>int</t>
  </si>
  <si>
    <t>string</t>
  </si>
  <si>
    <t>家园道具ID</t>
  </si>
  <si>
    <t>Name</t>
  </si>
  <si>
    <t>&lt;c&gt;家园道具名称</t>
  </si>
  <si>
    <t>Type</t>
  </si>
  <si>
    <t>家园道具type</t>
  </si>
  <si>
    <t>Function</t>
  </si>
  <si>
    <t>FunctionRemarks</t>
  </si>
  <si>
    <t>&lt;c&gt;作用备注</t>
  </si>
  <si>
    <t>家园道具作用</t>
    <phoneticPr fontId="1" type="noConversion"/>
  </si>
  <si>
    <t>string</t>
    <phoneticPr fontId="1" type="noConversion"/>
  </si>
  <si>
    <t>int</t>
    <phoneticPr fontId="1" type="noConversion"/>
  </si>
  <si>
    <t>icon</t>
    <phoneticPr fontId="1" type="noConversion"/>
  </si>
  <si>
    <t>Int</t>
    <phoneticPr fontId="1" type="noConversion"/>
  </si>
  <si>
    <t>道具图标</t>
    <phoneticPr fontId="1" type="noConversion"/>
  </si>
  <si>
    <t>Gold</t>
    <phoneticPr fontId="1" type="noConversion"/>
  </si>
  <si>
    <t>道具出售可获得的金币</t>
    <phoneticPr fontId="1" type="noConversion"/>
  </si>
  <si>
    <t>ProficiencyReq</t>
    <phoneticPr fontId="1" type="noConversion"/>
  </si>
  <si>
    <t>家园道具制作材料，</t>
    <phoneticPr fontId="1" type="noConversion"/>
  </si>
  <si>
    <t>ProficiencyReward</t>
    <phoneticPr fontId="1" type="noConversion"/>
  </si>
  <si>
    <t>time</t>
    <phoneticPr fontId="1" type="noConversion"/>
  </si>
  <si>
    <t>sort</t>
    <phoneticPr fontId="1" type="noConversion"/>
  </si>
  <si>
    <t>熟练度差值，</t>
    <phoneticPr fontId="1" type="noConversion"/>
  </si>
  <si>
    <t>1,10000|20,8000|40,6000|60,2000</t>
    <phoneticPr fontId="1" type="noConversion"/>
  </si>
  <si>
    <t>MaterialReq</t>
    <phoneticPr fontId="1" type="noConversion"/>
  </si>
  <si>
    <t>道具可学习要求熟练度值</t>
    <phoneticPr fontId="1" type="noConversion"/>
  </si>
  <si>
    <t>表示制作该道具需要的时间</t>
    <phoneticPr fontId="1" type="noConversion"/>
  </si>
  <si>
    <t>排序</t>
    <phoneticPr fontId="1" type="noConversion"/>
  </si>
  <si>
    <t>10001,1;10002,1</t>
  </si>
  <si>
    <t>10001,2;10002,2;12001,1</t>
  </si>
  <si>
    <t>10001,2;10002,2;12002,1</t>
  </si>
  <si>
    <t>奇幻谷粒</t>
  </si>
  <si>
    <t>奇趣米宝</t>
  </si>
  <si>
    <t>梦境麦粉</t>
  </si>
  <si>
    <t>幻境米香</t>
  </si>
  <si>
    <t>神秘果仁</t>
  </si>
  <si>
    <t>魔法豆荚</t>
  </si>
  <si>
    <t>奇缘麦片</t>
  </si>
  <si>
    <t>星尘面粉</t>
  </si>
  <si>
    <t>幻想玉米</t>
  </si>
  <si>
    <t>梦境果仁</t>
  </si>
  <si>
    <t>奇趣燕麦</t>
  </si>
  <si>
    <t>魔法坚果</t>
  </si>
  <si>
    <t>梦境粮仓</t>
  </si>
  <si>
    <t>幻境谷物</t>
  </si>
  <si>
    <t>星尘面包</t>
  </si>
  <si>
    <t>幻想蛋糕</t>
  </si>
  <si>
    <t>奇缘糖果</t>
  </si>
  <si>
    <t>梦境饼干</t>
  </si>
  <si>
    <t>魔法能量棒</t>
  </si>
  <si>
    <t>奇缘盛宴</t>
  </si>
  <si>
    <t>欢乐值增加5点</t>
  </si>
  <si>
    <t>10001,2;10002,2</t>
  </si>
  <si>
    <t>欢乐值增加10点</t>
  </si>
  <si>
    <t>欢乐值增加15点</t>
  </si>
  <si>
    <t>欢乐值增加20点</t>
  </si>
  <si>
    <t>欢乐值增加25点</t>
  </si>
  <si>
    <t>欢乐值增加30点</t>
  </si>
  <si>
    <t>欢乐值增加35点</t>
  </si>
  <si>
    <t>欢乐值增加40点</t>
  </si>
  <si>
    <t>欢乐值增加45点</t>
  </si>
  <si>
    <t>欢乐值增加50点</t>
  </si>
  <si>
    <t>活力草本饮</t>
  </si>
  <si>
    <t>复原灵药水</t>
  </si>
  <si>
    <t>强身甘露</t>
  </si>
  <si>
    <t>活力泉源</t>
  </si>
  <si>
    <t>复苏灵液</t>
  </si>
  <si>
    <t>元气之露</t>
  </si>
  <si>
    <t>治愈之泉</t>
  </si>
  <si>
    <t>活力精华</t>
  </si>
  <si>
    <t>复原灵草</t>
  </si>
  <si>
    <t>强身灵药</t>
  </si>
  <si>
    <t>复苏灵根</t>
  </si>
  <si>
    <t>元气灵果</t>
  </si>
  <si>
    <t>治愈灵草</t>
  </si>
  <si>
    <t>活力灵浆</t>
  </si>
  <si>
    <t>复原灵汤</t>
  </si>
  <si>
    <t>强身灵饮</t>
  </si>
  <si>
    <t>复苏灵茶</t>
  </si>
  <si>
    <t>元气灵汁</t>
  </si>
  <si>
    <t>治愈灵露</t>
  </si>
  <si>
    <t>活力灵汤</t>
  </si>
  <si>
    <t>体力值增加3点</t>
  </si>
  <si>
    <t>体力值增加6点</t>
  </si>
  <si>
    <t>10001,2;10002,2;13001,1</t>
  </si>
  <si>
    <t>10001,2;10002,2;13002,1</t>
  </si>
  <si>
    <t>体力值增加9点</t>
  </si>
  <si>
    <t>体力值增加12点</t>
  </si>
  <si>
    <t>体力值增加15点</t>
  </si>
  <si>
    <t>体力值增加18点</t>
  </si>
  <si>
    <t>体力值增加21点</t>
  </si>
  <si>
    <t>体力值增加24点</t>
  </si>
  <si>
    <t>体力值增加27点</t>
  </si>
  <si>
    <t>体力值增加30点</t>
  </si>
  <si>
    <t>灵界捕网</t>
  </si>
  <si>
    <t>10001,5;10002,5</t>
  </si>
  <si>
    <t>奇兽捕捉器</t>
  </si>
  <si>
    <t>10001,10;10002,10;14001,1</t>
  </si>
  <si>
    <t>20,10000|40,8000|60,6000|80,2000</t>
  </si>
  <si>
    <t>灵宠束缚球</t>
  </si>
  <si>
    <t>10001,15;10002,15;14002,1</t>
  </si>
  <si>
    <t>40,10000|60,8000|80,6000|100,2000</t>
  </si>
  <si>
    <t>幻兽收容盒</t>
  </si>
  <si>
    <t>10001,20;10002,20;14003,1</t>
  </si>
  <si>
    <t>60,10000|80,8000|100,6000|120,2000</t>
  </si>
  <si>
    <t>灵兽捕捉环</t>
  </si>
  <si>
    <t>10001,25;10002,25;14004,1</t>
  </si>
  <si>
    <t>1,10000|20,8000|40,6000|60,2001</t>
  </si>
  <si>
    <t>奇宠捕获器</t>
  </si>
  <si>
    <t>10001,30;10002,30;14005,1</t>
  </si>
  <si>
    <t>20,10000|40,8000|60,6000|80,2001</t>
  </si>
  <si>
    <t>灵宠捕捉瓶</t>
  </si>
  <si>
    <t>10001,35;10002,35;14006,1</t>
  </si>
  <si>
    <t>40,10000|60,8000|80,6000|100,2001</t>
  </si>
  <si>
    <t>幻兽束缚链</t>
  </si>
  <si>
    <t>10001,40;10002,40;14007,1</t>
  </si>
  <si>
    <t>60,10000|80,8000|100,6000|120,2001</t>
  </si>
  <si>
    <t>灵界捕获器</t>
  </si>
  <si>
    <t>10001,45;10002,45;14008,1</t>
  </si>
  <si>
    <t>1,10000|20,8000|40,6000|60,2002</t>
  </si>
  <si>
    <t>奇兽收容球</t>
  </si>
  <si>
    <t>10001,50;10002,50;14009,1</t>
  </si>
  <si>
    <t>20,10000|40,8000|60,6000|80,2002</t>
  </si>
  <si>
    <t>红砖</t>
  </si>
  <si>
    <t>1,10000|30,8000|50,6000|800,2000</t>
  </si>
  <si>
    <t>瓦片</t>
  </si>
  <si>
    <t>玻璃</t>
  </si>
  <si>
    <t>水泥</t>
  </si>
  <si>
    <t>钢筋</t>
  </si>
  <si>
    <t>木材加工机</t>
  </si>
  <si>
    <t>石料切割机</t>
  </si>
  <si>
    <t>矿石粉碎机</t>
  </si>
  <si>
    <t>冶炼炉</t>
  </si>
  <si>
    <t>锻造台</t>
  </si>
  <si>
    <t>木工台</t>
  </si>
  <si>
    <t>缝纫机</t>
  </si>
  <si>
    <t>陶轮</t>
  </si>
  <si>
    <t>油漆</t>
  </si>
  <si>
    <t>壁纸</t>
  </si>
  <si>
    <t>地板材料</t>
  </si>
  <si>
    <t>10001,1;10002,1;14030,1</t>
  </si>
  <si>
    <t>照明设备</t>
  </si>
  <si>
    <t>10001,1;10002,1;14031,1</t>
  </si>
  <si>
    <t>水管</t>
  </si>
  <si>
    <t>10001,1;10002,1;14032,1</t>
  </si>
  <si>
    <t>电线</t>
  </si>
  <si>
    <t>10001,1;10002,1;14033,1</t>
  </si>
  <si>
    <t>太阳能板</t>
  </si>
  <si>
    <t>10001,1;10002,1;14034,1</t>
  </si>
  <si>
    <t>风力发电机</t>
  </si>
  <si>
    <t>水井</t>
  </si>
  <si>
    <t>蓄水池</t>
  </si>
  <si>
    <t>水泵</t>
  </si>
  <si>
    <t>灌溉系统</t>
  </si>
  <si>
    <t>肥料</t>
  </si>
  <si>
    <t>种子</t>
  </si>
  <si>
    <t>园艺工具</t>
  </si>
  <si>
    <t>围栏</t>
  </si>
  <si>
    <t>门</t>
  </si>
  <si>
    <t>窗户</t>
  </si>
  <si>
    <t>屋顶材料</t>
  </si>
  <si>
    <t>10001,2;10002,2;14046,1</t>
  </si>
  <si>
    <t>隔热材料</t>
  </si>
  <si>
    <t>隔音材料</t>
  </si>
  <si>
    <t>防火材料</t>
  </si>
  <si>
    <t>装饰石材</t>
  </si>
  <si>
    <t>装饰木材</t>
  </si>
  <si>
    <t>雕塑</t>
  </si>
  <si>
    <t>壁画</t>
  </si>
  <si>
    <t>地毯</t>
  </si>
  <si>
    <t>窗帘</t>
  </si>
  <si>
    <t>户外烧烤架</t>
  </si>
  <si>
    <t>游泳池</t>
  </si>
  <si>
    <t>花园长椅</t>
  </si>
  <si>
    <t>遮阳伞</t>
  </si>
  <si>
    <t>户外照明</t>
  </si>
  <si>
    <t>喷泉</t>
  </si>
  <si>
    <t>园艺雕塑</t>
  </si>
  <si>
    <t>植物支架</t>
  </si>
  <si>
    <t>园艺剪刀</t>
  </si>
  <si>
    <t>草坪修剪机</t>
  </si>
  <si>
    <t>树木修剪工具</t>
  </si>
  <si>
    <t>园艺手套</t>
  </si>
  <si>
    <t>堆肥箱</t>
  </si>
  <si>
    <t>鸡舍</t>
  </si>
  <si>
    <t>蜂箱</t>
  </si>
  <si>
    <t>宠物屋</t>
  </si>
  <si>
    <t>户外火坑</t>
  </si>
  <si>
    <t>秋千</t>
  </si>
  <si>
    <t>滑梯</t>
  </si>
  <si>
    <t>攀爬架</t>
  </si>
  <si>
    <t>沙坑</t>
  </si>
  <si>
    <t>户外桌子</t>
  </si>
  <si>
    <t>户外椅子</t>
  </si>
  <si>
    <t>吊床</t>
  </si>
  <si>
    <t>户外音响系统</t>
  </si>
  <si>
    <t>户外遮阳篷</t>
  </si>
  <si>
    <t>户外地毯</t>
  </si>
  <si>
    <t>户外储物柜</t>
  </si>
  <si>
    <t>户外烧烤工具</t>
  </si>
  <si>
    <t>户外清洁工具</t>
  </si>
  <si>
    <t>户外装饰灯</t>
  </si>
  <si>
    <t>户外装饰植物</t>
  </si>
  <si>
    <t>户外遮阳网</t>
  </si>
  <si>
    <t>户外防水垫</t>
  </si>
  <si>
    <t>户外取暖器</t>
  </si>
  <si>
    <t>户外装饰石</t>
  </si>
  <si>
    <t>户外装饰风铃</t>
  </si>
  <si>
    <t>户外装饰旗帜</t>
  </si>
  <si>
    <t>户外装饰雕塑</t>
  </si>
  <si>
    <t>户外装饰花盆</t>
  </si>
  <si>
    <t>户外装饰灯笼</t>
  </si>
  <si>
    <t>户外装饰挂件</t>
  </si>
  <si>
    <t>户外装饰壁画</t>
  </si>
  <si>
    <t>户外装饰喷泉</t>
  </si>
  <si>
    <t>户外装饰花架</t>
  </si>
  <si>
    <t>户外装饰石凳</t>
  </si>
  <si>
    <t>户外装饰石桌</t>
  </si>
  <si>
    <t>户外装饰木桥</t>
  </si>
  <si>
    <t>户外装饰木亭</t>
  </si>
  <si>
    <t>户外装饰木栅栏</t>
  </si>
  <si>
    <t>宠物抓捕器</t>
    <phoneticPr fontId="1" type="noConversion"/>
  </si>
  <si>
    <t>家园建设材料</t>
    <phoneticPr fontId="1" type="noConversion"/>
  </si>
  <si>
    <t>基础乐趣球</t>
    <phoneticPr fontId="1" type="noConversion"/>
  </si>
  <si>
    <t>简易拼图块</t>
    <phoneticPr fontId="1" type="noConversion"/>
  </si>
  <si>
    <t>初级积木塔</t>
    <phoneticPr fontId="1" type="noConversion"/>
  </si>
  <si>
    <t>初学画画板</t>
    <phoneticPr fontId="1" type="noConversion"/>
  </si>
  <si>
    <t>简易音乐盒</t>
    <phoneticPr fontId="1" type="noConversion"/>
  </si>
  <si>
    <t>初级玩偶屋</t>
    <phoneticPr fontId="1" type="noConversion"/>
  </si>
  <si>
    <t>基础模型车</t>
    <phoneticPr fontId="1" type="noConversion"/>
  </si>
  <si>
    <t>初级动物模型</t>
    <phoneticPr fontId="1" type="noConversion"/>
  </si>
  <si>
    <t>简易科学套装</t>
    <phoneticPr fontId="1" type="noConversion"/>
  </si>
  <si>
    <t>初级探险套装</t>
    <phoneticPr fontId="1" type="noConversion"/>
  </si>
  <si>
    <t>进阶拼图板</t>
    <phoneticPr fontId="1" type="noConversion"/>
  </si>
  <si>
    <t>中级积木城堡</t>
    <phoneticPr fontId="1" type="noConversion"/>
  </si>
  <si>
    <t>中级玩偶世界</t>
    <phoneticPr fontId="1" type="noConversion"/>
  </si>
  <si>
    <t>进阶音乐盒</t>
    <phoneticPr fontId="1" type="noConversion"/>
  </si>
  <si>
    <t>中级模型飞机</t>
    <phoneticPr fontId="1" type="noConversion"/>
  </si>
  <si>
    <t>进阶动物乐园</t>
    <phoneticPr fontId="1" type="noConversion"/>
  </si>
  <si>
    <t>进阶科学探索</t>
    <phoneticPr fontId="1" type="noConversion"/>
  </si>
  <si>
    <t>中级探险家</t>
    <phoneticPr fontId="1" type="noConversion"/>
  </si>
  <si>
    <t>高级拼图挑战</t>
    <phoneticPr fontId="1" type="noConversion"/>
  </si>
  <si>
    <t>高级积木城市</t>
    <phoneticPr fontId="1" type="noConversion"/>
  </si>
  <si>
    <t>饱腹值增加5点</t>
  </si>
  <si>
    <t>饱腹值增加13点</t>
  </si>
  <si>
    <t>饱腹值增加19点</t>
  </si>
  <si>
    <t>饱腹值增加25点</t>
  </si>
  <si>
    <t>饱腹值增加31点</t>
  </si>
  <si>
    <t>饱腹值增加37点</t>
  </si>
  <si>
    <t>饱腹值增加44点</t>
  </si>
  <si>
    <t>饱腹值增加50点</t>
  </si>
  <si>
    <t>饱腹值增加56点</t>
  </si>
  <si>
    <t>饱腹值增加62点</t>
  </si>
  <si>
    <t>10001,2;10002,2;11003,1</t>
  </si>
  <si>
    <t>10001,2;10002,2;11004,1</t>
  </si>
  <si>
    <t>10001,2;10002,2;11005,1</t>
  </si>
  <si>
    <t>10001,2;10002,2;11006,1</t>
  </si>
  <si>
    <t>10001,3;10002,2;11007,1</t>
  </si>
  <si>
    <t>10001,2;10002,3;11008,1</t>
  </si>
  <si>
    <t>10001,3;10002,3;11009,1</t>
  </si>
  <si>
    <t>10001,3;10002,3;11010,1</t>
  </si>
  <si>
    <t>10001,4;10002,3;11011,1</t>
  </si>
  <si>
    <t>10001,3;10002,4;11012,1</t>
  </si>
  <si>
    <t>10001,4;10002,4;11013,1</t>
  </si>
  <si>
    <t>10001,4;10002,4;11014,1</t>
  </si>
  <si>
    <t>10001,4;10002,5;11015,1</t>
  </si>
  <si>
    <t>10001,5;10002,4;11016,1</t>
  </si>
  <si>
    <t>10001,5;10002,5;11017,1</t>
  </si>
  <si>
    <t>10001,5;10002,5;11018,1</t>
  </si>
  <si>
    <t>10001,1;10002,1;11001,1</t>
  </si>
  <si>
    <t>10001,1;10002,1;11002,1</t>
  </si>
  <si>
    <t>10001,1;10002,1;12001,1</t>
  </si>
  <si>
    <t>10001,1;10002,1;12002,1</t>
  </si>
  <si>
    <t>10001,1;10002,1;12003,1</t>
  </si>
  <si>
    <t>10001,1;10002,1;12004,1</t>
  </si>
  <si>
    <t>10001,2;10002,1;12005,1</t>
  </si>
  <si>
    <t>10001,1;10002,2;12006,1</t>
  </si>
  <si>
    <t>10001,1;10002,2;12007,1</t>
  </si>
  <si>
    <t>10001,2;10002,1;12008,1</t>
  </si>
  <si>
    <t>10001,2;10002,2;12009,1</t>
  </si>
  <si>
    <t>10001,2;10002,2;12010,1</t>
  </si>
  <si>
    <t>10001,2;10002,3;12011,1</t>
  </si>
  <si>
    <t>10001,3;10002,2;12012,1</t>
  </si>
  <si>
    <t>10001,2;10002,3;12013,1</t>
  </si>
  <si>
    <t>10001,3;10002,2;12014,1</t>
  </si>
  <si>
    <t>10001,3;10002,3;12015,1</t>
  </si>
  <si>
    <t>10001,3;10002,3;12016,1</t>
  </si>
  <si>
    <t>10001,3;10002,3;12017,1</t>
  </si>
  <si>
    <t>10001,3;10002,3;12018,1</t>
  </si>
  <si>
    <t>10001,1</t>
    <phoneticPr fontId="1" type="noConversion"/>
  </si>
  <si>
    <t>10002,1</t>
    <phoneticPr fontId="1" type="noConversion"/>
  </si>
  <si>
    <t>10001,1;10002,1;13001,1</t>
  </si>
  <si>
    <t>10001,1;10002,1;13002,1</t>
  </si>
  <si>
    <t>10001,2;10002,2;13003,1</t>
  </si>
  <si>
    <t>10001,2;10002,2;13004,1</t>
  </si>
  <si>
    <t>10001,2;10002,2;13005,1</t>
  </si>
  <si>
    <t>10001,2;10002,2;13006,1</t>
  </si>
  <si>
    <t>10001,3;10002,2;13007,1</t>
  </si>
  <si>
    <t>10001,2;10002,3;13008,1</t>
  </si>
  <si>
    <t>10001,3;10002,3;13009,1</t>
  </si>
  <si>
    <t>10001,3;10002,3;13010,1</t>
  </si>
  <si>
    <t>10001,4;10002,3;13011,1</t>
  </si>
  <si>
    <t>10001,3;10002,4;13012,1</t>
  </si>
  <si>
    <t>10001,4;10002,4;13013,1</t>
  </si>
  <si>
    <t>10001,4;10002,4;13014,1</t>
  </si>
  <si>
    <t>10001,4;10002,5;13015,1</t>
  </si>
  <si>
    <t>10001,5;10002,4;13016,1</t>
  </si>
  <si>
    <t>10001,5;10002,5;13017,1</t>
  </si>
  <si>
    <t>10001,5;10002,5;13018,1</t>
  </si>
  <si>
    <t>用于建造房屋的外墙，具有很好的隔热和隔音效果。</t>
  </si>
  <si>
    <t>用于屋顶覆盖，防止雨水渗透。</t>
  </si>
  <si>
    <t>用于窗户和装饰，提供良好的透光性。</t>
  </si>
  <si>
    <t>用于制作混凝土，是建筑中不可或缺的粘合剂。</t>
  </si>
  <si>
    <t>用于加固混凝土结构，提高建筑的稳定性。</t>
  </si>
  <si>
    <t>用于将原木加工成木板和其他木制品。</t>
  </si>
  <si>
    <t>用于将大块石材切割成所需的形状。</t>
  </si>
  <si>
    <t>用于将矿石粉碎成粉末，便于冶炼。</t>
  </si>
  <si>
    <t>用于将矿石冶炼成金属。</t>
  </si>
  <si>
    <t>用于锻造金属工具和武器。</t>
  </si>
  <si>
    <t>10001,1;10002,1;14035,1</t>
  </si>
  <si>
    <t>用于制作木制家具和装饰品。</t>
  </si>
  <si>
    <t>10001,1;10002,1;14036,1</t>
  </si>
  <si>
    <t>用于制作布料和衣物。</t>
  </si>
  <si>
    <t>10001,1;10002,1;14037,1</t>
  </si>
  <si>
    <t>用于制作陶瓷器皿和装饰品。</t>
  </si>
  <si>
    <t>10001,1;10002,1;14038,1</t>
  </si>
  <si>
    <t>用于给家具和墙壁上色，增加美观性。</t>
  </si>
  <si>
    <t>10001,1;10002,1;14039,1</t>
  </si>
  <si>
    <t>用于装饰墙壁，提供多种图案选择。</t>
  </si>
  <si>
    <t>10001,1;10002,1;14040,1</t>
  </si>
  <si>
    <t>用于铺设地面，有多种材质和颜色。</t>
  </si>
  <si>
    <t>10001,1;10002,1;14041,1</t>
  </si>
  <si>
    <t>用于提供室内照明，包括吊灯、壁灯等。</t>
  </si>
  <si>
    <t>10001,1;10002,1;14042,1</t>
  </si>
  <si>
    <t>用于输送水源，保证家园的供水系统。</t>
  </si>
  <si>
    <t>10001,1;10002,1;14043,1</t>
  </si>
  <si>
    <t>用于连接电器，保证家园的电力供应。</t>
  </si>
  <si>
    <t>10001,1;10002,1;14044,1</t>
  </si>
  <si>
    <t>用于收集太阳能，为家园提供可再生能源。</t>
  </si>
  <si>
    <t>10001,1;10002,1;14045,1</t>
  </si>
  <si>
    <t>利用风力发电，环保且可持续。</t>
  </si>
  <si>
    <t>用于获取地下水，是家园的水源之一。</t>
  </si>
  <si>
    <t>10001,2;10002,2;14047,1</t>
  </si>
  <si>
    <t>用于储存雨水和生活用水。</t>
  </si>
  <si>
    <t>10001,2;10002,2;14048,1</t>
  </si>
  <si>
    <t>用于将水从低处抽到高处。</t>
  </si>
  <si>
    <t>10001,2;10002,2;14049,1</t>
  </si>
  <si>
    <t>用于农田灌溉，保证作物生长。</t>
  </si>
  <si>
    <t>10001,2;10002,2;14050,1</t>
  </si>
  <si>
    <t>用于提高土壤肥力，促进植物生长。</t>
  </si>
  <si>
    <t>10001,2;10002,2;14051,1</t>
  </si>
  <si>
    <t>用于种植各种农作物和花草。</t>
  </si>
  <si>
    <t>10001,2;10002,2;14052,1</t>
  </si>
  <si>
    <t>包括铲子、耙子等，用于园艺工作。</t>
  </si>
  <si>
    <t>10001,2;10002,2;14053,1</t>
  </si>
  <si>
    <t>用于围护家园，提供安全保障。</t>
  </si>
  <si>
    <t>10001,2;10002,2;14054,1</t>
  </si>
  <si>
    <t>用于控制家园的进出，有多种材质和样式。</t>
  </si>
  <si>
    <t>10001,2;10002,2;14055,1</t>
  </si>
  <si>
    <t>用于提供通风和采光，有多种开启方式。</t>
  </si>
  <si>
    <t>10001,2;10002,2;14056,1</t>
  </si>
  <si>
    <t>除了瓦片，还有金属板、沥青等。</t>
  </si>
  <si>
    <t>10001,2;10002,2;14057,1</t>
  </si>
  <si>
    <t>用于提高房屋的保温性能，节省能源。</t>
  </si>
  <si>
    <t>10001,3;10002,3;14058,1</t>
  </si>
  <si>
    <t>用于减少噪音，提高居住舒适度。</t>
  </si>
  <si>
    <t>10001,3;10002,3;14059,1</t>
  </si>
  <si>
    <t>用于提高建筑的防火性能，保障安全。</t>
  </si>
  <si>
    <t>10001,3;10002,3;14060,1</t>
  </si>
  <si>
    <t>用于室内外装饰，提升美观度。</t>
  </si>
  <si>
    <t>10001,3;10002,3;14061,1</t>
  </si>
  <si>
    <t>用于制作装饰品和艺术品。</t>
  </si>
  <si>
    <t>10001,4;10002,4;14062,1</t>
  </si>
  <si>
    <t>用于装饰家园，增加艺术氛围。</t>
  </si>
  <si>
    <t>10001,4;10002,4;14063,1</t>
  </si>
  <si>
    <t>用于装饰墙面，展现个性和风格。</t>
  </si>
  <si>
    <t>10001,4;10002,4;14064,1</t>
  </si>
  <si>
    <t>用于铺设地面，提供舒适感和美观性。</t>
  </si>
  <si>
    <t>10001,4;10002,4;14065,1</t>
  </si>
  <si>
    <t>用于遮挡阳光和保护隐私。</t>
  </si>
  <si>
    <t>10001,5;10002,5;14066,1</t>
  </si>
  <si>
    <t>用于户外烹饪，享受烧烤的乐趣。</t>
  </si>
  <si>
    <t>10001,5;10002,5;14067,1</t>
  </si>
  <si>
    <t>提供清凉的游泳空间，增加家园的休闲设施。</t>
  </si>
  <si>
    <t>10001,5;10002,5;14068,1</t>
  </si>
  <si>
    <t>用于花园中休息，享受户外时光。</t>
  </si>
  <si>
    <t>10001,5;10002,5;14069,1</t>
  </si>
  <si>
    <t>用于户外区域提供阴凉，保护人们免受阳光直射。</t>
  </si>
  <si>
    <t>10001,6;10002,6;14070,1</t>
  </si>
  <si>
    <t>用于照亮夜间的户外空间，增加安全性。</t>
  </si>
  <si>
    <t>10001,6;10002,6;14071,1</t>
  </si>
  <si>
    <t>用于装饰家园，提供视觉和听觉的享受。</t>
  </si>
  <si>
    <t>10001,6;10002,6;14072,1</t>
  </si>
  <si>
    <t>用于美化花园，增加艺术气息。</t>
  </si>
  <si>
    <t>10001,6;10002,6;14073,1</t>
  </si>
  <si>
    <t>用于支撑攀爬植物，如葡萄藤或藤蔓植物。</t>
  </si>
  <si>
    <t>10001,7;10002,7;14074,1</t>
  </si>
  <si>
    <t>用于修剪植物，保持花园整洁。</t>
  </si>
  <si>
    <t>10001,7;10002,7;14075,1</t>
  </si>
  <si>
    <t>用于修剪草坪，保持其美观。</t>
  </si>
  <si>
    <t>10001,7;10002,7;14076,1</t>
  </si>
  <si>
    <t>用于修剪树木，保持其健康生长。</t>
  </si>
  <si>
    <t>10001,7;10002,7;14077,1</t>
  </si>
  <si>
    <t>保护手部，避免在园艺工作中受伤。</t>
  </si>
  <si>
    <t>10001,8;10002,8;14078,1</t>
  </si>
  <si>
    <t>用于制作有机肥料，循环利用家庭垃圾。</t>
  </si>
  <si>
    <t>10001,8;10002,8;14079,1</t>
  </si>
  <si>
    <t>用于饲养家禽，提供新鲜的鸡蛋。</t>
  </si>
  <si>
    <t>10001,8;10002,8;14080,1</t>
  </si>
  <si>
    <t>用于饲养蜜蜂，生产蜂蜜。</t>
  </si>
  <si>
    <t>10001,8;10002,8;14081,1</t>
  </si>
  <si>
    <t>为宠物提供遮风避雨的住所。</t>
  </si>
  <si>
    <t>10001,10;10002,10;14082,1</t>
  </si>
  <si>
    <t>用于户外取暖和烹饪，增加社交活动。</t>
  </si>
  <si>
    <t>10001,10;10002,10;14083,1</t>
  </si>
  <si>
    <t>提供娱乐设施，增加家园的趣味性。</t>
  </si>
  <si>
    <t>10001,10;10002,10;14084,1</t>
  </si>
  <si>
    <t>为儿童提供娱乐设施。</t>
  </si>
  <si>
    <t>10001,10;10002,10;14085,1</t>
  </si>
  <si>
    <t>为儿童提供锻炼身体的机会。</t>
  </si>
  <si>
    <t>10001,12;10002,12;14086,1</t>
  </si>
  <si>
    <t>为儿童提供玩沙的场所。</t>
  </si>
  <si>
    <t>10001,12;10002,12;14087,1</t>
  </si>
  <si>
    <t>用于户外用餐或休闲活动。</t>
  </si>
  <si>
    <t>10001,12;10002,12;14088,1</t>
  </si>
  <si>
    <t>与户外桌子配套使用，提供舒适的座位。</t>
  </si>
  <si>
    <t>10001,12;10002,12;14089,1</t>
  </si>
  <si>
    <t>用于户外休息，享受悠闲时光。</t>
  </si>
  <si>
    <t>10001,15;10002,15;14090,1</t>
  </si>
  <si>
    <t>用于播放音乐，增加户外活动的乐趣。</t>
  </si>
  <si>
    <t>10001,15;10002,15;14091,1</t>
  </si>
  <si>
    <t>用于户外区域提供遮阳和防雨。</t>
  </si>
  <si>
    <t>10001,15;10002,15;14092,1</t>
  </si>
  <si>
    <t>用于户外区域，增加舒适感和美观性。</t>
  </si>
  <si>
    <t>10001,15;10002,15;14093,1</t>
  </si>
  <si>
    <t>用于存放户外用品，保持整洁。</t>
  </si>
  <si>
    <t>10001,18;10002,18;14094,1</t>
  </si>
  <si>
    <t>包括烧烤钳、烧烤叉等，用于烧烤食物。</t>
  </si>
  <si>
    <t>10001,18;10002,18;14095,1</t>
  </si>
  <si>
    <t>包括扫帚、簸箕等，用于保持户外区域的清洁。</t>
  </si>
  <si>
    <t>10001,18;10002,18;14096,1</t>
  </si>
  <si>
    <t>用于装饰户外空间，增加节日气氛。</t>
  </si>
  <si>
    <t>10001,18;10002,18;14097,1</t>
  </si>
  <si>
    <t>用于美化户外环境，增加生机。</t>
  </si>
  <si>
    <t>10001,22;10002,22;14098,1</t>
  </si>
  <si>
    <t>用于遮挡阳光，保护植物和人们免受强烈阳光照射。</t>
  </si>
  <si>
    <t>10001,22;10002,22;14099,1</t>
  </si>
  <si>
    <t>用于户外区域，提供额外的防水保护。</t>
  </si>
  <si>
    <t>10001,22;10002,22;14100,1</t>
  </si>
  <si>
    <t>用于户外区域提供温暖，适合寒冷天气。</t>
  </si>
  <si>
    <t>10001,22;10002,22;14101,1</t>
  </si>
  <si>
    <t>用于装饰户外空间，增加自然美感。</t>
  </si>
  <si>
    <t>10001,26;10002,26;14102,1</t>
  </si>
  <si>
    <t>用于户外装饰，增加悦耳的声音。</t>
  </si>
  <si>
    <t>10001,26;10002,26;14103,1</t>
  </si>
  <si>
    <t>用于装饰户外空间，展示个性。</t>
  </si>
  <si>
    <t>10001,26;10002,26;14104,1</t>
  </si>
  <si>
    <t>用于户外装饰，增加艺术气息。</t>
  </si>
  <si>
    <t>10001,26;10002,26;14105,1</t>
  </si>
  <si>
    <t>用于种植植物，美化户外环境。</t>
  </si>
  <si>
    <t>10001,31;10002,31;14106,1</t>
  </si>
  <si>
    <t>用于装饰户外空间，提供柔和的照明。</t>
  </si>
  <si>
    <t>10001,31;10002,31;14107,1</t>
  </si>
  <si>
    <t>10001,31;10002,31;14108,1</t>
  </si>
  <si>
    <t>用于装饰户外墙面，展现个性和风格。</t>
  </si>
  <si>
    <t>10001,31;10002,31;14109,1</t>
  </si>
  <si>
    <t>用于装饰户外空间，提供视觉和听觉的享受。</t>
  </si>
  <si>
    <t>10001,31;10002,31;14110,1</t>
  </si>
  <si>
    <t>用于摆放花盆，增加户外绿化。</t>
  </si>
  <si>
    <t>10001,31;10002,31;14111,1</t>
  </si>
  <si>
    <t>用于户外休息，提供座位。</t>
  </si>
  <si>
    <t>10001,31;10002,31;14112,1</t>
  </si>
  <si>
    <t>10001,31;10002,31;14113,1</t>
  </si>
  <si>
    <t>用于连接户外区域，增加景观效果。</t>
  </si>
  <si>
    <t>10001,31;10002,31;14114,1</t>
  </si>
  <si>
    <t>用于户外休息，提供遮荫。</t>
  </si>
  <si>
    <t>10001,31;10002,31;14115,1</t>
  </si>
  <si>
    <t>用于装饰和围护户外空间，增加私密性。</t>
  </si>
  <si>
    <t>10001,31;10002,31;14116,1</t>
  </si>
  <si>
    <t>饱腹值增加13点</t>
    <phoneticPr fontId="1" type="noConversion"/>
  </si>
  <si>
    <t>增加欢乐值</t>
    <phoneticPr fontId="1" type="noConversion"/>
  </si>
  <si>
    <t>增加饱腹值</t>
    <phoneticPr fontId="1" type="noConversion"/>
  </si>
  <si>
    <t>增加体力值</t>
    <phoneticPr fontId="1" type="noConversion"/>
  </si>
  <si>
    <t>10001,2;10002,2;11001,1</t>
  </si>
  <si>
    <t>10001,2;10002,2;11002,1</t>
  </si>
  <si>
    <t>10001,2;10002,2;11007,1</t>
  </si>
  <si>
    <t>10001,2;10002,2;11008,1</t>
  </si>
  <si>
    <t>10001,2;10002,2;11009,1</t>
  </si>
  <si>
    <t>10001,2;10002,2;11010,1</t>
  </si>
  <si>
    <t>10001,2;10002,2;11011,1</t>
  </si>
  <si>
    <t>10001,2;10002,2;11012,1</t>
  </si>
  <si>
    <t>10001,2;10002,2;11013,1</t>
  </si>
  <si>
    <t>10001,2;10002,2;11014,1</t>
  </si>
  <si>
    <t>10001,2;10002,2;11015,1</t>
  </si>
  <si>
    <t>10001,2;10002,2;11016,1</t>
  </si>
  <si>
    <t>10001,2;10002,2;11017,1</t>
  </si>
  <si>
    <t>10001,2;10002,2;11018,1</t>
  </si>
  <si>
    <t>10001,2;10002,2;12003,1</t>
  </si>
  <si>
    <t>10001,2;10002,2;12004,1</t>
  </si>
  <si>
    <t>10001,2;10002,2;12005,1</t>
  </si>
  <si>
    <t>10001,2;10002,2;12006,1</t>
  </si>
  <si>
    <t>10001,2;10002,2;12007,1</t>
  </si>
  <si>
    <t>10001,2;10002,2;12008,1</t>
  </si>
  <si>
    <t>10001,2;10002,2;12011,1</t>
  </si>
  <si>
    <t>10001,2;10002,2;12012,1</t>
  </si>
  <si>
    <t>10001,2;10002,2;12013,1</t>
  </si>
  <si>
    <t>10001,2;10002,2;12014,1</t>
  </si>
  <si>
    <t>10001,2;10002,2;12015,1</t>
  </si>
  <si>
    <t>10001,2;10002,2;12016,1</t>
  </si>
  <si>
    <t>10001,2;10002,2;12017,1</t>
  </si>
  <si>
    <t>10001,2;10002,2;12018,1</t>
  </si>
  <si>
    <t>10001,2;10002,2;13007,1</t>
  </si>
  <si>
    <t>10001,2;10002,2;13008,1</t>
  </si>
  <si>
    <t>10001,2;10002,2;13009,1</t>
  </si>
  <si>
    <t>10001,2;10002,2;13010,1</t>
  </si>
  <si>
    <t>10001,2;10002,2;13011,1</t>
  </si>
  <si>
    <t>10001,2;10002,2;13012,1</t>
  </si>
  <si>
    <t>10001,2;10002,2;13013,1</t>
  </si>
  <si>
    <t>10001,2;10002,2;13014,1</t>
  </si>
  <si>
    <t>10001,2;10002,2;13015,1</t>
  </si>
  <si>
    <t>10001,2;10002,2;13016,1</t>
  </si>
  <si>
    <t>10001,2;10002,2;13017,1</t>
  </si>
  <si>
    <t>10001,2;10002,2;13018,1</t>
  </si>
  <si>
    <t>,</t>
    <phoneticPr fontId="1" type="noConversion"/>
  </si>
  <si>
    <t>|</t>
    <phoneticPr fontId="1" type="noConversion"/>
  </si>
  <si>
    <t>0,10000|15,8000|30,6000|45,2000</t>
  </si>
  <si>
    <t>30,10000|60,8000|90,6000|120,2000</t>
  </si>
  <si>
    <t>100,10000|120,8000|140,6000|180,2000</t>
  </si>
  <si>
    <t>150,10000|180,8000|200,6000|240,2000</t>
  </si>
  <si>
    <t>200,10000|230,8000|255,6000|280,2000</t>
  </si>
  <si>
    <t>250,10000|280,8000|300,6000|320,2000</t>
  </si>
  <si>
    <t>300,10000|320,8000|340,6000|360,2000</t>
  </si>
  <si>
    <t>360,10000|390,8000|420,6000|450,2000</t>
  </si>
  <si>
    <t>400,10000|420,8000|440,6000|460,2000</t>
  </si>
  <si>
    <t>450,10000|470,8000|480,6000|500,2000</t>
  </si>
  <si>
    <t>500,10000|515,8000|530,6000|545,2000</t>
  </si>
  <si>
    <t>530,10000|560,8000|590,6000|620,2000</t>
  </si>
  <si>
    <t>600,10000|620,8000|640,6000|680,2000</t>
  </si>
  <si>
    <t>650,10000|680,8000|700,6000|740,2000</t>
  </si>
  <si>
    <t>700,10000|730,8000|755,6000|780,2000</t>
  </si>
  <si>
    <t>750,10000|780,8000|800,6000|820,2000</t>
  </si>
  <si>
    <t>800,10000|820,8000|840,6000|860,2000</t>
  </si>
  <si>
    <t>860,10000|890,8000|920,6000|950,2000</t>
  </si>
  <si>
    <t>900,10000|920,8000|940,6000|960,2000</t>
  </si>
  <si>
    <t>950,10000|970,8000|980,6000|1000,2000</t>
  </si>
  <si>
    <t>基础积木块</t>
  </si>
  <si>
    <t>简易拼图块</t>
  </si>
  <si>
    <t>暴力熊玩偶</t>
  </si>
  <si>
    <t>萌娃娃套装</t>
  </si>
  <si>
    <t>简易音乐盒</t>
  </si>
  <si>
    <t>初级玩偶屋</t>
  </si>
  <si>
    <t>基础模型车</t>
  </si>
  <si>
    <t>初级颜料盒</t>
  </si>
  <si>
    <t>指南针</t>
  </si>
  <si>
    <t>定点旗</t>
  </si>
  <si>
    <t>进阶拼图板</t>
  </si>
  <si>
    <t>中级积木城堡</t>
  </si>
  <si>
    <t>中级玩偶世界</t>
  </si>
  <si>
    <t>进阶音乐盒</t>
  </si>
  <si>
    <t>中级模型飞机</t>
  </si>
  <si>
    <t>进阶彩绘板</t>
  </si>
  <si>
    <t>进阶颜料盒</t>
  </si>
  <si>
    <t>中级探险家</t>
  </si>
  <si>
    <t>高级拼图挑战</t>
  </si>
  <si>
    <t>高级积木城市</t>
  </si>
  <si>
    <t>超级绿豆</t>
  </si>
  <si>
    <t>魔法泡芙</t>
  </si>
  <si>
    <t>粗糙网兜</t>
  </si>
  <si>
    <t>进阶网兜</t>
  </si>
  <si>
    <t>精品网兜</t>
  </si>
  <si>
    <t>粗糙束缚网</t>
  </si>
  <si>
    <t>精品束缚网</t>
  </si>
  <si>
    <t>粗糙捕兽笼</t>
  </si>
  <si>
    <t>精品捕兽笼</t>
  </si>
  <si>
    <t>粗糙机械爪</t>
  </si>
  <si>
    <t>进阶机械爪</t>
  </si>
  <si>
    <t>精品机械爪</t>
  </si>
  <si>
    <t>透气水泥板</t>
  </si>
  <si>
    <t>实用工具</t>
  </si>
  <si>
    <t>胶带</t>
  </si>
  <si>
    <t>工具箱</t>
  </si>
  <si>
    <t>颜料瓶</t>
  </si>
  <si>
    <t>轮胎</t>
  </si>
  <si>
    <t>灯泡</t>
  </si>
  <si>
    <t>搅拌工具</t>
  </si>
  <si>
    <t>行礼箱</t>
  </si>
  <si>
    <t>绿植</t>
  </si>
  <si>
    <t>笔筒</t>
  </si>
  <si>
    <t>涂料工具</t>
  </si>
  <si>
    <t>清洁箱</t>
  </si>
  <si>
    <t>水池</t>
  </si>
  <si>
    <t>纸箱</t>
  </si>
  <si>
    <t>木架子</t>
  </si>
  <si>
    <t>木桌子</t>
  </si>
  <si>
    <t>铁块</t>
  </si>
  <si>
    <t>抱枕</t>
  </si>
  <si>
    <t>铜块</t>
  </si>
  <si>
    <t>工具袋</t>
  </si>
  <si>
    <t>手提袋</t>
  </si>
  <si>
    <t>救生圈</t>
  </si>
  <si>
    <t>橱柜</t>
  </si>
  <si>
    <t>靴子</t>
  </si>
  <si>
    <t>锤子</t>
  </si>
  <si>
    <t>羊角锤</t>
  </si>
  <si>
    <t>锯子</t>
  </si>
  <si>
    <t>豪华工具</t>
  </si>
  <si>
    <t>进阶堆肥箱</t>
  </si>
  <si>
    <t>凉椅</t>
  </si>
  <si>
    <t>木质沙发</t>
  </si>
  <si>
    <t>煤油灯</t>
  </si>
  <si>
    <t>回收箱</t>
  </si>
  <si>
    <t>油灯</t>
  </si>
  <si>
    <t>坛子</t>
  </si>
  <si>
    <t>罐子</t>
  </si>
  <si>
    <t>雕像</t>
  </si>
  <si>
    <t>圆木桌</t>
  </si>
  <si>
    <t>圆形喷泉</t>
  </si>
  <si>
    <t>方形喷泉</t>
  </si>
  <si>
    <t>装饰木凳</t>
  </si>
  <si>
    <t>木质牌坊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</si>
</sst>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rgb="FF000000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justify" vertical="center" wrapText="1"/>
    </xf>
    <xf numFmtId="0" fontId="5" fillId="3" borderId="0" xfId="0" applyFont="1" applyFill="1" applyAlignment="1">
      <alignment vertical="center"/>
    </xf>
    <xf numFmtId="0" fontId="0" fillId="0" borderId="0" xfId="0" quotePrefix="1"/>
    <xf numFmtId="0" fontId="0" fillId="3" borderId="0" xfId="0" applyFill="1"/>
    <xf numFmtId="0" fontId="0" fillId="3" borderId="0" xfId="0" quotePrefix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64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0" sqref="F10"/>
    </sheetView>
  </sheetViews>
  <sheetFormatPr defaultRowHeight="14.25" x14ac:dyDescent="0.2"/>
  <cols>
    <col min="1" max="1" width="10.375" bestFit="1" customWidth="1"/>
    <col min="2" max="2" width="16" bestFit="1" customWidth="1"/>
    <col min="3" max="3" width="8.5" bestFit="1" customWidth="1"/>
    <col min="4" max="4" width="12.375" bestFit="1" customWidth="1"/>
    <col min="5" max="5" width="12.25" bestFit="1" customWidth="1"/>
    <col min="6" max="6" width="23.125" customWidth="1"/>
    <col min="7" max="7" width="20" bestFit="1" customWidth="1"/>
    <col min="8" max="8" width="24.875" bestFit="1" customWidth="1"/>
    <col min="9" max="9" width="21.875" bestFit="1" customWidth="1"/>
    <col min="10" max="10" width="33.375" bestFit="1" customWidth="1"/>
    <col min="11" max="11" width="23.875" bestFit="1" customWidth="1"/>
    <col min="12" max="12" width="5" bestFit="1" customWidth="1"/>
  </cols>
  <sheetData>
    <row r="1" spans="1:12" ht="18" thickBot="1" x14ac:dyDescent="0.25">
      <c r="A1" s="1" t="s">
        <v>0</v>
      </c>
      <c r="B1" s="1" t="s">
        <v>4</v>
      </c>
      <c r="C1" s="1" t="s">
        <v>14</v>
      </c>
      <c r="D1" s="1" t="s">
        <v>6</v>
      </c>
      <c r="E1" s="1" t="s">
        <v>8</v>
      </c>
      <c r="F1" s="1" t="s">
        <v>9</v>
      </c>
      <c r="G1" s="1" t="s">
        <v>17</v>
      </c>
      <c r="H1" s="1" t="s">
        <v>26</v>
      </c>
      <c r="I1" s="1" t="s">
        <v>19</v>
      </c>
      <c r="J1" s="1" t="s">
        <v>21</v>
      </c>
      <c r="K1" s="1" t="s">
        <v>22</v>
      </c>
      <c r="L1" s="1" t="s">
        <v>23</v>
      </c>
    </row>
    <row r="2" spans="1:12" ht="18" thickBot="1" x14ac:dyDescent="0.25">
      <c r="A2" s="1" t="s">
        <v>1</v>
      </c>
      <c r="B2" s="1" t="s">
        <v>12</v>
      </c>
      <c r="C2" s="1" t="s">
        <v>15</v>
      </c>
      <c r="D2" s="1" t="s">
        <v>15</v>
      </c>
      <c r="E2" s="1" t="s">
        <v>13</v>
      </c>
      <c r="F2" s="1" t="s">
        <v>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13</v>
      </c>
    </row>
    <row r="3" spans="1:12" ht="18" thickBot="1" x14ac:dyDescent="0.25">
      <c r="A3" s="1" t="s">
        <v>3</v>
      </c>
      <c r="B3" s="1" t="s">
        <v>5</v>
      </c>
      <c r="C3" s="1" t="s">
        <v>16</v>
      </c>
      <c r="D3" s="1" t="s">
        <v>7</v>
      </c>
      <c r="E3" s="1" t="s">
        <v>11</v>
      </c>
      <c r="F3" s="1" t="s">
        <v>10</v>
      </c>
      <c r="G3" s="1" t="s">
        <v>18</v>
      </c>
      <c r="H3" s="1" t="s">
        <v>20</v>
      </c>
      <c r="I3" s="1" t="s">
        <v>27</v>
      </c>
      <c r="J3" s="1" t="s">
        <v>24</v>
      </c>
      <c r="K3" s="1" t="s">
        <v>28</v>
      </c>
      <c r="L3" s="1" t="s">
        <v>29</v>
      </c>
    </row>
    <row r="4" spans="1:12" x14ac:dyDescent="0.2">
      <c r="A4">
        <v>11001</v>
      </c>
      <c r="B4" t="s">
        <v>547</v>
      </c>
      <c r="C4">
        <v>11001</v>
      </c>
      <c r="D4">
        <v>1</v>
      </c>
      <c r="E4">
        <v>10</v>
      </c>
      <c r="F4" t="s">
        <v>482</v>
      </c>
      <c r="G4">
        <v>100</v>
      </c>
      <c r="H4" t="s">
        <v>54</v>
      </c>
    </row>
    <row r="5" spans="1:12" x14ac:dyDescent="0.2">
      <c r="A5">
        <v>11002</v>
      </c>
      <c r="B5" t="s">
        <v>548</v>
      </c>
      <c r="C5">
        <v>11002</v>
      </c>
      <c r="D5">
        <v>1</v>
      </c>
      <c r="E5">
        <v>10</v>
      </c>
      <c r="F5" t="s">
        <v>482</v>
      </c>
      <c r="G5">
        <v>100</v>
      </c>
      <c r="H5" t="s">
        <v>54</v>
      </c>
    </row>
    <row r="6" spans="1:12" x14ac:dyDescent="0.2">
      <c r="A6">
        <v>11003</v>
      </c>
      <c r="B6" t="s">
        <v>549</v>
      </c>
      <c r="C6">
        <v>11003</v>
      </c>
      <c r="D6">
        <v>1</v>
      </c>
      <c r="E6">
        <f>E4+10</f>
        <v>20</v>
      </c>
      <c r="F6" t="s">
        <v>482</v>
      </c>
      <c r="G6">
        <v>100</v>
      </c>
      <c r="H6" t="s">
        <v>485</v>
      </c>
    </row>
    <row r="7" spans="1:12" x14ac:dyDescent="0.2">
      <c r="A7">
        <v>11004</v>
      </c>
      <c r="B7" t="s">
        <v>550</v>
      </c>
      <c r="C7">
        <v>11004</v>
      </c>
      <c r="D7">
        <v>1</v>
      </c>
      <c r="E7">
        <f t="shared" ref="E7:E23" si="0">E5+10</f>
        <v>20</v>
      </c>
      <c r="F7" t="s">
        <v>482</v>
      </c>
      <c r="G7">
        <v>100</v>
      </c>
      <c r="H7" t="s">
        <v>486</v>
      </c>
    </row>
    <row r="8" spans="1:12" x14ac:dyDescent="0.2">
      <c r="A8">
        <v>11005</v>
      </c>
      <c r="B8" t="s">
        <v>551</v>
      </c>
      <c r="C8">
        <v>11005</v>
      </c>
      <c r="D8">
        <v>1</v>
      </c>
      <c r="E8">
        <f t="shared" si="0"/>
        <v>30</v>
      </c>
      <c r="F8" t="s">
        <v>482</v>
      </c>
      <c r="G8">
        <v>100</v>
      </c>
      <c r="H8" t="s">
        <v>255</v>
      </c>
    </row>
    <row r="9" spans="1:12" x14ac:dyDescent="0.2">
      <c r="A9">
        <v>11006</v>
      </c>
      <c r="B9" t="s">
        <v>552</v>
      </c>
      <c r="C9">
        <v>11006</v>
      </c>
      <c r="D9">
        <v>1</v>
      </c>
      <c r="E9">
        <f t="shared" si="0"/>
        <v>30</v>
      </c>
      <c r="F9" t="s">
        <v>482</v>
      </c>
      <c r="G9">
        <v>100</v>
      </c>
      <c r="H9" t="s">
        <v>256</v>
      </c>
    </row>
    <row r="10" spans="1:12" x14ac:dyDescent="0.2">
      <c r="A10">
        <v>11007</v>
      </c>
      <c r="B10" t="s">
        <v>553</v>
      </c>
      <c r="C10">
        <v>11007</v>
      </c>
      <c r="D10">
        <v>1</v>
      </c>
      <c r="E10">
        <f t="shared" si="0"/>
        <v>40</v>
      </c>
      <c r="F10" t="s">
        <v>482</v>
      </c>
      <c r="G10">
        <v>100</v>
      </c>
      <c r="H10" t="s">
        <v>257</v>
      </c>
    </row>
    <row r="11" spans="1:12" x14ac:dyDescent="0.2">
      <c r="A11">
        <v>11008</v>
      </c>
      <c r="B11" t="s">
        <v>554</v>
      </c>
      <c r="C11">
        <v>11008</v>
      </c>
      <c r="D11">
        <v>1</v>
      </c>
      <c r="E11">
        <f t="shared" si="0"/>
        <v>40</v>
      </c>
      <c r="F11" t="s">
        <v>482</v>
      </c>
      <c r="G11">
        <v>100</v>
      </c>
      <c r="H11" t="s">
        <v>258</v>
      </c>
    </row>
    <row r="12" spans="1:12" x14ac:dyDescent="0.2">
      <c r="A12">
        <v>11009</v>
      </c>
      <c r="B12" t="s">
        <v>555</v>
      </c>
      <c r="C12">
        <v>11009</v>
      </c>
      <c r="D12">
        <v>1</v>
      </c>
      <c r="E12">
        <f t="shared" si="0"/>
        <v>50</v>
      </c>
      <c r="F12" t="s">
        <v>482</v>
      </c>
      <c r="G12">
        <v>100</v>
      </c>
      <c r="H12" t="s">
        <v>487</v>
      </c>
    </row>
    <row r="13" spans="1:12" x14ac:dyDescent="0.2">
      <c r="A13">
        <v>11010</v>
      </c>
      <c r="B13" t="s">
        <v>556</v>
      </c>
      <c r="C13">
        <v>11010</v>
      </c>
      <c r="D13">
        <v>1</v>
      </c>
      <c r="E13">
        <f t="shared" si="0"/>
        <v>50</v>
      </c>
      <c r="F13" t="s">
        <v>482</v>
      </c>
      <c r="G13">
        <v>100</v>
      </c>
      <c r="H13" t="s">
        <v>488</v>
      </c>
    </row>
    <row r="14" spans="1:12" x14ac:dyDescent="0.2">
      <c r="A14">
        <v>11011</v>
      </c>
      <c r="B14" t="s">
        <v>557</v>
      </c>
      <c r="C14">
        <v>11011</v>
      </c>
      <c r="D14">
        <v>1</v>
      </c>
      <c r="E14">
        <f t="shared" si="0"/>
        <v>60</v>
      </c>
      <c r="F14" t="s">
        <v>482</v>
      </c>
      <c r="G14">
        <v>100</v>
      </c>
      <c r="H14" t="s">
        <v>489</v>
      </c>
    </row>
    <row r="15" spans="1:12" x14ac:dyDescent="0.2">
      <c r="A15">
        <v>11012</v>
      </c>
      <c r="B15" t="s">
        <v>558</v>
      </c>
      <c r="C15">
        <v>11012</v>
      </c>
      <c r="D15">
        <v>1</v>
      </c>
      <c r="E15">
        <f t="shared" si="0"/>
        <v>60</v>
      </c>
      <c r="F15" t="s">
        <v>482</v>
      </c>
      <c r="G15">
        <v>100</v>
      </c>
      <c r="H15" t="s">
        <v>490</v>
      </c>
    </row>
    <row r="16" spans="1:12" x14ac:dyDescent="0.2">
      <c r="A16">
        <v>11013</v>
      </c>
      <c r="B16" t="s">
        <v>559</v>
      </c>
      <c r="C16">
        <v>11013</v>
      </c>
      <c r="D16">
        <v>1</v>
      </c>
      <c r="E16">
        <f t="shared" si="0"/>
        <v>70</v>
      </c>
      <c r="F16" t="s">
        <v>482</v>
      </c>
      <c r="G16">
        <v>100</v>
      </c>
      <c r="H16" t="s">
        <v>491</v>
      </c>
    </row>
    <row r="17" spans="1:8" x14ac:dyDescent="0.2">
      <c r="A17">
        <v>11014</v>
      </c>
      <c r="B17" t="s">
        <v>560</v>
      </c>
      <c r="C17">
        <v>11014</v>
      </c>
      <c r="D17">
        <v>1</v>
      </c>
      <c r="E17">
        <f t="shared" si="0"/>
        <v>70</v>
      </c>
      <c r="F17" t="s">
        <v>482</v>
      </c>
      <c r="G17">
        <v>100</v>
      </c>
      <c r="H17" t="s">
        <v>492</v>
      </c>
    </row>
    <row r="18" spans="1:8" x14ac:dyDescent="0.2">
      <c r="A18">
        <v>11015</v>
      </c>
      <c r="B18" t="s">
        <v>561</v>
      </c>
      <c r="C18">
        <v>11015</v>
      </c>
      <c r="D18">
        <v>1</v>
      </c>
      <c r="E18">
        <f t="shared" si="0"/>
        <v>80</v>
      </c>
      <c r="F18" t="s">
        <v>482</v>
      </c>
      <c r="G18">
        <v>100</v>
      </c>
      <c r="H18" t="s">
        <v>493</v>
      </c>
    </row>
    <row r="19" spans="1:8" x14ac:dyDescent="0.2">
      <c r="A19">
        <v>11016</v>
      </c>
      <c r="B19" t="s">
        <v>562</v>
      </c>
      <c r="C19">
        <v>11016</v>
      </c>
      <c r="D19">
        <v>1</v>
      </c>
      <c r="E19">
        <f t="shared" si="0"/>
        <v>80</v>
      </c>
      <c r="F19" t="s">
        <v>482</v>
      </c>
      <c r="G19">
        <v>100</v>
      </c>
      <c r="H19" t="s">
        <v>494</v>
      </c>
    </row>
    <row r="20" spans="1:8" x14ac:dyDescent="0.2">
      <c r="A20">
        <v>11017</v>
      </c>
      <c r="B20" t="s">
        <v>563</v>
      </c>
      <c r="C20">
        <v>11017</v>
      </c>
      <c r="D20">
        <v>1</v>
      </c>
      <c r="E20">
        <f t="shared" si="0"/>
        <v>90</v>
      </c>
      <c r="F20" t="s">
        <v>482</v>
      </c>
      <c r="G20">
        <v>100</v>
      </c>
      <c r="H20" t="s">
        <v>495</v>
      </c>
    </row>
    <row r="21" spans="1:8" x14ac:dyDescent="0.2">
      <c r="A21">
        <v>11018</v>
      </c>
      <c r="B21" t="s">
        <v>564</v>
      </c>
      <c r="C21">
        <v>11018</v>
      </c>
      <c r="D21">
        <v>1</v>
      </c>
      <c r="E21">
        <f t="shared" si="0"/>
        <v>90</v>
      </c>
      <c r="F21" t="s">
        <v>482</v>
      </c>
      <c r="G21">
        <v>100</v>
      </c>
      <c r="H21" t="s">
        <v>496</v>
      </c>
    </row>
    <row r="22" spans="1:8" x14ac:dyDescent="0.2">
      <c r="A22">
        <v>11019</v>
      </c>
      <c r="B22" t="s">
        <v>565</v>
      </c>
      <c r="C22">
        <v>11019</v>
      </c>
      <c r="D22">
        <v>1</v>
      </c>
      <c r="E22">
        <f t="shared" si="0"/>
        <v>100</v>
      </c>
      <c r="F22" t="s">
        <v>482</v>
      </c>
      <c r="G22">
        <v>100</v>
      </c>
      <c r="H22" t="s">
        <v>497</v>
      </c>
    </row>
    <row r="23" spans="1:8" x14ac:dyDescent="0.2">
      <c r="A23">
        <v>11020</v>
      </c>
      <c r="B23" t="s">
        <v>566</v>
      </c>
      <c r="C23">
        <v>11020</v>
      </c>
      <c r="D23">
        <v>1</v>
      </c>
      <c r="E23">
        <f t="shared" si="0"/>
        <v>100</v>
      </c>
      <c r="F23" t="s">
        <v>482</v>
      </c>
      <c r="G23">
        <v>100</v>
      </c>
      <c r="H23" t="s">
        <v>498</v>
      </c>
    </row>
    <row r="24" spans="1:8" x14ac:dyDescent="0.2">
      <c r="A24">
        <v>12001</v>
      </c>
      <c r="B24" t="s">
        <v>33</v>
      </c>
      <c r="C24">
        <v>11001</v>
      </c>
      <c r="D24">
        <v>2</v>
      </c>
      <c r="E24">
        <v>10</v>
      </c>
      <c r="F24" t="s">
        <v>483</v>
      </c>
      <c r="G24">
        <v>100</v>
      </c>
      <c r="H24" t="s">
        <v>54</v>
      </c>
    </row>
    <row r="25" spans="1:8" x14ac:dyDescent="0.2">
      <c r="A25">
        <v>12002</v>
      </c>
      <c r="B25" t="s">
        <v>34</v>
      </c>
      <c r="C25">
        <v>11002</v>
      </c>
      <c r="D25">
        <v>2</v>
      </c>
      <c r="E25">
        <v>10</v>
      </c>
      <c r="F25" t="s">
        <v>483</v>
      </c>
      <c r="G25">
        <v>100</v>
      </c>
      <c r="H25" t="s">
        <v>54</v>
      </c>
    </row>
    <row r="26" spans="1:8" x14ac:dyDescent="0.2">
      <c r="A26">
        <v>12003</v>
      </c>
      <c r="B26" t="s">
        <v>35</v>
      </c>
      <c r="C26">
        <v>11003</v>
      </c>
      <c r="D26">
        <v>2</v>
      </c>
      <c r="E26">
        <v>20</v>
      </c>
      <c r="F26" t="s">
        <v>483</v>
      </c>
      <c r="G26">
        <v>100</v>
      </c>
      <c r="H26" t="s">
        <v>31</v>
      </c>
    </row>
    <row r="27" spans="1:8" x14ac:dyDescent="0.2">
      <c r="A27">
        <v>12004</v>
      </c>
      <c r="B27" t="s">
        <v>36</v>
      </c>
      <c r="C27">
        <v>11004</v>
      </c>
      <c r="D27">
        <v>2</v>
      </c>
      <c r="E27">
        <v>20</v>
      </c>
      <c r="F27" t="s">
        <v>483</v>
      </c>
      <c r="G27">
        <v>100</v>
      </c>
      <c r="H27" t="s">
        <v>32</v>
      </c>
    </row>
    <row r="28" spans="1:8" x14ac:dyDescent="0.2">
      <c r="A28">
        <v>12005</v>
      </c>
      <c r="B28" t="s">
        <v>37</v>
      </c>
      <c r="C28">
        <v>11005</v>
      </c>
      <c r="D28">
        <v>2</v>
      </c>
      <c r="E28">
        <v>30</v>
      </c>
      <c r="F28" t="s">
        <v>483</v>
      </c>
      <c r="G28">
        <v>100</v>
      </c>
      <c r="H28" t="s">
        <v>499</v>
      </c>
    </row>
    <row r="29" spans="1:8" x14ac:dyDescent="0.2">
      <c r="A29">
        <v>12006</v>
      </c>
      <c r="B29" t="s">
        <v>38</v>
      </c>
      <c r="C29">
        <v>11006</v>
      </c>
      <c r="D29">
        <v>2</v>
      </c>
      <c r="E29">
        <v>30</v>
      </c>
      <c r="F29" t="s">
        <v>483</v>
      </c>
      <c r="G29">
        <v>100</v>
      </c>
      <c r="H29" t="s">
        <v>500</v>
      </c>
    </row>
    <row r="30" spans="1:8" x14ac:dyDescent="0.2">
      <c r="A30">
        <v>12007</v>
      </c>
      <c r="B30" t="s">
        <v>39</v>
      </c>
      <c r="C30">
        <v>11007</v>
      </c>
      <c r="D30">
        <v>2</v>
      </c>
      <c r="E30">
        <v>40</v>
      </c>
      <c r="F30" t="s">
        <v>483</v>
      </c>
      <c r="G30">
        <v>100</v>
      </c>
      <c r="H30" t="s">
        <v>501</v>
      </c>
    </row>
    <row r="31" spans="1:8" x14ac:dyDescent="0.2">
      <c r="A31">
        <v>12008</v>
      </c>
      <c r="B31" t="s">
        <v>40</v>
      </c>
      <c r="C31">
        <v>11008</v>
      </c>
      <c r="D31">
        <v>2</v>
      </c>
      <c r="E31">
        <v>40</v>
      </c>
      <c r="F31" t="s">
        <v>483</v>
      </c>
      <c r="G31">
        <v>100</v>
      </c>
      <c r="H31" t="s">
        <v>502</v>
      </c>
    </row>
    <row r="32" spans="1:8" x14ac:dyDescent="0.2">
      <c r="A32">
        <v>12009</v>
      </c>
      <c r="B32" t="s">
        <v>567</v>
      </c>
      <c r="C32">
        <v>11009</v>
      </c>
      <c r="D32">
        <v>2</v>
      </c>
      <c r="E32">
        <v>50</v>
      </c>
      <c r="F32" t="s">
        <v>483</v>
      </c>
      <c r="G32">
        <v>100</v>
      </c>
      <c r="H32" t="s">
        <v>503</v>
      </c>
    </row>
    <row r="33" spans="1:8" x14ac:dyDescent="0.2">
      <c r="A33">
        <v>12010</v>
      </c>
      <c r="B33" t="s">
        <v>42</v>
      </c>
      <c r="C33">
        <v>11010</v>
      </c>
      <c r="D33">
        <v>2</v>
      </c>
      <c r="E33">
        <v>50</v>
      </c>
      <c r="F33" t="s">
        <v>483</v>
      </c>
      <c r="G33">
        <v>100</v>
      </c>
      <c r="H33" t="s">
        <v>504</v>
      </c>
    </row>
    <row r="34" spans="1:8" x14ac:dyDescent="0.2">
      <c r="A34">
        <v>12011</v>
      </c>
      <c r="B34" t="s">
        <v>43</v>
      </c>
      <c r="C34">
        <v>11011</v>
      </c>
      <c r="D34">
        <v>2</v>
      </c>
      <c r="E34">
        <v>60</v>
      </c>
      <c r="F34" t="s">
        <v>483</v>
      </c>
      <c r="G34">
        <v>100</v>
      </c>
      <c r="H34" t="s">
        <v>281</v>
      </c>
    </row>
    <row r="35" spans="1:8" x14ac:dyDescent="0.2">
      <c r="A35">
        <v>12012</v>
      </c>
      <c r="B35" t="s">
        <v>44</v>
      </c>
      <c r="C35">
        <v>11012</v>
      </c>
      <c r="D35">
        <v>2</v>
      </c>
      <c r="E35">
        <v>60</v>
      </c>
      <c r="F35" t="s">
        <v>483</v>
      </c>
      <c r="G35">
        <v>100</v>
      </c>
      <c r="H35" t="s">
        <v>282</v>
      </c>
    </row>
    <row r="36" spans="1:8" x14ac:dyDescent="0.2">
      <c r="A36">
        <v>12013</v>
      </c>
      <c r="B36" t="s">
        <v>45</v>
      </c>
      <c r="C36">
        <v>11013</v>
      </c>
      <c r="D36">
        <v>2</v>
      </c>
      <c r="E36">
        <v>70</v>
      </c>
      <c r="F36" t="s">
        <v>483</v>
      </c>
      <c r="G36">
        <v>100</v>
      </c>
      <c r="H36" t="s">
        <v>505</v>
      </c>
    </row>
    <row r="37" spans="1:8" x14ac:dyDescent="0.2">
      <c r="A37">
        <v>12014</v>
      </c>
      <c r="B37" t="s">
        <v>46</v>
      </c>
      <c r="C37">
        <v>11014</v>
      </c>
      <c r="D37">
        <v>2</v>
      </c>
      <c r="E37">
        <v>70</v>
      </c>
      <c r="F37" t="s">
        <v>483</v>
      </c>
      <c r="G37">
        <v>100</v>
      </c>
      <c r="H37" t="s">
        <v>506</v>
      </c>
    </row>
    <row r="38" spans="1:8" x14ac:dyDescent="0.2">
      <c r="A38">
        <v>12015</v>
      </c>
      <c r="B38" t="s">
        <v>47</v>
      </c>
      <c r="C38">
        <v>11015</v>
      </c>
      <c r="D38">
        <v>2</v>
      </c>
      <c r="E38">
        <v>80</v>
      </c>
      <c r="F38" t="s">
        <v>483</v>
      </c>
      <c r="G38">
        <v>100</v>
      </c>
      <c r="H38" t="s">
        <v>507</v>
      </c>
    </row>
    <row r="39" spans="1:8" x14ac:dyDescent="0.2">
      <c r="A39">
        <v>12016</v>
      </c>
      <c r="B39" t="s">
        <v>48</v>
      </c>
      <c r="C39">
        <v>11016</v>
      </c>
      <c r="D39">
        <v>2</v>
      </c>
      <c r="E39">
        <v>80</v>
      </c>
      <c r="F39" t="s">
        <v>483</v>
      </c>
      <c r="G39">
        <v>100</v>
      </c>
      <c r="H39" t="s">
        <v>508</v>
      </c>
    </row>
    <row r="40" spans="1:8" x14ac:dyDescent="0.2">
      <c r="A40">
        <v>12017</v>
      </c>
      <c r="B40" t="s">
        <v>49</v>
      </c>
      <c r="C40">
        <v>11017</v>
      </c>
      <c r="D40">
        <v>2</v>
      </c>
      <c r="E40">
        <v>90</v>
      </c>
      <c r="F40" t="s">
        <v>483</v>
      </c>
      <c r="G40">
        <v>100</v>
      </c>
      <c r="H40" t="s">
        <v>509</v>
      </c>
    </row>
    <row r="41" spans="1:8" x14ac:dyDescent="0.2">
      <c r="A41">
        <v>12018</v>
      </c>
      <c r="B41" t="s">
        <v>50</v>
      </c>
      <c r="C41">
        <v>11018</v>
      </c>
      <c r="D41">
        <v>2</v>
      </c>
      <c r="E41">
        <v>90</v>
      </c>
      <c r="F41" t="s">
        <v>483</v>
      </c>
      <c r="G41">
        <v>100</v>
      </c>
      <c r="H41" t="s">
        <v>510</v>
      </c>
    </row>
    <row r="42" spans="1:8" x14ac:dyDescent="0.2">
      <c r="A42">
        <v>12019</v>
      </c>
      <c r="B42" t="s">
        <v>568</v>
      </c>
      <c r="C42">
        <v>11019</v>
      </c>
      <c r="D42">
        <v>2</v>
      </c>
      <c r="E42">
        <v>100</v>
      </c>
      <c r="F42" t="s">
        <v>483</v>
      </c>
      <c r="G42">
        <v>100</v>
      </c>
      <c r="H42" t="s">
        <v>511</v>
      </c>
    </row>
    <row r="43" spans="1:8" x14ac:dyDescent="0.2">
      <c r="A43">
        <v>12020</v>
      </c>
      <c r="B43" t="s">
        <v>52</v>
      </c>
      <c r="C43">
        <v>11020</v>
      </c>
      <c r="D43">
        <v>2</v>
      </c>
      <c r="E43">
        <v>100</v>
      </c>
      <c r="F43" t="s">
        <v>483</v>
      </c>
      <c r="G43">
        <v>100</v>
      </c>
      <c r="H43" t="s">
        <v>512</v>
      </c>
    </row>
    <row r="44" spans="1:8" x14ac:dyDescent="0.2">
      <c r="A44">
        <v>13001</v>
      </c>
      <c r="B44" t="s">
        <v>64</v>
      </c>
      <c r="C44">
        <v>11001</v>
      </c>
      <c r="D44">
        <v>3</v>
      </c>
      <c r="E44">
        <v>10</v>
      </c>
      <c r="F44" t="s">
        <v>484</v>
      </c>
      <c r="G44">
        <v>100</v>
      </c>
      <c r="H44" t="s">
        <v>54</v>
      </c>
    </row>
    <row r="45" spans="1:8" x14ac:dyDescent="0.2">
      <c r="A45">
        <v>13002</v>
      </c>
      <c r="B45" t="s">
        <v>65</v>
      </c>
      <c r="C45">
        <v>11002</v>
      </c>
      <c r="D45">
        <v>3</v>
      </c>
      <c r="E45">
        <v>10</v>
      </c>
      <c r="F45" t="s">
        <v>484</v>
      </c>
      <c r="G45">
        <v>100</v>
      </c>
      <c r="H45" t="s">
        <v>54</v>
      </c>
    </row>
    <row r="46" spans="1:8" x14ac:dyDescent="0.2">
      <c r="A46">
        <v>13003</v>
      </c>
      <c r="B46" t="s">
        <v>66</v>
      </c>
      <c r="C46">
        <v>11003</v>
      </c>
      <c r="D46">
        <v>3</v>
      </c>
      <c r="E46">
        <v>20</v>
      </c>
      <c r="F46" t="s">
        <v>484</v>
      </c>
      <c r="G46">
        <v>100</v>
      </c>
      <c r="H46" t="s">
        <v>86</v>
      </c>
    </row>
    <row r="47" spans="1:8" x14ac:dyDescent="0.2">
      <c r="A47">
        <v>13004</v>
      </c>
      <c r="B47" t="s">
        <v>67</v>
      </c>
      <c r="C47">
        <v>11004</v>
      </c>
      <c r="D47">
        <v>3</v>
      </c>
      <c r="E47">
        <v>20</v>
      </c>
      <c r="F47" t="s">
        <v>484</v>
      </c>
      <c r="G47">
        <v>100</v>
      </c>
      <c r="H47" t="s">
        <v>87</v>
      </c>
    </row>
    <row r="48" spans="1:8" x14ac:dyDescent="0.2">
      <c r="A48">
        <v>13005</v>
      </c>
      <c r="B48" t="s">
        <v>68</v>
      </c>
      <c r="C48">
        <v>11005</v>
      </c>
      <c r="D48">
        <v>3</v>
      </c>
      <c r="E48">
        <v>30</v>
      </c>
      <c r="F48" t="s">
        <v>484</v>
      </c>
      <c r="G48">
        <v>100</v>
      </c>
      <c r="H48" t="s">
        <v>295</v>
      </c>
    </row>
    <row r="49" spans="1:12" x14ac:dyDescent="0.2">
      <c r="A49">
        <v>13006</v>
      </c>
      <c r="B49" t="s">
        <v>69</v>
      </c>
      <c r="C49">
        <v>11006</v>
      </c>
      <c r="D49">
        <v>3</v>
      </c>
      <c r="E49">
        <v>30</v>
      </c>
      <c r="F49" t="s">
        <v>484</v>
      </c>
      <c r="G49">
        <v>100</v>
      </c>
      <c r="H49" t="s">
        <v>296</v>
      </c>
    </row>
    <row r="50" spans="1:12" x14ac:dyDescent="0.2">
      <c r="A50">
        <v>13007</v>
      </c>
      <c r="B50" t="s">
        <v>70</v>
      </c>
      <c r="C50">
        <v>11007</v>
      </c>
      <c r="D50">
        <v>3</v>
      </c>
      <c r="E50">
        <v>40</v>
      </c>
      <c r="F50" t="s">
        <v>484</v>
      </c>
      <c r="G50">
        <v>100</v>
      </c>
      <c r="H50" t="s">
        <v>297</v>
      </c>
    </row>
    <row r="51" spans="1:12" x14ac:dyDescent="0.2">
      <c r="A51">
        <v>13008</v>
      </c>
      <c r="B51" t="s">
        <v>71</v>
      </c>
      <c r="C51">
        <v>11008</v>
      </c>
      <c r="D51">
        <v>3</v>
      </c>
      <c r="E51">
        <v>40</v>
      </c>
      <c r="F51" t="s">
        <v>484</v>
      </c>
      <c r="G51">
        <v>100</v>
      </c>
      <c r="H51" t="s">
        <v>298</v>
      </c>
    </row>
    <row r="52" spans="1:12" x14ac:dyDescent="0.2">
      <c r="A52">
        <v>13009</v>
      </c>
      <c r="B52" t="s">
        <v>72</v>
      </c>
      <c r="C52">
        <v>11009</v>
      </c>
      <c r="D52">
        <v>3</v>
      </c>
      <c r="E52">
        <v>50</v>
      </c>
      <c r="F52" t="s">
        <v>484</v>
      </c>
      <c r="G52">
        <v>100</v>
      </c>
      <c r="H52" t="s">
        <v>513</v>
      </c>
    </row>
    <row r="53" spans="1:12" x14ac:dyDescent="0.2">
      <c r="A53">
        <v>13010</v>
      </c>
      <c r="B53" t="s">
        <v>73</v>
      </c>
      <c r="C53">
        <v>11010</v>
      </c>
      <c r="D53">
        <v>3</v>
      </c>
      <c r="E53">
        <v>50</v>
      </c>
      <c r="F53" t="s">
        <v>484</v>
      </c>
      <c r="G53">
        <v>100</v>
      </c>
      <c r="H53" t="s">
        <v>514</v>
      </c>
    </row>
    <row r="54" spans="1:12" x14ac:dyDescent="0.2">
      <c r="A54">
        <v>13011</v>
      </c>
      <c r="B54" t="s">
        <v>74</v>
      </c>
      <c r="C54">
        <v>11011</v>
      </c>
      <c r="D54">
        <v>3</v>
      </c>
      <c r="E54">
        <v>60</v>
      </c>
      <c r="F54" t="s">
        <v>484</v>
      </c>
      <c r="G54">
        <v>100</v>
      </c>
      <c r="H54" t="s">
        <v>515</v>
      </c>
    </row>
    <row r="55" spans="1:12" x14ac:dyDescent="0.2">
      <c r="A55">
        <v>13012</v>
      </c>
      <c r="B55" t="s">
        <v>75</v>
      </c>
      <c r="C55">
        <v>11012</v>
      </c>
      <c r="D55">
        <v>3</v>
      </c>
      <c r="E55">
        <v>60</v>
      </c>
      <c r="F55" t="s">
        <v>484</v>
      </c>
      <c r="G55">
        <v>100</v>
      </c>
      <c r="H55" t="s">
        <v>516</v>
      </c>
    </row>
    <row r="56" spans="1:12" x14ac:dyDescent="0.2">
      <c r="A56">
        <v>13013</v>
      </c>
      <c r="B56" t="s">
        <v>76</v>
      </c>
      <c r="C56">
        <v>11013</v>
      </c>
      <c r="D56">
        <v>3</v>
      </c>
      <c r="E56">
        <v>70</v>
      </c>
      <c r="F56" t="s">
        <v>484</v>
      </c>
      <c r="G56">
        <v>100</v>
      </c>
      <c r="H56" t="s">
        <v>517</v>
      </c>
    </row>
    <row r="57" spans="1:12" x14ac:dyDescent="0.2">
      <c r="A57">
        <v>13014</v>
      </c>
      <c r="B57" t="s">
        <v>77</v>
      </c>
      <c r="C57">
        <v>11014</v>
      </c>
      <c r="D57">
        <v>3</v>
      </c>
      <c r="E57">
        <v>70</v>
      </c>
      <c r="F57" t="s">
        <v>484</v>
      </c>
      <c r="G57">
        <v>100</v>
      </c>
      <c r="H57" t="s">
        <v>518</v>
      </c>
    </row>
    <row r="58" spans="1:12" x14ac:dyDescent="0.2">
      <c r="A58">
        <v>13015</v>
      </c>
      <c r="B58" t="s">
        <v>78</v>
      </c>
      <c r="C58">
        <v>11015</v>
      </c>
      <c r="D58">
        <v>3</v>
      </c>
      <c r="E58">
        <v>80</v>
      </c>
      <c r="F58" t="s">
        <v>484</v>
      </c>
      <c r="G58">
        <v>100</v>
      </c>
      <c r="H58" t="s">
        <v>519</v>
      </c>
    </row>
    <row r="59" spans="1:12" x14ac:dyDescent="0.2">
      <c r="A59">
        <v>13016</v>
      </c>
      <c r="B59" t="s">
        <v>79</v>
      </c>
      <c r="C59">
        <v>11016</v>
      </c>
      <c r="D59">
        <v>3</v>
      </c>
      <c r="E59">
        <v>80</v>
      </c>
      <c r="F59" t="s">
        <v>484</v>
      </c>
      <c r="G59">
        <v>100</v>
      </c>
      <c r="H59" t="s">
        <v>520</v>
      </c>
    </row>
    <row r="60" spans="1:12" x14ac:dyDescent="0.2">
      <c r="A60">
        <v>13017</v>
      </c>
      <c r="B60" t="s">
        <v>80</v>
      </c>
      <c r="C60">
        <v>11017</v>
      </c>
      <c r="D60">
        <v>3</v>
      </c>
      <c r="E60">
        <v>90</v>
      </c>
      <c r="F60" t="s">
        <v>484</v>
      </c>
      <c r="G60">
        <v>100</v>
      </c>
      <c r="H60" t="s">
        <v>521</v>
      </c>
    </row>
    <row r="61" spans="1:12" x14ac:dyDescent="0.2">
      <c r="A61">
        <v>13018</v>
      </c>
      <c r="B61" t="s">
        <v>81</v>
      </c>
      <c r="C61">
        <v>11018</v>
      </c>
      <c r="D61">
        <v>3</v>
      </c>
      <c r="E61">
        <v>90</v>
      </c>
      <c r="F61" t="s">
        <v>484</v>
      </c>
      <c r="G61">
        <v>100</v>
      </c>
      <c r="H61" t="s">
        <v>522</v>
      </c>
    </row>
    <row r="62" spans="1:12" x14ac:dyDescent="0.2">
      <c r="A62">
        <v>13019</v>
      </c>
      <c r="B62" t="s">
        <v>82</v>
      </c>
      <c r="C62">
        <v>11019</v>
      </c>
      <c r="D62">
        <v>3</v>
      </c>
      <c r="E62">
        <v>100</v>
      </c>
      <c r="F62" t="s">
        <v>484</v>
      </c>
      <c r="G62">
        <v>100</v>
      </c>
      <c r="H62" t="s">
        <v>523</v>
      </c>
    </row>
    <row r="63" spans="1:12" x14ac:dyDescent="0.2">
      <c r="A63">
        <v>13020</v>
      </c>
      <c r="B63" t="s">
        <v>83</v>
      </c>
      <c r="C63">
        <v>11020</v>
      </c>
      <c r="D63">
        <v>3</v>
      </c>
      <c r="E63">
        <v>100</v>
      </c>
      <c r="F63" t="s">
        <v>484</v>
      </c>
      <c r="G63">
        <v>100</v>
      </c>
      <c r="H63" t="s">
        <v>524</v>
      </c>
    </row>
    <row r="64" spans="1:12" x14ac:dyDescent="0.2">
      <c r="A64">
        <v>14001</v>
      </c>
      <c r="B64" t="s">
        <v>569</v>
      </c>
      <c r="C64">
        <v>14001</v>
      </c>
      <c r="D64">
        <v>4</v>
      </c>
      <c r="E64">
        <v>1</v>
      </c>
      <c r="F64" t="s">
        <v>223</v>
      </c>
      <c r="G64">
        <v>100950</v>
      </c>
      <c r="H64" t="s">
        <v>97</v>
      </c>
      <c r="I64">
        <v>0</v>
      </c>
      <c r="J64" t="s">
        <v>527</v>
      </c>
      <c r="K64">
        <v>30</v>
      </c>
      <c r="L64">
        <v>1</v>
      </c>
    </row>
    <row r="65" spans="1:12" x14ac:dyDescent="0.2">
      <c r="A65">
        <v>14002</v>
      </c>
      <c r="B65" t="s">
        <v>570</v>
      </c>
      <c r="C65">
        <v>14002</v>
      </c>
      <c r="D65">
        <v>4</v>
      </c>
      <c r="E65">
        <v>1</v>
      </c>
      <c r="F65" t="s">
        <v>223</v>
      </c>
      <c r="G65">
        <v>202050</v>
      </c>
      <c r="H65" t="s">
        <v>99</v>
      </c>
      <c r="I65">
        <v>30</v>
      </c>
      <c r="J65" t="s">
        <v>528</v>
      </c>
      <c r="K65">
        <v>60</v>
      </c>
      <c r="L65">
        <v>2</v>
      </c>
    </row>
    <row r="66" spans="1:12" x14ac:dyDescent="0.2">
      <c r="A66">
        <v>14003</v>
      </c>
      <c r="B66" t="s">
        <v>571</v>
      </c>
      <c r="C66">
        <v>14003</v>
      </c>
      <c r="D66">
        <v>4</v>
      </c>
      <c r="E66">
        <v>1</v>
      </c>
      <c r="F66" t="s">
        <v>223</v>
      </c>
      <c r="G66">
        <v>318150</v>
      </c>
      <c r="H66" t="s">
        <v>102</v>
      </c>
      <c r="I66">
        <v>100</v>
      </c>
      <c r="J66" t="s">
        <v>529</v>
      </c>
      <c r="K66">
        <v>120</v>
      </c>
      <c r="L66">
        <v>3</v>
      </c>
    </row>
    <row r="67" spans="1:12" x14ac:dyDescent="0.2">
      <c r="A67">
        <v>14004</v>
      </c>
      <c r="B67" t="s">
        <v>572</v>
      </c>
      <c r="C67">
        <v>14004</v>
      </c>
      <c r="D67">
        <v>4</v>
      </c>
      <c r="E67">
        <v>1</v>
      </c>
      <c r="F67" t="s">
        <v>223</v>
      </c>
      <c r="G67">
        <v>424200</v>
      </c>
      <c r="H67" t="s">
        <v>105</v>
      </c>
      <c r="I67">
        <v>150</v>
      </c>
      <c r="J67" t="s">
        <v>530</v>
      </c>
      <c r="K67">
        <v>160</v>
      </c>
      <c r="L67">
        <v>4</v>
      </c>
    </row>
    <row r="68" spans="1:12" x14ac:dyDescent="0.2">
      <c r="A68">
        <v>14005</v>
      </c>
      <c r="B68" t="s">
        <v>573</v>
      </c>
      <c r="C68">
        <v>14005</v>
      </c>
      <c r="D68">
        <v>4</v>
      </c>
      <c r="E68">
        <v>1</v>
      </c>
      <c r="F68" t="s">
        <v>223</v>
      </c>
      <c r="G68">
        <v>532800</v>
      </c>
      <c r="H68" t="s">
        <v>108</v>
      </c>
      <c r="I68">
        <v>200</v>
      </c>
      <c r="J68" t="s">
        <v>531</v>
      </c>
      <c r="K68">
        <v>205</v>
      </c>
      <c r="L68">
        <v>5</v>
      </c>
    </row>
    <row r="69" spans="1:12" x14ac:dyDescent="0.2">
      <c r="A69">
        <v>14006</v>
      </c>
      <c r="B69" t="s">
        <v>574</v>
      </c>
      <c r="C69">
        <v>14006</v>
      </c>
      <c r="D69">
        <v>4</v>
      </c>
      <c r="E69">
        <v>1</v>
      </c>
      <c r="F69" t="s">
        <v>223</v>
      </c>
      <c r="G69">
        <v>641400</v>
      </c>
      <c r="H69" t="s">
        <v>111</v>
      </c>
      <c r="I69">
        <v>250</v>
      </c>
      <c r="J69" t="s">
        <v>532</v>
      </c>
      <c r="K69">
        <v>250</v>
      </c>
      <c r="L69">
        <v>6</v>
      </c>
    </row>
    <row r="70" spans="1:12" x14ac:dyDescent="0.2">
      <c r="A70">
        <v>14007</v>
      </c>
      <c r="B70" t="s">
        <v>575</v>
      </c>
      <c r="C70">
        <v>14007</v>
      </c>
      <c r="D70">
        <v>4</v>
      </c>
      <c r="E70">
        <v>1</v>
      </c>
      <c r="F70" t="s">
        <v>223</v>
      </c>
      <c r="G70">
        <v>750000</v>
      </c>
      <c r="H70" t="s">
        <v>114</v>
      </c>
      <c r="I70">
        <v>300</v>
      </c>
      <c r="J70" t="s">
        <v>533</v>
      </c>
      <c r="K70">
        <v>295</v>
      </c>
      <c r="L70">
        <v>7</v>
      </c>
    </row>
    <row r="71" spans="1:12" x14ac:dyDescent="0.2">
      <c r="A71">
        <v>14008</v>
      </c>
      <c r="B71" t="s">
        <v>576</v>
      </c>
      <c r="C71">
        <v>14008</v>
      </c>
      <c r="D71">
        <v>4</v>
      </c>
      <c r="E71">
        <v>1</v>
      </c>
      <c r="F71" t="s">
        <v>223</v>
      </c>
      <c r="G71">
        <v>858600</v>
      </c>
      <c r="H71" t="s">
        <v>117</v>
      </c>
      <c r="I71">
        <v>360</v>
      </c>
      <c r="J71" t="s">
        <v>534</v>
      </c>
      <c r="K71">
        <v>340</v>
      </c>
      <c r="L71">
        <v>8</v>
      </c>
    </row>
    <row r="72" spans="1:12" x14ac:dyDescent="0.2">
      <c r="A72">
        <v>14009</v>
      </c>
      <c r="B72" t="s">
        <v>577</v>
      </c>
      <c r="C72">
        <v>14009</v>
      </c>
      <c r="D72">
        <v>4</v>
      </c>
      <c r="E72">
        <v>1</v>
      </c>
      <c r="F72" t="s">
        <v>223</v>
      </c>
      <c r="G72">
        <v>967200</v>
      </c>
      <c r="H72" t="s">
        <v>120</v>
      </c>
      <c r="I72">
        <v>400</v>
      </c>
      <c r="J72" t="s">
        <v>535</v>
      </c>
      <c r="K72">
        <v>385</v>
      </c>
      <c r="L72">
        <v>9</v>
      </c>
    </row>
    <row r="73" spans="1:12" x14ac:dyDescent="0.2">
      <c r="A73">
        <v>14010</v>
      </c>
      <c r="B73" t="s">
        <v>578</v>
      </c>
      <c r="C73">
        <v>14010</v>
      </c>
      <c r="D73">
        <v>4</v>
      </c>
      <c r="E73">
        <v>1</v>
      </c>
      <c r="F73" t="s">
        <v>223</v>
      </c>
      <c r="G73">
        <v>1075800</v>
      </c>
      <c r="H73" t="s">
        <v>123</v>
      </c>
      <c r="I73">
        <v>450</v>
      </c>
      <c r="J73" t="s">
        <v>536</v>
      </c>
      <c r="K73">
        <v>430</v>
      </c>
      <c r="L73">
        <v>10</v>
      </c>
    </row>
    <row r="74" spans="1:12" x14ac:dyDescent="0.2">
      <c r="A74">
        <v>14030</v>
      </c>
      <c r="B74" t="s">
        <v>125</v>
      </c>
      <c r="C74">
        <v>14030</v>
      </c>
      <c r="D74">
        <v>4</v>
      </c>
      <c r="E74">
        <v>2</v>
      </c>
      <c r="F74" t="s">
        <v>224</v>
      </c>
      <c r="G74">
        <v>17800</v>
      </c>
      <c r="H74" t="s">
        <v>30</v>
      </c>
      <c r="I74">
        <v>0</v>
      </c>
      <c r="J74" t="s">
        <v>527</v>
      </c>
      <c r="K74">
        <v>18</v>
      </c>
      <c r="L74">
        <v>1</v>
      </c>
    </row>
    <row r="75" spans="1:12" x14ac:dyDescent="0.2">
      <c r="A75">
        <v>14031</v>
      </c>
      <c r="B75" t="s">
        <v>127</v>
      </c>
      <c r="C75">
        <v>14031</v>
      </c>
      <c r="D75">
        <v>4</v>
      </c>
      <c r="E75">
        <v>2</v>
      </c>
      <c r="F75" t="s">
        <v>224</v>
      </c>
      <c r="G75">
        <v>17800</v>
      </c>
      <c r="H75" t="s">
        <v>30</v>
      </c>
      <c r="I75">
        <v>0</v>
      </c>
      <c r="J75" t="s">
        <v>527</v>
      </c>
      <c r="K75">
        <v>18</v>
      </c>
      <c r="L75">
        <v>2</v>
      </c>
    </row>
    <row r="76" spans="1:12" x14ac:dyDescent="0.2">
      <c r="A76">
        <v>14032</v>
      </c>
      <c r="B76" t="s">
        <v>579</v>
      </c>
      <c r="C76">
        <v>14032</v>
      </c>
      <c r="D76">
        <v>4</v>
      </c>
      <c r="E76">
        <v>2</v>
      </c>
      <c r="F76" t="s">
        <v>224</v>
      </c>
      <c r="G76">
        <v>17800</v>
      </c>
      <c r="H76" t="s">
        <v>30</v>
      </c>
      <c r="I76">
        <v>0</v>
      </c>
      <c r="J76" t="s">
        <v>527</v>
      </c>
      <c r="K76">
        <v>18</v>
      </c>
      <c r="L76">
        <v>3</v>
      </c>
    </row>
    <row r="77" spans="1:12" x14ac:dyDescent="0.2">
      <c r="A77">
        <v>14033</v>
      </c>
      <c r="B77" t="s">
        <v>130</v>
      </c>
      <c r="C77">
        <v>14033</v>
      </c>
      <c r="D77">
        <v>4</v>
      </c>
      <c r="E77">
        <v>2</v>
      </c>
      <c r="F77" t="s">
        <v>224</v>
      </c>
      <c r="G77">
        <v>17800</v>
      </c>
      <c r="H77" t="s">
        <v>30</v>
      </c>
      <c r="I77">
        <v>0</v>
      </c>
      <c r="J77" t="s">
        <v>527</v>
      </c>
      <c r="K77">
        <v>18</v>
      </c>
      <c r="L77">
        <v>4</v>
      </c>
    </row>
    <row r="78" spans="1:12" x14ac:dyDescent="0.2">
      <c r="A78">
        <v>14034</v>
      </c>
      <c r="B78" t="s">
        <v>580</v>
      </c>
      <c r="C78">
        <v>14034</v>
      </c>
      <c r="D78">
        <v>4</v>
      </c>
      <c r="E78">
        <v>2</v>
      </c>
      <c r="F78" t="s">
        <v>224</v>
      </c>
      <c r="G78">
        <v>36200</v>
      </c>
      <c r="H78" t="s">
        <v>142</v>
      </c>
      <c r="I78">
        <v>30</v>
      </c>
      <c r="J78" t="s">
        <v>528</v>
      </c>
      <c r="K78">
        <v>36</v>
      </c>
      <c r="L78">
        <v>5</v>
      </c>
    </row>
    <row r="79" spans="1:12" x14ac:dyDescent="0.2">
      <c r="A79">
        <v>14035</v>
      </c>
      <c r="B79" t="s">
        <v>581</v>
      </c>
      <c r="C79">
        <v>14035</v>
      </c>
      <c r="D79">
        <v>4</v>
      </c>
      <c r="E79">
        <v>2</v>
      </c>
      <c r="F79" t="s">
        <v>224</v>
      </c>
      <c r="G79">
        <v>36200</v>
      </c>
      <c r="H79" t="s">
        <v>144</v>
      </c>
      <c r="I79">
        <v>30</v>
      </c>
      <c r="J79" t="s">
        <v>528</v>
      </c>
      <c r="K79">
        <v>36</v>
      </c>
      <c r="L79">
        <v>6</v>
      </c>
    </row>
    <row r="80" spans="1:12" x14ac:dyDescent="0.2">
      <c r="A80">
        <v>14036</v>
      </c>
      <c r="B80" t="s">
        <v>582</v>
      </c>
      <c r="C80">
        <v>14036</v>
      </c>
      <c r="D80">
        <v>4</v>
      </c>
      <c r="E80">
        <v>2</v>
      </c>
      <c r="F80" t="s">
        <v>224</v>
      </c>
      <c r="G80">
        <v>36200</v>
      </c>
      <c r="H80" t="s">
        <v>146</v>
      </c>
      <c r="I80">
        <v>30</v>
      </c>
      <c r="J80" t="s">
        <v>528</v>
      </c>
      <c r="K80">
        <v>36</v>
      </c>
      <c r="L80">
        <v>7</v>
      </c>
    </row>
    <row r="81" spans="1:12" x14ac:dyDescent="0.2">
      <c r="A81">
        <v>14037</v>
      </c>
      <c r="B81" t="s">
        <v>583</v>
      </c>
      <c r="C81">
        <v>14037</v>
      </c>
      <c r="D81">
        <v>4</v>
      </c>
      <c r="E81">
        <v>2</v>
      </c>
      <c r="F81" t="s">
        <v>224</v>
      </c>
      <c r="G81">
        <v>36200</v>
      </c>
      <c r="H81" t="s">
        <v>148</v>
      </c>
      <c r="I81">
        <v>30</v>
      </c>
      <c r="J81" t="s">
        <v>528</v>
      </c>
      <c r="K81">
        <v>36</v>
      </c>
      <c r="L81">
        <v>8</v>
      </c>
    </row>
    <row r="82" spans="1:12" x14ac:dyDescent="0.2">
      <c r="A82">
        <v>14038</v>
      </c>
      <c r="B82" t="s">
        <v>584</v>
      </c>
      <c r="C82">
        <v>14038</v>
      </c>
      <c r="D82">
        <v>4</v>
      </c>
      <c r="E82">
        <v>2</v>
      </c>
      <c r="F82" t="s">
        <v>224</v>
      </c>
      <c r="G82">
        <v>44100</v>
      </c>
      <c r="H82" t="s">
        <v>150</v>
      </c>
      <c r="I82">
        <v>100</v>
      </c>
      <c r="J82" t="s">
        <v>529</v>
      </c>
      <c r="K82">
        <v>46</v>
      </c>
      <c r="L82">
        <v>9</v>
      </c>
    </row>
    <row r="83" spans="1:12" x14ac:dyDescent="0.2">
      <c r="A83">
        <v>14039</v>
      </c>
      <c r="B83" t="s">
        <v>585</v>
      </c>
      <c r="C83">
        <v>14039</v>
      </c>
      <c r="D83">
        <v>4</v>
      </c>
      <c r="E83">
        <v>2</v>
      </c>
      <c r="F83" t="s">
        <v>224</v>
      </c>
      <c r="G83">
        <v>44100</v>
      </c>
      <c r="H83" t="s">
        <v>321</v>
      </c>
      <c r="I83">
        <v>100</v>
      </c>
      <c r="J83" t="s">
        <v>529</v>
      </c>
      <c r="K83">
        <v>46</v>
      </c>
      <c r="L83">
        <v>10</v>
      </c>
    </row>
    <row r="84" spans="1:12" x14ac:dyDescent="0.2">
      <c r="A84">
        <v>14040</v>
      </c>
      <c r="B84" t="s">
        <v>586</v>
      </c>
      <c r="C84">
        <v>14040</v>
      </c>
      <c r="D84">
        <v>4</v>
      </c>
      <c r="E84">
        <v>2</v>
      </c>
      <c r="F84" t="s">
        <v>224</v>
      </c>
      <c r="G84">
        <v>44100</v>
      </c>
      <c r="H84" t="s">
        <v>323</v>
      </c>
      <c r="I84">
        <v>100</v>
      </c>
      <c r="J84" t="s">
        <v>529</v>
      </c>
      <c r="K84">
        <v>46</v>
      </c>
      <c r="L84">
        <v>11</v>
      </c>
    </row>
    <row r="85" spans="1:12" x14ac:dyDescent="0.2">
      <c r="A85">
        <v>14041</v>
      </c>
      <c r="B85" t="s">
        <v>137</v>
      </c>
      <c r="C85">
        <v>14041</v>
      </c>
      <c r="D85">
        <v>4</v>
      </c>
      <c r="E85">
        <v>2</v>
      </c>
      <c r="F85" t="s">
        <v>224</v>
      </c>
      <c r="G85">
        <v>44100</v>
      </c>
      <c r="H85" t="s">
        <v>325</v>
      </c>
      <c r="I85">
        <v>100</v>
      </c>
      <c r="J85" t="s">
        <v>529</v>
      </c>
      <c r="K85">
        <v>46</v>
      </c>
      <c r="L85">
        <v>12</v>
      </c>
    </row>
    <row r="86" spans="1:12" x14ac:dyDescent="0.2">
      <c r="A86">
        <v>14042</v>
      </c>
      <c r="B86" t="s">
        <v>587</v>
      </c>
      <c r="C86">
        <v>14042</v>
      </c>
      <c r="D86">
        <v>4</v>
      </c>
      <c r="E86">
        <v>2</v>
      </c>
      <c r="F86" t="s">
        <v>224</v>
      </c>
      <c r="G86">
        <v>54800</v>
      </c>
      <c r="H86" t="s">
        <v>327</v>
      </c>
      <c r="I86">
        <v>150</v>
      </c>
      <c r="J86" t="s">
        <v>530</v>
      </c>
      <c r="K86">
        <v>56</v>
      </c>
      <c r="L86">
        <v>13</v>
      </c>
    </row>
    <row r="87" spans="1:12" x14ac:dyDescent="0.2">
      <c r="A87">
        <v>14043</v>
      </c>
      <c r="B87" t="s">
        <v>139</v>
      </c>
      <c r="C87">
        <v>14043</v>
      </c>
      <c r="D87">
        <v>4</v>
      </c>
      <c r="E87">
        <v>2</v>
      </c>
      <c r="F87" t="s">
        <v>224</v>
      </c>
      <c r="G87">
        <v>54800</v>
      </c>
      <c r="H87" t="s">
        <v>329</v>
      </c>
      <c r="I87">
        <v>150</v>
      </c>
      <c r="J87" t="s">
        <v>530</v>
      </c>
      <c r="K87">
        <v>56</v>
      </c>
      <c r="L87">
        <v>14</v>
      </c>
    </row>
    <row r="88" spans="1:12" x14ac:dyDescent="0.2">
      <c r="A88">
        <v>14044</v>
      </c>
      <c r="B88" t="s">
        <v>588</v>
      </c>
      <c r="C88">
        <v>14044</v>
      </c>
      <c r="D88">
        <v>4</v>
      </c>
      <c r="E88">
        <v>2</v>
      </c>
      <c r="F88" t="s">
        <v>224</v>
      </c>
      <c r="G88">
        <v>54800</v>
      </c>
      <c r="H88" t="s">
        <v>331</v>
      </c>
      <c r="I88">
        <v>150</v>
      </c>
      <c r="J88" t="s">
        <v>530</v>
      </c>
      <c r="K88">
        <v>56</v>
      </c>
      <c r="L88">
        <v>15</v>
      </c>
    </row>
    <row r="89" spans="1:12" x14ac:dyDescent="0.2">
      <c r="A89">
        <v>14045</v>
      </c>
      <c r="B89" t="s">
        <v>141</v>
      </c>
      <c r="C89">
        <v>14045</v>
      </c>
      <c r="D89">
        <v>4</v>
      </c>
      <c r="E89">
        <v>2</v>
      </c>
      <c r="F89" t="s">
        <v>224</v>
      </c>
      <c r="G89">
        <v>54800</v>
      </c>
      <c r="H89" t="s">
        <v>333</v>
      </c>
      <c r="I89">
        <v>150</v>
      </c>
      <c r="J89" t="s">
        <v>530</v>
      </c>
      <c r="K89">
        <v>56</v>
      </c>
      <c r="L89">
        <v>16</v>
      </c>
    </row>
    <row r="90" spans="1:12" x14ac:dyDescent="0.2">
      <c r="A90">
        <v>14046</v>
      </c>
      <c r="B90" t="s">
        <v>589</v>
      </c>
      <c r="C90">
        <v>14046</v>
      </c>
      <c r="D90">
        <v>4</v>
      </c>
      <c r="E90">
        <v>2</v>
      </c>
      <c r="F90" t="s">
        <v>224</v>
      </c>
      <c r="G90">
        <v>71200</v>
      </c>
      <c r="H90" t="s">
        <v>335</v>
      </c>
      <c r="I90">
        <v>200</v>
      </c>
      <c r="J90" t="s">
        <v>531</v>
      </c>
      <c r="K90">
        <v>68</v>
      </c>
      <c r="L90">
        <v>17</v>
      </c>
    </row>
    <row r="91" spans="1:12" x14ac:dyDescent="0.2">
      <c r="A91">
        <v>14047</v>
      </c>
      <c r="B91" t="s">
        <v>145</v>
      </c>
      <c r="C91">
        <v>14047</v>
      </c>
      <c r="D91">
        <v>4</v>
      </c>
      <c r="E91">
        <v>2</v>
      </c>
      <c r="F91" t="s">
        <v>224</v>
      </c>
      <c r="G91">
        <v>71200</v>
      </c>
      <c r="H91" t="s">
        <v>337</v>
      </c>
      <c r="I91">
        <v>200</v>
      </c>
      <c r="J91" t="s">
        <v>531</v>
      </c>
      <c r="K91">
        <v>68</v>
      </c>
      <c r="L91">
        <v>18</v>
      </c>
    </row>
    <row r="92" spans="1:12" x14ac:dyDescent="0.2">
      <c r="A92">
        <v>14048</v>
      </c>
      <c r="B92" t="s">
        <v>147</v>
      </c>
      <c r="C92">
        <v>14048</v>
      </c>
      <c r="D92">
        <v>4</v>
      </c>
      <c r="E92">
        <v>2</v>
      </c>
      <c r="F92" t="s">
        <v>224</v>
      </c>
      <c r="G92">
        <v>71200</v>
      </c>
      <c r="H92" t="s">
        <v>339</v>
      </c>
      <c r="I92">
        <v>200</v>
      </c>
      <c r="J92" t="s">
        <v>531</v>
      </c>
      <c r="K92">
        <v>68</v>
      </c>
      <c r="L92">
        <v>19</v>
      </c>
    </row>
    <row r="93" spans="1:12" x14ac:dyDescent="0.2">
      <c r="A93">
        <v>14049</v>
      </c>
      <c r="B93" t="s">
        <v>590</v>
      </c>
      <c r="C93">
        <v>14049</v>
      </c>
      <c r="D93">
        <v>4</v>
      </c>
      <c r="E93">
        <v>2</v>
      </c>
      <c r="F93" t="s">
        <v>224</v>
      </c>
      <c r="G93">
        <v>71200</v>
      </c>
      <c r="H93" t="s">
        <v>341</v>
      </c>
      <c r="I93">
        <v>200</v>
      </c>
      <c r="J93" t="s">
        <v>531</v>
      </c>
      <c r="K93">
        <v>68</v>
      </c>
      <c r="L93">
        <v>20</v>
      </c>
    </row>
    <row r="94" spans="1:12" x14ac:dyDescent="0.2">
      <c r="A94">
        <v>14050</v>
      </c>
      <c r="B94" t="s">
        <v>591</v>
      </c>
      <c r="C94">
        <v>14050</v>
      </c>
      <c r="D94">
        <v>4</v>
      </c>
      <c r="E94">
        <v>2</v>
      </c>
      <c r="F94" t="s">
        <v>224</v>
      </c>
      <c r="G94">
        <v>86200</v>
      </c>
      <c r="H94" t="s">
        <v>163</v>
      </c>
      <c r="I94">
        <v>250</v>
      </c>
      <c r="J94" t="s">
        <v>532</v>
      </c>
      <c r="K94">
        <v>83</v>
      </c>
      <c r="L94">
        <v>21</v>
      </c>
    </row>
    <row r="95" spans="1:12" x14ac:dyDescent="0.2">
      <c r="A95">
        <v>14051</v>
      </c>
      <c r="B95" t="s">
        <v>152</v>
      </c>
      <c r="C95">
        <v>14051</v>
      </c>
      <c r="D95">
        <v>4</v>
      </c>
      <c r="E95">
        <v>2</v>
      </c>
      <c r="F95" t="s">
        <v>224</v>
      </c>
      <c r="G95">
        <v>86200</v>
      </c>
      <c r="H95" t="s">
        <v>344</v>
      </c>
      <c r="I95">
        <v>250</v>
      </c>
      <c r="J95" t="s">
        <v>532</v>
      </c>
      <c r="K95">
        <v>83</v>
      </c>
      <c r="L95">
        <v>22</v>
      </c>
    </row>
    <row r="96" spans="1:12" x14ac:dyDescent="0.2">
      <c r="A96">
        <v>14052</v>
      </c>
      <c r="B96" t="s">
        <v>592</v>
      </c>
      <c r="C96">
        <v>14052</v>
      </c>
      <c r="D96">
        <v>4</v>
      </c>
      <c r="E96">
        <v>2</v>
      </c>
      <c r="F96" t="s">
        <v>224</v>
      </c>
      <c r="G96">
        <v>86200</v>
      </c>
      <c r="H96" t="s">
        <v>346</v>
      </c>
      <c r="I96">
        <v>250</v>
      </c>
      <c r="J96" t="s">
        <v>532</v>
      </c>
      <c r="K96">
        <v>83</v>
      </c>
      <c r="L96">
        <v>23</v>
      </c>
    </row>
    <row r="97" spans="1:12" x14ac:dyDescent="0.2">
      <c r="A97">
        <v>14053</v>
      </c>
      <c r="B97" t="s">
        <v>154</v>
      </c>
      <c r="C97">
        <v>14053</v>
      </c>
      <c r="D97">
        <v>4</v>
      </c>
      <c r="E97">
        <v>2</v>
      </c>
      <c r="F97" t="s">
        <v>224</v>
      </c>
      <c r="G97">
        <v>86200</v>
      </c>
      <c r="H97" t="s">
        <v>348</v>
      </c>
      <c r="I97">
        <v>250</v>
      </c>
      <c r="J97" t="s">
        <v>532</v>
      </c>
      <c r="K97">
        <v>83</v>
      </c>
      <c r="L97">
        <v>24</v>
      </c>
    </row>
    <row r="98" spans="1:12" x14ac:dyDescent="0.2">
      <c r="A98">
        <v>14054</v>
      </c>
      <c r="B98" t="s">
        <v>593</v>
      </c>
      <c r="C98">
        <v>14054</v>
      </c>
      <c r="D98">
        <v>4</v>
      </c>
      <c r="E98">
        <v>2</v>
      </c>
      <c r="F98" t="s">
        <v>224</v>
      </c>
      <c r="G98">
        <v>109800</v>
      </c>
      <c r="H98" t="s">
        <v>350</v>
      </c>
      <c r="I98">
        <v>300</v>
      </c>
      <c r="J98" t="s">
        <v>533</v>
      </c>
      <c r="K98">
        <v>99</v>
      </c>
      <c r="L98">
        <v>25</v>
      </c>
    </row>
    <row r="99" spans="1:12" x14ac:dyDescent="0.2">
      <c r="A99">
        <v>14055</v>
      </c>
      <c r="B99" t="s">
        <v>156</v>
      </c>
      <c r="C99">
        <v>14055</v>
      </c>
      <c r="D99">
        <v>4</v>
      </c>
      <c r="E99">
        <v>2</v>
      </c>
      <c r="F99" t="s">
        <v>224</v>
      </c>
      <c r="G99">
        <v>109800</v>
      </c>
      <c r="H99" t="s">
        <v>352</v>
      </c>
      <c r="I99">
        <v>300</v>
      </c>
      <c r="J99" t="s">
        <v>533</v>
      </c>
      <c r="K99">
        <v>99</v>
      </c>
      <c r="L99">
        <v>26</v>
      </c>
    </row>
    <row r="100" spans="1:12" x14ac:dyDescent="0.2">
      <c r="A100">
        <v>14056</v>
      </c>
      <c r="B100" t="s">
        <v>157</v>
      </c>
      <c r="C100">
        <v>14056</v>
      </c>
      <c r="D100">
        <v>4</v>
      </c>
      <c r="E100">
        <v>2</v>
      </c>
      <c r="F100" t="s">
        <v>224</v>
      </c>
      <c r="G100">
        <v>109800</v>
      </c>
      <c r="H100" t="s">
        <v>354</v>
      </c>
      <c r="I100">
        <v>300</v>
      </c>
      <c r="J100" t="s">
        <v>533</v>
      </c>
      <c r="K100">
        <v>99</v>
      </c>
      <c r="L100">
        <v>27</v>
      </c>
    </row>
    <row r="101" spans="1:12" x14ac:dyDescent="0.2">
      <c r="A101">
        <v>14057</v>
      </c>
      <c r="B101" t="s">
        <v>158</v>
      </c>
      <c r="C101">
        <v>14057</v>
      </c>
      <c r="D101">
        <v>4</v>
      </c>
      <c r="E101">
        <v>2</v>
      </c>
      <c r="F101" t="s">
        <v>224</v>
      </c>
      <c r="G101">
        <v>109800</v>
      </c>
      <c r="H101" t="s">
        <v>356</v>
      </c>
      <c r="I101">
        <v>300</v>
      </c>
      <c r="J101" t="s">
        <v>533</v>
      </c>
      <c r="K101">
        <v>99</v>
      </c>
      <c r="L101">
        <v>28</v>
      </c>
    </row>
    <row r="102" spans="1:12" x14ac:dyDescent="0.2">
      <c r="A102">
        <v>14058</v>
      </c>
      <c r="B102" t="s">
        <v>594</v>
      </c>
      <c r="C102">
        <v>14058</v>
      </c>
      <c r="D102">
        <v>4</v>
      </c>
      <c r="E102">
        <v>2</v>
      </c>
      <c r="F102" t="s">
        <v>224</v>
      </c>
      <c r="G102">
        <v>131500</v>
      </c>
      <c r="H102" t="s">
        <v>358</v>
      </c>
      <c r="I102">
        <v>360</v>
      </c>
      <c r="J102" t="s">
        <v>534</v>
      </c>
      <c r="K102">
        <v>119</v>
      </c>
      <c r="L102">
        <v>29</v>
      </c>
    </row>
    <row r="103" spans="1:12" x14ac:dyDescent="0.2">
      <c r="A103">
        <v>14059</v>
      </c>
      <c r="B103" t="s">
        <v>160</v>
      </c>
      <c r="C103">
        <v>14059</v>
      </c>
      <c r="D103">
        <v>4</v>
      </c>
      <c r="E103">
        <v>2</v>
      </c>
      <c r="F103" t="s">
        <v>224</v>
      </c>
      <c r="G103">
        <v>131500</v>
      </c>
      <c r="H103" t="s">
        <v>360</v>
      </c>
      <c r="I103">
        <v>360</v>
      </c>
      <c r="J103" t="s">
        <v>534</v>
      </c>
      <c r="K103">
        <v>119</v>
      </c>
      <c r="L103">
        <v>30</v>
      </c>
    </row>
    <row r="104" spans="1:12" x14ac:dyDescent="0.2">
      <c r="A104">
        <v>14060</v>
      </c>
      <c r="B104" t="s">
        <v>161</v>
      </c>
      <c r="C104">
        <v>14060</v>
      </c>
      <c r="D104">
        <v>4</v>
      </c>
      <c r="E104">
        <v>2</v>
      </c>
      <c r="F104" t="s">
        <v>224</v>
      </c>
      <c r="G104">
        <v>131500</v>
      </c>
      <c r="H104" t="s">
        <v>362</v>
      </c>
      <c r="I104">
        <v>360</v>
      </c>
      <c r="J104" t="s">
        <v>534</v>
      </c>
      <c r="K104">
        <v>119</v>
      </c>
      <c r="L104">
        <v>31</v>
      </c>
    </row>
    <row r="105" spans="1:12" x14ac:dyDescent="0.2">
      <c r="A105">
        <v>14061</v>
      </c>
      <c r="B105" t="s">
        <v>595</v>
      </c>
      <c r="C105">
        <v>14061</v>
      </c>
      <c r="D105">
        <v>4</v>
      </c>
      <c r="E105">
        <v>2</v>
      </c>
      <c r="F105" t="s">
        <v>224</v>
      </c>
      <c r="G105">
        <v>131500</v>
      </c>
      <c r="H105" t="s">
        <v>364</v>
      </c>
      <c r="I105">
        <v>360</v>
      </c>
      <c r="J105" t="s">
        <v>534</v>
      </c>
      <c r="K105">
        <v>119</v>
      </c>
      <c r="L105">
        <v>32</v>
      </c>
    </row>
    <row r="106" spans="1:12" x14ac:dyDescent="0.2">
      <c r="A106">
        <v>14062</v>
      </c>
      <c r="B106" t="s">
        <v>596</v>
      </c>
      <c r="C106">
        <v>14062</v>
      </c>
      <c r="D106">
        <v>4</v>
      </c>
      <c r="E106">
        <v>2</v>
      </c>
      <c r="F106" t="s">
        <v>224</v>
      </c>
      <c r="G106">
        <v>165700</v>
      </c>
      <c r="H106" t="s">
        <v>366</v>
      </c>
      <c r="I106">
        <v>400</v>
      </c>
      <c r="J106" t="s">
        <v>535</v>
      </c>
      <c r="K106">
        <v>142</v>
      </c>
      <c r="L106">
        <v>33</v>
      </c>
    </row>
    <row r="107" spans="1:12" x14ac:dyDescent="0.2">
      <c r="A107">
        <v>14063</v>
      </c>
      <c r="B107" t="s">
        <v>165</v>
      </c>
      <c r="C107">
        <v>14063</v>
      </c>
      <c r="D107">
        <v>4</v>
      </c>
      <c r="E107">
        <v>2</v>
      </c>
      <c r="F107" t="s">
        <v>224</v>
      </c>
      <c r="G107">
        <v>165700</v>
      </c>
      <c r="H107" t="s">
        <v>368</v>
      </c>
      <c r="I107">
        <v>400</v>
      </c>
      <c r="J107" t="s">
        <v>535</v>
      </c>
      <c r="K107">
        <v>142</v>
      </c>
      <c r="L107">
        <v>34</v>
      </c>
    </row>
    <row r="108" spans="1:12" x14ac:dyDescent="0.2">
      <c r="A108">
        <v>14064</v>
      </c>
      <c r="B108" t="s">
        <v>597</v>
      </c>
      <c r="C108">
        <v>14064</v>
      </c>
      <c r="D108">
        <v>4</v>
      </c>
      <c r="E108">
        <v>2</v>
      </c>
      <c r="F108" t="s">
        <v>224</v>
      </c>
      <c r="G108">
        <v>165700</v>
      </c>
      <c r="H108" t="s">
        <v>370</v>
      </c>
      <c r="I108">
        <v>400</v>
      </c>
      <c r="J108" t="s">
        <v>535</v>
      </c>
      <c r="K108">
        <v>142</v>
      </c>
      <c r="L108">
        <v>35</v>
      </c>
    </row>
    <row r="109" spans="1:12" x14ac:dyDescent="0.2">
      <c r="A109">
        <v>14065</v>
      </c>
      <c r="B109" t="s">
        <v>598</v>
      </c>
      <c r="C109">
        <v>14065</v>
      </c>
      <c r="D109">
        <v>4</v>
      </c>
      <c r="E109">
        <v>2</v>
      </c>
      <c r="F109" t="s">
        <v>224</v>
      </c>
      <c r="G109">
        <v>165700</v>
      </c>
      <c r="H109" t="s">
        <v>372</v>
      </c>
      <c r="I109">
        <v>400</v>
      </c>
      <c r="J109" t="s">
        <v>535</v>
      </c>
      <c r="K109">
        <v>142</v>
      </c>
      <c r="L109">
        <v>36</v>
      </c>
    </row>
    <row r="110" spans="1:12" x14ac:dyDescent="0.2">
      <c r="A110">
        <v>14066</v>
      </c>
      <c r="B110" t="s">
        <v>168</v>
      </c>
      <c r="C110">
        <v>14066</v>
      </c>
      <c r="D110">
        <v>4</v>
      </c>
      <c r="E110">
        <v>2</v>
      </c>
      <c r="F110" t="s">
        <v>224</v>
      </c>
      <c r="G110">
        <v>197400</v>
      </c>
      <c r="H110" t="s">
        <v>374</v>
      </c>
      <c r="I110">
        <v>450</v>
      </c>
      <c r="J110" t="s">
        <v>536</v>
      </c>
      <c r="K110">
        <v>169</v>
      </c>
      <c r="L110">
        <v>37</v>
      </c>
    </row>
    <row r="111" spans="1:12" x14ac:dyDescent="0.2">
      <c r="A111">
        <v>14067</v>
      </c>
      <c r="B111" t="s">
        <v>599</v>
      </c>
      <c r="C111">
        <v>14067</v>
      </c>
      <c r="D111">
        <v>4</v>
      </c>
      <c r="E111">
        <v>2</v>
      </c>
      <c r="F111" t="s">
        <v>224</v>
      </c>
      <c r="G111">
        <v>197400</v>
      </c>
      <c r="H111" t="s">
        <v>376</v>
      </c>
      <c r="I111">
        <v>450</v>
      </c>
      <c r="J111" t="s">
        <v>536</v>
      </c>
      <c r="K111">
        <v>169</v>
      </c>
      <c r="L111">
        <v>38</v>
      </c>
    </row>
    <row r="112" spans="1:12" x14ac:dyDescent="0.2">
      <c r="A112">
        <v>14068</v>
      </c>
      <c r="B112" t="s">
        <v>600</v>
      </c>
      <c r="C112">
        <v>14068</v>
      </c>
      <c r="D112">
        <v>4</v>
      </c>
      <c r="E112">
        <v>2</v>
      </c>
      <c r="F112" t="s">
        <v>224</v>
      </c>
      <c r="G112">
        <v>197400</v>
      </c>
      <c r="H112" t="s">
        <v>378</v>
      </c>
      <c r="I112">
        <v>450</v>
      </c>
      <c r="J112" t="s">
        <v>536</v>
      </c>
      <c r="K112">
        <v>169</v>
      </c>
      <c r="L112">
        <v>39</v>
      </c>
    </row>
    <row r="113" spans="1:12" x14ac:dyDescent="0.2">
      <c r="A113">
        <v>14069</v>
      </c>
      <c r="B113" t="s">
        <v>601</v>
      </c>
      <c r="C113">
        <v>14069</v>
      </c>
      <c r="D113">
        <v>4</v>
      </c>
      <c r="E113">
        <v>2</v>
      </c>
      <c r="F113" t="s">
        <v>224</v>
      </c>
      <c r="G113">
        <v>197400</v>
      </c>
      <c r="H113" t="s">
        <v>380</v>
      </c>
      <c r="I113">
        <v>450</v>
      </c>
      <c r="J113" t="s">
        <v>536</v>
      </c>
      <c r="K113">
        <v>169</v>
      </c>
      <c r="L113">
        <v>40</v>
      </c>
    </row>
    <row r="114" spans="1:12" x14ac:dyDescent="0.2">
      <c r="A114">
        <v>14070</v>
      </c>
      <c r="B114" t="s">
        <v>602</v>
      </c>
      <c r="C114">
        <v>14070</v>
      </c>
      <c r="D114">
        <v>4</v>
      </c>
      <c r="E114">
        <v>2</v>
      </c>
      <c r="F114" t="s">
        <v>224</v>
      </c>
      <c r="G114">
        <v>247100</v>
      </c>
      <c r="H114" t="s">
        <v>382</v>
      </c>
      <c r="I114">
        <v>500</v>
      </c>
      <c r="J114" t="s">
        <v>537</v>
      </c>
      <c r="K114">
        <v>201</v>
      </c>
      <c r="L114">
        <v>41</v>
      </c>
    </row>
    <row r="115" spans="1:12" x14ac:dyDescent="0.2">
      <c r="A115">
        <v>14071</v>
      </c>
      <c r="B115" t="s">
        <v>603</v>
      </c>
      <c r="C115">
        <v>14071</v>
      </c>
      <c r="D115">
        <v>4</v>
      </c>
      <c r="E115">
        <v>2</v>
      </c>
      <c r="F115" t="s">
        <v>224</v>
      </c>
      <c r="G115">
        <v>247100</v>
      </c>
      <c r="H115" t="s">
        <v>384</v>
      </c>
      <c r="I115">
        <v>500</v>
      </c>
      <c r="J115" t="s">
        <v>537</v>
      </c>
      <c r="K115">
        <v>201</v>
      </c>
      <c r="L115">
        <v>42</v>
      </c>
    </row>
    <row r="116" spans="1:12" x14ac:dyDescent="0.2">
      <c r="A116">
        <v>14072</v>
      </c>
      <c r="B116" t="s">
        <v>174</v>
      </c>
      <c r="C116">
        <v>14072</v>
      </c>
      <c r="D116">
        <v>4</v>
      </c>
      <c r="E116">
        <v>2</v>
      </c>
      <c r="F116" t="s">
        <v>224</v>
      </c>
      <c r="G116">
        <v>247100</v>
      </c>
      <c r="H116" t="s">
        <v>386</v>
      </c>
      <c r="I116">
        <v>500</v>
      </c>
      <c r="J116" t="s">
        <v>537</v>
      </c>
      <c r="K116">
        <v>201</v>
      </c>
      <c r="L116">
        <v>43</v>
      </c>
    </row>
    <row r="117" spans="1:12" x14ac:dyDescent="0.2">
      <c r="A117">
        <v>14073</v>
      </c>
      <c r="B117" t="s">
        <v>175</v>
      </c>
      <c r="C117">
        <v>14073</v>
      </c>
      <c r="D117">
        <v>4</v>
      </c>
      <c r="E117">
        <v>2</v>
      </c>
      <c r="F117" t="s">
        <v>224</v>
      </c>
      <c r="G117">
        <v>247100</v>
      </c>
      <c r="H117" t="s">
        <v>388</v>
      </c>
      <c r="I117">
        <v>500</v>
      </c>
      <c r="J117" t="s">
        <v>537</v>
      </c>
      <c r="K117">
        <v>201</v>
      </c>
      <c r="L117">
        <v>44</v>
      </c>
    </row>
    <row r="118" spans="1:12" x14ac:dyDescent="0.2">
      <c r="A118">
        <v>14074</v>
      </c>
      <c r="B118" t="s">
        <v>176</v>
      </c>
      <c r="C118">
        <v>14074</v>
      </c>
      <c r="D118">
        <v>4</v>
      </c>
      <c r="E118">
        <v>2</v>
      </c>
      <c r="F118" t="s">
        <v>224</v>
      </c>
      <c r="G118">
        <v>293700</v>
      </c>
      <c r="H118" t="s">
        <v>390</v>
      </c>
      <c r="I118">
        <v>530</v>
      </c>
      <c r="J118" t="s">
        <v>538</v>
      </c>
      <c r="K118">
        <v>239</v>
      </c>
      <c r="L118">
        <v>45</v>
      </c>
    </row>
    <row r="119" spans="1:12" x14ac:dyDescent="0.2">
      <c r="A119">
        <v>14075</v>
      </c>
      <c r="B119" t="s">
        <v>604</v>
      </c>
      <c r="C119">
        <v>14075</v>
      </c>
      <c r="D119">
        <v>4</v>
      </c>
      <c r="E119">
        <v>2</v>
      </c>
      <c r="F119" t="s">
        <v>224</v>
      </c>
      <c r="G119">
        <v>293700</v>
      </c>
      <c r="H119" t="s">
        <v>392</v>
      </c>
      <c r="I119">
        <v>530</v>
      </c>
      <c r="J119" t="s">
        <v>538</v>
      </c>
      <c r="K119">
        <v>239</v>
      </c>
      <c r="L119">
        <v>46</v>
      </c>
    </row>
    <row r="120" spans="1:12" x14ac:dyDescent="0.2">
      <c r="A120">
        <v>14076</v>
      </c>
      <c r="B120" t="s">
        <v>605</v>
      </c>
      <c r="C120">
        <v>14076</v>
      </c>
      <c r="D120">
        <v>4</v>
      </c>
      <c r="E120">
        <v>2</v>
      </c>
      <c r="F120" t="s">
        <v>224</v>
      </c>
      <c r="G120">
        <v>293700</v>
      </c>
      <c r="H120" t="s">
        <v>394</v>
      </c>
      <c r="I120">
        <v>530</v>
      </c>
      <c r="J120" t="s">
        <v>538</v>
      </c>
      <c r="K120">
        <v>239</v>
      </c>
      <c r="L120">
        <v>47</v>
      </c>
    </row>
    <row r="121" spans="1:12" x14ac:dyDescent="0.2">
      <c r="A121">
        <v>14077</v>
      </c>
      <c r="B121" t="s">
        <v>606</v>
      </c>
      <c r="C121">
        <v>14077</v>
      </c>
      <c r="D121">
        <v>4</v>
      </c>
      <c r="E121">
        <v>2</v>
      </c>
      <c r="F121" t="s">
        <v>224</v>
      </c>
      <c r="G121">
        <v>293700</v>
      </c>
      <c r="H121" t="s">
        <v>396</v>
      </c>
      <c r="I121">
        <v>530</v>
      </c>
      <c r="J121" t="s">
        <v>538</v>
      </c>
      <c r="K121">
        <v>239</v>
      </c>
      <c r="L121">
        <v>48</v>
      </c>
    </row>
    <row r="122" spans="1:12" x14ac:dyDescent="0.2">
      <c r="A122">
        <v>14078</v>
      </c>
      <c r="B122" t="s">
        <v>180</v>
      </c>
      <c r="C122">
        <v>14078</v>
      </c>
      <c r="D122">
        <v>4</v>
      </c>
      <c r="E122">
        <v>2</v>
      </c>
      <c r="F122" t="s">
        <v>224</v>
      </c>
      <c r="G122">
        <v>366500</v>
      </c>
      <c r="H122" t="s">
        <v>398</v>
      </c>
      <c r="I122">
        <v>600</v>
      </c>
      <c r="J122" t="s">
        <v>539</v>
      </c>
      <c r="K122">
        <v>284</v>
      </c>
      <c r="L122">
        <v>49</v>
      </c>
    </row>
    <row r="123" spans="1:12" x14ac:dyDescent="0.2">
      <c r="A123">
        <v>14079</v>
      </c>
      <c r="B123" t="s">
        <v>181</v>
      </c>
      <c r="C123">
        <v>14079</v>
      </c>
      <c r="D123">
        <v>4</v>
      </c>
      <c r="E123">
        <v>2</v>
      </c>
      <c r="F123" t="s">
        <v>224</v>
      </c>
      <c r="G123">
        <v>366500</v>
      </c>
      <c r="H123" t="s">
        <v>400</v>
      </c>
      <c r="I123">
        <v>600</v>
      </c>
      <c r="J123" t="s">
        <v>539</v>
      </c>
      <c r="K123">
        <v>284</v>
      </c>
      <c r="L123">
        <v>50</v>
      </c>
    </row>
    <row r="124" spans="1:12" x14ac:dyDescent="0.2">
      <c r="A124">
        <v>14080</v>
      </c>
      <c r="B124" t="s">
        <v>182</v>
      </c>
      <c r="C124">
        <v>14080</v>
      </c>
      <c r="D124">
        <v>4</v>
      </c>
      <c r="E124">
        <v>2</v>
      </c>
      <c r="F124" t="s">
        <v>224</v>
      </c>
      <c r="G124">
        <v>366500</v>
      </c>
      <c r="H124" t="s">
        <v>402</v>
      </c>
      <c r="I124">
        <v>600</v>
      </c>
      <c r="J124" t="s">
        <v>539</v>
      </c>
      <c r="K124">
        <v>284</v>
      </c>
      <c r="L124">
        <v>51</v>
      </c>
    </row>
    <row r="125" spans="1:12" x14ac:dyDescent="0.2">
      <c r="A125">
        <v>14081</v>
      </c>
      <c r="B125" t="s">
        <v>607</v>
      </c>
      <c r="C125">
        <v>14081</v>
      </c>
      <c r="D125">
        <v>4</v>
      </c>
      <c r="E125">
        <v>2</v>
      </c>
      <c r="F125" t="s">
        <v>224</v>
      </c>
      <c r="G125">
        <v>366500</v>
      </c>
      <c r="H125" t="s">
        <v>404</v>
      </c>
      <c r="I125">
        <v>600</v>
      </c>
      <c r="J125" t="s">
        <v>539</v>
      </c>
      <c r="K125">
        <v>284</v>
      </c>
      <c r="L125">
        <v>52</v>
      </c>
    </row>
    <row r="126" spans="1:12" x14ac:dyDescent="0.2">
      <c r="A126">
        <v>14082</v>
      </c>
      <c r="B126" t="s">
        <v>184</v>
      </c>
      <c r="C126">
        <v>14082</v>
      </c>
      <c r="D126">
        <v>4</v>
      </c>
      <c r="E126">
        <v>2</v>
      </c>
      <c r="F126" t="s">
        <v>224</v>
      </c>
      <c r="G126">
        <v>435400</v>
      </c>
      <c r="H126" t="s">
        <v>406</v>
      </c>
      <c r="I126">
        <v>650</v>
      </c>
      <c r="J126" t="s">
        <v>540</v>
      </c>
      <c r="K126">
        <v>337</v>
      </c>
      <c r="L126">
        <v>53</v>
      </c>
    </row>
    <row r="127" spans="1:12" x14ac:dyDescent="0.2">
      <c r="A127">
        <v>14083</v>
      </c>
      <c r="B127" t="s">
        <v>185</v>
      </c>
      <c r="C127">
        <v>14083</v>
      </c>
      <c r="D127">
        <v>4</v>
      </c>
      <c r="E127">
        <v>2</v>
      </c>
      <c r="F127" t="s">
        <v>224</v>
      </c>
      <c r="G127">
        <v>435400</v>
      </c>
      <c r="H127" t="s">
        <v>408</v>
      </c>
      <c r="I127">
        <v>650</v>
      </c>
      <c r="J127" t="s">
        <v>540</v>
      </c>
      <c r="K127">
        <v>337</v>
      </c>
      <c r="L127">
        <v>54</v>
      </c>
    </row>
    <row r="128" spans="1:12" x14ac:dyDescent="0.2">
      <c r="A128">
        <v>14084</v>
      </c>
      <c r="B128" t="s">
        <v>608</v>
      </c>
      <c r="C128">
        <v>14084</v>
      </c>
      <c r="D128">
        <v>4</v>
      </c>
      <c r="E128">
        <v>2</v>
      </c>
      <c r="F128" t="s">
        <v>224</v>
      </c>
      <c r="G128">
        <v>435400</v>
      </c>
      <c r="H128" t="s">
        <v>410</v>
      </c>
      <c r="I128">
        <v>650</v>
      </c>
      <c r="J128" t="s">
        <v>540</v>
      </c>
      <c r="K128">
        <v>337</v>
      </c>
      <c r="L128">
        <v>55</v>
      </c>
    </row>
    <row r="129" spans="1:12" x14ac:dyDescent="0.2">
      <c r="A129">
        <v>14085</v>
      </c>
      <c r="B129" t="s">
        <v>187</v>
      </c>
      <c r="C129">
        <v>14085</v>
      </c>
      <c r="D129">
        <v>4</v>
      </c>
      <c r="E129">
        <v>2</v>
      </c>
      <c r="F129" t="s">
        <v>224</v>
      </c>
      <c r="G129">
        <v>435400</v>
      </c>
      <c r="H129" t="s">
        <v>412</v>
      </c>
      <c r="I129">
        <v>650</v>
      </c>
      <c r="J129" t="s">
        <v>540</v>
      </c>
      <c r="K129">
        <v>337</v>
      </c>
      <c r="L129">
        <v>56</v>
      </c>
    </row>
    <row r="130" spans="1:12" x14ac:dyDescent="0.2">
      <c r="A130">
        <v>14086</v>
      </c>
      <c r="B130" t="s">
        <v>188</v>
      </c>
      <c r="C130">
        <v>14086</v>
      </c>
      <c r="D130">
        <v>4</v>
      </c>
      <c r="E130">
        <v>2</v>
      </c>
      <c r="F130" t="s">
        <v>224</v>
      </c>
      <c r="G130">
        <v>542200</v>
      </c>
      <c r="H130" t="s">
        <v>414</v>
      </c>
      <c r="I130">
        <v>700</v>
      </c>
      <c r="J130" t="s">
        <v>541</v>
      </c>
      <c r="K130">
        <v>401</v>
      </c>
      <c r="L130">
        <v>57</v>
      </c>
    </row>
    <row r="131" spans="1:12" x14ac:dyDescent="0.2">
      <c r="A131">
        <v>14087</v>
      </c>
      <c r="B131" t="s">
        <v>189</v>
      </c>
      <c r="C131">
        <v>14087</v>
      </c>
      <c r="D131">
        <v>4</v>
      </c>
      <c r="E131">
        <v>2</v>
      </c>
      <c r="F131" t="s">
        <v>224</v>
      </c>
      <c r="G131">
        <v>542200</v>
      </c>
      <c r="H131" t="s">
        <v>416</v>
      </c>
      <c r="I131">
        <v>700</v>
      </c>
      <c r="J131" t="s">
        <v>541</v>
      </c>
      <c r="K131">
        <v>401</v>
      </c>
      <c r="L131">
        <v>58</v>
      </c>
    </row>
    <row r="132" spans="1:12" x14ac:dyDescent="0.2">
      <c r="A132">
        <v>14088</v>
      </c>
      <c r="B132" t="s">
        <v>190</v>
      </c>
      <c r="C132">
        <v>14088</v>
      </c>
      <c r="D132">
        <v>4</v>
      </c>
      <c r="E132">
        <v>2</v>
      </c>
      <c r="F132" t="s">
        <v>224</v>
      </c>
      <c r="G132">
        <v>542200</v>
      </c>
      <c r="H132" t="s">
        <v>418</v>
      </c>
      <c r="I132">
        <v>700</v>
      </c>
      <c r="J132" t="s">
        <v>541</v>
      </c>
      <c r="K132">
        <v>401</v>
      </c>
      <c r="L132">
        <v>59</v>
      </c>
    </row>
    <row r="133" spans="1:12" x14ac:dyDescent="0.2">
      <c r="A133">
        <v>14089</v>
      </c>
      <c r="B133" t="s">
        <v>609</v>
      </c>
      <c r="C133">
        <v>14089</v>
      </c>
      <c r="D133">
        <v>4</v>
      </c>
      <c r="E133">
        <v>2</v>
      </c>
      <c r="F133" t="s">
        <v>224</v>
      </c>
      <c r="G133">
        <v>542200</v>
      </c>
      <c r="H133" t="s">
        <v>420</v>
      </c>
      <c r="I133">
        <v>700</v>
      </c>
      <c r="J133" t="s">
        <v>541</v>
      </c>
      <c r="K133">
        <v>401</v>
      </c>
      <c r="L133">
        <v>60</v>
      </c>
    </row>
    <row r="134" spans="1:12" x14ac:dyDescent="0.2">
      <c r="A134">
        <v>14090</v>
      </c>
      <c r="B134" t="s">
        <v>610</v>
      </c>
      <c r="C134">
        <v>14090</v>
      </c>
      <c r="D134">
        <v>4</v>
      </c>
      <c r="E134">
        <v>2</v>
      </c>
      <c r="F134" t="s">
        <v>224</v>
      </c>
      <c r="G134">
        <v>644700</v>
      </c>
      <c r="H134" t="s">
        <v>422</v>
      </c>
      <c r="I134">
        <v>750</v>
      </c>
      <c r="J134" t="s">
        <v>542</v>
      </c>
      <c r="K134">
        <v>477</v>
      </c>
      <c r="L134">
        <v>61</v>
      </c>
    </row>
    <row r="135" spans="1:12" x14ac:dyDescent="0.2">
      <c r="A135">
        <v>14091</v>
      </c>
      <c r="B135" t="s">
        <v>611</v>
      </c>
      <c r="C135">
        <v>14091</v>
      </c>
      <c r="D135">
        <v>4</v>
      </c>
      <c r="E135">
        <v>2</v>
      </c>
      <c r="F135" t="s">
        <v>224</v>
      </c>
      <c r="G135">
        <v>644700</v>
      </c>
      <c r="H135" t="s">
        <v>424</v>
      </c>
      <c r="I135">
        <v>750</v>
      </c>
      <c r="J135" t="s">
        <v>542</v>
      </c>
      <c r="K135">
        <v>477</v>
      </c>
      <c r="L135">
        <v>62</v>
      </c>
    </row>
    <row r="136" spans="1:12" x14ac:dyDescent="0.2">
      <c r="A136">
        <v>14092</v>
      </c>
      <c r="B136" t="s">
        <v>194</v>
      </c>
      <c r="C136">
        <v>14092</v>
      </c>
      <c r="D136">
        <v>4</v>
      </c>
      <c r="E136">
        <v>2</v>
      </c>
      <c r="F136" t="s">
        <v>224</v>
      </c>
      <c r="G136">
        <v>644700</v>
      </c>
      <c r="H136" t="s">
        <v>426</v>
      </c>
      <c r="I136">
        <v>750</v>
      </c>
      <c r="J136" t="s">
        <v>542</v>
      </c>
      <c r="K136">
        <v>477</v>
      </c>
      <c r="L136">
        <v>63</v>
      </c>
    </row>
    <row r="137" spans="1:12" x14ac:dyDescent="0.2">
      <c r="A137">
        <v>14093</v>
      </c>
      <c r="B137" t="s">
        <v>195</v>
      </c>
      <c r="C137">
        <v>14093</v>
      </c>
      <c r="D137">
        <v>4</v>
      </c>
      <c r="E137">
        <v>2</v>
      </c>
      <c r="F137" t="s">
        <v>224</v>
      </c>
      <c r="G137">
        <v>644700</v>
      </c>
      <c r="H137" t="s">
        <v>428</v>
      </c>
      <c r="I137">
        <v>750</v>
      </c>
      <c r="J137" t="s">
        <v>542</v>
      </c>
      <c r="K137">
        <v>477</v>
      </c>
      <c r="L137">
        <v>64</v>
      </c>
    </row>
    <row r="138" spans="1:12" x14ac:dyDescent="0.2">
      <c r="A138">
        <v>14094</v>
      </c>
      <c r="B138" t="s">
        <v>196</v>
      </c>
      <c r="C138">
        <v>14094</v>
      </c>
      <c r="D138">
        <v>4</v>
      </c>
      <c r="E138">
        <v>2</v>
      </c>
      <c r="F138" t="s">
        <v>224</v>
      </c>
      <c r="G138">
        <v>802000</v>
      </c>
      <c r="H138" t="s">
        <v>430</v>
      </c>
      <c r="I138">
        <v>800</v>
      </c>
      <c r="J138" t="s">
        <v>543</v>
      </c>
      <c r="K138">
        <v>568</v>
      </c>
      <c r="L138">
        <v>65</v>
      </c>
    </row>
    <row r="139" spans="1:12" x14ac:dyDescent="0.2">
      <c r="A139">
        <v>14095</v>
      </c>
      <c r="B139" t="s">
        <v>197</v>
      </c>
      <c r="C139">
        <v>14095</v>
      </c>
      <c r="D139">
        <v>4</v>
      </c>
      <c r="E139">
        <v>2</v>
      </c>
      <c r="F139" t="s">
        <v>224</v>
      </c>
      <c r="G139">
        <v>802000</v>
      </c>
      <c r="H139" t="s">
        <v>432</v>
      </c>
      <c r="I139">
        <v>800</v>
      </c>
      <c r="J139" t="s">
        <v>543</v>
      </c>
      <c r="K139">
        <v>568</v>
      </c>
      <c r="L139">
        <v>66</v>
      </c>
    </row>
    <row r="140" spans="1:12" x14ac:dyDescent="0.2">
      <c r="A140">
        <v>14096</v>
      </c>
      <c r="B140" t="s">
        <v>198</v>
      </c>
      <c r="C140">
        <v>14096</v>
      </c>
      <c r="D140">
        <v>4</v>
      </c>
      <c r="E140">
        <v>2</v>
      </c>
      <c r="F140" t="s">
        <v>224</v>
      </c>
      <c r="G140">
        <v>802000</v>
      </c>
      <c r="H140" t="s">
        <v>434</v>
      </c>
      <c r="I140">
        <v>800</v>
      </c>
      <c r="J140" t="s">
        <v>543</v>
      </c>
      <c r="K140">
        <v>568</v>
      </c>
      <c r="L140">
        <v>67</v>
      </c>
    </row>
    <row r="141" spans="1:12" x14ac:dyDescent="0.2">
      <c r="A141">
        <v>14097</v>
      </c>
      <c r="B141" t="s">
        <v>199</v>
      </c>
      <c r="C141">
        <v>14097</v>
      </c>
      <c r="D141">
        <v>4</v>
      </c>
      <c r="E141">
        <v>2</v>
      </c>
      <c r="F141" t="s">
        <v>224</v>
      </c>
      <c r="G141">
        <v>802000</v>
      </c>
      <c r="H141" t="s">
        <v>436</v>
      </c>
      <c r="I141">
        <v>800</v>
      </c>
      <c r="J141" t="s">
        <v>543</v>
      </c>
      <c r="K141">
        <v>568</v>
      </c>
      <c r="L141">
        <v>68</v>
      </c>
    </row>
    <row r="142" spans="1:12" x14ac:dyDescent="0.2">
      <c r="A142">
        <v>14098</v>
      </c>
      <c r="B142" t="s">
        <v>612</v>
      </c>
      <c r="C142">
        <v>14098</v>
      </c>
      <c r="D142">
        <v>4</v>
      </c>
      <c r="E142">
        <v>2</v>
      </c>
      <c r="F142" t="s">
        <v>224</v>
      </c>
      <c r="G142">
        <v>954700</v>
      </c>
      <c r="H142" t="s">
        <v>438</v>
      </c>
      <c r="I142">
        <v>860</v>
      </c>
      <c r="J142" t="s">
        <v>544</v>
      </c>
      <c r="K142">
        <v>676</v>
      </c>
      <c r="L142">
        <v>69</v>
      </c>
    </row>
    <row r="143" spans="1:12" x14ac:dyDescent="0.2">
      <c r="A143">
        <v>14099</v>
      </c>
      <c r="B143" t="s">
        <v>201</v>
      </c>
      <c r="C143">
        <v>14099</v>
      </c>
      <c r="D143">
        <v>4</v>
      </c>
      <c r="E143">
        <v>2</v>
      </c>
      <c r="F143" t="s">
        <v>224</v>
      </c>
      <c r="G143">
        <v>954700</v>
      </c>
      <c r="H143" t="s">
        <v>440</v>
      </c>
      <c r="I143">
        <v>860</v>
      </c>
      <c r="J143" t="s">
        <v>544</v>
      </c>
      <c r="K143">
        <v>676</v>
      </c>
      <c r="L143">
        <v>70</v>
      </c>
    </row>
    <row r="144" spans="1:12" x14ac:dyDescent="0.2">
      <c r="A144">
        <v>14100</v>
      </c>
      <c r="B144" t="s">
        <v>202</v>
      </c>
      <c r="C144">
        <v>14100</v>
      </c>
      <c r="D144">
        <v>4</v>
      </c>
      <c r="E144">
        <v>2</v>
      </c>
      <c r="F144" t="s">
        <v>224</v>
      </c>
      <c r="G144">
        <v>954700</v>
      </c>
      <c r="H144" t="s">
        <v>442</v>
      </c>
      <c r="I144">
        <v>860</v>
      </c>
      <c r="J144" t="s">
        <v>544</v>
      </c>
      <c r="K144">
        <v>676</v>
      </c>
      <c r="L144">
        <v>71</v>
      </c>
    </row>
    <row r="145" spans="1:12" x14ac:dyDescent="0.2">
      <c r="A145">
        <v>14101</v>
      </c>
      <c r="B145" t="s">
        <v>203</v>
      </c>
      <c r="C145">
        <v>14101</v>
      </c>
      <c r="D145">
        <v>4</v>
      </c>
      <c r="E145">
        <v>2</v>
      </c>
      <c r="F145" t="s">
        <v>224</v>
      </c>
      <c r="G145">
        <v>954700</v>
      </c>
      <c r="H145" t="s">
        <v>444</v>
      </c>
      <c r="I145">
        <v>860</v>
      </c>
      <c r="J145" t="s">
        <v>544</v>
      </c>
      <c r="K145">
        <v>676</v>
      </c>
      <c r="L145">
        <v>72</v>
      </c>
    </row>
    <row r="146" spans="1:12" x14ac:dyDescent="0.2">
      <c r="A146">
        <v>14102</v>
      </c>
      <c r="B146" t="s">
        <v>204</v>
      </c>
      <c r="C146">
        <v>14102</v>
      </c>
      <c r="D146">
        <v>4</v>
      </c>
      <c r="E146">
        <v>2</v>
      </c>
      <c r="F146" t="s">
        <v>224</v>
      </c>
      <c r="G146">
        <v>1186800</v>
      </c>
      <c r="H146" t="s">
        <v>446</v>
      </c>
      <c r="I146">
        <v>900</v>
      </c>
      <c r="J146" t="s">
        <v>545</v>
      </c>
      <c r="K146">
        <v>806</v>
      </c>
      <c r="L146">
        <v>73</v>
      </c>
    </row>
    <row r="147" spans="1:12" x14ac:dyDescent="0.2">
      <c r="A147">
        <v>14103</v>
      </c>
      <c r="B147" t="s">
        <v>613</v>
      </c>
      <c r="C147">
        <v>14103</v>
      </c>
      <c r="D147">
        <v>4</v>
      </c>
      <c r="E147">
        <v>2</v>
      </c>
      <c r="F147" t="s">
        <v>224</v>
      </c>
      <c r="G147">
        <v>1186800</v>
      </c>
      <c r="H147" t="s">
        <v>448</v>
      </c>
      <c r="I147">
        <v>900</v>
      </c>
      <c r="J147" t="s">
        <v>545</v>
      </c>
      <c r="K147">
        <v>806</v>
      </c>
      <c r="L147">
        <v>74</v>
      </c>
    </row>
    <row r="148" spans="1:12" x14ac:dyDescent="0.2">
      <c r="A148">
        <v>14104</v>
      </c>
      <c r="B148" t="s">
        <v>614</v>
      </c>
      <c r="C148">
        <v>14104</v>
      </c>
      <c r="D148">
        <v>4</v>
      </c>
      <c r="E148">
        <v>2</v>
      </c>
      <c r="F148" t="s">
        <v>224</v>
      </c>
      <c r="G148">
        <v>1186800</v>
      </c>
      <c r="H148" t="s">
        <v>450</v>
      </c>
      <c r="I148">
        <v>900</v>
      </c>
      <c r="J148" t="s">
        <v>545</v>
      </c>
      <c r="K148">
        <v>806</v>
      </c>
      <c r="L148">
        <v>75</v>
      </c>
    </row>
    <row r="149" spans="1:12" x14ac:dyDescent="0.2">
      <c r="A149">
        <v>14105</v>
      </c>
      <c r="B149" t="s">
        <v>615</v>
      </c>
      <c r="C149">
        <v>14105</v>
      </c>
      <c r="D149">
        <v>4</v>
      </c>
      <c r="E149">
        <v>2</v>
      </c>
      <c r="F149" t="s">
        <v>224</v>
      </c>
      <c r="G149">
        <v>1186800</v>
      </c>
      <c r="H149" t="s">
        <v>452</v>
      </c>
      <c r="I149">
        <v>900</v>
      </c>
      <c r="J149" t="s">
        <v>545</v>
      </c>
      <c r="K149">
        <v>806</v>
      </c>
      <c r="L149">
        <v>76</v>
      </c>
    </row>
    <row r="150" spans="1:12" x14ac:dyDescent="0.2">
      <c r="A150">
        <v>14106</v>
      </c>
      <c r="B150" t="s">
        <v>208</v>
      </c>
      <c r="C150">
        <v>14106</v>
      </c>
      <c r="D150">
        <v>4</v>
      </c>
      <c r="E150">
        <v>2</v>
      </c>
      <c r="F150" t="s">
        <v>224</v>
      </c>
      <c r="G150">
        <v>1414600</v>
      </c>
      <c r="H150" t="s">
        <v>454</v>
      </c>
      <c r="I150">
        <v>950</v>
      </c>
      <c r="J150" t="s">
        <v>546</v>
      </c>
      <c r="K150">
        <v>961</v>
      </c>
      <c r="L150">
        <v>77</v>
      </c>
    </row>
    <row r="151" spans="1:12" x14ac:dyDescent="0.2">
      <c r="A151">
        <v>14107</v>
      </c>
      <c r="B151" t="s">
        <v>616</v>
      </c>
      <c r="C151">
        <v>14107</v>
      </c>
      <c r="D151">
        <v>4</v>
      </c>
      <c r="E151">
        <v>2</v>
      </c>
      <c r="F151" t="s">
        <v>224</v>
      </c>
      <c r="G151">
        <v>1414600</v>
      </c>
      <c r="H151" t="s">
        <v>456</v>
      </c>
      <c r="I151">
        <v>950</v>
      </c>
      <c r="J151" t="s">
        <v>546</v>
      </c>
      <c r="K151">
        <v>961</v>
      </c>
      <c r="L151">
        <v>78</v>
      </c>
    </row>
    <row r="152" spans="1:12" x14ac:dyDescent="0.2">
      <c r="A152">
        <v>14108</v>
      </c>
      <c r="B152" t="s">
        <v>617</v>
      </c>
      <c r="C152">
        <v>14108</v>
      </c>
      <c r="D152">
        <v>4</v>
      </c>
      <c r="E152">
        <v>2</v>
      </c>
      <c r="F152" t="s">
        <v>224</v>
      </c>
      <c r="G152">
        <v>1414600</v>
      </c>
      <c r="H152" t="s">
        <v>458</v>
      </c>
      <c r="I152">
        <v>950</v>
      </c>
      <c r="J152" t="s">
        <v>546</v>
      </c>
      <c r="K152">
        <v>961</v>
      </c>
      <c r="L152">
        <v>79</v>
      </c>
    </row>
    <row r="153" spans="1:12" x14ac:dyDescent="0.2">
      <c r="A153">
        <v>14109</v>
      </c>
      <c r="B153" t="s">
        <v>211</v>
      </c>
      <c r="C153">
        <v>14109</v>
      </c>
      <c r="D153">
        <v>4</v>
      </c>
      <c r="E153">
        <v>2</v>
      </c>
      <c r="F153" t="s">
        <v>224</v>
      </c>
      <c r="G153">
        <v>1414600</v>
      </c>
      <c r="H153" t="s">
        <v>460</v>
      </c>
      <c r="I153">
        <v>950</v>
      </c>
      <c r="J153" t="s">
        <v>546</v>
      </c>
      <c r="K153">
        <v>961</v>
      </c>
      <c r="L153">
        <v>80</v>
      </c>
    </row>
    <row r="154" spans="1:12" x14ac:dyDescent="0.2">
      <c r="A154">
        <v>14110</v>
      </c>
      <c r="B154" t="s">
        <v>212</v>
      </c>
      <c r="C154">
        <v>14110</v>
      </c>
      <c r="D154">
        <v>4</v>
      </c>
      <c r="E154">
        <v>2</v>
      </c>
      <c r="F154" t="s">
        <v>224</v>
      </c>
      <c r="G154">
        <v>1757600</v>
      </c>
      <c r="H154" t="s">
        <v>462</v>
      </c>
      <c r="I154">
        <v>950</v>
      </c>
      <c r="J154" t="s">
        <v>546</v>
      </c>
      <c r="K154">
        <v>1147</v>
      </c>
      <c r="L154">
        <v>81</v>
      </c>
    </row>
    <row r="155" spans="1:12" x14ac:dyDescent="0.2">
      <c r="A155">
        <v>14111</v>
      </c>
      <c r="B155" t="s">
        <v>213</v>
      </c>
      <c r="C155">
        <v>14111</v>
      </c>
      <c r="D155">
        <v>4</v>
      </c>
      <c r="E155">
        <v>2</v>
      </c>
      <c r="F155" t="s">
        <v>224</v>
      </c>
      <c r="G155">
        <v>1757600</v>
      </c>
      <c r="H155" t="s">
        <v>464</v>
      </c>
      <c r="I155">
        <v>950</v>
      </c>
      <c r="J155" t="s">
        <v>546</v>
      </c>
      <c r="K155">
        <v>1147</v>
      </c>
      <c r="L155">
        <v>82</v>
      </c>
    </row>
    <row r="156" spans="1:12" x14ac:dyDescent="0.2">
      <c r="A156">
        <v>14112</v>
      </c>
      <c r="B156" t="s">
        <v>618</v>
      </c>
      <c r="C156">
        <v>14112</v>
      </c>
      <c r="D156">
        <v>4</v>
      </c>
      <c r="E156">
        <v>2</v>
      </c>
      <c r="F156" t="s">
        <v>224</v>
      </c>
      <c r="G156">
        <v>1757600</v>
      </c>
      <c r="H156" t="s">
        <v>465</v>
      </c>
      <c r="I156">
        <v>950</v>
      </c>
      <c r="J156" t="s">
        <v>546</v>
      </c>
      <c r="K156">
        <v>1147</v>
      </c>
      <c r="L156">
        <v>83</v>
      </c>
    </row>
    <row r="157" spans="1:12" x14ac:dyDescent="0.2">
      <c r="A157">
        <v>14113</v>
      </c>
      <c r="B157" t="s">
        <v>619</v>
      </c>
      <c r="C157">
        <v>14113</v>
      </c>
      <c r="D157">
        <v>4</v>
      </c>
      <c r="E157">
        <v>2</v>
      </c>
      <c r="F157" t="s">
        <v>224</v>
      </c>
      <c r="G157">
        <v>1757600</v>
      </c>
      <c r="H157" t="s">
        <v>467</v>
      </c>
      <c r="I157">
        <v>950</v>
      </c>
      <c r="J157" t="s">
        <v>546</v>
      </c>
      <c r="K157">
        <v>1147</v>
      </c>
      <c r="L157">
        <v>84</v>
      </c>
    </row>
    <row r="158" spans="1:12" x14ac:dyDescent="0.2">
      <c r="A158">
        <v>14114</v>
      </c>
      <c r="B158" t="s">
        <v>216</v>
      </c>
      <c r="C158">
        <v>14114</v>
      </c>
      <c r="D158">
        <v>4</v>
      </c>
      <c r="E158">
        <v>2</v>
      </c>
      <c r="F158" t="s">
        <v>224</v>
      </c>
      <c r="G158">
        <v>1757600</v>
      </c>
      <c r="H158" t="s">
        <v>469</v>
      </c>
      <c r="I158">
        <v>950</v>
      </c>
      <c r="J158" t="s">
        <v>546</v>
      </c>
      <c r="K158">
        <v>1147</v>
      </c>
      <c r="L158">
        <v>85</v>
      </c>
    </row>
    <row r="159" spans="1:12" x14ac:dyDescent="0.2">
      <c r="A159">
        <v>14115</v>
      </c>
      <c r="B159" t="s">
        <v>217</v>
      </c>
      <c r="C159">
        <v>14115</v>
      </c>
      <c r="D159">
        <v>4</v>
      </c>
      <c r="E159">
        <v>2</v>
      </c>
      <c r="F159" t="s">
        <v>224</v>
      </c>
      <c r="G159">
        <v>1757600</v>
      </c>
      <c r="H159" t="s">
        <v>471</v>
      </c>
      <c r="I159">
        <v>950</v>
      </c>
      <c r="J159" t="s">
        <v>546</v>
      </c>
      <c r="K159">
        <v>1147</v>
      </c>
      <c r="L159">
        <v>86</v>
      </c>
    </row>
    <row r="160" spans="1:12" x14ac:dyDescent="0.2">
      <c r="A160">
        <v>14116</v>
      </c>
      <c r="B160" t="s">
        <v>620</v>
      </c>
      <c r="C160">
        <v>14116</v>
      </c>
      <c r="D160">
        <v>4</v>
      </c>
      <c r="E160">
        <v>2</v>
      </c>
      <c r="F160" t="s">
        <v>224</v>
      </c>
      <c r="G160">
        <v>1757600</v>
      </c>
      <c r="H160" t="s">
        <v>473</v>
      </c>
      <c r="I160">
        <v>950</v>
      </c>
      <c r="J160" t="s">
        <v>546</v>
      </c>
      <c r="K160">
        <v>1147</v>
      </c>
      <c r="L160">
        <v>87</v>
      </c>
    </row>
    <row r="161" spans="1:12" x14ac:dyDescent="0.2">
      <c r="A161">
        <v>14117</v>
      </c>
      <c r="B161" t="s">
        <v>219</v>
      </c>
      <c r="C161">
        <v>14117</v>
      </c>
      <c r="D161">
        <v>4</v>
      </c>
      <c r="E161">
        <v>2</v>
      </c>
      <c r="F161" t="s">
        <v>224</v>
      </c>
      <c r="G161">
        <v>1757600</v>
      </c>
      <c r="H161" t="s">
        <v>474</v>
      </c>
      <c r="I161">
        <v>950</v>
      </c>
      <c r="J161" t="s">
        <v>546</v>
      </c>
      <c r="K161">
        <v>1147</v>
      </c>
      <c r="L161">
        <v>88</v>
      </c>
    </row>
    <row r="162" spans="1:12" x14ac:dyDescent="0.2">
      <c r="A162">
        <v>14118</v>
      </c>
      <c r="B162" t="s">
        <v>220</v>
      </c>
      <c r="C162">
        <v>14118</v>
      </c>
      <c r="D162">
        <v>4</v>
      </c>
      <c r="E162">
        <v>2</v>
      </c>
      <c r="F162" t="s">
        <v>224</v>
      </c>
      <c r="G162">
        <v>1757600</v>
      </c>
      <c r="H162" t="s">
        <v>476</v>
      </c>
      <c r="I162">
        <v>950</v>
      </c>
      <c r="J162" t="s">
        <v>546</v>
      </c>
      <c r="K162">
        <v>1147</v>
      </c>
      <c r="L162">
        <v>89</v>
      </c>
    </row>
    <row r="163" spans="1:12" x14ac:dyDescent="0.2">
      <c r="A163">
        <v>14119</v>
      </c>
      <c r="B163" t="s">
        <v>221</v>
      </c>
      <c r="C163">
        <v>14119</v>
      </c>
      <c r="D163">
        <v>4</v>
      </c>
      <c r="E163">
        <v>2</v>
      </c>
      <c r="F163" t="s">
        <v>224</v>
      </c>
      <c r="G163">
        <v>1757600</v>
      </c>
      <c r="H163" t="s">
        <v>478</v>
      </c>
      <c r="I163">
        <v>950</v>
      </c>
      <c r="J163" t="s">
        <v>546</v>
      </c>
      <c r="K163">
        <v>1147</v>
      </c>
      <c r="L163">
        <v>90</v>
      </c>
    </row>
    <row r="164" spans="1:12" x14ac:dyDescent="0.2">
      <c r="A164">
        <v>14120</v>
      </c>
      <c r="B164" t="s">
        <v>621</v>
      </c>
      <c r="C164">
        <v>14120</v>
      </c>
      <c r="D164">
        <v>4</v>
      </c>
      <c r="E164">
        <v>2</v>
      </c>
      <c r="F164" t="s">
        <v>224</v>
      </c>
      <c r="G164">
        <v>1757600</v>
      </c>
      <c r="H164" t="s">
        <v>480</v>
      </c>
      <c r="I164">
        <v>950</v>
      </c>
      <c r="J164" t="s">
        <v>546</v>
      </c>
      <c r="K164">
        <v>1147</v>
      </c>
      <c r="L164">
        <v>91</v>
      </c>
    </row>
  </sheetData>
  <autoFilter ref="A3:M3">
    <sortState ref="A4:M164">
      <sortCondition ref="A3"/>
    </sortState>
  </autoFilter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64"/>
  <sheetViews>
    <sheetView topLeftCell="A139" workbookViewId="0">
      <selection activeCell="B64" sqref="B64:B164"/>
    </sheetView>
  </sheetViews>
  <sheetFormatPr defaultRowHeight="14.25" x14ac:dyDescent="0.2"/>
  <cols>
    <col min="3" max="3" width="40.125" bestFit="1" customWidth="1"/>
  </cols>
  <sheetData>
    <row r="1" spans="2:23" ht="35.25" thickBot="1" x14ac:dyDescent="0.25">
      <c r="B1" s="1" t="s">
        <v>19</v>
      </c>
      <c r="C1" s="1" t="s">
        <v>21</v>
      </c>
    </row>
    <row r="2" spans="2:23" ht="18" thickBot="1" x14ac:dyDescent="0.25">
      <c r="B2" s="1" t="s">
        <v>13</v>
      </c>
      <c r="C2" s="1" t="s">
        <v>12</v>
      </c>
    </row>
    <row r="3" spans="2:23" ht="52.5" thickBot="1" x14ac:dyDescent="0.25">
      <c r="B3" s="1" t="s">
        <v>27</v>
      </c>
      <c r="C3" s="1" t="s">
        <v>24</v>
      </c>
    </row>
    <row r="4" spans="2:23" x14ac:dyDescent="0.2">
      <c r="N4">
        <v>1</v>
      </c>
      <c r="O4">
        <v>0</v>
      </c>
      <c r="P4">
        <v>0</v>
      </c>
      <c r="Q4">
        <v>10000</v>
      </c>
      <c r="R4">
        <v>15</v>
      </c>
      <c r="S4">
        <v>8000</v>
      </c>
      <c r="T4">
        <v>30</v>
      </c>
      <c r="U4">
        <v>6000</v>
      </c>
      <c r="V4">
        <v>45</v>
      </c>
      <c r="W4">
        <v>2000</v>
      </c>
    </row>
    <row r="5" spans="2:23" x14ac:dyDescent="0.2">
      <c r="N5">
        <v>2</v>
      </c>
      <c r="O5">
        <v>30</v>
      </c>
      <c r="P5">
        <v>30</v>
      </c>
      <c r="Q5">
        <v>10000</v>
      </c>
      <c r="R5">
        <v>60</v>
      </c>
      <c r="S5">
        <v>8000</v>
      </c>
      <c r="T5">
        <v>90</v>
      </c>
      <c r="U5">
        <v>6000</v>
      </c>
      <c r="V5">
        <v>120</v>
      </c>
      <c r="W5">
        <v>2000</v>
      </c>
    </row>
    <row r="6" spans="2:23" x14ac:dyDescent="0.2">
      <c r="N6">
        <v>3</v>
      </c>
      <c r="O6">
        <v>100</v>
      </c>
      <c r="P6">
        <v>100</v>
      </c>
      <c r="Q6">
        <v>10000</v>
      </c>
      <c r="R6">
        <v>120</v>
      </c>
      <c r="S6">
        <v>8000</v>
      </c>
      <c r="T6">
        <v>140</v>
      </c>
      <c r="U6">
        <v>6000</v>
      </c>
      <c r="V6">
        <v>180</v>
      </c>
      <c r="W6">
        <v>2000</v>
      </c>
    </row>
    <row r="7" spans="2:23" x14ac:dyDescent="0.2">
      <c r="N7">
        <v>4</v>
      </c>
      <c r="O7">
        <v>150</v>
      </c>
      <c r="P7">
        <v>150</v>
      </c>
      <c r="Q7">
        <v>10000</v>
      </c>
      <c r="R7">
        <v>180</v>
      </c>
      <c r="S7">
        <v>8000</v>
      </c>
      <c r="T7">
        <v>200</v>
      </c>
      <c r="U7">
        <v>6000</v>
      </c>
      <c r="V7">
        <v>240</v>
      </c>
      <c r="W7">
        <v>2000</v>
      </c>
    </row>
    <row r="8" spans="2:23" x14ac:dyDescent="0.2">
      <c r="N8">
        <v>5</v>
      </c>
      <c r="O8">
        <v>200</v>
      </c>
      <c r="P8">
        <v>200</v>
      </c>
      <c r="Q8">
        <v>10000</v>
      </c>
      <c r="R8">
        <v>230</v>
      </c>
      <c r="S8">
        <v>8000</v>
      </c>
      <c r="T8">
        <v>255</v>
      </c>
      <c r="U8">
        <v>6000</v>
      </c>
      <c r="V8">
        <v>280</v>
      </c>
      <c r="W8">
        <v>2000</v>
      </c>
    </row>
    <row r="9" spans="2:23" x14ac:dyDescent="0.2">
      <c r="N9">
        <v>6</v>
      </c>
      <c r="O9">
        <v>250</v>
      </c>
      <c r="P9">
        <v>250</v>
      </c>
      <c r="Q9">
        <v>10000</v>
      </c>
      <c r="R9">
        <v>280</v>
      </c>
      <c r="S9">
        <v>8000</v>
      </c>
      <c r="T9">
        <v>300</v>
      </c>
      <c r="U9">
        <v>6000</v>
      </c>
      <c r="V9">
        <v>320</v>
      </c>
      <c r="W9">
        <v>2000</v>
      </c>
    </row>
    <row r="10" spans="2:23" x14ac:dyDescent="0.2">
      <c r="N10">
        <v>7</v>
      </c>
      <c r="O10">
        <v>300</v>
      </c>
      <c r="P10">
        <v>300</v>
      </c>
      <c r="Q10">
        <v>10000</v>
      </c>
      <c r="R10">
        <v>320</v>
      </c>
      <c r="S10">
        <v>8000</v>
      </c>
      <c r="T10">
        <v>340</v>
      </c>
      <c r="U10">
        <v>6000</v>
      </c>
      <c r="V10">
        <v>360</v>
      </c>
      <c r="W10">
        <v>2000</v>
      </c>
    </row>
    <row r="11" spans="2:23" x14ac:dyDescent="0.2">
      <c r="N11">
        <v>8</v>
      </c>
      <c r="O11">
        <v>360</v>
      </c>
      <c r="P11">
        <v>360</v>
      </c>
      <c r="Q11">
        <v>10000</v>
      </c>
      <c r="R11">
        <v>390</v>
      </c>
      <c r="S11">
        <v>8000</v>
      </c>
      <c r="T11">
        <v>420</v>
      </c>
      <c r="U11">
        <v>6000</v>
      </c>
      <c r="V11">
        <v>450</v>
      </c>
      <c r="W11">
        <v>2000</v>
      </c>
    </row>
    <row r="12" spans="2:23" x14ac:dyDescent="0.2">
      <c r="N12">
        <v>9</v>
      </c>
      <c r="O12">
        <v>400</v>
      </c>
      <c r="P12">
        <v>400</v>
      </c>
      <c r="Q12">
        <v>10000</v>
      </c>
      <c r="R12">
        <v>420</v>
      </c>
      <c r="S12">
        <v>8000</v>
      </c>
      <c r="T12">
        <v>440</v>
      </c>
      <c r="U12">
        <v>6000</v>
      </c>
      <c r="V12">
        <v>460</v>
      </c>
      <c r="W12">
        <v>2000</v>
      </c>
    </row>
    <row r="13" spans="2:23" x14ac:dyDescent="0.2">
      <c r="N13">
        <v>10</v>
      </c>
      <c r="O13">
        <v>450</v>
      </c>
      <c r="P13">
        <v>450</v>
      </c>
      <c r="Q13">
        <v>10000</v>
      </c>
      <c r="R13">
        <v>470</v>
      </c>
      <c r="S13">
        <v>8000</v>
      </c>
      <c r="T13">
        <v>480</v>
      </c>
      <c r="U13">
        <v>6000</v>
      </c>
      <c r="V13">
        <v>500</v>
      </c>
      <c r="W13">
        <v>2000</v>
      </c>
    </row>
    <row r="14" spans="2:23" x14ac:dyDescent="0.2">
      <c r="N14">
        <v>11</v>
      </c>
      <c r="O14">
        <f t="shared" ref="O14:P23" si="0">O4+500</f>
        <v>500</v>
      </c>
      <c r="P14">
        <f t="shared" si="0"/>
        <v>500</v>
      </c>
      <c r="Q14">
        <v>10000</v>
      </c>
      <c r="R14">
        <f>R4+500</f>
        <v>515</v>
      </c>
      <c r="S14">
        <v>8000</v>
      </c>
      <c r="T14">
        <f>T4+500</f>
        <v>530</v>
      </c>
      <c r="U14">
        <v>6000</v>
      </c>
      <c r="V14">
        <f>V4+500</f>
        <v>545</v>
      </c>
      <c r="W14">
        <v>2000</v>
      </c>
    </row>
    <row r="15" spans="2:23" x14ac:dyDescent="0.2">
      <c r="N15">
        <v>12</v>
      </c>
      <c r="O15">
        <f t="shared" si="0"/>
        <v>530</v>
      </c>
      <c r="P15">
        <f t="shared" si="0"/>
        <v>530</v>
      </c>
      <c r="Q15">
        <v>10000</v>
      </c>
      <c r="R15">
        <f t="shared" ref="R15" si="1">R5+500</f>
        <v>560</v>
      </c>
      <c r="S15">
        <v>8000</v>
      </c>
      <c r="T15">
        <f t="shared" ref="T15" si="2">T5+500</f>
        <v>590</v>
      </c>
      <c r="U15">
        <v>6000</v>
      </c>
      <c r="V15">
        <f t="shared" ref="V15" si="3">V5+500</f>
        <v>620</v>
      </c>
      <c r="W15">
        <v>2000</v>
      </c>
    </row>
    <row r="16" spans="2:23" x14ac:dyDescent="0.2">
      <c r="N16">
        <v>13</v>
      </c>
      <c r="O16">
        <f t="shared" si="0"/>
        <v>600</v>
      </c>
      <c r="P16">
        <f t="shared" si="0"/>
        <v>600</v>
      </c>
      <c r="Q16">
        <v>10000</v>
      </c>
      <c r="R16">
        <f t="shared" ref="R16" si="4">R6+500</f>
        <v>620</v>
      </c>
      <c r="S16">
        <v>8000</v>
      </c>
      <c r="T16">
        <f t="shared" ref="T16" si="5">T6+500</f>
        <v>640</v>
      </c>
      <c r="U16">
        <v>6000</v>
      </c>
      <c r="V16">
        <f t="shared" ref="V16" si="6">V6+500</f>
        <v>680</v>
      </c>
      <c r="W16">
        <v>2000</v>
      </c>
    </row>
    <row r="17" spans="14:23" x14ac:dyDescent="0.2">
      <c r="N17">
        <v>14</v>
      </c>
      <c r="O17">
        <f t="shared" si="0"/>
        <v>650</v>
      </c>
      <c r="P17">
        <f t="shared" si="0"/>
        <v>650</v>
      </c>
      <c r="Q17">
        <v>10000</v>
      </c>
      <c r="R17">
        <f t="shared" ref="R17" si="7">R7+500</f>
        <v>680</v>
      </c>
      <c r="S17">
        <v>8000</v>
      </c>
      <c r="T17">
        <f t="shared" ref="T17" si="8">T7+500</f>
        <v>700</v>
      </c>
      <c r="U17">
        <v>6000</v>
      </c>
      <c r="V17">
        <f t="shared" ref="V17" si="9">V7+500</f>
        <v>740</v>
      </c>
      <c r="W17">
        <v>2000</v>
      </c>
    </row>
    <row r="18" spans="14:23" x14ac:dyDescent="0.2">
      <c r="N18">
        <v>15</v>
      </c>
      <c r="O18">
        <f t="shared" si="0"/>
        <v>700</v>
      </c>
      <c r="P18">
        <f t="shared" si="0"/>
        <v>700</v>
      </c>
      <c r="Q18">
        <v>10000</v>
      </c>
      <c r="R18">
        <f t="shared" ref="R18" si="10">R8+500</f>
        <v>730</v>
      </c>
      <c r="S18">
        <v>8000</v>
      </c>
      <c r="T18">
        <f t="shared" ref="T18" si="11">T8+500</f>
        <v>755</v>
      </c>
      <c r="U18">
        <v>6000</v>
      </c>
      <c r="V18">
        <f t="shared" ref="V18" si="12">V8+500</f>
        <v>780</v>
      </c>
      <c r="W18">
        <v>2000</v>
      </c>
    </row>
    <row r="19" spans="14:23" x14ac:dyDescent="0.2">
      <c r="N19">
        <v>16</v>
      </c>
      <c r="O19">
        <f t="shared" si="0"/>
        <v>750</v>
      </c>
      <c r="P19">
        <f t="shared" si="0"/>
        <v>750</v>
      </c>
      <c r="Q19">
        <v>10000</v>
      </c>
      <c r="R19">
        <f t="shared" ref="R19" si="13">R9+500</f>
        <v>780</v>
      </c>
      <c r="S19">
        <v>8000</v>
      </c>
      <c r="T19">
        <f t="shared" ref="T19" si="14">T9+500</f>
        <v>800</v>
      </c>
      <c r="U19">
        <v>6000</v>
      </c>
      <c r="V19">
        <f t="shared" ref="V19" si="15">V9+500</f>
        <v>820</v>
      </c>
      <c r="W19">
        <v>2000</v>
      </c>
    </row>
    <row r="20" spans="14:23" x14ac:dyDescent="0.2">
      <c r="N20">
        <v>17</v>
      </c>
      <c r="O20">
        <f t="shared" si="0"/>
        <v>800</v>
      </c>
      <c r="P20">
        <f t="shared" si="0"/>
        <v>800</v>
      </c>
      <c r="Q20">
        <v>10000</v>
      </c>
      <c r="R20">
        <f t="shared" ref="R20" si="16">R10+500</f>
        <v>820</v>
      </c>
      <c r="S20">
        <v>8000</v>
      </c>
      <c r="T20">
        <f t="shared" ref="T20" si="17">T10+500</f>
        <v>840</v>
      </c>
      <c r="U20">
        <v>6000</v>
      </c>
      <c r="V20">
        <f t="shared" ref="V20" si="18">V10+500</f>
        <v>860</v>
      </c>
      <c r="W20">
        <v>2000</v>
      </c>
    </row>
    <row r="21" spans="14:23" x14ac:dyDescent="0.2">
      <c r="N21">
        <v>18</v>
      </c>
      <c r="O21">
        <f t="shared" si="0"/>
        <v>860</v>
      </c>
      <c r="P21">
        <f t="shared" si="0"/>
        <v>860</v>
      </c>
      <c r="Q21">
        <v>10000</v>
      </c>
      <c r="R21">
        <f t="shared" ref="R21" si="19">R11+500</f>
        <v>890</v>
      </c>
      <c r="S21">
        <v>8000</v>
      </c>
      <c r="T21">
        <f t="shared" ref="T21" si="20">T11+500</f>
        <v>920</v>
      </c>
      <c r="U21">
        <v>6000</v>
      </c>
      <c r="V21">
        <f t="shared" ref="V21" si="21">V11+500</f>
        <v>950</v>
      </c>
      <c r="W21">
        <v>2000</v>
      </c>
    </row>
    <row r="22" spans="14:23" x14ac:dyDescent="0.2">
      <c r="N22">
        <v>19</v>
      </c>
      <c r="O22">
        <f t="shared" si="0"/>
        <v>900</v>
      </c>
      <c r="P22">
        <f t="shared" si="0"/>
        <v>900</v>
      </c>
      <c r="Q22">
        <v>10000</v>
      </c>
      <c r="R22">
        <f t="shared" ref="R22" si="22">R12+500</f>
        <v>920</v>
      </c>
      <c r="S22">
        <v>8000</v>
      </c>
      <c r="T22">
        <f t="shared" ref="T22" si="23">T12+500</f>
        <v>940</v>
      </c>
      <c r="U22">
        <v>6000</v>
      </c>
      <c r="V22">
        <f t="shared" ref="V22" si="24">V12+500</f>
        <v>960</v>
      </c>
      <c r="W22">
        <v>2000</v>
      </c>
    </row>
    <row r="23" spans="14:23" x14ac:dyDescent="0.2">
      <c r="N23">
        <v>20</v>
      </c>
      <c r="O23">
        <f t="shared" si="0"/>
        <v>950</v>
      </c>
      <c r="P23">
        <f t="shared" si="0"/>
        <v>950</v>
      </c>
      <c r="Q23">
        <v>10000</v>
      </c>
      <c r="R23">
        <f t="shared" ref="R23" si="25">R13+500</f>
        <v>970</v>
      </c>
      <c r="S23">
        <v>8000</v>
      </c>
      <c r="T23">
        <f t="shared" ref="T23" si="26">T13+500</f>
        <v>980</v>
      </c>
      <c r="U23">
        <v>6000</v>
      </c>
      <c r="V23">
        <f t="shared" ref="V23" si="27">V13+500</f>
        <v>1000</v>
      </c>
      <c r="W23">
        <v>2000</v>
      </c>
    </row>
    <row r="63" spans="1:12" x14ac:dyDescent="0.2">
      <c r="K63" t="s">
        <v>525</v>
      </c>
      <c r="L63" t="s">
        <v>526</v>
      </c>
    </row>
    <row r="64" spans="1:12" x14ac:dyDescent="0.2">
      <c r="A64">
        <v>1</v>
      </c>
      <c r="B64">
        <f t="shared" ref="B64:B95" si="28">VLOOKUP($A64,$N$4:$V$23,2,FALSE)</f>
        <v>0</v>
      </c>
      <c r="C64">
        <f t="shared" ref="C64:C95" si="29">VLOOKUP($A64,$N$4:$V$23,3,FALSE)</f>
        <v>0</v>
      </c>
      <c r="D64">
        <f t="shared" ref="D64:D95" si="30">VLOOKUP($A64,$N$4:$V$23,4,FALSE)</f>
        <v>10000</v>
      </c>
      <c r="E64">
        <f t="shared" ref="E64:E95" si="31">VLOOKUP($A64,$N$4:$V$23,5,FALSE)</f>
        <v>15</v>
      </c>
      <c r="F64">
        <f t="shared" ref="F64:F95" si="32">VLOOKUP($A64,$N$4:$V$23,6,FALSE)</f>
        <v>8000</v>
      </c>
      <c r="G64">
        <f t="shared" ref="G64:G95" si="33">VLOOKUP($A64,$N$4:$V$23,7,FALSE)</f>
        <v>30</v>
      </c>
      <c r="H64">
        <f t="shared" ref="H64:H95" si="34">VLOOKUP($A64,$N$4:$V$23,8,FALSE)</f>
        <v>6000</v>
      </c>
      <c r="I64">
        <f t="shared" ref="I64:I95" si="35">VLOOKUP($A64,$N$4:$V$23,9,FALSE)</f>
        <v>45</v>
      </c>
      <c r="J64">
        <v>2000</v>
      </c>
      <c r="K64" t="str">
        <f>C64&amp;$K$63&amp;D64&amp;$L$63&amp;E64&amp;$K$63&amp;F64&amp;$L$63&amp;G64&amp;$K$63&amp;H64&amp;$L$63&amp;I64&amp;$K$63&amp;J64</f>
        <v>0,10000|15,8000|30,6000|45,2000</v>
      </c>
    </row>
    <row r="65" spans="1:11" x14ac:dyDescent="0.2">
      <c r="A65">
        <v>2</v>
      </c>
      <c r="B65">
        <f t="shared" si="28"/>
        <v>30</v>
      </c>
      <c r="C65">
        <f t="shared" si="29"/>
        <v>30</v>
      </c>
      <c r="D65">
        <f t="shared" si="30"/>
        <v>10000</v>
      </c>
      <c r="E65">
        <f t="shared" si="31"/>
        <v>60</v>
      </c>
      <c r="F65">
        <f t="shared" si="32"/>
        <v>8000</v>
      </c>
      <c r="G65">
        <f t="shared" si="33"/>
        <v>90</v>
      </c>
      <c r="H65">
        <f t="shared" si="34"/>
        <v>6000</v>
      </c>
      <c r="I65">
        <f t="shared" si="35"/>
        <v>120</v>
      </c>
      <c r="J65">
        <v>2000</v>
      </c>
      <c r="K65" t="str">
        <f t="shared" ref="K65:K128" si="36">C65&amp;$K$63&amp;D65&amp;$L$63&amp;E65&amp;$K$63&amp;F65&amp;$L$63&amp;G65&amp;$K$63&amp;H65&amp;$L$63&amp;I65&amp;$K$63&amp;J65</f>
        <v>30,10000|60,8000|90,6000|120,2000</v>
      </c>
    </row>
    <row r="66" spans="1:11" x14ac:dyDescent="0.2">
      <c r="A66">
        <v>3</v>
      </c>
      <c r="B66">
        <f t="shared" si="28"/>
        <v>100</v>
      </c>
      <c r="C66">
        <f t="shared" si="29"/>
        <v>100</v>
      </c>
      <c r="D66">
        <f t="shared" si="30"/>
        <v>10000</v>
      </c>
      <c r="E66">
        <f t="shared" si="31"/>
        <v>120</v>
      </c>
      <c r="F66">
        <f t="shared" si="32"/>
        <v>8000</v>
      </c>
      <c r="G66">
        <f t="shared" si="33"/>
        <v>140</v>
      </c>
      <c r="H66">
        <f t="shared" si="34"/>
        <v>6000</v>
      </c>
      <c r="I66">
        <f t="shared" si="35"/>
        <v>180</v>
      </c>
      <c r="J66">
        <v>2000</v>
      </c>
      <c r="K66" t="str">
        <f t="shared" si="36"/>
        <v>100,10000|120,8000|140,6000|180,2000</v>
      </c>
    </row>
    <row r="67" spans="1:11" x14ac:dyDescent="0.2">
      <c r="A67">
        <v>4</v>
      </c>
      <c r="B67">
        <f t="shared" si="28"/>
        <v>150</v>
      </c>
      <c r="C67">
        <f t="shared" si="29"/>
        <v>150</v>
      </c>
      <c r="D67">
        <f t="shared" si="30"/>
        <v>10000</v>
      </c>
      <c r="E67">
        <f t="shared" si="31"/>
        <v>180</v>
      </c>
      <c r="F67">
        <f t="shared" si="32"/>
        <v>8000</v>
      </c>
      <c r="G67">
        <f t="shared" si="33"/>
        <v>200</v>
      </c>
      <c r="H67">
        <f t="shared" si="34"/>
        <v>6000</v>
      </c>
      <c r="I67">
        <f t="shared" si="35"/>
        <v>240</v>
      </c>
      <c r="J67">
        <v>2000</v>
      </c>
      <c r="K67" t="str">
        <f t="shared" si="36"/>
        <v>150,10000|180,8000|200,6000|240,2000</v>
      </c>
    </row>
    <row r="68" spans="1:11" x14ac:dyDescent="0.2">
      <c r="A68">
        <v>5</v>
      </c>
      <c r="B68">
        <f t="shared" si="28"/>
        <v>200</v>
      </c>
      <c r="C68">
        <f t="shared" si="29"/>
        <v>200</v>
      </c>
      <c r="D68">
        <f t="shared" si="30"/>
        <v>10000</v>
      </c>
      <c r="E68">
        <f t="shared" si="31"/>
        <v>230</v>
      </c>
      <c r="F68">
        <f t="shared" si="32"/>
        <v>8000</v>
      </c>
      <c r="G68">
        <f t="shared" si="33"/>
        <v>255</v>
      </c>
      <c r="H68">
        <f t="shared" si="34"/>
        <v>6000</v>
      </c>
      <c r="I68">
        <f t="shared" si="35"/>
        <v>280</v>
      </c>
      <c r="J68">
        <v>2000</v>
      </c>
      <c r="K68" t="str">
        <f t="shared" si="36"/>
        <v>200,10000|230,8000|255,6000|280,2000</v>
      </c>
    </row>
    <row r="69" spans="1:11" x14ac:dyDescent="0.2">
      <c r="A69">
        <v>6</v>
      </c>
      <c r="B69">
        <f t="shared" si="28"/>
        <v>250</v>
      </c>
      <c r="C69">
        <f t="shared" si="29"/>
        <v>250</v>
      </c>
      <c r="D69">
        <f t="shared" si="30"/>
        <v>10000</v>
      </c>
      <c r="E69">
        <f t="shared" si="31"/>
        <v>280</v>
      </c>
      <c r="F69">
        <f t="shared" si="32"/>
        <v>8000</v>
      </c>
      <c r="G69">
        <f t="shared" si="33"/>
        <v>300</v>
      </c>
      <c r="H69">
        <f t="shared" si="34"/>
        <v>6000</v>
      </c>
      <c r="I69">
        <f t="shared" si="35"/>
        <v>320</v>
      </c>
      <c r="J69">
        <v>2000</v>
      </c>
      <c r="K69" t="str">
        <f t="shared" si="36"/>
        <v>250,10000|280,8000|300,6000|320,2000</v>
      </c>
    </row>
    <row r="70" spans="1:11" x14ac:dyDescent="0.2">
      <c r="A70">
        <v>7</v>
      </c>
      <c r="B70">
        <f t="shared" si="28"/>
        <v>300</v>
      </c>
      <c r="C70">
        <f t="shared" si="29"/>
        <v>300</v>
      </c>
      <c r="D70">
        <f t="shared" si="30"/>
        <v>10000</v>
      </c>
      <c r="E70">
        <f t="shared" si="31"/>
        <v>320</v>
      </c>
      <c r="F70">
        <f t="shared" si="32"/>
        <v>8000</v>
      </c>
      <c r="G70">
        <f t="shared" si="33"/>
        <v>340</v>
      </c>
      <c r="H70">
        <f t="shared" si="34"/>
        <v>6000</v>
      </c>
      <c r="I70">
        <f t="shared" si="35"/>
        <v>360</v>
      </c>
      <c r="J70">
        <v>2000</v>
      </c>
      <c r="K70" t="str">
        <f t="shared" si="36"/>
        <v>300,10000|320,8000|340,6000|360,2000</v>
      </c>
    </row>
    <row r="71" spans="1:11" x14ac:dyDescent="0.2">
      <c r="A71">
        <v>8</v>
      </c>
      <c r="B71">
        <f t="shared" si="28"/>
        <v>360</v>
      </c>
      <c r="C71">
        <f t="shared" si="29"/>
        <v>360</v>
      </c>
      <c r="D71">
        <f t="shared" si="30"/>
        <v>10000</v>
      </c>
      <c r="E71">
        <f t="shared" si="31"/>
        <v>390</v>
      </c>
      <c r="F71">
        <f t="shared" si="32"/>
        <v>8000</v>
      </c>
      <c r="G71">
        <f t="shared" si="33"/>
        <v>420</v>
      </c>
      <c r="H71">
        <f t="shared" si="34"/>
        <v>6000</v>
      </c>
      <c r="I71">
        <f t="shared" si="35"/>
        <v>450</v>
      </c>
      <c r="J71">
        <v>2000</v>
      </c>
      <c r="K71" t="str">
        <f t="shared" si="36"/>
        <v>360,10000|390,8000|420,6000|450,2000</v>
      </c>
    </row>
    <row r="72" spans="1:11" x14ac:dyDescent="0.2">
      <c r="A72">
        <v>9</v>
      </c>
      <c r="B72">
        <f t="shared" si="28"/>
        <v>400</v>
      </c>
      <c r="C72">
        <f t="shared" si="29"/>
        <v>400</v>
      </c>
      <c r="D72">
        <f t="shared" si="30"/>
        <v>10000</v>
      </c>
      <c r="E72">
        <f t="shared" si="31"/>
        <v>420</v>
      </c>
      <c r="F72">
        <f t="shared" si="32"/>
        <v>8000</v>
      </c>
      <c r="G72">
        <f t="shared" si="33"/>
        <v>440</v>
      </c>
      <c r="H72">
        <f t="shared" si="34"/>
        <v>6000</v>
      </c>
      <c r="I72">
        <f t="shared" si="35"/>
        <v>460</v>
      </c>
      <c r="J72">
        <v>2000</v>
      </c>
      <c r="K72" t="str">
        <f t="shared" si="36"/>
        <v>400,10000|420,8000|440,6000|460,2000</v>
      </c>
    </row>
    <row r="73" spans="1:11" x14ac:dyDescent="0.2">
      <c r="A73">
        <v>10</v>
      </c>
      <c r="B73">
        <f t="shared" si="28"/>
        <v>450</v>
      </c>
      <c r="C73">
        <f t="shared" si="29"/>
        <v>450</v>
      </c>
      <c r="D73">
        <f t="shared" si="30"/>
        <v>10000</v>
      </c>
      <c r="E73">
        <f t="shared" si="31"/>
        <v>470</v>
      </c>
      <c r="F73">
        <f t="shared" si="32"/>
        <v>8000</v>
      </c>
      <c r="G73">
        <f t="shared" si="33"/>
        <v>480</v>
      </c>
      <c r="H73">
        <f t="shared" si="34"/>
        <v>6000</v>
      </c>
      <c r="I73">
        <f t="shared" si="35"/>
        <v>500</v>
      </c>
      <c r="J73">
        <v>2000</v>
      </c>
      <c r="K73" t="str">
        <f t="shared" si="36"/>
        <v>450,10000|470,8000|480,6000|500,2000</v>
      </c>
    </row>
    <row r="74" spans="1:11" x14ac:dyDescent="0.2">
      <c r="A74">
        <v>1</v>
      </c>
      <c r="B74">
        <f t="shared" si="28"/>
        <v>0</v>
      </c>
      <c r="C74">
        <f t="shared" si="29"/>
        <v>0</v>
      </c>
      <c r="D74">
        <f t="shared" si="30"/>
        <v>10000</v>
      </c>
      <c r="E74">
        <f t="shared" si="31"/>
        <v>15</v>
      </c>
      <c r="F74">
        <f t="shared" si="32"/>
        <v>8000</v>
      </c>
      <c r="G74">
        <f t="shared" si="33"/>
        <v>30</v>
      </c>
      <c r="H74">
        <f t="shared" si="34"/>
        <v>6000</v>
      </c>
      <c r="I74">
        <f t="shared" si="35"/>
        <v>45</v>
      </c>
      <c r="J74">
        <v>2000</v>
      </c>
      <c r="K74" t="str">
        <f t="shared" si="36"/>
        <v>0,10000|15,8000|30,6000|45,2000</v>
      </c>
    </row>
    <row r="75" spans="1:11" x14ac:dyDescent="0.2">
      <c r="A75">
        <v>1</v>
      </c>
      <c r="B75">
        <f t="shared" si="28"/>
        <v>0</v>
      </c>
      <c r="C75">
        <f t="shared" si="29"/>
        <v>0</v>
      </c>
      <c r="D75">
        <f t="shared" si="30"/>
        <v>10000</v>
      </c>
      <c r="E75">
        <f t="shared" si="31"/>
        <v>15</v>
      </c>
      <c r="F75">
        <f t="shared" si="32"/>
        <v>8000</v>
      </c>
      <c r="G75">
        <f t="shared" si="33"/>
        <v>30</v>
      </c>
      <c r="H75">
        <f t="shared" si="34"/>
        <v>6000</v>
      </c>
      <c r="I75">
        <f t="shared" si="35"/>
        <v>45</v>
      </c>
      <c r="J75">
        <v>2000</v>
      </c>
      <c r="K75" t="str">
        <f t="shared" si="36"/>
        <v>0,10000|15,8000|30,6000|45,2000</v>
      </c>
    </row>
    <row r="76" spans="1:11" x14ac:dyDescent="0.2">
      <c r="A76">
        <v>1</v>
      </c>
      <c r="B76">
        <f t="shared" si="28"/>
        <v>0</v>
      </c>
      <c r="C76">
        <f t="shared" si="29"/>
        <v>0</v>
      </c>
      <c r="D76">
        <f t="shared" si="30"/>
        <v>10000</v>
      </c>
      <c r="E76">
        <f t="shared" si="31"/>
        <v>15</v>
      </c>
      <c r="F76">
        <f t="shared" si="32"/>
        <v>8000</v>
      </c>
      <c r="G76">
        <f t="shared" si="33"/>
        <v>30</v>
      </c>
      <c r="H76">
        <f t="shared" si="34"/>
        <v>6000</v>
      </c>
      <c r="I76">
        <f t="shared" si="35"/>
        <v>45</v>
      </c>
      <c r="J76">
        <v>2000</v>
      </c>
      <c r="K76" t="str">
        <f t="shared" si="36"/>
        <v>0,10000|15,8000|30,6000|45,2000</v>
      </c>
    </row>
    <row r="77" spans="1:11" x14ac:dyDescent="0.2">
      <c r="A77">
        <v>1</v>
      </c>
      <c r="B77">
        <f t="shared" si="28"/>
        <v>0</v>
      </c>
      <c r="C77">
        <f t="shared" si="29"/>
        <v>0</v>
      </c>
      <c r="D77">
        <f t="shared" si="30"/>
        <v>10000</v>
      </c>
      <c r="E77">
        <f t="shared" si="31"/>
        <v>15</v>
      </c>
      <c r="F77">
        <f t="shared" si="32"/>
        <v>8000</v>
      </c>
      <c r="G77">
        <f t="shared" si="33"/>
        <v>30</v>
      </c>
      <c r="H77">
        <f t="shared" si="34"/>
        <v>6000</v>
      </c>
      <c r="I77">
        <f t="shared" si="35"/>
        <v>45</v>
      </c>
      <c r="J77">
        <v>2000</v>
      </c>
      <c r="K77" t="str">
        <f t="shared" si="36"/>
        <v>0,10000|15,8000|30,6000|45,2000</v>
      </c>
    </row>
    <row r="78" spans="1:11" x14ac:dyDescent="0.2">
      <c r="A78">
        <v>2</v>
      </c>
      <c r="B78">
        <f t="shared" si="28"/>
        <v>30</v>
      </c>
      <c r="C78">
        <f t="shared" si="29"/>
        <v>30</v>
      </c>
      <c r="D78">
        <f t="shared" si="30"/>
        <v>10000</v>
      </c>
      <c r="E78">
        <f t="shared" si="31"/>
        <v>60</v>
      </c>
      <c r="F78">
        <f t="shared" si="32"/>
        <v>8000</v>
      </c>
      <c r="G78">
        <f t="shared" si="33"/>
        <v>90</v>
      </c>
      <c r="H78">
        <f t="shared" si="34"/>
        <v>6000</v>
      </c>
      <c r="I78">
        <f t="shared" si="35"/>
        <v>120</v>
      </c>
      <c r="J78">
        <v>2000</v>
      </c>
      <c r="K78" t="str">
        <f t="shared" si="36"/>
        <v>30,10000|60,8000|90,6000|120,2000</v>
      </c>
    </row>
    <row r="79" spans="1:11" x14ac:dyDescent="0.2">
      <c r="A79">
        <v>2</v>
      </c>
      <c r="B79">
        <f t="shared" si="28"/>
        <v>30</v>
      </c>
      <c r="C79">
        <f t="shared" si="29"/>
        <v>30</v>
      </c>
      <c r="D79">
        <f t="shared" si="30"/>
        <v>10000</v>
      </c>
      <c r="E79">
        <f t="shared" si="31"/>
        <v>60</v>
      </c>
      <c r="F79">
        <f t="shared" si="32"/>
        <v>8000</v>
      </c>
      <c r="G79">
        <f t="shared" si="33"/>
        <v>90</v>
      </c>
      <c r="H79">
        <f t="shared" si="34"/>
        <v>6000</v>
      </c>
      <c r="I79">
        <f t="shared" si="35"/>
        <v>120</v>
      </c>
      <c r="J79">
        <v>2000</v>
      </c>
      <c r="K79" t="str">
        <f t="shared" si="36"/>
        <v>30,10000|60,8000|90,6000|120,2000</v>
      </c>
    </row>
    <row r="80" spans="1:11" x14ac:dyDescent="0.2">
      <c r="A80">
        <v>2</v>
      </c>
      <c r="B80">
        <f t="shared" si="28"/>
        <v>30</v>
      </c>
      <c r="C80">
        <f t="shared" si="29"/>
        <v>30</v>
      </c>
      <c r="D80">
        <f t="shared" si="30"/>
        <v>10000</v>
      </c>
      <c r="E80">
        <f t="shared" si="31"/>
        <v>60</v>
      </c>
      <c r="F80">
        <f t="shared" si="32"/>
        <v>8000</v>
      </c>
      <c r="G80">
        <f t="shared" si="33"/>
        <v>90</v>
      </c>
      <c r="H80">
        <f t="shared" si="34"/>
        <v>6000</v>
      </c>
      <c r="I80">
        <f t="shared" si="35"/>
        <v>120</v>
      </c>
      <c r="J80">
        <v>2000</v>
      </c>
      <c r="K80" t="str">
        <f t="shared" si="36"/>
        <v>30,10000|60,8000|90,6000|120,2000</v>
      </c>
    </row>
    <row r="81" spans="1:11" x14ac:dyDescent="0.2">
      <c r="A81">
        <v>2</v>
      </c>
      <c r="B81">
        <f t="shared" si="28"/>
        <v>30</v>
      </c>
      <c r="C81">
        <f t="shared" si="29"/>
        <v>30</v>
      </c>
      <c r="D81">
        <f t="shared" si="30"/>
        <v>10000</v>
      </c>
      <c r="E81">
        <f t="shared" si="31"/>
        <v>60</v>
      </c>
      <c r="F81">
        <f t="shared" si="32"/>
        <v>8000</v>
      </c>
      <c r="G81">
        <f t="shared" si="33"/>
        <v>90</v>
      </c>
      <c r="H81">
        <f t="shared" si="34"/>
        <v>6000</v>
      </c>
      <c r="I81">
        <f t="shared" si="35"/>
        <v>120</v>
      </c>
      <c r="J81">
        <v>2000</v>
      </c>
      <c r="K81" t="str">
        <f t="shared" si="36"/>
        <v>30,10000|60,8000|90,6000|120,2000</v>
      </c>
    </row>
    <row r="82" spans="1:11" x14ac:dyDescent="0.2">
      <c r="A82">
        <v>3</v>
      </c>
      <c r="B82">
        <f t="shared" si="28"/>
        <v>100</v>
      </c>
      <c r="C82">
        <f t="shared" si="29"/>
        <v>100</v>
      </c>
      <c r="D82">
        <f t="shared" si="30"/>
        <v>10000</v>
      </c>
      <c r="E82">
        <f t="shared" si="31"/>
        <v>120</v>
      </c>
      <c r="F82">
        <f t="shared" si="32"/>
        <v>8000</v>
      </c>
      <c r="G82">
        <f t="shared" si="33"/>
        <v>140</v>
      </c>
      <c r="H82">
        <f t="shared" si="34"/>
        <v>6000</v>
      </c>
      <c r="I82">
        <f t="shared" si="35"/>
        <v>180</v>
      </c>
      <c r="J82">
        <v>2000</v>
      </c>
      <c r="K82" t="str">
        <f t="shared" si="36"/>
        <v>100,10000|120,8000|140,6000|180,2000</v>
      </c>
    </row>
    <row r="83" spans="1:11" x14ac:dyDescent="0.2">
      <c r="A83">
        <v>3</v>
      </c>
      <c r="B83">
        <f t="shared" si="28"/>
        <v>100</v>
      </c>
      <c r="C83">
        <f t="shared" si="29"/>
        <v>100</v>
      </c>
      <c r="D83">
        <f t="shared" si="30"/>
        <v>10000</v>
      </c>
      <c r="E83">
        <f t="shared" si="31"/>
        <v>120</v>
      </c>
      <c r="F83">
        <f t="shared" si="32"/>
        <v>8000</v>
      </c>
      <c r="G83">
        <f t="shared" si="33"/>
        <v>140</v>
      </c>
      <c r="H83">
        <f t="shared" si="34"/>
        <v>6000</v>
      </c>
      <c r="I83">
        <f t="shared" si="35"/>
        <v>180</v>
      </c>
      <c r="J83">
        <v>2000</v>
      </c>
      <c r="K83" t="str">
        <f t="shared" si="36"/>
        <v>100,10000|120,8000|140,6000|180,2000</v>
      </c>
    </row>
    <row r="84" spans="1:11" x14ac:dyDescent="0.2">
      <c r="A84">
        <v>3</v>
      </c>
      <c r="B84">
        <f t="shared" si="28"/>
        <v>100</v>
      </c>
      <c r="C84">
        <f t="shared" si="29"/>
        <v>100</v>
      </c>
      <c r="D84">
        <f t="shared" si="30"/>
        <v>10000</v>
      </c>
      <c r="E84">
        <f t="shared" si="31"/>
        <v>120</v>
      </c>
      <c r="F84">
        <f t="shared" si="32"/>
        <v>8000</v>
      </c>
      <c r="G84">
        <f t="shared" si="33"/>
        <v>140</v>
      </c>
      <c r="H84">
        <f t="shared" si="34"/>
        <v>6000</v>
      </c>
      <c r="I84">
        <f t="shared" si="35"/>
        <v>180</v>
      </c>
      <c r="J84">
        <v>2000</v>
      </c>
      <c r="K84" t="str">
        <f t="shared" si="36"/>
        <v>100,10000|120,8000|140,6000|180,2000</v>
      </c>
    </row>
    <row r="85" spans="1:11" x14ac:dyDescent="0.2">
      <c r="A85">
        <v>3</v>
      </c>
      <c r="B85">
        <f t="shared" si="28"/>
        <v>100</v>
      </c>
      <c r="C85">
        <f t="shared" si="29"/>
        <v>100</v>
      </c>
      <c r="D85">
        <f t="shared" si="30"/>
        <v>10000</v>
      </c>
      <c r="E85">
        <f t="shared" si="31"/>
        <v>120</v>
      </c>
      <c r="F85">
        <f t="shared" si="32"/>
        <v>8000</v>
      </c>
      <c r="G85">
        <f t="shared" si="33"/>
        <v>140</v>
      </c>
      <c r="H85">
        <f t="shared" si="34"/>
        <v>6000</v>
      </c>
      <c r="I85">
        <f t="shared" si="35"/>
        <v>180</v>
      </c>
      <c r="J85">
        <v>2000</v>
      </c>
      <c r="K85" t="str">
        <f t="shared" si="36"/>
        <v>100,10000|120,8000|140,6000|180,2000</v>
      </c>
    </row>
    <row r="86" spans="1:11" x14ac:dyDescent="0.2">
      <c r="A86">
        <f>A82+1</f>
        <v>4</v>
      </c>
      <c r="B86">
        <f t="shared" si="28"/>
        <v>150</v>
      </c>
      <c r="C86">
        <f t="shared" si="29"/>
        <v>150</v>
      </c>
      <c r="D86">
        <f t="shared" si="30"/>
        <v>10000</v>
      </c>
      <c r="E86">
        <f t="shared" si="31"/>
        <v>180</v>
      </c>
      <c r="F86">
        <f t="shared" si="32"/>
        <v>8000</v>
      </c>
      <c r="G86">
        <f t="shared" si="33"/>
        <v>200</v>
      </c>
      <c r="H86">
        <f t="shared" si="34"/>
        <v>6000</v>
      </c>
      <c r="I86">
        <f t="shared" si="35"/>
        <v>240</v>
      </c>
      <c r="J86">
        <v>2000</v>
      </c>
      <c r="K86" t="str">
        <f t="shared" si="36"/>
        <v>150,10000|180,8000|200,6000|240,2000</v>
      </c>
    </row>
    <row r="87" spans="1:11" x14ac:dyDescent="0.2">
      <c r="A87">
        <f t="shared" ref="A87:A150" si="37">A83+1</f>
        <v>4</v>
      </c>
      <c r="B87">
        <f t="shared" si="28"/>
        <v>150</v>
      </c>
      <c r="C87">
        <f t="shared" si="29"/>
        <v>150</v>
      </c>
      <c r="D87">
        <f t="shared" si="30"/>
        <v>10000</v>
      </c>
      <c r="E87">
        <f t="shared" si="31"/>
        <v>180</v>
      </c>
      <c r="F87">
        <f t="shared" si="32"/>
        <v>8000</v>
      </c>
      <c r="G87">
        <f t="shared" si="33"/>
        <v>200</v>
      </c>
      <c r="H87">
        <f t="shared" si="34"/>
        <v>6000</v>
      </c>
      <c r="I87">
        <f t="shared" si="35"/>
        <v>240</v>
      </c>
      <c r="J87">
        <v>2000</v>
      </c>
      <c r="K87" t="str">
        <f t="shared" si="36"/>
        <v>150,10000|180,8000|200,6000|240,2000</v>
      </c>
    </row>
    <row r="88" spans="1:11" x14ac:dyDescent="0.2">
      <c r="A88">
        <f t="shared" si="37"/>
        <v>4</v>
      </c>
      <c r="B88">
        <f t="shared" si="28"/>
        <v>150</v>
      </c>
      <c r="C88">
        <f t="shared" si="29"/>
        <v>150</v>
      </c>
      <c r="D88">
        <f t="shared" si="30"/>
        <v>10000</v>
      </c>
      <c r="E88">
        <f t="shared" si="31"/>
        <v>180</v>
      </c>
      <c r="F88">
        <f t="shared" si="32"/>
        <v>8000</v>
      </c>
      <c r="G88">
        <f t="shared" si="33"/>
        <v>200</v>
      </c>
      <c r="H88">
        <f t="shared" si="34"/>
        <v>6000</v>
      </c>
      <c r="I88">
        <f t="shared" si="35"/>
        <v>240</v>
      </c>
      <c r="J88">
        <v>2000</v>
      </c>
      <c r="K88" t="str">
        <f t="shared" si="36"/>
        <v>150,10000|180,8000|200,6000|240,2000</v>
      </c>
    </row>
    <row r="89" spans="1:11" x14ac:dyDescent="0.2">
      <c r="A89">
        <f t="shared" si="37"/>
        <v>4</v>
      </c>
      <c r="B89">
        <f t="shared" si="28"/>
        <v>150</v>
      </c>
      <c r="C89">
        <f t="shared" si="29"/>
        <v>150</v>
      </c>
      <c r="D89">
        <f t="shared" si="30"/>
        <v>10000</v>
      </c>
      <c r="E89">
        <f t="shared" si="31"/>
        <v>180</v>
      </c>
      <c r="F89">
        <f t="shared" si="32"/>
        <v>8000</v>
      </c>
      <c r="G89">
        <f t="shared" si="33"/>
        <v>200</v>
      </c>
      <c r="H89">
        <f t="shared" si="34"/>
        <v>6000</v>
      </c>
      <c r="I89">
        <f t="shared" si="35"/>
        <v>240</v>
      </c>
      <c r="J89">
        <v>2000</v>
      </c>
      <c r="K89" t="str">
        <f t="shared" si="36"/>
        <v>150,10000|180,8000|200,6000|240,2000</v>
      </c>
    </row>
    <row r="90" spans="1:11" x14ac:dyDescent="0.2">
      <c r="A90">
        <f t="shared" si="37"/>
        <v>5</v>
      </c>
      <c r="B90">
        <f t="shared" si="28"/>
        <v>200</v>
      </c>
      <c r="C90">
        <f t="shared" si="29"/>
        <v>200</v>
      </c>
      <c r="D90">
        <f t="shared" si="30"/>
        <v>10000</v>
      </c>
      <c r="E90">
        <f t="shared" si="31"/>
        <v>230</v>
      </c>
      <c r="F90">
        <f t="shared" si="32"/>
        <v>8000</v>
      </c>
      <c r="G90">
        <f t="shared" si="33"/>
        <v>255</v>
      </c>
      <c r="H90">
        <f t="shared" si="34"/>
        <v>6000</v>
      </c>
      <c r="I90">
        <f t="shared" si="35"/>
        <v>280</v>
      </c>
      <c r="J90">
        <v>2000</v>
      </c>
      <c r="K90" t="str">
        <f t="shared" si="36"/>
        <v>200,10000|230,8000|255,6000|280,2000</v>
      </c>
    </row>
    <row r="91" spans="1:11" x14ac:dyDescent="0.2">
      <c r="A91">
        <f t="shared" si="37"/>
        <v>5</v>
      </c>
      <c r="B91">
        <f t="shared" si="28"/>
        <v>200</v>
      </c>
      <c r="C91">
        <f t="shared" si="29"/>
        <v>200</v>
      </c>
      <c r="D91">
        <f t="shared" si="30"/>
        <v>10000</v>
      </c>
      <c r="E91">
        <f t="shared" si="31"/>
        <v>230</v>
      </c>
      <c r="F91">
        <f t="shared" si="32"/>
        <v>8000</v>
      </c>
      <c r="G91">
        <f t="shared" si="33"/>
        <v>255</v>
      </c>
      <c r="H91">
        <f t="shared" si="34"/>
        <v>6000</v>
      </c>
      <c r="I91">
        <f t="shared" si="35"/>
        <v>280</v>
      </c>
      <c r="J91">
        <v>2000</v>
      </c>
      <c r="K91" t="str">
        <f t="shared" si="36"/>
        <v>200,10000|230,8000|255,6000|280,2000</v>
      </c>
    </row>
    <row r="92" spans="1:11" x14ac:dyDescent="0.2">
      <c r="A92">
        <f t="shared" si="37"/>
        <v>5</v>
      </c>
      <c r="B92">
        <f t="shared" si="28"/>
        <v>200</v>
      </c>
      <c r="C92">
        <f t="shared" si="29"/>
        <v>200</v>
      </c>
      <c r="D92">
        <f t="shared" si="30"/>
        <v>10000</v>
      </c>
      <c r="E92">
        <f t="shared" si="31"/>
        <v>230</v>
      </c>
      <c r="F92">
        <f t="shared" si="32"/>
        <v>8000</v>
      </c>
      <c r="G92">
        <f t="shared" si="33"/>
        <v>255</v>
      </c>
      <c r="H92">
        <f t="shared" si="34"/>
        <v>6000</v>
      </c>
      <c r="I92">
        <f t="shared" si="35"/>
        <v>280</v>
      </c>
      <c r="J92">
        <v>2000</v>
      </c>
      <c r="K92" t="str">
        <f t="shared" si="36"/>
        <v>200,10000|230,8000|255,6000|280,2000</v>
      </c>
    </row>
    <row r="93" spans="1:11" x14ac:dyDescent="0.2">
      <c r="A93">
        <f t="shared" si="37"/>
        <v>5</v>
      </c>
      <c r="B93">
        <f t="shared" si="28"/>
        <v>200</v>
      </c>
      <c r="C93">
        <f t="shared" si="29"/>
        <v>200</v>
      </c>
      <c r="D93">
        <f t="shared" si="30"/>
        <v>10000</v>
      </c>
      <c r="E93">
        <f t="shared" si="31"/>
        <v>230</v>
      </c>
      <c r="F93">
        <f t="shared" si="32"/>
        <v>8000</v>
      </c>
      <c r="G93">
        <f t="shared" si="33"/>
        <v>255</v>
      </c>
      <c r="H93">
        <f t="shared" si="34"/>
        <v>6000</v>
      </c>
      <c r="I93">
        <f t="shared" si="35"/>
        <v>280</v>
      </c>
      <c r="J93">
        <v>2000</v>
      </c>
      <c r="K93" t="str">
        <f t="shared" si="36"/>
        <v>200,10000|230,8000|255,6000|280,2000</v>
      </c>
    </row>
    <row r="94" spans="1:11" x14ac:dyDescent="0.2">
      <c r="A94">
        <f t="shared" si="37"/>
        <v>6</v>
      </c>
      <c r="B94">
        <f t="shared" si="28"/>
        <v>250</v>
      </c>
      <c r="C94">
        <f t="shared" si="29"/>
        <v>250</v>
      </c>
      <c r="D94">
        <f t="shared" si="30"/>
        <v>10000</v>
      </c>
      <c r="E94">
        <f t="shared" si="31"/>
        <v>280</v>
      </c>
      <c r="F94">
        <f t="shared" si="32"/>
        <v>8000</v>
      </c>
      <c r="G94">
        <f t="shared" si="33"/>
        <v>300</v>
      </c>
      <c r="H94">
        <f t="shared" si="34"/>
        <v>6000</v>
      </c>
      <c r="I94">
        <f t="shared" si="35"/>
        <v>320</v>
      </c>
      <c r="J94">
        <v>2000</v>
      </c>
      <c r="K94" t="str">
        <f t="shared" si="36"/>
        <v>250,10000|280,8000|300,6000|320,2000</v>
      </c>
    </row>
    <row r="95" spans="1:11" x14ac:dyDescent="0.2">
      <c r="A95">
        <f t="shared" si="37"/>
        <v>6</v>
      </c>
      <c r="B95">
        <f t="shared" si="28"/>
        <v>250</v>
      </c>
      <c r="C95">
        <f t="shared" si="29"/>
        <v>250</v>
      </c>
      <c r="D95">
        <f t="shared" si="30"/>
        <v>10000</v>
      </c>
      <c r="E95">
        <f t="shared" si="31"/>
        <v>280</v>
      </c>
      <c r="F95">
        <f t="shared" si="32"/>
        <v>8000</v>
      </c>
      <c r="G95">
        <f t="shared" si="33"/>
        <v>300</v>
      </c>
      <c r="H95">
        <f t="shared" si="34"/>
        <v>6000</v>
      </c>
      <c r="I95">
        <f t="shared" si="35"/>
        <v>320</v>
      </c>
      <c r="J95">
        <v>2000</v>
      </c>
      <c r="K95" t="str">
        <f t="shared" si="36"/>
        <v>250,10000|280,8000|300,6000|320,2000</v>
      </c>
    </row>
    <row r="96" spans="1:11" x14ac:dyDescent="0.2">
      <c r="A96">
        <f t="shared" si="37"/>
        <v>6</v>
      </c>
      <c r="B96">
        <f t="shared" ref="B96:B127" si="38">VLOOKUP($A96,$N$4:$V$23,2,FALSE)</f>
        <v>250</v>
      </c>
      <c r="C96">
        <f t="shared" ref="C96:C127" si="39">VLOOKUP($A96,$N$4:$V$23,3,FALSE)</f>
        <v>250</v>
      </c>
      <c r="D96">
        <f t="shared" ref="D96:D127" si="40">VLOOKUP($A96,$N$4:$V$23,4,FALSE)</f>
        <v>10000</v>
      </c>
      <c r="E96">
        <f t="shared" ref="E96:E127" si="41">VLOOKUP($A96,$N$4:$V$23,5,FALSE)</f>
        <v>280</v>
      </c>
      <c r="F96">
        <f t="shared" ref="F96:F127" si="42">VLOOKUP($A96,$N$4:$V$23,6,FALSE)</f>
        <v>8000</v>
      </c>
      <c r="G96">
        <f t="shared" ref="G96:G127" si="43">VLOOKUP($A96,$N$4:$V$23,7,FALSE)</f>
        <v>300</v>
      </c>
      <c r="H96">
        <f t="shared" ref="H96:H127" si="44">VLOOKUP($A96,$N$4:$V$23,8,FALSE)</f>
        <v>6000</v>
      </c>
      <c r="I96">
        <f t="shared" ref="I96:I127" si="45">VLOOKUP($A96,$N$4:$V$23,9,FALSE)</f>
        <v>320</v>
      </c>
      <c r="J96">
        <v>2000</v>
      </c>
      <c r="K96" t="str">
        <f t="shared" si="36"/>
        <v>250,10000|280,8000|300,6000|320,2000</v>
      </c>
    </row>
    <row r="97" spans="1:11" x14ac:dyDescent="0.2">
      <c r="A97">
        <f t="shared" si="37"/>
        <v>6</v>
      </c>
      <c r="B97">
        <f t="shared" si="38"/>
        <v>250</v>
      </c>
      <c r="C97">
        <f t="shared" si="39"/>
        <v>250</v>
      </c>
      <c r="D97">
        <f t="shared" si="40"/>
        <v>10000</v>
      </c>
      <c r="E97">
        <f t="shared" si="41"/>
        <v>280</v>
      </c>
      <c r="F97">
        <f t="shared" si="42"/>
        <v>8000</v>
      </c>
      <c r="G97">
        <f t="shared" si="43"/>
        <v>300</v>
      </c>
      <c r="H97">
        <f t="shared" si="44"/>
        <v>6000</v>
      </c>
      <c r="I97">
        <f t="shared" si="45"/>
        <v>320</v>
      </c>
      <c r="J97">
        <v>2000</v>
      </c>
      <c r="K97" t="str">
        <f t="shared" si="36"/>
        <v>250,10000|280,8000|300,6000|320,2000</v>
      </c>
    </row>
    <row r="98" spans="1:11" x14ac:dyDescent="0.2">
      <c r="A98">
        <f t="shared" si="37"/>
        <v>7</v>
      </c>
      <c r="B98">
        <f t="shared" si="38"/>
        <v>300</v>
      </c>
      <c r="C98">
        <f t="shared" si="39"/>
        <v>300</v>
      </c>
      <c r="D98">
        <f t="shared" si="40"/>
        <v>10000</v>
      </c>
      <c r="E98">
        <f t="shared" si="41"/>
        <v>320</v>
      </c>
      <c r="F98">
        <f t="shared" si="42"/>
        <v>8000</v>
      </c>
      <c r="G98">
        <f t="shared" si="43"/>
        <v>340</v>
      </c>
      <c r="H98">
        <f t="shared" si="44"/>
        <v>6000</v>
      </c>
      <c r="I98">
        <f t="shared" si="45"/>
        <v>360</v>
      </c>
      <c r="J98">
        <v>2000</v>
      </c>
      <c r="K98" t="str">
        <f t="shared" si="36"/>
        <v>300,10000|320,8000|340,6000|360,2000</v>
      </c>
    </row>
    <row r="99" spans="1:11" x14ac:dyDescent="0.2">
      <c r="A99">
        <f t="shared" si="37"/>
        <v>7</v>
      </c>
      <c r="B99">
        <f t="shared" si="38"/>
        <v>300</v>
      </c>
      <c r="C99">
        <f t="shared" si="39"/>
        <v>300</v>
      </c>
      <c r="D99">
        <f t="shared" si="40"/>
        <v>10000</v>
      </c>
      <c r="E99">
        <f t="shared" si="41"/>
        <v>320</v>
      </c>
      <c r="F99">
        <f t="shared" si="42"/>
        <v>8000</v>
      </c>
      <c r="G99">
        <f t="shared" si="43"/>
        <v>340</v>
      </c>
      <c r="H99">
        <f t="shared" si="44"/>
        <v>6000</v>
      </c>
      <c r="I99">
        <f t="shared" si="45"/>
        <v>360</v>
      </c>
      <c r="J99">
        <v>2000</v>
      </c>
      <c r="K99" t="str">
        <f t="shared" si="36"/>
        <v>300,10000|320,8000|340,6000|360,2000</v>
      </c>
    </row>
    <row r="100" spans="1:11" x14ac:dyDescent="0.2">
      <c r="A100">
        <f t="shared" si="37"/>
        <v>7</v>
      </c>
      <c r="B100">
        <f t="shared" si="38"/>
        <v>300</v>
      </c>
      <c r="C100">
        <f t="shared" si="39"/>
        <v>300</v>
      </c>
      <c r="D100">
        <f t="shared" si="40"/>
        <v>10000</v>
      </c>
      <c r="E100">
        <f t="shared" si="41"/>
        <v>320</v>
      </c>
      <c r="F100">
        <f t="shared" si="42"/>
        <v>8000</v>
      </c>
      <c r="G100">
        <f t="shared" si="43"/>
        <v>340</v>
      </c>
      <c r="H100">
        <f t="shared" si="44"/>
        <v>6000</v>
      </c>
      <c r="I100">
        <f t="shared" si="45"/>
        <v>360</v>
      </c>
      <c r="J100">
        <v>2000</v>
      </c>
      <c r="K100" t="str">
        <f t="shared" si="36"/>
        <v>300,10000|320,8000|340,6000|360,2000</v>
      </c>
    </row>
    <row r="101" spans="1:11" x14ac:dyDescent="0.2">
      <c r="A101">
        <f t="shared" si="37"/>
        <v>7</v>
      </c>
      <c r="B101">
        <f t="shared" si="38"/>
        <v>300</v>
      </c>
      <c r="C101">
        <f t="shared" si="39"/>
        <v>300</v>
      </c>
      <c r="D101">
        <f t="shared" si="40"/>
        <v>10000</v>
      </c>
      <c r="E101">
        <f t="shared" si="41"/>
        <v>320</v>
      </c>
      <c r="F101">
        <f t="shared" si="42"/>
        <v>8000</v>
      </c>
      <c r="G101">
        <f t="shared" si="43"/>
        <v>340</v>
      </c>
      <c r="H101">
        <f t="shared" si="44"/>
        <v>6000</v>
      </c>
      <c r="I101">
        <f t="shared" si="45"/>
        <v>360</v>
      </c>
      <c r="J101">
        <v>2000</v>
      </c>
      <c r="K101" t="str">
        <f t="shared" si="36"/>
        <v>300,10000|320,8000|340,6000|360,2000</v>
      </c>
    </row>
    <row r="102" spans="1:11" x14ac:dyDescent="0.2">
      <c r="A102">
        <f t="shared" si="37"/>
        <v>8</v>
      </c>
      <c r="B102">
        <f t="shared" si="38"/>
        <v>360</v>
      </c>
      <c r="C102">
        <f t="shared" si="39"/>
        <v>360</v>
      </c>
      <c r="D102">
        <f t="shared" si="40"/>
        <v>10000</v>
      </c>
      <c r="E102">
        <f t="shared" si="41"/>
        <v>390</v>
      </c>
      <c r="F102">
        <f t="shared" si="42"/>
        <v>8000</v>
      </c>
      <c r="G102">
        <f t="shared" si="43"/>
        <v>420</v>
      </c>
      <c r="H102">
        <f t="shared" si="44"/>
        <v>6000</v>
      </c>
      <c r="I102">
        <f t="shared" si="45"/>
        <v>450</v>
      </c>
      <c r="J102">
        <v>2000</v>
      </c>
      <c r="K102" t="str">
        <f t="shared" si="36"/>
        <v>360,10000|390,8000|420,6000|450,2000</v>
      </c>
    </row>
    <row r="103" spans="1:11" x14ac:dyDescent="0.2">
      <c r="A103">
        <f t="shared" si="37"/>
        <v>8</v>
      </c>
      <c r="B103">
        <f t="shared" si="38"/>
        <v>360</v>
      </c>
      <c r="C103">
        <f t="shared" si="39"/>
        <v>360</v>
      </c>
      <c r="D103">
        <f t="shared" si="40"/>
        <v>10000</v>
      </c>
      <c r="E103">
        <f t="shared" si="41"/>
        <v>390</v>
      </c>
      <c r="F103">
        <f t="shared" si="42"/>
        <v>8000</v>
      </c>
      <c r="G103">
        <f t="shared" si="43"/>
        <v>420</v>
      </c>
      <c r="H103">
        <f t="shared" si="44"/>
        <v>6000</v>
      </c>
      <c r="I103">
        <f t="shared" si="45"/>
        <v>450</v>
      </c>
      <c r="J103">
        <v>2000</v>
      </c>
      <c r="K103" t="str">
        <f t="shared" si="36"/>
        <v>360,10000|390,8000|420,6000|450,2000</v>
      </c>
    </row>
    <row r="104" spans="1:11" x14ac:dyDescent="0.2">
      <c r="A104">
        <f t="shared" si="37"/>
        <v>8</v>
      </c>
      <c r="B104">
        <f t="shared" si="38"/>
        <v>360</v>
      </c>
      <c r="C104">
        <f t="shared" si="39"/>
        <v>360</v>
      </c>
      <c r="D104">
        <f t="shared" si="40"/>
        <v>10000</v>
      </c>
      <c r="E104">
        <f t="shared" si="41"/>
        <v>390</v>
      </c>
      <c r="F104">
        <f t="shared" si="42"/>
        <v>8000</v>
      </c>
      <c r="G104">
        <f t="shared" si="43"/>
        <v>420</v>
      </c>
      <c r="H104">
        <f t="shared" si="44"/>
        <v>6000</v>
      </c>
      <c r="I104">
        <f t="shared" si="45"/>
        <v>450</v>
      </c>
      <c r="J104">
        <v>2000</v>
      </c>
      <c r="K104" t="str">
        <f t="shared" si="36"/>
        <v>360,10000|390,8000|420,6000|450,2000</v>
      </c>
    </row>
    <row r="105" spans="1:11" x14ac:dyDescent="0.2">
      <c r="A105">
        <f t="shared" si="37"/>
        <v>8</v>
      </c>
      <c r="B105">
        <f t="shared" si="38"/>
        <v>360</v>
      </c>
      <c r="C105">
        <f t="shared" si="39"/>
        <v>360</v>
      </c>
      <c r="D105">
        <f t="shared" si="40"/>
        <v>10000</v>
      </c>
      <c r="E105">
        <f t="shared" si="41"/>
        <v>390</v>
      </c>
      <c r="F105">
        <f t="shared" si="42"/>
        <v>8000</v>
      </c>
      <c r="G105">
        <f t="shared" si="43"/>
        <v>420</v>
      </c>
      <c r="H105">
        <f t="shared" si="44"/>
        <v>6000</v>
      </c>
      <c r="I105">
        <f t="shared" si="45"/>
        <v>450</v>
      </c>
      <c r="J105">
        <v>2000</v>
      </c>
      <c r="K105" t="str">
        <f t="shared" si="36"/>
        <v>360,10000|390,8000|420,6000|450,2000</v>
      </c>
    </row>
    <row r="106" spans="1:11" x14ac:dyDescent="0.2">
      <c r="A106">
        <f t="shared" si="37"/>
        <v>9</v>
      </c>
      <c r="B106">
        <f t="shared" si="38"/>
        <v>400</v>
      </c>
      <c r="C106">
        <f t="shared" si="39"/>
        <v>400</v>
      </c>
      <c r="D106">
        <f t="shared" si="40"/>
        <v>10000</v>
      </c>
      <c r="E106">
        <f t="shared" si="41"/>
        <v>420</v>
      </c>
      <c r="F106">
        <f t="shared" si="42"/>
        <v>8000</v>
      </c>
      <c r="G106">
        <f t="shared" si="43"/>
        <v>440</v>
      </c>
      <c r="H106">
        <f t="shared" si="44"/>
        <v>6000</v>
      </c>
      <c r="I106">
        <f t="shared" si="45"/>
        <v>460</v>
      </c>
      <c r="J106">
        <v>2000</v>
      </c>
      <c r="K106" t="str">
        <f t="shared" si="36"/>
        <v>400,10000|420,8000|440,6000|460,2000</v>
      </c>
    </row>
    <row r="107" spans="1:11" x14ac:dyDescent="0.2">
      <c r="A107">
        <f t="shared" si="37"/>
        <v>9</v>
      </c>
      <c r="B107">
        <f t="shared" si="38"/>
        <v>400</v>
      </c>
      <c r="C107">
        <f t="shared" si="39"/>
        <v>400</v>
      </c>
      <c r="D107">
        <f t="shared" si="40"/>
        <v>10000</v>
      </c>
      <c r="E107">
        <f t="shared" si="41"/>
        <v>420</v>
      </c>
      <c r="F107">
        <f t="shared" si="42"/>
        <v>8000</v>
      </c>
      <c r="G107">
        <f t="shared" si="43"/>
        <v>440</v>
      </c>
      <c r="H107">
        <f t="shared" si="44"/>
        <v>6000</v>
      </c>
      <c r="I107">
        <f t="shared" si="45"/>
        <v>460</v>
      </c>
      <c r="J107">
        <v>2000</v>
      </c>
      <c r="K107" t="str">
        <f t="shared" si="36"/>
        <v>400,10000|420,8000|440,6000|460,2000</v>
      </c>
    </row>
    <row r="108" spans="1:11" x14ac:dyDescent="0.2">
      <c r="A108">
        <f t="shared" si="37"/>
        <v>9</v>
      </c>
      <c r="B108">
        <f t="shared" si="38"/>
        <v>400</v>
      </c>
      <c r="C108">
        <f t="shared" si="39"/>
        <v>400</v>
      </c>
      <c r="D108">
        <f t="shared" si="40"/>
        <v>10000</v>
      </c>
      <c r="E108">
        <f t="shared" si="41"/>
        <v>420</v>
      </c>
      <c r="F108">
        <f t="shared" si="42"/>
        <v>8000</v>
      </c>
      <c r="G108">
        <f t="shared" si="43"/>
        <v>440</v>
      </c>
      <c r="H108">
        <f t="shared" si="44"/>
        <v>6000</v>
      </c>
      <c r="I108">
        <f t="shared" si="45"/>
        <v>460</v>
      </c>
      <c r="J108">
        <v>2000</v>
      </c>
      <c r="K108" t="str">
        <f t="shared" si="36"/>
        <v>400,10000|420,8000|440,6000|460,2000</v>
      </c>
    </row>
    <row r="109" spans="1:11" x14ac:dyDescent="0.2">
      <c r="A109">
        <f t="shared" si="37"/>
        <v>9</v>
      </c>
      <c r="B109">
        <f t="shared" si="38"/>
        <v>400</v>
      </c>
      <c r="C109">
        <f t="shared" si="39"/>
        <v>400</v>
      </c>
      <c r="D109">
        <f t="shared" si="40"/>
        <v>10000</v>
      </c>
      <c r="E109">
        <f t="shared" si="41"/>
        <v>420</v>
      </c>
      <c r="F109">
        <f t="shared" si="42"/>
        <v>8000</v>
      </c>
      <c r="G109">
        <f t="shared" si="43"/>
        <v>440</v>
      </c>
      <c r="H109">
        <f t="shared" si="44"/>
        <v>6000</v>
      </c>
      <c r="I109">
        <f t="shared" si="45"/>
        <v>460</v>
      </c>
      <c r="J109">
        <v>2000</v>
      </c>
      <c r="K109" t="str">
        <f t="shared" si="36"/>
        <v>400,10000|420,8000|440,6000|460,2000</v>
      </c>
    </row>
    <row r="110" spans="1:11" x14ac:dyDescent="0.2">
      <c r="A110">
        <f t="shared" si="37"/>
        <v>10</v>
      </c>
      <c r="B110">
        <f t="shared" si="38"/>
        <v>450</v>
      </c>
      <c r="C110">
        <f t="shared" si="39"/>
        <v>450</v>
      </c>
      <c r="D110">
        <f t="shared" si="40"/>
        <v>10000</v>
      </c>
      <c r="E110">
        <f t="shared" si="41"/>
        <v>470</v>
      </c>
      <c r="F110">
        <f t="shared" si="42"/>
        <v>8000</v>
      </c>
      <c r="G110">
        <f t="shared" si="43"/>
        <v>480</v>
      </c>
      <c r="H110">
        <f t="shared" si="44"/>
        <v>6000</v>
      </c>
      <c r="I110">
        <f t="shared" si="45"/>
        <v>500</v>
      </c>
      <c r="J110">
        <v>2000</v>
      </c>
      <c r="K110" t="str">
        <f t="shared" si="36"/>
        <v>450,10000|470,8000|480,6000|500,2000</v>
      </c>
    </row>
    <row r="111" spans="1:11" x14ac:dyDescent="0.2">
      <c r="A111">
        <f t="shared" si="37"/>
        <v>10</v>
      </c>
      <c r="B111">
        <f t="shared" si="38"/>
        <v>450</v>
      </c>
      <c r="C111">
        <f t="shared" si="39"/>
        <v>450</v>
      </c>
      <c r="D111">
        <f t="shared" si="40"/>
        <v>10000</v>
      </c>
      <c r="E111">
        <f t="shared" si="41"/>
        <v>470</v>
      </c>
      <c r="F111">
        <f t="shared" si="42"/>
        <v>8000</v>
      </c>
      <c r="G111">
        <f t="shared" si="43"/>
        <v>480</v>
      </c>
      <c r="H111">
        <f t="shared" si="44"/>
        <v>6000</v>
      </c>
      <c r="I111">
        <f t="shared" si="45"/>
        <v>500</v>
      </c>
      <c r="J111">
        <v>2000</v>
      </c>
      <c r="K111" t="str">
        <f t="shared" si="36"/>
        <v>450,10000|470,8000|480,6000|500,2000</v>
      </c>
    </row>
    <row r="112" spans="1:11" x14ac:dyDescent="0.2">
      <c r="A112">
        <f t="shared" si="37"/>
        <v>10</v>
      </c>
      <c r="B112">
        <f t="shared" si="38"/>
        <v>450</v>
      </c>
      <c r="C112">
        <f t="shared" si="39"/>
        <v>450</v>
      </c>
      <c r="D112">
        <f t="shared" si="40"/>
        <v>10000</v>
      </c>
      <c r="E112">
        <f t="shared" si="41"/>
        <v>470</v>
      </c>
      <c r="F112">
        <f t="shared" si="42"/>
        <v>8000</v>
      </c>
      <c r="G112">
        <f t="shared" si="43"/>
        <v>480</v>
      </c>
      <c r="H112">
        <f t="shared" si="44"/>
        <v>6000</v>
      </c>
      <c r="I112">
        <f t="shared" si="45"/>
        <v>500</v>
      </c>
      <c r="J112">
        <v>2000</v>
      </c>
      <c r="K112" t="str">
        <f t="shared" si="36"/>
        <v>450,10000|470,8000|480,6000|500,2000</v>
      </c>
    </row>
    <row r="113" spans="1:11" x14ac:dyDescent="0.2">
      <c r="A113">
        <f t="shared" si="37"/>
        <v>10</v>
      </c>
      <c r="B113">
        <f t="shared" si="38"/>
        <v>450</v>
      </c>
      <c r="C113">
        <f t="shared" si="39"/>
        <v>450</v>
      </c>
      <c r="D113">
        <f t="shared" si="40"/>
        <v>10000</v>
      </c>
      <c r="E113">
        <f t="shared" si="41"/>
        <v>470</v>
      </c>
      <c r="F113">
        <f t="shared" si="42"/>
        <v>8000</v>
      </c>
      <c r="G113">
        <f t="shared" si="43"/>
        <v>480</v>
      </c>
      <c r="H113">
        <f t="shared" si="44"/>
        <v>6000</v>
      </c>
      <c r="I113">
        <f t="shared" si="45"/>
        <v>500</v>
      </c>
      <c r="J113">
        <v>2000</v>
      </c>
      <c r="K113" t="str">
        <f t="shared" si="36"/>
        <v>450,10000|470,8000|480,6000|500,2000</v>
      </c>
    </row>
    <row r="114" spans="1:11" x14ac:dyDescent="0.2">
      <c r="A114">
        <f t="shared" si="37"/>
        <v>11</v>
      </c>
      <c r="B114">
        <f t="shared" si="38"/>
        <v>500</v>
      </c>
      <c r="C114">
        <f t="shared" si="39"/>
        <v>500</v>
      </c>
      <c r="D114">
        <f t="shared" si="40"/>
        <v>10000</v>
      </c>
      <c r="E114">
        <f t="shared" si="41"/>
        <v>515</v>
      </c>
      <c r="F114">
        <f t="shared" si="42"/>
        <v>8000</v>
      </c>
      <c r="G114">
        <f t="shared" si="43"/>
        <v>530</v>
      </c>
      <c r="H114">
        <f t="shared" si="44"/>
        <v>6000</v>
      </c>
      <c r="I114">
        <f t="shared" si="45"/>
        <v>545</v>
      </c>
      <c r="J114">
        <v>2000</v>
      </c>
      <c r="K114" t="str">
        <f t="shared" si="36"/>
        <v>500,10000|515,8000|530,6000|545,2000</v>
      </c>
    </row>
    <row r="115" spans="1:11" x14ac:dyDescent="0.2">
      <c r="A115">
        <f t="shared" si="37"/>
        <v>11</v>
      </c>
      <c r="B115">
        <f t="shared" si="38"/>
        <v>500</v>
      </c>
      <c r="C115">
        <f t="shared" si="39"/>
        <v>500</v>
      </c>
      <c r="D115">
        <f t="shared" si="40"/>
        <v>10000</v>
      </c>
      <c r="E115">
        <f t="shared" si="41"/>
        <v>515</v>
      </c>
      <c r="F115">
        <f t="shared" si="42"/>
        <v>8000</v>
      </c>
      <c r="G115">
        <f t="shared" si="43"/>
        <v>530</v>
      </c>
      <c r="H115">
        <f t="shared" si="44"/>
        <v>6000</v>
      </c>
      <c r="I115">
        <f t="shared" si="45"/>
        <v>545</v>
      </c>
      <c r="J115">
        <v>2000</v>
      </c>
      <c r="K115" t="str">
        <f t="shared" si="36"/>
        <v>500,10000|515,8000|530,6000|545,2000</v>
      </c>
    </row>
    <row r="116" spans="1:11" x14ac:dyDescent="0.2">
      <c r="A116">
        <f t="shared" si="37"/>
        <v>11</v>
      </c>
      <c r="B116">
        <f t="shared" si="38"/>
        <v>500</v>
      </c>
      <c r="C116">
        <f t="shared" si="39"/>
        <v>500</v>
      </c>
      <c r="D116">
        <f t="shared" si="40"/>
        <v>10000</v>
      </c>
      <c r="E116">
        <f t="shared" si="41"/>
        <v>515</v>
      </c>
      <c r="F116">
        <f t="shared" si="42"/>
        <v>8000</v>
      </c>
      <c r="G116">
        <f t="shared" si="43"/>
        <v>530</v>
      </c>
      <c r="H116">
        <f t="shared" si="44"/>
        <v>6000</v>
      </c>
      <c r="I116">
        <f t="shared" si="45"/>
        <v>545</v>
      </c>
      <c r="J116">
        <v>2000</v>
      </c>
      <c r="K116" t="str">
        <f t="shared" si="36"/>
        <v>500,10000|515,8000|530,6000|545,2000</v>
      </c>
    </row>
    <row r="117" spans="1:11" x14ac:dyDescent="0.2">
      <c r="A117">
        <f t="shared" si="37"/>
        <v>11</v>
      </c>
      <c r="B117">
        <f t="shared" si="38"/>
        <v>500</v>
      </c>
      <c r="C117">
        <f t="shared" si="39"/>
        <v>500</v>
      </c>
      <c r="D117">
        <f t="shared" si="40"/>
        <v>10000</v>
      </c>
      <c r="E117">
        <f t="shared" si="41"/>
        <v>515</v>
      </c>
      <c r="F117">
        <f t="shared" si="42"/>
        <v>8000</v>
      </c>
      <c r="G117">
        <f t="shared" si="43"/>
        <v>530</v>
      </c>
      <c r="H117">
        <f t="shared" si="44"/>
        <v>6000</v>
      </c>
      <c r="I117">
        <f t="shared" si="45"/>
        <v>545</v>
      </c>
      <c r="J117">
        <v>2000</v>
      </c>
      <c r="K117" t="str">
        <f t="shared" si="36"/>
        <v>500,10000|515,8000|530,6000|545,2000</v>
      </c>
    </row>
    <row r="118" spans="1:11" x14ac:dyDescent="0.2">
      <c r="A118">
        <f t="shared" si="37"/>
        <v>12</v>
      </c>
      <c r="B118">
        <f t="shared" si="38"/>
        <v>530</v>
      </c>
      <c r="C118">
        <f t="shared" si="39"/>
        <v>530</v>
      </c>
      <c r="D118">
        <f t="shared" si="40"/>
        <v>10000</v>
      </c>
      <c r="E118">
        <f t="shared" si="41"/>
        <v>560</v>
      </c>
      <c r="F118">
        <f t="shared" si="42"/>
        <v>8000</v>
      </c>
      <c r="G118">
        <f t="shared" si="43"/>
        <v>590</v>
      </c>
      <c r="H118">
        <f t="shared" si="44"/>
        <v>6000</v>
      </c>
      <c r="I118">
        <f t="shared" si="45"/>
        <v>620</v>
      </c>
      <c r="J118">
        <v>2000</v>
      </c>
      <c r="K118" t="str">
        <f t="shared" si="36"/>
        <v>530,10000|560,8000|590,6000|620,2000</v>
      </c>
    </row>
    <row r="119" spans="1:11" x14ac:dyDescent="0.2">
      <c r="A119">
        <f t="shared" si="37"/>
        <v>12</v>
      </c>
      <c r="B119">
        <f t="shared" si="38"/>
        <v>530</v>
      </c>
      <c r="C119">
        <f t="shared" si="39"/>
        <v>530</v>
      </c>
      <c r="D119">
        <f t="shared" si="40"/>
        <v>10000</v>
      </c>
      <c r="E119">
        <f t="shared" si="41"/>
        <v>560</v>
      </c>
      <c r="F119">
        <f t="shared" si="42"/>
        <v>8000</v>
      </c>
      <c r="G119">
        <f t="shared" si="43"/>
        <v>590</v>
      </c>
      <c r="H119">
        <f t="shared" si="44"/>
        <v>6000</v>
      </c>
      <c r="I119">
        <f t="shared" si="45"/>
        <v>620</v>
      </c>
      <c r="J119">
        <v>2000</v>
      </c>
      <c r="K119" t="str">
        <f t="shared" si="36"/>
        <v>530,10000|560,8000|590,6000|620,2000</v>
      </c>
    </row>
    <row r="120" spans="1:11" x14ac:dyDescent="0.2">
      <c r="A120">
        <f t="shared" si="37"/>
        <v>12</v>
      </c>
      <c r="B120">
        <f t="shared" si="38"/>
        <v>530</v>
      </c>
      <c r="C120">
        <f t="shared" si="39"/>
        <v>530</v>
      </c>
      <c r="D120">
        <f t="shared" si="40"/>
        <v>10000</v>
      </c>
      <c r="E120">
        <f t="shared" si="41"/>
        <v>560</v>
      </c>
      <c r="F120">
        <f t="shared" si="42"/>
        <v>8000</v>
      </c>
      <c r="G120">
        <f t="shared" si="43"/>
        <v>590</v>
      </c>
      <c r="H120">
        <f t="shared" si="44"/>
        <v>6000</v>
      </c>
      <c r="I120">
        <f t="shared" si="45"/>
        <v>620</v>
      </c>
      <c r="J120">
        <v>2000</v>
      </c>
      <c r="K120" t="str">
        <f t="shared" si="36"/>
        <v>530,10000|560,8000|590,6000|620,2000</v>
      </c>
    </row>
    <row r="121" spans="1:11" x14ac:dyDescent="0.2">
      <c r="A121">
        <f t="shared" si="37"/>
        <v>12</v>
      </c>
      <c r="B121">
        <f t="shared" si="38"/>
        <v>530</v>
      </c>
      <c r="C121">
        <f t="shared" si="39"/>
        <v>530</v>
      </c>
      <c r="D121">
        <f t="shared" si="40"/>
        <v>10000</v>
      </c>
      <c r="E121">
        <f t="shared" si="41"/>
        <v>560</v>
      </c>
      <c r="F121">
        <f t="shared" si="42"/>
        <v>8000</v>
      </c>
      <c r="G121">
        <f t="shared" si="43"/>
        <v>590</v>
      </c>
      <c r="H121">
        <f t="shared" si="44"/>
        <v>6000</v>
      </c>
      <c r="I121">
        <f t="shared" si="45"/>
        <v>620</v>
      </c>
      <c r="J121">
        <v>2000</v>
      </c>
      <c r="K121" t="str">
        <f t="shared" si="36"/>
        <v>530,10000|560,8000|590,6000|620,2000</v>
      </c>
    </row>
    <row r="122" spans="1:11" x14ac:dyDescent="0.2">
      <c r="A122">
        <f t="shared" si="37"/>
        <v>13</v>
      </c>
      <c r="B122">
        <f t="shared" si="38"/>
        <v>600</v>
      </c>
      <c r="C122">
        <f t="shared" si="39"/>
        <v>600</v>
      </c>
      <c r="D122">
        <f t="shared" si="40"/>
        <v>10000</v>
      </c>
      <c r="E122">
        <f t="shared" si="41"/>
        <v>620</v>
      </c>
      <c r="F122">
        <f t="shared" si="42"/>
        <v>8000</v>
      </c>
      <c r="G122">
        <f t="shared" si="43"/>
        <v>640</v>
      </c>
      <c r="H122">
        <f t="shared" si="44"/>
        <v>6000</v>
      </c>
      <c r="I122">
        <f t="shared" si="45"/>
        <v>680</v>
      </c>
      <c r="J122">
        <v>2000</v>
      </c>
      <c r="K122" t="str">
        <f t="shared" si="36"/>
        <v>600,10000|620,8000|640,6000|680,2000</v>
      </c>
    </row>
    <row r="123" spans="1:11" x14ac:dyDescent="0.2">
      <c r="A123">
        <f t="shared" si="37"/>
        <v>13</v>
      </c>
      <c r="B123">
        <f t="shared" si="38"/>
        <v>600</v>
      </c>
      <c r="C123">
        <f t="shared" si="39"/>
        <v>600</v>
      </c>
      <c r="D123">
        <f t="shared" si="40"/>
        <v>10000</v>
      </c>
      <c r="E123">
        <f t="shared" si="41"/>
        <v>620</v>
      </c>
      <c r="F123">
        <f t="shared" si="42"/>
        <v>8000</v>
      </c>
      <c r="G123">
        <f t="shared" si="43"/>
        <v>640</v>
      </c>
      <c r="H123">
        <f t="shared" si="44"/>
        <v>6000</v>
      </c>
      <c r="I123">
        <f t="shared" si="45"/>
        <v>680</v>
      </c>
      <c r="J123">
        <v>2000</v>
      </c>
      <c r="K123" t="str">
        <f t="shared" si="36"/>
        <v>600,10000|620,8000|640,6000|680,2000</v>
      </c>
    </row>
    <row r="124" spans="1:11" x14ac:dyDescent="0.2">
      <c r="A124">
        <f t="shared" si="37"/>
        <v>13</v>
      </c>
      <c r="B124">
        <f t="shared" si="38"/>
        <v>600</v>
      </c>
      <c r="C124">
        <f t="shared" si="39"/>
        <v>600</v>
      </c>
      <c r="D124">
        <f t="shared" si="40"/>
        <v>10000</v>
      </c>
      <c r="E124">
        <f t="shared" si="41"/>
        <v>620</v>
      </c>
      <c r="F124">
        <f t="shared" si="42"/>
        <v>8000</v>
      </c>
      <c r="G124">
        <f t="shared" si="43"/>
        <v>640</v>
      </c>
      <c r="H124">
        <f t="shared" si="44"/>
        <v>6000</v>
      </c>
      <c r="I124">
        <f t="shared" si="45"/>
        <v>680</v>
      </c>
      <c r="J124">
        <v>2000</v>
      </c>
      <c r="K124" t="str">
        <f t="shared" si="36"/>
        <v>600,10000|620,8000|640,6000|680,2000</v>
      </c>
    </row>
    <row r="125" spans="1:11" x14ac:dyDescent="0.2">
      <c r="A125">
        <f t="shared" si="37"/>
        <v>13</v>
      </c>
      <c r="B125">
        <f t="shared" si="38"/>
        <v>600</v>
      </c>
      <c r="C125">
        <f t="shared" si="39"/>
        <v>600</v>
      </c>
      <c r="D125">
        <f t="shared" si="40"/>
        <v>10000</v>
      </c>
      <c r="E125">
        <f t="shared" si="41"/>
        <v>620</v>
      </c>
      <c r="F125">
        <f t="shared" si="42"/>
        <v>8000</v>
      </c>
      <c r="G125">
        <f t="shared" si="43"/>
        <v>640</v>
      </c>
      <c r="H125">
        <f t="shared" si="44"/>
        <v>6000</v>
      </c>
      <c r="I125">
        <f t="shared" si="45"/>
        <v>680</v>
      </c>
      <c r="J125">
        <v>2000</v>
      </c>
      <c r="K125" t="str">
        <f t="shared" si="36"/>
        <v>600,10000|620,8000|640,6000|680,2000</v>
      </c>
    </row>
    <row r="126" spans="1:11" x14ac:dyDescent="0.2">
      <c r="A126">
        <f t="shared" si="37"/>
        <v>14</v>
      </c>
      <c r="B126">
        <f t="shared" si="38"/>
        <v>650</v>
      </c>
      <c r="C126">
        <f t="shared" si="39"/>
        <v>650</v>
      </c>
      <c r="D126">
        <f t="shared" si="40"/>
        <v>10000</v>
      </c>
      <c r="E126">
        <f t="shared" si="41"/>
        <v>680</v>
      </c>
      <c r="F126">
        <f t="shared" si="42"/>
        <v>8000</v>
      </c>
      <c r="G126">
        <f t="shared" si="43"/>
        <v>700</v>
      </c>
      <c r="H126">
        <f t="shared" si="44"/>
        <v>6000</v>
      </c>
      <c r="I126">
        <f t="shared" si="45"/>
        <v>740</v>
      </c>
      <c r="J126">
        <v>2000</v>
      </c>
      <c r="K126" t="str">
        <f t="shared" si="36"/>
        <v>650,10000|680,8000|700,6000|740,2000</v>
      </c>
    </row>
    <row r="127" spans="1:11" x14ac:dyDescent="0.2">
      <c r="A127">
        <f t="shared" si="37"/>
        <v>14</v>
      </c>
      <c r="B127">
        <f t="shared" si="38"/>
        <v>650</v>
      </c>
      <c r="C127">
        <f t="shared" si="39"/>
        <v>650</v>
      </c>
      <c r="D127">
        <f t="shared" si="40"/>
        <v>10000</v>
      </c>
      <c r="E127">
        <f t="shared" si="41"/>
        <v>680</v>
      </c>
      <c r="F127">
        <f t="shared" si="42"/>
        <v>8000</v>
      </c>
      <c r="G127">
        <f t="shared" si="43"/>
        <v>700</v>
      </c>
      <c r="H127">
        <f t="shared" si="44"/>
        <v>6000</v>
      </c>
      <c r="I127">
        <f t="shared" si="45"/>
        <v>740</v>
      </c>
      <c r="J127">
        <v>2000</v>
      </c>
      <c r="K127" t="str">
        <f t="shared" si="36"/>
        <v>650,10000|680,8000|700,6000|740,2000</v>
      </c>
    </row>
    <row r="128" spans="1:11" x14ac:dyDescent="0.2">
      <c r="A128">
        <f t="shared" si="37"/>
        <v>14</v>
      </c>
      <c r="B128">
        <f t="shared" ref="B128:B164" si="46">VLOOKUP($A128,$N$4:$V$23,2,FALSE)</f>
        <v>650</v>
      </c>
      <c r="C128">
        <f t="shared" ref="C128:C164" si="47">VLOOKUP($A128,$N$4:$V$23,3,FALSE)</f>
        <v>650</v>
      </c>
      <c r="D128">
        <f t="shared" ref="D128:D164" si="48">VLOOKUP($A128,$N$4:$V$23,4,FALSE)</f>
        <v>10000</v>
      </c>
      <c r="E128">
        <f t="shared" ref="E128:E164" si="49">VLOOKUP($A128,$N$4:$V$23,5,FALSE)</f>
        <v>680</v>
      </c>
      <c r="F128">
        <f t="shared" ref="F128:F164" si="50">VLOOKUP($A128,$N$4:$V$23,6,FALSE)</f>
        <v>8000</v>
      </c>
      <c r="G128">
        <f t="shared" ref="G128:G164" si="51">VLOOKUP($A128,$N$4:$V$23,7,FALSE)</f>
        <v>700</v>
      </c>
      <c r="H128">
        <f t="shared" ref="H128:H164" si="52">VLOOKUP($A128,$N$4:$V$23,8,FALSE)</f>
        <v>6000</v>
      </c>
      <c r="I128">
        <f t="shared" ref="I128:I164" si="53">VLOOKUP($A128,$N$4:$V$23,9,FALSE)</f>
        <v>740</v>
      </c>
      <c r="J128">
        <v>2000</v>
      </c>
      <c r="K128" t="str">
        <f t="shared" si="36"/>
        <v>650,10000|680,8000|700,6000|740,2000</v>
      </c>
    </row>
    <row r="129" spans="1:11" x14ac:dyDescent="0.2">
      <c r="A129">
        <f t="shared" si="37"/>
        <v>14</v>
      </c>
      <c r="B129">
        <f t="shared" si="46"/>
        <v>650</v>
      </c>
      <c r="C129">
        <f t="shared" si="47"/>
        <v>650</v>
      </c>
      <c r="D129">
        <f t="shared" si="48"/>
        <v>10000</v>
      </c>
      <c r="E129">
        <f t="shared" si="49"/>
        <v>680</v>
      </c>
      <c r="F129">
        <f t="shared" si="50"/>
        <v>8000</v>
      </c>
      <c r="G129">
        <f t="shared" si="51"/>
        <v>700</v>
      </c>
      <c r="H129">
        <f t="shared" si="52"/>
        <v>6000</v>
      </c>
      <c r="I129">
        <f t="shared" si="53"/>
        <v>740</v>
      </c>
      <c r="J129">
        <v>2000</v>
      </c>
      <c r="K129" t="str">
        <f t="shared" ref="K129:K164" si="54">C129&amp;$K$63&amp;D129&amp;$L$63&amp;E129&amp;$K$63&amp;F129&amp;$L$63&amp;G129&amp;$K$63&amp;H129&amp;$L$63&amp;I129&amp;$K$63&amp;J129</f>
        <v>650,10000|680,8000|700,6000|740,2000</v>
      </c>
    </row>
    <row r="130" spans="1:11" x14ac:dyDescent="0.2">
      <c r="A130">
        <f t="shared" si="37"/>
        <v>15</v>
      </c>
      <c r="B130">
        <f t="shared" si="46"/>
        <v>700</v>
      </c>
      <c r="C130">
        <f t="shared" si="47"/>
        <v>700</v>
      </c>
      <c r="D130">
        <f t="shared" si="48"/>
        <v>10000</v>
      </c>
      <c r="E130">
        <f t="shared" si="49"/>
        <v>730</v>
      </c>
      <c r="F130">
        <f t="shared" si="50"/>
        <v>8000</v>
      </c>
      <c r="G130">
        <f t="shared" si="51"/>
        <v>755</v>
      </c>
      <c r="H130">
        <f t="shared" si="52"/>
        <v>6000</v>
      </c>
      <c r="I130">
        <f t="shared" si="53"/>
        <v>780</v>
      </c>
      <c r="J130">
        <v>2000</v>
      </c>
      <c r="K130" t="str">
        <f t="shared" si="54"/>
        <v>700,10000|730,8000|755,6000|780,2000</v>
      </c>
    </row>
    <row r="131" spans="1:11" x14ac:dyDescent="0.2">
      <c r="A131">
        <f t="shared" si="37"/>
        <v>15</v>
      </c>
      <c r="B131">
        <f t="shared" si="46"/>
        <v>700</v>
      </c>
      <c r="C131">
        <f t="shared" si="47"/>
        <v>700</v>
      </c>
      <c r="D131">
        <f t="shared" si="48"/>
        <v>10000</v>
      </c>
      <c r="E131">
        <f t="shared" si="49"/>
        <v>730</v>
      </c>
      <c r="F131">
        <f t="shared" si="50"/>
        <v>8000</v>
      </c>
      <c r="G131">
        <f t="shared" si="51"/>
        <v>755</v>
      </c>
      <c r="H131">
        <f t="shared" si="52"/>
        <v>6000</v>
      </c>
      <c r="I131">
        <f t="shared" si="53"/>
        <v>780</v>
      </c>
      <c r="J131">
        <v>2000</v>
      </c>
      <c r="K131" t="str">
        <f t="shared" si="54"/>
        <v>700,10000|730,8000|755,6000|780,2000</v>
      </c>
    </row>
    <row r="132" spans="1:11" x14ac:dyDescent="0.2">
      <c r="A132">
        <f t="shared" si="37"/>
        <v>15</v>
      </c>
      <c r="B132">
        <f t="shared" si="46"/>
        <v>700</v>
      </c>
      <c r="C132">
        <f t="shared" si="47"/>
        <v>700</v>
      </c>
      <c r="D132">
        <f t="shared" si="48"/>
        <v>10000</v>
      </c>
      <c r="E132">
        <f t="shared" si="49"/>
        <v>730</v>
      </c>
      <c r="F132">
        <f t="shared" si="50"/>
        <v>8000</v>
      </c>
      <c r="G132">
        <f t="shared" si="51"/>
        <v>755</v>
      </c>
      <c r="H132">
        <f t="shared" si="52"/>
        <v>6000</v>
      </c>
      <c r="I132">
        <f t="shared" si="53"/>
        <v>780</v>
      </c>
      <c r="J132">
        <v>2000</v>
      </c>
      <c r="K132" t="str">
        <f t="shared" si="54"/>
        <v>700,10000|730,8000|755,6000|780,2000</v>
      </c>
    </row>
    <row r="133" spans="1:11" x14ac:dyDescent="0.2">
      <c r="A133">
        <f t="shared" si="37"/>
        <v>15</v>
      </c>
      <c r="B133">
        <f t="shared" si="46"/>
        <v>700</v>
      </c>
      <c r="C133">
        <f t="shared" si="47"/>
        <v>700</v>
      </c>
      <c r="D133">
        <f t="shared" si="48"/>
        <v>10000</v>
      </c>
      <c r="E133">
        <f t="shared" si="49"/>
        <v>730</v>
      </c>
      <c r="F133">
        <f t="shared" si="50"/>
        <v>8000</v>
      </c>
      <c r="G133">
        <f t="shared" si="51"/>
        <v>755</v>
      </c>
      <c r="H133">
        <f t="shared" si="52"/>
        <v>6000</v>
      </c>
      <c r="I133">
        <f t="shared" si="53"/>
        <v>780</v>
      </c>
      <c r="J133">
        <v>2000</v>
      </c>
      <c r="K133" t="str">
        <f t="shared" si="54"/>
        <v>700,10000|730,8000|755,6000|780,2000</v>
      </c>
    </row>
    <row r="134" spans="1:11" x14ac:dyDescent="0.2">
      <c r="A134">
        <f t="shared" si="37"/>
        <v>16</v>
      </c>
      <c r="B134">
        <f t="shared" si="46"/>
        <v>750</v>
      </c>
      <c r="C134">
        <f t="shared" si="47"/>
        <v>750</v>
      </c>
      <c r="D134">
        <f t="shared" si="48"/>
        <v>10000</v>
      </c>
      <c r="E134">
        <f t="shared" si="49"/>
        <v>780</v>
      </c>
      <c r="F134">
        <f t="shared" si="50"/>
        <v>8000</v>
      </c>
      <c r="G134">
        <f t="shared" si="51"/>
        <v>800</v>
      </c>
      <c r="H134">
        <f t="shared" si="52"/>
        <v>6000</v>
      </c>
      <c r="I134">
        <f t="shared" si="53"/>
        <v>820</v>
      </c>
      <c r="J134">
        <v>2000</v>
      </c>
      <c r="K134" t="str">
        <f t="shared" si="54"/>
        <v>750,10000|780,8000|800,6000|820,2000</v>
      </c>
    </row>
    <row r="135" spans="1:11" x14ac:dyDescent="0.2">
      <c r="A135">
        <f t="shared" si="37"/>
        <v>16</v>
      </c>
      <c r="B135">
        <f t="shared" si="46"/>
        <v>750</v>
      </c>
      <c r="C135">
        <f t="shared" si="47"/>
        <v>750</v>
      </c>
      <c r="D135">
        <f t="shared" si="48"/>
        <v>10000</v>
      </c>
      <c r="E135">
        <f t="shared" si="49"/>
        <v>780</v>
      </c>
      <c r="F135">
        <f t="shared" si="50"/>
        <v>8000</v>
      </c>
      <c r="G135">
        <f t="shared" si="51"/>
        <v>800</v>
      </c>
      <c r="H135">
        <f t="shared" si="52"/>
        <v>6000</v>
      </c>
      <c r="I135">
        <f t="shared" si="53"/>
        <v>820</v>
      </c>
      <c r="J135">
        <v>2000</v>
      </c>
      <c r="K135" t="str">
        <f t="shared" si="54"/>
        <v>750,10000|780,8000|800,6000|820,2000</v>
      </c>
    </row>
    <row r="136" spans="1:11" x14ac:dyDescent="0.2">
      <c r="A136">
        <f t="shared" si="37"/>
        <v>16</v>
      </c>
      <c r="B136">
        <f t="shared" si="46"/>
        <v>750</v>
      </c>
      <c r="C136">
        <f t="shared" si="47"/>
        <v>750</v>
      </c>
      <c r="D136">
        <f t="shared" si="48"/>
        <v>10000</v>
      </c>
      <c r="E136">
        <f t="shared" si="49"/>
        <v>780</v>
      </c>
      <c r="F136">
        <f t="shared" si="50"/>
        <v>8000</v>
      </c>
      <c r="G136">
        <f t="shared" si="51"/>
        <v>800</v>
      </c>
      <c r="H136">
        <f t="shared" si="52"/>
        <v>6000</v>
      </c>
      <c r="I136">
        <f t="shared" si="53"/>
        <v>820</v>
      </c>
      <c r="J136">
        <v>2000</v>
      </c>
      <c r="K136" t="str">
        <f t="shared" si="54"/>
        <v>750,10000|780,8000|800,6000|820,2000</v>
      </c>
    </row>
    <row r="137" spans="1:11" x14ac:dyDescent="0.2">
      <c r="A137">
        <f t="shared" si="37"/>
        <v>16</v>
      </c>
      <c r="B137">
        <f t="shared" si="46"/>
        <v>750</v>
      </c>
      <c r="C137">
        <f t="shared" si="47"/>
        <v>750</v>
      </c>
      <c r="D137">
        <f t="shared" si="48"/>
        <v>10000</v>
      </c>
      <c r="E137">
        <f t="shared" si="49"/>
        <v>780</v>
      </c>
      <c r="F137">
        <f t="shared" si="50"/>
        <v>8000</v>
      </c>
      <c r="G137">
        <f t="shared" si="51"/>
        <v>800</v>
      </c>
      <c r="H137">
        <f t="shared" si="52"/>
        <v>6000</v>
      </c>
      <c r="I137">
        <f t="shared" si="53"/>
        <v>820</v>
      </c>
      <c r="J137">
        <v>2000</v>
      </c>
      <c r="K137" t="str">
        <f t="shared" si="54"/>
        <v>750,10000|780,8000|800,6000|820,2000</v>
      </c>
    </row>
    <row r="138" spans="1:11" x14ac:dyDescent="0.2">
      <c r="A138">
        <f t="shared" si="37"/>
        <v>17</v>
      </c>
      <c r="B138">
        <f t="shared" si="46"/>
        <v>800</v>
      </c>
      <c r="C138">
        <f t="shared" si="47"/>
        <v>800</v>
      </c>
      <c r="D138">
        <f t="shared" si="48"/>
        <v>10000</v>
      </c>
      <c r="E138">
        <f t="shared" si="49"/>
        <v>820</v>
      </c>
      <c r="F138">
        <f t="shared" si="50"/>
        <v>8000</v>
      </c>
      <c r="G138">
        <f t="shared" si="51"/>
        <v>840</v>
      </c>
      <c r="H138">
        <f t="shared" si="52"/>
        <v>6000</v>
      </c>
      <c r="I138">
        <f t="shared" si="53"/>
        <v>860</v>
      </c>
      <c r="J138">
        <v>2000</v>
      </c>
      <c r="K138" t="str">
        <f t="shared" si="54"/>
        <v>800,10000|820,8000|840,6000|860,2000</v>
      </c>
    </row>
    <row r="139" spans="1:11" x14ac:dyDescent="0.2">
      <c r="A139">
        <f t="shared" si="37"/>
        <v>17</v>
      </c>
      <c r="B139">
        <f t="shared" si="46"/>
        <v>800</v>
      </c>
      <c r="C139">
        <f t="shared" si="47"/>
        <v>800</v>
      </c>
      <c r="D139">
        <f t="shared" si="48"/>
        <v>10000</v>
      </c>
      <c r="E139">
        <f t="shared" si="49"/>
        <v>820</v>
      </c>
      <c r="F139">
        <f t="shared" si="50"/>
        <v>8000</v>
      </c>
      <c r="G139">
        <f t="shared" si="51"/>
        <v>840</v>
      </c>
      <c r="H139">
        <f t="shared" si="52"/>
        <v>6000</v>
      </c>
      <c r="I139">
        <f t="shared" si="53"/>
        <v>860</v>
      </c>
      <c r="J139">
        <v>2000</v>
      </c>
      <c r="K139" t="str">
        <f t="shared" si="54"/>
        <v>800,10000|820,8000|840,6000|860,2000</v>
      </c>
    </row>
    <row r="140" spans="1:11" x14ac:dyDescent="0.2">
      <c r="A140">
        <f t="shared" si="37"/>
        <v>17</v>
      </c>
      <c r="B140">
        <f t="shared" si="46"/>
        <v>800</v>
      </c>
      <c r="C140">
        <f t="shared" si="47"/>
        <v>800</v>
      </c>
      <c r="D140">
        <f t="shared" si="48"/>
        <v>10000</v>
      </c>
      <c r="E140">
        <f t="shared" si="49"/>
        <v>820</v>
      </c>
      <c r="F140">
        <f t="shared" si="50"/>
        <v>8000</v>
      </c>
      <c r="G140">
        <f t="shared" si="51"/>
        <v>840</v>
      </c>
      <c r="H140">
        <f t="shared" si="52"/>
        <v>6000</v>
      </c>
      <c r="I140">
        <f t="shared" si="53"/>
        <v>860</v>
      </c>
      <c r="J140">
        <v>2000</v>
      </c>
      <c r="K140" t="str">
        <f t="shared" si="54"/>
        <v>800,10000|820,8000|840,6000|860,2000</v>
      </c>
    </row>
    <row r="141" spans="1:11" x14ac:dyDescent="0.2">
      <c r="A141">
        <f t="shared" si="37"/>
        <v>17</v>
      </c>
      <c r="B141">
        <f t="shared" si="46"/>
        <v>800</v>
      </c>
      <c r="C141">
        <f t="shared" si="47"/>
        <v>800</v>
      </c>
      <c r="D141">
        <f t="shared" si="48"/>
        <v>10000</v>
      </c>
      <c r="E141">
        <f t="shared" si="49"/>
        <v>820</v>
      </c>
      <c r="F141">
        <f t="shared" si="50"/>
        <v>8000</v>
      </c>
      <c r="G141">
        <f t="shared" si="51"/>
        <v>840</v>
      </c>
      <c r="H141">
        <f t="shared" si="52"/>
        <v>6000</v>
      </c>
      <c r="I141">
        <f t="shared" si="53"/>
        <v>860</v>
      </c>
      <c r="J141">
        <v>2000</v>
      </c>
      <c r="K141" t="str">
        <f t="shared" si="54"/>
        <v>800,10000|820,8000|840,6000|860,2000</v>
      </c>
    </row>
    <row r="142" spans="1:11" x14ac:dyDescent="0.2">
      <c r="A142">
        <f t="shared" si="37"/>
        <v>18</v>
      </c>
      <c r="B142">
        <f t="shared" si="46"/>
        <v>860</v>
      </c>
      <c r="C142">
        <f t="shared" si="47"/>
        <v>860</v>
      </c>
      <c r="D142">
        <f t="shared" si="48"/>
        <v>10000</v>
      </c>
      <c r="E142">
        <f t="shared" si="49"/>
        <v>890</v>
      </c>
      <c r="F142">
        <f t="shared" si="50"/>
        <v>8000</v>
      </c>
      <c r="G142">
        <f t="shared" si="51"/>
        <v>920</v>
      </c>
      <c r="H142">
        <f t="shared" si="52"/>
        <v>6000</v>
      </c>
      <c r="I142">
        <f t="shared" si="53"/>
        <v>950</v>
      </c>
      <c r="J142">
        <v>2000</v>
      </c>
      <c r="K142" t="str">
        <f t="shared" si="54"/>
        <v>860,10000|890,8000|920,6000|950,2000</v>
      </c>
    </row>
    <row r="143" spans="1:11" x14ac:dyDescent="0.2">
      <c r="A143">
        <f t="shared" si="37"/>
        <v>18</v>
      </c>
      <c r="B143">
        <f t="shared" si="46"/>
        <v>860</v>
      </c>
      <c r="C143">
        <f t="shared" si="47"/>
        <v>860</v>
      </c>
      <c r="D143">
        <f t="shared" si="48"/>
        <v>10000</v>
      </c>
      <c r="E143">
        <f t="shared" si="49"/>
        <v>890</v>
      </c>
      <c r="F143">
        <f t="shared" si="50"/>
        <v>8000</v>
      </c>
      <c r="G143">
        <f t="shared" si="51"/>
        <v>920</v>
      </c>
      <c r="H143">
        <f t="shared" si="52"/>
        <v>6000</v>
      </c>
      <c r="I143">
        <f t="shared" si="53"/>
        <v>950</v>
      </c>
      <c r="J143">
        <v>2000</v>
      </c>
      <c r="K143" t="str">
        <f t="shared" si="54"/>
        <v>860,10000|890,8000|920,6000|950,2000</v>
      </c>
    </row>
    <row r="144" spans="1:11" x14ac:dyDescent="0.2">
      <c r="A144">
        <f t="shared" si="37"/>
        <v>18</v>
      </c>
      <c r="B144">
        <f t="shared" si="46"/>
        <v>860</v>
      </c>
      <c r="C144">
        <f t="shared" si="47"/>
        <v>860</v>
      </c>
      <c r="D144">
        <f t="shared" si="48"/>
        <v>10000</v>
      </c>
      <c r="E144">
        <f t="shared" si="49"/>
        <v>890</v>
      </c>
      <c r="F144">
        <f t="shared" si="50"/>
        <v>8000</v>
      </c>
      <c r="G144">
        <f t="shared" si="51"/>
        <v>920</v>
      </c>
      <c r="H144">
        <f t="shared" si="52"/>
        <v>6000</v>
      </c>
      <c r="I144">
        <f t="shared" si="53"/>
        <v>950</v>
      </c>
      <c r="J144">
        <v>2000</v>
      </c>
      <c r="K144" t="str">
        <f t="shared" si="54"/>
        <v>860,10000|890,8000|920,6000|950,2000</v>
      </c>
    </row>
    <row r="145" spans="1:11" x14ac:dyDescent="0.2">
      <c r="A145">
        <f t="shared" si="37"/>
        <v>18</v>
      </c>
      <c r="B145">
        <f t="shared" si="46"/>
        <v>860</v>
      </c>
      <c r="C145">
        <f t="shared" si="47"/>
        <v>860</v>
      </c>
      <c r="D145">
        <f t="shared" si="48"/>
        <v>10000</v>
      </c>
      <c r="E145">
        <f t="shared" si="49"/>
        <v>890</v>
      </c>
      <c r="F145">
        <f t="shared" si="50"/>
        <v>8000</v>
      </c>
      <c r="G145">
        <f t="shared" si="51"/>
        <v>920</v>
      </c>
      <c r="H145">
        <f t="shared" si="52"/>
        <v>6000</v>
      </c>
      <c r="I145">
        <f t="shared" si="53"/>
        <v>950</v>
      </c>
      <c r="J145">
        <v>2000</v>
      </c>
      <c r="K145" t="str">
        <f t="shared" si="54"/>
        <v>860,10000|890,8000|920,6000|950,2000</v>
      </c>
    </row>
    <row r="146" spans="1:11" x14ac:dyDescent="0.2">
      <c r="A146">
        <f t="shared" si="37"/>
        <v>19</v>
      </c>
      <c r="B146">
        <f t="shared" si="46"/>
        <v>900</v>
      </c>
      <c r="C146">
        <f t="shared" si="47"/>
        <v>900</v>
      </c>
      <c r="D146">
        <f t="shared" si="48"/>
        <v>10000</v>
      </c>
      <c r="E146">
        <f t="shared" si="49"/>
        <v>920</v>
      </c>
      <c r="F146">
        <f t="shared" si="50"/>
        <v>8000</v>
      </c>
      <c r="G146">
        <f t="shared" si="51"/>
        <v>940</v>
      </c>
      <c r="H146">
        <f t="shared" si="52"/>
        <v>6000</v>
      </c>
      <c r="I146">
        <f t="shared" si="53"/>
        <v>960</v>
      </c>
      <c r="J146">
        <v>2000</v>
      </c>
      <c r="K146" t="str">
        <f t="shared" si="54"/>
        <v>900,10000|920,8000|940,6000|960,2000</v>
      </c>
    </row>
    <row r="147" spans="1:11" x14ac:dyDescent="0.2">
      <c r="A147">
        <f t="shared" si="37"/>
        <v>19</v>
      </c>
      <c r="B147">
        <f t="shared" si="46"/>
        <v>900</v>
      </c>
      <c r="C147">
        <f t="shared" si="47"/>
        <v>900</v>
      </c>
      <c r="D147">
        <f t="shared" si="48"/>
        <v>10000</v>
      </c>
      <c r="E147">
        <f t="shared" si="49"/>
        <v>920</v>
      </c>
      <c r="F147">
        <f t="shared" si="50"/>
        <v>8000</v>
      </c>
      <c r="G147">
        <f t="shared" si="51"/>
        <v>940</v>
      </c>
      <c r="H147">
        <f t="shared" si="52"/>
        <v>6000</v>
      </c>
      <c r="I147">
        <f t="shared" si="53"/>
        <v>960</v>
      </c>
      <c r="J147">
        <v>2000</v>
      </c>
      <c r="K147" t="str">
        <f t="shared" si="54"/>
        <v>900,10000|920,8000|940,6000|960,2000</v>
      </c>
    </row>
    <row r="148" spans="1:11" x14ac:dyDescent="0.2">
      <c r="A148">
        <f t="shared" si="37"/>
        <v>19</v>
      </c>
      <c r="B148">
        <f t="shared" si="46"/>
        <v>900</v>
      </c>
      <c r="C148">
        <f t="shared" si="47"/>
        <v>900</v>
      </c>
      <c r="D148">
        <f t="shared" si="48"/>
        <v>10000</v>
      </c>
      <c r="E148">
        <f t="shared" si="49"/>
        <v>920</v>
      </c>
      <c r="F148">
        <f t="shared" si="50"/>
        <v>8000</v>
      </c>
      <c r="G148">
        <f t="shared" si="51"/>
        <v>940</v>
      </c>
      <c r="H148">
        <f t="shared" si="52"/>
        <v>6000</v>
      </c>
      <c r="I148">
        <f t="shared" si="53"/>
        <v>960</v>
      </c>
      <c r="J148">
        <v>2000</v>
      </c>
      <c r="K148" t="str">
        <f t="shared" si="54"/>
        <v>900,10000|920,8000|940,6000|960,2000</v>
      </c>
    </row>
    <row r="149" spans="1:11" x14ac:dyDescent="0.2">
      <c r="A149">
        <f t="shared" si="37"/>
        <v>19</v>
      </c>
      <c r="B149">
        <f t="shared" si="46"/>
        <v>900</v>
      </c>
      <c r="C149">
        <f t="shared" si="47"/>
        <v>900</v>
      </c>
      <c r="D149">
        <f t="shared" si="48"/>
        <v>10000</v>
      </c>
      <c r="E149">
        <f t="shared" si="49"/>
        <v>920</v>
      </c>
      <c r="F149">
        <f t="shared" si="50"/>
        <v>8000</v>
      </c>
      <c r="G149">
        <f t="shared" si="51"/>
        <v>940</v>
      </c>
      <c r="H149">
        <f t="shared" si="52"/>
        <v>6000</v>
      </c>
      <c r="I149">
        <f t="shared" si="53"/>
        <v>960</v>
      </c>
      <c r="J149">
        <v>2000</v>
      </c>
      <c r="K149" t="str">
        <f t="shared" si="54"/>
        <v>900,10000|920,8000|940,6000|960,2000</v>
      </c>
    </row>
    <row r="150" spans="1:11" x14ac:dyDescent="0.2">
      <c r="A150">
        <f t="shared" si="37"/>
        <v>20</v>
      </c>
      <c r="B150">
        <f t="shared" si="46"/>
        <v>950</v>
      </c>
      <c r="C150">
        <f t="shared" si="47"/>
        <v>950</v>
      </c>
      <c r="D150">
        <f t="shared" si="48"/>
        <v>10000</v>
      </c>
      <c r="E150">
        <f t="shared" si="49"/>
        <v>970</v>
      </c>
      <c r="F150">
        <f t="shared" si="50"/>
        <v>8000</v>
      </c>
      <c r="G150">
        <f t="shared" si="51"/>
        <v>980</v>
      </c>
      <c r="H150">
        <f t="shared" si="52"/>
        <v>6000</v>
      </c>
      <c r="I150">
        <f t="shared" si="53"/>
        <v>1000</v>
      </c>
      <c r="J150">
        <v>2000</v>
      </c>
      <c r="K150" t="str">
        <f t="shared" si="54"/>
        <v>950,10000|970,8000|980,6000|1000,2000</v>
      </c>
    </row>
    <row r="151" spans="1:11" x14ac:dyDescent="0.2">
      <c r="A151">
        <f t="shared" ref="A151:A153" si="55">A147+1</f>
        <v>20</v>
      </c>
      <c r="B151">
        <f t="shared" si="46"/>
        <v>950</v>
      </c>
      <c r="C151">
        <f t="shared" si="47"/>
        <v>950</v>
      </c>
      <c r="D151">
        <f t="shared" si="48"/>
        <v>10000</v>
      </c>
      <c r="E151">
        <f t="shared" si="49"/>
        <v>970</v>
      </c>
      <c r="F151">
        <f t="shared" si="50"/>
        <v>8000</v>
      </c>
      <c r="G151">
        <f t="shared" si="51"/>
        <v>980</v>
      </c>
      <c r="H151">
        <f t="shared" si="52"/>
        <v>6000</v>
      </c>
      <c r="I151">
        <f t="shared" si="53"/>
        <v>1000</v>
      </c>
      <c r="J151">
        <v>2000</v>
      </c>
      <c r="K151" t="str">
        <f t="shared" si="54"/>
        <v>950,10000|970,8000|980,6000|1000,2000</v>
      </c>
    </row>
    <row r="152" spans="1:11" x14ac:dyDescent="0.2">
      <c r="A152">
        <f t="shared" si="55"/>
        <v>20</v>
      </c>
      <c r="B152">
        <f t="shared" si="46"/>
        <v>950</v>
      </c>
      <c r="C152">
        <f t="shared" si="47"/>
        <v>950</v>
      </c>
      <c r="D152">
        <f t="shared" si="48"/>
        <v>10000</v>
      </c>
      <c r="E152">
        <f t="shared" si="49"/>
        <v>970</v>
      </c>
      <c r="F152">
        <f t="shared" si="50"/>
        <v>8000</v>
      </c>
      <c r="G152">
        <f t="shared" si="51"/>
        <v>980</v>
      </c>
      <c r="H152">
        <f t="shared" si="52"/>
        <v>6000</v>
      </c>
      <c r="I152">
        <f t="shared" si="53"/>
        <v>1000</v>
      </c>
      <c r="J152">
        <v>2000</v>
      </c>
      <c r="K152" t="str">
        <f t="shared" si="54"/>
        <v>950,10000|970,8000|980,6000|1000,2000</v>
      </c>
    </row>
    <row r="153" spans="1:11" x14ac:dyDescent="0.2">
      <c r="A153">
        <f t="shared" si="55"/>
        <v>20</v>
      </c>
      <c r="B153">
        <f t="shared" si="46"/>
        <v>950</v>
      </c>
      <c r="C153">
        <f t="shared" si="47"/>
        <v>950</v>
      </c>
      <c r="D153">
        <f t="shared" si="48"/>
        <v>10000</v>
      </c>
      <c r="E153">
        <f t="shared" si="49"/>
        <v>970</v>
      </c>
      <c r="F153">
        <f t="shared" si="50"/>
        <v>8000</v>
      </c>
      <c r="G153">
        <f t="shared" si="51"/>
        <v>980</v>
      </c>
      <c r="H153">
        <f t="shared" si="52"/>
        <v>6000</v>
      </c>
      <c r="I153">
        <f t="shared" si="53"/>
        <v>1000</v>
      </c>
      <c r="J153">
        <v>2000</v>
      </c>
      <c r="K153" t="str">
        <f t="shared" si="54"/>
        <v>950,10000|970,8000|980,6000|1000,2000</v>
      </c>
    </row>
    <row r="154" spans="1:11" x14ac:dyDescent="0.2">
      <c r="A154">
        <v>20</v>
      </c>
      <c r="B154">
        <f t="shared" si="46"/>
        <v>950</v>
      </c>
      <c r="C154">
        <f t="shared" si="47"/>
        <v>950</v>
      </c>
      <c r="D154">
        <f t="shared" si="48"/>
        <v>10000</v>
      </c>
      <c r="E154">
        <f t="shared" si="49"/>
        <v>970</v>
      </c>
      <c r="F154">
        <f t="shared" si="50"/>
        <v>8000</v>
      </c>
      <c r="G154">
        <f t="shared" si="51"/>
        <v>980</v>
      </c>
      <c r="H154">
        <f t="shared" si="52"/>
        <v>6000</v>
      </c>
      <c r="I154">
        <f t="shared" si="53"/>
        <v>1000</v>
      </c>
      <c r="J154">
        <v>2000</v>
      </c>
      <c r="K154" t="str">
        <f t="shared" si="54"/>
        <v>950,10000|970,8000|980,6000|1000,2000</v>
      </c>
    </row>
    <row r="155" spans="1:11" x14ac:dyDescent="0.2">
      <c r="A155">
        <v>20</v>
      </c>
      <c r="B155">
        <f t="shared" si="46"/>
        <v>950</v>
      </c>
      <c r="C155">
        <f t="shared" si="47"/>
        <v>950</v>
      </c>
      <c r="D155">
        <f t="shared" si="48"/>
        <v>10000</v>
      </c>
      <c r="E155">
        <f t="shared" si="49"/>
        <v>970</v>
      </c>
      <c r="F155">
        <f t="shared" si="50"/>
        <v>8000</v>
      </c>
      <c r="G155">
        <f t="shared" si="51"/>
        <v>980</v>
      </c>
      <c r="H155">
        <f t="shared" si="52"/>
        <v>6000</v>
      </c>
      <c r="I155">
        <f t="shared" si="53"/>
        <v>1000</v>
      </c>
      <c r="J155">
        <v>2000</v>
      </c>
      <c r="K155" t="str">
        <f t="shared" si="54"/>
        <v>950,10000|970,8000|980,6000|1000,2000</v>
      </c>
    </row>
    <row r="156" spans="1:11" x14ac:dyDescent="0.2">
      <c r="A156">
        <v>20</v>
      </c>
      <c r="B156">
        <f t="shared" si="46"/>
        <v>950</v>
      </c>
      <c r="C156">
        <f t="shared" si="47"/>
        <v>950</v>
      </c>
      <c r="D156">
        <f t="shared" si="48"/>
        <v>10000</v>
      </c>
      <c r="E156">
        <f t="shared" si="49"/>
        <v>970</v>
      </c>
      <c r="F156">
        <f t="shared" si="50"/>
        <v>8000</v>
      </c>
      <c r="G156">
        <f t="shared" si="51"/>
        <v>980</v>
      </c>
      <c r="H156">
        <f t="shared" si="52"/>
        <v>6000</v>
      </c>
      <c r="I156">
        <f t="shared" si="53"/>
        <v>1000</v>
      </c>
      <c r="J156">
        <v>2000</v>
      </c>
      <c r="K156" t="str">
        <f t="shared" si="54"/>
        <v>950,10000|970,8000|980,6000|1000,2000</v>
      </c>
    </row>
    <row r="157" spans="1:11" x14ac:dyDescent="0.2">
      <c r="A157">
        <v>20</v>
      </c>
      <c r="B157">
        <f t="shared" si="46"/>
        <v>950</v>
      </c>
      <c r="C157">
        <f t="shared" si="47"/>
        <v>950</v>
      </c>
      <c r="D157">
        <f t="shared" si="48"/>
        <v>10000</v>
      </c>
      <c r="E157">
        <f t="shared" si="49"/>
        <v>970</v>
      </c>
      <c r="F157">
        <f t="shared" si="50"/>
        <v>8000</v>
      </c>
      <c r="G157">
        <f t="shared" si="51"/>
        <v>980</v>
      </c>
      <c r="H157">
        <f t="shared" si="52"/>
        <v>6000</v>
      </c>
      <c r="I157">
        <f t="shared" si="53"/>
        <v>1000</v>
      </c>
      <c r="J157">
        <v>2000</v>
      </c>
      <c r="K157" t="str">
        <f t="shared" si="54"/>
        <v>950,10000|970,8000|980,6000|1000,2000</v>
      </c>
    </row>
    <row r="158" spans="1:11" x14ac:dyDescent="0.2">
      <c r="A158">
        <v>20</v>
      </c>
      <c r="B158">
        <f t="shared" si="46"/>
        <v>950</v>
      </c>
      <c r="C158">
        <f t="shared" si="47"/>
        <v>950</v>
      </c>
      <c r="D158">
        <f t="shared" si="48"/>
        <v>10000</v>
      </c>
      <c r="E158">
        <f t="shared" si="49"/>
        <v>970</v>
      </c>
      <c r="F158">
        <f t="shared" si="50"/>
        <v>8000</v>
      </c>
      <c r="G158">
        <f t="shared" si="51"/>
        <v>980</v>
      </c>
      <c r="H158">
        <f t="shared" si="52"/>
        <v>6000</v>
      </c>
      <c r="I158">
        <f t="shared" si="53"/>
        <v>1000</v>
      </c>
      <c r="J158">
        <v>2000</v>
      </c>
      <c r="K158" t="str">
        <f t="shared" si="54"/>
        <v>950,10000|970,8000|980,6000|1000,2000</v>
      </c>
    </row>
    <row r="159" spans="1:11" x14ac:dyDescent="0.2">
      <c r="A159">
        <v>20</v>
      </c>
      <c r="B159">
        <f t="shared" si="46"/>
        <v>950</v>
      </c>
      <c r="C159">
        <f t="shared" si="47"/>
        <v>950</v>
      </c>
      <c r="D159">
        <f t="shared" si="48"/>
        <v>10000</v>
      </c>
      <c r="E159">
        <f t="shared" si="49"/>
        <v>970</v>
      </c>
      <c r="F159">
        <f t="shared" si="50"/>
        <v>8000</v>
      </c>
      <c r="G159">
        <f t="shared" si="51"/>
        <v>980</v>
      </c>
      <c r="H159">
        <f t="shared" si="52"/>
        <v>6000</v>
      </c>
      <c r="I159">
        <f t="shared" si="53"/>
        <v>1000</v>
      </c>
      <c r="J159">
        <v>2000</v>
      </c>
      <c r="K159" t="str">
        <f t="shared" si="54"/>
        <v>950,10000|970,8000|980,6000|1000,2000</v>
      </c>
    </row>
    <row r="160" spans="1:11" x14ac:dyDescent="0.2">
      <c r="A160">
        <v>20</v>
      </c>
      <c r="B160">
        <f t="shared" si="46"/>
        <v>950</v>
      </c>
      <c r="C160">
        <f t="shared" si="47"/>
        <v>950</v>
      </c>
      <c r="D160">
        <f t="shared" si="48"/>
        <v>10000</v>
      </c>
      <c r="E160">
        <f t="shared" si="49"/>
        <v>970</v>
      </c>
      <c r="F160">
        <f t="shared" si="50"/>
        <v>8000</v>
      </c>
      <c r="G160">
        <f t="shared" si="51"/>
        <v>980</v>
      </c>
      <c r="H160">
        <f t="shared" si="52"/>
        <v>6000</v>
      </c>
      <c r="I160">
        <f t="shared" si="53"/>
        <v>1000</v>
      </c>
      <c r="J160">
        <v>2000</v>
      </c>
      <c r="K160" t="str">
        <f t="shared" si="54"/>
        <v>950,10000|970,8000|980,6000|1000,2000</v>
      </c>
    </row>
    <row r="161" spans="1:11" x14ac:dyDescent="0.2">
      <c r="A161">
        <v>20</v>
      </c>
      <c r="B161">
        <f t="shared" si="46"/>
        <v>950</v>
      </c>
      <c r="C161">
        <f t="shared" si="47"/>
        <v>950</v>
      </c>
      <c r="D161">
        <f t="shared" si="48"/>
        <v>10000</v>
      </c>
      <c r="E161">
        <f t="shared" si="49"/>
        <v>970</v>
      </c>
      <c r="F161">
        <f t="shared" si="50"/>
        <v>8000</v>
      </c>
      <c r="G161">
        <f t="shared" si="51"/>
        <v>980</v>
      </c>
      <c r="H161">
        <f t="shared" si="52"/>
        <v>6000</v>
      </c>
      <c r="I161">
        <f t="shared" si="53"/>
        <v>1000</v>
      </c>
      <c r="J161">
        <v>2000</v>
      </c>
      <c r="K161" t="str">
        <f t="shared" si="54"/>
        <v>950,10000|970,8000|980,6000|1000,2000</v>
      </c>
    </row>
    <row r="162" spans="1:11" x14ac:dyDescent="0.2">
      <c r="A162">
        <v>20</v>
      </c>
      <c r="B162">
        <f t="shared" si="46"/>
        <v>950</v>
      </c>
      <c r="C162">
        <f t="shared" si="47"/>
        <v>950</v>
      </c>
      <c r="D162">
        <f t="shared" si="48"/>
        <v>10000</v>
      </c>
      <c r="E162">
        <f t="shared" si="49"/>
        <v>970</v>
      </c>
      <c r="F162">
        <f t="shared" si="50"/>
        <v>8000</v>
      </c>
      <c r="G162">
        <f t="shared" si="51"/>
        <v>980</v>
      </c>
      <c r="H162">
        <f t="shared" si="52"/>
        <v>6000</v>
      </c>
      <c r="I162">
        <f t="shared" si="53"/>
        <v>1000</v>
      </c>
      <c r="J162">
        <v>2000</v>
      </c>
      <c r="K162" t="str">
        <f t="shared" si="54"/>
        <v>950,10000|970,8000|980,6000|1000,2000</v>
      </c>
    </row>
    <row r="163" spans="1:11" x14ac:dyDescent="0.2">
      <c r="A163">
        <v>20</v>
      </c>
      <c r="B163">
        <f t="shared" si="46"/>
        <v>950</v>
      </c>
      <c r="C163">
        <f t="shared" si="47"/>
        <v>950</v>
      </c>
      <c r="D163">
        <f t="shared" si="48"/>
        <v>10000</v>
      </c>
      <c r="E163">
        <f t="shared" si="49"/>
        <v>970</v>
      </c>
      <c r="F163">
        <f t="shared" si="50"/>
        <v>8000</v>
      </c>
      <c r="G163">
        <f t="shared" si="51"/>
        <v>980</v>
      </c>
      <c r="H163">
        <f t="shared" si="52"/>
        <v>6000</v>
      </c>
      <c r="I163">
        <f t="shared" si="53"/>
        <v>1000</v>
      </c>
      <c r="J163">
        <v>2000</v>
      </c>
      <c r="K163" t="str">
        <f t="shared" si="54"/>
        <v>950,10000|970,8000|980,6000|1000,2000</v>
      </c>
    </row>
    <row r="164" spans="1:11" x14ac:dyDescent="0.2">
      <c r="A164">
        <v>20</v>
      </c>
      <c r="B164">
        <f t="shared" si="46"/>
        <v>950</v>
      </c>
      <c r="C164">
        <f t="shared" si="47"/>
        <v>950</v>
      </c>
      <c r="D164">
        <f t="shared" si="48"/>
        <v>10000</v>
      </c>
      <c r="E164">
        <f t="shared" si="49"/>
        <v>970</v>
      </c>
      <c r="F164">
        <f t="shared" si="50"/>
        <v>8000</v>
      </c>
      <c r="G164">
        <f t="shared" si="51"/>
        <v>980</v>
      </c>
      <c r="H164">
        <f t="shared" si="52"/>
        <v>6000</v>
      </c>
      <c r="I164">
        <f t="shared" si="53"/>
        <v>1000</v>
      </c>
      <c r="J164">
        <v>2000</v>
      </c>
      <c r="K164" t="str">
        <f t="shared" si="54"/>
        <v>950,10000|970,8000|980,6000|1000,2000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6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26" sqref="F26"/>
    </sheetView>
  </sheetViews>
  <sheetFormatPr defaultRowHeight="14.25" x14ac:dyDescent="0.2"/>
  <cols>
    <col min="1" max="1" width="10.375" bestFit="1" customWidth="1"/>
    <col min="2" max="2" width="16" bestFit="1" customWidth="1"/>
    <col min="3" max="3" width="8.5" bestFit="1" customWidth="1"/>
    <col min="4" max="4" width="12.375" bestFit="1" customWidth="1"/>
    <col min="5" max="5" width="12.25" bestFit="1" customWidth="1"/>
    <col min="6" max="6" width="23.125" customWidth="1"/>
    <col min="7" max="7" width="20" bestFit="1" customWidth="1"/>
    <col min="8" max="8" width="24.875" bestFit="1" customWidth="1"/>
    <col min="9" max="9" width="21.875" bestFit="1" customWidth="1"/>
    <col min="10" max="10" width="33.375" bestFit="1" customWidth="1"/>
    <col min="11" max="11" width="23.875" bestFit="1" customWidth="1"/>
    <col min="12" max="12" width="5" bestFit="1" customWidth="1"/>
  </cols>
  <sheetData>
    <row r="1" spans="1:12" ht="18" thickBot="1" x14ac:dyDescent="0.25">
      <c r="A1" s="1" t="s">
        <v>0</v>
      </c>
      <c r="B1" s="1" t="s">
        <v>4</v>
      </c>
      <c r="C1" s="1" t="s">
        <v>14</v>
      </c>
      <c r="D1" s="1" t="s">
        <v>6</v>
      </c>
      <c r="E1" s="1" t="s">
        <v>8</v>
      </c>
      <c r="F1" s="1" t="s">
        <v>9</v>
      </c>
      <c r="G1" s="1" t="s">
        <v>17</v>
      </c>
      <c r="H1" s="1" t="s">
        <v>26</v>
      </c>
      <c r="I1" s="1" t="s">
        <v>19</v>
      </c>
      <c r="J1" s="1" t="s">
        <v>21</v>
      </c>
      <c r="K1" s="1" t="s">
        <v>22</v>
      </c>
      <c r="L1" s="1" t="s">
        <v>23</v>
      </c>
    </row>
    <row r="2" spans="1:12" ht="18" thickBot="1" x14ac:dyDescent="0.25">
      <c r="A2" s="1" t="s">
        <v>1</v>
      </c>
      <c r="B2" s="1" t="s">
        <v>12</v>
      </c>
      <c r="C2" s="1" t="s">
        <v>15</v>
      </c>
      <c r="D2" s="1" t="s">
        <v>15</v>
      </c>
      <c r="E2" s="1" t="s">
        <v>13</v>
      </c>
      <c r="F2" s="1" t="s">
        <v>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13</v>
      </c>
    </row>
    <row r="3" spans="1:12" ht="18" thickBot="1" x14ac:dyDescent="0.25">
      <c r="A3" s="1" t="s">
        <v>3</v>
      </c>
      <c r="B3" s="1" t="s">
        <v>5</v>
      </c>
      <c r="C3" s="1" t="s">
        <v>16</v>
      </c>
      <c r="D3" s="1" t="s">
        <v>7</v>
      </c>
      <c r="E3" s="1" t="s">
        <v>11</v>
      </c>
      <c r="F3" s="1" t="s">
        <v>10</v>
      </c>
      <c r="G3" s="1" t="s">
        <v>18</v>
      </c>
      <c r="H3" s="1" t="s">
        <v>20</v>
      </c>
      <c r="I3" s="1" t="s">
        <v>27</v>
      </c>
      <c r="J3" s="1" t="s">
        <v>24</v>
      </c>
      <c r="K3" s="1" t="s">
        <v>28</v>
      </c>
      <c r="L3" s="1" t="s">
        <v>29</v>
      </c>
    </row>
    <row r="4" spans="1:12" x14ac:dyDescent="0.2">
      <c r="A4">
        <v>11001</v>
      </c>
      <c r="B4" t="s">
        <v>225</v>
      </c>
      <c r="C4">
        <v>11001</v>
      </c>
      <c r="D4">
        <v>1</v>
      </c>
      <c r="E4">
        <v>5</v>
      </c>
      <c r="F4" t="s">
        <v>53</v>
      </c>
      <c r="G4">
        <v>33500</v>
      </c>
      <c r="H4" t="s">
        <v>30</v>
      </c>
    </row>
    <row r="5" spans="1:12" x14ac:dyDescent="0.2">
      <c r="A5">
        <v>11002</v>
      </c>
      <c r="B5" t="s">
        <v>226</v>
      </c>
      <c r="C5">
        <v>11002</v>
      </c>
      <c r="D5">
        <v>1</v>
      </c>
      <c r="E5">
        <v>5</v>
      </c>
      <c r="F5" t="s">
        <v>53</v>
      </c>
      <c r="G5">
        <v>33500</v>
      </c>
      <c r="H5" t="s">
        <v>30</v>
      </c>
    </row>
    <row r="6" spans="1:12" x14ac:dyDescent="0.2">
      <c r="A6">
        <v>11003</v>
      </c>
      <c r="B6" t="s">
        <v>227</v>
      </c>
      <c r="C6">
        <v>11003</v>
      </c>
      <c r="D6">
        <v>1</v>
      </c>
      <c r="E6">
        <v>10</v>
      </c>
      <c r="F6" t="s">
        <v>55</v>
      </c>
      <c r="G6">
        <v>63100</v>
      </c>
      <c r="H6" t="s">
        <v>271</v>
      </c>
    </row>
    <row r="7" spans="1:12" x14ac:dyDescent="0.2">
      <c r="A7">
        <v>11004</v>
      </c>
      <c r="B7" t="s">
        <v>228</v>
      </c>
      <c r="C7">
        <v>11004</v>
      </c>
      <c r="D7">
        <v>1</v>
      </c>
      <c r="E7">
        <v>10</v>
      </c>
      <c r="F7" t="s">
        <v>55</v>
      </c>
      <c r="G7">
        <v>63100</v>
      </c>
      <c r="H7" t="s">
        <v>272</v>
      </c>
    </row>
    <row r="8" spans="1:12" x14ac:dyDescent="0.2">
      <c r="A8">
        <v>11005</v>
      </c>
      <c r="B8" t="s">
        <v>229</v>
      </c>
      <c r="C8">
        <v>11005</v>
      </c>
      <c r="D8">
        <v>1</v>
      </c>
      <c r="E8">
        <v>15</v>
      </c>
      <c r="F8" t="s">
        <v>56</v>
      </c>
      <c r="G8">
        <v>92700</v>
      </c>
      <c r="H8" t="s">
        <v>255</v>
      </c>
    </row>
    <row r="9" spans="1:12" x14ac:dyDescent="0.2">
      <c r="A9">
        <v>11006</v>
      </c>
      <c r="B9" t="s">
        <v>230</v>
      </c>
      <c r="C9">
        <v>11006</v>
      </c>
      <c r="D9">
        <v>1</v>
      </c>
      <c r="E9">
        <v>15</v>
      </c>
      <c r="F9" t="s">
        <v>56</v>
      </c>
      <c r="G9">
        <v>92700</v>
      </c>
      <c r="H9" t="s">
        <v>256</v>
      </c>
    </row>
    <row r="10" spans="1:12" x14ac:dyDescent="0.2">
      <c r="A10">
        <v>11007</v>
      </c>
      <c r="B10" t="s">
        <v>231</v>
      </c>
      <c r="C10">
        <v>11007</v>
      </c>
      <c r="D10">
        <v>1</v>
      </c>
      <c r="E10">
        <v>20</v>
      </c>
      <c r="F10" t="s">
        <v>57</v>
      </c>
      <c r="G10">
        <v>122300</v>
      </c>
      <c r="H10" t="s">
        <v>257</v>
      </c>
    </row>
    <row r="11" spans="1:12" x14ac:dyDescent="0.2">
      <c r="A11">
        <v>11008</v>
      </c>
      <c r="B11" t="s">
        <v>232</v>
      </c>
      <c r="C11">
        <v>11008</v>
      </c>
      <c r="D11">
        <v>1</v>
      </c>
      <c r="E11">
        <v>20</v>
      </c>
      <c r="F11" t="s">
        <v>57</v>
      </c>
      <c r="G11">
        <v>122300</v>
      </c>
      <c r="H11" t="s">
        <v>258</v>
      </c>
      <c r="J11" s="2"/>
    </row>
    <row r="12" spans="1:12" x14ac:dyDescent="0.2">
      <c r="A12">
        <v>11009</v>
      </c>
      <c r="B12" t="s">
        <v>233</v>
      </c>
      <c r="C12">
        <v>11009</v>
      </c>
      <c r="D12">
        <v>1</v>
      </c>
      <c r="E12">
        <v>25</v>
      </c>
      <c r="F12" t="s">
        <v>58</v>
      </c>
      <c r="G12">
        <v>152000</v>
      </c>
      <c r="H12" t="s">
        <v>259</v>
      </c>
    </row>
    <row r="13" spans="1:12" x14ac:dyDescent="0.2">
      <c r="A13">
        <v>11010</v>
      </c>
      <c r="B13" t="s">
        <v>234</v>
      </c>
      <c r="C13">
        <v>11010</v>
      </c>
      <c r="D13">
        <v>1</v>
      </c>
      <c r="E13">
        <v>25</v>
      </c>
      <c r="F13" t="s">
        <v>58</v>
      </c>
      <c r="G13">
        <v>152000</v>
      </c>
      <c r="H13" t="s">
        <v>260</v>
      </c>
    </row>
    <row r="14" spans="1:12" x14ac:dyDescent="0.2">
      <c r="A14">
        <v>11011</v>
      </c>
      <c r="B14" t="s">
        <v>235</v>
      </c>
      <c r="C14">
        <v>11011</v>
      </c>
      <c r="D14">
        <v>1</v>
      </c>
      <c r="E14">
        <v>30</v>
      </c>
      <c r="F14" t="s">
        <v>59</v>
      </c>
      <c r="G14">
        <v>181600</v>
      </c>
      <c r="H14" t="s">
        <v>261</v>
      </c>
    </row>
    <row r="15" spans="1:12" x14ac:dyDescent="0.2">
      <c r="A15">
        <v>11012</v>
      </c>
      <c r="B15" t="s">
        <v>236</v>
      </c>
      <c r="C15">
        <v>11012</v>
      </c>
      <c r="D15">
        <v>1</v>
      </c>
      <c r="E15">
        <v>30</v>
      </c>
      <c r="F15" t="s">
        <v>59</v>
      </c>
      <c r="G15">
        <v>181600</v>
      </c>
      <c r="H15" t="s">
        <v>262</v>
      </c>
    </row>
    <row r="16" spans="1:12" x14ac:dyDescent="0.2">
      <c r="A16">
        <v>11013</v>
      </c>
      <c r="B16" t="s">
        <v>237</v>
      </c>
      <c r="C16">
        <v>11013</v>
      </c>
      <c r="D16">
        <v>1</v>
      </c>
      <c r="E16">
        <v>35</v>
      </c>
      <c r="F16" t="s">
        <v>60</v>
      </c>
      <c r="G16">
        <v>211200</v>
      </c>
      <c r="H16" t="s">
        <v>263</v>
      </c>
    </row>
    <row r="17" spans="1:9" x14ac:dyDescent="0.2">
      <c r="A17">
        <v>11014</v>
      </c>
      <c r="B17" t="s">
        <v>238</v>
      </c>
      <c r="C17">
        <v>11014</v>
      </c>
      <c r="D17">
        <v>1</v>
      </c>
      <c r="E17">
        <v>35</v>
      </c>
      <c r="F17" t="s">
        <v>60</v>
      </c>
      <c r="G17">
        <v>211200</v>
      </c>
      <c r="H17" t="s">
        <v>264</v>
      </c>
    </row>
    <row r="18" spans="1:9" x14ac:dyDescent="0.2">
      <c r="A18">
        <v>11015</v>
      </c>
      <c r="B18" t="s">
        <v>239</v>
      </c>
      <c r="C18">
        <v>11015</v>
      </c>
      <c r="D18">
        <v>1</v>
      </c>
      <c r="E18">
        <v>40</v>
      </c>
      <c r="F18" t="s">
        <v>61</v>
      </c>
      <c r="G18">
        <v>240900</v>
      </c>
      <c r="H18" t="s">
        <v>265</v>
      </c>
    </row>
    <row r="19" spans="1:9" x14ac:dyDescent="0.2">
      <c r="A19">
        <v>11016</v>
      </c>
      <c r="B19" t="s">
        <v>240</v>
      </c>
      <c r="C19">
        <v>11016</v>
      </c>
      <c r="D19">
        <v>1</v>
      </c>
      <c r="E19">
        <v>40</v>
      </c>
      <c r="F19" t="s">
        <v>61</v>
      </c>
      <c r="G19">
        <v>240900</v>
      </c>
      <c r="H19" t="s">
        <v>266</v>
      </c>
    </row>
    <row r="20" spans="1:9" x14ac:dyDescent="0.2">
      <c r="A20">
        <v>11017</v>
      </c>
      <c r="B20" t="s">
        <v>241</v>
      </c>
      <c r="C20">
        <v>11017</v>
      </c>
      <c r="D20">
        <v>1</v>
      </c>
      <c r="E20">
        <v>45</v>
      </c>
      <c r="F20" t="s">
        <v>62</v>
      </c>
      <c r="G20">
        <v>270500</v>
      </c>
      <c r="H20" t="s">
        <v>267</v>
      </c>
    </row>
    <row r="21" spans="1:9" x14ac:dyDescent="0.2">
      <c r="A21">
        <v>11018</v>
      </c>
      <c r="B21" t="s">
        <v>242</v>
      </c>
      <c r="C21">
        <v>11018</v>
      </c>
      <c r="D21">
        <v>1</v>
      </c>
      <c r="E21">
        <v>45</v>
      </c>
      <c r="F21" t="s">
        <v>62</v>
      </c>
      <c r="G21">
        <v>270500</v>
      </c>
      <c r="H21" t="s">
        <v>268</v>
      </c>
    </row>
    <row r="22" spans="1:9" x14ac:dyDescent="0.2">
      <c r="A22">
        <v>11019</v>
      </c>
      <c r="B22" t="s">
        <v>243</v>
      </c>
      <c r="C22">
        <v>11019</v>
      </c>
      <c r="D22">
        <v>1</v>
      </c>
      <c r="E22">
        <v>50</v>
      </c>
      <c r="F22" t="s">
        <v>63</v>
      </c>
      <c r="G22">
        <v>300100</v>
      </c>
      <c r="H22" t="s">
        <v>269</v>
      </c>
    </row>
    <row r="23" spans="1:9" x14ac:dyDescent="0.2">
      <c r="A23">
        <v>11020</v>
      </c>
      <c r="B23" t="s">
        <v>244</v>
      </c>
      <c r="C23">
        <v>11020</v>
      </c>
      <c r="D23">
        <v>1</v>
      </c>
      <c r="E23">
        <v>50</v>
      </c>
      <c r="F23" t="s">
        <v>63</v>
      </c>
      <c r="G23">
        <v>300100</v>
      </c>
      <c r="H23" t="s">
        <v>270</v>
      </c>
    </row>
    <row r="24" spans="1:9" x14ac:dyDescent="0.2">
      <c r="A24">
        <v>12001</v>
      </c>
      <c r="B24" t="s">
        <v>33</v>
      </c>
      <c r="C24">
        <v>11001</v>
      </c>
      <c r="D24">
        <v>2</v>
      </c>
      <c r="E24">
        <v>5</v>
      </c>
      <c r="F24" t="s">
        <v>245</v>
      </c>
      <c r="G24">
        <v>22200</v>
      </c>
      <c r="H24" t="s">
        <v>291</v>
      </c>
      <c r="I24" s="3"/>
    </row>
    <row r="25" spans="1:9" x14ac:dyDescent="0.2">
      <c r="A25">
        <v>12002</v>
      </c>
      <c r="B25" t="s">
        <v>34</v>
      </c>
      <c r="C25">
        <v>11002</v>
      </c>
      <c r="D25">
        <v>2</v>
      </c>
      <c r="E25">
        <v>5</v>
      </c>
      <c r="F25" t="s">
        <v>245</v>
      </c>
      <c r="G25">
        <v>22200</v>
      </c>
      <c r="H25" t="s">
        <v>292</v>
      </c>
      <c r="I25" s="3"/>
    </row>
    <row r="26" spans="1:9" x14ac:dyDescent="0.2">
      <c r="A26">
        <v>12003</v>
      </c>
      <c r="B26" t="s">
        <v>35</v>
      </c>
      <c r="C26">
        <v>11003</v>
      </c>
      <c r="D26">
        <v>2</v>
      </c>
      <c r="E26">
        <v>13</v>
      </c>
      <c r="F26" t="s">
        <v>481</v>
      </c>
      <c r="G26">
        <v>49400</v>
      </c>
      <c r="H26" t="s">
        <v>273</v>
      </c>
      <c r="I26" s="3"/>
    </row>
    <row r="27" spans="1:9" x14ac:dyDescent="0.2">
      <c r="A27">
        <v>12004</v>
      </c>
      <c r="B27" t="s">
        <v>36</v>
      </c>
      <c r="C27">
        <v>11004</v>
      </c>
      <c r="D27">
        <v>2</v>
      </c>
      <c r="E27">
        <v>13</v>
      </c>
      <c r="F27" t="s">
        <v>246</v>
      </c>
      <c r="G27">
        <v>49400</v>
      </c>
      <c r="H27" t="s">
        <v>274</v>
      </c>
      <c r="I27" s="3"/>
    </row>
    <row r="28" spans="1:9" x14ac:dyDescent="0.2">
      <c r="A28">
        <v>12005</v>
      </c>
      <c r="B28" t="s">
        <v>37</v>
      </c>
      <c r="C28">
        <v>11005</v>
      </c>
      <c r="D28">
        <v>2</v>
      </c>
      <c r="E28">
        <v>19</v>
      </c>
      <c r="F28" t="s">
        <v>247</v>
      </c>
      <c r="G28">
        <v>69800</v>
      </c>
      <c r="H28" t="s">
        <v>275</v>
      </c>
      <c r="I28" s="3"/>
    </row>
    <row r="29" spans="1:9" x14ac:dyDescent="0.2">
      <c r="A29">
        <v>12006</v>
      </c>
      <c r="B29" t="s">
        <v>38</v>
      </c>
      <c r="C29">
        <v>11006</v>
      </c>
      <c r="D29">
        <v>2</v>
      </c>
      <c r="E29">
        <v>19</v>
      </c>
      <c r="F29" t="s">
        <v>247</v>
      </c>
      <c r="G29">
        <v>69800</v>
      </c>
      <c r="H29" t="s">
        <v>276</v>
      </c>
      <c r="I29" s="3"/>
    </row>
    <row r="30" spans="1:9" x14ac:dyDescent="0.2">
      <c r="A30">
        <v>12007</v>
      </c>
      <c r="B30" t="s">
        <v>39</v>
      </c>
      <c r="C30">
        <v>11007</v>
      </c>
      <c r="D30">
        <v>2</v>
      </c>
      <c r="E30">
        <v>25</v>
      </c>
      <c r="F30" t="s">
        <v>248</v>
      </c>
      <c r="G30">
        <v>90100</v>
      </c>
      <c r="H30" t="s">
        <v>277</v>
      </c>
      <c r="I30" s="3"/>
    </row>
    <row r="31" spans="1:9" x14ac:dyDescent="0.2">
      <c r="A31">
        <v>12008</v>
      </c>
      <c r="B31" t="s">
        <v>40</v>
      </c>
      <c r="C31">
        <v>11008</v>
      </c>
      <c r="D31">
        <v>2</v>
      </c>
      <c r="E31">
        <v>25</v>
      </c>
      <c r="F31" t="s">
        <v>248</v>
      </c>
      <c r="G31">
        <v>90100</v>
      </c>
      <c r="H31" t="s">
        <v>278</v>
      </c>
      <c r="I31" s="3"/>
    </row>
    <row r="32" spans="1:9" x14ac:dyDescent="0.2">
      <c r="A32">
        <v>12009</v>
      </c>
      <c r="B32" t="s">
        <v>41</v>
      </c>
      <c r="C32">
        <v>11009</v>
      </c>
      <c r="D32">
        <v>2</v>
      </c>
      <c r="E32">
        <v>31</v>
      </c>
      <c r="F32" t="s">
        <v>249</v>
      </c>
      <c r="G32">
        <v>110500</v>
      </c>
      <c r="H32" t="s">
        <v>279</v>
      </c>
      <c r="I32" s="3"/>
    </row>
    <row r="33" spans="1:9" x14ac:dyDescent="0.2">
      <c r="A33">
        <v>12010</v>
      </c>
      <c r="B33" t="s">
        <v>42</v>
      </c>
      <c r="C33">
        <v>11010</v>
      </c>
      <c r="D33">
        <v>2</v>
      </c>
      <c r="E33">
        <v>31</v>
      </c>
      <c r="F33" t="s">
        <v>249</v>
      </c>
      <c r="G33">
        <v>110500</v>
      </c>
      <c r="H33" t="s">
        <v>280</v>
      </c>
      <c r="I33" s="3"/>
    </row>
    <row r="34" spans="1:9" x14ac:dyDescent="0.2">
      <c r="A34">
        <v>12011</v>
      </c>
      <c r="B34" t="s">
        <v>43</v>
      </c>
      <c r="C34">
        <v>11011</v>
      </c>
      <c r="D34">
        <v>2</v>
      </c>
      <c r="E34">
        <v>37</v>
      </c>
      <c r="F34" t="s">
        <v>250</v>
      </c>
      <c r="G34">
        <v>130900</v>
      </c>
      <c r="H34" t="s">
        <v>281</v>
      </c>
      <c r="I34" s="3"/>
    </row>
    <row r="35" spans="1:9" x14ac:dyDescent="0.2">
      <c r="A35">
        <v>12012</v>
      </c>
      <c r="B35" t="s">
        <v>44</v>
      </c>
      <c r="C35">
        <v>11012</v>
      </c>
      <c r="D35">
        <v>2</v>
      </c>
      <c r="E35">
        <v>37</v>
      </c>
      <c r="F35" t="s">
        <v>250</v>
      </c>
      <c r="G35">
        <v>130900</v>
      </c>
      <c r="H35" t="s">
        <v>282</v>
      </c>
      <c r="I35" s="3"/>
    </row>
    <row r="36" spans="1:9" x14ac:dyDescent="0.2">
      <c r="A36">
        <v>12013</v>
      </c>
      <c r="B36" t="s">
        <v>45</v>
      </c>
      <c r="C36">
        <v>11013</v>
      </c>
      <c r="D36">
        <v>2</v>
      </c>
      <c r="E36">
        <v>44</v>
      </c>
      <c r="F36" t="s">
        <v>251</v>
      </c>
      <c r="G36">
        <v>154700</v>
      </c>
      <c r="H36" t="s">
        <v>283</v>
      </c>
      <c r="I36" s="3"/>
    </row>
    <row r="37" spans="1:9" x14ac:dyDescent="0.2">
      <c r="A37">
        <v>12014</v>
      </c>
      <c r="B37" t="s">
        <v>46</v>
      </c>
      <c r="C37">
        <v>11014</v>
      </c>
      <c r="D37">
        <v>2</v>
      </c>
      <c r="E37">
        <v>44</v>
      </c>
      <c r="F37" t="s">
        <v>251</v>
      </c>
      <c r="G37">
        <v>154700</v>
      </c>
      <c r="H37" t="s">
        <v>284</v>
      </c>
      <c r="I37" s="3"/>
    </row>
    <row r="38" spans="1:9" x14ac:dyDescent="0.2">
      <c r="A38">
        <v>12015</v>
      </c>
      <c r="B38" t="s">
        <v>47</v>
      </c>
      <c r="C38">
        <v>11015</v>
      </c>
      <c r="D38">
        <v>2</v>
      </c>
      <c r="E38">
        <v>50</v>
      </c>
      <c r="F38" t="s">
        <v>252</v>
      </c>
      <c r="G38">
        <v>175100</v>
      </c>
      <c r="H38" t="s">
        <v>285</v>
      </c>
      <c r="I38" s="3"/>
    </row>
    <row r="39" spans="1:9" x14ac:dyDescent="0.2">
      <c r="A39">
        <v>12016</v>
      </c>
      <c r="B39" t="s">
        <v>48</v>
      </c>
      <c r="C39">
        <v>11016</v>
      </c>
      <c r="D39">
        <v>2</v>
      </c>
      <c r="E39">
        <v>50</v>
      </c>
      <c r="F39" t="s">
        <v>252</v>
      </c>
      <c r="G39">
        <v>175100</v>
      </c>
      <c r="H39" t="s">
        <v>286</v>
      </c>
      <c r="I39" s="3"/>
    </row>
    <row r="40" spans="1:9" x14ac:dyDescent="0.2">
      <c r="A40">
        <v>12017</v>
      </c>
      <c r="B40" t="s">
        <v>49</v>
      </c>
      <c r="C40">
        <v>11017</v>
      </c>
      <c r="D40">
        <v>2</v>
      </c>
      <c r="E40">
        <v>56</v>
      </c>
      <c r="F40" t="s">
        <v>253</v>
      </c>
      <c r="G40">
        <v>195500</v>
      </c>
      <c r="H40" t="s">
        <v>287</v>
      </c>
      <c r="I40" s="3"/>
    </row>
    <row r="41" spans="1:9" x14ac:dyDescent="0.2">
      <c r="A41">
        <v>12018</v>
      </c>
      <c r="B41" t="s">
        <v>50</v>
      </c>
      <c r="C41">
        <v>11018</v>
      </c>
      <c r="D41">
        <v>2</v>
      </c>
      <c r="E41">
        <v>56</v>
      </c>
      <c r="F41" t="s">
        <v>253</v>
      </c>
      <c r="G41">
        <v>195500</v>
      </c>
      <c r="H41" t="s">
        <v>288</v>
      </c>
      <c r="I41" s="3"/>
    </row>
    <row r="42" spans="1:9" x14ac:dyDescent="0.2">
      <c r="A42">
        <v>12019</v>
      </c>
      <c r="B42" t="s">
        <v>51</v>
      </c>
      <c r="C42">
        <v>11019</v>
      </c>
      <c r="D42">
        <v>2</v>
      </c>
      <c r="E42">
        <v>62</v>
      </c>
      <c r="F42" t="s">
        <v>254</v>
      </c>
      <c r="G42">
        <v>215800</v>
      </c>
      <c r="H42" t="s">
        <v>289</v>
      </c>
      <c r="I42" s="3"/>
    </row>
    <row r="43" spans="1:9" x14ac:dyDescent="0.2">
      <c r="A43">
        <v>12020</v>
      </c>
      <c r="B43" t="s">
        <v>52</v>
      </c>
      <c r="C43">
        <v>11020</v>
      </c>
      <c r="D43">
        <v>2</v>
      </c>
      <c r="E43">
        <v>62</v>
      </c>
      <c r="F43" t="s">
        <v>254</v>
      </c>
      <c r="G43">
        <v>215800</v>
      </c>
      <c r="H43" t="s">
        <v>290</v>
      </c>
      <c r="I43" s="3"/>
    </row>
    <row r="44" spans="1:9" s="4" customFormat="1" x14ac:dyDescent="0.2">
      <c r="A44" s="4">
        <v>13001</v>
      </c>
      <c r="B44" s="4" t="s">
        <v>64</v>
      </c>
      <c r="C44" s="4">
        <v>11001</v>
      </c>
      <c r="D44" s="4">
        <v>3</v>
      </c>
      <c r="E44" s="4">
        <v>3</v>
      </c>
      <c r="F44" s="4" t="s">
        <v>84</v>
      </c>
      <c r="G44" s="4">
        <v>31400</v>
      </c>
      <c r="H44" s="4" t="s">
        <v>30</v>
      </c>
      <c r="I44" s="5"/>
    </row>
    <row r="45" spans="1:9" x14ac:dyDescent="0.2">
      <c r="A45">
        <v>13002</v>
      </c>
      <c r="B45" t="s">
        <v>65</v>
      </c>
      <c r="C45">
        <v>11002</v>
      </c>
      <c r="D45">
        <v>3</v>
      </c>
      <c r="E45">
        <v>3</v>
      </c>
      <c r="F45" t="s">
        <v>84</v>
      </c>
      <c r="G45">
        <v>31400</v>
      </c>
      <c r="H45" t="s">
        <v>30</v>
      </c>
      <c r="I45" s="3"/>
    </row>
    <row r="46" spans="1:9" x14ac:dyDescent="0.2">
      <c r="A46">
        <v>13003</v>
      </c>
      <c r="B46" t="s">
        <v>66</v>
      </c>
      <c r="C46">
        <v>11003</v>
      </c>
      <c r="D46">
        <v>3</v>
      </c>
      <c r="E46">
        <v>6</v>
      </c>
      <c r="F46" t="s">
        <v>85</v>
      </c>
      <c r="G46">
        <v>61200</v>
      </c>
      <c r="H46" t="s">
        <v>293</v>
      </c>
      <c r="I46" s="3"/>
    </row>
    <row r="47" spans="1:9" x14ac:dyDescent="0.2">
      <c r="A47">
        <v>13004</v>
      </c>
      <c r="B47" t="s">
        <v>67</v>
      </c>
      <c r="C47">
        <v>11004</v>
      </c>
      <c r="D47">
        <v>3</v>
      </c>
      <c r="E47">
        <v>6</v>
      </c>
      <c r="F47" t="s">
        <v>85</v>
      </c>
      <c r="G47">
        <v>61200</v>
      </c>
      <c r="H47" t="s">
        <v>294</v>
      </c>
      <c r="I47" s="3"/>
    </row>
    <row r="48" spans="1:9" x14ac:dyDescent="0.2">
      <c r="A48">
        <v>13005</v>
      </c>
      <c r="B48" t="s">
        <v>68</v>
      </c>
      <c r="C48">
        <v>11005</v>
      </c>
      <c r="D48">
        <v>3</v>
      </c>
      <c r="E48">
        <v>9</v>
      </c>
      <c r="F48" t="s">
        <v>88</v>
      </c>
      <c r="G48">
        <v>90900</v>
      </c>
      <c r="H48" t="s">
        <v>295</v>
      </c>
      <c r="I48" s="3"/>
    </row>
    <row r="49" spans="1:12" x14ac:dyDescent="0.2">
      <c r="A49">
        <v>13006</v>
      </c>
      <c r="B49" t="s">
        <v>69</v>
      </c>
      <c r="C49">
        <v>11006</v>
      </c>
      <c r="D49">
        <v>3</v>
      </c>
      <c r="E49">
        <v>9</v>
      </c>
      <c r="F49" t="s">
        <v>88</v>
      </c>
      <c r="G49">
        <v>90900</v>
      </c>
      <c r="H49" t="s">
        <v>296</v>
      </c>
      <c r="I49" s="3"/>
    </row>
    <row r="50" spans="1:12" x14ac:dyDescent="0.2">
      <c r="A50">
        <v>13007</v>
      </c>
      <c r="B50" t="s">
        <v>70</v>
      </c>
      <c r="C50">
        <v>11007</v>
      </c>
      <c r="D50">
        <v>3</v>
      </c>
      <c r="E50">
        <v>12</v>
      </c>
      <c r="F50" t="s">
        <v>89</v>
      </c>
      <c r="G50">
        <v>120700</v>
      </c>
      <c r="H50" t="s">
        <v>297</v>
      </c>
      <c r="I50" s="3"/>
    </row>
    <row r="51" spans="1:12" x14ac:dyDescent="0.2">
      <c r="A51">
        <v>13008</v>
      </c>
      <c r="B51" t="s">
        <v>71</v>
      </c>
      <c r="C51">
        <v>11008</v>
      </c>
      <c r="D51">
        <v>3</v>
      </c>
      <c r="E51">
        <v>12</v>
      </c>
      <c r="F51" t="s">
        <v>89</v>
      </c>
      <c r="G51">
        <v>120700</v>
      </c>
      <c r="H51" t="s">
        <v>298</v>
      </c>
      <c r="I51" s="3"/>
    </row>
    <row r="52" spans="1:12" x14ac:dyDescent="0.2">
      <c r="A52">
        <v>13009</v>
      </c>
      <c r="B52" t="s">
        <v>72</v>
      </c>
      <c r="C52">
        <v>11009</v>
      </c>
      <c r="D52">
        <v>3</v>
      </c>
      <c r="E52">
        <v>15</v>
      </c>
      <c r="F52" t="s">
        <v>90</v>
      </c>
      <c r="G52">
        <v>150500</v>
      </c>
      <c r="H52" t="s">
        <v>299</v>
      </c>
      <c r="I52" s="3"/>
    </row>
    <row r="53" spans="1:12" x14ac:dyDescent="0.2">
      <c r="A53">
        <v>13010</v>
      </c>
      <c r="B53" t="s">
        <v>73</v>
      </c>
      <c r="C53">
        <v>11010</v>
      </c>
      <c r="D53">
        <v>3</v>
      </c>
      <c r="E53">
        <v>15</v>
      </c>
      <c r="F53" t="s">
        <v>90</v>
      </c>
      <c r="G53">
        <v>150500</v>
      </c>
      <c r="H53" t="s">
        <v>300</v>
      </c>
      <c r="I53" s="3"/>
    </row>
    <row r="54" spans="1:12" x14ac:dyDescent="0.2">
      <c r="A54">
        <v>13011</v>
      </c>
      <c r="B54" t="s">
        <v>74</v>
      </c>
      <c r="C54">
        <v>11011</v>
      </c>
      <c r="D54">
        <v>3</v>
      </c>
      <c r="E54">
        <v>18</v>
      </c>
      <c r="F54" t="s">
        <v>91</v>
      </c>
      <c r="G54">
        <v>180200</v>
      </c>
      <c r="H54" t="s">
        <v>301</v>
      </c>
      <c r="I54" s="3"/>
    </row>
    <row r="55" spans="1:12" x14ac:dyDescent="0.2">
      <c r="A55">
        <v>13012</v>
      </c>
      <c r="B55" t="s">
        <v>75</v>
      </c>
      <c r="C55">
        <v>11012</v>
      </c>
      <c r="D55">
        <v>3</v>
      </c>
      <c r="E55">
        <v>18</v>
      </c>
      <c r="F55" t="s">
        <v>91</v>
      </c>
      <c r="G55">
        <v>180200</v>
      </c>
      <c r="H55" t="s">
        <v>302</v>
      </c>
      <c r="I55" s="3"/>
    </row>
    <row r="56" spans="1:12" x14ac:dyDescent="0.2">
      <c r="A56">
        <v>13013</v>
      </c>
      <c r="B56" t="s">
        <v>76</v>
      </c>
      <c r="C56">
        <v>11013</v>
      </c>
      <c r="D56">
        <v>3</v>
      </c>
      <c r="E56">
        <v>21</v>
      </c>
      <c r="F56" t="s">
        <v>92</v>
      </c>
      <c r="G56">
        <v>210000</v>
      </c>
      <c r="H56" t="s">
        <v>303</v>
      </c>
      <c r="I56" s="3"/>
    </row>
    <row r="57" spans="1:12" x14ac:dyDescent="0.2">
      <c r="A57">
        <v>13014</v>
      </c>
      <c r="B57" t="s">
        <v>77</v>
      </c>
      <c r="C57">
        <v>11014</v>
      </c>
      <c r="D57">
        <v>3</v>
      </c>
      <c r="E57">
        <v>21</v>
      </c>
      <c r="F57" t="s">
        <v>92</v>
      </c>
      <c r="G57">
        <v>210000</v>
      </c>
      <c r="H57" t="s">
        <v>304</v>
      </c>
      <c r="I57" s="3"/>
    </row>
    <row r="58" spans="1:12" x14ac:dyDescent="0.2">
      <c r="A58">
        <v>13015</v>
      </c>
      <c r="B58" t="s">
        <v>78</v>
      </c>
      <c r="C58">
        <v>11015</v>
      </c>
      <c r="D58">
        <v>3</v>
      </c>
      <c r="E58">
        <v>24</v>
      </c>
      <c r="F58" t="s">
        <v>93</v>
      </c>
      <c r="G58">
        <v>239700</v>
      </c>
      <c r="H58" t="s">
        <v>305</v>
      </c>
      <c r="I58" s="3"/>
    </row>
    <row r="59" spans="1:12" x14ac:dyDescent="0.2">
      <c r="A59">
        <v>13016</v>
      </c>
      <c r="B59" t="s">
        <v>79</v>
      </c>
      <c r="C59">
        <v>11016</v>
      </c>
      <c r="D59">
        <v>3</v>
      </c>
      <c r="E59">
        <v>24</v>
      </c>
      <c r="F59" t="s">
        <v>93</v>
      </c>
      <c r="G59">
        <v>239700</v>
      </c>
      <c r="H59" t="s">
        <v>306</v>
      </c>
      <c r="I59" s="3"/>
    </row>
    <row r="60" spans="1:12" x14ac:dyDescent="0.2">
      <c r="A60">
        <v>13017</v>
      </c>
      <c r="B60" t="s">
        <v>80</v>
      </c>
      <c r="C60">
        <v>11017</v>
      </c>
      <c r="D60">
        <v>3</v>
      </c>
      <c r="E60">
        <v>27</v>
      </c>
      <c r="F60" t="s">
        <v>94</v>
      </c>
      <c r="G60">
        <v>269500</v>
      </c>
      <c r="H60" t="s">
        <v>307</v>
      </c>
      <c r="I60" s="3"/>
    </row>
    <row r="61" spans="1:12" x14ac:dyDescent="0.2">
      <c r="A61">
        <v>13018</v>
      </c>
      <c r="B61" t="s">
        <v>81</v>
      </c>
      <c r="C61">
        <v>11018</v>
      </c>
      <c r="D61">
        <v>3</v>
      </c>
      <c r="E61">
        <v>27</v>
      </c>
      <c r="F61" t="s">
        <v>94</v>
      </c>
      <c r="G61">
        <v>269500</v>
      </c>
      <c r="H61" t="s">
        <v>308</v>
      </c>
      <c r="I61" s="3"/>
    </row>
    <row r="62" spans="1:12" x14ac:dyDescent="0.2">
      <c r="A62">
        <v>13019</v>
      </c>
      <c r="B62" t="s">
        <v>82</v>
      </c>
      <c r="C62">
        <v>11019</v>
      </c>
      <c r="D62">
        <v>3</v>
      </c>
      <c r="E62">
        <v>30</v>
      </c>
      <c r="F62" t="s">
        <v>95</v>
      </c>
      <c r="G62">
        <v>299200</v>
      </c>
      <c r="H62" t="s">
        <v>309</v>
      </c>
      <c r="I62" s="3"/>
    </row>
    <row r="63" spans="1:12" x14ac:dyDescent="0.2">
      <c r="A63">
        <v>13020</v>
      </c>
      <c r="B63" t="s">
        <v>83</v>
      </c>
      <c r="C63">
        <v>11020</v>
      </c>
      <c r="D63">
        <v>3</v>
      </c>
      <c r="E63">
        <v>30</v>
      </c>
      <c r="F63" t="s">
        <v>95</v>
      </c>
      <c r="G63">
        <v>299200</v>
      </c>
      <c r="H63" t="s">
        <v>310</v>
      </c>
      <c r="I63" s="3"/>
    </row>
    <row r="64" spans="1:12" x14ac:dyDescent="0.2">
      <c r="A64">
        <v>14001</v>
      </c>
      <c r="B64" t="s">
        <v>96</v>
      </c>
      <c r="C64">
        <v>14001</v>
      </c>
      <c r="D64">
        <v>4</v>
      </c>
      <c r="E64">
        <v>1</v>
      </c>
      <c r="F64" t="s">
        <v>223</v>
      </c>
      <c r="G64">
        <v>336800</v>
      </c>
      <c r="H64" t="s">
        <v>97</v>
      </c>
      <c r="I64">
        <v>0</v>
      </c>
      <c r="J64" t="s">
        <v>25</v>
      </c>
      <c r="K64">
        <v>30</v>
      </c>
      <c r="L64">
        <v>1</v>
      </c>
    </row>
    <row r="65" spans="1:12" x14ac:dyDescent="0.2">
      <c r="A65">
        <v>14002</v>
      </c>
      <c r="B65" t="s">
        <v>98</v>
      </c>
      <c r="C65">
        <v>14002</v>
      </c>
      <c r="D65">
        <v>4</v>
      </c>
      <c r="E65">
        <v>1</v>
      </c>
      <c r="F65" t="s">
        <v>223</v>
      </c>
      <c r="G65">
        <v>673500</v>
      </c>
      <c r="H65" t="s">
        <v>99</v>
      </c>
      <c r="I65">
        <v>50</v>
      </c>
      <c r="J65" t="s">
        <v>100</v>
      </c>
      <c r="K65">
        <v>60</v>
      </c>
      <c r="L65">
        <v>2</v>
      </c>
    </row>
    <row r="66" spans="1:12" x14ac:dyDescent="0.2">
      <c r="A66">
        <v>14003</v>
      </c>
      <c r="B66" t="s">
        <v>101</v>
      </c>
      <c r="C66">
        <v>14003</v>
      </c>
      <c r="D66">
        <v>4</v>
      </c>
      <c r="E66">
        <v>1</v>
      </c>
      <c r="F66" t="s">
        <v>223</v>
      </c>
      <c r="G66">
        <v>1025300</v>
      </c>
      <c r="H66" t="s">
        <v>102</v>
      </c>
      <c r="I66">
        <v>100</v>
      </c>
      <c r="J66" t="s">
        <v>103</v>
      </c>
      <c r="K66">
        <v>120</v>
      </c>
      <c r="L66">
        <v>3</v>
      </c>
    </row>
    <row r="67" spans="1:12" x14ac:dyDescent="0.2">
      <c r="A67">
        <v>14004</v>
      </c>
      <c r="B67" t="s">
        <v>104</v>
      </c>
      <c r="C67">
        <v>14004</v>
      </c>
      <c r="D67">
        <v>4</v>
      </c>
      <c r="E67">
        <v>1</v>
      </c>
      <c r="F67" t="s">
        <v>223</v>
      </c>
      <c r="G67">
        <v>1367000</v>
      </c>
      <c r="H67" t="s">
        <v>105</v>
      </c>
      <c r="I67">
        <v>150</v>
      </c>
      <c r="J67" t="s">
        <v>106</v>
      </c>
      <c r="K67">
        <v>160</v>
      </c>
      <c r="L67">
        <v>4</v>
      </c>
    </row>
    <row r="68" spans="1:12" x14ac:dyDescent="0.2">
      <c r="A68">
        <v>14005</v>
      </c>
      <c r="B68" t="s">
        <v>107</v>
      </c>
      <c r="C68">
        <v>14005</v>
      </c>
      <c r="D68">
        <v>4</v>
      </c>
      <c r="E68">
        <v>1</v>
      </c>
      <c r="F68" t="s">
        <v>223</v>
      </c>
      <c r="G68">
        <v>1711200</v>
      </c>
      <c r="H68" t="s">
        <v>108</v>
      </c>
      <c r="I68">
        <v>200</v>
      </c>
      <c r="J68" t="s">
        <v>109</v>
      </c>
      <c r="K68">
        <v>205</v>
      </c>
      <c r="L68">
        <v>5</v>
      </c>
    </row>
    <row r="69" spans="1:12" x14ac:dyDescent="0.2">
      <c r="A69">
        <v>14006</v>
      </c>
      <c r="B69" t="s">
        <v>110</v>
      </c>
      <c r="C69">
        <v>14006</v>
      </c>
      <c r="D69">
        <v>4</v>
      </c>
      <c r="E69">
        <v>1</v>
      </c>
      <c r="F69" t="s">
        <v>223</v>
      </c>
      <c r="G69">
        <v>2055500</v>
      </c>
      <c r="H69" t="s">
        <v>111</v>
      </c>
      <c r="I69">
        <v>250</v>
      </c>
      <c r="J69" t="s">
        <v>112</v>
      </c>
      <c r="K69">
        <v>250</v>
      </c>
      <c r="L69">
        <v>6</v>
      </c>
    </row>
    <row r="70" spans="1:12" x14ac:dyDescent="0.2">
      <c r="A70">
        <v>14007</v>
      </c>
      <c r="B70" t="s">
        <v>113</v>
      </c>
      <c r="C70">
        <v>14007</v>
      </c>
      <c r="D70">
        <v>4</v>
      </c>
      <c r="E70">
        <v>1</v>
      </c>
      <c r="F70" t="s">
        <v>223</v>
      </c>
      <c r="G70">
        <v>2399700</v>
      </c>
      <c r="H70" t="s">
        <v>114</v>
      </c>
      <c r="I70">
        <v>300</v>
      </c>
      <c r="J70" t="s">
        <v>115</v>
      </c>
      <c r="K70">
        <v>295</v>
      </c>
      <c r="L70">
        <v>7</v>
      </c>
    </row>
    <row r="71" spans="1:12" x14ac:dyDescent="0.2">
      <c r="A71">
        <v>14008</v>
      </c>
      <c r="B71" t="s">
        <v>116</v>
      </c>
      <c r="C71">
        <v>14008</v>
      </c>
      <c r="D71">
        <v>4</v>
      </c>
      <c r="E71">
        <v>1</v>
      </c>
      <c r="F71" t="s">
        <v>223</v>
      </c>
      <c r="G71">
        <v>2744000</v>
      </c>
      <c r="H71" t="s">
        <v>117</v>
      </c>
      <c r="I71">
        <v>350</v>
      </c>
      <c r="J71" t="s">
        <v>118</v>
      </c>
      <c r="K71">
        <v>340</v>
      </c>
      <c r="L71">
        <v>8</v>
      </c>
    </row>
    <row r="72" spans="1:12" x14ac:dyDescent="0.2">
      <c r="A72">
        <v>14009</v>
      </c>
      <c r="B72" t="s">
        <v>119</v>
      </c>
      <c r="C72">
        <v>14009</v>
      </c>
      <c r="D72">
        <v>4</v>
      </c>
      <c r="E72">
        <v>1</v>
      </c>
      <c r="F72" t="s">
        <v>223</v>
      </c>
      <c r="G72">
        <v>3088200</v>
      </c>
      <c r="H72" t="s">
        <v>120</v>
      </c>
      <c r="I72">
        <v>400</v>
      </c>
      <c r="J72" t="s">
        <v>121</v>
      </c>
      <c r="K72">
        <v>385</v>
      </c>
      <c r="L72">
        <v>9</v>
      </c>
    </row>
    <row r="73" spans="1:12" x14ac:dyDescent="0.2">
      <c r="A73">
        <v>14010</v>
      </c>
      <c r="B73" t="s">
        <v>122</v>
      </c>
      <c r="C73">
        <v>14010</v>
      </c>
      <c r="D73">
        <v>4</v>
      </c>
      <c r="E73">
        <v>1</v>
      </c>
      <c r="F73" t="s">
        <v>223</v>
      </c>
      <c r="G73">
        <v>3432500</v>
      </c>
      <c r="H73" t="s">
        <v>123</v>
      </c>
      <c r="I73">
        <v>450</v>
      </c>
      <c r="J73" t="s">
        <v>124</v>
      </c>
      <c r="K73">
        <v>430</v>
      </c>
      <c r="L73">
        <v>10</v>
      </c>
    </row>
    <row r="74" spans="1:12" x14ac:dyDescent="0.2">
      <c r="A74">
        <v>14030</v>
      </c>
      <c r="B74" t="s">
        <v>125</v>
      </c>
      <c r="C74">
        <v>14030</v>
      </c>
      <c r="D74">
        <v>4</v>
      </c>
      <c r="E74">
        <v>2</v>
      </c>
      <c r="F74" t="s">
        <v>311</v>
      </c>
      <c r="G74">
        <v>33658</v>
      </c>
      <c r="H74" t="s">
        <v>30</v>
      </c>
      <c r="I74">
        <v>0</v>
      </c>
      <c r="J74" t="s">
        <v>126</v>
      </c>
      <c r="K74">
        <v>39</v>
      </c>
      <c r="L74">
        <v>1</v>
      </c>
    </row>
    <row r="75" spans="1:12" x14ac:dyDescent="0.2">
      <c r="A75">
        <v>14031</v>
      </c>
      <c r="B75" t="s">
        <v>127</v>
      </c>
      <c r="C75">
        <v>14031</v>
      </c>
      <c r="D75">
        <v>4</v>
      </c>
      <c r="E75">
        <v>2</v>
      </c>
      <c r="F75" t="s">
        <v>312</v>
      </c>
      <c r="G75">
        <v>33658</v>
      </c>
      <c r="H75" t="s">
        <v>30</v>
      </c>
      <c r="I75">
        <v>0</v>
      </c>
      <c r="J75" t="s">
        <v>126</v>
      </c>
      <c r="K75">
        <v>39</v>
      </c>
      <c r="L75">
        <v>2</v>
      </c>
    </row>
    <row r="76" spans="1:12" x14ac:dyDescent="0.2">
      <c r="A76">
        <v>14032</v>
      </c>
      <c r="B76" t="s">
        <v>128</v>
      </c>
      <c r="C76">
        <v>14032</v>
      </c>
      <c r="D76">
        <v>4</v>
      </c>
      <c r="E76">
        <v>2</v>
      </c>
      <c r="F76" t="s">
        <v>313</v>
      </c>
      <c r="G76">
        <v>33658</v>
      </c>
      <c r="H76" t="s">
        <v>30</v>
      </c>
      <c r="I76">
        <v>0</v>
      </c>
      <c r="J76" t="s">
        <v>126</v>
      </c>
      <c r="K76">
        <v>39</v>
      </c>
      <c r="L76">
        <v>3</v>
      </c>
    </row>
    <row r="77" spans="1:12" x14ac:dyDescent="0.2">
      <c r="A77">
        <v>14033</v>
      </c>
      <c r="B77" t="s">
        <v>129</v>
      </c>
      <c r="C77">
        <v>14033</v>
      </c>
      <c r="D77">
        <v>4</v>
      </c>
      <c r="E77">
        <v>2</v>
      </c>
      <c r="F77" t="s">
        <v>314</v>
      </c>
      <c r="G77">
        <v>33658</v>
      </c>
      <c r="H77" t="s">
        <v>30</v>
      </c>
      <c r="I77">
        <v>0</v>
      </c>
      <c r="J77" t="s">
        <v>126</v>
      </c>
      <c r="K77">
        <v>39</v>
      </c>
      <c r="L77">
        <v>4</v>
      </c>
    </row>
    <row r="78" spans="1:12" x14ac:dyDescent="0.2">
      <c r="A78">
        <v>14034</v>
      </c>
      <c r="B78" t="s">
        <v>130</v>
      </c>
      <c r="C78">
        <v>14034</v>
      </c>
      <c r="D78">
        <v>4</v>
      </c>
      <c r="E78">
        <v>2</v>
      </c>
      <c r="F78" t="s">
        <v>315</v>
      </c>
      <c r="G78">
        <v>70332</v>
      </c>
      <c r="H78" t="s">
        <v>142</v>
      </c>
      <c r="I78">
        <v>50</v>
      </c>
      <c r="J78" t="s">
        <v>126</v>
      </c>
      <c r="K78">
        <v>79</v>
      </c>
      <c r="L78">
        <v>5</v>
      </c>
    </row>
    <row r="79" spans="1:12" x14ac:dyDescent="0.2">
      <c r="A79">
        <v>14035</v>
      </c>
      <c r="B79" t="s">
        <v>131</v>
      </c>
      <c r="C79">
        <v>14035</v>
      </c>
      <c r="D79">
        <v>4</v>
      </c>
      <c r="E79">
        <v>2</v>
      </c>
      <c r="F79" t="s">
        <v>316</v>
      </c>
      <c r="G79">
        <v>70332</v>
      </c>
      <c r="H79" t="s">
        <v>144</v>
      </c>
      <c r="I79">
        <v>50</v>
      </c>
      <c r="J79" t="s">
        <v>126</v>
      </c>
      <c r="K79">
        <v>79</v>
      </c>
      <c r="L79">
        <v>6</v>
      </c>
    </row>
    <row r="80" spans="1:12" x14ac:dyDescent="0.2">
      <c r="A80">
        <v>14036</v>
      </c>
      <c r="B80" t="s">
        <v>132</v>
      </c>
      <c r="C80">
        <v>14036</v>
      </c>
      <c r="D80">
        <v>4</v>
      </c>
      <c r="E80">
        <v>2</v>
      </c>
      <c r="F80" t="s">
        <v>317</v>
      </c>
      <c r="G80">
        <v>70332</v>
      </c>
      <c r="H80" t="s">
        <v>146</v>
      </c>
      <c r="I80">
        <v>50</v>
      </c>
      <c r="J80" t="s">
        <v>126</v>
      </c>
      <c r="K80">
        <v>79</v>
      </c>
      <c r="L80">
        <v>7</v>
      </c>
    </row>
    <row r="81" spans="1:12" x14ac:dyDescent="0.2">
      <c r="A81">
        <v>14037</v>
      </c>
      <c r="B81" t="s">
        <v>133</v>
      </c>
      <c r="C81">
        <v>14037</v>
      </c>
      <c r="D81">
        <v>4</v>
      </c>
      <c r="E81">
        <v>2</v>
      </c>
      <c r="F81" t="s">
        <v>318</v>
      </c>
      <c r="G81">
        <v>70332</v>
      </c>
      <c r="H81" t="s">
        <v>148</v>
      </c>
      <c r="I81">
        <v>50</v>
      </c>
      <c r="J81" t="s">
        <v>126</v>
      </c>
      <c r="K81">
        <v>79</v>
      </c>
      <c r="L81">
        <v>8</v>
      </c>
    </row>
    <row r="82" spans="1:12" x14ac:dyDescent="0.2">
      <c r="A82">
        <v>14038</v>
      </c>
      <c r="B82" t="s">
        <v>134</v>
      </c>
      <c r="C82">
        <v>14038</v>
      </c>
      <c r="D82">
        <v>4</v>
      </c>
      <c r="E82">
        <v>2</v>
      </c>
      <c r="F82" t="s">
        <v>319</v>
      </c>
      <c r="G82">
        <v>98079</v>
      </c>
      <c r="H82" t="s">
        <v>150</v>
      </c>
      <c r="I82">
        <v>100</v>
      </c>
      <c r="J82" t="s">
        <v>126</v>
      </c>
      <c r="K82">
        <v>102</v>
      </c>
      <c r="L82">
        <v>9</v>
      </c>
    </row>
    <row r="83" spans="1:12" x14ac:dyDescent="0.2">
      <c r="A83">
        <v>14039</v>
      </c>
      <c r="B83" t="s">
        <v>135</v>
      </c>
      <c r="C83">
        <v>14039</v>
      </c>
      <c r="D83">
        <v>4</v>
      </c>
      <c r="E83">
        <v>2</v>
      </c>
      <c r="F83" t="s">
        <v>320</v>
      </c>
      <c r="G83">
        <v>98079</v>
      </c>
      <c r="H83" t="s">
        <v>321</v>
      </c>
      <c r="I83">
        <v>100</v>
      </c>
      <c r="J83" t="s">
        <v>126</v>
      </c>
      <c r="K83">
        <v>102</v>
      </c>
      <c r="L83">
        <v>10</v>
      </c>
    </row>
    <row r="84" spans="1:12" x14ac:dyDescent="0.2">
      <c r="A84">
        <v>14040</v>
      </c>
      <c r="B84" t="s">
        <v>136</v>
      </c>
      <c r="C84">
        <v>14040</v>
      </c>
      <c r="D84">
        <v>4</v>
      </c>
      <c r="E84">
        <v>2</v>
      </c>
      <c r="F84" t="s">
        <v>322</v>
      </c>
      <c r="G84">
        <v>98079</v>
      </c>
      <c r="H84" t="s">
        <v>323</v>
      </c>
      <c r="I84">
        <v>100</v>
      </c>
      <c r="J84" t="s">
        <v>126</v>
      </c>
      <c r="K84">
        <v>102</v>
      </c>
      <c r="L84">
        <v>11</v>
      </c>
    </row>
    <row r="85" spans="1:12" x14ac:dyDescent="0.2">
      <c r="A85">
        <v>14041</v>
      </c>
      <c r="B85" t="s">
        <v>137</v>
      </c>
      <c r="C85">
        <v>14041</v>
      </c>
      <c r="D85">
        <v>4</v>
      </c>
      <c r="E85">
        <v>2</v>
      </c>
      <c r="F85" t="s">
        <v>324</v>
      </c>
      <c r="G85">
        <v>98079</v>
      </c>
      <c r="H85" t="s">
        <v>325</v>
      </c>
      <c r="I85">
        <v>100</v>
      </c>
      <c r="J85" t="s">
        <v>126</v>
      </c>
      <c r="K85">
        <v>102</v>
      </c>
      <c r="L85">
        <v>12</v>
      </c>
    </row>
    <row r="86" spans="1:12" x14ac:dyDescent="0.2">
      <c r="A86">
        <v>14042</v>
      </c>
      <c r="B86" t="s">
        <v>138</v>
      </c>
      <c r="C86">
        <v>14042</v>
      </c>
      <c r="D86">
        <v>4</v>
      </c>
      <c r="E86">
        <v>2</v>
      </c>
      <c r="F86" t="s">
        <v>326</v>
      </c>
      <c r="G86">
        <v>131505</v>
      </c>
      <c r="H86" t="s">
        <v>327</v>
      </c>
      <c r="I86">
        <v>150</v>
      </c>
      <c r="J86" t="s">
        <v>126</v>
      </c>
      <c r="K86">
        <v>127</v>
      </c>
      <c r="L86">
        <v>13</v>
      </c>
    </row>
    <row r="87" spans="1:12" x14ac:dyDescent="0.2">
      <c r="A87">
        <v>14043</v>
      </c>
      <c r="B87" t="s">
        <v>139</v>
      </c>
      <c r="C87">
        <v>14043</v>
      </c>
      <c r="D87">
        <v>4</v>
      </c>
      <c r="E87">
        <v>2</v>
      </c>
      <c r="F87" t="s">
        <v>328</v>
      </c>
      <c r="G87">
        <v>131505</v>
      </c>
      <c r="H87" t="s">
        <v>329</v>
      </c>
      <c r="I87">
        <v>150</v>
      </c>
      <c r="J87" t="s">
        <v>126</v>
      </c>
      <c r="K87">
        <v>127</v>
      </c>
      <c r="L87">
        <v>14</v>
      </c>
    </row>
    <row r="88" spans="1:12" x14ac:dyDescent="0.2">
      <c r="A88">
        <v>14044</v>
      </c>
      <c r="B88" t="s">
        <v>140</v>
      </c>
      <c r="C88">
        <v>14044</v>
      </c>
      <c r="D88">
        <v>4</v>
      </c>
      <c r="E88">
        <v>2</v>
      </c>
      <c r="F88" t="s">
        <v>330</v>
      </c>
      <c r="G88">
        <v>131505</v>
      </c>
      <c r="H88" t="s">
        <v>331</v>
      </c>
      <c r="I88">
        <v>150</v>
      </c>
      <c r="J88" t="s">
        <v>126</v>
      </c>
      <c r="K88">
        <v>127</v>
      </c>
      <c r="L88">
        <v>15</v>
      </c>
    </row>
    <row r="89" spans="1:12" x14ac:dyDescent="0.2">
      <c r="A89">
        <v>14045</v>
      </c>
      <c r="B89" t="s">
        <v>141</v>
      </c>
      <c r="C89">
        <v>14045</v>
      </c>
      <c r="D89">
        <v>4</v>
      </c>
      <c r="E89">
        <v>2</v>
      </c>
      <c r="F89" t="s">
        <v>332</v>
      </c>
      <c r="G89">
        <v>131505</v>
      </c>
      <c r="H89" t="s">
        <v>333</v>
      </c>
      <c r="I89">
        <v>150</v>
      </c>
      <c r="J89" t="s">
        <v>126</v>
      </c>
      <c r="K89">
        <v>127</v>
      </c>
      <c r="L89">
        <v>16</v>
      </c>
    </row>
    <row r="90" spans="1:12" x14ac:dyDescent="0.2">
      <c r="A90">
        <v>14046</v>
      </c>
      <c r="B90" t="s">
        <v>143</v>
      </c>
      <c r="C90">
        <v>14046</v>
      </c>
      <c r="D90">
        <v>4</v>
      </c>
      <c r="E90">
        <v>2</v>
      </c>
      <c r="F90" t="s">
        <v>334</v>
      </c>
      <c r="G90">
        <v>167012</v>
      </c>
      <c r="H90" t="s">
        <v>335</v>
      </c>
      <c r="I90">
        <v>200</v>
      </c>
      <c r="J90" t="s">
        <v>126</v>
      </c>
      <c r="K90">
        <v>156</v>
      </c>
      <c r="L90">
        <v>17</v>
      </c>
    </row>
    <row r="91" spans="1:12" x14ac:dyDescent="0.2">
      <c r="A91">
        <v>14047</v>
      </c>
      <c r="B91" t="s">
        <v>145</v>
      </c>
      <c r="C91">
        <v>14047</v>
      </c>
      <c r="D91">
        <v>4</v>
      </c>
      <c r="E91">
        <v>2</v>
      </c>
      <c r="F91" t="s">
        <v>336</v>
      </c>
      <c r="G91">
        <v>167012</v>
      </c>
      <c r="H91" t="s">
        <v>337</v>
      </c>
      <c r="I91">
        <v>200</v>
      </c>
      <c r="J91" t="s">
        <v>126</v>
      </c>
      <c r="K91">
        <v>156</v>
      </c>
      <c r="L91">
        <v>18</v>
      </c>
    </row>
    <row r="92" spans="1:12" x14ac:dyDescent="0.2">
      <c r="A92">
        <v>14048</v>
      </c>
      <c r="B92" t="s">
        <v>147</v>
      </c>
      <c r="C92">
        <v>14048</v>
      </c>
      <c r="D92">
        <v>4</v>
      </c>
      <c r="E92">
        <v>2</v>
      </c>
      <c r="F92" t="s">
        <v>338</v>
      </c>
      <c r="G92">
        <v>167012</v>
      </c>
      <c r="H92" t="s">
        <v>339</v>
      </c>
      <c r="I92">
        <v>200</v>
      </c>
      <c r="J92" t="s">
        <v>126</v>
      </c>
      <c r="K92">
        <v>156</v>
      </c>
      <c r="L92">
        <v>19</v>
      </c>
    </row>
    <row r="93" spans="1:12" x14ac:dyDescent="0.2">
      <c r="A93">
        <v>14049</v>
      </c>
      <c r="B93" t="s">
        <v>149</v>
      </c>
      <c r="C93">
        <v>14049</v>
      </c>
      <c r="D93">
        <v>4</v>
      </c>
      <c r="E93">
        <v>2</v>
      </c>
      <c r="F93" t="s">
        <v>340</v>
      </c>
      <c r="G93">
        <v>167012</v>
      </c>
      <c r="H93" t="s">
        <v>341</v>
      </c>
      <c r="I93">
        <v>200</v>
      </c>
      <c r="J93" t="s">
        <v>126</v>
      </c>
      <c r="K93">
        <v>156</v>
      </c>
      <c r="L93">
        <v>20</v>
      </c>
    </row>
    <row r="94" spans="1:12" x14ac:dyDescent="0.2">
      <c r="A94">
        <v>14050</v>
      </c>
      <c r="B94" t="s">
        <v>151</v>
      </c>
      <c r="C94">
        <v>14050</v>
      </c>
      <c r="D94">
        <v>4</v>
      </c>
      <c r="E94">
        <v>2</v>
      </c>
      <c r="F94" t="s">
        <v>342</v>
      </c>
      <c r="G94">
        <v>205018</v>
      </c>
      <c r="H94" t="s">
        <v>163</v>
      </c>
      <c r="I94">
        <v>250</v>
      </c>
      <c r="J94" t="s">
        <v>126</v>
      </c>
      <c r="K94">
        <v>190</v>
      </c>
      <c r="L94">
        <v>21</v>
      </c>
    </row>
    <row r="95" spans="1:12" x14ac:dyDescent="0.2">
      <c r="A95">
        <v>14051</v>
      </c>
      <c r="B95" t="s">
        <v>152</v>
      </c>
      <c r="C95">
        <v>14051</v>
      </c>
      <c r="D95">
        <v>4</v>
      </c>
      <c r="E95">
        <v>2</v>
      </c>
      <c r="F95" t="s">
        <v>343</v>
      </c>
      <c r="G95">
        <v>205018</v>
      </c>
      <c r="H95" t="s">
        <v>344</v>
      </c>
      <c r="I95">
        <v>250</v>
      </c>
      <c r="J95" t="s">
        <v>126</v>
      </c>
      <c r="K95">
        <v>190</v>
      </c>
      <c r="L95">
        <v>22</v>
      </c>
    </row>
    <row r="96" spans="1:12" x14ac:dyDescent="0.2">
      <c r="A96">
        <v>14052</v>
      </c>
      <c r="B96" t="s">
        <v>153</v>
      </c>
      <c r="C96">
        <v>14052</v>
      </c>
      <c r="D96">
        <v>4</v>
      </c>
      <c r="E96">
        <v>2</v>
      </c>
      <c r="F96" t="s">
        <v>345</v>
      </c>
      <c r="G96">
        <v>205018</v>
      </c>
      <c r="H96" t="s">
        <v>346</v>
      </c>
      <c r="I96">
        <v>250</v>
      </c>
      <c r="J96" t="s">
        <v>126</v>
      </c>
      <c r="K96">
        <v>190</v>
      </c>
      <c r="L96">
        <v>23</v>
      </c>
    </row>
    <row r="97" spans="1:12" x14ac:dyDescent="0.2">
      <c r="A97">
        <v>14053</v>
      </c>
      <c r="B97" t="s">
        <v>154</v>
      </c>
      <c r="C97">
        <v>14053</v>
      </c>
      <c r="D97">
        <v>4</v>
      </c>
      <c r="E97">
        <v>2</v>
      </c>
      <c r="F97" t="s">
        <v>347</v>
      </c>
      <c r="G97">
        <v>205018</v>
      </c>
      <c r="H97" t="s">
        <v>348</v>
      </c>
      <c r="I97">
        <v>250</v>
      </c>
      <c r="J97" t="s">
        <v>126</v>
      </c>
      <c r="K97">
        <v>190</v>
      </c>
      <c r="L97">
        <v>24</v>
      </c>
    </row>
    <row r="98" spans="1:12" x14ac:dyDescent="0.2">
      <c r="A98">
        <v>14054</v>
      </c>
      <c r="B98" t="s">
        <v>155</v>
      </c>
      <c r="C98">
        <v>14054</v>
      </c>
      <c r="D98">
        <v>4</v>
      </c>
      <c r="E98">
        <v>2</v>
      </c>
      <c r="F98" t="s">
        <v>349</v>
      </c>
      <c r="G98">
        <v>246021</v>
      </c>
      <c r="H98" t="s">
        <v>350</v>
      </c>
      <c r="I98">
        <v>300</v>
      </c>
      <c r="J98" t="s">
        <v>126</v>
      </c>
      <c r="K98">
        <v>228</v>
      </c>
      <c r="L98">
        <v>25</v>
      </c>
    </row>
    <row r="99" spans="1:12" x14ac:dyDescent="0.2">
      <c r="A99">
        <v>14055</v>
      </c>
      <c r="B99" t="s">
        <v>156</v>
      </c>
      <c r="C99">
        <v>14055</v>
      </c>
      <c r="D99">
        <v>4</v>
      </c>
      <c r="E99">
        <v>2</v>
      </c>
      <c r="F99" t="s">
        <v>351</v>
      </c>
      <c r="G99">
        <v>246021</v>
      </c>
      <c r="H99" t="s">
        <v>352</v>
      </c>
      <c r="I99">
        <v>300</v>
      </c>
      <c r="J99" t="s">
        <v>126</v>
      </c>
      <c r="K99">
        <v>228</v>
      </c>
      <c r="L99">
        <v>26</v>
      </c>
    </row>
    <row r="100" spans="1:12" x14ac:dyDescent="0.2">
      <c r="A100">
        <v>14056</v>
      </c>
      <c r="B100" t="s">
        <v>157</v>
      </c>
      <c r="C100">
        <v>14056</v>
      </c>
      <c r="D100">
        <v>4</v>
      </c>
      <c r="E100">
        <v>2</v>
      </c>
      <c r="F100" t="s">
        <v>353</v>
      </c>
      <c r="G100">
        <v>246021</v>
      </c>
      <c r="H100" t="s">
        <v>354</v>
      </c>
      <c r="I100">
        <v>300</v>
      </c>
      <c r="J100" t="s">
        <v>126</v>
      </c>
      <c r="K100">
        <v>228</v>
      </c>
      <c r="L100">
        <v>27</v>
      </c>
    </row>
    <row r="101" spans="1:12" x14ac:dyDescent="0.2">
      <c r="A101">
        <v>14057</v>
      </c>
      <c r="B101" t="s">
        <v>158</v>
      </c>
      <c r="C101">
        <v>14057</v>
      </c>
      <c r="D101">
        <v>4</v>
      </c>
      <c r="E101">
        <v>2</v>
      </c>
      <c r="F101" t="s">
        <v>355</v>
      </c>
      <c r="G101">
        <v>246021</v>
      </c>
      <c r="H101" t="s">
        <v>356</v>
      </c>
      <c r="I101">
        <v>300</v>
      </c>
      <c r="J101" t="s">
        <v>126</v>
      </c>
      <c r="K101">
        <v>228</v>
      </c>
      <c r="L101">
        <v>28</v>
      </c>
    </row>
    <row r="102" spans="1:12" x14ac:dyDescent="0.2">
      <c r="A102">
        <v>14058</v>
      </c>
      <c r="B102" t="s">
        <v>159</v>
      </c>
      <c r="C102">
        <v>14058</v>
      </c>
      <c r="D102">
        <v>4</v>
      </c>
      <c r="E102">
        <v>2</v>
      </c>
      <c r="F102" t="s">
        <v>357</v>
      </c>
      <c r="G102">
        <v>290623</v>
      </c>
      <c r="H102" t="s">
        <v>358</v>
      </c>
      <c r="I102">
        <v>350</v>
      </c>
      <c r="J102" t="s">
        <v>126</v>
      </c>
      <c r="K102">
        <v>271</v>
      </c>
      <c r="L102">
        <v>29</v>
      </c>
    </row>
    <row r="103" spans="1:12" x14ac:dyDescent="0.2">
      <c r="A103">
        <v>14059</v>
      </c>
      <c r="B103" t="s">
        <v>160</v>
      </c>
      <c r="C103">
        <v>14059</v>
      </c>
      <c r="D103">
        <v>4</v>
      </c>
      <c r="E103">
        <v>2</v>
      </c>
      <c r="F103" t="s">
        <v>359</v>
      </c>
      <c r="G103">
        <v>290623</v>
      </c>
      <c r="H103" t="s">
        <v>360</v>
      </c>
      <c r="I103">
        <v>350</v>
      </c>
      <c r="J103" t="s">
        <v>126</v>
      </c>
      <c r="K103">
        <v>271</v>
      </c>
      <c r="L103">
        <v>30</v>
      </c>
    </row>
    <row r="104" spans="1:12" x14ac:dyDescent="0.2">
      <c r="A104">
        <v>14060</v>
      </c>
      <c r="B104" t="s">
        <v>161</v>
      </c>
      <c r="C104">
        <v>14060</v>
      </c>
      <c r="D104">
        <v>4</v>
      </c>
      <c r="E104">
        <v>2</v>
      </c>
      <c r="F104" t="s">
        <v>361</v>
      </c>
      <c r="G104">
        <v>290623</v>
      </c>
      <c r="H104" t="s">
        <v>362</v>
      </c>
      <c r="I104">
        <v>350</v>
      </c>
      <c r="J104" t="s">
        <v>126</v>
      </c>
      <c r="K104">
        <v>271</v>
      </c>
      <c r="L104">
        <v>31</v>
      </c>
    </row>
    <row r="105" spans="1:12" x14ac:dyDescent="0.2">
      <c r="A105">
        <v>14061</v>
      </c>
      <c r="B105" t="s">
        <v>162</v>
      </c>
      <c r="C105">
        <v>14061</v>
      </c>
      <c r="D105">
        <v>4</v>
      </c>
      <c r="E105">
        <v>2</v>
      </c>
      <c r="F105" t="s">
        <v>363</v>
      </c>
      <c r="G105">
        <v>290623</v>
      </c>
      <c r="H105" t="s">
        <v>364</v>
      </c>
      <c r="I105">
        <v>350</v>
      </c>
      <c r="J105" t="s">
        <v>126</v>
      </c>
      <c r="K105">
        <v>271</v>
      </c>
      <c r="L105">
        <v>32</v>
      </c>
    </row>
    <row r="106" spans="1:12" x14ac:dyDescent="0.2">
      <c r="A106">
        <v>14062</v>
      </c>
      <c r="B106" t="s">
        <v>164</v>
      </c>
      <c r="C106">
        <v>14062</v>
      </c>
      <c r="D106">
        <v>4</v>
      </c>
      <c r="E106">
        <v>2</v>
      </c>
      <c r="F106" t="s">
        <v>365</v>
      </c>
      <c r="G106">
        <v>339541</v>
      </c>
      <c r="H106" t="s">
        <v>366</v>
      </c>
      <c r="I106">
        <v>400</v>
      </c>
      <c r="J106" t="s">
        <v>126</v>
      </c>
      <c r="K106">
        <v>322</v>
      </c>
      <c r="L106">
        <v>33</v>
      </c>
    </row>
    <row r="107" spans="1:12" x14ac:dyDescent="0.2">
      <c r="A107">
        <v>14063</v>
      </c>
      <c r="B107" t="s">
        <v>165</v>
      </c>
      <c r="C107">
        <v>14063</v>
      </c>
      <c r="D107">
        <v>4</v>
      </c>
      <c r="E107">
        <v>2</v>
      </c>
      <c r="F107" t="s">
        <v>367</v>
      </c>
      <c r="G107">
        <v>339541</v>
      </c>
      <c r="H107" t="s">
        <v>368</v>
      </c>
      <c r="I107">
        <v>400</v>
      </c>
      <c r="J107" t="s">
        <v>126</v>
      </c>
      <c r="K107">
        <v>322</v>
      </c>
      <c r="L107">
        <v>34</v>
      </c>
    </row>
    <row r="108" spans="1:12" x14ac:dyDescent="0.2">
      <c r="A108">
        <v>14064</v>
      </c>
      <c r="B108" t="s">
        <v>166</v>
      </c>
      <c r="C108">
        <v>14064</v>
      </c>
      <c r="D108">
        <v>4</v>
      </c>
      <c r="E108">
        <v>2</v>
      </c>
      <c r="F108" t="s">
        <v>369</v>
      </c>
      <c r="G108">
        <v>339541</v>
      </c>
      <c r="H108" t="s">
        <v>370</v>
      </c>
      <c r="I108">
        <v>400</v>
      </c>
      <c r="J108" t="s">
        <v>126</v>
      </c>
      <c r="K108">
        <v>322</v>
      </c>
      <c r="L108">
        <v>35</v>
      </c>
    </row>
    <row r="109" spans="1:12" x14ac:dyDescent="0.2">
      <c r="A109">
        <v>14065</v>
      </c>
      <c r="B109" t="s">
        <v>167</v>
      </c>
      <c r="C109">
        <v>14065</v>
      </c>
      <c r="D109">
        <v>4</v>
      </c>
      <c r="E109">
        <v>2</v>
      </c>
      <c r="F109" t="s">
        <v>371</v>
      </c>
      <c r="G109">
        <v>339541</v>
      </c>
      <c r="H109" t="s">
        <v>372</v>
      </c>
      <c r="I109">
        <v>400</v>
      </c>
      <c r="J109" t="s">
        <v>126</v>
      </c>
      <c r="K109">
        <v>322</v>
      </c>
      <c r="L109">
        <v>36</v>
      </c>
    </row>
    <row r="110" spans="1:12" x14ac:dyDescent="0.2">
      <c r="A110">
        <v>14066</v>
      </c>
      <c r="B110" t="s">
        <v>168</v>
      </c>
      <c r="C110">
        <v>14066</v>
      </c>
      <c r="D110">
        <v>4</v>
      </c>
      <c r="E110">
        <v>2</v>
      </c>
      <c r="F110" t="s">
        <v>373</v>
      </c>
      <c r="G110">
        <v>393639</v>
      </c>
      <c r="H110" t="s">
        <v>374</v>
      </c>
      <c r="I110">
        <v>450</v>
      </c>
      <c r="J110" t="s">
        <v>126</v>
      </c>
      <c r="K110">
        <v>382</v>
      </c>
      <c r="L110">
        <v>37</v>
      </c>
    </row>
    <row r="111" spans="1:12" x14ac:dyDescent="0.2">
      <c r="A111">
        <v>14067</v>
      </c>
      <c r="B111" t="s">
        <v>169</v>
      </c>
      <c r="C111">
        <v>14067</v>
      </c>
      <c r="D111">
        <v>4</v>
      </c>
      <c r="E111">
        <v>2</v>
      </c>
      <c r="F111" t="s">
        <v>375</v>
      </c>
      <c r="G111">
        <v>393639</v>
      </c>
      <c r="H111" t="s">
        <v>376</v>
      </c>
      <c r="I111">
        <v>450</v>
      </c>
      <c r="J111" t="s">
        <v>126</v>
      </c>
      <c r="K111">
        <v>382</v>
      </c>
      <c r="L111">
        <v>38</v>
      </c>
    </row>
    <row r="112" spans="1:12" x14ac:dyDescent="0.2">
      <c r="A112">
        <v>14068</v>
      </c>
      <c r="B112" t="s">
        <v>170</v>
      </c>
      <c r="C112">
        <v>14068</v>
      </c>
      <c r="D112">
        <v>4</v>
      </c>
      <c r="E112">
        <v>2</v>
      </c>
      <c r="F112" t="s">
        <v>377</v>
      </c>
      <c r="G112">
        <v>393639</v>
      </c>
      <c r="H112" t="s">
        <v>378</v>
      </c>
      <c r="I112">
        <v>450</v>
      </c>
      <c r="J112" t="s">
        <v>126</v>
      </c>
      <c r="K112">
        <v>382</v>
      </c>
      <c r="L112">
        <v>39</v>
      </c>
    </row>
    <row r="113" spans="1:12" x14ac:dyDescent="0.2">
      <c r="A113">
        <v>14069</v>
      </c>
      <c r="B113" t="s">
        <v>171</v>
      </c>
      <c r="C113">
        <v>14069</v>
      </c>
      <c r="D113">
        <v>4</v>
      </c>
      <c r="E113">
        <v>2</v>
      </c>
      <c r="F113" t="s">
        <v>379</v>
      </c>
      <c r="G113">
        <v>393639</v>
      </c>
      <c r="H113" t="s">
        <v>380</v>
      </c>
      <c r="I113">
        <v>450</v>
      </c>
      <c r="J113" t="s">
        <v>126</v>
      </c>
      <c r="K113">
        <v>382</v>
      </c>
      <c r="L113">
        <v>40</v>
      </c>
    </row>
    <row r="114" spans="1:12" x14ac:dyDescent="0.2">
      <c r="A114">
        <v>14070</v>
      </c>
      <c r="B114" t="s">
        <v>172</v>
      </c>
      <c r="C114">
        <v>14070</v>
      </c>
      <c r="D114">
        <v>4</v>
      </c>
      <c r="E114">
        <v>2</v>
      </c>
      <c r="F114" t="s">
        <v>381</v>
      </c>
      <c r="G114">
        <v>453955</v>
      </c>
      <c r="H114" t="s">
        <v>382</v>
      </c>
      <c r="I114">
        <v>500</v>
      </c>
      <c r="J114" t="s">
        <v>126</v>
      </c>
      <c r="K114">
        <v>451</v>
      </c>
      <c r="L114">
        <v>41</v>
      </c>
    </row>
    <row r="115" spans="1:12" x14ac:dyDescent="0.2">
      <c r="A115">
        <v>14071</v>
      </c>
      <c r="B115" t="s">
        <v>173</v>
      </c>
      <c r="C115">
        <v>14071</v>
      </c>
      <c r="D115">
        <v>4</v>
      </c>
      <c r="E115">
        <v>2</v>
      </c>
      <c r="F115" t="s">
        <v>383</v>
      </c>
      <c r="G115">
        <v>453955</v>
      </c>
      <c r="H115" t="s">
        <v>384</v>
      </c>
      <c r="I115">
        <v>500</v>
      </c>
      <c r="J115" t="s">
        <v>126</v>
      </c>
      <c r="K115">
        <v>451</v>
      </c>
      <c r="L115">
        <v>42</v>
      </c>
    </row>
    <row r="116" spans="1:12" x14ac:dyDescent="0.2">
      <c r="A116">
        <v>14072</v>
      </c>
      <c r="B116" t="s">
        <v>174</v>
      </c>
      <c r="C116">
        <v>14072</v>
      </c>
      <c r="D116">
        <v>4</v>
      </c>
      <c r="E116">
        <v>2</v>
      </c>
      <c r="F116" t="s">
        <v>385</v>
      </c>
      <c r="G116">
        <v>453955</v>
      </c>
      <c r="H116" t="s">
        <v>386</v>
      </c>
      <c r="I116">
        <v>500</v>
      </c>
      <c r="J116" t="s">
        <v>126</v>
      </c>
      <c r="K116">
        <v>451</v>
      </c>
      <c r="L116">
        <v>43</v>
      </c>
    </row>
    <row r="117" spans="1:12" x14ac:dyDescent="0.2">
      <c r="A117">
        <v>14073</v>
      </c>
      <c r="B117" t="s">
        <v>175</v>
      </c>
      <c r="C117">
        <v>14073</v>
      </c>
      <c r="D117">
        <v>4</v>
      </c>
      <c r="E117">
        <v>2</v>
      </c>
      <c r="F117" t="s">
        <v>387</v>
      </c>
      <c r="G117">
        <v>453955</v>
      </c>
      <c r="H117" t="s">
        <v>388</v>
      </c>
      <c r="I117">
        <v>500</v>
      </c>
      <c r="J117" t="s">
        <v>126</v>
      </c>
      <c r="K117">
        <v>451</v>
      </c>
      <c r="L117">
        <v>44</v>
      </c>
    </row>
    <row r="118" spans="1:12" x14ac:dyDescent="0.2">
      <c r="A118">
        <v>14074</v>
      </c>
      <c r="B118" t="s">
        <v>176</v>
      </c>
      <c r="C118">
        <v>14074</v>
      </c>
      <c r="D118">
        <v>4</v>
      </c>
      <c r="E118">
        <v>2</v>
      </c>
      <c r="F118" t="s">
        <v>389</v>
      </c>
      <c r="G118">
        <v>521730</v>
      </c>
      <c r="H118" t="s">
        <v>390</v>
      </c>
      <c r="I118">
        <v>550</v>
      </c>
      <c r="J118" t="s">
        <v>126</v>
      </c>
      <c r="K118">
        <v>533</v>
      </c>
      <c r="L118">
        <v>45</v>
      </c>
    </row>
    <row r="119" spans="1:12" x14ac:dyDescent="0.2">
      <c r="A119">
        <v>14075</v>
      </c>
      <c r="B119" t="s">
        <v>177</v>
      </c>
      <c r="C119">
        <v>14075</v>
      </c>
      <c r="D119">
        <v>4</v>
      </c>
      <c r="E119">
        <v>2</v>
      </c>
      <c r="F119" t="s">
        <v>391</v>
      </c>
      <c r="G119">
        <v>521730</v>
      </c>
      <c r="H119" t="s">
        <v>392</v>
      </c>
      <c r="I119">
        <v>550</v>
      </c>
      <c r="J119" t="s">
        <v>126</v>
      </c>
      <c r="K119">
        <v>533</v>
      </c>
      <c r="L119">
        <v>46</v>
      </c>
    </row>
    <row r="120" spans="1:12" x14ac:dyDescent="0.2">
      <c r="A120">
        <v>14076</v>
      </c>
      <c r="B120" t="s">
        <v>178</v>
      </c>
      <c r="C120">
        <v>14076</v>
      </c>
      <c r="D120">
        <v>4</v>
      </c>
      <c r="E120">
        <v>2</v>
      </c>
      <c r="F120" t="s">
        <v>393</v>
      </c>
      <c r="G120">
        <v>521730</v>
      </c>
      <c r="H120" t="s">
        <v>394</v>
      </c>
      <c r="I120">
        <v>550</v>
      </c>
      <c r="J120" t="s">
        <v>126</v>
      </c>
      <c r="K120">
        <v>533</v>
      </c>
      <c r="L120">
        <v>47</v>
      </c>
    </row>
    <row r="121" spans="1:12" x14ac:dyDescent="0.2">
      <c r="A121">
        <v>14077</v>
      </c>
      <c r="B121" t="s">
        <v>179</v>
      </c>
      <c r="C121">
        <v>14077</v>
      </c>
      <c r="D121">
        <v>4</v>
      </c>
      <c r="E121">
        <v>2</v>
      </c>
      <c r="F121" t="s">
        <v>395</v>
      </c>
      <c r="G121">
        <v>521730</v>
      </c>
      <c r="H121" t="s">
        <v>396</v>
      </c>
      <c r="I121">
        <v>550</v>
      </c>
      <c r="J121" t="s">
        <v>126</v>
      </c>
      <c r="K121">
        <v>533</v>
      </c>
      <c r="L121">
        <v>48</v>
      </c>
    </row>
    <row r="122" spans="1:12" x14ac:dyDescent="0.2">
      <c r="A122">
        <v>14078</v>
      </c>
      <c r="B122" t="s">
        <v>180</v>
      </c>
      <c r="C122">
        <v>14078</v>
      </c>
      <c r="D122">
        <v>4</v>
      </c>
      <c r="E122">
        <v>2</v>
      </c>
      <c r="F122" t="s">
        <v>397</v>
      </c>
      <c r="G122">
        <v>598457</v>
      </c>
      <c r="H122" t="s">
        <v>398</v>
      </c>
      <c r="I122">
        <v>600</v>
      </c>
      <c r="J122" t="s">
        <v>126</v>
      </c>
      <c r="K122">
        <v>630</v>
      </c>
      <c r="L122">
        <v>49</v>
      </c>
    </row>
    <row r="123" spans="1:12" x14ac:dyDescent="0.2">
      <c r="A123">
        <v>14079</v>
      </c>
      <c r="B123" t="s">
        <v>181</v>
      </c>
      <c r="C123">
        <v>14079</v>
      </c>
      <c r="D123">
        <v>4</v>
      </c>
      <c r="E123">
        <v>2</v>
      </c>
      <c r="F123" t="s">
        <v>399</v>
      </c>
      <c r="G123">
        <v>598457</v>
      </c>
      <c r="H123" t="s">
        <v>400</v>
      </c>
      <c r="I123">
        <v>600</v>
      </c>
      <c r="J123" t="s">
        <v>126</v>
      </c>
      <c r="K123">
        <v>630</v>
      </c>
      <c r="L123">
        <v>50</v>
      </c>
    </row>
    <row r="124" spans="1:12" x14ac:dyDescent="0.2">
      <c r="A124">
        <v>14080</v>
      </c>
      <c r="B124" t="s">
        <v>182</v>
      </c>
      <c r="C124">
        <v>14080</v>
      </c>
      <c r="D124">
        <v>4</v>
      </c>
      <c r="E124">
        <v>2</v>
      </c>
      <c r="F124" t="s">
        <v>401</v>
      </c>
      <c r="G124">
        <v>598457</v>
      </c>
      <c r="H124" t="s">
        <v>402</v>
      </c>
      <c r="I124">
        <v>600</v>
      </c>
      <c r="J124" t="s">
        <v>126</v>
      </c>
      <c r="K124">
        <v>630</v>
      </c>
      <c r="L124">
        <v>51</v>
      </c>
    </row>
    <row r="125" spans="1:12" x14ac:dyDescent="0.2">
      <c r="A125">
        <v>14081</v>
      </c>
      <c r="B125" t="s">
        <v>183</v>
      </c>
      <c r="C125">
        <v>14081</v>
      </c>
      <c r="D125">
        <v>4</v>
      </c>
      <c r="E125">
        <v>2</v>
      </c>
      <c r="F125" t="s">
        <v>403</v>
      </c>
      <c r="G125">
        <v>598457</v>
      </c>
      <c r="H125" t="s">
        <v>404</v>
      </c>
      <c r="I125">
        <v>600</v>
      </c>
      <c r="J125" t="s">
        <v>126</v>
      </c>
      <c r="K125">
        <v>630</v>
      </c>
      <c r="L125">
        <v>52</v>
      </c>
    </row>
    <row r="126" spans="1:12" x14ac:dyDescent="0.2">
      <c r="A126">
        <v>14082</v>
      </c>
      <c r="B126" t="s">
        <v>184</v>
      </c>
      <c r="C126">
        <v>14082</v>
      </c>
      <c r="D126">
        <v>4</v>
      </c>
      <c r="E126">
        <v>2</v>
      </c>
      <c r="F126" t="s">
        <v>405</v>
      </c>
      <c r="G126">
        <v>685926</v>
      </c>
      <c r="H126" t="s">
        <v>406</v>
      </c>
      <c r="I126">
        <v>650</v>
      </c>
      <c r="J126" t="s">
        <v>126</v>
      </c>
      <c r="K126">
        <v>744</v>
      </c>
      <c r="L126">
        <v>53</v>
      </c>
    </row>
    <row r="127" spans="1:12" x14ac:dyDescent="0.2">
      <c r="A127">
        <v>14083</v>
      </c>
      <c r="B127" t="s">
        <v>185</v>
      </c>
      <c r="C127">
        <v>14083</v>
      </c>
      <c r="D127">
        <v>4</v>
      </c>
      <c r="E127">
        <v>2</v>
      </c>
      <c r="F127" t="s">
        <v>407</v>
      </c>
      <c r="G127">
        <v>685926</v>
      </c>
      <c r="H127" t="s">
        <v>408</v>
      </c>
      <c r="I127">
        <v>650</v>
      </c>
      <c r="J127" t="s">
        <v>126</v>
      </c>
      <c r="K127">
        <v>744</v>
      </c>
      <c r="L127">
        <v>54</v>
      </c>
    </row>
    <row r="128" spans="1:12" x14ac:dyDescent="0.2">
      <c r="A128">
        <v>14084</v>
      </c>
      <c r="B128" t="s">
        <v>186</v>
      </c>
      <c r="C128">
        <v>14084</v>
      </c>
      <c r="D128">
        <v>4</v>
      </c>
      <c r="E128">
        <v>2</v>
      </c>
      <c r="F128" t="s">
        <v>409</v>
      </c>
      <c r="G128">
        <v>685926</v>
      </c>
      <c r="H128" t="s">
        <v>410</v>
      </c>
      <c r="I128">
        <v>650</v>
      </c>
      <c r="J128" t="s">
        <v>126</v>
      </c>
      <c r="K128">
        <v>744</v>
      </c>
      <c r="L128">
        <v>55</v>
      </c>
    </row>
    <row r="129" spans="1:12" x14ac:dyDescent="0.2">
      <c r="A129">
        <v>14085</v>
      </c>
      <c r="B129" t="s">
        <v>187</v>
      </c>
      <c r="C129">
        <v>14085</v>
      </c>
      <c r="D129">
        <v>4</v>
      </c>
      <c r="E129">
        <v>2</v>
      </c>
      <c r="F129" t="s">
        <v>411</v>
      </c>
      <c r="G129">
        <v>685926</v>
      </c>
      <c r="H129" t="s">
        <v>412</v>
      </c>
      <c r="I129">
        <v>650</v>
      </c>
      <c r="J129" t="s">
        <v>126</v>
      </c>
      <c r="K129">
        <v>744</v>
      </c>
      <c r="L129">
        <v>56</v>
      </c>
    </row>
    <row r="130" spans="1:12" x14ac:dyDescent="0.2">
      <c r="A130">
        <v>14086</v>
      </c>
      <c r="B130" t="s">
        <v>188</v>
      </c>
      <c r="C130">
        <v>14086</v>
      </c>
      <c r="D130">
        <v>4</v>
      </c>
      <c r="E130">
        <v>2</v>
      </c>
      <c r="F130" t="s">
        <v>413</v>
      </c>
      <c r="G130">
        <v>786285</v>
      </c>
      <c r="H130" t="s">
        <v>414</v>
      </c>
      <c r="I130">
        <v>700</v>
      </c>
      <c r="J130" t="s">
        <v>126</v>
      </c>
      <c r="K130">
        <v>879</v>
      </c>
      <c r="L130">
        <v>57</v>
      </c>
    </row>
    <row r="131" spans="1:12" x14ac:dyDescent="0.2">
      <c r="A131">
        <v>14087</v>
      </c>
      <c r="B131" t="s">
        <v>189</v>
      </c>
      <c r="C131">
        <v>14087</v>
      </c>
      <c r="D131">
        <v>4</v>
      </c>
      <c r="E131">
        <v>2</v>
      </c>
      <c r="F131" t="s">
        <v>415</v>
      </c>
      <c r="G131">
        <v>786285</v>
      </c>
      <c r="H131" t="s">
        <v>416</v>
      </c>
      <c r="I131">
        <v>700</v>
      </c>
      <c r="J131" t="s">
        <v>126</v>
      </c>
      <c r="K131">
        <v>879</v>
      </c>
      <c r="L131">
        <v>58</v>
      </c>
    </row>
    <row r="132" spans="1:12" x14ac:dyDescent="0.2">
      <c r="A132">
        <v>14088</v>
      </c>
      <c r="B132" t="s">
        <v>190</v>
      </c>
      <c r="C132">
        <v>14088</v>
      </c>
      <c r="D132">
        <v>4</v>
      </c>
      <c r="E132">
        <v>2</v>
      </c>
      <c r="F132" t="s">
        <v>417</v>
      </c>
      <c r="G132">
        <v>786285</v>
      </c>
      <c r="H132" t="s">
        <v>418</v>
      </c>
      <c r="I132">
        <v>700</v>
      </c>
      <c r="J132" t="s">
        <v>126</v>
      </c>
      <c r="K132">
        <v>879</v>
      </c>
      <c r="L132">
        <v>59</v>
      </c>
    </row>
    <row r="133" spans="1:12" x14ac:dyDescent="0.2">
      <c r="A133">
        <v>14089</v>
      </c>
      <c r="B133" t="s">
        <v>191</v>
      </c>
      <c r="C133">
        <v>14089</v>
      </c>
      <c r="D133">
        <v>4</v>
      </c>
      <c r="E133">
        <v>2</v>
      </c>
      <c r="F133" t="s">
        <v>419</v>
      </c>
      <c r="G133">
        <v>786285</v>
      </c>
      <c r="H133" t="s">
        <v>420</v>
      </c>
      <c r="I133">
        <v>700</v>
      </c>
      <c r="J133" t="s">
        <v>126</v>
      </c>
      <c r="K133">
        <v>879</v>
      </c>
      <c r="L133">
        <v>60</v>
      </c>
    </row>
    <row r="134" spans="1:12" x14ac:dyDescent="0.2">
      <c r="A134">
        <v>14090</v>
      </c>
      <c r="B134" t="s">
        <v>192</v>
      </c>
      <c r="C134">
        <v>14090</v>
      </c>
      <c r="D134">
        <v>4</v>
      </c>
      <c r="E134">
        <v>2</v>
      </c>
      <c r="F134" t="s">
        <v>421</v>
      </c>
      <c r="G134">
        <v>902114</v>
      </c>
      <c r="H134" t="s">
        <v>422</v>
      </c>
      <c r="I134">
        <v>750</v>
      </c>
      <c r="J134" t="s">
        <v>126</v>
      </c>
      <c r="K134">
        <v>1039</v>
      </c>
      <c r="L134">
        <v>61</v>
      </c>
    </row>
    <row r="135" spans="1:12" x14ac:dyDescent="0.2">
      <c r="A135">
        <v>14091</v>
      </c>
      <c r="B135" t="s">
        <v>193</v>
      </c>
      <c r="C135">
        <v>14091</v>
      </c>
      <c r="D135">
        <v>4</v>
      </c>
      <c r="E135">
        <v>2</v>
      </c>
      <c r="F135" t="s">
        <v>423</v>
      </c>
      <c r="G135">
        <v>902114</v>
      </c>
      <c r="H135" t="s">
        <v>424</v>
      </c>
      <c r="I135">
        <v>750</v>
      </c>
      <c r="J135" t="s">
        <v>126</v>
      </c>
      <c r="K135">
        <v>1039</v>
      </c>
      <c r="L135">
        <v>62</v>
      </c>
    </row>
    <row r="136" spans="1:12" x14ac:dyDescent="0.2">
      <c r="A136">
        <v>14092</v>
      </c>
      <c r="B136" t="s">
        <v>194</v>
      </c>
      <c r="C136">
        <v>14092</v>
      </c>
      <c r="D136">
        <v>4</v>
      </c>
      <c r="E136">
        <v>2</v>
      </c>
      <c r="F136" t="s">
        <v>425</v>
      </c>
      <c r="G136">
        <v>902114</v>
      </c>
      <c r="H136" t="s">
        <v>426</v>
      </c>
      <c r="I136">
        <v>750</v>
      </c>
      <c r="J136" t="s">
        <v>126</v>
      </c>
      <c r="K136">
        <v>1039</v>
      </c>
      <c r="L136">
        <v>63</v>
      </c>
    </row>
    <row r="137" spans="1:12" x14ac:dyDescent="0.2">
      <c r="A137">
        <v>14093</v>
      </c>
      <c r="B137" t="s">
        <v>195</v>
      </c>
      <c r="C137">
        <v>14093</v>
      </c>
      <c r="D137">
        <v>4</v>
      </c>
      <c r="E137">
        <v>2</v>
      </c>
      <c r="F137" t="s">
        <v>427</v>
      </c>
      <c r="G137">
        <v>902114</v>
      </c>
      <c r="H137" t="s">
        <v>428</v>
      </c>
      <c r="I137">
        <v>750</v>
      </c>
      <c r="J137" t="s">
        <v>126</v>
      </c>
      <c r="K137">
        <v>1039</v>
      </c>
      <c r="L137">
        <v>64</v>
      </c>
    </row>
    <row r="138" spans="1:12" x14ac:dyDescent="0.2">
      <c r="A138">
        <v>14094</v>
      </c>
      <c r="B138" t="s">
        <v>196</v>
      </c>
      <c r="C138">
        <v>14094</v>
      </c>
      <c r="D138">
        <v>4</v>
      </c>
      <c r="E138">
        <v>2</v>
      </c>
      <c r="F138" t="s">
        <v>429</v>
      </c>
      <c r="G138">
        <v>1036504</v>
      </c>
      <c r="H138" t="s">
        <v>430</v>
      </c>
      <c r="I138">
        <v>800</v>
      </c>
      <c r="J138" t="s">
        <v>126</v>
      </c>
      <c r="K138">
        <v>1230</v>
      </c>
      <c r="L138">
        <v>65</v>
      </c>
    </row>
    <row r="139" spans="1:12" x14ac:dyDescent="0.2">
      <c r="A139">
        <v>14095</v>
      </c>
      <c r="B139" t="s">
        <v>197</v>
      </c>
      <c r="C139">
        <v>14095</v>
      </c>
      <c r="D139">
        <v>4</v>
      </c>
      <c r="E139">
        <v>2</v>
      </c>
      <c r="F139" t="s">
        <v>431</v>
      </c>
      <c r="G139">
        <v>1036504</v>
      </c>
      <c r="H139" t="s">
        <v>432</v>
      </c>
      <c r="I139">
        <v>800</v>
      </c>
      <c r="J139" t="s">
        <v>126</v>
      </c>
      <c r="K139">
        <v>1230</v>
      </c>
      <c r="L139">
        <v>66</v>
      </c>
    </row>
    <row r="140" spans="1:12" x14ac:dyDescent="0.2">
      <c r="A140">
        <v>14096</v>
      </c>
      <c r="B140" t="s">
        <v>198</v>
      </c>
      <c r="C140">
        <v>14096</v>
      </c>
      <c r="D140">
        <v>4</v>
      </c>
      <c r="E140">
        <v>2</v>
      </c>
      <c r="F140" t="s">
        <v>433</v>
      </c>
      <c r="G140">
        <v>1036504</v>
      </c>
      <c r="H140" t="s">
        <v>434</v>
      </c>
      <c r="I140">
        <v>800</v>
      </c>
      <c r="J140" t="s">
        <v>126</v>
      </c>
      <c r="K140">
        <v>1230</v>
      </c>
      <c r="L140">
        <v>67</v>
      </c>
    </row>
    <row r="141" spans="1:12" x14ac:dyDescent="0.2">
      <c r="A141">
        <v>14097</v>
      </c>
      <c r="B141" t="s">
        <v>199</v>
      </c>
      <c r="C141">
        <v>14097</v>
      </c>
      <c r="D141">
        <v>4</v>
      </c>
      <c r="E141">
        <v>2</v>
      </c>
      <c r="F141" t="s">
        <v>435</v>
      </c>
      <c r="G141">
        <v>1036504</v>
      </c>
      <c r="H141" t="s">
        <v>436</v>
      </c>
      <c r="I141">
        <v>800</v>
      </c>
      <c r="J141" t="s">
        <v>126</v>
      </c>
      <c r="K141">
        <v>1230</v>
      </c>
      <c r="L141">
        <v>68</v>
      </c>
    </row>
    <row r="142" spans="1:12" x14ac:dyDescent="0.2">
      <c r="A142">
        <v>14098</v>
      </c>
      <c r="B142" t="s">
        <v>200</v>
      </c>
      <c r="C142">
        <v>14098</v>
      </c>
      <c r="D142">
        <v>4</v>
      </c>
      <c r="E142">
        <v>2</v>
      </c>
      <c r="F142" t="s">
        <v>437</v>
      </c>
      <c r="G142">
        <v>1193170</v>
      </c>
      <c r="H142" t="s">
        <v>438</v>
      </c>
      <c r="I142">
        <v>850</v>
      </c>
      <c r="J142" t="s">
        <v>126</v>
      </c>
      <c r="K142">
        <v>1457</v>
      </c>
      <c r="L142">
        <v>69</v>
      </c>
    </row>
    <row r="143" spans="1:12" x14ac:dyDescent="0.2">
      <c r="A143">
        <v>14099</v>
      </c>
      <c r="B143" t="s">
        <v>201</v>
      </c>
      <c r="C143">
        <v>14099</v>
      </c>
      <c r="D143">
        <v>4</v>
      </c>
      <c r="E143">
        <v>2</v>
      </c>
      <c r="F143" t="s">
        <v>439</v>
      </c>
      <c r="G143">
        <v>1193170</v>
      </c>
      <c r="H143" t="s">
        <v>440</v>
      </c>
      <c r="I143">
        <v>850</v>
      </c>
      <c r="J143" t="s">
        <v>126</v>
      </c>
      <c r="K143">
        <v>1457</v>
      </c>
      <c r="L143">
        <v>70</v>
      </c>
    </row>
    <row r="144" spans="1:12" x14ac:dyDescent="0.2">
      <c r="A144">
        <v>14100</v>
      </c>
      <c r="B144" t="s">
        <v>202</v>
      </c>
      <c r="C144">
        <v>14100</v>
      </c>
      <c r="D144">
        <v>4</v>
      </c>
      <c r="E144">
        <v>2</v>
      </c>
      <c r="F144" t="s">
        <v>441</v>
      </c>
      <c r="G144">
        <v>1193170</v>
      </c>
      <c r="H144" t="s">
        <v>442</v>
      </c>
      <c r="I144">
        <v>850</v>
      </c>
      <c r="J144" t="s">
        <v>126</v>
      </c>
      <c r="K144">
        <v>1457</v>
      </c>
      <c r="L144">
        <v>71</v>
      </c>
    </row>
    <row r="145" spans="1:12" x14ac:dyDescent="0.2">
      <c r="A145">
        <v>14101</v>
      </c>
      <c r="B145" t="s">
        <v>203</v>
      </c>
      <c r="C145">
        <v>14101</v>
      </c>
      <c r="D145">
        <v>4</v>
      </c>
      <c r="E145">
        <v>2</v>
      </c>
      <c r="F145" t="s">
        <v>443</v>
      </c>
      <c r="G145">
        <v>1193170</v>
      </c>
      <c r="H145" t="s">
        <v>444</v>
      </c>
      <c r="I145">
        <v>850</v>
      </c>
      <c r="J145" t="s">
        <v>126</v>
      </c>
      <c r="K145">
        <v>1457</v>
      </c>
      <c r="L145">
        <v>72</v>
      </c>
    </row>
    <row r="146" spans="1:12" x14ac:dyDescent="0.2">
      <c r="A146">
        <v>14102</v>
      </c>
      <c r="B146" t="s">
        <v>204</v>
      </c>
      <c r="C146">
        <v>14102</v>
      </c>
      <c r="D146">
        <v>4</v>
      </c>
      <c r="E146">
        <v>2</v>
      </c>
      <c r="F146" t="s">
        <v>445</v>
      </c>
      <c r="G146">
        <v>1376566</v>
      </c>
      <c r="H146" t="s">
        <v>446</v>
      </c>
      <c r="I146">
        <v>900</v>
      </c>
      <c r="J146" t="s">
        <v>126</v>
      </c>
      <c r="K146">
        <v>1728</v>
      </c>
      <c r="L146">
        <v>73</v>
      </c>
    </row>
    <row r="147" spans="1:12" x14ac:dyDescent="0.2">
      <c r="A147">
        <v>14103</v>
      </c>
      <c r="B147" t="s">
        <v>205</v>
      </c>
      <c r="C147">
        <v>14103</v>
      </c>
      <c r="D147">
        <v>4</v>
      </c>
      <c r="E147">
        <v>2</v>
      </c>
      <c r="F147" t="s">
        <v>447</v>
      </c>
      <c r="G147">
        <v>1376566</v>
      </c>
      <c r="H147" t="s">
        <v>448</v>
      </c>
      <c r="I147">
        <v>900</v>
      </c>
      <c r="J147" t="s">
        <v>126</v>
      </c>
      <c r="K147">
        <v>1728</v>
      </c>
      <c r="L147">
        <v>74</v>
      </c>
    </row>
    <row r="148" spans="1:12" x14ac:dyDescent="0.2">
      <c r="A148">
        <v>14104</v>
      </c>
      <c r="B148" t="s">
        <v>206</v>
      </c>
      <c r="C148">
        <v>14104</v>
      </c>
      <c r="D148">
        <v>4</v>
      </c>
      <c r="E148">
        <v>2</v>
      </c>
      <c r="F148" t="s">
        <v>449</v>
      </c>
      <c r="G148">
        <v>1376566</v>
      </c>
      <c r="H148" t="s">
        <v>450</v>
      </c>
      <c r="I148">
        <v>900</v>
      </c>
      <c r="J148" t="s">
        <v>126</v>
      </c>
      <c r="K148">
        <v>1728</v>
      </c>
      <c r="L148">
        <v>75</v>
      </c>
    </row>
    <row r="149" spans="1:12" x14ac:dyDescent="0.2">
      <c r="A149">
        <v>14105</v>
      </c>
      <c r="B149" t="s">
        <v>207</v>
      </c>
      <c r="C149">
        <v>14105</v>
      </c>
      <c r="D149">
        <v>4</v>
      </c>
      <c r="E149">
        <v>2</v>
      </c>
      <c r="F149" t="s">
        <v>451</v>
      </c>
      <c r="G149">
        <v>1376566</v>
      </c>
      <c r="H149" t="s">
        <v>452</v>
      </c>
      <c r="I149">
        <v>900</v>
      </c>
      <c r="J149" t="s">
        <v>126</v>
      </c>
      <c r="K149">
        <v>1728</v>
      </c>
      <c r="L149">
        <v>76</v>
      </c>
    </row>
    <row r="150" spans="1:12" x14ac:dyDescent="0.2">
      <c r="A150">
        <v>14106</v>
      </c>
      <c r="B150" t="s">
        <v>208</v>
      </c>
      <c r="C150">
        <v>14106</v>
      </c>
      <c r="D150">
        <v>4</v>
      </c>
      <c r="E150">
        <v>2</v>
      </c>
      <c r="F150" t="s">
        <v>453</v>
      </c>
      <c r="G150">
        <v>1592038</v>
      </c>
      <c r="H150" t="s">
        <v>454</v>
      </c>
      <c r="I150">
        <v>950</v>
      </c>
      <c r="J150" t="s">
        <v>126</v>
      </c>
      <c r="K150">
        <v>2052</v>
      </c>
      <c r="L150">
        <v>77</v>
      </c>
    </row>
    <row r="151" spans="1:12" x14ac:dyDescent="0.2">
      <c r="A151">
        <v>14107</v>
      </c>
      <c r="B151" t="s">
        <v>209</v>
      </c>
      <c r="C151">
        <v>14107</v>
      </c>
      <c r="D151">
        <v>4</v>
      </c>
      <c r="E151">
        <v>2</v>
      </c>
      <c r="F151" t="s">
        <v>455</v>
      </c>
      <c r="G151">
        <v>1592038</v>
      </c>
      <c r="H151" t="s">
        <v>456</v>
      </c>
      <c r="I151">
        <v>950</v>
      </c>
      <c r="J151" t="s">
        <v>126</v>
      </c>
      <c r="K151">
        <v>2052</v>
      </c>
      <c r="L151">
        <v>78</v>
      </c>
    </row>
    <row r="152" spans="1:12" x14ac:dyDescent="0.2">
      <c r="A152">
        <v>14108</v>
      </c>
      <c r="B152" t="s">
        <v>210</v>
      </c>
      <c r="C152">
        <v>14108</v>
      </c>
      <c r="D152">
        <v>4</v>
      </c>
      <c r="E152">
        <v>2</v>
      </c>
      <c r="F152" t="s">
        <v>457</v>
      </c>
      <c r="G152">
        <v>1592038</v>
      </c>
      <c r="H152" t="s">
        <v>458</v>
      </c>
      <c r="I152">
        <v>950</v>
      </c>
      <c r="J152" t="s">
        <v>126</v>
      </c>
      <c r="K152">
        <v>2052</v>
      </c>
      <c r="L152">
        <v>79</v>
      </c>
    </row>
    <row r="153" spans="1:12" x14ac:dyDescent="0.2">
      <c r="A153">
        <v>14109</v>
      </c>
      <c r="B153" t="s">
        <v>211</v>
      </c>
      <c r="C153">
        <v>14109</v>
      </c>
      <c r="D153">
        <v>4</v>
      </c>
      <c r="E153">
        <v>2</v>
      </c>
      <c r="F153" t="s">
        <v>459</v>
      </c>
      <c r="G153">
        <v>1592038</v>
      </c>
      <c r="H153" t="s">
        <v>460</v>
      </c>
      <c r="I153">
        <v>950</v>
      </c>
      <c r="J153" t="s">
        <v>126</v>
      </c>
      <c r="K153">
        <v>2052</v>
      </c>
      <c r="L153">
        <v>80</v>
      </c>
    </row>
    <row r="154" spans="1:12" x14ac:dyDescent="0.2">
      <c r="A154">
        <v>14110</v>
      </c>
      <c r="B154" t="s">
        <v>212</v>
      </c>
      <c r="C154">
        <v>14110</v>
      </c>
      <c r="D154">
        <v>4</v>
      </c>
      <c r="E154">
        <v>2</v>
      </c>
      <c r="F154" t="s">
        <v>461</v>
      </c>
      <c r="G154">
        <v>1846001</v>
      </c>
      <c r="H154" t="s">
        <v>462</v>
      </c>
      <c r="I154">
        <v>1000</v>
      </c>
      <c r="J154" t="s">
        <v>126</v>
      </c>
      <c r="K154">
        <v>2438</v>
      </c>
      <c r="L154">
        <v>81</v>
      </c>
    </row>
    <row r="155" spans="1:12" x14ac:dyDescent="0.2">
      <c r="A155">
        <v>14111</v>
      </c>
      <c r="B155" t="s">
        <v>213</v>
      </c>
      <c r="C155">
        <v>14111</v>
      </c>
      <c r="D155">
        <v>4</v>
      </c>
      <c r="E155">
        <v>2</v>
      </c>
      <c r="F155" t="s">
        <v>463</v>
      </c>
      <c r="G155">
        <v>1846001</v>
      </c>
      <c r="H155" t="s">
        <v>464</v>
      </c>
      <c r="I155">
        <v>1000</v>
      </c>
      <c r="J155" t="s">
        <v>126</v>
      </c>
      <c r="K155">
        <v>2438</v>
      </c>
      <c r="L155">
        <v>82</v>
      </c>
    </row>
    <row r="156" spans="1:12" x14ac:dyDescent="0.2">
      <c r="A156">
        <v>14112</v>
      </c>
      <c r="B156" t="s">
        <v>214</v>
      </c>
      <c r="C156">
        <v>14112</v>
      </c>
      <c r="D156">
        <v>4</v>
      </c>
      <c r="E156">
        <v>2</v>
      </c>
      <c r="F156" t="s">
        <v>443</v>
      </c>
      <c r="G156">
        <v>1846001</v>
      </c>
      <c r="H156" t="s">
        <v>465</v>
      </c>
      <c r="I156">
        <v>1000</v>
      </c>
      <c r="J156" t="s">
        <v>126</v>
      </c>
      <c r="K156">
        <v>2438</v>
      </c>
      <c r="L156">
        <v>83</v>
      </c>
    </row>
    <row r="157" spans="1:12" x14ac:dyDescent="0.2">
      <c r="A157">
        <v>14113</v>
      </c>
      <c r="B157" t="s">
        <v>215</v>
      </c>
      <c r="C157">
        <v>14113</v>
      </c>
      <c r="D157">
        <v>4</v>
      </c>
      <c r="E157">
        <v>2</v>
      </c>
      <c r="F157" t="s">
        <v>466</v>
      </c>
      <c r="G157">
        <v>1846001</v>
      </c>
      <c r="H157" t="s">
        <v>467</v>
      </c>
      <c r="I157">
        <v>1000</v>
      </c>
      <c r="J157" t="s">
        <v>126</v>
      </c>
      <c r="K157">
        <v>2438</v>
      </c>
      <c r="L157">
        <v>84</v>
      </c>
    </row>
    <row r="158" spans="1:12" x14ac:dyDescent="0.2">
      <c r="A158">
        <v>14114</v>
      </c>
      <c r="B158" t="s">
        <v>216</v>
      </c>
      <c r="C158">
        <v>14114</v>
      </c>
      <c r="D158">
        <v>4</v>
      </c>
      <c r="E158">
        <v>2</v>
      </c>
      <c r="F158" t="s">
        <v>468</v>
      </c>
      <c r="G158">
        <v>1846001</v>
      </c>
      <c r="H158" t="s">
        <v>469</v>
      </c>
      <c r="I158">
        <v>1000</v>
      </c>
      <c r="J158" t="s">
        <v>126</v>
      </c>
      <c r="K158">
        <v>2438</v>
      </c>
      <c r="L158">
        <v>85</v>
      </c>
    </row>
    <row r="159" spans="1:12" x14ac:dyDescent="0.2">
      <c r="A159">
        <v>14115</v>
      </c>
      <c r="B159" t="s">
        <v>217</v>
      </c>
      <c r="C159">
        <v>14115</v>
      </c>
      <c r="D159">
        <v>4</v>
      </c>
      <c r="E159">
        <v>2</v>
      </c>
      <c r="F159" t="s">
        <v>470</v>
      </c>
      <c r="G159">
        <v>1846001</v>
      </c>
      <c r="H159" t="s">
        <v>471</v>
      </c>
      <c r="I159">
        <v>1000</v>
      </c>
      <c r="J159" t="s">
        <v>126</v>
      </c>
      <c r="K159">
        <v>2438</v>
      </c>
      <c r="L159">
        <v>86</v>
      </c>
    </row>
    <row r="160" spans="1:12" x14ac:dyDescent="0.2">
      <c r="A160">
        <v>14116</v>
      </c>
      <c r="B160" t="s">
        <v>218</v>
      </c>
      <c r="C160">
        <v>14116</v>
      </c>
      <c r="D160">
        <v>4</v>
      </c>
      <c r="E160">
        <v>2</v>
      </c>
      <c r="F160" t="s">
        <v>472</v>
      </c>
      <c r="G160">
        <v>1846001</v>
      </c>
      <c r="H160" t="s">
        <v>473</v>
      </c>
      <c r="I160">
        <v>1000</v>
      </c>
      <c r="J160" t="s">
        <v>126</v>
      </c>
      <c r="K160">
        <v>2438</v>
      </c>
      <c r="L160">
        <v>87</v>
      </c>
    </row>
    <row r="161" spans="1:12" x14ac:dyDescent="0.2">
      <c r="A161">
        <v>14117</v>
      </c>
      <c r="B161" t="s">
        <v>219</v>
      </c>
      <c r="C161">
        <v>14117</v>
      </c>
      <c r="D161">
        <v>4</v>
      </c>
      <c r="E161">
        <v>2</v>
      </c>
      <c r="F161" t="s">
        <v>425</v>
      </c>
      <c r="G161">
        <v>1846001</v>
      </c>
      <c r="H161" t="s">
        <v>474</v>
      </c>
      <c r="I161">
        <v>1000</v>
      </c>
      <c r="J161" t="s">
        <v>126</v>
      </c>
      <c r="K161">
        <v>2438</v>
      </c>
      <c r="L161">
        <v>88</v>
      </c>
    </row>
    <row r="162" spans="1:12" x14ac:dyDescent="0.2">
      <c r="A162">
        <v>14118</v>
      </c>
      <c r="B162" t="s">
        <v>220</v>
      </c>
      <c r="C162">
        <v>14118</v>
      </c>
      <c r="D162">
        <v>4</v>
      </c>
      <c r="E162">
        <v>2</v>
      </c>
      <c r="F162" t="s">
        <v>475</v>
      </c>
      <c r="G162">
        <v>1846001</v>
      </c>
      <c r="H162" t="s">
        <v>476</v>
      </c>
      <c r="I162">
        <v>1000</v>
      </c>
      <c r="J162" t="s">
        <v>126</v>
      </c>
      <c r="K162">
        <v>2438</v>
      </c>
      <c r="L162">
        <v>89</v>
      </c>
    </row>
    <row r="163" spans="1:12" x14ac:dyDescent="0.2">
      <c r="A163">
        <v>14119</v>
      </c>
      <c r="B163" t="s">
        <v>221</v>
      </c>
      <c r="C163">
        <v>14119</v>
      </c>
      <c r="D163">
        <v>4</v>
      </c>
      <c r="E163">
        <v>2</v>
      </c>
      <c r="F163" t="s">
        <v>477</v>
      </c>
      <c r="G163">
        <v>1846001</v>
      </c>
      <c r="H163" t="s">
        <v>478</v>
      </c>
      <c r="I163">
        <v>1000</v>
      </c>
      <c r="J163" t="s">
        <v>126</v>
      </c>
      <c r="K163">
        <v>2438</v>
      </c>
      <c r="L163">
        <v>90</v>
      </c>
    </row>
    <row r="164" spans="1:12" x14ac:dyDescent="0.2">
      <c r="A164">
        <v>14120</v>
      </c>
      <c r="B164" t="s">
        <v>222</v>
      </c>
      <c r="C164">
        <v>14120</v>
      </c>
      <c r="D164">
        <v>4</v>
      </c>
      <c r="E164">
        <v>2</v>
      </c>
      <c r="F164" t="s">
        <v>479</v>
      </c>
      <c r="G164">
        <v>1846001</v>
      </c>
      <c r="H164" t="s">
        <v>480</v>
      </c>
      <c r="I164">
        <v>1000</v>
      </c>
      <c r="J164" t="s">
        <v>126</v>
      </c>
      <c r="K164">
        <v>2438</v>
      </c>
      <c r="L164">
        <v>91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2024-10-25T06:42:52Z</dcterms:modified>
</cp:coreProperties>
</file>