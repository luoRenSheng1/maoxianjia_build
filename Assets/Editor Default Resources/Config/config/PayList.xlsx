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Windows 用户</author>
  </authors>
  <commentList>
    <comment ref="A3" authorId="0">
      <text>
        <r>
          <rPr>
            <b/>
            <sz val="9"/>
            <rFont val="宋体"/>
            <charset val="134"/>
          </rPr>
          <t>Windows 用户:</t>
        </r>
        <r>
          <rPr>
            <sz val="9"/>
            <rFont val="宋体"/>
            <charset val="134"/>
          </rPr>
          <t xml:space="preserve">
3=商城
4=礼包商店
5=埋点礼包</t>
        </r>
      </text>
    </comment>
    <comment ref="B3" authorId="0">
      <text>
        <r>
          <rPr>
            <b/>
            <sz val="9"/>
            <rFont val="宋体"/>
            <charset val="134"/>
          </rPr>
          <t>Windows 用户: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<sst xmlns="http://schemas.openxmlformats.org/spreadsheetml/2006/main" count="192" uniqueCount="121">
  <si>
    <t>Id</t>
  </si>
  <si>
    <r>
      <rPr>
        <sz val="10.5"/>
        <color theme="1"/>
        <rFont val="微软雅黑"/>
        <charset val="134"/>
      </rPr>
      <t>T</t>
    </r>
    <r>
      <rPr>
        <sz val="10.5"/>
        <color rgb="FF000000"/>
        <rFont val="微软雅黑"/>
        <charset val="134"/>
      </rPr>
      <t>ype</t>
    </r>
  </si>
  <si>
    <t>Desc_Note</t>
  </si>
  <si>
    <t>Desc</t>
  </si>
  <si>
    <t>Desc_Param</t>
  </si>
  <si>
    <t>xm_ProductId</t>
  </si>
  <si>
    <t>remarks</t>
  </si>
  <si>
    <t>RechargeAmount</t>
  </si>
  <si>
    <t>Sort</t>
  </si>
  <si>
    <t>FirstAddDiamonds</t>
  </si>
  <si>
    <t>AddDiamonds</t>
  </si>
  <si>
    <t>Icon</t>
  </si>
  <si>
    <r>
      <rPr>
        <sz val="10.5"/>
        <color theme="1"/>
        <rFont val="微软雅黑"/>
        <charset val="134"/>
      </rPr>
      <t>MoneyT</t>
    </r>
    <r>
      <rPr>
        <sz val="10.5"/>
        <color rgb="FF000000"/>
        <rFont val="微软雅黑"/>
        <charset val="134"/>
      </rPr>
      <t>ype</t>
    </r>
  </si>
  <si>
    <t>Int</t>
  </si>
  <si>
    <t>String</t>
  </si>
  <si>
    <t>Id滚号</t>
  </si>
  <si>
    <t xml:space="preserve">Type
1=充值
2=其他
</t>
  </si>
  <si>
    <t>&lt;c&gt;记录描述</t>
  </si>
  <si>
    <t>记录描述</t>
  </si>
  <si>
    <t>记录描述参数</t>
  </si>
  <si>
    <t>商品ID（运营对接商品使用，星马专用）</t>
  </si>
  <si>
    <t>备注</t>
  </si>
  <si>
    <t>充值金额（档位）/100</t>
  </si>
  <si>
    <t>排序</t>
  </si>
  <si>
    <t>首次充值增加钻石数量</t>
  </si>
  <si>
    <t>获取钻石数量</t>
  </si>
  <si>
    <t>档位充值ICON图</t>
  </si>
  <si>
    <t>Type
1=人民币
2=美元</t>
  </si>
  <si>
    <t>基础充值</t>
  </si>
  <si>
    <t>PayList_Desc_1001</t>
  </si>
  <si>
    <t>product_fkpd_and_0.99</t>
  </si>
  <si>
    <t>product_fkpd_and_2.99</t>
  </si>
  <si>
    <t>product_fkpd_and_4.99</t>
  </si>
  <si>
    <t>product_fkpd_and_9.99</t>
  </si>
  <si>
    <t>product_fkpd_and_14.99</t>
  </si>
  <si>
    <t>product_fkpd_and_29.99</t>
  </si>
  <si>
    <t>product_fkpd_and_49.99</t>
  </si>
  <si>
    <t>product_fkpd_and_99.99</t>
  </si>
  <si>
    <t>永久卡</t>
  </si>
  <si>
    <t>PayList_Desc_2001</t>
  </si>
  <si>
    <t>月卡（30天）</t>
  </si>
  <si>
    <t>PayList_Desc_2002</t>
  </si>
  <si>
    <t>周卡（7天）</t>
  </si>
  <si>
    <t>PayList_Desc_2003</t>
  </si>
  <si>
    <t>英雄令特权卡</t>
  </si>
  <si>
    <t>PayList_Desc_2004</t>
  </si>
  <si>
    <t>新人礼包</t>
  </si>
  <si>
    <t>PayList_Desc_3001</t>
  </si>
  <si>
    <t>$9.99连买7日</t>
  </si>
  <si>
    <t>PayList_Desc_3002</t>
  </si>
  <si>
    <t>每日特惠$0.29礼包</t>
  </si>
  <si>
    <t>PayList_Desc_3003</t>
  </si>
  <si>
    <t>product_fkpd_and_0.29</t>
  </si>
  <si>
    <t>每日特惠$0.49礼包</t>
  </si>
  <si>
    <t>product_fkpd_and_0.49</t>
  </si>
  <si>
    <t>每日特惠$0.99礼包</t>
  </si>
  <si>
    <t>疯狂指南第1章</t>
  </si>
  <si>
    <t>PayList_Desc_3006</t>
  </si>
  <si>
    <t>疯狂指南第2章</t>
  </si>
  <si>
    <t>疯狂指南第3章</t>
  </si>
  <si>
    <t>英雄令召唤礼包</t>
  </si>
  <si>
    <t>PayList_Desc_4001</t>
  </si>
  <si>
    <t>嘟里奥礼包</t>
  </si>
  <si>
    <t>PayList_Desc_4002</t>
  </si>
  <si>
    <t>地狱公爵礼包</t>
  </si>
  <si>
    <t>PayList_Desc_4003</t>
  </si>
  <si>
    <t>神话魔法礼包</t>
  </si>
  <si>
    <t>PayList_Desc_4004</t>
  </si>
  <si>
    <t>神话宠物礼包</t>
  </si>
  <si>
    <t>PayList_Desc_4005</t>
  </si>
  <si>
    <t>金币礼包</t>
  </si>
  <si>
    <t>PayList_Desc_4006</t>
  </si>
  <si>
    <t>铸造锤礼包</t>
  </si>
  <si>
    <t>PayList_Desc_4007</t>
  </si>
  <si>
    <t>符石礼包</t>
  </si>
  <si>
    <t>PayList_Desc_4008</t>
  </si>
  <si>
    <t>英雄突破礼包</t>
  </si>
  <si>
    <t>PayList_Desc_4009</t>
  </si>
  <si>
    <t>奶酪礼包</t>
  </si>
  <si>
    <t>PayList_Desc_4010</t>
  </si>
  <si>
    <t>传说技能礼包</t>
  </si>
  <si>
    <t>PayList_Desc_4011</t>
  </si>
  <si>
    <t>传说宠物礼包</t>
  </si>
  <si>
    <t>PayList_Desc_4012</t>
  </si>
  <si>
    <t>副本钥匙礼包</t>
  </si>
  <si>
    <t>PayList_Desc_4013</t>
  </si>
  <si>
    <t>PayList_Desc_5001</t>
  </si>
  <si>
    <t>英雄令礼包</t>
  </si>
  <si>
    <t>PayList_Desc_5002</t>
  </si>
  <si>
    <t>英雄升级礼包</t>
  </si>
  <si>
    <t>PayList_Desc_5003</t>
  </si>
  <si>
    <t>英雄突破加强包</t>
  </si>
  <si>
    <t>PayList_Desc_5004</t>
  </si>
  <si>
    <t>金矿副本挑战礼包</t>
  </si>
  <si>
    <t>PayList_Desc_5005</t>
  </si>
  <si>
    <t>英雄副本挑战礼包</t>
  </si>
  <si>
    <t>PayList_Desc_5006</t>
  </si>
  <si>
    <t>装备副本挑战礼包</t>
  </si>
  <si>
    <t>PayList_Desc_5007</t>
  </si>
  <si>
    <t>符石券补充包</t>
  </si>
  <si>
    <t>PayList_Desc_5008</t>
  </si>
  <si>
    <t>金币补充包</t>
  </si>
  <si>
    <t>PayList_Desc_5009</t>
  </si>
  <si>
    <t>高级战斗通行证</t>
  </si>
  <si>
    <t>PayList_Desc_7001</t>
  </si>
  <si>
    <t>周一登录礼包</t>
  </si>
  <si>
    <t>PayList_Desc_7002</t>
  </si>
  <si>
    <t>周二登录礼包</t>
  </si>
  <si>
    <t>PayList_Desc_7003</t>
  </si>
  <si>
    <t>周三登录礼包</t>
  </si>
  <si>
    <t>PayList_Desc_7004</t>
  </si>
  <si>
    <t>周四登录礼包</t>
  </si>
  <si>
    <t>PayList_Desc_7005</t>
  </si>
  <si>
    <t>周五登录礼包</t>
  </si>
  <si>
    <t>PayList_Desc_7006</t>
  </si>
  <si>
    <t>周六登录礼包</t>
  </si>
  <si>
    <t>PayList_Desc_7007</t>
  </si>
  <si>
    <t>周七登录礼包</t>
  </si>
  <si>
    <t>PayList_Desc_7008</t>
  </si>
  <si>
    <t>超大力礼包</t>
  </si>
  <si>
    <t>PayList_Desc_7009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</si>
</sst>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0.5"/>
      <color rgb="FF000000"/>
      <name val="微软雅黑"/>
      <charset val="134"/>
    </font>
    <font>
      <sz val="10.5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3" fillId="0" borderId="0"/>
    <xf numFmtId="0" fontId="3" fillId="0" borderId="0"/>
  </cellStyleXfs>
  <cellXfs count="26">
    <xf numFmtId="0" fontId="0" fillId="0" borderId="0" xfId="0"/>
    <xf numFmtId="0" fontId="0" fillId="0" borderId="0" xfId="0" applyFill="1" applyAlignment="1">
      <alignment horizontal="left"/>
    </xf>
    <xf numFmtId="0" fontId="1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0" borderId="0" xfId="50" applyFill="1" applyAlignment="1">
      <alignment horizontal="left"/>
    </xf>
    <xf numFmtId="0" fontId="3" fillId="0" borderId="0" xfId="0" applyFont="1" applyFill="1" applyAlignment="1">
      <alignment horizontal="left"/>
    </xf>
    <xf numFmtId="0" fontId="3" fillId="0" borderId="0" xfId="50" applyFont="1" applyFill="1" applyAlignment="1">
      <alignment horizontal="left"/>
    </xf>
    <xf numFmtId="0" fontId="3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3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3" borderId="0" xfId="0" applyFont="1" applyFill="1" applyBorder="1" applyAlignment="1">
      <alignment horizontal="left"/>
    </xf>
    <xf numFmtId="0" fontId="0" fillId="4" borderId="0" xfId="0" applyFont="1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2" borderId="0" xfId="0" applyFont="1" applyFill="1" applyBorder="1" applyAlignment="1">
      <alignment horizontal="left"/>
    </xf>
    <xf numFmtId="0" fontId="0" fillId="4" borderId="0" xfId="0" applyFill="1" applyBorder="1" applyAlignment="1">
      <alignment horizontal="left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Border="1" applyAlignment="1">
      <alignment horizontal="lef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4"/>
  <sheetViews>
    <sheetView tabSelected="1" zoomScale="115" zoomScaleNormal="115" workbookViewId="0">
      <pane xSplit="1" ySplit="3" topLeftCell="B37" activePane="bottomRight" state="frozen"/>
      <selection/>
      <selection pane="topRight"/>
      <selection pane="bottomLeft"/>
      <selection pane="bottomRight" activeCell="J21" sqref="J21"/>
    </sheetView>
  </sheetViews>
  <sheetFormatPr defaultColWidth="9" defaultRowHeight="14.25"/>
  <cols>
    <col min="1" max="2" width="7.25" style="1" customWidth="1"/>
    <col min="3" max="3" width="16.25" style="1" customWidth="1"/>
    <col min="4" max="4" width="18.475" style="1" customWidth="1"/>
    <col min="5" max="5" width="16.25" style="1" customWidth="1"/>
    <col min="6" max="6" width="22.625" style="1" customWidth="1"/>
    <col min="7" max="7" width="9" style="1" customWidth="1"/>
    <col min="8" max="8" width="18.375" style="1" customWidth="1"/>
    <col min="9" max="9" width="5.625" style="1" customWidth="1"/>
    <col min="10" max="10" width="21.75" style="1" customWidth="1"/>
    <col min="11" max="11" width="15" style="1" customWidth="1"/>
    <col min="12" max="12" width="16.75" style="1" customWidth="1"/>
    <col min="13" max="13" width="13.125" style="1" customWidth="1"/>
    <col min="14" max="16384" width="9" style="1"/>
  </cols>
  <sheetData>
    <row r="1" ht="18" spans="1:1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ht="18" spans="1:13">
      <c r="A2" s="4" t="s">
        <v>13</v>
      </c>
      <c r="B2" s="5" t="s">
        <v>13</v>
      </c>
      <c r="C2" s="4" t="s">
        <v>14</v>
      </c>
      <c r="D2" s="4" t="s">
        <v>14</v>
      </c>
      <c r="E2" s="4" t="s">
        <v>14</v>
      </c>
      <c r="F2" s="4" t="s">
        <v>14</v>
      </c>
      <c r="G2" s="4" t="s">
        <v>14</v>
      </c>
      <c r="H2" s="4" t="s">
        <v>13</v>
      </c>
      <c r="I2" s="4" t="s">
        <v>13</v>
      </c>
      <c r="J2" s="4" t="s">
        <v>13</v>
      </c>
      <c r="K2" s="4" t="s">
        <v>13</v>
      </c>
      <c r="L2" s="4" t="s">
        <v>13</v>
      </c>
      <c r="M2" s="5" t="s">
        <v>13</v>
      </c>
    </row>
    <row r="3" ht="69.75" spans="1:13">
      <c r="A3" s="4" t="s">
        <v>15</v>
      </c>
      <c r="B3" s="5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  <c r="J3" s="4" t="s">
        <v>24</v>
      </c>
      <c r="K3" s="4" t="s">
        <v>25</v>
      </c>
      <c r="L3" s="4" t="s">
        <v>26</v>
      </c>
      <c r="M3" s="5" t="s">
        <v>27</v>
      </c>
    </row>
    <row r="4" spans="1:13">
      <c r="A4" s="6">
        <v>1001</v>
      </c>
      <c r="B4" s="6">
        <v>1</v>
      </c>
      <c r="C4" s="6" t="s">
        <v>28</v>
      </c>
      <c r="D4" s="6" t="s">
        <v>29</v>
      </c>
      <c r="E4" s="6"/>
      <c r="F4" s="7" t="s">
        <v>30</v>
      </c>
      <c r="G4" s="7">
        <v>6</v>
      </c>
      <c r="H4" s="6">
        <v>99</v>
      </c>
      <c r="I4" s="6">
        <v>1</v>
      </c>
      <c r="J4" s="6">
        <v>1200</v>
      </c>
      <c r="K4" s="6">
        <v>1200</v>
      </c>
      <c r="L4" s="6">
        <v>1000</v>
      </c>
      <c r="M4" s="6">
        <v>2</v>
      </c>
    </row>
    <row r="5" ht="17.25" spans="1:13">
      <c r="A5" s="6">
        <v>1002</v>
      </c>
      <c r="B5" s="6">
        <v>1</v>
      </c>
      <c r="C5" s="6" t="s">
        <v>28</v>
      </c>
      <c r="D5" s="6" t="s">
        <v>29</v>
      </c>
      <c r="E5" s="6"/>
      <c r="F5" s="7" t="s">
        <v>31</v>
      </c>
      <c r="G5" s="7">
        <v>18</v>
      </c>
      <c r="H5" s="6">
        <v>299</v>
      </c>
      <c r="I5" s="25">
        <v>2</v>
      </c>
      <c r="J5" s="6">
        <v>3600</v>
      </c>
      <c r="K5" s="6">
        <v>3600</v>
      </c>
      <c r="L5" s="6">
        <v>1000</v>
      </c>
      <c r="M5" s="6">
        <v>2</v>
      </c>
    </row>
    <row r="6" spans="1:13">
      <c r="A6" s="6">
        <v>1003</v>
      </c>
      <c r="B6" s="6">
        <v>1</v>
      </c>
      <c r="C6" s="6" t="s">
        <v>28</v>
      </c>
      <c r="D6" s="6" t="s">
        <v>29</v>
      </c>
      <c r="E6" s="6"/>
      <c r="F6" s="7" t="s">
        <v>32</v>
      </c>
      <c r="G6" s="6">
        <v>30</v>
      </c>
      <c r="H6" s="6">
        <v>499</v>
      </c>
      <c r="I6" s="6">
        <v>3</v>
      </c>
      <c r="J6" s="6">
        <v>6000</v>
      </c>
      <c r="K6" s="6">
        <v>6000</v>
      </c>
      <c r="L6" s="6">
        <v>1000</v>
      </c>
      <c r="M6" s="6">
        <v>2</v>
      </c>
    </row>
    <row r="7" ht="17.25" spans="1:13">
      <c r="A7" s="6">
        <v>1004</v>
      </c>
      <c r="B7" s="6">
        <v>1</v>
      </c>
      <c r="C7" s="6" t="s">
        <v>28</v>
      </c>
      <c r="D7" s="6" t="s">
        <v>29</v>
      </c>
      <c r="E7" s="6"/>
      <c r="F7" s="7" t="s">
        <v>33</v>
      </c>
      <c r="G7" s="7">
        <v>68</v>
      </c>
      <c r="H7" s="6">
        <v>999</v>
      </c>
      <c r="I7" s="25">
        <v>4</v>
      </c>
      <c r="J7" s="6">
        <v>13600</v>
      </c>
      <c r="K7" s="6">
        <v>13600</v>
      </c>
      <c r="L7" s="6">
        <v>1000</v>
      </c>
      <c r="M7" s="6">
        <v>2</v>
      </c>
    </row>
    <row r="8" spans="1:13">
      <c r="A8" s="6">
        <v>1005</v>
      </c>
      <c r="B8" s="6">
        <v>1</v>
      </c>
      <c r="C8" s="6" t="s">
        <v>28</v>
      </c>
      <c r="D8" s="6" t="s">
        <v>29</v>
      </c>
      <c r="E8" s="6"/>
      <c r="F8" s="7" t="s">
        <v>34</v>
      </c>
      <c r="G8" s="7">
        <v>98</v>
      </c>
      <c r="H8" s="6">
        <v>1499</v>
      </c>
      <c r="I8" s="6">
        <v>5</v>
      </c>
      <c r="J8" s="6">
        <v>19600</v>
      </c>
      <c r="K8" s="6">
        <v>19600</v>
      </c>
      <c r="L8" s="6">
        <v>1000</v>
      </c>
      <c r="M8" s="6">
        <v>2</v>
      </c>
    </row>
    <row r="9" ht="17.25" spans="1:13">
      <c r="A9" s="6">
        <v>1006</v>
      </c>
      <c r="B9" s="6">
        <v>1</v>
      </c>
      <c r="C9" s="6" t="s">
        <v>28</v>
      </c>
      <c r="D9" s="6" t="s">
        <v>29</v>
      </c>
      <c r="E9" s="6"/>
      <c r="F9" s="7" t="s">
        <v>35</v>
      </c>
      <c r="G9" s="7">
        <v>198</v>
      </c>
      <c r="H9" s="6">
        <v>2999</v>
      </c>
      <c r="I9" s="25">
        <v>6</v>
      </c>
      <c r="J9" s="6">
        <v>39600</v>
      </c>
      <c r="K9" s="6">
        <v>39600</v>
      </c>
      <c r="L9" s="6">
        <v>1000</v>
      </c>
      <c r="M9" s="6">
        <v>2</v>
      </c>
    </row>
    <row r="10" spans="1:13">
      <c r="A10" s="6">
        <v>1007</v>
      </c>
      <c r="B10" s="6">
        <v>1</v>
      </c>
      <c r="C10" s="6" t="s">
        <v>28</v>
      </c>
      <c r="D10" s="6" t="s">
        <v>29</v>
      </c>
      <c r="E10" s="6"/>
      <c r="F10" s="7" t="s">
        <v>36</v>
      </c>
      <c r="G10" s="7">
        <v>328</v>
      </c>
      <c r="H10" s="6">
        <v>4999</v>
      </c>
      <c r="I10" s="6">
        <v>7</v>
      </c>
      <c r="J10" s="6">
        <v>65600</v>
      </c>
      <c r="K10" s="6">
        <v>65600</v>
      </c>
      <c r="L10" s="6">
        <v>1000</v>
      </c>
      <c r="M10" s="6">
        <v>2</v>
      </c>
    </row>
    <row r="11" ht="17.25" spans="1:13">
      <c r="A11" s="6">
        <v>1008</v>
      </c>
      <c r="B11" s="6">
        <v>1</v>
      </c>
      <c r="C11" s="6" t="s">
        <v>28</v>
      </c>
      <c r="D11" s="6" t="s">
        <v>29</v>
      </c>
      <c r="E11" s="6"/>
      <c r="F11" s="7" t="s">
        <v>37</v>
      </c>
      <c r="G11" s="6">
        <v>648</v>
      </c>
      <c r="H11" s="6">
        <v>9999</v>
      </c>
      <c r="I11" s="25">
        <v>8</v>
      </c>
      <c r="J11" s="6">
        <v>129600</v>
      </c>
      <c r="K11" s="6">
        <v>129600</v>
      </c>
      <c r="L11" s="6">
        <v>1000</v>
      </c>
      <c r="M11" s="6">
        <v>2</v>
      </c>
    </row>
    <row r="12" spans="1:13">
      <c r="A12" s="1">
        <v>2001</v>
      </c>
      <c r="B12" s="1">
        <v>2</v>
      </c>
      <c r="C12" s="8" t="s">
        <v>38</v>
      </c>
      <c r="D12" t="s">
        <v>39</v>
      </c>
      <c r="E12"/>
      <c r="F12" s="9" t="s">
        <v>34</v>
      </c>
      <c r="G12" s="9">
        <v>98</v>
      </c>
      <c r="H12" s="1">
        <v>1499</v>
      </c>
      <c r="I12" s="9">
        <v>1</v>
      </c>
      <c r="J12" s="1">
        <v>0</v>
      </c>
      <c r="K12" s="1">
        <v>0</v>
      </c>
      <c r="L12" s="1">
        <v>0</v>
      </c>
      <c r="M12" s="1">
        <v>2</v>
      </c>
    </row>
    <row r="13" spans="1:13">
      <c r="A13" s="1">
        <v>2002</v>
      </c>
      <c r="B13" s="1">
        <v>2</v>
      </c>
      <c r="C13" s="8" t="s">
        <v>40</v>
      </c>
      <c r="D13" t="s">
        <v>41</v>
      </c>
      <c r="E13"/>
      <c r="F13" s="9" t="s">
        <v>32</v>
      </c>
      <c r="G13" s="1">
        <v>30</v>
      </c>
      <c r="H13" s="1">
        <v>499</v>
      </c>
      <c r="I13" s="1">
        <v>2</v>
      </c>
      <c r="J13" s="1">
        <v>0</v>
      </c>
      <c r="K13" s="1">
        <v>0</v>
      </c>
      <c r="L13" s="1">
        <v>0</v>
      </c>
      <c r="M13" s="1">
        <v>2</v>
      </c>
    </row>
    <row r="14" spans="1:13">
      <c r="A14" s="1">
        <v>2003</v>
      </c>
      <c r="B14" s="1">
        <v>2</v>
      </c>
      <c r="C14" s="8" t="s">
        <v>42</v>
      </c>
      <c r="D14" t="s">
        <v>43</v>
      </c>
      <c r="E14"/>
      <c r="F14" s="9" t="s">
        <v>30</v>
      </c>
      <c r="G14" s="1">
        <v>6</v>
      </c>
      <c r="H14" s="1">
        <v>99</v>
      </c>
      <c r="I14" s="1">
        <v>3</v>
      </c>
      <c r="J14" s="1">
        <v>0</v>
      </c>
      <c r="K14" s="1">
        <v>0</v>
      </c>
      <c r="L14" s="1">
        <v>0</v>
      </c>
      <c r="M14" s="1">
        <v>2</v>
      </c>
    </row>
    <row r="15" spans="1:13">
      <c r="A15" s="1">
        <v>2004</v>
      </c>
      <c r="B15" s="1">
        <v>2</v>
      </c>
      <c r="C15" s="8" t="s">
        <v>44</v>
      </c>
      <c r="D15" t="s">
        <v>45</v>
      </c>
      <c r="E15"/>
      <c r="F15" s="9" t="s">
        <v>32</v>
      </c>
      <c r="G15" s="1">
        <v>30</v>
      </c>
      <c r="H15" s="1">
        <v>499</v>
      </c>
      <c r="I15" s="1">
        <v>0</v>
      </c>
      <c r="J15" s="1">
        <v>0</v>
      </c>
      <c r="K15" s="1">
        <v>0</v>
      </c>
      <c r="L15" s="1">
        <v>0</v>
      </c>
      <c r="M15" s="1">
        <v>2</v>
      </c>
    </row>
    <row r="16" spans="1:13">
      <c r="A16" s="1">
        <v>3001</v>
      </c>
      <c r="B16" s="1">
        <v>2</v>
      </c>
      <c r="C16" s="10" t="s">
        <v>46</v>
      </c>
      <c r="D16" t="s">
        <v>47</v>
      </c>
      <c r="E16"/>
      <c r="F16" s="9" t="s">
        <v>30</v>
      </c>
      <c r="G16" s="1">
        <v>6</v>
      </c>
      <c r="H16" s="1">
        <v>99</v>
      </c>
      <c r="I16" s="1">
        <v>0</v>
      </c>
      <c r="J16" s="1">
        <v>0</v>
      </c>
      <c r="K16" s="1">
        <v>0</v>
      </c>
      <c r="L16" s="1">
        <v>0</v>
      </c>
      <c r="M16" s="1">
        <v>2</v>
      </c>
    </row>
    <row r="17" spans="1:13">
      <c r="A17" s="1">
        <v>3002</v>
      </c>
      <c r="B17" s="1">
        <v>2</v>
      </c>
      <c r="C17" s="11" t="s">
        <v>48</v>
      </c>
      <c r="D17" t="s">
        <v>49</v>
      </c>
      <c r="E17"/>
      <c r="F17" s="9" t="s">
        <v>33</v>
      </c>
      <c r="G17" s="12">
        <v>68</v>
      </c>
      <c r="H17" s="1">
        <v>999</v>
      </c>
      <c r="I17" s="1">
        <v>1</v>
      </c>
      <c r="J17" s="1">
        <v>0</v>
      </c>
      <c r="K17" s="1">
        <v>0</v>
      </c>
      <c r="L17" s="1">
        <v>0</v>
      </c>
      <c r="M17" s="1">
        <v>2</v>
      </c>
    </row>
    <row r="18" spans="1:13">
      <c r="A18" s="1">
        <v>3003</v>
      </c>
      <c r="B18" s="1">
        <v>2</v>
      </c>
      <c r="C18" s="11" t="s">
        <v>50</v>
      </c>
      <c r="D18" t="s">
        <v>51</v>
      </c>
      <c r="E18">
        <v>0.29</v>
      </c>
      <c r="F18" s="9" t="s">
        <v>52</v>
      </c>
      <c r="G18" s="12">
        <v>1</v>
      </c>
      <c r="H18" s="1">
        <v>29</v>
      </c>
      <c r="I18" s="1">
        <v>2</v>
      </c>
      <c r="J18" s="1">
        <v>0</v>
      </c>
      <c r="K18" s="1">
        <v>0</v>
      </c>
      <c r="L18" s="1">
        <v>0</v>
      </c>
      <c r="M18" s="1">
        <v>2</v>
      </c>
    </row>
    <row r="19" spans="1:13">
      <c r="A19" s="1">
        <v>3004</v>
      </c>
      <c r="B19" s="1">
        <v>2</v>
      </c>
      <c r="C19" s="11" t="s">
        <v>53</v>
      </c>
      <c r="D19" t="s">
        <v>51</v>
      </c>
      <c r="E19">
        <v>0.49</v>
      </c>
      <c r="F19" s="9" t="s">
        <v>54</v>
      </c>
      <c r="G19" s="12">
        <v>3</v>
      </c>
      <c r="H19" s="1">
        <v>49</v>
      </c>
      <c r="I19" s="1">
        <v>3</v>
      </c>
      <c r="J19" s="1">
        <v>0</v>
      </c>
      <c r="K19" s="1">
        <v>0</v>
      </c>
      <c r="L19" s="1">
        <v>0</v>
      </c>
      <c r="M19" s="1">
        <v>2</v>
      </c>
    </row>
    <row r="20" spans="1:13">
      <c r="A20" s="1">
        <v>3005</v>
      </c>
      <c r="B20" s="1">
        <v>2</v>
      </c>
      <c r="C20" s="11" t="s">
        <v>55</v>
      </c>
      <c r="D20" t="s">
        <v>51</v>
      </c>
      <c r="E20">
        <v>0.99</v>
      </c>
      <c r="F20" s="9" t="s">
        <v>30</v>
      </c>
      <c r="G20" s="12">
        <v>6</v>
      </c>
      <c r="H20" s="1">
        <v>99</v>
      </c>
      <c r="I20" s="1">
        <v>4</v>
      </c>
      <c r="J20" s="1">
        <v>0</v>
      </c>
      <c r="K20" s="1">
        <v>0</v>
      </c>
      <c r="L20" s="1">
        <v>0</v>
      </c>
      <c r="M20" s="1">
        <v>2</v>
      </c>
    </row>
    <row r="21" spans="1:13">
      <c r="A21" s="1">
        <v>3006</v>
      </c>
      <c r="B21" s="1">
        <v>2</v>
      </c>
      <c r="C21" s="11" t="s">
        <v>56</v>
      </c>
      <c r="D21" t="s">
        <v>57</v>
      </c>
      <c r="E21">
        <v>1</v>
      </c>
      <c r="F21" s="9" t="s">
        <v>33</v>
      </c>
      <c r="G21" s="12">
        <v>68</v>
      </c>
      <c r="H21" s="1">
        <v>999</v>
      </c>
      <c r="I21" s="1">
        <v>1</v>
      </c>
      <c r="J21" s="1">
        <v>0</v>
      </c>
      <c r="K21" s="1">
        <v>0</v>
      </c>
      <c r="L21" s="1">
        <v>0</v>
      </c>
      <c r="M21" s="1">
        <v>2</v>
      </c>
    </row>
    <row r="22" spans="1:13">
      <c r="A22" s="1">
        <v>3007</v>
      </c>
      <c r="B22" s="1">
        <v>2</v>
      </c>
      <c r="C22" s="11" t="s">
        <v>58</v>
      </c>
      <c r="D22" t="s">
        <v>57</v>
      </c>
      <c r="E22">
        <v>2</v>
      </c>
      <c r="F22" s="9" t="s">
        <v>33</v>
      </c>
      <c r="G22" s="12">
        <v>68</v>
      </c>
      <c r="H22" s="1">
        <v>999</v>
      </c>
      <c r="I22" s="1">
        <v>2</v>
      </c>
      <c r="J22" s="1">
        <v>0</v>
      </c>
      <c r="K22" s="1">
        <v>0</v>
      </c>
      <c r="L22" s="1">
        <v>0</v>
      </c>
      <c r="M22" s="1">
        <v>2</v>
      </c>
    </row>
    <row r="23" spans="1:13">
      <c r="A23" s="1">
        <v>3008</v>
      </c>
      <c r="B23" s="1">
        <v>2</v>
      </c>
      <c r="C23" s="11" t="s">
        <v>59</v>
      </c>
      <c r="D23" t="s">
        <v>57</v>
      </c>
      <c r="E23">
        <v>3</v>
      </c>
      <c r="F23" s="9" t="s">
        <v>33</v>
      </c>
      <c r="G23" s="12">
        <v>68</v>
      </c>
      <c r="H23" s="1">
        <v>999</v>
      </c>
      <c r="I23" s="1">
        <v>3</v>
      </c>
      <c r="J23" s="1">
        <v>0</v>
      </c>
      <c r="K23" s="1">
        <v>0</v>
      </c>
      <c r="L23" s="1">
        <v>0</v>
      </c>
      <c r="M23" s="1">
        <v>2</v>
      </c>
    </row>
    <row r="24" spans="1:13">
      <c r="A24" s="1">
        <v>4001</v>
      </c>
      <c r="B24" s="1">
        <v>2</v>
      </c>
      <c r="C24" s="13" t="s">
        <v>60</v>
      </c>
      <c r="D24" t="s">
        <v>61</v>
      </c>
      <c r="E24"/>
      <c r="F24" s="14" t="s">
        <v>36</v>
      </c>
      <c r="G24" s="15">
        <v>328</v>
      </c>
      <c r="H24" s="1">
        <f>VLOOKUP(G24:G36,$G$4:$H$11,2,FALSE)</f>
        <v>4999</v>
      </c>
      <c r="I24" s="1">
        <v>4</v>
      </c>
      <c r="J24" s="1">
        <v>0</v>
      </c>
      <c r="K24" s="1">
        <v>0</v>
      </c>
      <c r="L24" s="1">
        <v>0</v>
      </c>
      <c r="M24" s="1">
        <v>2</v>
      </c>
    </row>
    <row r="25" spans="1:13">
      <c r="A25" s="1">
        <v>4002</v>
      </c>
      <c r="B25" s="1">
        <v>2</v>
      </c>
      <c r="C25" s="16" t="s">
        <v>62</v>
      </c>
      <c r="D25" t="s">
        <v>63</v>
      </c>
      <c r="E25"/>
      <c r="F25" s="9" t="s">
        <v>33</v>
      </c>
      <c r="G25" s="15">
        <v>68</v>
      </c>
      <c r="H25" s="1">
        <f>VLOOKUP(G25:G36,$G$4:$H$11,2,FALSE)</f>
        <v>999</v>
      </c>
      <c r="I25" s="1">
        <v>3</v>
      </c>
      <c r="J25" s="1">
        <v>0</v>
      </c>
      <c r="K25" s="1">
        <v>0</v>
      </c>
      <c r="L25" s="1">
        <v>0</v>
      </c>
      <c r="M25" s="1">
        <v>2</v>
      </c>
    </row>
    <row r="26" spans="1:13">
      <c r="A26" s="1">
        <v>4003</v>
      </c>
      <c r="B26" s="1">
        <v>2</v>
      </c>
      <c r="C26" s="17" t="s">
        <v>64</v>
      </c>
      <c r="D26" t="s">
        <v>65</v>
      </c>
      <c r="E26"/>
      <c r="F26" s="14" t="s">
        <v>35</v>
      </c>
      <c r="G26" s="15">
        <v>198</v>
      </c>
      <c r="H26" s="1">
        <f>VLOOKUP(G26:G37,$G$4:$H$11,2,FALSE)</f>
        <v>2999</v>
      </c>
      <c r="I26" s="1">
        <v>4</v>
      </c>
      <c r="J26" s="1">
        <v>0</v>
      </c>
      <c r="K26" s="1">
        <v>0</v>
      </c>
      <c r="L26" s="1">
        <v>0</v>
      </c>
      <c r="M26" s="1">
        <v>2</v>
      </c>
    </row>
    <row r="27" spans="1:13">
      <c r="A27" s="1">
        <v>4004</v>
      </c>
      <c r="B27" s="1">
        <v>2</v>
      </c>
      <c r="C27" s="18" t="s">
        <v>66</v>
      </c>
      <c r="D27" t="s">
        <v>67</v>
      </c>
      <c r="E27"/>
      <c r="F27" s="9" t="s">
        <v>33</v>
      </c>
      <c r="G27" s="15">
        <v>68</v>
      </c>
      <c r="H27" s="1">
        <f>VLOOKUP(G27:G38,$G$4:$H$11,2,FALSE)</f>
        <v>999</v>
      </c>
      <c r="I27" s="1">
        <v>7</v>
      </c>
      <c r="J27" s="1">
        <v>0</v>
      </c>
      <c r="K27" s="1">
        <v>0</v>
      </c>
      <c r="L27" s="1">
        <v>0</v>
      </c>
      <c r="M27" s="1">
        <v>2</v>
      </c>
    </row>
    <row r="28" spans="1:13">
      <c r="A28" s="1">
        <v>4005</v>
      </c>
      <c r="B28" s="1">
        <v>2</v>
      </c>
      <c r="C28" s="18" t="s">
        <v>68</v>
      </c>
      <c r="D28" t="s">
        <v>69</v>
      </c>
      <c r="E28"/>
      <c r="F28" s="9" t="s">
        <v>33</v>
      </c>
      <c r="G28" s="15">
        <v>68</v>
      </c>
      <c r="H28" s="1">
        <f>VLOOKUP(G28:G39,$G$4:$H$11,2,FALSE)</f>
        <v>999</v>
      </c>
      <c r="I28" s="1">
        <v>8</v>
      </c>
      <c r="J28" s="1">
        <v>0</v>
      </c>
      <c r="K28" s="1">
        <v>0</v>
      </c>
      <c r="L28" s="1">
        <v>0</v>
      </c>
      <c r="M28" s="1">
        <v>2</v>
      </c>
    </row>
    <row r="29" spans="1:13">
      <c r="A29" s="1">
        <v>4006</v>
      </c>
      <c r="B29" s="1">
        <v>2</v>
      </c>
      <c r="C29" s="19" t="s">
        <v>70</v>
      </c>
      <c r="D29" t="s">
        <v>71</v>
      </c>
      <c r="E29"/>
      <c r="F29" s="9" t="s">
        <v>31</v>
      </c>
      <c r="G29" s="15">
        <v>18</v>
      </c>
      <c r="H29" s="1">
        <f>VLOOKUP(G29:G40,$G$4:$H$11,2,FALSE)</f>
        <v>299</v>
      </c>
      <c r="I29" s="1">
        <v>10</v>
      </c>
      <c r="J29" s="1">
        <v>0</v>
      </c>
      <c r="K29" s="1">
        <v>0</v>
      </c>
      <c r="L29" s="1">
        <v>0</v>
      </c>
      <c r="M29" s="1">
        <v>2</v>
      </c>
    </row>
    <row r="30" spans="1:13">
      <c r="A30" s="1">
        <v>4007</v>
      </c>
      <c r="B30" s="1">
        <v>2</v>
      </c>
      <c r="C30" s="19" t="s">
        <v>72</v>
      </c>
      <c r="D30" t="s">
        <v>73</v>
      </c>
      <c r="E30"/>
      <c r="F30" s="9" t="s">
        <v>32</v>
      </c>
      <c r="G30" s="15">
        <v>30</v>
      </c>
      <c r="H30" s="1">
        <f>VLOOKUP(G30:G40,$G$4:$H$11,2,FALSE)</f>
        <v>499</v>
      </c>
      <c r="I30" s="1">
        <v>11</v>
      </c>
      <c r="J30" s="1">
        <v>0</v>
      </c>
      <c r="K30" s="1">
        <v>0</v>
      </c>
      <c r="L30" s="1">
        <v>0</v>
      </c>
      <c r="M30" s="1">
        <v>2</v>
      </c>
    </row>
    <row r="31" spans="1:13">
      <c r="A31" s="1">
        <v>4008</v>
      </c>
      <c r="B31" s="1">
        <v>2</v>
      </c>
      <c r="C31" s="13" t="s">
        <v>74</v>
      </c>
      <c r="D31" t="s">
        <v>75</v>
      </c>
      <c r="E31"/>
      <c r="F31" s="9" t="s">
        <v>31</v>
      </c>
      <c r="G31" s="15">
        <v>68</v>
      </c>
      <c r="H31" s="1">
        <f t="shared" ref="H31:H36" si="0">VLOOKUP(G31:G40,$G$4:$H$11,2,FALSE)</f>
        <v>999</v>
      </c>
      <c r="I31" s="1">
        <v>12</v>
      </c>
      <c r="J31" s="1">
        <v>0</v>
      </c>
      <c r="K31" s="1">
        <v>0</v>
      </c>
      <c r="L31" s="1">
        <v>0</v>
      </c>
      <c r="M31" s="1">
        <v>2</v>
      </c>
    </row>
    <row r="32" spans="1:13">
      <c r="A32" s="1">
        <v>4009</v>
      </c>
      <c r="B32" s="1">
        <v>2</v>
      </c>
      <c r="C32" s="19" t="s">
        <v>76</v>
      </c>
      <c r="D32" t="s">
        <v>77</v>
      </c>
      <c r="E32"/>
      <c r="F32" s="14" t="s">
        <v>36</v>
      </c>
      <c r="G32" s="15">
        <v>328</v>
      </c>
      <c r="H32" s="1">
        <f t="shared" si="0"/>
        <v>4999</v>
      </c>
      <c r="I32" s="1">
        <v>6</v>
      </c>
      <c r="J32" s="1">
        <v>0</v>
      </c>
      <c r="K32" s="1">
        <v>0</v>
      </c>
      <c r="L32" s="1">
        <v>0</v>
      </c>
      <c r="M32" s="1">
        <v>2</v>
      </c>
    </row>
    <row r="33" spans="1:13">
      <c r="A33" s="1">
        <v>4010</v>
      </c>
      <c r="B33" s="1">
        <v>2</v>
      </c>
      <c r="C33" s="13" t="s">
        <v>78</v>
      </c>
      <c r="D33" t="s">
        <v>79</v>
      </c>
      <c r="E33"/>
      <c r="F33" s="9" t="s">
        <v>32</v>
      </c>
      <c r="G33" s="15">
        <v>18</v>
      </c>
      <c r="H33" s="1">
        <f t="shared" si="0"/>
        <v>299</v>
      </c>
      <c r="I33" s="1">
        <v>9</v>
      </c>
      <c r="J33" s="1">
        <v>0</v>
      </c>
      <c r="K33" s="1">
        <v>0</v>
      </c>
      <c r="L33" s="1">
        <v>0</v>
      </c>
      <c r="M33" s="1">
        <v>2</v>
      </c>
    </row>
    <row r="34" spans="1:13">
      <c r="A34" s="1">
        <v>4011</v>
      </c>
      <c r="B34" s="1">
        <v>2</v>
      </c>
      <c r="C34" s="17" t="s">
        <v>80</v>
      </c>
      <c r="D34" t="s">
        <v>81</v>
      </c>
      <c r="E34"/>
      <c r="F34" s="1" t="s">
        <v>30</v>
      </c>
      <c r="G34" s="15">
        <v>6</v>
      </c>
      <c r="H34" s="1">
        <f t="shared" si="0"/>
        <v>99</v>
      </c>
      <c r="I34" s="1">
        <v>1</v>
      </c>
      <c r="J34" s="1">
        <v>0</v>
      </c>
      <c r="K34" s="1">
        <v>0</v>
      </c>
      <c r="L34" s="1">
        <v>0</v>
      </c>
      <c r="M34" s="1">
        <v>2</v>
      </c>
    </row>
    <row r="35" spans="1:13">
      <c r="A35" s="1">
        <v>4012</v>
      </c>
      <c r="B35" s="1">
        <v>2</v>
      </c>
      <c r="C35" s="20" t="s">
        <v>82</v>
      </c>
      <c r="D35" t="s">
        <v>83</v>
      </c>
      <c r="E35"/>
      <c r="F35" s="1" t="s">
        <v>30</v>
      </c>
      <c r="G35" s="15">
        <v>6</v>
      </c>
      <c r="H35" s="1">
        <f t="shared" si="0"/>
        <v>99</v>
      </c>
      <c r="I35" s="1">
        <v>2</v>
      </c>
      <c r="J35" s="1">
        <v>0</v>
      </c>
      <c r="K35" s="1">
        <v>0</v>
      </c>
      <c r="L35" s="1">
        <v>0</v>
      </c>
      <c r="M35" s="1">
        <v>2</v>
      </c>
    </row>
    <row r="36" spans="1:13">
      <c r="A36" s="1">
        <v>4013</v>
      </c>
      <c r="B36" s="1">
        <v>2</v>
      </c>
      <c r="C36" s="13" t="s">
        <v>84</v>
      </c>
      <c r="D36" t="s">
        <v>85</v>
      </c>
      <c r="E36"/>
      <c r="F36" s="9" t="s">
        <v>31</v>
      </c>
      <c r="G36" s="15">
        <v>18</v>
      </c>
      <c r="H36" s="1">
        <f t="shared" si="0"/>
        <v>299</v>
      </c>
      <c r="I36" s="1">
        <v>13</v>
      </c>
      <c r="J36" s="1">
        <v>0</v>
      </c>
      <c r="K36" s="1">
        <v>0</v>
      </c>
      <c r="L36" s="1">
        <v>0</v>
      </c>
      <c r="M36" s="1">
        <v>2</v>
      </c>
    </row>
    <row r="37" spans="1:13">
      <c r="A37" s="1">
        <v>5001</v>
      </c>
      <c r="B37" s="1">
        <v>2</v>
      </c>
      <c r="C37" s="12" t="s">
        <v>72</v>
      </c>
      <c r="D37" t="s">
        <v>86</v>
      </c>
      <c r="E37"/>
      <c r="F37" s="9" t="s">
        <v>31</v>
      </c>
      <c r="G37" s="21">
        <v>18</v>
      </c>
      <c r="H37" s="1">
        <f t="shared" ref="H37:H54" si="1">VLOOKUP(G37:G46,$G$4:$H$11,2,FALSE)</f>
        <v>299</v>
      </c>
      <c r="I37" s="24">
        <v>0</v>
      </c>
      <c r="J37" s="1">
        <v>0</v>
      </c>
      <c r="K37" s="1">
        <v>0</v>
      </c>
      <c r="L37" s="1">
        <v>0</v>
      </c>
      <c r="M37" s="1">
        <v>2</v>
      </c>
    </row>
    <row r="38" spans="1:13">
      <c r="A38" s="1">
        <v>5002</v>
      </c>
      <c r="B38" s="1">
        <v>2</v>
      </c>
      <c r="C38" s="12" t="s">
        <v>87</v>
      </c>
      <c r="D38" t="s">
        <v>88</v>
      </c>
      <c r="E38"/>
      <c r="F38" s="14" t="s">
        <v>35</v>
      </c>
      <c r="G38" s="21">
        <v>198</v>
      </c>
      <c r="H38" s="1">
        <f t="shared" si="1"/>
        <v>2999</v>
      </c>
      <c r="I38" s="24">
        <v>0</v>
      </c>
      <c r="J38" s="1">
        <v>0</v>
      </c>
      <c r="K38" s="1">
        <v>0</v>
      </c>
      <c r="L38" s="1">
        <v>0</v>
      </c>
      <c r="M38" s="1">
        <v>2</v>
      </c>
    </row>
    <row r="39" spans="1:13">
      <c r="A39" s="1">
        <v>5003</v>
      </c>
      <c r="B39" s="1">
        <v>2</v>
      </c>
      <c r="C39" s="12" t="s">
        <v>89</v>
      </c>
      <c r="D39" t="s">
        <v>90</v>
      </c>
      <c r="E39"/>
      <c r="F39" s="9" t="s">
        <v>31</v>
      </c>
      <c r="G39" s="21">
        <v>18</v>
      </c>
      <c r="H39" s="1">
        <f t="shared" si="1"/>
        <v>299</v>
      </c>
      <c r="I39" s="24">
        <v>0</v>
      </c>
      <c r="J39" s="1">
        <v>0</v>
      </c>
      <c r="K39" s="1">
        <v>0</v>
      </c>
      <c r="L39" s="1">
        <v>0</v>
      </c>
      <c r="M39" s="1">
        <v>2</v>
      </c>
    </row>
    <row r="40" spans="1:13">
      <c r="A40" s="1">
        <v>5004</v>
      </c>
      <c r="B40" s="1">
        <v>2</v>
      </c>
      <c r="C40" s="12" t="s">
        <v>91</v>
      </c>
      <c r="D40" t="s">
        <v>92</v>
      </c>
      <c r="E40"/>
      <c r="F40" s="14" t="s">
        <v>35</v>
      </c>
      <c r="G40" s="22">
        <v>198</v>
      </c>
      <c r="H40" s="1">
        <f t="shared" si="1"/>
        <v>2999</v>
      </c>
      <c r="I40" s="24">
        <v>0</v>
      </c>
      <c r="J40" s="1">
        <v>0</v>
      </c>
      <c r="K40" s="1">
        <v>0</v>
      </c>
      <c r="L40" s="1">
        <v>0</v>
      </c>
      <c r="M40" s="1">
        <v>2</v>
      </c>
    </row>
    <row r="41" spans="1:13">
      <c r="A41" s="1">
        <v>5005</v>
      </c>
      <c r="B41" s="1">
        <v>2</v>
      </c>
      <c r="C41" s="1" t="s">
        <v>93</v>
      </c>
      <c r="D41" t="s">
        <v>94</v>
      </c>
      <c r="E41"/>
      <c r="F41" s="9" t="s">
        <v>31</v>
      </c>
      <c r="G41" s="22">
        <v>18</v>
      </c>
      <c r="H41" s="1">
        <f t="shared" si="1"/>
        <v>299</v>
      </c>
      <c r="I41" s="24">
        <v>0</v>
      </c>
      <c r="J41" s="1">
        <v>0</v>
      </c>
      <c r="K41" s="1">
        <v>0</v>
      </c>
      <c r="L41" s="1">
        <v>0</v>
      </c>
      <c r="M41" s="1">
        <v>2</v>
      </c>
    </row>
    <row r="42" spans="1:13">
      <c r="A42" s="1">
        <v>5006</v>
      </c>
      <c r="B42" s="1">
        <v>2</v>
      </c>
      <c r="C42" s="1" t="s">
        <v>95</v>
      </c>
      <c r="D42" t="s">
        <v>96</v>
      </c>
      <c r="E42"/>
      <c r="F42" s="9" t="s">
        <v>31</v>
      </c>
      <c r="G42" s="22">
        <v>18</v>
      </c>
      <c r="H42" s="1">
        <f t="shared" si="1"/>
        <v>299</v>
      </c>
      <c r="I42" s="24">
        <v>0</v>
      </c>
      <c r="J42" s="1">
        <v>0</v>
      </c>
      <c r="K42" s="1">
        <v>0</v>
      </c>
      <c r="L42" s="1">
        <v>0</v>
      </c>
      <c r="M42" s="1">
        <v>2</v>
      </c>
    </row>
    <row r="43" spans="1:13">
      <c r="A43" s="1">
        <v>5007</v>
      </c>
      <c r="B43" s="1">
        <v>2</v>
      </c>
      <c r="C43" s="1" t="s">
        <v>97</v>
      </c>
      <c r="D43" t="s">
        <v>98</v>
      </c>
      <c r="E43"/>
      <c r="F43" s="9" t="s">
        <v>31</v>
      </c>
      <c r="G43" s="22">
        <v>18</v>
      </c>
      <c r="H43" s="1">
        <f t="shared" si="1"/>
        <v>299</v>
      </c>
      <c r="I43" s="24">
        <v>0</v>
      </c>
      <c r="J43" s="1">
        <v>0</v>
      </c>
      <c r="K43" s="1">
        <v>0</v>
      </c>
      <c r="L43" s="1">
        <v>0</v>
      </c>
      <c r="M43" s="1">
        <v>2</v>
      </c>
    </row>
    <row r="44" spans="1:13">
      <c r="A44" s="1">
        <v>5008</v>
      </c>
      <c r="B44" s="1">
        <v>2</v>
      </c>
      <c r="C44" s="15" t="s">
        <v>99</v>
      </c>
      <c r="D44" t="s">
        <v>100</v>
      </c>
      <c r="E44"/>
      <c r="F44" s="9" t="s">
        <v>32</v>
      </c>
      <c r="G44" s="15">
        <v>30</v>
      </c>
      <c r="H44" s="1">
        <f t="shared" si="1"/>
        <v>499</v>
      </c>
      <c r="I44" s="24">
        <v>0</v>
      </c>
      <c r="J44" s="1">
        <v>0</v>
      </c>
      <c r="K44" s="1">
        <v>0</v>
      </c>
      <c r="L44" s="1">
        <v>0</v>
      </c>
      <c r="M44" s="1">
        <v>2</v>
      </c>
    </row>
    <row r="45" spans="1:13">
      <c r="A45" s="1">
        <v>5009</v>
      </c>
      <c r="B45" s="1">
        <v>2</v>
      </c>
      <c r="C45" s="1" t="s">
        <v>101</v>
      </c>
      <c r="D45" t="s">
        <v>102</v>
      </c>
      <c r="E45"/>
      <c r="F45" s="1" t="s">
        <v>30</v>
      </c>
      <c r="G45" s="22">
        <v>6</v>
      </c>
      <c r="H45" s="1">
        <f t="shared" si="1"/>
        <v>99</v>
      </c>
      <c r="I45" s="24">
        <v>0</v>
      </c>
      <c r="J45" s="1">
        <v>0</v>
      </c>
      <c r="K45" s="1">
        <v>0</v>
      </c>
      <c r="L45" s="1">
        <v>0</v>
      </c>
      <c r="M45" s="1">
        <v>2</v>
      </c>
    </row>
    <row r="46" spans="1:13">
      <c r="A46" s="1">
        <v>7001</v>
      </c>
      <c r="B46" s="1">
        <v>2</v>
      </c>
      <c r="C46" s="9" t="s">
        <v>103</v>
      </c>
      <c r="D46" t="s">
        <v>104</v>
      </c>
      <c r="E46"/>
      <c r="F46" s="23" t="s">
        <v>34</v>
      </c>
      <c r="G46" s="23">
        <v>98</v>
      </c>
      <c r="H46" s="1">
        <f t="shared" si="1"/>
        <v>1499</v>
      </c>
      <c r="I46" s="1">
        <v>0</v>
      </c>
      <c r="J46" s="1">
        <v>0</v>
      </c>
      <c r="K46" s="1">
        <v>0</v>
      </c>
      <c r="L46" s="1">
        <v>0</v>
      </c>
      <c r="M46" s="1">
        <v>2</v>
      </c>
    </row>
    <row r="47" spans="1:13">
      <c r="A47" s="1">
        <v>7002</v>
      </c>
      <c r="B47" s="1">
        <v>2</v>
      </c>
      <c r="C47" s="24" t="s">
        <v>105</v>
      </c>
      <c r="D47" t="s">
        <v>106</v>
      </c>
      <c r="E47"/>
      <c r="F47" s="14" t="s">
        <v>35</v>
      </c>
      <c r="G47" s="15">
        <v>198</v>
      </c>
      <c r="H47" s="1">
        <f t="shared" si="1"/>
        <v>2999</v>
      </c>
      <c r="I47" s="1">
        <v>0</v>
      </c>
      <c r="J47" s="1">
        <v>0</v>
      </c>
      <c r="K47" s="1">
        <v>0</v>
      </c>
      <c r="L47" s="1">
        <v>0</v>
      </c>
      <c r="M47" s="1">
        <v>2</v>
      </c>
    </row>
    <row r="48" spans="1:13">
      <c r="A48" s="1">
        <v>7003</v>
      </c>
      <c r="B48" s="1">
        <v>2</v>
      </c>
      <c r="C48" s="24" t="s">
        <v>107</v>
      </c>
      <c r="D48" t="s">
        <v>108</v>
      </c>
      <c r="E48"/>
      <c r="F48" s="14" t="s">
        <v>35</v>
      </c>
      <c r="G48" s="15">
        <v>198</v>
      </c>
      <c r="H48" s="1">
        <f t="shared" si="1"/>
        <v>2999</v>
      </c>
      <c r="I48" s="1">
        <v>0</v>
      </c>
      <c r="J48" s="1">
        <v>0</v>
      </c>
      <c r="K48" s="1">
        <v>0</v>
      </c>
      <c r="L48" s="1">
        <v>0</v>
      </c>
      <c r="M48" s="1">
        <v>2</v>
      </c>
    </row>
    <row r="49" spans="1:13">
      <c r="A49" s="1">
        <v>7004</v>
      </c>
      <c r="B49" s="1">
        <v>2</v>
      </c>
      <c r="C49" s="24" t="s">
        <v>109</v>
      </c>
      <c r="D49" t="s">
        <v>110</v>
      </c>
      <c r="E49"/>
      <c r="F49" s="14" t="s">
        <v>36</v>
      </c>
      <c r="G49" s="15">
        <v>328</v>
      </c>
      <c r="H49" s="1">
        <f t="shared" si="1"/>
        <v>4999</v>
      </c>
      <c r="I49" s="1">
        <v>0</v>
      </c>
      <c r="J49" s="1">
        <v>0</v>
      </c>
      <c r="K49" s="1">
        <v>0</v>
      </c>
      <c r="L49" s="1">
        <v>0</v>
      </c>
      <c r="M49" s="1">
        <v>2</v>
      </c>
    </row>
    <row r="50" spans="1:13">
      <c r="A50" s="1">
        <v>7005</v>
      </c>
      <c r="B50" s="1">
        <v>2</v>
      </c>
      <c r="C50" s="24" t="s">
        <v>111</v>
      </c>
      <c r="D50" t="s">
        <v>112</v>
      </c>
      <c r="E50"/>
      <c r="F50" s="14" t="s">
        <v>36</v>
      </c>
      <c r="G50" s="15">
        <v>328</v>
      </c>
      <c r="H50" s="1">
        <f t="shared" si="1"/>
        <v>4999</v>
      </c>
      <c r="I50" s="1">
        <v>0</v>
      </c>
      <c r="J50" s="1">
        <v>0</v>
      </c>
      <c r="K50" s="1">
        <v>0</v>
      </c>
      <c r="L50" s="1">
        <v>0</v>
      </c>
      <c r="M50" s="1">
        <v>2</v>
      </c>
    </row>
    <row r="51" spans="1:13">
      <c r="A51" s="1">
        <v>7006</v>
      </c>
      <c r="B51" s="1">
        <v>2</v>
      </c>
      <c r="C51" s="24" t="s">
        <v>113</v>
      </c>
      <c r="D51" t="s">
        <v>114</v>
      </c>
      <c r="E51"/>
      <c r="F51" s="15" t="s">
        <v>37</v>
      </c>
      <c r="G51" s="15">
        <v>648</v>
      </c>
      <c r="H51" s="1">
        <f t="shared" si="1"/>
        <v>9999</v>
      </c>
      <c r="I51" s="1">
        <v>0</v>
      </c>
      <c r="J51" s="1">
        <v>0</v>
      </c>
      <c r="K51" s="1">
        <v>0</v>
      </c>
      <c r="L51" s="1">
        <v>0</v>
      </c>
      <c r="M51" s="1">
        <v>2</v>
      </c>
    </row>
    <row r="52" spans="1:13">
      <c r="A52" s="1">
        <v>7007</v>
      </c>
      <c r="B52" s="1">
        <v>2</v>
      </c>
      <c r="C52" s="24" t="s">
        <v>115</v>
      </c>
      <c r="D52" t="s">
        <v>116</v>
      </c>
      <c r="E52"/>
      <c r="F52" s="15" t="s">
        <v>37</v>
      </c>
      <c r="G52" s="15">
        <v>648</v>
      </c>
      <c r="H52" s="1">
        <f t="shared" si="1"/>
        <v>9999</v>
      </c>
      <c r="I52" s="1">
        <v>0</v>
      </c>
      <c r="J52" s="1">
        <v>0</v>
      </c>
      <c r="K52" s="1">
        <v>0</v>
      </c>
      <c r="L52" s="1">
        <v>0</v>
      </c>
      <c r="M52" s="1">
        <v>2</v>
      </c>
    </row>
    <row r="53" spans="1:13">
      <c r="A53" s="1">
        <v>7008</v>
      </c>
      <c r="B53" s="1">
        <v>2</v>
      </c>
      <c r="C53" s="24" t="s">
        <v>117</v>
      </c>
      <c r="D53" t="s">
        <v>118</v>
      </c>
      <c r="E53"/>
      <c r="F53" s="15" t="s">
        <v>37</v>
      </c>
      <c r="G53" s="15">
        <v>648</v>
      </c>
      <c r="H53" s="1">
        <f t="shared" si="1"/>
        <v>9999</v>
      </c>
      <c r="I53" s="1">
        <v>0</v>
      </c>
      <c r="J53" s="1">
        <v>0</v>
      </c>
      <c r="K53" s="1">
        <v>0</v>
      </c>
      <c r="L53" s="1">
        <v>0</v>
      </c>
      <c r="M53" s="1">
        <v>2</v>
      </c>
    </row>
    <row r="54" spans="1:13">
      <c r="A54" s="1">
        <v>7009</v>
      </c>
      <c r="B54" s="1">
        <v>2</v>
      </c>
      <c r="C54" s="24" t="s">
        <v>119</v>
      </c>
      <c r="D54" t="s">
        <v>120</v>
      </c>
      <c r="E54"/>
      <c r="F54" s="15" t="s">
        <v>37</v>
      </c>
      <c r="G54" s="15">
        <v>648</v>
      </c>
      <c r="H54" s="1">
        <f t="shared" si="1"/>
        <v>9999</v>
      </c>
      <c r="I54" s="1">
        <v>0</v>
      </c>
      <c r="J54" s="1">
        <v>0</v>
      </c>
      <c r="K54" s="1">
        <v>0</v>
      </c>
      <c r="L54" s="1">
        <v>0</v>
      </c>
      <c r="M54" s="1">
        <v>2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2025-03-19T09:21:59Z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D4C5024A68214CE581570F6276FD8603_12</vt:lpwstr>
  </property>
  <property fmtid="{D5CDD505-2E9C-101B-9397-08002B2CF9AE}" pid="3" name="KSOProductBuildVer">
    <vt:lpwstr>2052-12.1.0.20305</vt:lpwstr>
  </property>
</Properties>
</file>