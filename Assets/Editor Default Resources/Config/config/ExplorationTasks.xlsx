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E:\main\策划文档\V1.04基础配置\"/>
    </mc:Choice>
  </mc:AlternateContent>
  <xr:revisionPtr revIDLastSave="0" documentId="13_ncr:1_{19239A58-B691-4F92-A81E-7CC403F5A0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3" l="1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4" i="3"/>
  <c r="D104" i="3"/>
  <c r="D105" i="3"/>
  <c r="D106" i="3"/>
  <c r="D107" i="3"/>
  <c r="D108" i="3"/>
  <c r="B3" i="2"/>
  <c r="B43" i="2"/>
  <c r="B4" i="2"/>
  <c r="B44" i="2"/>
  <c r="B5" i="2"/>
  <c r="B45" i="2"/>
  <c r="B83" i="2"/>
  <c r="B6" i="2"/>
  <c r="B46" i="2"/>
  <c r="B7" i="2"/>
  <c r="B47" i="2"/>
  <c r="B84" i="2"/>
  <c r="B8" i="2"/>
  <c r="B48" i="2"/>
  <c r="B9" i="2"/>
  <c r="B49" i="2"/>
  <c r="B10" i="2"/>
  <c r="B50" i="2"/>
  <c r="B11" i="2"/>
  <c r="B51" i="2"/>
  <c r="B12" i="2"/>
  <c r="B52" i="2"/>
  <c r="B13" i="2"/>
  <c r="B53" i="2"/>
  <c r="B14" i="2"/>
  <c r="B54" i="2"/>
  <c r="B85" i="2"/>
  <c r="B15" i="2"/>
  <c r="B55" i="2"/>
  <c r="B16" i="2"/>
  <c r="B56" i="2"/>
  <c r="B17" i="2"/>
  <c r="B57" i="2"/>
  <c r="B18" i="2"/>
  <c r="B58" i="2"/>
  <c r="B19" i="2"/>
  <c r="B59" i="2"/>
  <c r="B86" i="2"/>
  <c r="B20" i="2"/>
  <c r="B60" i="2"/>
  <c r="B21" i="2"/>
  <c r="B61" i="2"/>
  <c r="B22" i="2"/>
  <c r="B62" i="2"/>
  <c r="B87" i="2"/>
  <c r="B23" i="2"/>
  <c r="B63" i="2"/>
  <c r="B88" i="2"/>
  <c r="B24" i="2"/>
  <c r="B64" i="2"/>
  <c r="B25" i="2"/>
  <c r="B65" i="2"/>
  <c r="B26" i="2"/>
  <c r="B66" i="2"/>
  <c r="B89" i="2"/>
  <c r="B27" i="2"/>
  <c r="B67" i="2"/>
  <c r="B28" i="2"/>
  <c r="B68" i="2"/>
  <c r="B90" i="2"/>
  <c r="B29" i="2"/>
  <c r="B69" i="2"/>
  <c r="B30" i="2"/>
  <c r="B70" i="2"/>
  <c r="B31" i="2"/>
  <c r="B71" i="2"/>
  <c r="B32" i="2"/>
  <c r="B72" i="2"/>
  <c r="B33" i="2"/>
  <c r="B73" i="2"/>
  <c r="B91" i="2"/>
  <c r="B34" i="2"/>
  <c r="B74" i="2"/>
  <c r="B92" i="2"/>
  <c r="B35" i="2"/>
  <c r="B75" i="2"/>
  <c r="B36" i="2"/>
  <c r="B76" i="2"/>
  <c r="B93" i="2"/>
  <c r="B37" i="2"/>
  <c r="B77" i="2"/>
  <c r="B38" i="2"/>
  <c r="B78" i="2"/>
  <c r="B94" i="2"/>
  <c r="B39" i="2"/>
  <c r="B79" i="2"/>
  <c r="B40" i="2"/>
  <c r="B80" i="2"/>
  <c r="B41" i="2"/>
  <c r="B81" i="2"/>
  <c r="B95" i="2"/>
  <c r="D110" i="3" l="1"/>
  <c r="D109" i="3"/>
  <c r="E182" i="3"/>
  <c r="M182" i="3"/>
  <c r="F178" i="3"/>
  <c r="M178" i="3"/>
  <c r="F158" i="3"/>
  <c r="M158" i="3"/>
  <c r="F138" i="3"/>
  <c r="M138" i="3"/>
  <c r="F118" i="3"/>
  <c r="M118" i="3"/>
  <c r="F177" i="3"/>
  <c r="M177" i="3"/>
  <c r="F157" i="3"/>
  <c r="M157" i="3"/>
  <c r="F137" i="3"/>
  <c r="M137" i="3"/>
  <c r="F117" i="3"/>
  <c r="M117" i="3"/>
  <c r="H163" i="3"/>
  <c r="M163" i="3"/>
  <c r="E161" i="3"/>
  <c r="M161" i="3"/>
  <c r="E139" i="3"/>
  <c r="M139" i="3"/>
  <c r="F176" i="3"/>
  <c r="M176" i="3"/>
  <c r="F136" i="3"/>
  <c r="M136" i="3"/>
  <c r="F175" i="3"/>
  <c r="M175" i="3"/>
  <c r="F114" i="3"/>
  <c r="M114" i="3"/>
  <c r="H143" i="3"/>
  <c r="M143" i="3"/>
  <c r="E121" i="3"/>
  <c r="M121" i="3"/>
  <c r="E119" i="3"/>
  <c r="M119" i="3"/>
  <c r="F156" i="3"/>
  <c r="M156" i="3"/>
  <c r="F116" i="3"/>
  <c r="M116" i="3"/>
  <c r="F155" i="3"/>
  <c r="M155" i="3"/>
  <c r="F135" i="3"/>
  <c r="M135" i="3"/>
  <c r="F115" i="3"/>
  <c r="M115" i="3"/>
  <c r="F174" i="3"/>
  <c r="M174" i="3"/>
  <c r="F154" i="3"/>
  <c r="M154" i="3"/>
  <c r="F134" i="3"/>
  <c r="M134" i="3"/>
  <c r="F173" i="3"/>
  <c r="M173" i="3"/>
  <c r="F153" i="3"/>
  <c r="M153" i="3"/>
  <c r="F133" i="3"/>
  <c r="M133" i="3"/>
  <c r="F113" i="3"/>
  <c r="M113" i="3"/>
  <c r="H123" i="3"/>
  <c r="M123" i="3"/>
  <c r="E141" i="3"/>
  <c r="M141" i="3"/>
  <c r="E159" i="3"/>
  <c r="M159" i="3"/>
  <c r="H183" i="3"/>
  <c r="M183" i="3"/>
  <c r="E162" i="3"/>
  <c r="M162" i="3"/>
  <c r="E140" i="3"/>
  <c r="M140" i="3"/>
  <c r="F152" i="3"/>
  <c r="M152" i="3"/>
  <c r="E111" i="3"/>
  <c r="M111" i="3"/>
  <c r="E110" i="3"/>
  <c r="M110" i="3"/>
  <c r="E109" i="3"/>
  <c r="M109" i="3"/>
  <c r="E168" i="3"/>
  <c r="M168" i="3"/>
  <c r="E148" i="3"/>
  <c r="M148" i="3"/>
  <c r="E128" i="3"/>
  <c r="M128" i="3"/>
  <c r="E108" i="3"/>
  <c r="M108" i="3"/>
  <c r="E151" i="3"/>
  <c r="M151" i="3"/>
  <c r="F129" i="3"/>
  <c r="M129" i="3"/>
  <c r="E167" i="3"/>
  <c r="M167" i="3"/>
  <c r="F147" i="3"/>
  <c r="M147" i="3"/>
  <c r="E127" i="3"/>
  <c r="M127" i="3"/>
  <c r="E107" i="3"/>
  <c r="M107" i="3"/>
  <c r="E180" i="3"/>
  <c r="M180" i="3"/>
  <c r="F172" i="3"/>
  <c r="M172" i="3"/>
  <c r="F171" i="3"/>
  <c r="M171" i="3"/>
  <c r="F170" i="3"/>
  <c r="M170" i="3"/>
  <c r="F186" i="3"/>
  <c r="M186" i="3"/>
  <c r="H166" i="3"/>
  <c r="M166" i="3"/>
  <c r="E146" i="3"/>
  <c r="M146" i="3"/>
  <c r="H126" i="3"/>
  <c r="M126" i="3"/>
  <c r="H106" i="3"/>
  <c r="M106" i="3"/>
  <c r="E122" i="3"/>
  <c r="M122" i="3"/>
  <c r="E181" i="3"/>
  <c r="M181" i="3"/>
  <c r="E120" i="3"/>
  <c r="M120" i="3"/>
  <c r="F132" i="3"/>
  <c r="M132" i="3"/>
  <c r="F131" i="3"/>
  <c r="M131" i="3"/>
  <c r="F130" i="3"/>
  <c r="M130" i="3"/>
  <c r="F169" i="3"/>
  <c r="M169" i="3"/>
  <c r="H185" i="3"/>
  <c r="M185" i="3"/>
  <c r="H165" i="3"/>
  <c r="M165" i="3"/>
  <c r="H145" i="3"/>
  <c r="M145" i="3"/>
  <c r="E125" i="3"/>
  <c r="M125" i="3"/>
  <c r="H105" i="3"/>
  <c r="M105" i="3"/>
  <c r="E142" i="3"/>
  <c r="M142" i="3"/>
  <c r="F160" i="3"/>
  <c r="M160" i="3"/>
  <c r="E179" i="3"/>
  <c r="M179" i="3"/>
  <c r="F112" i="3"/>
  <c r="M112" i="3"/>
  <c r="E150" i="3"/>
  <c r="M150" i="3"/>
  <c r="E149" i="3"/>
  <c r="M149" i="3"/>
  <c r="E184" i="3"/>
  <c r="M184" i="3"/>
  <c r="E164" i="3"/>
  <c r="M164" i="3"/>
  <c r="E144" i="3"/>
  <c r="M144" i="3"/>
  <c r="F124" i="3"/>
  <c r="M124" i="3"/>
  <c r="E104" i="3"/>
  <c r="M104" i="3"/>
  <c r="F84" i="3"/>
  <c r="M84" i="3"/>
  <c r="F44" i="3"/>
  <c r="M44" i="3"/>
  <c r="F24" i="3"/>
  <c r="M24" i="3"/>
  <c r="F101" i="3"/>
  <c r="M101" i="3"/>
  <c r="F20" i="3"/>
  <c r="M20" i="3"/>
  <c r="F99" i="3"/>
  <c r="M99" i="3"/>
  <c r="F79" i="3"/>
  <c r="M79" i="3"/>
  <c r="F59" i="3"/>
  <c r="M59" i="3"/>
  <c r="F39" i="3"/>
  <c r="M39" i="3"/>
  <c r="F19" i="3"/>
  <c r="M19" i="3"/>
  <c r="F83" i="3"/>
  <c r="M83" i="3"/>
  <c r="F18" i="3"/>
  <c r="M18" i="3"/>
  <c r="F21" i="3"/>
  <c r="M21" i="3"/>
  <c r="F58" i="3"/>
  <c r="M58" i="3"/>
  <c r="F77" i="3"/>
  <c r="M77" i="3"/>
  <c r="F95" i="3"/>
  <c r="M95" i="3"/>
  <c r="F100" i="3"/>
  <c r="M100" i="3"/>
  <c r="F38" i="3"/>
  <c r="M38" i="3"/>
  <c r="F17" i="3"/>
  <c r="M17" i="3"/>
  <c r="F36" i="3"/>
  <c r="M36" i="3"/>
  <c r="F82" i="3"/>
  <c r="M82" i="3"/>
  <c r="F81" i="3"/>
  <c r="M81" i="3"/>
  <c r="F40" i="3"/>
  <c r="M40" i="3"/>
  <c r="F93" i="3"/>
  <c r="M93" i="3"/>
  <c r="F73" i="3"/>
  <c r="M73" i="3"/>
  <c r="F53" i="3"/>
  <c r="M53" i="3"/>
  <c r="F33" i="3"/>
  <c r="M33" i="3"/>
  <c r="F13" i="3"/>
  <c r="M13" i="3"/>
  <c r="F102" i="3"/>
  <c r="M102" i="3"/>
  <c r="F55" i="3"/>
  <c r="M55" i="3"/>
  <c r="F15" i="3"/>
  <c r="M15" i="3"/>
  <c r="F74" i="3"/>
  <c r="M74" i="3"/>
  <c r="F72" i="3"/>
  <c r="M72" i="3"/>
  <c r="F52" i="3"/>
  <c r="M52" i="3"/>
  <c r="F32" i="3"/>
  <c r="M32" i="3"/>
  <c r="F12" i="3"/>
  <c r="M12" i="3"/>
  <c r="F14" i="3"/>
  <c r="M14" i="3"/>
  <c r="F91" i="3"/>
  <c r="M91" i="3"/>
  <c r="F51" i="3"/>
  <c r="M51" i="3"/>
  <c r="F11" i="3"/>
  <c r="M11" i="3"/>
  <c r="F63" i="3"/>
  <c r="M63" i="3"/>
  <c r="F61" i="3"/>
  <c r="M61" i="3"/>
  <c r="F60" i="3"/>
  <c r="M60" i="3"/>
  <c r="F78" i="3"/>
  <c r="M78" i="3"/>
  <c r="F57" i="3"/>
  <c r="M57" i="3"/>
  <c r="F54" i="3"/>
  <c r="M54" i="3"/>
  <c r="F92" i="3"/>
  <c r="M92" i="3"/>
  <c r="F62" i="3"/>
  <c r="M62" i="3"/>
  <c r="F80" i="3"/>
  <c r="M80" i="3"/>
  <c r="F98" i="3"/>
  <c r="M98" i="3"/>
  <c r="F97" i="3"/>
  <c r="M97" i="3"/>
  <c r="F37" i="3"/>
  <c r="M37" i="3"/>
  <c r="F94" i="3"/>
  <c r="M94" i="3"/>
  <c r="F34" i="3"/>
  <c r="M34" i="3"/>
  <c r="F71" i="3"/>
  <c r="M71" i="3"/>
  <c r="F31" i="3"/>
  <c r="M31" i="3"/>
  <c r="F90" i="3"/>
  <c r="M90" i="3"/>
  <c r="F70" i="3"/>
  <c r="M70" i="3"/>
  <c r="F50" i="3"/>
  <c r="M50" i="3"/>
  <c r="F30" i="3"/>
  <c r="M30" i="3"/>
  <c r="F10" i="3"/>
  <c r="M10" i="3"/>
  <c r="F89" i="3"/>
  <c r="M89" i="3"/>
  <c r="F69" i="3"/>
  <c r="M69" i="3"/>
  <c r="F49" i="3"/>
  <c r="M49" i="3"/>
  <c r="F29" i="3"/>
  <c r="M29" i="3"/>
  <c r="F9" i="3"/>
  <c r="M9" i="3"/>
  <c r="F23" i="3"/>
  <c r="M23" i="3"/>
  <c r="F35" i="3"/>
  <c r="M35" i="3"/>
  <c r="H88" i="3"/>
  <c r="M88" i="3"/>
  <c r="F28" i="3"/>
  <c r="M28" i="3"/>
  <c r="F56" i="3"/>
  <c r="M56" i="3"/>
  <c r="F75" i="3"/>
  <c r="M75" i="3"/>
  <c r="H68" i="3"/>
  <c r="M68" i="3"/>
  <c r="F48" i="3"/>
  <c r="M48" i="3"/>
  <c r="F8" i="3"/>
  <c r="M8" i="3"/>
  <c r="F87" i="3"/>
  <c r="M87" i="3"/>
  <c r="F67" i="3"/>
  <c r="M67" i="3"/>
  <c r="F47" i="3"/>
  <c r="M47" i="3"/>
  <c r="H27" i="3"/>
  <c r="M27" i="3"/>
  <c r="H7" i="3"/>
  <c r="M7" i="3"/>
  <c r="F64" i="3"/>
  <c r="M64" i="3"/>
  <c r="F43" i="3"/>
  <c r="M43" i="3"/>
  <c r="F42" i="3"/>
  <c r="M42" i="3"/>
  <c r="F41" i="3"/>
  <c r="M41" i="3"/>
  <c r="F96" i="3"/>
  <c r="M96" i="3"/>
  <c r="F76" i="3"/>
  <c r="M76" i="3"/>
  <c r="F16" i="3"/>
  <c r="M16" i="3"/>
  <c r="H46" i="3"/>
  <c r="M46" i="3"/>
  <c r="F103" i="3"/>
  <c r="M103" i="3"/>
  <c r="F22" i="3"/>
  <c r="M22" i="3"/>
  <c r="H86" i="3"/>
  <c r="M86" i="3"/>
  <c r="H66" i="3"/>
  <c r="M66" i="3"/>
  <c r="H26" i="3"/>
  <c r="M26" i="3"/>
  <c r="H6" i="3"/>
  <c r="M6" i="3"/>
  <c r="H85" i="3"/>
  <c r="M85" i="3"/>
  <c r="H65" i="3"/>
  <c r="M65" i="3"/>
  <c r="H45" i="3"/>
  <c r="M45" i="3"/>
  <c r="H25" i="3"/>
  <c r="M25" i="3"/>
  <c r="H5" i="3"/>
  <c r="M5" i="3"/>
  <c r="F4" i="3"/>
  <c r="M4" i="3"/>
  <c r="D137" i="3"/>
  <c r="D117" i="3"/>
  <c r="D119" i="3"/>
  <c r="D118" i="3"/>
  <c r="D122" i="3"/>
  <c r="D121" i="3"/>
  <c r="D120" i="3"/>
  <c r="D126" i="3"/>
  <c r="D127" i="3"/>
  <c r="D128" i="3"/>
  <c r="D116" i="3"/>
  <c r="D114" i="3"/>
  <c r="D130" i="3"/>
  <c r="D129" i="3"/>
  <c r="D136" i="3"/>
  <c r="D113" i="3"/>
  <c r="D123" i="3"/>
  <c r="D133" i="3"/>
  <c r="D115" i="3"/>
  <c r="D125" i="3"/>
  <c r="D135" i="3"/>
  <c r="D134" i="3"/>
  <c r="D132" i="3"/>
  <c r="D124" i="3"/>
  <c r="D112" i="3"/>
  <c r="D131" i="3"/>
  <c r="D111" i="3"/>
  <c r="D166" i="3"/>
  <c r="D146" i="3"/>
  <c r="D144" i="3"/>
  <c r="F26" i="3"/>
  <c r="F105" i="3"/>
  <c r="D149" i="3"/>
  <c r="D147" i="3"/>
  <c r="D165" i="3"/>
  <c r="D164" i="3"/>
  <c r="D145" i="3"/>
  <c r="D148" i="3"/>
  <c r="D186" i="3"/>
  <c r="D170" i="3"/>
  <c r="D169" i="3"/>
  <c r="D171" i="3"/>
  <c r="D173" i="3"/>
  <c r="D151" i="3"/>
  <c r="D150" i="3"/>
  <c r="D168" i="3"/>
  <c r="D167" i="3"/>
  <c r="D154" i="3"/>
  <c r="D153" i="3"/>
  <c r="D161" i="3"/>
  <c r="D141" i="3"/>
  <c r="D158" i="3"/>
  <c r="D155" i="3"/>
  <c r="D140" i="3"/>
  <c r="D156" i="3"/>
  <c r="D152" i="3"/>
  <c r="D163" i="3"/>
  <c r="D160" i="3"/>
  <c r="D139" i="3"/>
  <c r="D142" i="3"/>
  <c r="D143" i="3"/>
  <c r="D159" i="3"/>
  <c r="D157" i="3"/>
  <c r="D172" i="3"/>
  <c r="D162" i="3"/>
  <c r="D138" i="3"/>
  <c r="D178" i="3"/>
  <c r="D179" i="3"/>
  <c r="D175" i="3"/>
  <c r="D182" i="3"/>
  <c r="D181" i="3"/>
  <c r="D180" i="3"/>
  <c r="D177" i="3"/>
  <c r="D176" i="3"/>
  <c r="D183" i="3"/>
  <c r="D185" i="3"/>
  <c r="D184" i="3"/>
  <c r="J98" i="3"/>
  <c r="J90" i="3"/>
  <c r="J89" i="3"/>
  <c r="J185" i="3"/>
  <c r="F46" i="3"/>
  <c r="J143" i="3"/>
  <c r="J56" i="3"/>
  <c r="J57" i="3"/>
  <c r="J47" i="3"/>
  <c r="J36" i="3"/>
  <c r="J30" i="3"/>
  <c r="J167" i="3"/>
  <c r="J29" i="3"/>
  <c r="J165" i="3"/>
  <c r="J59" i="3"/>
  <c r="J122" i="3"/>
  <c r="D174" i="3"/>
  <c r="J103" i="3"/>
  <c r="J121" i="3"/>
  <c r="J102" i="3"/>
  <c r="J101" i="3"/>
  <c r="J115" i="3"/>
  <c r="J58" i="3"/>
  <c r="J100" i="3"/>
  <c r="J162" i="3"/>
  <c r="J40" i="3"/>
  <c r="J93" i="3"/>
  <c r="J182" i="3"/>
  <c r="J161" i="3"/>
  <c r="J140" i="3"/>
  <c r="J119" i="3"/>
  <c r="J183" i="3"/>
  <c r="J181" i="3"/>
  <c r="J160" i="3"/>
  <c r="J117" i="3"/>
  <c r="J87" i="3"/>
  <c r="J27" i="3"/>
  <c r="J142" i="3"/>
  <c r="J120" i="3"/>
  <c r="J139" i="3"/>
  <c r="J84" i="3"/>
  <c r="J19" i="3"/>
  <c r="J180" i="3"/>
  <c r="J159" i="3"/>
  <c r="J137" i="3"/>
  <c r="J116" i="3"/>
  <c r="J82" i="3"/>
  <c r="J17" i="3"/>
  <c r="J179" i="3"/>
  <c r="J157" i="3"/>
  <c r="J136" i="3"/>
  <c r="J81" i="3"/>
  <c r="J16" i="3"/>
  <c r="J135" i="3"/>
  <c r="J113" i="3"/>
  <c r="J177" i="3"/>
  <c r="J156" i="3"/>
  <c r="J133" i="3"/>
  <c r="J77" i="3"/>
  <c r="J155" i="3"/>
  <c r="J107" i="3"/>
  <c r="J80" i="3"/>
  <c r="J76" i="3"/>
  <c r="J176" i="3"/>
  <c r="J153" i="3"/>
  <c r="J127" i="3"/>
  <c r="J163" i="3"/>
  <c r="J62" i="3"/>
  <c r="J175" i="3"/>
  <c r="J125" i="3"/>
  <c r="J105" i="3"/>
  <c r="J141" i="3"/>
  <c r="J83" i="3"/>
  <c r="J18" i="3"/>
  <c r="J61" i="3"/>
  <c r="J173" i="3"/>
  <c r="J147" i="3"/>
  <c r="J123" i="3"/>
  <c r="J60" i="3"/>
  <c r="J145" i="3"/>
  <c r="J23" i="3"/>
  <c r="J131" i="3"/>
  <c r="J130" i="3"/>
  <c r="J53" i="3"/>
  <c r="J169" i="3"/>
  <c r="J129" i="3"/>
  <c r="J109" i="3"/>
  <c r="J132" i="3"/>
  <c r="J151" i="3"/>
  <c r="J111" i="3"/>
  <c r="J24" i="3"/>
  <c r="J22" i="3"/>
  <c r="J79" i="3"/>
  <c r="J50" i="3"/>
  <c r="J21" i="3"/>
  <c r="J171" i="3"/>
  <c r="J170" i="3"/>
  <c r="J150" i="3"/>
  <c r="J110" i="3"/>
  <c r="J55" i="3"/>
  <c r="J149" i="3"/>
  <c r="J78" i="3"/>
  <c r="J49" i="3"/>
  <c r="J20" i="3"/>
  <c r="J178" i="3"/>
  <c r="J168" i="3"/>
  <c r="J158" i="3"/>
  <c r="J148" i="3"/>
  <c r="J138" i="3"/>
  <c r="J128" i="3"/>
  <c r="J118" i="3"/>
  <c r="J108" i="3"/>
  <c r="J152" i="3"/>
  <c r="J75" i="3"/>
  <c r="J73" i="3"/>
  <c r="J42" i="3"/>
  <c r="J186" i="3"/>
  <c r="J166" i="3"/>
  <c r="J146" i="3"/>
  <c r="J126" i="3"/>
  <c r="J106" i="3"/>
  <c r="F68" i="3"/>
  <c r="J99" i="3"/>
  <c r="J70" i="3"/>
  <c r="J41" i="3"/>
  <c r="J15" i="3"/>
  <c r="J13" i="3"/>
  <c r="J112" i="3"/>
  <c r="J43" i="3"/>
  <c r="J69" i="3"/>
  <c r="J97" i="3"/>
  <c r="J67" i="3"/>
  <c r="J39" i="3"/>
  <c r="J10" i="3"/>
  <c r="J35" i="3"/>
  <c r="J172" i="3"/>
  <c r="J96" i="3"/>
  <c r="J64" i="3"/>
  <c r="J38" i="3"/>
  <c r="J9" i="3"/>
  <c r="J184" i="3"/>
  <c r="J174" i="3"/>
  <c r="J164" i="3"/>
  <c r="J154" i="3"/>
  <c r="J144" i="3"/>
  <c r="J134" i="3"/>
  <c r="J124" i="3"/>
  <c r="J114" i="3"/>
  <c r="J104" i="3"/>
  <c r="J33" i="3"/>
  <c r="J44" i="3"/>
  <c r="J95" i="3"/>
  <c r="J63" i="3"/>
  <c r="J37" i="3"/>
  <c r="J7" i="3"/>
  <c r="J94" i="3"/>
  <c r="J74" i="3"/>
  <c r="J54" i="3"/>
  <c r="J34" i="3"/>
  <c r="J14" i="3"/>
  <c r="J92" i="3"/>
  <c r="J72" i="3"/>
  <c r="J52" i="3"/>
  <c r="J32" i="3"/>
  <c r="J12" i="3"/>
  <c r="J91" i="3"/>
  <c r="J71" i="3"/>
  <c r="J51" i="3"/>
  <c r="J31" i="3"/>
  <c r="J11" i="3"/>
  <c r="J88" i="3"/>
  <c r="J68" i="3"/>
  <c r="J48" i="3"/>
  <c r="J28" i="3"/>
  <c r="J8" i="3"/>
  <c r="J86" i="3"/>
  <c r="J66" i="3"/>
  <c r="J46" i="3"/>
  <c r="J26" i="3"/>
  <c r="J6" i="3"/>
  <c r="J85" i="3"/>
  <c r="J65" i="3"/>
  <c r="J45" i="3"/>
  <c r="J25" i="3"/>
  <c r="J5" i="3"/>
  <c r="H49" i="3"/>
  <c r="E166" i="3"/>
  <c r="H9" i="3"/>
  <c r="E105" i="3"/>
  <c r="H125" i="3"/>
  <c r="E165" i="3"/>
  <c r="F6" i="3"/>
  <c r="E185" i="3"/>
  <c r="H51" i="3"/>
  <c r="F185" i="3"/>
  <c r="F166" i="3"/>
  <c r="F126" i="3"/>
  <c r="H50" i="3"/>
  <c r="F125" i="3"/>
  <c r="J4" i="3"/>
  <c r="E186" i="3"/>
  <c r="F165" i="3"/>
  <c r="E145" i="3"/>
  <c r="H156" i="3"/>
  <c r="F146" i="3"/>
  <c r="H98" i="3"/>
  <c r="H155" i="3"/>
  <c r="E126" i="3"/>
  <c r="F145" i="3"/>
  <c r="H97" i="3"/>
  <c r="H153" i="3"/>
  <c r="H141" i="3"/>
  <c r="F88" i="3"/>
  <c r="H140" i="3"/>
  <c r="H132" i="3"/>
  <c r="H154" i="3"/>
  <c r="H129" i="3"/>
  <c r="H94" i="3"/>
  <c r="H182" i="3"/>
  <c r="H95" i="3"/>
  <c r="H93" i="3"/>
  <c r="H181" i="3"/>
  <c r="H122" i="3"/>
  <c r="H80" i="3"/>
  <c r="H180" i="3"/>
  <c r="H121" i="3"/>
  <c r="H152" i="3"/>
  <c r="H131" i="3"/>
  <c r="F7" i="3"/>
  <c r="H54" i="3"/>
  <c r="H179" i="3"/>
  <c r="H120" i="3"/>
  <c r="H149" i="3"/>
  <c r="H53" i="3"/>
  <c r="H169" i="3"/>
  <c r="H119" i="3"/>
  <c r="H52" i="3"/>
  <c r="H157" i="3"/>
  <c r="H92" i="3"/>
  <c r="H177" i="3"/>
  <c r="H89" i="3"/>
  <c r="H48" i="3"/>
  <c r="H176" i="3"/>
  <c r="H151" i="3"/>
  <c r="H32" i="3"/>
  <c r="H175" i="3"/>
  <c r="H31" i="3"/>
  <c r="H174" i="3"/>
  <c r="H78" i="3"/>
  <c r="H30" i="3"/>
  <c r="H173" i="3"/>
  <c r="H118" i="3"/>
  <c r="H79" i="3"/>
  <c r="F127" i="3"/>
  <c r="E147" i="3"/>
  <c r="H77" i="3"/>
  <c r="H29" i="3"/>
  <c r="H172" i="3"/>
  <c r="H142" i="3"/>
  <c r="H117" i="3"/>
  <c r="H116" i="3"/>
  <c r="H74" i="3"/>
  <c r="H115" i="3"/>
  <c r="F106" i="3"/>
  <c r="H73" i="3"/>
  <c r="H8" i="3"/>
  <c r="H139" i="3"/>
  <c r="H114" i="3"/>
  <c r="H72" i="3"/>
  <c r="H138" i="3"/>
  <c r="H113" i="3"/>
  <c r="H103" i="3"/>
  <c r="H71" i="3"/>
  <c r="H162" i="3"/>
  <c r="H137" i="3"/>
  <c r="H112" i="3"/>
  <c r="H75" i="3"/>
  <c r="H102" i="3"/>
  <c r="H70" i="3"/>
  <c r="H161" i="3"/>
  <c r="H136" i="3"/>
  <c r="H111" i="3"/>
  <c r="H178" i="3"/>
  <c r="H28" i="3"/>
  <c r="H171" i="3"/>
  <c r="H101" i="3"/>
  <c r="H69" i="3"/>
  <c r="H160" i="3"/>
  <c r="H135" i="3"/>
  <c r="H109" i="3"/>
  <c r="H100" i="3"/>
  <c r="H159" i="3"/>
  <c r="H134" i="3"/>
  <c r="H99" i="3"/>
  <c r="H55" i="3"/>
  <c r="H158" i="3"/>
  <c r="H133" i="3"/>
  <c r="H21" i="3"/>
  <c r="H43" i="3"/>
  <c r="H91" i="3"/>
  <c r="H64" i="3"/>
  <c r="H40" i="3"/>
  <c r="H15" i="3"/>
  <c r="E106" i="3"/>
  <c r="H90" i="3"/>
  <c r="H63" i="3"/>
  <c r="H39" i="3"/>
  <c r="H14" i="3"/>
  <c r="H170" i="3"/>
  <c r="H150" i="3"/>
  <c r="H130" i="3"/>
  <c r="H110" i="3"/>
  <c r="H22" i="3"/>
  <c r="H44" i="3"/>
  <c r="H20" i="3"/>
  <c r="H19" i="3"/>
  <c r="H18" i="3"/>
  <c r="H61" i="3"/>
  <c r="H37" i="3"/>
  <c r="H12" i="3"/>
  <c r="H168" i="3"/>
  <c r="H148" i="3"/>
  <c r="H128" i="3"/>
  <c r="H108" i="3"/>
  <c r="H24" i="3"/>
  <c r="H23" i="3"/>
  <c r="H62" i="3"/>
  <c r="F86" i="3"/>
  <c r="H84" i="3"/>
  <c r="H60" i="3"/>
  <c r="H35" i="3"/>
  <c r="H11" i="3"/>
  <c r="H167" i="3"/>
  <c r="H147" i="3"/>
  <c r="H127" i="3"/>
  <c r="H107" i="3"/>
  <c r="H42" i="3"/>
  <c r="H41" i="3"/>
  <c r="H17" i="3"/>
  <c r="H38" i="3"/>
  <c r="H13" i="3"/>
  <c r="F66" i="3"/>
  <c r="H83" i="3"/>
  <c r="H59" i="3"/>
  <c r="H34" i="3"/>
  <c r="H10" i="3"/>
  <c r="H186" i="3"/>
  <c r="H146" i="3"/>
  <c r="H82" i="3"/>
  <c r="H58" i="3"/>
  <c r="H33" i="3"/>
  <c r="F27" i="3"/>
  <c r="H81" i="3"/>
  <c r="H57" i="3"/>
  <c r="H184" i="3"/>
  <c r="H164" i="3"/>
  <c r="H144" i="3"/>
  <c r="H124" i="3"/>
  <c r="H104" i="3"/>
  <c r="F85" i="3"/>
  <c r="H96" i="3"/>
  <c r="H76" i="3"/>
  <c r="H56" i="3"/>
  <c r="H36" i="3"/>
  <c r="H16" i="3"/>
  <c r="F104" i="3"/>
  <c r="F65" i="3"/>
  <c r="F45" i="3"/>
  <c r="F184" i="3"/>
  <c r="H87" i="3"/>
  <c r="H67" i="3"/>
  <c r="H47" i="3"/>
  <c r="F164" i="3"/>
  <c r="F5" i="3"/>
  <c r="F25" i="3"/>
  <c r="F144" i="3"/>
  <c r="E124" i="3"/>
  <c r="E113" i="3"/>
  <c r="H4" i="3"/>
  <c r="E154" i="3"/>
  <c r="E153" i="3"/>
  <c r="E156" i="3"/>
  <c r="F110" i="3"/>
  <c r="F109" i="3"/>
  <c r="F108" i="3"/>
  <c r="E152" i="3"/>
  <c r="F107" i="3"/>
  <c r="F168" i="3"/>
  <c r="E129" i="3"/>
  <c r="F111" i="3"/>
  <c r="F167" i="3"/>
  <c r="E158" i="3"/>
  <c r="E155" i="3"/>
  <c r="E157" i="3"/>
  <c r="F148" i="3"/>
  <c r="F151" i="3"/>
  <c r="F150" i="3"/>
  <c r="F149" i="3"/>
  <c r="E133" i="3"/>
  <c r="E174" i="3"/>
  <c r="E173" i="3"/>
  <c r="E132" i="3"/>
  <c r="E134" i="3"/>
  <c r="E131" i="3"/>
  <c r="F128" i="3"/>
  <c r="E130" i="3"/>
  <c r="E176" i="3"/>
  <c r="E118" i="3"/>
  <c r="E116" i="3"/>
  <c r="E171" i="3"/>
  <c r="E175" i="3"/>
  <c r="E115" i="3"/>
  <c r="E170" i="3"/>
  <c r="E138" i="3"/>
  <c r="E112" i="3"/>
  <c r="E177" i="3"/>
  <c r="E172" i="3"/>
  <c r="E114" i="3"/>
  <c r="E169" i="3"/>
  <c r="E137" i="3"/>
  <c r="E117" i="3"/>
  <c r="E136" i="3"/>
  <c r="E178" i="3"/>
  <c r="E135" i="3"/>
  <c r="E163" i="3"/>
  <c r="F163" i="3"/>
  <c r="F143" i="3"/>
  <c r="E143" i="3"/>
  <c r="E123" i="3"/>
  <c r="F123" i="3"/>
  <c r="F183" i="3"/>
  <c r="E183" i="3"/>
  <c r="F182" i="3"/>
  <c r="F162" i="3"/>
  <c r="F142" i="3"/>
  <c r="F122" i="3"/>
  <c r="F181" i="3"/>
  <c r="F161" i="3"/>
  <c r="F141" i="3"/>
  <c r="F121" i="3"/>
  <c r="F179" i="3"/>
  <c r="F180" i="3"/>
  <c r="F120" i="3"/>
  <c r="F139" i="3"/>
  <c r="F140" i="3"/>
  <c r="F119" i="3"/>
  <c r="E160" i="3"/>
  <c r="F159" i="3"/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4" i="3"/>
  <c r="B82" i="2"/>
  <c r="B4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3" authorId="0" shapeId="0" xr:uid="{E1ECB51E-F02E-4877-BB03-E6349A848C9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，使用“，”隔开</t>
        </r>
      </text>
    </comment>
    <comment ref="I3" authorId="0" shapeId="0" xr:uid="{185D82A7-5B05-45A4-91AD-555B106B193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，使用“，”隔开，与ReqOccupation字段一一对应</t>
        </r>
      </text>
    </comment>
    <comment ref="M3" authorId="0" shapeId="0" xr:uid="{9DBD10D0-D558-4F9A-A098-812B033FBAC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物品ID，数量|物品ID，数量</t>
        </r>
      </text>
    </comment>
  </commentList>
</comments>
</file>

<file path=xl/sharedStrings.xml><?xml version="1.0" encoding="utf-8"?>
<sst xmlns="http://schemas.openxmlformats.org/spreadsheetml/2006/main" count="1478" uniqueCount="561">
  <si>
    <t>Int</t>
  </si>
  <si>
    <t>Id</t>
  </si>
  <si>
    <t>String</t>
  </si>
  <si>
    <t>任务奖励</t>
    <phoneticPr fontId="2" type="noConversion"/>
  </si>
  <si>
    <t>int</t>
  </si>
  <si>
    <t>探索任务ID</t>
  </si>
  <si>
    <t>Quality</t>
  </si>
  <si>
    <t>探索任务品质</t>
  </si>
  <si>
    <t>ExplorationTasksGroup</t>
  </si>
  <si>
    <t>探索任务组</t>
  </si>
  <si>
    <t>TaskPro</t>
  </si>
  <si>
    <t>刷新出任务概率</t>
  </si>
  <si>
    <t>Time</t>
  </si>
  <si>
    <t>任务派遣时间</t>
  </si>
  <si>
    <t>Model</t>
  </si>
  <si>
    <t>发放任务NPC模型</t>
  </si>
  <si>
    <t>Desc</t>
  </si>
  <si>
    <t>任务内容</t>
  </si>
  <si>
    <t>ReqOccupation</t>
  </si>
  <si>
    <t>OccupationPro</t>
  </si>
  <si>
    <t>Power</t>
  </si>
  <si>
    <t>任务要求战力</t>
  </si>
  <si>
    <t>PowerPro</t>
  </si>
  <si>
    <t>对应战力完成概率</t>
  </si>
  <si>
    <t>PhysicalExertion</t>
  </si>
  <si>
    <t>派遣消耗体力</t>
  </si>
  <si>
    <t>reward</t>
  </si>
  <si>
    <t>任务要求属性宠物</t>
  </si>
  <si>
    <t>任务要求属性宠物</t>
    <phoneticPr fontId="2" type="noConversion"/>
  </si>
  <si>
    <t>对应属性达成概率</t>
  </si>
  <si>
    <t>对应属性达成概率</t>
    <phoneticPr fontId="2" type="noConversion"/>
  </si>
  <si>
    <t>任务奖励</t>
  </si>
  <si>
    <t>Pet_10060</t>
  </si>
  <si>
    <t>Pet_10061</t>
  </si>
  <si>
    <t>Pet_10090</t>
  </si>
  <si>
    <t>Pet_10091</t>
  </si>
  <si>
    <t>Pet_10100</t>
  </si>
  <si>
    <t>Pet_10120</t>
  </si>
  <si>
    <t>Pet_10121</t>
  </si>
  <si>
    <t>Pet_10130</t>
  </si>
  <si>
    <t>Pet_10131</t>
  </si>
  <si>
    <t>Pet_10150</t>
  </si>
  <si>
    <t>Pet_10151</t>
  </si>
  <si>
    <t>Pet_10161</t>
  </si>
  <si>
    <t>Pet_10180</t>
  </si>
  <si>
    <t>Pet_10191</t>
  </si>
  <si>
    <t>Pet_10192</t>
  </si>
  <si>
    <t>Pet_10220</t>
  </si>
  <si>
    <t>Pet_10221</t>
  </si>
  <si>
    <t>Pet_10300</t>
  </si>
  <si>
    <t>Pet_10330</t>
  </si>
  <si>
    <t>Pet_10331</t>
  </si>
  <si>
    <t>Pet_10350</t>
  </si>
  <si>
    <t>Pet_10380</t>
  </si>
  <si>
    <t>Pet_10381</t>
  </si>
  <si>
    <t>Pet_10390</t>
  </si>
  <si>
    <t>Pet_10410</t>
  </si>
  <si>
    <t>Pet_10411</t>
  </si>
  <si>
    <t>Pet_10420</t>
  </si>
  <si>
    <t>Pet_10421</t>
  </si>
  <si>
    <t>Pet_10460</t>
  </si>
  <si>
    <t>Pet_10500</t>
  </si>
  <si>
    <t>Pet_10501</t>
  </si>
  <si>
    <t>Pet_10560</t>
  </si>
  <si>
    <t>Pet_10571</t>
  </si>
  <si>
    <t>Pet_10590</t>
  </si>
  <si>
    <t>Pet_10591</t>
  </si>
  <si>
    <t>Pet_10600</t>
  </si>
  <si>
    <t>幻影猫</t>
  </si>
  <si>
    <t>梦影猫</t>
  </si>
  <si>
    <t>虚梦猫</t>
  </si>
  <si>
    <t>小灯蜂</t>
  </si>
  <si>
    <t>灵灯蜂</t>
  </si>
  <si>
    <t>惊吓魔盒</t>
  </si>
  <si>
    <t>恶魔小分队</t>
  </si>
  <si>
    <t>壶灵</t>
  </si>
  <si>
    <t>雷鸣幼龙</t>
  </si>
  <si>
    <t>火灵猪</t>
  </si>
  <si>
    <t>茶杯灵</t>
  </si>
  <si>
    <t>雪人</t>
  </si>
  <si>
    <t>雪怪</t>
  </si>
  <si>
    <t>尾号</t>
    <phoneticPr fontId="2" type="noConversion"/>
  </si>
  <si>
    <t>模型</t>
    <phoneticPr fontId="2" type="noConversion"/>
  </si>
  <si>
    <t>名称</t>
    <phoneticPr fontId="2" type="noConversion"/>
  </si>
  <si>
    <t>编号</t>
    <phoneticPr fontId="2" type="noConversion"/>
  </si>
  <si>
    <r>
      <t>深海探险</t>
    </r>
    <r>
      <rPr>
        <sz val="11"/>
        <color theme="1"/>
        <rFont val="等线"/>
        <family val="3"/>
        <charset val="134"/>
        <scheme val="minor"/>
      </rPr>
      <t>：探索神秘的海底世界，寻找失落的宝藏和传说中的生物，揭开古老海洋的秘密。</t>
    </r>
  </si>
  <si>
    <r>
      <t>森林守护者</t>
    </r>
    <r>
      <rPr>
        <sz val="11"/>
        <color theme="1"/>
        <rFont val="等线"/>
        <family val="3"/>
        <charset val="134"/>
        <scheme val="minor"/>
      </rPr>
      <t>：帮助守护者保护森林不被邪恶势力侵袭，并寻找传说中的生命之树。</t>
    </r>
  </si>
  <si>
    <r>
      <t>熔岩探险</t>
    </r>
    <r>
      <rPr>
        <sz val="11"/>
        <color theme="1"/>
        <rFont val="等线"/>
        <family val="3"/>
        <charset val="134"/>
        <scheme val="minor"/>
      </rPr>
      <t>：深入火山熔岩洞穴，寻找稀有的火系啪嘟，面对炽热的挑战。</t>
    </r>
  </si>
  <si>
    <r>
      <t>沙漠奇观</t>
    </r>
    <r>
      <rPr>
        <sz val="11"/>
        <color theme="1"/>
        <rFont val="等线"/>
        <family val="3"/>
        <charset val="134"/>
        <scheme val="minor"/>
      </rPr>
      <t>：在无垠的沙漠中寻找古代遗迹，揭开被遗忘的文明的谜团。</t>
    </r>
  </si>
  <si>
    <r>
      <t>雪山救援</t>
    </r>
    <r>
      <rPr>
        <sz val="11"/>
        <color theme="1"/>
        <rFont val="等线"/>
        <family val="3"/>
        <charset val="134"/>
        <scheme val="minor"/>
      </rPr>
      <t>：在寒冷的雪山中寻找失踪的探险队员，并与冰系啪嘟建立联系。</t>
    </r>
  </si>
  <si>
    <r>
      <t>神秘遗址</t>
    </r>
    <r>
      <rPr>
        <sz val="11"/>
        <color theme="1"/>
        <rFont val="等线"/>
        <family val="3"/>
        <charset val="134"/>
        <scheme val="minor"/>
      </rPr>
      <t>：探索神秘遗址，与古代的灵魂对话，寻找传说中的神秘力量。</t>
    </r>
  </si>
  <si>
    <r>
      <t>丛林探险</t>
    </r>
    <r>
      <rPr>
        <sz val="11"/>
        <color theme="1"/>
        <rFont val="等线"/>
        <family val="3"/>
        <charset val="134"/>
        <scheme val="minor"/>
      </rPr>
      <t>：穿越密林，发现隐藏在树冠中的秘密，解开丛林中的谜题。</t>
    </r>
  </si>
  <si>
    <r>
      <t>幽灵岛探险</t>
    </r>
    <r>
      <rPr>
        <sz val="11"/>
        <color theme="1"/>
        <rFont val="等线"/>
        <family val="3"/>
        <charset val="134"/>
        <scheme val="minor"/>
      </rPr>
      <t>：探索神秘幽灵岛，与岛上的幽灵和平共处，寻找隐藏的宝藏。</t>
    </r>
  </si>
  <si>
    <r>
      <t>天空之城</t>
    </r>
    <r>
      <rPr>
        <sz val="11"/>
        <color theme="1"/>
        <rFont val="等线"/>
        <family val="3"/>
        <charset val="134"/>
        <scheme val="minor"/>
      </rPr>
      <t>：在浮空的城市中探索，寻找遗失的科技，与飞行系啪嘟交友。</t>
    </r>
  </si>
  <si>
    <r>
      <t>地下迷宫</t>
    </r>
    <r>
      <rPr>
        <sz val="11"/>
        <color theme="1"/>
        <rFont val="等线"/>
        <family val="3"/>
        <charset val="134"/>
        <scheme val="minor"/>
      </rPr>
      <t>：进入复杂的地下迷宫，解开隐藏的机关和谜题，找到通往宝藏的道路。</t>
    </r>
  </si>
  <si>
    <r>
      <t>魔法学院</t>
    </r>
    <r>
      <rPr>
        <sz val="11"/>
        <color theme="1"/>
        <rFont val="等线"/>
        <family val="3"/>
        <charset val="134"/>
        <scheme val="minor"/>
      </rPr>
      <t>：在魔法学院学习神秘的法术，与超能系啪嘟一起破解古老的禁忌。</t>
    </r>
  </si>
  <si>
    <r>
      <t>水晶洞窟</t>
    </r>
    <r>
      <rPr>
        <sz val="11"/>
        <color theme="1"/>
        <rFont val="等线"/>
        <family val="3"/>
        <charset val="134"/>
        <scheme val="minor"/>
      </rPr>
      <t>：探寻闪耀的水晶洞窟，收集珍贵的晶体，与洞穴的守护者建立联系。</t>
    </r>
  </si>
  <si>
    <r>
      <t>火山研究</t>
    </r>
    <r>
      <rPr>
        <sz val="11"/>
        <color theme="1"/>
        <rFont val="等线"/>
        <family val="3"/>
        <charset val="134"/>
        <scheme val="minor"/>
      </rPr>
      <t>：调查活火山的活动，与火系啪嘟一起进行科学研究，预防火山喷发的灾难。</t>
    </r>
  </si>
  <si>
    <r>
      <t>传说中的剑</t>
    </r>
    <r>
      <rPr>
        <sz val="11"/>
        <color theme="1"/>
        <rFont val="等线"/>
        <family val="3"/>
        <charset val="134"/>
        <scheme val="minor"/>
      </rPr>
      <t>：寻找传说中的神剑，与剑灵交流，揭示隐藏的英雄传说。</t>
    </r>
  </si>
  <si>
    <r>
      <t>迷失的村庄</t>
    </r>
    <r>
      <rPr>
        <sz val="11"/>
        <color theme="1"/>
        <rFont val="等线"/>
        <family val="3"/>
        <charset val="134"/>
        <scheme val="minor"/>
      </rPr>
      <t>：在被诅咒的村庄中解开谜题，帮助村民恢复正常生活。</t>
    </r>
  </si>
  <si>
    <r>
      <t>冰雪盛宴</t>
    </r>
    <r>
      <rPr>
        <sz val="11"/>
        <color theme="1"/>
        <rFont val="等线"/>
        <family val="3"/>
        <charset val="134"/>
        <scheme val="minor"/>
      </rPr>
      <t>：在冰雪王国中参加盛大的宴会，与冰系啪嘟分享温暖的时光。</t>
    </r>
  </si>
  <si>
    <r>
      <t>夜间巡逻</t>
    </r>
    <r>
      <rPr>
        <sz val="11"/>
        <color theme="1"/>
        <rFont val="等线"/>
        <family val="3"/>
        <charset val="134"/>
        <scheme val="minor"/>
      </rPr>
      <t>：在漆黑的夜晚守护村庄，防止夜行生物的入侵，确保居民的安全。</t>
    </r>
  </si>
  <si>
    <r>
      <t>星际探险</t>
    </r>
    <r>
      <rPr>
        <sz val="11"/>
        <color theme="1"/>
        <rFont val="等线"/>
        <family val="3"/>
        <charset val="134"/>
        <scheme val="minor"/>
      </rPr>
      <t>：乘坐飞船穿越星空，探索未知的星球，与外星生物建立联系。</t>
    </r>
  </si>
  <si>
    <r>
      <t>幽灵列车</t>
    </r>
    <r>
      <rPr>
        <sz val="11"/>
        <color theme="1"/>
        <rFont val="等线"/>
        <family val="3"/>
        <charset val="134"/>
        <scheme val="minor"/>
      </rPr>
      <t>：搭乘神秘的幽灵列车，解开列车上的谜团，与灵异生物共存。</t>
    </r>
  </si>
  <si>
    <r>
      <t>神秘海域</t>
    </r>
    <r>
      <rPr>
        <sz val="11"/>
        <color theme="1"/>
        <rFont val="等线"/>
        <family val="3"/>
        <charset val="134"/>
        <scheme val="minor"/>
      </rPr>
      <t>：在未知的海域中航行，寻找传说中的海怪，探索未知的水下世界。</t>
    </r>
  </si>
  <si>
    <r>
      <t>勇者试炼</t>
    </r>
    <r>
      <rPr>
        <sz val="11"/>
        <color theme="1"/>
        <rFont val="等线"/>
        <family val="3"/>
        <charset val="134"/>
        <scheme val="minor"/>
      </rPr>
      <t>：参加古老的勇者试炼，挑战各种考验，证明自己的勇气与智慧。</t>
    </r>
  </si>
  <si>
    <r>
      <t>风之谷探索</t>
    </r>
    <r>
      <rPr>
        <sz val="11"/>
        <color theme="1"/>
        <rFont val="等线"/>
        <family val="3"/>
        <charset val="134"/>
        <scheme val="minor"/>
      </rPr>
      <t>：在风之谷中探索，利用风力机制解决难题，与风系啪嘟共同冒险。</t>
    </r>
  </si>
  <si>
    <r>
      <t>沙漠商队</t>
    </r>
    <r>
      <rPr>
        <sz val="11"/>
        <color theme="1"/>
        <rFont val="等线"/>
        <family val="3"/>
        <charset val="134"/>
        <scheme val="minor"/>
      </rPr>
      <t>：护送商队穿越危险的沙漠，与商队成员建立友谊，抵达安全的绿洲。</t>
    </r>
  </si>
  <si>
    <r>
      <t>古堡探秘</t>
    </r>
    <r>
      <rPr>
        <sz val="11"/>
        <color theme="1"/>
        <rFont val="等线"/>
        <family val="3"/>
        <charset val="134"/>
        <scheme val="minor"/>
      </rPr>
      <t>：进入古老的城堡，揭开隐藏在其中的秘密，与神秘的生物交谈。</t>
    </r>
  </si>
  <si>
    <r>
      <t>深渊探险</t>
    </r>
    <r>
      <rPr>
        <sz val="11"/>
        <color theme="1"/>
        <rFont val="等线"/>
        <family val="3"/>
        <charset val="134"/>
        <scheme val="minor"/>
      </rPr>
      <t>：潜入无底深渊，寻找失落的珍宝，与深渊中的怪物展开搏斗。</t>
    </r>
  </si>
  <si>
    <r>
      <t>植物园奇遇</t>
    </r>
    <r>
      <rPr>
        <sz val="11"/>
        <color theme="1"/>
        <rFont val="等线"/>
        <family val="3"/>
        <charset val="134"/>
        <scheme val="minor"/>
      </rPr>
      <t>：在巨大的植物园中探险，与各种植物系啪嘟互动，发现植物的秘密。</t>
    </r>
  </si>
  <si>
    <r>
      <t>幻影森林</t>
    </r>
    <r>
      <rPr>
        <sz val="11"/>
        <color theme="1"/>
        <rFont val="等线"/>
        <family val="3"/>
        <charset val="134"/>
        <scheme val="minor"/>
      </rPr>
      <t>：在幻影森林中寻找传说中的宝藏，揭开森林中的幻觉谜题。</t>
    </r>
  </si>
  <si>
    <r>
      <t>神秘古庙</t>
    </r>
    <r>
      <rPr>
        <sz val="11"/>
        <color theme="1"/>
        <rFont val="等线"/>
        <family val="3"/>
        <charset val="134"/>
        <scheme val="minor"/>
      </rPr>
      <t>：探索失落的古庙，与庙中的守护者合作，揭开历史的面纱。</t>
    </r>
  </si>
  <si>
    <r>
      <t>黑暗峡谷</t>
    </r>
    <r>
      <rPr>
        <sz val="11"/>
        <color theme="1"/>
        <rFont val="等线"/>
        <family val="3"/>
        <charset val="134"/>
        <scheme val="minor"/>
      </rPr>
      <t>：在黑暗峡谷中寻求光明，与黑暗系啪嘟共同面对未知的挑战。</t>
    </r>
  </si>
  <si>
    <r>
      <t>湖泊之谜</t>
    </r>
    <r>
      <rPr>
        <sz val="11"/>
        <color theme="1"/>
        <rFont val="等线"/>
        <family val="3"/>
        <charset val="134"/>
        <scheme val="minor"/>
      </rPr>
      <t>：在宁静的湖泊中寻找水下的秘密，与水系啪嘟一起探索神秘的湖底。</t>
    </r>
  </si>
  <si>
    <r>
      <t>魔法之书</t>
    </r>
    <r>
      <rPr>
        <sz val="11"/>
        <color theme="1"/>
        <rFont val="等线"/>
        <family val="3"/>
        <charset val="134"/>
        <scheme val="minor"/>
      </rPr>
      <t>：寻找失落的魔法之书，学习古老的咒语，与超能系啪嘟一起释放力量。</t>
    </r>
  </si>
  <si>
    <r>
      <t>天空守护者</t>
    </r>
    <r>
      <rPr>
        <sz val="11"/>
        <color theme="1"/>
        <rFont val="等线"/>
        <family val="3"/>
        <charset val="134"/>
        <scheme val="minor"/>
      </rPr>
      <t>：保护天空之城免受敌人的攻击，与飞行系啪嘟合作抵御空中威胁。</t>
    </r>
  </si>
  <si>
    <r>
      <t>沙滩狂欢</t>
    </r>
    <r>
      <rPr>
        <sz val="11"/>
        <color theme="1"/>
        <rFont val="等线"/>
        <family val="3"/>
        <charset val="134"/>
        <scheme val="minor"/>
      </rPr>
      <t>：在沙滩上与海洋系啪嘟狂欢，寻找海滩上的隐藏宝藏。</t>
    </r>
  </si>
  <si>
    <r>
      <t>冰封洞窟</t>
    </r>
    <r>
      <rPr>
        <sz val="11"/>
        <color theme="1"/>
        <rFont val="等线"/>
        <family val="3"/>
        <charset val="134"/>
        <scheme val="minor"/>
      </rPr>
      <t>：在冰封洞窟中寻找失落的宝藏，与冰系啪嘟一起面对寒冷的挑战。</t>
    </r>
  </si>
  <si>
    <r>
      <t>沙暴探险</t>
    </r>
    <r>
      <rPr>
        <sz val="11"/>
        <color theme="1"/>
        <rFont val="等线"/>
        <family val="3"/>
        <charset val="134"/>
        <scheme val="minor"/>
      </rPr>
      <t>：在沙暴中探索失落的城镇，与风系啪嘟一起面对极端天气。</t>
    </r>
  </si>
  <si>
    <r>
      <t>树顶探险</t>
    </r>
    <r>
      <rPr>
        <sz val="11"/>
        <color theme="1"/>
        <rFont val="等线"/>
        <family val="3"/>
        <charset val="134"/>
        <scheme val="minor"/>
      </rPr>
      <t>：在树顶世界中穿梭，寻找隐藏在树冠中的秘密，与树灵交流。</t>
    </r>
  </si>
  <si>
    <r>
      <t>火山营救</t>
    </r>
    <r>
      <rPr>
        <sz val="11"/>
        <color theme="1"/>
        <rFont val="等线"/>
        <family val="3"/>
        <charset val="134"/>
        <scheme val="minor"/>
      </rPr>
      <t>：营救被困在火山中的探险队，与火系啪嘟合作应对热浪的挑战。</t>
    </r>
  </si>
  <si>
    <r>
      <t>神秘集市</t>
    </r>
    <r>
      <rPr>
        <sz val="11"/>
        <color theme="1"/>
        <rFont val="等线"/>
        <family val="3"/>
        <charset val="134"/>
        <scheme val="minor"/>
      </rPr>
      <t>：在神秘的集市上探索，与各类啪嘟交易，发现隐藏的宝物。</t>
    </r>
  </si>
  <si>
    <r>
      <t>天空之旅</t>
    </r>
    <r>
      <rPr>
        <sz val="11"/>
        <color theme="1"/>
        <rFont val="等线"/>
        <family val="3"/>
        <charset val="134"/>
        <scheme val="minor"/>
      </rPr>
      <t>：乘坐飞艇穿越云层，寻找隐藏在天空中的奇迹，与飞行系啪嘟一同冒险。</t>
    </r>
  </si>
  <si>
    <r>
      <t>幽暗森林</t>
    </r>
    <r>
      <rPr>
        <sz val="11"/>
        <color theme="1"/>
        <rFont val="等线"/>
        <family val="3"/>
        <charset val="134"/>
        <scheme val="minor"/>
      </rPr>
      <t>：在幽暗森林中寻找传说中的光明精灵，解除森林中的诅咒。</t>
    </r>
  </si>
  <si>
    <r>
      <t>水晶塔探索</t>
    </r>
    <r>
      <rPr>
        <sz val="11"/>
        <color theme="1"/>
        <rFont val="等线"/>
        <family val="3"/>
        <charset val="134"/>
        <scheme val="minor"/>
      </rPr>
      <t>：登上水晶塔顶端，寻找失落的智慧，与塔中的守护者交流。</t>
    </r>
  </si>
  <si>
    <r>
      <t>魔法森林</t>
    </r>
    <r>
      <rPr>
        <sz val="11"/>
        <color theme="1"/>
        <rFont val="等线"/>
        <family val="3"/>
        <charset val="134"/>
        <scheme val="minor"/>
      </rPr>
      <t>：在魔法森林中寻找传说中的药草，与植物系啪嘟合作发现隐藏的力量。</t>
    </r>
  </si>
  <si>
    <r>
      <t>极地探险</t>
    </r>
    <r>
      <rPr>
        <sz val="11"/>
        <color theme="1"/>
        <rFont val="等线"/>
        <family val="3"/>
        <charset val="134"/>
        <scheme val="minor"/>
      </rPr>
      <t>：在极地地区寻找稀有的冰系啪嘟，面对极寒的环境挑战。</t>
    </r>
  </si>
  <si>
    <r>
      <t>夜空观星</t>
    </r>
    <r>
      <rPr>
        <sz val="11"/>
        <color theme="1"/>
        <rFont val="等线"/>
        <family val="3"/>
        <charset val="134"/>
        <scheme val="minor"/>
      </rPr>
      <t>：在宁静的夜晚观测星空，与星系啪嘟共同探索宇宙的奥秘。</t>
    </r>
  </si>
  <si>
    <r>
      <t>幻影岛屿</t>
    </r>
    <r>
      <rPr>
        <sz val="11"/>
        <color theme="1"/>
        <rFont val="等线"/>
        <family val="3"/>
        <charset val="134"/>
        <scheme val="minor"/>
      </rPr>
      <t>：探索传说中的幻影岛屿，寻找失落的秘宝，与岛屿的生物交流。</t>
    </r>
  </si>
  <si>
    <r>
      <t>古代传说</t>
    </r>
    <r>
      <rPr>
        <sz val="11"/>
        <color theme="1"/>
        <rFont val="等线"/>
        <family val="3"/>
        <charset val="134"/>
        <scheme val="minor"/>
      </rPr>
      <t>：解开古代传说的秘密，与传说中的啪嘟共同探索历史的真相。</t>
    </r>
  </si>
  <si>
    <r>
      <t>海底城市</t>
    </r>
    <r>
      <rPr>
        <sz val="11"/>
        <color theme="1"/>
        <rFont val="等线"/>
        <family val="3"/>
        <charset val="134"/>
        <scheme val="minor"/>
      </rPr>
      <t>：在沉没的城市中寻找遗迹，与海洋系啪嘟一起解开海底谜题。</t>
    </r>
  </si>
  <si>
    <r>
      <t>魔法迷宫</t>
    </r>
    <r>
      <rPr>
        <sz val="11"/>
        <color theme="1"/>
        <rFont val="等线"/>
        <family val="3"/>
        <charset val="134"/>
        <scheme val="minor"/>
      </rPr>
      <t>：在充满魔法的迷宫中寻找出路，与超能系啪嘟一起挑战难关。</t>
    </r>
  </si>
  <si>
    <r>
      <t>黑暗仪式</t>
    </r>
    <r>
      <rPr>
        <sz val="11"/>
        <color theme="1"/>
        <rFont val="等线"/>
        <family val="3"/>
        <charset val="134"/>
        <scheme val="minor"/>
      </rPr>
      <t>：阻止黑暗仪式的进行，保护村庄不受诅咒的侵袭，与光系啪嘟合作。</t>
    </r>
  </si>
  <si>
    <r>
      <t>深海采集</t>
    </r>
    <r>
      <rPr>
        <sz val="11"/>
        <color theme="1"/>
        <rFont val="等线"/>
        <family val="3"/>
        <charset val="134"/>
        <scheme val="minor"/>
      </rPr>
      <t>：在深海中寻找珍稀的资源，与海洋系啪嘟合作面对水下的危险。</t>
    </r>
  </si>
  <si>
    <r>
      <t>禁忌之地</t>
    </r>
    <r>
      <rPr>
        <sz val="11"/>
        <color theme="1"/>
        <rFont val="等线"/>
        <family val="3"/>
        <charset val="134"/>
        <scheme val="minor"/>
      </rPr>
      <t>：进入被遗忘的禁忌之地，探索其中的奥秘，与传说中的生物交流。</t>
    </r>
  </si>
  <si>
    <r>
      <t>丛林守护</t>
    </r>
    <r>
      <rPr>
        <sz val="11"/>
        <color theme="1"/>
        <rFont val="等线"/>
        <family val="3"/>
        <charset val="134"/>
        <scheme val="minor"/>
      </rPr>
      <t>：保护丛林中的生物不受侵扰，与丛林系啪嘟共同维护生态平衡。</t>
    </r>
  </si>
  <si>
    <r>
      <t>巨树探险</t>
    </r>
    <r>
      <rPr>
        <sz val="11"/>
        <color theme="1"/>
        <rFont val="等线"/>
        <family val="3"/>
        <charset val="134"/>
        <scheme val="minor"/>
      </rPr>
      <t>：在巨大的树木中探险，寻找隐藏在树干中的秘密，与树灵互动。</t>
    </r>
  </si>
  <si>
    <r>
      <t>沙滩探险</t>
    </r>
    <r>
      <rPr>
        <sz val="11"/>
        <color theme="1"/>
        <rFont val="等线"/>
        <family val="3"/>
        <charset val="134"/>
        <scheme val="minor"/>
      </rPr>
      <t>：在阳光明媚的沙滩上寻找失落的宝藏，与海洋系啪嘟一起冒险。</t>
    </r>
  </si>
  <si>
    <r>
      <t>神秘仪式</t>
    </r>
    <r>
      <rPr>
        <sz val="11"/>
        <color theme="1"/>
        <rFont val="等线"/>
        <family val="3"/>
        <charset val="134"/>
        <scheme val="minor"/>
      </rPr>
      <t>：参与古老的神秘仪式，揭开仪式背后的真相，与超能系啪嘟合作。</t>
    </r>
  </si>
  <si>
    <r>
      <t>沙漠幻影</t>
    </r>
    <r>
      <rPr>
        <sz val="11"/>
        <color theme="1"/>
        <rFont val="等线"/>
        <family val="3"/>
        <charset val="134"/>
        <scheme val="minor"/>
      </rPr>
      <t>：在沙漠中寻找传说中的幻影之城，解开其中的谜题，与沙系啪嘟互动。</t>
    </r>
  </si>
  <si>
    <r>
      <t>迷雾森林</t>
    </r>
    <r>
      <rPr>
        <sz val="11"/>
        <color theme="1"/>
        <rFont val="等线"/>
        <family val="3"/>
        <charset val="134"/>
        <scheme val="minor"/>
      </rPr>
      <t>：在迷雾笼罩的森林中探索，与植物系啪嘟一起揭开迷雾背后的秘密。</t>
    </r>
  </si>
  <si>
    <r>
      <t>地下城探险</t>
    </r>
    <r>
      <rPr>
        <sz val="11"/>
        <color theme="1"/>
        <rFont val="等线"/>
        <family val="3"/>
        <charset val="134"/>
        <scheme val="minor"/>
      </rPr>
      <t>：进入神秘的地下城，寻找失落的宝藏，与地下生物对抗。</t>
    </r>
  </si>
  <si>
    <r>
      <t>天空舞台</t>
    </r>
    <r>
      <rPr>
        <sz val="11"/>
        <color theme="1"/>
        <rFont val="等线"/>
        <family val="3"/>
        <charset val="134"/>
        <scheme val="minor"/>
      </rPr>
      <t>：在天空中的舞台上表演，与飞行系啪嘟共同展示空中技巧。</t>
    </r>
  </si>
  <si>
    <r>
      <t>海岸守护</t>
    </r>
    <r>
      <rPr>
        <sz val="11"/>
        <color theme="1"/>
        <rFont val="等线"/>
        <family val="3"/>
        <charset val="134"/>
        <scheme val="minor"/>
      </rPr>
      <t>：保护海岸免受侵袭，与海洋系啪嘟合作维持生态平衡。</t>
    </r>
  </si>
  <si>
    <r>
      <t>冰雪探险</t>
    </r>
    <r>
      <rPr>
        <sz val="11"/>
        <color theme="1"/>
        <rFont val="等线"/>
        <family val="3"/>
        <charset val="134"/>
        <scheme val="minor"/>
      </rPr>
      <t>：在冰雪覆盖的山脉中寻找遗失的宝藏，与冰系啪嘟一同面对极寒的挑战。</t>
    </r>
  </si>
  <si>
    <r>
      <t>神秘峡谷</t>
    </r>
    <r>
      <rPr>
        <sz val="11"/>
        <color theme="1"/>
        <rFont val="等线"/>
        <family val="3"/>
        <charset val="134"/>
        <scheme val="minor"/>
      </rPr>
      <t>：探索神秘的峡谷，寻找隐藏在其中的宝藏，与峡谷的生物互动。</t>
    </r>
  </si>
  <si>
    <r>
      <t>森林舞会</t>
    </r>
    <r>
      <rPr>
        <sz val="11"/>
        <color theme="1"/>
        <rFont val="等线"/>
        <family val="3"/>
        <charset val="134"/>
        <scheme val="minor"/>
      </rPr>
      <t>：参加森林中的盛大舞会，与植物系啪嘟一起庆祝自然的奇迹。</t>
    </r>
  </si>
  <si>
    <r>
      <t>古老战场</t>
    </r>
    <r>
      <rPr>
        <sz val="11"/>
        <color theme="1"/>
        <rFont val="等线"/>
        <family val="3"/>
        <charset val="134"/>
        <scheme val="minor"/>
      </rPr>
      <t>：探索古老的战场，寻找传说中的神器，与战场的灵魂对话。</t>
    </r>
  </si>
  <si>
    <r>
      <t>深渊之旅</t>
    </r>
    <r>
      <rPr>
        <sz val="11"/>
        <color theme="1"/>
        <rFont val="等线"/>
        <family val="3"/>
        <charset val="134"/>
        <scheme val="minor"/>
      </rPr>
      <t>：深入无底深渊，寻找失落的宝藏，与深渊中的怪物展开搏斗。</t>
    </r>
  </si>
  <si>
    <r>
      <t>神秘实验</t>
    </r>
    <r>
      <rPr>
        <sz val="11"/>
        <color theme="1"/>
        <rFont val="等线"/>
        <family val="3"/>
        <charset val="134"/>
        <scheme val="minor"/>
      </rPr>
      <t>：参与神秘的实验，揭开科学的奥秘，与超能系啪嘟共同探索未知。</t>
    </r>
  </si>
  <si>
    <r>
      <t>沙漠绿洲</t>
    </r>
    <r>
      <rPr>
        <sz val="11"/>
        <color theme="1"/>
        <rFont val="等线"/>
        <family val="3"/>
        <charset val="134"/>
        <scheme val="minor"/>
      </rPr>
      <t>：在沙漠中寻找传说中的绿洲，与沙系啪嘟合作解决水源危机。</t>
    </r>
  </si>
  <si>
    <r>
      <t>湖中传说</t>
    </r>
    <r>
      <rPr>
        <sz val="11"/>
        <color theme="1"/>
        <rFont val="等线"/>
        <family val="3"/>
        <charset val="134"/>
        <scheme val="minor"/>
      </rPr>
      <t>：在湖泊中寻找传说中的生物，与水系啪嘟一起探索湖底的秘密。</t>
    </r>
  </si>
  <si>
    <r>
      <t>黑暗之门</t>
    </r>
    <r>
      <rPr>
        <sz val="11"/>
        <color theme="1"/>
        <rFont val="等线"/>
        <family val="3"/>
        <charset val="134"/>
        <scheme val="minor"/>
      </rPr>
      <t>：阻止黑暗之门的开启，保护世界不受侵扰，与光系啪嘟合作。</t>
    </r>
  </si>
  <si>
    <r>
      <t>星际旅行</t>
    </r>
    <r>
      <rPr>
        <sz val="11"/>
        <color theme="1"/>
        <rFont val="等线"/>
        <family val="3"/>
        <charset val="134"/>
        <scheme val="minor"/>
      </rPr>
      <t>：乘坐宇宙飞船进行星际旅行，探索未知的星球，与外星生物交友。</t>
    </r>
  </si>
  <si>
    <r>
      <t>幽灵船探险</t>
    </r>
    <r>
      <rPr>
        <sz val="11"/>
        <color theme="1"/>
        <rFont val="等线"/>
        <family val="3"/>
        <charset val="134"/>
        <scheme val="minor"/>
      </rPr>
      <t>：登上神秘的幽灵船，解开船上的谜团，与灵异生物共存。</t>
    </r>
  </si>
  <si>
    <r>
      <t>禁忌仪式</t>
    </r>
    <r>
      <rPr>
        <sz val="11"/>
        <color theme="1"/>
        <rFont val="等线"/>
        <family val="3"/>
        <charset val="134"/>
        <scheme val="minor"/>
      </rPr>
      <t>：阻止禁忌仪式的进行，保护村庄不受诅咒的侵袭，与光系啪嘟合作。</t>
    </r>
  </si>
  <si>
    <r>
      <t>深海狩猎</t>
    </r>
    <r>
      <rPr>
        <sz val="11"/>
        <color theme="1"/>
        <rFont val="等线"/>
        <family val="3"/>
        <charset val="134"/>
        <scheme val="minor"/>
      </rPr>
      <t>：在深海中寻找珍稀的生物，与海洋系啪嘟一起面对水下的挑战。</t>
    </r>
  </si>
  <si>
    <r>
      <t>失落的文明</t>
    </r>
    <r>
      <rPr>
        <sz val="11"/>
        <color theme="1"/>
        <rFont val="等线"/>
        <family val="3"/>
        <charset val="134"/>
        <scheme val="minor"/>
      </rPr>
      <t>：探索失落的文明遗迹，寻找被遗忘的知识，与遗迹中的生物交流。</t>
    </r>
  </si>
  <si>
    <r>
      <t>幻影之地</t>
    </r>
    <r>
      <rPr>
        <sz val="11"/>
        <color theme="1"/>
        <rFont val="等线"/>
        <family val="3"/>
        <charset val="134"/>
        <scheme val="minor"/>
      </rPr>
      <t>：在幻影之地寻找传说中的宝藏，与幻影系啪嘟共同解开谜题。</t>
    </r>
  </si>
  <si>
    <r>
      <t>沙暴之旅</t>
    </r>
    <r>
      <rPr>
        <sz val="11"/>
        <color theme="1"/>
        <rFont val="等线"/>
        <family val="3"/>
        <charset val="134"/>
        <scheme val="minor"/>
      </rPr>
      <t>：在沙暴中寻找失落的城镇，与风系啪嘟一起面对极端天气。</t>
    </r>
  </si>
  <si>
    <r>
      <t>森林守护者</t>
    </r>
    <r>
      <rPr>
        <sz val="11"/>
        <color theme="1"/>
        <rFont val="等线"/>
        <family val="3"/>
        <charset val="134"/>
        <scheme val="minor"/>
      </rPr>
      <t>：帮助森林守护者保护自然，与植物系啪嘟一起维护生态平衡。</t>
    </r>
  </si>
  <si>
    <r>
      <t>天空探险</t>
    </r>
    <r>
      <rPr>
        <sz val="11"/>
        <color theme="1"/>
        <rFont val="等线"/>
        <family val="3"/>
        <charset val="134"/>
        <scheme val="minor"/>
      </rPr>
      <t>：在天空中寻找传说中的飞行系啪嘟，与它们一起探索空中的奇迹。</t>
    </r>
  </si>
  <si>
    <r>
      <t>水晶洞探险</t>
    </r>
    <r>
      <rPr>
        <sz val="11"/>
        <color theme="1"/>
        <rFont val="等线"/>
        <family val="3"/>
        <charset val="134"/>
        <scheme val="minor"/>
      </rPr>
      <t>：在闪耀的水晶洞中寻找珍贵的晶体，与洞穴的守护者建立联系。</t>
    </r>
  </si>
  <si>
    <r>
      <t>冰川之旅</t>
    </r>
    <r>
      <rPr>
        <sz val="11"/>
        <color theme="1"/>
        <rFont val="等线"/>
        <family val="3"/>
        <charset val="134"/>
        <scheme val="minor"/>
      </rPr>
      <t>：在冰川中寻找传说中的冰系啪嘟，与它们一起面对极寒的挑战。</t>
    </r>
  </si>
  <si>
    <r>
      <t>沙滩派对</t>
    </r>
    <r>
      <rPr>
        <sz val="11"/>
        <color theme="1"/>
        <rFont val="等线"/>
        <family val="3"/>
        <charset val="134"/>
        <scheme val="minor"/>
      </rPr>
      <t>：在沙滩上与海洋系啪嘟一起参加派对，寻找海滩上的隐藏宝藏。</t>
    </r>
  </si>
  <si>
    <r>
      <t>丛林探险</t>
    </r>
    <r>
      <rPr>
        <sz val="11"/>
        <color theme="1"/>
        <rFont val="等线"/>
        <family val="3"/>
        <charset val="134"/>
        <scheme val="minor"/>
      </rPr>
      <t>：在丛林中寻找传说中的宝藏，与丛林系啪嘟一起揭开隐藏的谜题。</t>
    </r>
  </si>
  <si>
    <r>
      <t>巨树探险</t>
    </r>
    <r>
      <rPr>
        <sz val="11"/>
        <color theme="1"/>
        <rFont val="等线"/>
        <family val="3"/>
        <charset val="134"/>
        <scheme val="minor"/>
      </rPr>
      <t>：在巨大的树木中探险，寻找隐藏在树冠中的秘密，与树灵互动。</t>
    </r>
  </si>
  <si>
    <r>
      <t>沙漠探险</t>
    </r>
    <r>
      <rPr>
        <sz val="11"/>
        <color theme="1"/>
        <rFont val="等线"/>
        <family val="3"/>
        <charset val="134"/>
        <scheme val="minor"/>
      </rPr>
      <t>：在沙漠中寻找传说中的绿洲，与沙系啪嘟合作解决水源危机。</t>
    </r>
  </si>
  <si>
    <r>
      <t>湖泊探险</t>
    </r>
    <r>
      <rPr>
        <sz val="11"/>
        <color theme="1"/>
        <rFont val="等线"/>
        <family val="3"/>
        <charset val="134"/>
        <scheme val="minor"/>
      </rPr>
      <t>：在宁静的湖泊中寻找水下的秘密，与水系啪嘟一起探索神秘的湖底。</t>
    </r>
  </si>
  <si>
    <r>
      <t>魔法试炼</t>
    </r>
    <r>
      <rPr>
        <sz val="11"/>
        <color theme="1"/>
        <rFont val="等线"/>
        <family val="3"/>
        <charset val="134"/>
        <scheme val="minor"/>
      </rPr>
      <t>：参加古老的魔法试炼，挑战各种考验，证明自己的智慧与力量。</t>
    </r>
  </si>
  <si>
    <r>
      <t>风之岛探险</t>
    </r>
    <r>
      <rPr>
        <sz val="11"/>
        <color theme="1"/>
        <rFont val="等线"/>
        <family val="3"/>
        <charset val="134"/>
        <scheme val="minor"/>
      </rPr>
      <t>：在风之岛中寻找隐藏的宝藏，与风系啪嘟一起面对风力的挑战。</t>
    </r>
  </si>
  <si>
    <r>
      <t>森林探险</t>
    </r>
    <r>
      <rPr>
        <sz val="11"/>
        <color theme="1"/>
        <rFont val="等线"/>
        <family val="3"/>
        <charset val="134"/>
        <scheme val="minor"/>
      </rPr>
      <t>：在森林中寻找传说中的宝藏，与植物系啪嘟一起揭开隐藏的谜题。</t>
    </r>
  </si>
  <si>
    <r>
      <t>魔法古堡</t>
    </r>
    <r>
      <rPr>
        <sz val="11"/>
        <color theme="1"/>
        <rFont val="等线"/>
        <family val="3"/>
        <charset val="134"/>
        <scheme val="minor"/>
      </rPr>
      <t>：探索神秘的魔法古堡，与超能系啪嘟一起解开古堡中的秘密。</t>
    </r>
  </si>
  <si>
    <r>
      <t>风之谷探险</t>
    </r>
    <r>
      <rPr>
        <sz val="11"/>
        <color theme="1"/>
        <rFont val="等线"/>
        <family val="3"/>
        <charset val="134"/>
        <scheme val="minor"/>
      </rPr>
      <t>：在风之谷中探索，利用风力机制解决难题，与风系啪嘟共同冒险。</t>
    </r>
  </si>
  <si>
    <r>
      <t>沙漠守护</t>
    </r>
    <r>
      <rPr>
        <sz val="11"/>
        <color theme="1"/>
        <rFont val="等线"/>
        <family val="3"/>
        <charset val="134"/>
        <scheme val="minor"/>
      </rPr>
      <t>：保护沙漠中的生物不受侵扰，与沙系啪嘟共同维护生态平衡。</t>
    </r>
  </si>
  <si>
    <r>
      <t>湖泊奇遇</t>
    </r>
    <r>
      <rPr>
        <sz val="11"/>
        <color theme="1"/>
        <rFont val="等线"/>
        <family val="3"/>
        <charset val="134"/>
        <scheme val="minor"/>
      </rPr>
      <t>：在湖泊中寻找传说中的生物，与水系啪嘟一起探索湖底的秘密。</t>
    </r>
  </si>
  <si>
    <t>深海探险：探索神秘的海底世界，寻找失落的宝藏和传说中的生物，揭开古老海洋的秘密。</t>
  </si>
  <si>
    <t>森林守护者：帮助守护者保护森林不被邪恶势力侵袭，并寻找传说中的生命之树。</t>
  </si>
  <si>
    <t>熔岩探险：深入火山熔岩洞穴，寻找稀有的火系啪嘟，面对炽热的挑战。</t>
  </si>
  <si>
    <t>沙漠奇观：在无垠的沙漠中寻找古代遗迹，揭开被遗忘的文明的谜团。</t>
  </si>
  <si>
    <t>雪山救援：在寒冷的雪山中寻找失踪的探险队员，并与冰系啪嘟建立联系。</t>
  </si>
  <si>
    <t>神秘遗址：探索神秘遗址，与古代的灵魂对话，寻找传说中的神秘力量。</t>
  </si>
  <si>
    <t>丛林探险：穿越密林，发现隐藏在树冠中的秘密，解开丛林中的谜题。</t>
  </si>
  <si>
    <t>幽灵岛探险：探索神秘幽灵岛，与岛上的幽灵和平共处，寻找隐藏的宝藏。</t>
  </si>
  <si>
    <t>天空之城：在浮空的城市中探索，寻找遗失的科技，与飞行系啪嘟交友。</t>
  </si>
  <si>
    <t>地下迷宫：进入复杂的地下迷宫，解开隐藏的机关和谜题，找到通往宝藏的道路。</t>
  </si>
  <si>
    <t>魔法学院：在魔法学院学习神秘的法术，与超能系啪嘟一起破解古老的禁忌。</t>
  </si>
  <si>
    <t>水晶洞窟：探寻闪耀的水晶洞窟，收集珍贵的晶体，与洞穴的守护者建立联系。</t>
  </si>
  <si>
    <t>火山研究：调查活火山的活动，与火系啪嘟一起进行科学研究，预防火山喷发的灾难。</t>
  </si>
  <si>
    <t>传说中的剑：寻找传说中的神剑，与剑灵交流，揭示隐藏的英雄传说。</t>
  </si>
  <si>
    <t>迷失的村庄：在被诅咒的村庄中解开谜题，帮助村民恢复正常生活。</t>
  </si>
  <si>
    <t>冰雪盛宴：在冰雪王国中参加盛大的宴会，与冰系啪嘟分享温暖的时光。</t>
  </si>
  <si>
    <t>夜间巡逻：在漆黑的夜晚守护村庄，防止夜行生物的入侵，确保居民的安全。</t>
  </si>
  <si>
    <t>星际探险：乘坐飞船穿越星空，探索未知的星球，与外星生物建立联系。</t>
  </si>
  <si>
    <t>幽灵列车：搭乘神秘的幽灵列车，解开列车上的谜团，与灵异生物共存。</t>
  </si>
  <si>
    <t>神秘海域：在未知的海域中航行，寻找传说中的海怪，探索未知的水下世界。</t>
  </si>
  <si>
    <t>勇者试炼：参加古老的勇者试炼，挑战各种考验，证明自己的勇气与智慧。</t>
  </si>
  <si>
    <t>风之谷探索：在风之谷中探索，利用风力机制解决难题，与风系啪嘟共同冒险。</t>
  </si>
  <si>
    <t>沙漠商队：护送商队穿越危险的沙漠，与商队成员建立友谊，抵达安全的绿洲。</t>
  </si>
  <si>
    <t>古堡探秘：进入古老的城堡，揭开隐藏在其中的秘密，与神秘的生物交谈。</t>
  </si>
  <si>
    <t>深渊探险：潜入无底深渊，寻找失落的珍宝，与深渊中的怪物展开搏斗。</t>
  </si>
  <si>
    <t>植物园奇遇：在巨大的植物园中探险，与各种植物系啪嘟互动，发现植物的秘密。</t>
  </si>
  <si>
    <t>幻影森林：在幻影森林中寻找传说中的宝藏，揭开森林中的幻觉谜题。</t>
  </si>
  <si>
    <t>神秘古庙：探索失落的古庙，与庙中的守护者合作，揭开历史的面纱。</t>
  </si>
  <si>
    <t>黑暗峡谷：在黑暗峡谷中寻求光明，与黑暗系啪嘟共同面对未知的挑战。</t>
  </si>
  <si>
    <t>湖泊之谜：在宁静的湖泊中寻找水下的秘密，与水系啪嘟一起探索神秘的湖底。</t>
  </si>
  <si>
    <t>魔法之书：寻找失落的魔法之书，学习古老的咒语，与超能系啪嘟一起释放力量。</t>
  </si>
  <si>
    <t>天空守护者：保护天空之城免受敌人的攻击，与飞行系啪嘟合作抵御空中威胁。</t>
  </si>
  <si>
    <t>沙滩狂欢：在沙滩上与海洋系啪嘟狂欢，寻找海滩上的隐藏宝藏。</t>
  </si>
  <si>
    <t>冰封洞窟：在冰封洞窟中寻找失落的宝藏，与冰系啪嘟一起面对寒冷的挑战。</t>
  </si>
  <si>
    <t>沙暴探险：在沙暴中探索失落的城镇，与风系啪嘟一起面对极端天气。</t>
  </si>
  <si>
    <t>树顶探险：在树顶世界中穿梭，寻找隐藏在树冠中的秘密，与树灵交流。</t>
  </si>
  <si>
    <t>火山营救：营救被困在火山中的探险队，与火系啪嘟合作应对热浪的挑战。</t>
  </si>
  <si>
    <t>神秘集市：在神秘的集市上探索，与各类啪嘟交易，发现隐藏的宝物。</t>
  </si>
  <si>
    <t>天空之旅：乘坐飞艇穿越云层，寻找隐藏在天空中的奇迹，与飞行系啪嘟一同冒险。</t>
  </si>
  <si>
    <t>幽暗森林：在幽暗森林中寻找传说中的光明精灵，解除森林中的诅咒。</t>
  </si>
  <si>
    <t>水晶塔探索：登上水晶塔顶端，寻找失落的智慧，与塔中的守护者交流。</t>
  </si>
  <si>
    <t>魔法森林：在魔法森林中寻找传说中的药草，与植物系啪嘟合作发现隐藏的力量。</t>
  </si>
  <si>
    <t>极地探险：在极地地区寻找稀有的冰系啪嘟，面对极寒的环境挑战。</t>
  </si>
  <si>
    <t>夜空观星：在宁静的夜晚观测星空，与星系啪嘟共同探索宇宙的奥秘。</t>
  </si>
  <si>
    <t>幻影岛屿：探索传说中的幻影岛屿，寻找失落的秘宝，与岛屿的生物交流。</t>
  </si>
  <si>
    <t>古代传说：解开古代传说的秘密，与传说中的啪嘟共同探索历史的真相。</t>
  </si>
  <si>
    <t>海底城市：在沉没的城市中寻找遗迹，与海洋系啪嘟一起解开海底谜题。</t>
  </si>
  <si>
    <t>魔法迷宫：在充满魔法的迷宫中寻找出路，与超能系啪嘟一起挑战难关。</t>
  </si>
  <si>
    <t>黑暗仪式：阻止黑暗仪式的进行，保护村庄不受诅咒的侵袭，与光系啪嘟合作。</t>
  </si>
  <si>
    <t>深海采集：在深海中寻找珍稀的资源，与海洋系啪嘟合作面对水下的危险。</t>
  </si>
  <si>
    <t>禁忌之地：进入被遗忘的禁忌之地，探索其中的奥秘，与传说中的生物交流。</t>
  </si>
  <si>
    <t>丛林守护：保护丛林中的生物不受侵扰，与丛林系啪嘟共同维护生态平衡。</t>
  </si>
  <si>
    <t>巨树探险：在巨大的树木中探险，寻找隐藏在树干中的秘密，与树灵互动。</t>
  </si>
  <si>
    <t>沙滩探险：在阳光明媚的沙滩上寻找失落的宝藏，与海洋系啪嘟一起冒险。</t>
  </si>
  <si>
    <t>神秘仪式：参与古老的神秘仪式，揭开仪式背后的真相，与超能系啪嘟合作。</t>
  </si>
  <si>
    <t>沙漠幻影：在沙漠中寻找传说中的幻影之城，解开其中的谜题，与沙系啪嘟互动。</t>
  </si>
  <si>
    <t>迷雾森林：在迷雾笼罩的森林中探索，与植物系啪嘟一起揭开迷雾背后的秘密。</t>
  </si>
  <si>
    <t>地下城探险：进入神秘的地下城，寻找失落的宝藏，与地下生物对抗。</t>
  </si>
  <si>
    <t>天空舞台：在天空中的舞台上表演，与飞行系啪嘟共同展示空中技巧。</t>
  </si>
  <si>
    <t>海岸守护：保护海岸免受侵袭，与海洋系啪嘟合作维持生态平衡。</t>
  </si>
  <si>
    <t>冰雪探险：在冰雪覆盖的山脉中寻找遗失的宝藏，与冰系啪嘟一同面对极寒的挑战。</t>
  </si>
  <si>
    <t>神秘峡谷：探索神秘的峡谷，寻找隐藏在其中的宝藏，与峡谷的生物互动。</t>
  </si>
  <si>
    <t>森林舞会：参加森林中的盛大舞会，与植物系啪嘟一起庆祝自然的奇迹。</t>
  </si>
  <si>
    <t>古老战场：探索古老的战场，寻找传说中的神器，与战场的灵魂对话。</t>
  </si>
  <si>
    <t>深渊之旅：深入无底深渊，寻找失落的宝藏，与深渊中的怪物展开搏斗。</t>
  </si>
  <si>
    <t>神秘实验：参与神秘的实验，揭开科学的奥秘，与超能系啪嘟共同探索未知。</t>
  </si>
  <si>
    <t>沙漠绿洲：在沙漠中寻找传说中的绿洲，与沙系啪嘟合作解决水源危机。</t>
  </si>
  <si>
    <t>湖中传说：在湖泊中寻找传说中的生物，与水系啪嘟一起探索湖底的秘密。</t>
  </si>
  <si>
    <t>黑暗之门：阻止黑暗之门的开启，保护世界不受侵扰，与光系啪嘟合作。</t>
  </si>
  <si>
    <t>星际旅行：乘坐宇宙飞船进行星际旅行，探索未知的星球，与外星生物交友。</t>
  </si>
  <si>
    <t>幽灵船探险：登上神秘的幽灵船，解开船上的谜团，与灵异生物共存。</t>
  </si>
  <si>
    <t>禁忌仪式：阻止禁忌仪式的进行，保护村庄不受诅咒的侵袭，与光系啪嘟合作。</t>
  </si>
  <si>
    <t>深海狩猎：在深海中寻找珍稀的生物，与海洋系啪嘟一起面对水下的挑战。</t>
  </si>
  <si>
    <t>失落的文明：探索失落的文明遗迹，寻找被遗忘的知识，与遗迹中的生物交流。</t>
  </si>
  <si>
    <t>幻影之地：在幻影之地寻找传说中的宝藏，与幻影系啪嘟共同解开谜题。</t>
  </si>
  <si>
    <t>沙暴之旅：在沙暴中寻找失落的城镇，与风系啪嘟一起面对极端天气。</t>
  </si>
  <si>
    <t>森林守护者：帮助森林守护者保护自然，与植物系啪嘟一起维护生态平衡。</t>
  </si>
  <si>
    <t>天空探险：在天空中寻找传说中的飞行系啪嘟，与它们一起探索空中的奇迹。</t>
  </si>
  <si>
    <t>水晶洞探险：在闪耀的水晶洞中寻找珍贵的晶体，与洞穴的守护者建立联系。</t>
  </si>
  <si>
    <t>冰川之旅：在冰川中寻找传说中的冰系啪嘟，与它们一起面对极寒的挑战。</t>
  </si>
  <si>
    <t>沙滩派对：在沙滩上与海洋系啪嘟一起参加派对，寻找海滩上的隐藏宝藏。</t>
  </si>
  <si>
    <t>丛林探险：在丛林中寻找传说中的宝藏，与丛林系啪嘟一起揭开隐藏的谜题。</t>
  </si>
  <si>
    <t>巨树探险：在巨大的树木中探险，寻找隐藏在树冠中的秘密，与树灵互动。</t>
  </si>
  <si>
    <t>沙漠探险：在沙漠中寻找传说中的绿洲，与沙系啪嘟合作解决水源危机。</t>
  </si>
  <si>
    <t>湖泊探险：在宁静的湖泊中寻找水下的秘密，与水系啪嘟一起探索神秘的湖底。</t>
  </si>
  <si>
    <t>魔法试炼：参加古老的魔法试炼，挑战各种考验，证明自己的智慧与力量。</t>
  </si>
  <si>
    <t>风之岛探险：在风之岛中寻找隐藏的宝藏，与风系啪嘟一起面对风力的挑战。</t>
  </si>
  <si>
    <t>森林探险：在森林中寻找传说中的宝藏，与植物系啪嘟一起揭开隐藏的谜题。</t>
  </si>
  <si>
    <t>魔法古堡：探索神秘的魔法古堡，与超能系啪嘟一起解开古堡中的秘密。</t>
  </si>
  <si>
    <t>风之谷探险：在风之谷中探索，利用风力机制解决难题，与风系啪嘟共同冒险。</t>
  </si>
  <si>
    <t>沙漠守护：保护沙漠中的生物不受侵扰，与沙系啪嘟共同维护生态平衡。</t>
  </si>
  <si>
    <t>湖泊奇遇：在湖泊中寻找传说中的生物，与水系啪嘟一起探索湖底的秘密。</t>
  </si>
  <si>
    <t>Pet_10062</t>
  </si>
  <si>
    <t>Pet_10321</t>
  </si>
  <si>
    <t>Pet_10601</t>
  </si>
  <si>
    <t>Pet_10461</t>
  </si>
  <si>
    <t>Pet_10562</t>
  </si>
  <si>
    <t>Pet_10301</t>
  </si>
  <si>
    <t>Pet_10351</t>
  </si>
  <si>
    <t>Pet_10101</t>
  </si>
  <si>
    <t>Pet_10570</t>
  </si>
  <si>
    <t>Pet_10320</t>
  </si>
  <si>
    <t>Pet_10561</t>
  </si>
  <si>
    <t>string</t>
    <phoneticPr fontId="2" type="noConversion"/>
  </si>
  <si>
    <t>arrayint</t>
    <phoneticPr fontId="2" type="noConversion"/>
  </si>
  <si>
    <t>Pet_10070</t>
  </si>
  <si>
    <t>Pet_10071</t>
  </si>
  <si>
    <t>Pet_10102</t>
  </si>
  <si>
    <t>Pet_10110</t>
  </si>
  <si>
    <t>Pet_10111</t>
  </si>
  <si>
    <t>Pet_10122</t>
  </si>
  <si>
    <t>Pet_10140</t>
  </si>
  <si>
    <t>Pet_10141</t>
  </si>
  <si>
    <t>Pet_10160</t>
  </si>
  <si>
    <t>Pet_10170</t>
  </si>
  <si>
    <t>Pet_10171</t>
  </si>
  <si>
    <t>Pet_10181</t>
  </si>
  <si>
    <t>Pet_10190</t>
  </si>
  <si>
    <t>Pet_10210</t>
  </si>
  <si>
    <t>Pet_10211</t>
  </si>
  <si>
    <t>Pet_10230</t>
  </si>
  <si>
    <t>Pet_10231</t>
  </si>
  <si>
    <t>Pet_10250</t>
  </si>
  <si>
    <t>Pet_10251</t>
  </si>
  <si>
    <t>Pet_10270</t>
  </si>
  <si>
    <t>Pet_10271</t>
  </si>
  <si>
    <t>Pet_10272</t>
  </si>
  <si>
    <t>Pet_10332</t>
  </si>
  <si>
    <t>Pet_10352</t>
  </si>
  <si>
    <t>Pet_10360</t>
  </si>
  <si>
    <t>Pet_10361</t>
  </si>
  <si>
    <t>Pet_10391</t>
  </si>
  <si>
    <t>Pet_10392</t>
  </si>
  <si>
    <t>Pet_10422</t>
  </si>
  <si>
    <t>Pet_10450</t>
  </si>
  <si>
    <t>Pet_10451</t>
  </si>
  <si>
    <t>Pet_10470</t>
  </si>
  <si>
    <t>Pet_10471</t>
  </si>
  <si>
    <t>Pet_10510</t>
  </si>
  <si>
    <t>Pet_10511</t>
  </si>
  <si>
    <t>Pet_10512</t>
  </si>
  <si>
    <t>Pet_10520</t>
  </si>
  <si>
    <t>Pet_10521</t>
  </si>
  <si>
    <t>Pet_10522</t>
  </si>
  <si>
    <t>Pet_10530</t>
  </si>
  <si>
    <t>Pet_10531</t>
  </si>
  <si>
    <t>Pet_10580</t>
  </si>
  <si>
    <t>Pet_10581</t>
  </si>
  <si>
    <t>Pet_10582</t>
  </si>
  <si>
    <t>Pet_10620</t>
  </si>
  <si>
    <t>Pet_10621</t>
  </si>
  <si>
    <t>Pet_10622</t>
  </si>
  <si>
    <t>行路草</t>
  </si>
  <si>
    <t>行路兽</t>
  </si>
  <si>
    <t>冰角鹿</t>
  </si>
  <si>
    <t>霜角鹿</t>
  </si>
  <si>
    <t>下忍菇</t>
  </si>
  <si>
    <t>上忍菇</t>
  </si>
  <si>
    <t>影忍菇</t>
  </si>
  <si>
    <t>小树卫</t>
  </si>
  <si>
    <t>树桩战士</t>
  </si>
  <si>
    <t>藤蔓球</t>
  </si>
  <si>
    <t>尖牙蔓</t>
  </si>
  <si>
    <t>三头巨蔓</t>
  </si>
  <si>
    <t>炽焰幼虎</t>
  </si>
  <si>
    <t>炽焰虎</t>
  </si>
  <si>
    <t>小丑魔盒</t>
  </si>
  <si>
    <t>尖叫鸡</t>
  </si>
  <si>
    <t>勇士鸡</t>
  </si>
  <si>
    <t>鼹鼠幼崽</t>
  </si>
  <si>
    <t>鼹鼠矿工</t>
  </si>
  <si>
    <t>受伤小软</t>
  </si>
  <si>
    <t>战斗小软</t>
  </si>
  <si>
    <t>奶拳兔</t>
  </si>
  <si>
    <t>拳击兔</t>
  </si>
  <si>
    <t>拳王兔</t>
  </si>
  <si>
    <t>角斗娃</t>
  </si>
  <si>
    <t>巨角斗牛</t>
  </si>
  <si>
    <t>重锤兽</t>
  </si>
  <si>
    <t>重锤巨兽</t>
  </si>
  <si>
    <t>小烛灵</t>
  </si>
  <si>
    <t>烛灵枪手</t>
  </si>
  <si>
    <t xml:space="preserve"> 火尾猴</t>
  </si>
  <si>
    <t>火焰猴</t>
  </si>
  <si>
    <t>火焰精灵</t>
  </si>
  <si>
    <t>熔岩精灵</t>
  </si>
  <si>
    <t>熔岩王</t>
  </si>
  <si>
    <t>爆弹蟹</t>
  </si>
  <si>
    <t>火药蟹</t>
  </si>
  <si>
    <t>三恶魔</t>
  </si>
  <si>
    <t>蓬蓬羊</t>
  </si>
  <si>
    <t>巨角羊</t>
  </si>
  <si>
    <t>炽焰羊</t>
  </si>
  <si>
    <t>迷眩蝙蝠</t>
  </si>
  <si>
    <t>夜影伯爵</t>
  </si>
  <si>
    <t>夜影公爵</t>
  </si>
  <si>
    <t>稻草人</t>
  </si>
  <si>
    <t>稻草绅士</t>
  </si>
  <si>
    <t>好奇鬼鬼</t>
  </si>
  <si>
    <t>胆小鬼鬼</t>
  </si>
  <si>
    <t>壶灵将</t>
  </si>
  <si>
    <t>壶灵王</t>
  </si>
  <si>
    <t>灯灵章鱼</t>
  </si>
  <si>
    <t>潜灵章鱼</t>
  </si>
  <si>
    <t>幼灵犬</t>
  </si>
  <si>
    <t>三头灵犬</t>
  </si>
  <si>
    <t>三头犬神</t>
  </si>
  <si>
    <t>弹弓翼龙</t>
  </si>
  <si>
    <t>火炮翼龙</t>
  </si>
  <si>
    <t>雷暴幼龙</t>
  </si>
  <si>
    <t>音波鳄</t>
  </si>
  <si>
    <t>音响鳄</t>
  </si>
  <si>
    <t>炽焰猪</t>
  </si>
  <si>
    <t>钢爪幼龙</t>
  </si>
  <si>
    <t>钢甲暴龙</t>
  </si>
  <si>
    <t>机械暴龙</t>
  </si>
  <si>
    <t>木宝蜥</t>
  </si>
  <si>
    <t>戟手蜥</t>
  </si>
  <si>
    <t>骑士蜥</t>
  </si>
  <si>
    <t>小财龙</t>
  </si>
  <si>
    <t>财宝龙</t>
  </si>
  <si>
    <t>导弹鲨</t>
  </si>
  <si>
    <t>鱼雷鲨</t>
  </si>
  <si>
    <t>核弹鲨</t>
  </si>
  <si>
    <t>象茶壶</t>
  </si>
  <si>
    <t>蜜汁蜗牛</t>
  </si>
  <si>
    <t>堡垒蜗牛</t>
  </si>
  <si>
    <t>城堡蜗牛</t>
  </si>
  <si>
    <t>冰灵</t>
  </si>
  <si>
    <t>冰甲兽</t>
  </si>
  <si>
    <t>见习海盗鲨</t>
  </si>
  <si>
    <t>大副海盗鲨</t>
  </si>
  <si>
    <t>船长海盗鲨</t>
  </si>
  <si>
    <t>1000,200000|10010010,5</t>
    <phoneticPr fontId="2" type="noConversion"/>
  </si>
  <si>
    <t>1000,300000|10010110,5</t>
    <phoneticPr fontId="2" type="noConversion"/>
  </si>
  <si>
    <t>1000,500000|10010030,5</t>
    <phoneticPr fontId="2" type="noConversion"/>
  </si>
  <si>
    <t>1000,1000000|10010020,5|10010120,5</t>
    <phoneticPr fontId="2" type="noConversion"/>
  </si>
  <si>
    <t>1000,2000000|10010050,5|10010150,5</t>
    <phoneticPr fontId="2" type="noConversion"/>
  </si>
  <si>
    <t>1000,5000000|10020320,1</t>
    <phoneticPr fontId="2" type="noConversion"/>
  </si>
  <si>
    <t>1000,10000000|10020330,1</t>
    <phoneticPr fontId="2" type="noConversion"/>
  </si>
  <si>
    <t>1000,20000000|10000010,1</t>
    <phoneticPr fontId="2" type="noConversion"/>
  </si>
  <si>
    <t>1000,100000000|10000010,10</t>
    <phoneticPr fontId="2" type="noConversion"/>
  </si>
  <si>
    <t>1000,50000000|10020440,2</t>
    <phoneticPr fontId="2" type="noConversion"/>
  </si>
  <si>
    <t>2000,200000|10010010,5</t>
  </si>
  <si>
    <t>2000,300000|10010110,5</t>
  </si>
  <si>
    <t>2000,500000|10010030,5</t>
  </si>
  <si>
    <t>2000,1000000|10010020,5|10010120,5</t>
  </si>
  <si>
    <t>2000,2000000|10010050,5|10010150,5</t>
  </si>
  <si>
    <t>2000,5000000|10020320,1</t>
  </si>
  <si>
    <t>2000,10000000|10020330,1</t>
  </si>
  <si>
    <t>2000,20000000|10000010,1</t>
  </si>
  <si>
    <t>2000,50000000|10020440,2</t>
  </si>
  <si>
    <t>2000,100000000|10000010,10</t>
  </si>
  <si>
    <t>2|2</t>
  </si>
  <si>
    <t>4000|4000</t>
  </si>
  <si>
    <t>4|6</t>
  </si>
  <si>
    <t>5|3</t>
  </si>
  <si>
    <t>4|2</t>
  </si>
  <si>
    <t>6|1</t>
  </si>
  <si>
    <t>5|1</t>
  </si>
  <si>
    <t>4|1</t>
  </si>
  <si>
    <t>4|5</t>
  </si>
  <si>
    <t>2|1</t>
  </si>
  <si>
    <t>2|6|4</t>
  </si>
  <si>
    <t>3000|3000|2000</t>
  </si>
  <si>
    <t>4|1|6</t>
  </si>
  <si>
    <t>2|4|6</t>
  </si>
  <si>
    <t>1|3</t>
  </si>
  <si>
    <t>5|5</t>
  </si>
  <si>
    <t>1|1</t>
  </si>
  <si>
    <t>2|6</t>
  </si>
  <si>
    <t>5|6</t>
  </si>
  <si>
    <t>6|1|4</t>
  </si>
  <si>
    <t>6|6|1</t>
  </si>
  <si>
    <t>5|3|4</t>
  </si>
  <si>
    <t>5|5|2</t>
  </si>
  <si>
    <t>3|1|3</t>
  </si>
  <si>
    <t>3|1|2</t>
  </si>
  <si>
    <t>1|6</t>
  </si>
  <si>
    <t>6|3</t>
  </si>
  <si>
    <t>4|3</t>
  </si>
  <si>
    <t>3|2|4</t>
  </si>
  <si>
    <t>4|6|1</t>
  </si>
  <si>
    <t>4|5|3</t>
  </si>
  <si>
    <t>6|5|5</t>
  </si>
  <si>
    <t>1|2|3</t>
  </si>
  <si>
    <t>1|3|5</t>
  </si>
  <si>
    <t>4|6|4</t>
  </si>
  <si>
    <t>1|2|1</t>
  </si>
  <si>
    <t>4|6|3</t>
  </si>
  <si>
    <t>2|3</t>
  </si>
  <si>
    <t>4|3|6</t>
  </si>
  <si>
    <t>6|4|5</t>
  </si>
  <si>
    <t>3|2|2</t>
  </si>
  <si>
    <t>4|2|4</t>
  </si>
  <si>
    <t>2|1|6</t>
  </si>
  <si>
    <t>2|4|2</t>
  </si>
  <si>
    <t>2|5|5</t>
  </si>
  <si>
    <t>4|1|1</t>
  </si>
  <si>
    <t>2|3|2</t>
  </si>
  <si>
    <t>4|4|6</t>
  </si>
  <si>
    <t>3|2|3</t>
  </si>
  <si>
    <t>3|5|2</t>
  </si>
  <si>
    <t>3000|2000|2000</t>
  </si>
  <si>
    <t>4|5|4</t>
  </si>
  <si>
    <t>6|1|6</t>
  </si>
  <si>
    <t>3|5|1</t>
  </si>
  <si>
    <t>4|2|1</t>
  </si>
  <si>
    <t>5|3|6</t>
  </si>
  <si>
    <t>1|5|4</t>
  </si>
  <si>
    <t>2|1|2</t>
  </si>
  <si>
    <t>2|2|6</t>
  </si>
  <si>
    <t>6|4|4</t>
  </si>
  <si>
    <t>4|2|6</t>
  </si>
  <si>
    <t>3|3|1</t>
  </si>
  <si>
    <t>6|2|6</t>
  </si>
  <si>
    <t>4|6|2</t>
  </si>
  <si>
    <t>4|3|4</t>
  </si>
  <si>
    <t>5|6|5</t>
  </si>
  <si>
    <t>2|2|5</t>
  </si>
  <si>
    <t>1|6|2</t>
  </si>
  <si>
    <t>3|6|5</t>
  </si>
  <si>
    <t>6|2|4</t>
  </si>
  <si>
    <t>4|2|2</t>
  </si>
  <si>
    <t>5|2|4</t>
  </si>
  <si>
    <t>1|1|5</t>
  </si>
  <si>
    <t>4|6|5</t>
  </si>
  <si>
    <t>2|5|3</t>
  </si>
  <si>
    <t>2|3|4</t>
  </si>
  <si>
    <t>5|3|3</t>
  </si>
  <si>
    <t>6|4|1</t>
  </si>
  <si>
    <t>2|1|5</t>
  </si>
  <si>
    <t>5|1|6</t>
  </si>
  <si>
    <t>2|6|1</t>
  </si>
  <si>
    <t>5|4|2</t>
  </si>
  <si>
    <t>2|2|2</t>
  </si>
  <si>
    <t>5|1|2</t>
  </si>
  <si>
    <t>3|4|5</t>
  </si>
  <si>
    <t>2000|2000|2000</t>
  </si>
  <si>
    <t>2|2|4</t>
  </si>
  <si>
    <t>4|3|3</t>
  </si>
  <si>
    <t>3|4|2</t>
  </si>
  <si>
    <t>6|1|3</t>
  </si>
  <si>
    <t>5|4|1</t>
  </si>
  <si>
    <t>3|3|4</t>
  </si>
  <si>
    <t>4|1|3</t>
  </si>
  <si>
    <t>3|3|5</t>
  </si>
  <si>
    <t>1|5|5</t>
  </si>
  <si>
    <t>2|1|1</t>
  </si>
  <si>
    <t>2|4|5</t>
  </si>
  <si>
    <t>2000|2000|1000</t>
  </si>
  <si>
    <t>2|5|1</t>
  </si>
  <si>
    <t>1|2|2</t>
  </si>
  <si>
    <t>3|4|4</t>
  </si>
  <si>
    <t>6|3|4</t>
  </si>
  <si>
    <t>1|2|4</t>
  </si>
  <si>
    <t>6|4|6</t>
  </si>
  <si>
    <t>4|1|5</t>
  </si>
  <si>
    <t>4|2|3</t>
  </si>
  <si>
    <t>3|5|6</t>
  </si>
  <si>
    <t>4|4|4</t>
  </si>
  <si>
    <t>3|1|1</t>
  </si>
  <si>
    <t>6|2|1</t>
  </si>
  <si>
    <t>1|5|3</t>
  </si>
  <si>
    <t>6|3|1</t>
  </si>
  <si>
    <t>4|1|2</t>
  </si>
  <si>
    <t>6|5|1</t>
  </si>
  <si>
    <t>5|5|5</t>
  </si>
  <si>
    <t>6|3|3</t>
  </si>
  <si>
    <t>6|6|3</t>
  </si>
  <si>
    <t>5|1|1</t>
  </si>
  <si>
    <t>2|2|3</t>
  </si>
  <si>
    <t>3|4|1</t>
  </si>
  <si>
    <t>1|4|3</t>
  </si>
  <si>
    <t>4|5|2</t>
  </si>
  <si>
    <t>5|4|6</t>
  </si>
  <si>
    <t>5|4|5</t>
  </si>
  <si>
    <t>3|1|4</t>
  </si>
  <si>
    <t>4|5|5</t>
  </si>
  <si>
    <t>1|3|3</t>
  </si>
  <si>
    <t>2|6|3</t>
  </si>
  <si>
    <t>1|4|2</t>
  </si>
  <si>
    <t>1|3|1</t>
  </si>
  <si>
    <t>6|4|2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</si>
</sst>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0.5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.5"/>
      <color rgb="FF000000"/>
      <name val="微软雅黑"/>
      <family val="2"/>
      <charset val="134"/>
    </font>
    <font>
      <sz val="10.5"/>
      <color rgb="FF000000"/>
      <name val="Arial"/>
      <family val="2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6" fillId="2" borderId="1" xfId="0" applyFont="1" applyFill="1" applyBorder="1" applyAlignment="1">
      <alignment horizontal="justify" vertical="center" wrapText="1"/>
    </xf>
    <xf numFmtId="0" fontId="6" fillId="2" borderId="2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8" fillId="0" borderId="0" xfId="0" applyFont="1"/>
    <xf numFmtId="3" fontId="5" fillId="0" borderId="0" xfId="0" applyNumberFormat="1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6"/>
  <sheetViews>
    <sheetView tabSelected="1" workbookViewId="0">
      <pane xSplit="1" ySplit="3" topLeftCell="D155" activePane="bottomRight" state="frozen"/>
      <selection pane="topRight"/>
      <selection pane="bottomLeft"/>
      <selection pane="bottomRight" activeCell="H1" sqref="H1:I1048576"/>
    </sheetView>
  </sheetViews>
  <sheetFormatPr defaultColWidth="12.375" defaultRowHeight="14.25" x14ac:dyDescent="0.2"/>
  <cols>
    <col min="1" max="1" width="10.375" bestFit="1" customWidth="1"/>
    <col min="2" max="2" width="12.25" bestFit="1" customWidth="1"/>
    <col min="3" max="3" width="22" bestFit="1" customWidth="1"/>
    <col min="4" max="4" width="14.125" bestFit="1" customWidth="1"/>
    <col min="5" max="5" width="12.25" bestFit="1" customWidth="1"/>
    <col min="6" max="6" width="16.25" bestFit="1" customWidth="1"/>
    <col min="7" max="7" width="83.75" bestFit="1" customWidth="1"/>
    <col min="8" max="9" width="16.125" bestFit="1" customWidth="1"/>
    <col min="10" max="10" width="12.25" bestFit="1" customWidth="1"/>
    <col min="11" max="11" width="16.125" bestFit="1" customWidth="1"/>
    <col min="12" max="12" width="14.875" bestFit="1" customWidth="1"/>
    <col min="13" max="13" width="40.375" bestFit="1" customWidth="1"/>
  </cols>
  <sheetData>
    <row r="1" spans="1:13" ht="18" thickBot="1" x14ac:dyDescent="0.25">
      <c r="A1" s="2" t="s">
        <v>1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18</v>
      </c>
      <c r="I1" s="2" t="s">
        <v>19</v>
      </c>
      <c r="J1" s="2" t="s">
        <v>20</v>
      </c>
      <c r="K1" s="2" t="s">
        <v>22</v>
      </c>
      <c r="L1" s="2" t="s">
        <v>24</v>
      </c>
      <c r="M1" s="2" t="s">
        <v>26</v>
      </c>
    </row>
    <row r="2" spans="1:13" ht="18" thickBot="1" x14ac:dyDescent="0.25">
      <c r="A2" s="2" t="s">
        <v>4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280</v>
      </c>
      <c r="G2" s="2" t="s">
        <v>2</v>
      </c>
      <c r="H2" s="2" t="s">
        <v>281</v>
      </c>
      <c r="I2" s="2" t="s">
        <v>281</v>
      </c>
      <c r="J2" s="2" t="s">
        <v>0</v>
      </c>
      <c r="K2" s="2" t="s">
        <v>0</v>
      </c>
      <c r="L2" s="2" t="s">
        <v>0</v>
      </c>
      <c r="M2" s="2" t="s">
        <v>2</v>
      </c>
    </row>
    <row r="3" spans="1:13" ht="18" thickBot="1" x14ac:dyDescent="0.25">
      <c r="A3" s="2" t="s">
        <v>5</v>
      </c>
      <c r="B3" s="2" t="s">
        <v>7</v>
      </c>
      <c r="C3" s="2" t="s">
        <v>9</v>
      </c>
      <c r="D3" s="2" t="s">
        <v>11</v>
      </c>
      <c r="E3" s="2" t="s">
        <v>13</v>
      </c>
      <c r="F3" s="2" t="s">
        <v>15</v>
      </c>
      <c r="G3" s="2" t="s">
        <v>17</v>
      </c>
      <c r="H3" s="2" t="s">
        <v>27</v>
      </c>
      <c r="I3" s="2" t="s">
        <v>29</v>
      </c>
      <c r="J3" s="2" t="s">
        <v>21</v>
      </c>
      <c r="K3" s="2" t="s">
        <v>23</v>
      </c>
      <c r="L3" s="2" t="s">
        <v>25</v>
      </c>
      <c r="M3" s="2" t="s">
        <v>31</v>
      </c>
    </row>
    <row r="4" spans="1:13" x14ac:dyDescent="0.2">
      <c r="A4">
        <v>1</v>
      </c>
      <c r="B4">
        <v>1</v>
      </c>
      <c r="C4">
        <v>1</v>
      </c>
      <c r="D4">
        <v>10000</v>
      </c>
      <c r="E4">
        <v>30</v>
      </c>
      <c r="F4" t="s">
        <v>301</v>
      </c>
      <c r="G4" t="s">
        <v>256</v>
      </c>
      <c r="H4" s="7" t="s">
        <v>430</v>
      </c>
      <c r="I4" t="s">
        <v>431</v>
      </c>
      <c r="J4">
        <v>10000</v>
      </c>
      <c r="K4">
        <v>2000</v>
      </c>
      <c r="L4">
        <v>5</v>
      </c>
      <c r="M4" t="s">
        <v>420</v>
      </c>
    </row>
    <row r="5" spans="1:13" x14ac:dyDescent="0.2">
      <c r="A5">
        <v>2</v>
      </c>
      <c r="B5">
        <v>1</v>
      </c>
      <c r="C5">
        <v>1</v>
      </c>
      <c r="D5">
        <v>10000</v>
      </c>
      <c r="E5">
        <v>30</v>
      </c>
      <c r="F5" t="s">
        <v>61</v>
      </c>
      <c r="G5" t="s">
        <v>210</v>
      </c>
      <c r="H5" t="s">
        <v>432</v>
      </c>
      <c r="I5" t="s">
        <v>431</v>
      </c>
      <c r="J5">
        <v>10000</v>
      </c>
      <c r="K5">
        <v>2000</v>
      </c>
      <c r="L5">
        <v>5</v>
      </c>
      <c r="M5" t="s">
        <v>420</v>
      </c>
    </row>
    <row r="6" spans="1:13" x14ac:dyDescent="0.2">
      <c r="A6">
        <v>3</v>
      </c>
      <c r="B6">
        <v>1</v>
      </c>
      <c r="C6">
        <v>1</v>
      </c>
      <c r="D6">
        <v>10000</v>
      </c>
      <c r="E6">
        <v>30</v>
      </c>
      <c r="F6" t="s">
        <v>37</v>
      </c>
      <c r="G6" t="s">
        <v>192</v>
      </c>
      <c r="H6" t="s">
        <v>433</v>
      </c>
      <c r="I6" t="s">
        <v>431</v>
      </c>
      <c r="J6">
        <v>10000</v>
      </c>
      <c r="K6">
        <v>2000</v>
      </c>
      <c r="L6">
        <v>5</v>
      </c>
      <c r="M6" t="s">
        <v>420</v>
      </c>
    </row>
    <row r="7" spans="1:13" x14ac:dyDescent="0.2">
      <c r="A7">
        <v>4</v>
      </c>
      <c r="B7">
        <v>2</v>
      </c>
      <c r="C7">
        <v>1</v>
      </c>
      <c r="D7">
        <v>8000</v>
      </c>
      <c r="E7">
        <v>60</v>
      </c>
      <c r="F7" t="s">
        <v>321</v>
      </c>
      <c r="G7" t="s">
        <v>237</v>
      </c>
      <c r="H7" t="s">
        <v>434</v>
      </c>
      <c r="I7" t="s">
        <v>431</v>
      </c>
      <c r="J7">
        <v>20000</v>
      </c>
      <c r="K7">
        <v>2000</v>
      </c>
      <c r="L7">
        <v>5</v>
      </c>
      <c r="M7" t="s">
        <v>421</v>
      </c>
    </row>
    <row r="8" spans="1:13" x14ac:dyDescent="0.2">
      <c r="A8">
        <v>5</v>
      </c>
      <c r="B8">
        <v>2</v>
      </c>
      <c r="C8">
        <v>1</v>
      </c>
      <c r="D8">
        <v>8000</v>
      </c>
      <c r="E8">
        <v>60</v>
      </c>
      <c r="F8" t="s">
        <v>288</v>
      </c>
      <c r="G8" t="s">
        <v>190</v>
      </c>
      <c r="H8" t="s">
        <v>435</v>
      </c>
      <c r="I8" t="s">
        <v>431</v>
      </c>
      <c r="J8">
        <v>20000</v>
      </c>
      <c r="K8">
        <v>2000</v>
      </c>
      <c r="L8">
        <v>5</v>
      </c>
      <c r="M8" t="s">
        <v>421</v>
      </c>
    </row>
    <row r="9" spans="1:13" x14ac:dyDescent="0.2">
      <c r="A9">
        <v>6</v>
      </c>
      <c r="B9">
        <v>2</v>
      </c>
      <c r="C9">
        <v>1</v>
      </c>
      <c r="D9">
        <v>8000</v>
      </c>
      <c r="E9">
        <v>60</v>
      </c>
      <c r="F9" t="s">
        <v>37</v>
      </c>
      <c r="G9" t="s">
        <v>228</v>
      </c>
      <c r="H9" t="s">
        <v>436</v>
      </c>
      <c r="I9" t="s">
        <v>431</v>
      </c>
      <c r="J9">
        <v>20000</v>
      </c>
      <c r="K9">
        <v>2000</v>
      </c>
      <c r="L9">
        <v>5</v>
      </c>
      <c r="M9" t="s">
        <v>421</v>
      </c>
    </row>
    <row r="10" spans="1:13" x14ac:dyDescent="0.2">
      <c r="A10">
        <v>7</v>
      </c>
      <c r="B10">
        <v>3</v>
      </c>
      <c r="C10">
        <v>1</v>
      </c>
      <c r="D10">
        <v>6000</v>
      </c>
      <c r="E10">
        <v>90</v>
      </c>
      <c r="F10" t="s">
        <v>282</v>
      </c>
      <c r="G10" t="s">
        <v>183</v>
      </c>
      <c r="H10" t="s">
        <v>437</v>
      </c>
      <c r="I10" t="s">
        <v>431</v>
      </c>
      <c r="J10">
        <v>40000</v>
      </c>
      <c r="K10">
        <v>2000</v>
      </c>
      <c r="L10">
        <v>5</v>
      </c>
      <c r="M10" t="s">
        <v>422</v>
      </c>
    </row>
    <row r="11" spans="1:13" x14ac:dyDescent="0.2">
      <c r="A11">
        <v>8</v>
      </c>
      <c r="B11">
        <v>3</v>
      </c>
      <c r="C11">
        <v>1</v>
      </c>
      <c r="D11">
        <v>6000</v>
      </c>
      <c r="E11">
        <v>90</v>
      </c>
      <c r="F11" t="s">
        <v>65</v>
      </c>
      <c r="G11" t="s">
        <v>258</v>
      </c>
      <c r="H11" t="s">
        <v>438</v>
      </c>
      <c r="I11" t="s">
        <v>431</v>
      </c>
      <c r="J11">
        <v>40000</v>
      </c>
      <c r="K11">
        <v>2000</v>
      </c>
      <c r="L11">
        <v>5</v>
      </c>
      <c r="M11" t="s">
        <v>422</v>
      </c>
    </row>
    <row r="12" spans="1:13" x14ac:dyDescent="0.2">
      <c r="A12">
        <v>9</v>
      </c>
      <c r="B12">
        <v>3</v>
      </c>
      <c r="C12">
        <v>1</v>
      </c>
      <c r="D12">
        <v>6000</v>
      </c>
      <c r="E12">
        <v>90</v>
      </c>
      <c r="F12" t="s">
        <v>39</v>
      </c>
      <c r="G12" t="s">
        <v>234</v>
      </c>
      <c r="H12" t="s">
        <v>439</v>
      </c>
      <c r="I12" t="s">
        <v>431</v>
      </c>
      <c r="J12">
        <v>40000</v>
      </c>
      <c r="K12">
        <v>2000</v>
      </c>
      <c r="L12">
        <v>5</v>
      </c>
      <c r="M12" t="s">
        <v>422</v>
      </c>
    </row>
    <row r="13" spans="1:13" x14ac:dyDescent="0.2">
      <c r="A13">
        <v>10</v>
      </c>
      <c r="B13">
        <v>4</v>
      </c>
      <c r="C13">
        <v>1</v>
      </c>
      <c r="D13">
        <v>4500</v>
      </c>
      <c r="E13">
        <v>120</v>
      </c>
      <c r="F13" t="s">
        <v>276</v>
      </c>
      <c r="G13" t="s">
        <v>186</v>
      </c>
      <c r="H13" t="s">
        <v>440</v>
      </c>
      <c r="I13" t="s">
        <v>441</v>
      </c>
      <c r="J13">
        <v>80000</v>
      </c>
      <c r="K13">
        <v>2000</v>
      </c>
      <c r="L13">
        <v>5</v>
      </c>
      <c r="M13" t="s">
        <v>423</v>
      </c>
    </row>
    <row r="14" spans="1:13" x14ac:dyDescent="0.2">
      <c r="A14">
        <v>11</v>
      </c>
      <c r="B14">
        <v>4</v>
      </c>
      <c r="C14">
        <v>1</v>
      </c>
      <c r="D14">
        <v>4500</v>
      </c>
      <c r="E14">
        <v>120</v>
      </c>
      <c r="F14" t="s">
        <v>319</v>
      </c>
      <c r="G14" t="s">
        <v>263</v>
      </c>
      <c r="H14" t="s">
        <v>442</v>
      </c>
      <c r="I14" t="s">
        <v>441</v>
      </c>
      <c r="J14">
        <v>80000</v>
      </c>
      <c r="K14">
        <v>2000</v>
      </c>
      <c r="L14">
        <v>5</v>
      </c>
      <c r="M14" t="s">
        <v>423</v>
      </c>
    </row>
    <row r="15" spans="1:13" x14ac:dyDescent="0.2">
      <c r="A15">
        <v>12</v>
      </c>
      <c r="B15">
        <v>4</v>
      </c>
      <c r="C15">
        <v>1</v>
      </c>
      <c r="D15">
        <v>4500</v>
      </c>
      <c r="E15">
        <v>120</v>
      </c>
      <c r="F15" t="s">
        <v>62</v>
      </c>
      <c r="G15" t="s">
        <v>198</v>
      </c>
      <c r="H15" t="s">
        <v>443</v>
      </c>
      <c r="I15" t="s">
        <v>441</v>
      </c>
      <c r="J15">
        <v>80000</v>
      </c>
      <c r="K15">
        <v>2000</v>
      </c>
      <c r="L15">
        <v>5</v>
      </c>
      <c r="M15" t="s">
        <v>423</v>
      </c>
    </row>
    <row r="16" spans="1:13" x14ac:dyDescent="0.2">
      <c r="A16">
        <v>13</v>
      </c>
      <c r="B16">
        <v>1</v>
      </c>
      <c r="C16">
        <v>2</v>
      </c>
      <c r="D16">
        <v>10000</v>
      </c>
      <c r="E16">
        <v>30</v>
      </c>
      <c r="F16" t="s">
        <v>318</v>
      </c>
      <c r="G16" t="s">
        <v>266</v>
      </c>
      <c r="H16" t="s">
        <v>444</v>
      </c>
      <c r="I16" t="s">
        <v>431</v>
      </c>
      <c r="J16">
        <v>10000</v>
      </c>
      <c r="K16">
        <v>2000</v>
      </c>
      <c r="L16">
        <v>5</v>
      </c>
      <c r="M16" t="s">
        <v>420</v>
      </c>
    </row>
    <row r="17" spans="1:13" x14ac:dyDescent="0.2">
      <c r="A17">
        <v>14</v>
      </c>
      <c r="B17">
        <v>1</v>
      </c>
      <c r="C17">
        <v>2</v>
      </c>
      <c r="D17">
        <v>10000</v>
      </c>
      <c r="E17">
        <v>30</v>
      </c>
      <c r="F17" t="s">
        <v>37</v>
      </c>
      <c r="G17" t="s">
        <v>200</v>
      </c>
      <c r="H17" t="s">
        <v>445</v>
      </c>
      <c r="I17" t="s">
        <v>431</v>
      </c>
      <c r="J17">
        <v>10000</v>
      </c>
      <c r="K17">
        <v>2000</v>
      </c>
      <c r="L17">
        <v>5</v>
      </c>
      <c r="M17" t="s">
        <v>420</v>
      </c>
    </row>
    <row r="18" spans="1:13" x14ac:dyDescent="0.2">
      <c r="A18">
        <v>15</v>
      </c>
      <c r="B18">
        <v>1</v>
      </c>
      <c r="C18">
        <v>2</v>
      </c>
      <c r="D18">
        <v>10000</v>
      </c>
      <c r="E18">
        <v>30</v>
      </c>
      <c r="F18" t="s">
        <v>278</v>
      </c>
      <c r="G18" t="s">
        <v>200</v>
      </c>
      <c r="H18" t="s">
        <v>446</v>
      </c>
      <c r="I18" t="s">
        <v>431</v>
      </c>
      <c r="J18">
        <v>10000</v>
      </c>
      <c r="K18">
        <v>2000</v>
      </c>
      <c r="L18">
        <v>5</v>
      </c>
      <c r="M18" t="s">
        <v>420</v>
      </c>
    </row>
    <row r="19" spans="1:13" x14ac:dyDescent="0.2">
      <c r="A19">
        <v>16</v>
      </c>
      <c r="B19">
        <v>2</v>
      </c>
      <c r="C19">
        <v>2</v>
      </c>
      <c r="D19">
        <v>8000</v>
      </c>
      <c r="E19">
        <v>60</v>
      </c>
      <c r="F19" t="s">
        <v>301</v>
      </c>
      <c r="G19" t="s">
        <v>222</v>
      </c>
      <c r="H19" t="s">
        <v>447</v>
      </c>
      <c r="I19" t="s">
        <v>431</v>
      </c>
      <c r="J19">
        <v>20000</v>
      </c>
      <c r="K19">
        <v>2000</v>
      </c>
      <c r="L19">
        <v>5</v>
      </c>
      <c r="M19" t="s">
        <v>421</v>
      </c>
    </row>
    <row r="20" spans="1:13" x14ac:dyDescent="0.2">
      <c r="A20">
        <v>17</v>
      </c>
      <c r="B20">
        <v>2</v>
      </c>
      <c r="C20">
        <v>2</v>
      </c>
      <c r="D20">
        <v>8000</v>
      </c>
      <c r="E20">
        <v>60</v>
      </c>
      <c r="F20" t="s">
        <v>278</v>
      </c>
      <c r="G20" t="s">
        <v>240</v>
      </c>
      <c r="H20" t="s">
        <v>444</v>
      </c>
      <c r="I20" t="s">
        <v>431</v>
      </c>
      <c r="J20">
        <v>20000</v>
      </c>
      <c r="K20">
        <v>2000</v>
      </c>
      <c r="L20">
        <v>5</v>
      </c>
      <c r="M20" t="s">
        <v>421</v>
      </c>
    </row>
    <row r="21" spans="1:13" x14ac:dyDescent="0.2">
      <c r="A21">
        <v>18</v>
      </c>
      <c r="B21">
        <v>2</v>
      </c>
      <c r="C21">
        <v>2</v>
      </c>
      <c r="D21">
        <v>8000</v>
      </c>
      <c r="E21">
        <v>60</v>
      </c>
      <c r="F21" t="s">
        <v>52</v>
      </c>
      <c r="G21" t="s">
        <v>236</v>
      </c>
      <c r="H21" t="s">
        <v>439</v>
      </c>
      <c r="I21" t="s">
        <v>431</v>
      </c>
      <c r="J21">
        <v>20000</v>
      </c>
      <c r="K21">
        <v>2000</v>
      </c>
      <c r="L21">
        <v>5</v>
      </c>
      <c r="M21" t="s">
        <v>421</v>
      </c>
    </row>
    <row r="22" spans="1:13" x14ac:dyDescent="0.2">
      <c r="A22">
        <v>19</v>
      </c>
      <c r="B22">
        <v>3</v>
      </c>
      <c r="C22">
        <v>2</v>
      </c>
      <c r="D22">
        <v>6000</v>
      </c>
      <c r="E22">
        <v>90</v>
      </c>
      <c r="F22" t="s">
        <v>55</v>
      </c>
      <c r="G22" t="s">
        <v>223</v>
      </c>
      <c r="H22" t="s">
        <v>445</v>
      </c>
      <c r="I22" t="s">
        <v>431</v>
      </c>
      <c r="J22">
        <v>40000</v>
      </c>
      <c r="K22">
        <v>2000</v>
      </c>
      <c r="L22">
        <v>5</v>
      </c>
      <c r="M22" t="s">
        <v>422</v>
      </c>
    </row>
    <row r="23" spans="1:13" x14ac:dyDescent="0.2">
      <c r="A23">
        <v>20</v>
      </c>
      <c r="B23">
        <v>3</v>
      </c>
      <c r="C23">
        <v>2</v>
      </c>
      <c r="D23">
        <v>6000</v>
      </c>
      <c r="E23">
        <v>90</v>
      </c>
      <c r="F23" t="s">
        <v>49</v>
      </c>
      <c r="G23" t="s">
        <v>205</v>
      </c>
      <c r="H23" t="s">
        <v>436</v>
      </c>
      <c r="I23" t="s">
        <v>431</v>
      </c>
      <c r="J23">
        <v>40000</v>
      </c>
      <c r="K23">
        <v>2000</v>
      </c>
      <c r="L23">
        <v>5</v>
      </c>
      <c r="M23" t="s">
        <v>422</v>
      </c>
    </row>
    <row r="24" spans="1:13" x14ac:dyDescent="0.2">
      <c r="A24">
        <v>21</v>
      </c>
      <c r="B24">
        <v>3</v>
      </c>
      <c r="C24">
        <v>2</v>
      </c>
      <c r="D24">
        <v>6000</v>
      </c>
      <c r="E24">
        <v>90</v>
      </c>
      <c r="F24" t="s">
        <v>61</v>
      </c>
      <c r="G24" t="s">
        <v>225</v>
      </c>
      <c r="H24" t="s">
        <v>448</v>
      </c>
      <c r="I24" t="s">
        <v>431</v>
      </c>
      <c r="J24">
        <v>40000</v>
      </c>
      <c r="K24">
        <v>2000</v>
      </c>
      <c r="L24">
        <v>5</v>
      </c>
      <c r="M24" t="s">
        <v>422</v>
      </c>
    </row>
    <row r="25" spans="1:13" x14ac:dyDescent="0.2">
      <c r="A25">
        <v>22</v>
      </c>
      <c r="B25">
        <v>4</v>
      </c>
      <c r="C25">
        <v>2</v>
      </c>
      <c r="D25">
        <v>4500</v>
      </c>
      <c r="E25">
        <v>120</v>
      </c>
      <c r="F25" t="s">
        <v>54</v>
      </c>
      <c r="G25" t="s">
        <v>225</v>
      </c>
      <c r="H25" t="s">
        <v>449</v>
      </c>
      <c r="I25" t="s">
        <v>441</v>
      </c>
      <c r="J25">
        <v>80000</v>
      </c>
      <c r="K25">
        <v>2000</v>
      </c>
      <c r="L25">
        <v>5</v>
      </c>
      <c r="M25" t="s">
        <v>423</v>
      </c>
    </row>
    <row r="26" spans="1:13" x14ac:dyDescent="0.2">
      <c r="A26">
        <v>23</v>
      </c>
      <c r="B26">
        <v>4</v>
      </c>
      <c r="C26">
        <v>2</v>
      </c>
      <c r="D26">
        <v>4500</v>
      </c>
      <c r="E26">
        <v>120</v>
      </c>
      <c r="F26" t="s">
        <v>308</v>
      </c>
      <c r="G26" t="s">
        <v>245</v>
      </c>
      <c r="H26" t="s">
        <v>450</v>
      </c>
      <c r="I26" t="s">
        <v>441</v>
      </c>
      <c r="J26">
        <v>80000</v>
      </c>
      <c r="K26">
        <v>2000</v>
      </c>
      <c r="L26">
        <v>5</v>
      </c>
      <c r="M26" t="s">
        <v>423</v>
      </c>
    </row>
    <row r="27" spans="1:13" x14ac:dyDescent="0.2">
      <c r="A27">
        <v>24</v>
      </c>
      <c r="B27">
        <v>4</v>
      </c>
      <c r="C27">
        <v>2</v>
      </c>
      <c r="D27">
        <v>4500</v>
      </c>
      <c r="E27">
        <v>120</v>
      </c>
      <c r="F27" t="s">
        <v>274</v>
      </c>
      <c r="G27" t="s">
        <v>268</v>
      </c>
      <c r="H27" t="s">
        <v>451</v>
      </c>
      <c r="I27" t="s">
        <v>441</v>
      </c>
      <c r="J27">
        <v>80000</v>
      </c>
      <c r="K27">
        <v>2000</v>
      </c>
      <c r="L27">
        <v>5</v>
      </c>
      <c r="M27" t="s">
        <v>423</v>
      </c>
    </row>
    <row r="28" spans="1:13" x14ac:dyDescent="0.2">
      <c r="A28">
        <v>25</v>
      </c>
      <c r="B28">
        <v>5</v>
      </c>
      <c r="C28">
        <v>2</v>
      </c>
      <c r="D28">
        <v>3000</v>
      </c>
      <c r="E28">
        <v>240</v>
      </c>
      <c r="F28" t="s">
        <v>308</v>
      </c>
      <c r="G28" t="s">
        <v>261</v>
      </c>
      <c r="H28" t="s">
        <v>452</v>
      </c>
      <c r="I28" t="s">
        <v>441</v>
      </c>
      <c r="J28">
        <v>120000</v>
      </c>
      <c r="K28">
        <v>2000</v>
      </c>
      <c r="L28">
        <v>5</v>
      </c>
      <c r="M28" t="s">
        <v>424</v>
      </c>
    </row>
    <row r="29" spans="1:13" x14ac:dyDescent="0.2">
      <c r="A29">
        <v>26</v>
      </c>
      <c r="B29">
        <v>5</v>
      </c>
      <c r="C29">
        <v>2</v>
      </c>
      <c r="D29">
        <v>3000</v>
      </c>
      <c r="E29">
        <v>240</v>
      </c>
      <c r="F29" t="s">
        <v>275</v>
      </c>
      <c r="G29" t="s">
        <v>206</v>
      </c>
      <c r="H29" t="s">
        <v>453</v>
      </c>
      <c r="I29" t="s">
        <v>441</v>
      </c>
      <c r="J29">
        <v>120000</v>
      </c>
      <c r="K29">
        <v>2000</v>
      </c>
      <c r="L29">
        <v>5</v>
      </c>
      <c r="M29" t="s">
        <v>424</v>
      </c>
    </row>
    <row r="30" spans="1:13" x14ac:dyDescent="0.2">
      <c r="A30">
        <v>27</v>
      </c>
      <c r="B30">
        <v>5</v>
      </c>
      <c r="C30">
        <v>2</v>
      </c>
      <c r="D30">
        <v>3000</v>
      </c>
      <c r="E30">
        <v>240</v>
      </c>
      <c r="F30" t="s">
        <v>319</v>
      </c>
      <c r="G30" t="s">
        <v>244</v>
      </c>
      <c r="H30" t="s">
        <v>454</v>
      </c>
      <c r="I30" t="s">
        <v>441</v>
      </c>
      <c r="J30">
        <v>120000</v>
      </c>
      <c r="K30">
        <v>2000</v>
      </c>
      <c r="L30">
        <v>5</v>
      </c>
      <c r="M30" t="s">
        <v>424</v>
      </c>
    </row>
    <row r="31" spans="1:13" x14ac:dyDescent="0.2">
      <c r="A31">
        <v>28</v>
      </c>
      <c r="B31">
        <v>1</v>
      </c>
      <c r="C31">
        <v>3</v>
      </c>
      <c r="D31">
        <v>10000</v>
      </c>
      <c r="E31">
        <v>30</v>
      </c>
      <c r="F31" t="s">
        <v>32</v>
      </c>
      <c r="G31" t="s">
        <v>221</v>
      </c>
      <c r="H31" t="s">
        <v>439</v>
      </c>
      <c r="I31" t="s">
        <v>431</v>
      </c>
      <c r="J31">
        <v>10000</v>
      </c>
      <c r="K31">
        <v>2000</v>
      </c>
      <c r="L31">
        <v>5</v>
      </c>
      <c r="M31" t="s">
        <v>420</v>
      </c>
    </row>
    <row r="32" spans="1:13" x14ac:dyDescent="0.2">
      <c r="A32">
        <v>29</v>
      </c>
      <c r="B32">
        <v>1</v>
      </c>
      <c r="C32">
        <v>3</v>
      </c>
      <c r="D32">
        <v>10000</v>
      </c>
      <c r="E32">
        <v>30</v>
      </c>
      <c r="F32" t="s">
        <v>295</v>
      </c>
      <c r="G32" t="s">
        <v>203</v>
      </c>
      <c r="H32" t="s">
        <v>438</v>
      </c>
      <c r="I32" t="s">
        <v>431</v>
      </c>
      <c r="J32">
        <v>10000</v>
      </c>
      <c r="K32">
        <v>2000</v>
      </c>
      <c r="L32">
        <v>5</v>
      </c>
      <c r="M32" t="s">
        <v>420</v>
      </c>
    </row>
    <row r="33" spans="1:13" x14ac:dyDescent="0.2">
      <c r="A33">
        <v>30</v>
      </c>
      <c r="B33">
        <v>1</v>
      </c>
      <c r="C33">
        <v>3</v>
      </c>
      <c r="D33">
        <v>10000</v>
      </c>
      <c r="E33">
        <v>30</v>
      </c>
      <c r="F33" t="s">
        <v>56</v>
      </c>
      <c r="G33" t="s">
        <v>203</v>
      </c>
      <c r="H33" t="s">
        <v>448</v>
      </c>
      <c r="I33" t="s">
        <v>431</v>
      </c>
      <c r="J33">
        <v>10000</v>
      </c>
      <c r="K33">
        <v>2000</v>
      </c>
      <c r="L33">
        <v>5</v>
      </c>
      <c r="M33" t="s">
        <v>420</v>
      </c>
    </row>
    <row r="34" spans="1:13" x14ac:dyDescent="0.2">
      <c r="A34">
        <v>31</v>
      </c>
      <c r="B34">
        <v>2</v>
      </c>
      <c r="C34">
        <v>3</v>
      </c>
      <c r="D34">
        <v>8000</v>
      </c>
      <c r="E34">
        <v>60</v>
      </c>
      <c r="F34" t="s">
        <v>318</v>
      </c>
      <c r="G34" t="s">
        <v>251</v>
      </c>
      <c r="H34" t="s">
        <v>455</v>
      </c>
      <c r="I34" t="s">
        <v>431</v>
      </c>
      <c r="J34">
        <v>20000</v>
      </c>
      <c r="K34">
        <v>2000</v>
      </c>
      <c r="L34">
        <v>5</v>
      </c>
      <c r="M34" t="s">
        <v>421</v>
      </c>
    </row>
    <row r="35" spans="1:13" x14ac:dyDescent="0.2">
      <c r="A35">
        <v>32</v>
      </c>
      <c r="B35">
        <v>2</v>
      </c>
      <c r="C35">
        <v>3</v>
      </c>
      <c r="D35">
        <v>8000</v>
      </c>
      <c r="E35">
        <v>60</v>
      </c>
      <c r="F35" t="s">
        <v>36</v>
      </c>
      <c r="G35" t="s">
        <v>189</v>
      </c>
      <c r="H35" t="s">
        <v>447</v>
      </c>
      <c r="I35" t="s">
        <v>431</v>
      </c>
      <c r="J35">
        <v>20000</v>
      </c>
      <c r="K35">
        <v>2000</v>
      </c>
      <c r="L35">
        <v>5</v>
      </c>
      <c r="M35" t="s">
        <v>421</v>
      </c>
    </row>
    <row r="36" spans="1:13" x14ac:dyDescent="0.2">
      <c r="A36">
        <v>33</v>
      </c>
      <c r="B36">
        <v>2</v>
      </c>
      <c r="C36">
        <v>3</v>
      </c>
      <c r="D36">
        <v>8000</v>
      </c>
      <c r="E36">
        <v>60</v>
      </c>
      <c r="F36" t="s">
        <v>299</v>
      </c>
      <c r="G36" t="s">
        <v>213</v>
      </c>
      <c r="H36" t="s">
        <v>448</v>
      </c>
      <c r="I36" t="s">
        <v>431</v>
      </c>
      <c r="J36">
        <v>20000</v>
      </c>
      <c r="K36">
        <v>2000</v>
      </c>
      <c r="L36">
        <v>5</v>
      </c>
      <c r="M36" t="s">
        <v>421</v>
      </c>
    </row>
    <row r="37" spans="1:13" x14ac:dyDescent="0.2">
      <c r="A37">
        <v>34</v>
      </c>
      <c r="B37">
        <v>3</v>
      </c>
      <c r="C37">
        <v>3</v>
      </c>
      <c r="D37">
        <v>6000</v>
      </c>
      <c r="E37">
        <v>90</v>
      </c>
      <c r="F37" t="s">
        <v>311</v>
      </c>
      <c r="G37" t="s">
        <v>219</v>
      </c>
      <c r="H37" t="s">
        <v>456</v>
      </c>
      <c r="I37" t="s">
        <v>431</v>
      </c>
      <c r="J37">
        <v>40000</v>
      </c>
      <c r="K37">
        <v>2000</v>
      </c>
      <c r="L37">
        <v>5</v>
      </c>
      <c r="M37" t="s">
        <v>422</v>
      </c>
    </row>
    <row r="38" spans="1:13" x14ac:dyDescent="0.2">
      <c r="A38">
        <v>35</v>
      </c>
      <c r="B38">
        <v>3</v>
      </c>
      <c r="C38">
        <v>3</v>
      </c>
      <c r="D38">
        <v>6000</v>
      </c>
      <c r="E38">
        <v>90</v>
      </c>
      <c r="F38" t="s">
        <v>278</v>
      </c>
      <c r="G38" t="s">
        <v>248</v>
      </c>
      <c r="H38" t="s">
        <v>457</v>
      </c>
      <c r="I38" t="s">
        <v>431</v>
      </c>
      <c r="J38">
        <v>40000</v>
      </c>
      <c r="K38">
        <v>2000</v>
      </c>
      <c r="L38">
        <v>5</v>
      </c>
      <c r="M38" t="s">
        <v>422</v>
      </c>
    </row>
    <row r="39" spans="1:13" x14ac:dyDescent="0.2">
      <c r="A39">
        <v>36</v>
      </c>
      <c r="B39">
        <v>3</v>
      </c>
      <c r="C39">
        <v>3</v>
      </c>
      <c r="D39">
        <v>6000</v>
      </c>
      <c r="E39">
        <v>90</v>
      </c>
      <c r="F39" t="s">
        <v>294</v>
      </c>
      <c r="G39" t="s">
        <v>227</v>
      </c>
      <c r="H39" t="s">
        <v>437</v>
      </c>
      <c r="I39" t="s">
        <v>431</v>
      </c>
      <c r="J39">
        <v>40000</v>
      </c>
      <c r="K39">
        <v>2000</v>
      </c>
      <c r="L39">
        <v>5</v>
      </c>
      <c r="M39" t="s">
        <v>422</v>
      </c>
    </row>
    <row r="40" spans="1:13" x14ac:dyDescent="0.2">
      <c r="A40">
        <v>37</v>
      </c>
      <c r="B40">
        <v>4</v>
      </c>
      <c r="C40">
        <v>3</v>
      </c>
      <c r="D40">
        <v>4500</v>
      </c>
      <c r="E40">
        <v>120</v>
      </c>
      <c r="F40" t="s">
        <v>57</v>
      </c>
      <c r="G40" t="s">
        <v>227</v>
      </c>
      <c r="H40" t="s">
        <v>458</v>
      </c>
      <c r="I40" t="s">
        <v>441</v>
      </c>
      <c r="J40">
        <v>80000</v>
      </c>
      <c r="K40">
        <v>2000</v>
      </c>
      <c r="L40">
        <v>5</v>
      </c>
      <c r="M40" t="s">
        <v>423</v>
      </c>
    </row>
    <row r="41" spans="1:13" x14ac:dyDescent="0.2">
      <c r="A41">
        <v>38</v>
      </c>
      <c r="B41">
        <v>4</v>
      </c>
      <c r="C41">
        <v>3</v>
      </c>
      <c r="D41">
        <v>4500</v>
      </c>
      <c r="E41">
        <v>120</v>
      </c>
      <c r="F41" t="s">
        <v>275</v>
      </c>
      <c r="G41" t="s">
        <v>229</v>
      </c>
      <c r="H41" t="s">
        <v>459</v>
      </c>
      <c r="I41" t="s">
        <v>441</v>
      </c>
      <c r="J41">
        <v>80000</v>
      </c>
      <c r="K41">
        <v>2000</v>
      </c>
      <c r="L41">
        <v>5</v>
      </c>
      <c r="M41" t="s">
        <v>423</v>
      </c>
    </row>
    <row r="42" spans="1:13" x14ac:dyDescent="0.2">
      <c r="A42">
        <v>39</v>
      </c>
      <c r="B42">
        <v>4</v>
      </c>
      <c r="C42">
        <v>3</v>
      </c>
      <c r="D42">
        <v>4500</v>
      </c>
      <c r="E42">
        <v>120</v>
      </c>
      <c r="F42" t="s">
        <v>275</v>
      </c>
      <c r="G42" t="s">
        <v>259</v>
      </c>
      <c r="H42" t="s">
        <v>460</v>
      </c>
      <c r="I42" t="s">
        <v>441</v>
      </c>
      <c r="J42">
        <v>80000</v>
      </c>
      <c r="K42">
        <v>2000</v>
      </c>
      <c r="L42">
        <v>5</v>
      </c>
      <c r="M42" t="s">
        <v>423</v>
      </c>
    </row>
    <row r="43" spans="1:13" x14ac:dyDescent="0.2">
      <c r="A43">
        <v>40</v>
      </c>
      <c r="B43">
        <v>5</v>
      </c>
      <c r="C43">
        <v>3</v>
      </c>
      <c r="D43">
        <v>3000</v>
      </c>
      <c r="E43">
        <v>240</v>
      </c>
      <c r="F43" t="s">
        <v>289</v>
      </c>
      <c r="G43" t="s">
        <v>191</v>
      </c>
      <c r="H43" t="s">
        <v>461</v>
      </c>
      <c r="I43" t="s">
        <v>441</v>
      </c>
      <c r="J43">
        <v>120000</v>
      </c>
      <c r="K43">
        <v>2000</v>
      </c>
      <c r="L43">
        <v>5</v>
      </c>
      <c r="M43" t="s">
        <v>424</v>
      </c>
    </row>
    <row r="44" spans="1:13" x14ac:dyDescent="0.2">
      <c r="A44">
        <v>41</v>
      </c>
      <c r="B44">
        <v>5</v>
      </c>
      <c r="C44">
        <v>3</v>
      </c>
      <c r="D44">
        <v>3000</v>
      </c>
      <c r="E44">
        <v>240</v>
      </c>
      <c r="F44" t="s">
        <v>38</v>
      </c>
      <c r="G44" t="s">
        <v>233</v>
      </c>
      <c r="H44" t="s">
        <v>462</v>
      </c>
      <c r="I44" t="s">
        <v>441</v>
      </c>
      <c r="J44">
        <v>120000</v>
      </c>
      <c r="K44">
        <v>2000</v>
      </c>
      <c r="L44">
        <v>5</v>
      </c>
      <c r="M44" t="s">
        <v>424</v>
      </c>
    </row>
    <row r="45" spans="1:13" x14ac:dyDescent="0.2">
      <c r="A45">
        <v>42</v>
      </c>
      <c r="B45">
        <v>5</v>
      </c>
      <c r="C45">
        <v>3</v>
      </c>
      <c r="D45">
        <v>3000</v>
      </c>
      <c r="E45">
        <v>240</v>
      </c>
      <c r="F45" t="s">
        <v>292</v>
      </c>
      <c r="G45" t="s">
        <v>265</v>
      </c>
      <c r="H45" t="s">
        <v>463</v>
      </c>
      <c r="I45" t="s">
        <v>441</v>
      </c>
      <c r="J45">
        <v>120000</v>
      </c>
      <c r="K45">
        <v>2000</v>
      </c>
      <c r="L45">
        <v>5</v>
      </c>
      <c r="M45" t="s">
        <v>424</v>
      </c>
    </row>
    <row r="46" spans="1:13" x14ac:dyDescent="0.2">
      <c r="A46">
        <v>43</v>
      </c>
      <c r="B46">
        <v>6</v>
      </c>
      <c r="C46">
        <v>3</v>
      </c>
      <c r="D46">
        <v>2000</v>
      </c>
      <c r="E46">
        <v>360</v>
      </c>
      <c r="F46" t="s">
        <v>270</v>
      </c>
      <c r="G46" t="s">
        <v>224</v>
      </c>
      <c r="H46" t="s">
        <v>440</v>
      </c>
      <c r="I46" t="s">
        <v>441</v>
      </c>
      <c r="J46">
        <v>200000</v>
      </c>
      <c r="K46">
        <v>2000</v>
      </c>
      <c r="L46">
        <v>5</v>
      </c>
      <c r="M46" t="s">
        <v>425</v>
      </c>
    </row>
    <row r="47" spans="1:13" x14ac:dyDescent="0.2">
      <c r="A47">
        <v>44</v>
      </c>
      <c r="B47">
        <v>6</v>
      </c>
      <c r="C47">
        <v>3</v>
      </c>
      <c r="D47">
        <v>2000</v>
      </c>
      <c r="E47">
        <v>360</v>
      </c>
      <c r="F47" t="s">
        <v>312</v>
      </c>
      <c r="G47" t="s">
        <v>218</v>
      </c>
      <c r="H47" t="s">
        <v>463</v>
      </c>
      <c r="I47" t="s">
        <v>441</v>
      </c>
      <c r="J47">
        <v>200000</v>
      </c>
      <c r="K47">
        <v>2000</v>
      </c>
      <c r="L47">
        <v>5</v>
      </c>
      <c r="M47" t="s">
        <v>425</v>
      </c>
    </row>
    <row r="48" spans="1:13" x14ac:dyDescent="0.2">
      <c r="A48">
        <v>45</v>
      </c>
      <c r="B48">
        <v>6</v>
      </c>
      <c r="C48">
        <v>3</v>
      </c>
      <c r="D48">
        <v>2000</v>
      </c>
      <c r="E48">
        <v>360</v>
      </c>
      <c r="F48" t="s">
        <v>298</v>
      </c>
      <c r="G48" t="s">
        <v>262</v>
      </c>
      <c r="H48" t="s">
        <v>464</v>
      </c>
      <c r="I48" t="s">
        <v>441</v>
      </c>
      <c r="J48">
        <v>200000</v>
      </c>
      <c r="K48">
        <v>2000</v>
      </c>
      <c r="L48">
        <v>5</v>
      </c>
      <c r="M48" t="s">
        <v>425</v>
      </c>
    </row>
    <row r="49" spans="1:13" x14ac:dyDescent="0.2">
      <c r="A49">
        <v>46</v>
      </c>
      <c r="B49">
        <v>7</v>
      </c>
      <c r="C49">
        <v>4</v>
      </c>
      <c r="D49">
        <v>1400</v>
      </c>
      <c r="E49">
        <v>480</v>
      </c>
      <c r="F49" t="s">
        <v>54</v>
      </c>
      <c r="G49" t="s">
        <v>187</v>
      </c>
      <c r="H49" t="s">
        <v>465</v>
      </c>
      <c r="I49" t="s">
        <v>441</v>
      </c>
      <c r="J49">
        <v>400000</v>
      </c>
      <c r="K49">
        <v>2000</v>
      </c>
      <c r="L49">
        <v>5</v>
      </c>
      <c r="M49" t="s">
        <v>426</v>
      </c>
    </row>
    <row r="50" spans="1:13" x14ac:dyDescent="0.2">
      <c r="A50">
        <v>47</v>
      </c>
      <c r="B50">
        <v>7</v>
      </c>
      <c r="C50">
        <v>4</v>
      </c>
      <c r="D50">
        <v>1400</v>
      </c>
      <c r="E50">
        <v>480</v>
      </c>
      <c r="F50" t="s">
        <v>296</v>
      </c>
      <c r="G50" t="s">
        <v>207</v>
      </c>
      <c r="H50" t="s">
        <v>466</v>
      </c>
      <c r="I50" t="s">
        <v>441</v>
      </c>
      <c r="J50">
        <v>400000</v>
      </c>
      <c r="K50">
        <v>2000</v>
      </c>
      <c r="L50">
        <v>5</v>
      </c>
      <c r="M50" t="s">
        <v>426</v>
      </c>
    </row>
    <row r="51" spans="1:13" x14ac:dyDescent="0.2">
      <c r="A51">
        <v>48</v>
      </c>
      <c r="B51">
        <v>7</v>
      </c>
      <c r="C51">
        <v>4</v>
      </c>
      <c r="D51">
        <v>1400</v>
      </c>
      <c r="E51">
        <v>480</v>
      </c>
      <c r="F51" t="s">
        <v>298</v>
      </c>
      <c r="G51" t="s">
        <v>179</v>
      </c>
      <c r="H51" t="s">
        <v>458</v>
      </c>
      <c r="I51" t="s">
        <v>441</v>
      </c>
      <c r="J51">
        <v>400000</v>
      </c>
      <c r="K51">
        <v>2000</v>
      </c>
      <c r="L51">
        <v>5</v>
      </c>
      <c r="M51" t="s">
        <v>426</v>
      </c>
    </row>
    <row r="52" spans="1:13" x14ac:dyDescent="0.2">
      <c r="A52">
        <v>49</v>
      </c>
      <c r="B52">
        <v>2</v>
      </c>
      <c r="C52">
        <v>4</v>
      </c>
      <c r="D52">
        <v>8000</v>
      </c>
      <c r="E52">
        <v>60</v>
      </c>
      <c r="F52" t="s">
        <v>37</v>
      </c>
      <c r="G52" t="s">
        <v>253</v>
      </c>
      <c r="H52" t="s">
        <v>445</v>
      </c>
      <c r="I52" t="s">
        <v>431</v>
      </c>
      <c r="J52">
        <v>20000</v>
      </c>
      <c r="K52">
        <v>2000</v>
      </c>
      <c r="L52">
        <v>5</v>
      </c>
      <c r="M52" t="s">
        <v>421</v>
      </c>
    </row>
    <row r="53" spans="1:13" x14ac:dyDescent="0.2">
      <c r="A53">
        <v>50</v>
      </c>
      <c r="B53">
        <v>2</v>
      </c>
      <c r="C53">
        <v>4</v>
      </c>
      <c r="D53">
        <v>8000</v>
      </c>
      <c r="E53">
        <v>60</v>
      </c>
      <c r="F53" t="s">
        <v>52</v>
      </c>
      <c r="G53" t="s">
        <v>178</v>
      </c>
      <c r="H53" t="s">
        <v>467</v>
      </c>
      <c r="I53" t="s">
        <v>431</v>
      </c>
      <c r="J53">
        <v>20000</v>
      </c>
      <c r="K53">
        <v>2000</v>
      </c>
      <c r="L53">
        <v>5</v>
      </c>
      <c r="M53" t="s">
        <v>421</v>
      </c>
    </row>
    <row r="54" spans="1:13" x14ac:dyDescent="0.2">
      <c r="A54">
        <v>51</v>
      </c>
      <c r="B54">
        <v>2</v>
      </c>
      <c r="C54">
        <v>4</v>
      </c>
      <c r="D54">
        <v>8000</v>
      </c>
      <c r="E54">
        <v>60</v>
      </c>
      <c r="F54" t="s">
        <v>37</v>
      </c>
      <c r="G54" t="s">
        <v>264</v>
      </c>
      <c r="H54" t="s">
        <v>434</v>
      </c>
      <c r="I54" t="s">
        <v>431</v>
      </c>
      <c r="J54">
        <v>20000</v>
      </c>
      <c r="K54">
        <v>2000</v>
      </c>
      <c r="L54">
        <v>5</v>
      </c>
      <c r="M54" t="s">
        <v>421</v>
      </c>
    </row>
    <row r="55" spans="1:13" x14ac:dyDescent="0.2">
      <c r="A55">
        <v>52</v>
      </c>
      <c r="B55">
        <v>3</v>
      </c>
      <c r="C55">
        <v>4</v>
      </c>
      <c r="D55">
        <v>6000</v>
      </c>
      <c r="E55">
        <v>90</v>
      </c>
      <c r="F55" t="s">
        <v>318</v>
      </c>
      <c r="G55" t="s">
        <v>239</v>
      </c>
      <c r="H55" t="s">
        <v>448</v>
      </c>
      <c r="I55" t="s">
        <v>431</v>
      </c>
      <c r="J55">
        <v>40000</v>
      </c>
      <c r="K55">
        <v>2000</v>
      </c>
      <c r="L55">
        <v>5</v>
      </c>
      <c r="M55" t="s">
        <v>422</v>
      </c>
    </row>
    <row r="56" spans="1:13" x14ac:dyDescent="0.2">
      <c r="A56">
        <v>53</v>
      </c>
      <c r="B56">
        <v>3</v>
      </c>
      <c r="C56">
        <v>4</v>
      </c>
      <c r="D56">
        <v>6000</v>
      </c>
      <c r="E56">
        <v>90</v>
      </c>
      <c r="F56" t="s">
        <v>318</v>
      </c>
      <c r="G56" t="s">
        <v>211</v>
      </c>
      <c r="H56" t="s">
        <v>430</v>
      </c>
      <c r="I56" t="s">
        <v>431</v>
      </c>
      <c r="J56">
        <v>40000</v>
      </c>
      <c r="K56">
        <v>2000</v>
      </c>
      <c r="L56">
        <v>5</v>
      </c>
      <c r="M56" t="s">
        <v>422</v>
      </c>
    </row>
    <row r="57" spans="1:13" x14ac:dyDescent="0.2">
      <c r="A57">
        <v>54</v>
      </c>
      <c r="B57">
        <v>3</v>
      </c>
      <c r="C57">
        <v>4</v>
      </c>
      <c r="D57">
        <v>6000</v>
      </c>
      <c r="E57">
        <v>90</v>
      </c>
      <c r="F57" t="s">
        <v>288</v>
      </c>
      <c r="G57" t="s">
        <v>252</v>
      </c>
      <c r="H57" t="s">
        <v>456</v>
      </c>
      <c r="I57" t="s">
        <v>431</v>
      </c>
      <c r="J57">
        <v>40000</v>
      </c>
      <c r="K57">
        <v>2000</v>
      </c>
      <c r="L57">
        <v>5</v>
      </c>
      <c r="M57" t="s">
        <v>422</v>
      </c>
    </row>
    <row r="58" spans="1:13" x14ac:dyDescent="0.2">
      <c r="A58">
        <v>55</v>
      </c>
      <c r="B58">
        <v>4</v>
      </c>
      <c r="C58">
        <v>4</v>
      </c>
      <c r="D58">
        <v>4500</v>
      </c>
      <c r="E58">
        <v>120</v>
      </c>
      <c r="F58" t="s">
        <v>289</v>
      </c>
      <c r="G58" t="s">
        <v>232</v>
      </c>
      <c r="H58" t="s">
        <v>468</v>
      </c>
      <c r="I58" t="s">
        <v>441</v>
      </c>
      <c r="J58">
        <v>80000</v>
      </c>
      <c r="K58">
        <v>2000</v>
      </c>
      <c r="L58">
        <v>5</v>
      </c>
      <c r="M58" t="s">
        <v>423</v>
      </c>
    </row>
    <row r="59" spans="1:13" x14ac:dyDescent="0.2">
      <c r="A59">
        <v>56</v>
      </c>
      <c r="B59">
        <v>4</v>
      </c>
      <c r="C59">
        <v>4</v>
      </c>
      <c r="D59">
        <v>4500</v>
      </c>
      <c r="E59">
        <v>120</v>
      </c>
      <c r="F59" t="s">
        <v>57</v>
      </c>
      <c r="G59" t="s">
        <v>243</v>
      </c>
      <c r="H59" t="s">
        <v>469</v>
      </c>
      <c r="I59" t="s">
        <v>441</v>
      </c>
      <c r="J59">
        <v>80000</v>
      </c>
      <c r="K59">
        <v>2000</v>
      </c>
      <c r="L59">
        <v>5</v>
      </c>
      <c r="M59" t="s">
        <v>423</v>
      </c>
    </row>
    <row r="60" spans="1:13" x14ac:dyDescent="0.2">
      <c r="A60">
        <v>57</v>
      </c>
      <c r="B60">
        <v>4</v>
      </c>
      <c r="C60">
        <v>4</v>
      </c>
      <c r="D60">
        <v>4500</v>
      </c>
      <c r="E60">
        <v>120</v>
      </c>
      <c r="F60" t="s">
        <v>298</v>
      </c>
      <c r="G60" t="s">
        <v>180</v>
      </c>
      <c r="H60" t="s">
        <v>470</v>
      </c>
      <c r="I60" t="s">
        <v>441</v>
      </c>
      <c r="J60">
        <v>80000</v>
      </c>
      <c r="K60">
        <v>2000</v>
      </c>
      <c r="L60">
        <v>5</v>
      </c>
      <c r="M60" t="s">
        <v>423</v>
      </c>
    </row>
    <row r="61" spans="1:13" x14ac:dyDescent="0.2">
      <c r="A61">
        <v>58</v>
      </c>
      <c r="B61">
        <v>5</v>
      </c>
      <c r="C61">
        <v>4</v>
      </c>
      <c r="D61">
        <v>3000</v>
      </c>
      <c r="E61">
        <v>240</v>
      </c>
      <c r="F61" t="s">
        <v>308</v>
      </c>
      <c r="G61" t="s">
        <v>199</v>
      </c>
      <c r="H61" t="s">
        <v>471</v>
      </c>
      <c r="I61" t="s">
        <v>441</v>
      </c>
      <c r="J61">
        <v>120000</v>
      </c>
      <c r="K61">
        <v>2000</v>
      </c>
      <c r="L61">
        <v>5</v>
      </c>
      <c r="M61" t="s">
        <v>424</v>
      </c>
    </row>
    <row r="62" spans="1:13" x14ac:dyDescent="0.2">
      <c r="A62">
        <v>59</v>
      </c>
      <c r="B62">
        <v>5</v>
      </c>
      <c r="C62">
        <v>4</v>
      </c>
      <c r="D62">
        <v>3000</v>
      </c>
      <c r="E62">
        <v>240</v>
      </c>
      <c r="F62" t="s">
        <v>64</v>
      </c>
      <c r="G62" t="s">
        <v>267</v>
      </c>
      <c r="H62" t="s">
        <v>472</v>
      </c>
      <c r="I62" t="s">
        <v>441</v>
      </c>
      <c r="J62">
        <v>120000</v>
      </c>
      <c r="K62">
        <v>2000</v>
      </c>
      <c r="L62">
        <v>5</v>
      </c>
      <c r="M62" t="s">
        <v>424</v>
      </c>
    </row>
    <row r="63" spans="1:13" x14ac:dyDescent="0.2">
      <c r="A63">
        <v>60</v>
      </c>
      <c r="B63">
        <v>5</v>
      </c>
      <c r="C63">
        <v>4</v>
      </c>
      <c r="D63">
        <v>3000</v>
      </c>
      <c r="E63">
        <v>240</v>
      </c>
      <c r="F63" t="s">
        <v>274</v>
      </c>
      <c r="G63" t="s">
        <v>260</v>
      </c>
      <c r="H63" t="s">
        <v>473</v>
      </c>
      <c r="I63" t="s">
        <v>441</v>
      </c>
      <c r="J63">
        <v>120000</v>
      </c>
      <c r="K63">
        <v>2000</v>
      </c>
      <c r="L63">
        <v>5</v>
      </c>
      <c r="M63" t="s">
        <v>424</v>
      </c>
    </row>
    <row r="64" spans="1:13" x14ac:dyDescent="0.2">
      <c r="A64">
        <v>61</v>
      </c>
      <c r="B64">
        <v>6</v>
      </c>
      <c r="C64">
        <v>4</v>
      </c>
      <c r="D64">
        <v>2000</v>
      </c>
      <c r="E64">
        <v>360</v>
      </c>
      <c r="F64" t="s">
        <v>51</v>
      </c>
      <c r="G64" t="s">
        <v>209</v>
      </c>
      <c r="H64" t="s">
        <v>474</v>
      </c>
      <c r="I64" t="s">
        <v>441</v>
      </c>
      <c r="J64">
        <v>200000</v>
      </c>
      <c r="K64">
        <v>2000</v>
      </c>
      <c r="L64">
        <v>5</v>
      </c>
      <c r="M64" t="s">
        <v>425</v>
      </c>
    </row>
    <row r="65" spans="1:13" x14ac:dyDescent="0.2">
      <c r="A65">
        <v>62</v>
      </c>
      <c r="B65">
        <v>6</v>
      </c>
      <c r="C65">
        <v>4</v>
      </c>
      <c r="D65">
        <v>2000</v>
      </c>
      <c r="E65">
        <v>360</v>
      </c>
      <c r="F65" t="s">
        <v>270</v>
      </c>
      <c r="G65" t="s">
        <v>257</v>
      </c>
      <c r="H65" t="s">
        <v>475</v>
      </c>
      <c r="I65" t="s">
        <v>441</v>
      </c>
      <c r="J65">
        <v>200000</v>
      </c>
      <c r="K65">
        <v>2000</v>
      </c>
      <c r="L65">
        <v>5</v>
      </c>
      <c r="M65" t="s">
        <v>425</v>
      </c>
    </row>
    <row r="66" spans="1:13" x14ac:dyDescent="0.2">
      <c r="A66">
        <v>63</v>
      </c>
      <c r="B66">
        <v>6</v>
      </c>
      <c r="C66">
        <v>4</v>
      </c>
      <c r="D66">
        <v>2000</v>
      </c>
      <c r="E66">
        <v>360</v>
      </c>
      <c r="F66" t="s">
        <v>64</v>
      </c>
      <c r="G66" t="s">
        <v>230</v>
      </c>
      <c r="H66" t="s">
        <v>476</v>
      </c>
      <c r="I66" t="s">
        <v>441</v>
      </c>
      <c r="J66">
        <v>200000</v>
      </c>
      <c r="K66">
        <v>2000</v>
      </c>
      <c r="L66">
        <v>5</v>
      </c>
      <c r="M66" t="s">
        <v>425</v>
      </c>
    </row>
    <row r="67" spans="1:13" x14ac:dyDescent="0.2">
      <c r="A67">
        <v>64</v>
      </c>
      <c r="B67">
        <v>7</v>
      </c>
      <c r="C67">
        <v>5</v>
      </c>
      <c r="D67">
        <v>1400</v>
      </c>
      <c r="E67">
        <v>480</v>
      </c>
      <c r="F67" t="s">
        <v>279</v>
      </c>
      <c r="G67" t="s">
        <v>230</v>
      </c>
      <c r="H67" t="s">
        <v>477</v>
      </c>
      <c r="I67" t="s">
        <v>441</v>
      </c>
      <c r="J67">
        <v>400000</v>
      </c>
      <c r="K67">
        <v>2000</v>
      </c>
      <c r="L67">
        <v>5</v>
      </c>
      <c r="M67" t="s">
        <v>426</v>
      </c>
    </row>
    <row r="68" spans="1:13" x14ac:dyDescent="0.2">
      <c r="A68">
        <v>65</v>
      </c>
      <c r="B68">
        <v>7</v>
      </c>
      <c r="C68">
        <v>5</v>
      </c>
      <c r="D68">
        <v>1400</v>
      </c>
      <c r="E68">
        <v>480</v>
      </c>
      <c r="F68" t="s">
        <v>48</v>
      </c>
      <c r="G68" t="s">
        <v>226</v>
      </c>
      <c r="H68" t="s">
        <v>440</v>
      </c>
      <c r="I68" t="s">
        <v>441</v>
      </c>
      <c r="J68">
        <v>400000</v>
      </c>
      <c r="K68">
        <v>2000</v>
      </c>
      <c r="L68">
        <v>5</v>
      </c>
      <c r="M68" t="s">
        <v>426</v>
      </c>
    </row>
    <row r="69" spans="1:13" x14ac:dyDescent="0.2">
      <c r="A69">
        <v>66</v>
      </c>
      <c r="B69">
        <v>7</v>
      </c>
      <c r="C69">
        <v>5</v>
      </c>
      <c r="D69">
        <v>1400</v>
      </c>
      <c r="E69">
        <v>480</v>
      </c>
      <c r="F69" t="s">
        <v>35</v>
      </c>
      <c r="G69" t="s">
        <v>226</v>
      </c>
      <c r="H69" t="s">
        <v>478</v>
      </c>
      <c r="I69" t="s">
        <v>441</v>
      </c>
      <c r="J69">
        <v>400000</v>
      </c>
      <c r="K69">
        <v>2000</v>
      </c>
      <c r="L69">
        <v>5</v>
      </c>
      <c r="M69" t="s">
        <v>426</v>
      </c>
    </row>
    <row r="70" spans="1:13" x14ac:dyDescent="0.2">
      <c r="A70">
        <v>67</v>
      </c>
      <c r="B70">
        <v>7</v>
      </c>
      <c r="C70">
        <v>5</v>
      </c>
      <c r="D70">
        <v>1400</v>
      </c>
      <c r="E70">
        <v>480</v>
      </c>
      <c r="F70" t="s">
        <v>35</v>
      </c>
      <c r="G70" t="s">
        <v>249</v>
      </c>
      <c r="H70" t="s">
        <v>466</v>
      </c>
      <c r="I70" t="s">
        <v>441</v>
      </c>
      <c r="J70">
        <v>400000</v>
      </c>
      <c r="K70">
        <v>2000</v>
      </c>
      <c r="L70">
        <v>5</v>
      </c>
      <c r="M70" t="s">
        <v>426</v>
      </c>
    </row>
    <row r="71" spans="1:13" x14ac:dyDescent="0.2">
      <c r="A71">
        <v>68</v>
      </c>
      <c r="B71">
        <v>7</v>
      </c>
      <c r="C71">
        <v>5</v>
      </c>
      <c r="D71">
        <v>1400</v>
      </c>
      <c r="E71">
        <v>480</v>
      </c>
      <c r="F71" t="s">
        <v>57</v>
      </c>
      <c r="G71" t="s">
        <v>177</v>
      </c>
      <c r="H71" t="s">
        <v>479</v>
      </c>
      <c r="I71" t="s">
        <v>441</v>
      </c>
      <c r="J71">
        <v>400000</v>
      </c>
      <c r="K71">
        <v>2000</v>
      </c>
      <c r="L71">
        <v>5</v>
      </c>
      <c r="M71" t="s">
        <v>426</v>
      </c>
    </row>
    <row r="72" spans="1:13" x14ac:dyDescent="0.2">
      <c r="A72">
        <v>69</v>
      </c>
      <c r="B72">
        <v>8</v>
      </c>
      <c r="C72">
        <v>5</v>
      </c>
      <c r="D72">
        <v>900</v>
      </c>
      <c r="E72">
        <v>600</v>
      </c>
      <c r="F72" t="s">
        <v>269</v>
      </c>
      <c r="G72" t="s">
        <v>201</v>
      </c>
      <c r="H72" t="s">
        <v>463</v>
      </c>
      <c r="I72" t="s">
        <v>480</v>
      </c>
      <c r="J72">
        <v>800000</v>
      </c>
      <c r="K72">
        <v>2000</v>
      </c>
      <c r="L72">
        <v>5</v>
      </c>
      <c r="M72" t="s">
        <v>427</v>
      </c>
    </row>
    <row r="73" spans="1:13" x14ac:dyDescent="0.2">
      <c r="A73">
        <v>70</v>
      </c>
      <c r="B73">
        <v>3</v>
      </c>
      <c r="C73">
        <v>5</v>
      </c>
      <c r="D73">
        <v>6000</v>
      </c>
      <c r="E73">
        <v>90</v>
      </c>
      <c r="F73" t="s">
        <v>56</v>
      </c>
      <c r="G73" t="s">
        <v>201</v>
      </c>
      <c r="H73" t="s">
        <v>455</v>
      </c>
      <c r="I73" t="s">
        <v>431</v>
      </c>
      <c r="J73">
        <v>40000</v>
      </c>
      <c r="K73">
        <v>2000</v>
      </c>
      <c r="L73">
        <v>5</v>
      </c>
      <c r="M73" t="s">
        <v>422</v>
      </c>
    </row>
    <row r="74" spans="1:13" x14ac:dyDescent="0.2">
      <c r="A74">
        <v>71</v>
      </c>
      <c r="B74">
        <v>3</v>
      </c>
      <c r="C74">
        <v>5</v>
      </c>
      <c r="D74">
        <v>6000</v>
      </c>
      <c r="E74">
        <v>90</v>
      </c>
      <c r="F74" t="s">
        <v>58</v>
      </c>
      <c r="G74" t="s">
        <v>241</v>
      </c>
      <c r="H74" t="s">
        <v>447</v>
      </c>
      <c r="I74" t="s">
        <v>431</v>
      </c>
      <c r="J74">
        <v>40000</v>
      </c>
      <c r="K74">
        <v>2000</v>
      </c>
      <c r="L74">
        <v>5</v>
      </c>
      <c r="M74" t="s">
        <v>422</v>
      </c>
    </row>
    <row r="75" spans="1:13" x14ac:dyDescent="0.2">
      <c r="A75">
        <v>72</v>
      </c>
      <c r="B75">
        <v>3</v>
      </c>
      <c r="C75">
        <v>5</v>
      </c>
      <c r="D75">
        <v>6000</v>
      </c>
      <c r="E75">
        <v>90</v>
      </c>
      <c r="F75" t="s">
        <v>67</v>
      </c>
      <c r="G75" t="s">
        <v>204</v>
      </c>
      <c r="H75" t="s">
        <v>448</v>
      </c>
      <c r="I75" t="s">
        <v>431</v>
      </c>
      <c r="J75">
        <v>40000</v>
      </c>
      <c r="K75">
        <v>2000</v>
      </c>
      <c r="L75">
        <v>5</v>
      </c>
      <c r="M75" t="s">
        <v>422</v>
      </c>
    </row>
    <row r="76" spans="1:13" x14ac:dyDescent="0.2">
      <c r="A76">
        <v>73</v>
      </c>
      <c r="B76">
        <v>4</v>
      </c>
      <c r="C76">
        <v>5</v>
      </c>
      <c r="D76">
        <v>4500</v>
      </c>
      <c r="E76">
        <v>120</v>
      </c>
      <c r="F76" t="s">
        <v>275</v>
      </c>
      <c r="G76" t="s">
        <v>196</v>
      </c>
      <c r="H76" t="s">
        <v>481</v>
      </c>
      <c r="I76" t="s">
        <v>441</v>
      </c>
      <c r="J76">
        <v>80000</v>
      </c>
      <c r="K76">
        <v>2000</v>
      </c>
      <c r="L76">
        <v>5</v>
      </c>
      <c r="M76" t="s">
        <v>423</v>
      </c>
    </row>
    <row r="77" spans="1:13" x14ac:dyDescent="0.2">
      <c r="A77">
        <v>74</v>
      </c>
      <c r="B77">
        <v>4</v>
      </c>
      <c r="C77">
        <v>5</v>
      </c>
      <c r="D77">
        <v>4500</v>
      </c>
      <c r="E77">
        <v>120</v>
      </c>
      <c r="F77" t="s">
        <v>314</v>
      </c>
      <c r="G77" t="s">
        <v>214</v>
      </c>
      <c r="H77" t="s">
        <v>482</v>
      </c>
      <c r="I77" t="s">
        <v>441</v>
      </c>
      <c r="J77">
        <v>80000</v>
      </c>
      <c r="K77">
        <v>2000</v>
      </c>
      <c r="L77">
        <v>5</v>
      </c>
      <c r="M77" t="s">
        <v>423</v>
      </c>
    </row>
    <row r="78" spans="1:13" x14ac:dyDescent="0.2">
      <c r="A78">
        <v>75</v>
      </c>
      <c r="B78">
        <v>4</v>
      </c>
      <c r="C78">
        <v>5</v>
      </c>
      <c r="D78">
        <v>4500</v>
      </c>
      <c r="E78">
        <v>120</v>
      </c>
      <c r="F78" t="s">
        <v>293</v>
      </c>
      <c r="G78" t="s">
        <v>214</v>
      </c>
      <c r="H78" t="s">
        <v>483</v>
      </c>
      <c r="I78" t="s">
        <v>441</v>
      </c>
      <c r="J78">
        <v>80000</v>
      </c>
      <c r="K78">
        <v>2000</v>
      </c>
      <c r="L78">
        <v>5</v>
      </c>
      <c r="M78" t="s">
        <v>423</v>
      </c>
    </row>
    <row r="79" spans="1:13" x14ac:dyDescent="0.2">
      <c r="A79">
        <v>76</v>
      </c>
      <c r="B79">
        <v>5</v>
      </c>
      <c r="C79">
        <v>5</v>
      </c>
      <c r="D79">
        <v>3000</v>
      </c>
      <c r="E79">
        <v>240</v>
      </c>
      <c r="F79" t="s">
        <v>298</v>
      </c>
      <c r="G79" t="s">
        <v>242</v>
      </c>
      <c r="H79" t="s">
        <v>484</v>
      </c>
      <c r="I79" t="s">
        <v>441</v>
      </c>
      <c r="J79">
        <v>120000</v>
      </c>
      <c r="K79">
        <v>2000</v>
      </c>
      <c r="L79">
        <v>5</v>
      </c>
      <c r="M79" t="s">
        <v>424</v>
      </c>
    </row>
    <row r="80" spans="1:13" x14ac:dyDescent="0.2">
      <c r="A80">
        <v>77</v>
      </c>
      <c r="B80">
        <v>5</v>
      </c>
      <c r="C80">
        <v>5</v>
      </c>
      <c r="D80">
        <v>3000</v>
      </c>
      <c r="E80">
        <v>240</v>
      </c>
      <c r="F80" t="s">
        <v>35</v>
      </c>
      <c r="G80" t="s">
        <v>238</v>
      </c>
      <c r="H80" t="s">
        <v>485</v>
      </c>
      <c r="I80" t="s">
        <v>441</v>
      </c>
      <c r="J80">
        <v>120000</v>
      </c>
      <c r="K80">
        <v>2000</v>
      </c>
      <c r="L80">
        <v>5</v>
      </c>
      <c r="M80" t="s">
        <v>424</v>
      </c>
    </row>
    <row r="81" spans="1:13" x14ac:dyDescent="0.2">
      <c r="A81">
        <v>78</v>
      </c>
      <c r="B81">
        <v>5</v>
      </c>
      <c r="C81">
        <v>5</v>
      </c>
      <c r="D81">
        <v>3000</v>
      </c>
      <c r="E81">
        <v>240</v>
      </c>
      <c r="F81" t="s">
        <v>302</v>
      </c>
      <c r="G81" t="s">
        <v>231</v>
      </c>
      <c r="H81" t="s">
        <v>486</v>
      </c>
      <c r="I81" t="s">
        <v>441</v>
      </c>
      <c r="J81">
        <v>120000</v>
      </c>
      <c r="K81">
        <v>2000</v>
      </c>
      <c r="L81">
        <v>5</v>
      </c>
      <c r="M81" t="s">
        <v>424</v>
      </c>
    </row>
    <row r="82" spans="1:13" x14ac:dyDescent="0.2">
      <c r="A82">
        <v>79</v>
      </c>
      <c r="B82">
        <v>6</v>
      </c>
      <c r="C82">
        <v>5</v>
      </c>
      <c r="D82">
        <v>2000</v>
      </c>
      <c r="E82">
        <v>360</v>
      </c>
      <c r="F82" t="s">
        <v>319</v>
      </c>
      <c r="G82" t="s">
        <v>182</v>
      </c>
      <c r="H82" t="s">
        <v>487</v>
      </c>
      <c r="I82" t="s">
        <v>441</v>
      </c>
      <c r="J82">
        <v>200000</v>
      </c>
      <c r="K82">
        <v>2000</v>
      </c>
      <c r="L82">
        <v>5</v>
      </c>
      <c r="M82" t="s">
        <v>425</v>
      </c>
    </row>
    <row r="83" spans="1:13" x14ac:dyDescent="0.2">
      <c r="A83">
        <v>80</v>
      </c>
      <c r="B83">
        <v>6</v>
      </c>
      <c r="C83">
        <v>5</v>
      </c>
      <c r="D83">
        <v>2000</v>
      </c>
      <c r="E83">
        <v>360</v>
      </c>
      <c r="F83" t="s">
        <v>42</v>
      </c>
      <c r="G83" t="s">
        <v>250</v>
      </c>
      <c r="H83" t="s">
        <v>488</v>
      </c>
      <c r="I83" t="s">
        <v>441</v>
      </c>
      <c r="J83">
        <v>200000</v>
      </c>
      <c r="K83">
        <v>2000</v>
      </c>
      <c r="L83">
        <v>5</v>
      </c>
      <c r="M83" t="s">
        <v>425</v>
      </c>
    </row>
    <row r="84" spans="1:13" x14ac:dyDescent="0.2">
      <c r="A84">
        <v>81</v>
      </c>
      <c r="B84">
        <v>6</v>
      </c>
      <c r="C84">
        <v>5</v>
      </c>
      <c r="D84">
        <v>2000</v>
      </c>
      <c r="E84">
        <v>360</v>
      </c>
      <c r="F84" t="s">
        <v>316</v>
      </c>
      <c r="G84" t="s">
        <v>212</v>
      </c>
      <c r="H84" t="s">
        <v>489</v>
      </c>
      <c r="I84" t="s">
        <v>441</v>
      </c>
      <c r="J84">
        <v>200000</v>
      </c>
      <c r="K84">
        <v>2000</v>
      </c>
      <c r="L84">
        <v>5</v>
      </c>
      <c r="M84" t="s">
        <v>425</v>
      </c>
    </row>
    <row r="85" spans="1:13" x14ac:dyDescent="0.2">
      <c r="A85">
        <v>82</v>
      </c>
      <c r="B85">
        <v>7</v>
      </c>
      <c r="C85">
        <v>6</v>
      </c>
      <c r="D85">
        <v>1400</v>
      </c>
      <c r="E85">
        <v>480</v>
      </c>
      <c r="F85" t="s">
        <v>312</v>
      </c>
      <c r="G85" t="s">
        <v>188</v>
      </c>
      <c r="H85" t="s">
        <v>490</v>
      </c>
      <c r="I85" t="s">
        <v>441</v>
      </c>
      <c r="J85">
        <v>400000</v>
      </c>
      <c r="K85">
        <v>2000</v>
      </c>
      <c r="L85">
        <v>5</v>
      </c>
      <c r="M85" t="s">
        <v>426</v>
      </c>
    </row>
    <row r="86" spans="1:13" x14ac:dyDescent="0.2">
      <c r="A86">
        <v>83</v>
      </c>
      <c r="B86">
        <v>7</v>
      </c>
      <c r="C86">
        <v>6</v>
      </c>
      <c r="D86">
        <v>1400</v>
      </c>
      <c r="E86">
        <v>480</v>
      </c>
      <c r="F86" t="s">
        <v>271</v>
      </c>
      <c r="G86" t="s">
        <v>255</v>
      </c>
      <c r="H86" t="s">
        <v>491</v>
      </c>
      <c r="I86" t="s">
        <v>441</v>
      </c>
      <c r="J86">
        <v>400000</v>
      </c>
      <c r="K86">
        <v>2000</v>
      </c>
      <c r="L86">
        <v>5</v>
      </c>
      <c r="M86" t="s">
        <v>426</v>
      </c>
    </row>
    <row r="87" spans="1:13" x14ac:dyDescent="0.2">
      <c r="A87">
        <v>84</v>
      </c>
      <c r="B87">
        <v>7</v>
      </c>
      <c r="C87">
        <v>6</v>
      </c>
      <c r="D87">
        <v>1400</v>
      </c>
      <c r="E87">
        <v>480</v>
      </c>
      <c r="F87" t="s">
        <v>66</v>
      </c>
      <c r="G87" t="s">
        <v>217</v>
      </c>
      <c r="H87" t="s">
        <v>492</v>
      </c>
      <c r="I87" t="s">
        <v>441</v>
      </c>
      <c r="J87">
        <v>400000</v>
      </c>
      <c r="K87">
        <v>2000</v>
      </c>
      <c r="L87">
        <v>5</v>
      </c>
      <c r="M87" t="s">
        <v>426</v>
      </c>
    </row>
    <row r="88" spans="1:13" x14ac:dyDescent="0.2">
      <c r="A88">
        <v>85</v>
      </c>
      <c r="B88">
        <v>6</v>
      </c>
      <c r="C88">
        <v>6</v>
      </c>
      <c r="D88">
        <v>2000</v>
      </c>
      <c r="E88">
        <v>360</v>
      </c>
      <c r="F88" t="s">
        <v>57</v>
      </c>
      <c r="G88" t="s">
        <v>208</v>
      </c>
      <c r="H88" t="s">
        <v>493</v>
      </c>
      <c r="I88" t="s">
        <v>441</v>
      </c>
      <c r="J88">
        <v>200000</v>
      </c>
      <c r="K88">
        <v>2000</v>
      </c>
      <c r="L88">
        <v>5</v>
      </c>
      <c r="M88" t="s">
        <v>425</v>
      </c>
    </row>
    <row r="89" spans="1:13" x14ac:dyDescent="0.2">
      <c r="A89">
        <v>86</v>
      </c>
      <c r="B89">
        <v>7</v>
      </c>
      <c r="C89">
        <v>6</v>
      </c>
      <c r="D89">
        <v>1400</v>
      </c>
      <c r="E89">
        <v>480</v>
      </c>
      <c r="F89" t="s">
        <v>279</v>
      </c>
      <c r="G89" t="s">
        <v>254</v>
      </c>
      <c r="H89" t="s">
        <v>494</v>
      </c>
      <c r="I89" t="s">
        <v>441</v>
      </c>
      <c r="J89">
        <v>400000</v>
      </c>
      <c r="K89">
        <v>2000</v>
      </c>
      <c r="L89">
        <v>5</v>
      </c>
      <c r="M89" t="s">
        <v>426</v>
      </c>
    </row>
    <row r="90" spans="1:13" x14ac:dyDescent="0.2">
      <c r="A90">
        <v>87</v>
      </c>
      <c r="B90">
        <v>8</v>
      </c>
      <c r="C90">
        <v>6</v>
      </c>
      <c r="D90">
        <v>900</v>
      </c>
      <c r="E90">
        <v>600</v>
      </c>
      <c r="F90" t="s">
        <v>287</v>
      </c>
      <c r="G90" t="s">
        <v>235</v>
      </c>
      <c r="H90" t="s">
        <v>495</v>
      </c>
      <c r="I90" t="s">
        <v>480</v>
      </c>
      <c r="J90">
        <v>800000</v>
      </c>
      <c r="K90">
        <v>2000</v>
      </c>
      <c r="L90">
        <v>5</v>
      </c>
      <c r="M90" t="s">
        <v>427</v>
      </c>
    </row>
    <row r="91" spans="1:13" x14ac:dyDescent="0.2">
      <c r="A91">
        <v>88</v>
      </c>
      <c r="B91">
        <v>8</v>
      </c>
      <c r="C91">
        <v>6</v>
      </c>
      <c r="D91">
        <v>900</v>
      </c>
      <c r="E91">
        <v>600</v>
      </c>
      <c r="F91" t="s">
        <v>325</v>
      </c>
      <c r="G91" t="s">
        <v>185</v>
      </c>
      <c r="H91" t="s">
        <v>496</v>
      </c>
      <c r="I91" t="s">
        <v>480</v>
      </c>
      <c r="J91">
        <v>800000</v>
      </c>
      <c r="K91">
        <v>2000</v>
      </c>
      <c r="L91">
        <v>5</v>
      </c>
      <c r="M91" t="s">
        <v>427</v>
      </c>
    </row>
    <row r="92" spans="1:13" x14ac:dyDescent="0.2">
      <c r="A92">
        <v>89</v>
      </c>
      <c r="B92">
        <v>8</v>
      </c>
      <c r="C92">
        <v>6</v>
      </c>
      <c r="D92">
        <v>900</v>
      </c>
      <c r="E92">
        <v>600</v>
      </c>
      <c r="F92" t="s">
        <v>317</v>
      </c>
      <c r="G92" t="s">
        <v>215</v>
      </c>
      <c r="H92" t="s">
        <v>497</v>
      </c>
      <c r="I92" t="s">
        <v>480</v>
      </c>
      <c r="J92">
        <v>800000</v>
      </c>
      <c r="K92">
        <v>2000</v>
      </c>
      <c r="L92">
        <v>5</v>
      </c>
      <c r="M92" t="s">
        <v>427</v>
      </c>
    </row>
    <row r="93" spans="1:13" x14ac:dyDescent="0.2">
      <c r="A93">
        <v>90</v>
      </c>
      <c r="B93">
        <v>4</v>
      </c>
      <c r="C93">
        <v>6</v>
      </c>
      <c r="D93">
        <v>4500</v>
      </c>
      <c r="E93">
        <v>120</v>
      </c>
      <c r="F93" t="s">
        <v>270</v>
      </c>
      <c r="G93" t="s">
        <v>246</v>
      </c>
      <c r="H93" t="s">
        <v>498</v>
      </c>
      <c r="I93" t="s">
        <v>441</v>
      </c>
      <c r="J93">
        <v>80000</v>
      </c>
      <c r="K93">
        <v>2000</v>
      </c>
      <c r="L93">
        <v>5</v>
      </c>
      <c r="M93" t="s">
        <v>423</v>
      </c>
    </row>
    <row r="94" spans="1:13" x14ac:dyDescent="0.2">
      <c r="A94">
        <v>91</v>
      </c>
      <c r="B94">
        <v>4</v>
      </c>
      <c r="C94">
        <v>6</v>
      </c>
      <c r="D94">
        <v>4500</v>
      </c>
      <c r="E94">
        <v>120</v>
      </c>
      <c r="F94" t="s">
        <v>35</v>
      </c>
      <c r="G94" t="s">
        <v>194</v>
      </c>
      <c r="H94" t="s">
        <v>499</v>
      </c>
      <c r="I94" t="s">
        <v>441</v>
      </c>
      <c r="J94">
        <v>80000</v>
      </c>
      <c r="K94">
        <v>2000</v>
      </c>
      <c r="L94">
        <v>5</v>
      </c>
      <c r="M94" t="s">
        <v>423</v>
      </c>
    </row>
    <row r="95" spans="1:13" x14ac:dyDescent="0.2">
      <c r="A95">
        <v>92</v>
      </c>
      <c r="B95">
        <v>4</v>
      </c>
      <c r="C95">
        <v>6</v>
      </c>
      <c r="D95">
        <v>4500</v>
      </c>
      <c r="E95">
        <v>120</v>
      </c>
      <c r="F95" t="s">
        <v>276</v>
      </c>
      <c r="G95" t="s">
        <v>181</v>
      </c>
      <c r="H95" t="s">
        <v>485</v>
      </c>
      <c r="I95" t="s">
        <v>441</v>
      </c>
      <c r="J95">
        <v>80000</v>
      </c>
      <c r="K95">
        <v>2000</v>
      </c>
      <c r="L95">
        <v>5</v>
      </c>
      <c r="M95" t="s">
        <v>423</v>
      </c>
    </row>
    <row r="96" spans="1:13" x14ac:dyDescent="0.2">
      <c r="A96">
        <v>93</v>
      </c>
      <c r="B96">
        <v>4</v>
      </c>
      <c r="C96">
        <v>6</v>
      </c>
      <c r="D96">
        <v>4500</v>
      </c>
      <c r="E96">
        <v>120</v>
      </c>
      <c r="F96" t="s">
        <v>40</v>
      </c>
      <c r="G96" t="s">
        <v>193</v>
      </c>
      <c r="H96" t="s">
        <v>500</v>
      </c>
      <c r="I96" t="s">
        <v>441</v>
      </c>
      <c r="J96">
        <v>80000</v>
      </c>
      <c r="K96">
        <v>2000</v>
      </c>
      <c r="L96">
        <v>5</v>
      </c>
      <c r="M96" t="s">
        <v>423</v>
      </c>
    </row>
    <row r="97" spans="1:13" x14ac:dyDescent="0.2">
      <c r="A97">
        <v>94</v>
      </c>
      <c r="B97">
        <v>5</v>
      </c>
      <c r="C97">
        <v>6</v>
      </c>
      <c r="D97">
        <v>3000</v>
      </c>
      <c r="E97">
        <v>240</v>
      </c>
      <c r="F97" t="s">
        <v>296</v>
      </c>
      <c r="G97" t="s">
        <v>220</v>
      </c>
      <c r="H97" t="s">
        <v>501</v>
      </c>
      <c r="I97" t="s">
        <v>441</v>
      </c>
      <c r="J97">
        <v>120000</v>
      </c>
      <c r="K97">
        <v>2000</v>
      </c>
      <c r="L97">
        <v>5</v>
      </c>
      <c r="M97" t="s">
        <v>424</v>
      </c>
    </row>
    <row r="98" spans="1:13" x14ac:dyDescent="0.2">
      <c r="A98">
        <v>95</v>
      </c>
      <c r="B98">
        <v>5</v>
      </c>
      <c r="C98">
        <v>6</v>
      </c>
      <c r="D98">
        <v>3000</v>
      </c>
      <c r="E98">
        <v>240</v>
      </c>
      <c r="F98" t="s">
        <v>283</v>
      </c>
      <c r="G98" t="s">
        <v>197</v>
      </c>
      <c r="H98" t="s">
        <v>502</v>
      </c>
      <c r="I98" t="s">
        <v>441</v>
      </c>
      <c r="J98">
        <v>120000</v>
      </c>
      <c r="K98">
        <v>2000</v>
      </c>
      <c r="L98">
        <v>5</v>
      </c>
      <c r="M98" t="s">
        <v>424</v>
      </c>
    </row>
    <row r="99" spans="1:13" x14ac:dyDescent="0.2">
      <c r="A99">
        <v>96</v>
      </c>
      <c r="B99">
        <v>5</v>
      </c>
      <c r="C99">
        <v>6</v>
      </c>
      <c r="D99">
        <v>3000</v>
      </c>
      <c r="E99">
        <v>240</v>
      </c>
      <c r="F99" t="s">
        <v>276</v>
      </c>
      <c r="G99" t="s">
        <v>216</v>
      </c>
      <c r="H99" t="s">
        <v>503</v>
      </c>
      <c r="I99" t="s">
        <v>441</v>
      </c>
      <c r="J99">
        <v>120000</v>
      </c>
      <c r="K99">
        <v>2000</v>
      </c>
      <c r="L99">
        <v>5</v>
      </c>
      <c r="M99" t="s">
        <v>424</v>
      </c>
    </row>
    <row r="100" spans="1:13" x14ac:dyDescent="0.2">
      <c r="A100">
        <v>97</v>
      </c>
      <c r="B100">
        <v>6</v>
      </c>
      <c r="C100">
        <v>6</v>
      </c>
      <c r="D100">
        <v>2000</v>
      </c>
      <c r="E100">
        <v>360</v>
      </c>
      <c r="F100" t="s">
        <v>314</v>
      </c>
      <c r="G100" t="s">
        <v>247</v>
      </c>
      <c r="H100" t="s">
        <v>504</v>
      </c>
      <c r="I100" t="s">
        <v>441</v>
      </c>
      <c r="J100">
        <v>200000</v>
      </c>
      <c r="K100">
        <v>2000</v>
      </c>
      <c r="L100">
        <v>5</v>
      </c>
      <c r="M100" t="s">
        <v>425</v>
      </c>
    </row>
    <row r="101" spans="1:13" x14ac:dyDescent="0.2">
      <c r="A101">
        <v>98</v>
      </c>
      <c r="B101">
        <v>6</v>
      </c>
      <c r="C101">
        <v>6</v>
      </c>
      <c r="D101">
        <v>2000</v>
      </c>
      <c r="E101">
        <v>360</v>
      </c>
      <c r="F101" t="s">
        <v>327</v>
      </c>
      <c r="G101" t="s">
        <v>184</v>
      </c>
      <c r="H101" t="s">
        <v>505</v>
      </c>
      <c r="I101" t="s">
        <v>441</v>
      </c>
      <c r="J101">
        <v>200000</v>
      </c>
      <c r="K101">
        <v>2000</v>
      </c>
      <c r="L101">
        <v>5</v>
      </c>
      <c r="M101" t="s">
        <v>425</v>
      </c>
    </row>
    <row r="102" spans="1:13" x14ac:dyDescent="0.2">
      <c r="A102">
        <v>99</v>
      </c>
      <c r="B102">
        <v>6</v>
      </c>
      <c r="C102">
        <v>6</v>
      </c>
      <c r="D102">
        <v>2000</v>
      </c>
      <c r="E102">
        <v>360</v>
      </c>
      <c r="F102" t="s">
        <v>308</v>
      </c>
      <c r="G102" t="s">
        <v>195</v>
      </c>
      <c r="H102" t="s">
        <v>506</v>
      </c>
      <c r="I102" t="s">
        <v>441</v>
      </c>
      <c r="J102">
        <v>200000</v>
      </c>
      <c r="K102">
        <v>2000</v>
      </c>
      <c r="L102">
        <v>5</v>
      </c>
      <c r="M102" t="s">
        <v>425</v>
      </c>
    </row>
    <row r="103" spans="1:13" x14ac:dyDescent="0.2">
      <c r="A103">
        <v>100</v>
      </c>
      <c r="B103">
        <v>7</v>
      </c>
      <c r="C103">
        <v>7</v>
      </c>
      <c r="D103">
        <v>1400</v>
      </c>
      <c r="E103">
        <v>480</v>
      </c>
      <c r="F103" t="s">
        <v>324</v>
      </c>
      <c r="G103" t="s">
        <v>202</v>
      </c>
      <c r="H103" t="s">
        <v>507</v>
      </c>
      <c r="I103" t="s">
        <v>441</v>
      </c>
      <c r="J103">
        <v>400000</v>
      </c>
      <c r="K103">
        <v>2000</v>
      </c>
      <c r="L103">
        <v>5</v>
      </c>
      <c r="M103" t="s">
        <v>426</v>
      </c>
    </row>
    <row r="104" spans="1:13" x14ac:dyDescent="0.2">
      <c r="A104">
        <v>101</v>
      </c>
      <c r="B104">
        <v>7</v>
      </c>
      <c r="C104">
        <v>7</v>
      </c>
      <c r="D104">
        <v>1400</v>
      </c>
      <c r="E104">
        <v>480</v>
      </c>
      <c r="F104" t="s">
        <v>319</v>
      </c>
      <c r="G104" t="s">
        <v>235</v>
      </c>
      <c r="H104" t="s">
        <v>508</v>
      </c>
      <c r="I104" t="s">
        <v>441</v>
      </c>
      <c r="J104">
        <v>400000</v>
      </c>
      <c r="K104">
        <v>2000</v>
      </c>
      <c r="L104">
        <v>5</v>
      </c>
      <c r="M104" t="s">
        <v>426</v>
      </c>
    </row>
    <row r="105" spans="1:13" x14ac:dyDescent="0.2">
      <c r="A105">
        <v>102</v>
      </c>
      <c r="B105">
        <v>7</v>
      </c>
      <c r="C105">
        <v>7</v>
      </c>
      <c r="D105">
        <v>1400</v>
      </c>
      <c r="E105">
        <v>480</v>
      </c>
      <c r="F105" t="s">
        <v>40</v>
      </c>
      <c r="G105" t="s">
        <v>185</v>
      </c>
      <c r="H105" t="s">
        <v>509</v>
      </c>
      <c r="I105" t="s">
        <v>441</v>
      </c>
      <c r="J105">
        <v>400000</v>
      </c>
      <c r="K105">
        <v>2000</v>
      </c>
      <c r="L105">
        <v>5</v>
      </c>
      <c r="M105" t="s">
        <v>426</v>
      </c>
    </row>
    <row r="106" spans="1:13" x14ac:dyDescent="0.2">
      <c r="A106">
        <v>103</v>
      </c>
      <c r="B106">
        <v>6</v>
      </c>
      <c r="C106">
        <v>7</v>
      </c>
      <c r="D106">
        <v>2000</v>
      </c>
      <c r="E106">
        <v>360</v>
      </c>
      <c r="F106" t="s">
        <v>274</v>
      </c>
      <c r="G106" t="s">
        <v>215</v>
      </c>
      <c r="H106" t="s">
        <v>510</v>
      </c>
      <c r="I106" t="s">
        <v>441</v>
      </c>
      <c r="J106">
        <v>200000</v>
      </c>
      <c r="K106">
        <v>2000</v>
      </c>
      <c r="L106">
        <v>5</v>
      </c>
      <c r="M106" t="s">
        <v>425</v>
      </c>
    </row>
    <row r="107" spans="1:13" x14ac:dyDescent="0.2">
      <c r="A107">
        <v>104</v>
      </c>
      <c r="B107">
        <v>7</v>
      </c>
      <c r="C107">
        <v>7</v>
      </c>
      <c r="D107">
        <v>1400</v>
      </c>
      <c r="E107">
        <v>480</v>
      </c>
      <c r="F107" t="s">
        <v>62</v>
      </c>
      <c r="G107" t="s">
        <v>246</v>
      </c>
      <c r="H107" t="s">
        <v>466</v>
      </c>
      <c r="I107" t="s">
        <v>441</v>
      </c>
      <c r="J107">
        <v>400000</v>
      </c>
      <c r="K107">
        <v>2000</v>
      </c>
      <c r="L107">
        <v>5</v>
      </c>
      <c r="M107" t="s">
        <v>426</v>
      </c>
    </row>
    <row r="108" spans="1:13" x14ac:dyDescent="0.2">
      <c r="A108">
        <v>105</v>
      </c>
      <c r="B108">
        <v>8</v>
      </c>
      <c r="C108">
        <v>7</v>
      </c>
      <c r="D108">
        <v>900</v>
      </c>
      <c r="E108">
        <v>600</v>
      </c>
      <c r="F108" t="s">
        <v>269</v>
      </c>
      <c r="G108" t="s">
        <v>194</v>
      </c>
      <c r="H108" t="s">
        <v>511</v>
      </c>
      <c r="I108" t="s">
        <v>480</v>
      </c>
      <c r="J108">
        <v>800000</v>
      </c>
      <c r="K108">
        <v>2000</v>
      </c>
      <c r="L108">
        <v>5</v>
      </c>
      <c r="M108" t="s">
        <v>427</v>
      </c>
    </row>
    <row r="109" spans="1:13" x14ac:dyDescent="0.2">
      <c r="A109">
        <v>106</v>
      </c>
      <c r="B109">
        <v>8</v>
      </c>
      <c r="C109">
        <v>7</v>
      </c>
      <c r="D109">
        <v>900</v>
      </c>
      <c r="E109">
        <v>600</v>
      </c>
      <c r="F109" t="s">
        <v>303</v>
      </c>
      <c r="G109" t="s">
        <v>181</v>
      </c>
      <c r="H109" t="s">
        <v>512</v>
      </c>
      <c r="I109" t="s">
        <v>480</v>
      </c>
      <c r="J109">
        <v>800000</v>
      </c>
      <c r="K109">
        <v>2000</v>
      </c>
      <c r="L109">
        <v>5</v>
      </c>
      <c r="M109" t="s">
        <v>427</v>
      </c>
    </row>
    <row r="110" spans="1:13" x14ac:dyDescent="0.2">
      <c r="A110">
        <v>107</v>
      </c>
      <c r="B110">
        <v>8</v>
      </c>
      <c r="C110">
        <v>7</v>
      </c>
      <c r="D110">
        <v>900</v>
      </c>
      <c r="E110">
        <v>600</v>
      </c>
      <c r="F110" t="s">
        <v>305</v>
      </c>
      <c r="G110" t="s">
        <v>193</v>
      </c>
      <c r="H110" t="s">
        <v>513</v>
      </c>
      <c r="I110" t="s">
        <v>480</v>
      </c>
      <c r="J110">
        <v>800000</v>
      </c>
      <c r="K110">
        <v>2000</v>
      </c>
      <c r="L110">
        <v>5</v>
      </c>
      <c r="M110" t="s">
        <v>427</v>
      </c>
    </row>
    <row r="111" spans="1:13" x14ac:dyDescent="0.2">
      <c r="A111">
        <v>108</v>
      </c>
      <c r="B111">
        <v>9</v>
      </c>
      <c r="C111">
        <v>7</v>
      </c>
      <c r="D111">
        <v>500</v>
      </c>
      <c r="E111">
        <v>840</v>
      </c>
      <c r="F111" t="s">
        <v>304</v>
      </c>
      <c r="G111" t="s">
        <v>220</v>
      </c>
      <c r="H111" t="s">
        <v>514</v>
      </c>
      <c r="I111" t="s">
        <v>515</v>
      </c>
      <c r="J111">
        <v>1200000</v>
      </c>
      <c r="K111">
        <v>2000</v>
      </c>
      <c r="L111">
        <v>5</v>
      </c>
      <c r="M111" t="s">
        <v>428</v>
      </c>
    </row>
    <row r="112" spans="1:13" x14ac:dyDescent="0.2">
      <c r="A112">
        <v>109</v>
      </c>
      <c r="B112">
        <v>8</v>
      </c>
      <c r="C112">
        <v>7</v>
      </c>
      <c r="D112">
        <v>900</v>
      </c>
      <c r="E112">
        <v>600</v>
      </c>
      <c r="F112" t="s">
        <v>305</v>
      </c>
      <c r="G112" t="s">
        <v>197</v>
      </c>
      <c r="H112" t="s">
        <v>516</v>
      </c>
      <c r="I112" t="s">
        <v>480</v>
      </c>
      <c r="J112">
        <v>800000</v>
      </c>
      <c r="K112">
        <v>2000</v>
      </c>
      <c r="L112">
        <v>5</v>
      </c>
      <c r="M112" t="s">
        <v>427</v>
      </c>
    </row>
    <row r="113" spans="1:13" x14ac:dyDescent="0.2">
      <c r="A113">
        <v>110</v>
      </c>
      <c r="B113">
        <v>8</v>
      </c>
      <c r="C113">
        <v>7</v>
      </c>
      <c r="D113">
        <v>900</v>
      </c>
      <c r="E113">
        <v>600</v>
      </c>
      <c r="F113" t="s">
        <v>325</v>
      </c>
      <c r="G113" t="s">
        <v>216</v>
      </c>
      <c r="H113" t="s">
        <v>517</v>
      </c>
      <c r="I113" t="s">
        <v>480</v>
      </c>
      <c r="J113">
        <v>800000</v>
      </c>
      <c r="K113">
        <v>2000</v>
      </c>
      <c r="L113">
        <v>5</v>
      </c>
      <c r="M113" t="s">
        <v>427</v>
      </c>
    </row>
    <row r="114" spans="1:13" x14ac:dyDescent="0.2">
      <c r="A114">
        <v>111</v>
      </c>
      <c r="B114">
        <v>9</v>
      </c>
      <c r="C114">
        <v>7</v>
      </c>
      <c r="D114">
        <v>500</v>
      </c>
      <c r="E114">
        <v>840</v>
      </c>
      <c r="F114" t="s">
        <v>328</v>
      </c>
      <c r="G114" t="s">
        <v>247</v>
      </c>
      <c r="H114" t="s">
        <v>518</v>
      </c>
      <c r="I114" t="s">
        <v>515</v>
      </c>
      <c r="J114">
        <v>1200000</v>
      </c>
      <c r="K114">
        <v>2000</v>
      </c>
      <c r="L114">
        <v>5</v>
      </c>
      <c r="M114" t="s">
        <v>428</v>
      </c>
    </row>
    <row r="115" spans="1:13" x14ac:dyDescent="0.2">
      <c r="A115">
        <v>112</v>
      </c>
      <c r="B115">
        <v>5</v>
      </c>
      <c r="C115">
        <v>7</v>
      </c>
      <c r="D115">
        <v>3000</v>
      </c>
      <c r="E115">
        <v>240</v>
      </c>
      <c r="F115" t="s">
        <v>289</v>
      </c>
      <c r="G115" t="s">
        <v>184</v>
      </c>
      <c r="H115" t="s">
        <v>454</v>
      </c>
      <c r="I115" t="s">
        <v>441</v>
      </c>
      <c r="J115">
        <v>120000</v>
      </c>
      <c r="K115">
        <v>2000</v>
      </c>
      <c r="L115">
        <v>5</v>
      </c>
      <c r="M115" t="s">
        <v>424</v>
      </c>
    </row>
    <row r="116" spans="1:13" x14ac:dyDescent="0.2">
      <c r="A116">
        <v>113</v>
      </c>
      <c r="B116">
        <v>5</v>
      </c>
      <c r="C116">
        <v>7</v>
      </c>
      <c r="D116">
        <v>3000</v>
      </c>
      <c r="E116">
        <v>240</v>
      </c>
      <c r="F116" t="s">
        <v>286</v>
      </c>
      <c r="G116" t="s">
        <v>195</v>
      </c>
      <c r="H116" t="s">
        <v>442</v>
      </c>
      <c r="I116" t="s">
        <v>441</v>
      </c>
      <c r="J116">
        <v>120000</v>
      </c>
      <c r="K116">
        <v>2000</v>
      </c>
      <c r="L116">
        <v>5</v>
      </c>
      <c r="M116" t="s">
        <v>424</v>
      </c>
    </row>
    <row r="117" spans="1:13" x14ac:dyDescent="0.2">
      <c r="A117">
        <v>114</v>
      </c>
      <c r="B117">
        <v>5</v>
      </c>
      <c r="C117">
        <v>7</v>
      </c>
      <c r="D117">
        <v>3000</v>
      </c>
      <c r="E117">
        <v>240</v>
      </c>
      <c r="F117" t="s">
        <v>45</v>
      </c>
      <c r="G117" t="s">
        <v>202</v>
      </c>
      <c r="H117" t="s">
        <v>519</v>
      </c>
      <c r="I117" t="s">
        <v>441</v>
      </c>
      <c r="J117">
        <v>120000</v>
      </c>
      <c r="K117">
        <v>2000</v>
      </c>
      <c r="L117">
        <v>5</v>
      </c>
      <c r="M117" t="s">
        <v>424</v>
      </c>
    </row>
    <row r="118" spans="1:13" x14ac:dyDescent="0.2">
      <c r="A118">
        <v>115</v>
      </c>
      <c r="B118">
        <v>6</v>
      </c>
      <c r="C118">
        <v>7</v>
      </c>
      <c r="D118">
        <v>2000</v>
      </c>
      <c r="E118">
        <v>360</v>
      </c>
      <c r="F118" t="s">
        <v>319</v>
      </c>
      <c r="G118" t="s">
        <v>235</v>
      </c>
      <c r="H118" t="s">
        <v>520</v>
      </c>
      <c r="I118" t="s">
        <v>441</v>
      </c>
      <c r="J118">
        <v>200000</v>
      </c>
      <c r="K118">
        <v>2000</v>
      </c>
      <c r="L118">
        <v>5</v>
      </c>
      <c r="M118" t="s">
        <v>425</v>
      </c>
    </row>
    <row r="119" spans="1:13" x14ac:dyDescent="0.2">
      <c r="A119">
        <v>116</v>
      </c>
      <c r="B119">
        <v>6</v>
      </c>
      <c r="C119">
        <v>7</v>
      </c>
      <c r="D119">
        <v>2000</v>
      </c>
      <c r="E119">
        <v>360</v>
      </c>
      <c r="F119" t="s">
        <v>314</v>
      </c>
      <c r="G119" t="s">
        <v>185</v>
      </c>
      <c r="H119" t="s">
        <v>521</v>
      </c>
      <c r="I119" t="s">
        <v>441</v>
      </c>
      <c r="J119">
        <v>200000</v>
      </c>
      <c r="K119">
        <v>2000</v>
      </c>
      <c r="L119">
        <v>5</v>
      </c>
      <c r="M119" t="s">
        <v>425</v>
      </c>
    </row>
    <row r="120" spans="1:13" x14ac:dyDescent="0.2">
      <c r="A120">
        <v>117</v>
      </c>
      <c r="B120">
        <v>6</v>
      </c>
      <c r="C120">
        <v>7</v>
      </c>
      <c r="D120">
        <v>2000</v>
      </c>
      <c r="E120">
        <v>360</v>
      </c>
      <c r="F120" t="s">
        <v>289</v>
      </c>
      <c r="G120" t="s">
        <v>215</v>
      </c>
      <c r="H120" t="s">
        <v>522</v>
      </c>
      <c r="I120" t="s">
        <v>441</v>
      </c>
      <c r="J120">
        <v>200000</v>
      </c>
      <c r="K120">
        <v>2000</v>
      </c>
      <c r="L120">
        <v>5</v>
      </c>
      <c r="M120" t="s">
        <v>425</v>
      </c>
    </row>
    <row r="121" spans="1:13" x14ac:dyDescent="0.2">
      <c r="A121">
        <v>118</v>
      </c>
      <c r="B121">
        <v>7</v>
      </c>
      <c r="C121">
        <v>7</v>
      </c>
      <c r="D121">
        <v>1400</v>
      </c>
      <c r="E121">
        <v>480</v>
      </c>
      <c r="F121" t="s">
        <v>66</v>
      </c>
      <c r="G121" t="s">
        <v>246</v>
      </c>
      <c r="H121" t="s">
        <v>509</v>
      </c>
      <c r="I121" t="s">
        <v>441</v>
      </c>
      <c r="J121">
        <v>400000</v>
      </c>
      <c r="K121">
        <v>2000</v>
      </c>
      <c r="L121">
        <v>5</v>
      </c>
      <c r="M121" t="s">
        <v>426</v>
      </c>
    </row>
    <row r="122" spans="1:13" x14ac:dyDescent="0.2">
      <c r="A122">
        <v>119</v>
      </c>
      <c r="B122">
        <v>7</v>
      </c>
      <c r="C122">
        <v>7</v>
      </c>
      <c r="D122">
        <v>1400</v>
      </c>
      <c r="E122">
        <v>480</v>
      </c>
      <c r="F122" t="s">
        <v>64</v>
      </c>
      <c r="G122" t="s">
        <v>194</v>
      </c>
      <c r="H122" t="s">
        <v>495</v>
      </c>
      <c r="I122" t="s">
        <v>441</v>
      </c>
      <c r="J122">
        <v>400000</v>
      </c>
      <c r="K122">
        <v>2000</v>
      </c>
      <c r="L122">
        <v>5</v>
      </c>
      <c r="M122" t="s">
        <v>426</v>
      </c>
    </row>
    <row r="123" spans="1:13" x14ac:dyDescent="0.2">
      <c r="A123">
        <v>120</v>
      </c>
      <c r="B123">
        <v>7</v>
      </c>
      <c r="C123">
        <v>7</v>
      </c>
      <c r="D123">
        <v>1400</v>
      </c>
      <c r="E123">
        <v>480</v>
      </c>
      <c r="F123" t="s">
        <v>48</v>
      </c>
      <c r="G123" t="s">
        <v>181</v>
      </c>
      <c r="H123" t="s">
        <v>523</v>
      </c>
      <c r="I123" t="s">
        <v>441</v>
      </c>
      <c r="J123">
        <v>400000</v>
      </c>
      <c r="K123">
        <v>2000</v>
      </c>
      <c r="L123">
        <v>5</v>
      </c>
      <c r="M123" t="s">
        <v>426</v>
      </c>
    </row>
    <row r="124" spans="1:13" x14ac:dyDescent="0.2">
      <c r="A124">
        <v>121</v>
      </c>
      <c r="B124">
        <v>7</v>
      </c>
      <c r="C124">
        <v>8</v>
      </c>
      <c r="D124">
        <v>1400</v>
      </c>
      <c r="E124">
        <v>480</v>
      </c>
      <c r="F124" t="s">
        <v>275</v>
      </c>
      <c r="G124" t="s">
        <v>193</v>
      </c>
      <c r="H124" t="s">
        <v>524</v>
      </c>
      <c r="I124" t="s">
        <v>441</v>
      </c>
      <c r="J124">
        <v>400000</v>
      </c>
      <c r="K124">
        <v>2000</v>
      </c>
      <c r="L124">
        <v>5</v>
      </c>
      <c r="M124" t="s">
        <v>426</v>
      </c>
    </row>
    <row r="125" spans="1:13" x14ac:dyDescent="0.2">
      <c r="A125">
        <v>122</v>
      </c>
      <c r="B125">
        <v>7</v>
      </c>
      <c r="C125">
        <v>8</v>
      </c>
      <c r="D125">
        <v>1400</v>
      </c>
      <c r="E125">
        <v>480</v>
      </c>
      <c r="F125" t="s">
        <v>319</v>
      </c>
      <c r="G125" t="s">
        <v>220</v>
      </c>
      <c r="H125" t="s">
        <v>525</v>
      </c>
      <c r="I125" t="s">
        <v>441</v>
      </c>
      <c r="J125">
        <v>400000</v>
      </c>
      <c r="K125">
        <v>2000</v>
      </c>
      <c r="L125">
        <v>5</v>
      </c>
      <c r="M125" t="s">
        <v>426</v>
      </c>
    </row>
    <row r="126" spans="1:13" x14ac:dyDescent="0.2">
      <c r="A126">
        <v>123</v>
      </c>
      <c r="B126">
        <v>10</v>
      </c>
      <c r="C126">
        <v>8</v>
      </c>
      <c r="D126">
        <v>200</v>
      </c>
      <c r="E126">
        <v>1080</v>
      </c>
      <c r="F126" t="s">
        <v>317</v>
      </c>
      <c r="G126" t="s">
        <v>197</v>
      </c>
      <c r="H126" t="s">
        <v>526</v>
      </c>
      <c r="I126" t="s">
        <v>527</v>
      </c>
      <c r="J126">
        <v>1500000</v>
      </c>
      <c r="K126">
        <v>2000</v>
      </c>
      <c r="L126">
        <v>5</v>
      </c>
      <c r="M126" t="s">
        <v>429</v>
      </c>
    </row>
    <row r="127" spans="1:13" x14ac:dyDescent="0.2">
      <c r="A127">
        <v>124</v>
      </c>
      <c r="B127">
        <v>6</v>
      </c>
      <c r="C127">
        <v>8</v>
      </c>
      <c r="D127">
        <v>2000</v>
      </c>
      <c r="E127">
        <v>360</v>
      </c>
      <c r="F127" t="s">
        <v>38</v>
      </c>
      <c r="G127" t="s">
        <v>216</v>
      </c>
      <c r="H127" t="s">
        <v>528</v>
      </c>
      <c r="I127" t="s">
        <v>441</v>
      </c>
      <c r="J127">
        <v>200000</v>
      </c>
      <c r="K127">
        <v>2000</v>
      </c>
      <c r="L127">
        <v>5</v>
      </c>
      <c r="M127" t="s">
        <v>425</v>
      </c>
    </row>
    <row r="128" spans="1:13" x14ac:dyDescent="0.2">
      <c r="A128">
        <v>125</v>
      </c>
      <c r="B128">
        <v>4</v>
      </c>
      <c r="C128">
        <v>8</v>
      </c>
      <c r="D128">
        <v>4500</v>
      </c>
      <c r="E128">
        <v>120</v>
      </c>
      <c r="F128" t="s">
        <v>272</v>
      </c>
      <c r="G128" t="s">
        <v>247</v>
      </c>
      <c r="H128" t="s">
        <v>529</v>
      </c>
      <c r="I128" t="s">
        <v>441</v>
      </c>
      <c r="J128">
        <v>80000</v>
      </c>
      <c r="K128">
        <v>2000</v>
      </c>
      <c r="L128">
        <v>5</v>
      </c>
      <c r="M128" t="s">
        <v>423</v>
      </c>
    </row>
    <row r="129" spans="1:13" x14ac:dyDescent="0.2">
      <c r="A129">
        <v>126</v>
      </c>
      <c r="B129">
        <v>8</v>
      </c>
      <c r="C129">
        <v>8</v>
      </c>
      <c r="D129">
        <v>900</v>
      </c>
      <c r="E129">
        <v>600</v>
      </c>
      <c r="F129" t="s">
        <v>317</v>
      </c>
      <c r="G129" t="s">
        <v>184</v>
      </c>
      <c r="H129" t="s">
        <v>512</v>
      </c>
      <c r="I129" t="s">
        <v>480</v>
      </c>
      <c r="J129">
        <v>800000</v>
      </c>
      <c r="K129">
        <v>2000</v>
      </c>
      <c r="L129">
        <v>5</v>
      </c>
      <c r="M129" t="s">
        <v>427</v>
      </c>
    </row>
    <row r="130" spans="1:13" x14ac:dyDescent="0.2">
      <c r="A130">
        <v>127</v>
      </c>
      <c r="B130">
        <v>8</v>
      </c>
      <c r="C130">
        <v>8</v>
      </c>
      <c r="D130">
        <v>900</v>
      </c>
      <c r="E130">
        <v>600</v>
      </c>
      <c r="F130" t="s">
        <v>325</v>
      </c>
      <c r="G130" t="s">
        <v>195</v>
      </c>
      <c r="H130" t="s">
        <v>530</v>
      </c>
      <c r="I130" t="s">
        <v>480</v>
      </c>
      <c r="J130">
        <v>800000</v>
      </c>
      <c r="K130">
        <v>2000</v>
      </c>
      <c r="L130">
        <v>5</v>
      </c>
      <c r="M130" t="s">
        <v>427</v>
      </c>
    </row>
    <row r="131" spans="1:13" x14ac:dyDescent="0.2">
      <c r="A131">
        <v>128</v>
      </c>
      <c r="B131">
        <v>8</v>
      </c>
      <c r="C131">
        <v>8</v>
      </c>
      <c r="D131">
        <v>900</v>
      </c>
      <c r="E131">
        <v>600</v>
      </c>
      <c r="F131" t="s">
        <v>303</v>
      </c>
      <c r="G131" t="s">
        <v>202</v>
      </c>
      <c r="H131" t="s">
        <v>531</v>
      </c>
      <c r="I131" t="s">
        <v>480</v>
      </c>
      <c r="J131">
        <v>800000</v>
      </c>
      <c r="K131">
        <v>2000</v>
      </c>
      <c r="L131">
        <v>5</v>
      </c>
      <c r="M131" t="s">
        <v>427</v>
      </c>
    </row>
    <row r="132" spans="1:13" x14ac:dyDescent="0.2">
      <c r="A132">
        <v>129</v>
      </c>
      <c r="B132">
        <v>9</v>
      </c>
      <c r="C132">
        <v>8</v>
      </c>
      <c r="D132">
        <v>500</v>
      </c>
      <c r="E132">
        <v>840</v>
      </c>
      <c r="F132" t="s">
        <v>310</v>
      </c>
      <c r="G132" t="s">
        <v>235</v>
      </c>
      <c r="H132" t="s">
        <v>532</v>
      </c>
      <c r="I132" t="s">
        <v>515</v>
      </c>
      <c r="J132">
        <v>1200000</v>
      </c>
      <c r="K132">
        <v>2000</v>
      </c>
      <c r="L132">
        <v>5</v>
      </c>
      <c r="M132" t="s">
        <v>428</v>
      </c>
    </row>
    <row r="133" spans="1:13" x14ac:dyDescent="0.2">
      <c r="A133">
        <v>130</v>
      </c>
      <c r="B133">
        <v>8</v>
      </c>
      <c r="C133">
        <v>8</v>
      </c>
      <c r="D133">
        <v>900</v>
      </c>
      <c r="E133">
        <v>600</v>
      </c>
      <c r="F133" t="s">
        <v>304</v>
      </c>
      <c r="G133" t="s">
        <v>185</v>
      </c>
      <c r="H133" t="s">
        <v>486</v>
      </c>
      <c r="I133" t="s">
        <v>480</v>
      </c>
      <c r="J133">
        <v>800000</v>
      </c>
      <c r="K133">
        <v>2000</v>
      </c>
      <c r="L133">
        <v>5</v>
      </c>
      <c r="M133" t="s">
        <v>427</v>
      </c>
    </row>
    <row r="134" spans="1:13" x14ac:dyDescent="0.2">
      <c r="A134">
        <v>131</v>
      </c>
      <c r="B134">
        <v>8</v>
      </c>
      <c r="C134">
        <v>8</v>
      </c>
      <c r="D134">
        <v>900</v>
      </c>
      <c r="E134">
        <v>600</v>
      </c>
      <c r="F134" t="s">
        <v>304</v>
      </c>
      <c r="G134" t="s">
        <v>215</v>
      </c>
      <c r="H134" t="s">
        <v>502</v>
      </c>
      <c r="I134" t="s">
        <v>480</v>
      </c>
      <c r="J134">
        <v>800000</v>
      </c>
      <c r="K134">
        <v>2000</v>
      </c>
      <c r="L134">
        <v>5</v>
      </c>
      <c r="M134" t="s">
        <v>427</v>
      </c>
    </row>
    <row r="135" spans="1:13" x14ac:dyDescent="0.2">
      <c r="A135">
        <v>132</v>
      </c>
      <c r="B135">
        <v>9</v>
      </c>
      <c r="C135">
        <v>8</v>
      </c>
      <c r="D135">
        <v>500</v>
      </c>
      <c r="E135">
        <v>840</v>
      </c>
      <c r="F135" t="s">
        <v>269</v>
      </c>
      <c r="G135" t="s">
        <v>246</v>
      </c>
      <c r="H135" t="s">
        <v>533</v>
      </c>
      <c r="I135" t="s">
        <v>515</v>
      </c>
      <c r="J135">
        <v>1200000</v>
      </c>
      <c r="K135">
        <v>2000</v>
      </c>
      <c r="L135">
        <v>5</v>
      </c>
      <c r="M135" t="s">
        <v>428</v>
      </c>
    </row>
    <row r="136" spans="1:13" x14ac:dyDescent="0.2">
      <c r="A136">
        <v>133</v>
      </c>
      <c r="B136">
        <v>5</v>
      </c>
      <c r="C136">
        <v>8</v>
      </c>
      <c r="D136">
        <v>3000</v>
      </c>
      <c r="E136">
        <v>240</v>
      </c>
      <c r="F136" t="s">
        <v>283</v>
      </c>
      <c r="G136" t="s">
        <v>194</v>
      </c>
      <c r="H136" t="s">
        <v>454</v>
      </c>
      <c r="I136" t="s">
        <v>441</v>
      </c>
      <c r="J136">
        <v>120000</v>
      </c>
      <c r="K136">
        <v>2000</v>
      </c>
      <c r="L136">
        <v>5</v>
      </c>
      <c r="M136" t="s">
        <v>424</v>
      </c>
    </row>
    <row r="137" spans="1:13" x14ac:dyDescent="0.2">
      <c r="A137">
        <v>134</v>
      </c>
      <c r="B137">
        <v>5</v>
      </c>
      <c r="C137">
        <v>8</v>
      </c>
      <c r="D137">
        <v>3000</v>
      </c>
      <c r="E137">
        <v>240</v>
      </c>
      <c r="F137" t="s">
        <v>319</v>
      </c>
      <c r="G137" t="s">
        <v>181</v>
      </c>
      <c r="H137" t="s">
        <v>534</v>
      </c>
      <c r="I137" t="s">
        <v>441</v>
      </c>
      <c r="J137">
        <v>120000</v>
      </c>
      <c r="K137">
        <v>2000</v>
      </c>
      <c r="L137">
        <v>5</v>
      </c>
      <c r="M137" t="s">
        <v>424</v>
      </c>
    </row>
    <row r="138" spans="1:13" x14ac:dyDescent="0.2">
      <c r="A138">
        <v>135</v>
      </c>
      <c r="B138">
        <v>5</v>
      </c>
      <c r="C138">
        <v>8</v>
      </c>
      <c r="D138">
        <v>3000</v>
      </c>
      <c r="E138">
        <v>240</v>
      </c>
      <c r="F138" t="s">
        <v>286</v>
      </c>
      <c r="G138" t="s">
        <v>193</v>
      </c>
      <c r="H138" t="s">
        <v>535</v>
      </c>
      <c r="I138" t="s">
        <v>441</v>
      </c>
      <c r="J138">
        <v>120000</v>
      </c>
      <c r="K138">
        <v>2000</v>
      </c>
      <c r="L138">
        <v>5</v>
      </c>
      <c r="M138" t="s">
        <v>424</v>
      </c>
    </row>
    <row r="139" spans="1:13" x14ac:dyDescent="0.2">
      <c r="A139">
        <v>136</v>
      </c>
      <c r="B139">
        <v>6</v>
      </c>
      <c r="C139">
        <v>8</v>
      </c>
      <c r="D139">
        <v>2000</v>
      </c>
      <c r="E139">
        <v>360</v>
      </c>
      <c r="F139" t="s">
        <v>64</v>
      </c>
      <c r="G139" t="s">
        <v>220</v>
      </c>
      <c r="H139" t="s">
        <v>466</v>
      </c>
      <c r="I139" t="s">
        <v>441</v>
      </c>
      <c r="J139">
        <v>200000</v>
      </c>
      <c r="K139">
        <v>2000</v>
      </c>
      <c r="L139">
        <v>5</v>
      </c>
      <c r="M139" t="s">
        <v>425</v>
      </c>
    </row>
    <row r="140" spans="1:13" x14ac:dyDescent="0.2">
      <c r="A140">
        <v>137</v>
      </c>
      <c r="B140">
        <v>6</v>
      </c>
      <c r="C140">
        <v>8</v>
      </c>
      <c r="D140">
        <v>2000</v>
      </c>
      <c r="E140">
        <v>360</v>
      </c>
      <c r="F140" t="s">
        <v>35</v>
      </c>
      <c r="G140" t="s">
        <v>197</v>
      </c>
      <c r="H140" t="s">
        <v>536</v>
      </c>
      <c r="I140" t="s">
        <v>441</v>
      </c>
      <c r="J140">
        <v>200000</v>
      </c>
      <c r="K140">
        <v>2000</v>
      </c>
      <c r="L140">
        <v>5</v>
      </c>
      <c r="M140" t="s">
        <v>425</v>
      </c>
    </row>
    <row r="141" spans="1:13" x14ac:dyDescent="0.2">
      <c r="A141">
        <v>138</v>
      </c>
      <c r="B141">
        <v>6</v>
      </c>
      <c r="C141">
        <v>8</v>
      </c>
      <c r="D141">
        <v>2000</v>
      </c>
      <c r="E141">
        <v>360</v>
      </c>
      <c r="F141" t="s">
        <v>316</v>
      </c>
      <c r="G141" t="s">
        <v>216</v>
      </c>
      <c r="H141" t="s">
        <v>534</v>
      </c>
      <c r="I141" t="s">
        <v>441</v>
      </c>
      <c r="J141">
        <v>200000</v>
      </c>
      <c r="K141">
        <v>2000</v>
      </c>
      <c r="L141">
        <v>5</v>
      </c>
      <c r="M141" t="s">
        <v>425</v>
      </c>
    </row>
    <row r="142" spans="1:13" x14ac:dyDescent="0.2">
      <c r="A142">
        <v>139</v>
      </c>
      <c r="B142">
        <v>7</v>
      </c>
      <c r="C142">
        <v>8</v>
      </c>
      <c r="D142">
        <v>1400</v>
      </c>
      <c r="E142">
        <v>480</v>
      </c>
      <c r="F142" t="s">
        <v>308</v>
      </c>
      <c r="G142" t="s">
        <v>247</v>
      </c>
      <c r="H142" t="s">
        <v>463</v>
      </c>
      <c r="I142" t="s">
        <v>441</v>
      </c>
      <c r="J142">
        <v>400000</v>
      </c>
      <c r="K142">
        <v>2000</v>
      </c>
      <c r="L142">
        <v>5</v>
      </c>
      <c r="M142" t="s">
        <v>426</v>
      </c>
    </row>
    <row r="143" spans="1:13" x14ac:dyDescent="0.2">
      <c r="A143">
        <v>140</v>
      </c>
      <c r="B143">
        <v>7</v>
      </c>
      <c r="C143">
        <v>8</v>
      </c>
      <c r="D143">
        <v>1400</v>
      </c>
      <c r="E143">
        <v>480</v>
      </c>
      <c r="F143" t="s">
        <v>319</v>
      </c>
      <c r="G143" t="s">
        <v>184</v>
      </c>
      <c r="H143" t="s">
        <v>533</v>
      </c>
      <c r="I143" t="s">
        <v>441</v>
      </c>
      <c r="J143">
        <v>400000</v>
      </c>
      <c r="K143">
        <v>2000</v>
      </c>
      <c r="L143">
        <v>5</v>
      </c>
      <c r="M143" t="s">
        <v>426</v>
      </c>
    </row>
    <row r="144" spans="1:13" x14ac:dyDescent="0.2">
      <c r="A144">
        <v>141</v>
      </c>
      <c r="B144">
        <v>7</v>
      </c>
      <c r="C144">
        <v>8</v>
      </c>
      <c r="D144">
        <v>1400</v>
      </c>
      <c r="E144">
        <v>480</v>
      </c>
      <c r="F144" t="s">
        <v>293</v>
      </c>
      <c r="G144" t="s">
        <v>195</v>
      </c>
      <c r="H144" t="s">
        <v>532</v>
      </c>
      <c r="I144" t="s">
        <v>441</v>
      </c>
      <c r="J144">
        <v>400000</v>
      </c>
      <c r="K144">
        <v>2000</v>
      </c>
      <c r="L144">
        <v>5</v>
      </c>
      <c r="M144" t="s">
        <v>426</v>
      </c>
    </row>
    <row r="145" spans="1:13" x14ac:dyDescent="0.2">
      <c r="A145">
        <v>142</v>
      </c>
      <c r="B145">
        <v>7</v>
      </c>
      <c r="C145">
        <v>9</v>
      </c>
      <c r="D145">
        <v>1400</v>
      </c>
      <c r="E145">
        <v>480</v>
      </c>
      <c r="F145" t="s">
        <v>276</v>
      </c>
      <c r="G145" t="s">
        <v>202</v>
      </c>
      <c r="H145" t="s">
        <v>451</v>
      </c>
      <c r="I145" t="s">
        <v>441</v>
      </c>
      <c r="J145">
        <v>400000</v>
      </c>
      <c r="K145">
        <v>2000</v>
      </c>
      <c r="L145">
        <v>5</v>
      </c>
      <c r="M145" t="s">
        <v>426</v>
      </c>
    </row>
    <row r="146" spans="1:13" x14ac:dyDescent="0.2">
      <c r="A146">
        <v>143</v>
      </c>
      <c r="B146">
        <v>7</v>
      </c>
      <c r="C146">
        <v>9</v>
      </c>
      <c r="D146">
        <v>1400</v>
      </c>
      <c r="E146">
        <v>480</v>
      </c>
      <c r="F146" t="s">
        <v>62</v>
      </c>
      <c r="G146" t="s">
        <v>235</v>
      </c>
      <c r="H146" t="s">
        <v>510</v>
      </c>
      <c r="I146" t="s">
        <v>441</v>
      </c>
      <c r="J146">
        <v>400000</v>
      </c>
      <c r="K146">
        <v>2000</v>
      </c>
      <c r="L146">
        <v>5</v>
      </c>
      <c r="M146" t="s">
        <v>426</v>
      </c>
    </row>
    <row r="147" spans="1:13" x14ac:dyDescent="0.2">
      <c r="A147">
        <v>144</v>
      </c>
      <c r="B147">
        <v>10</v>
      </c>
      <c r="C147">
        <v>9</v>
      </c>
      <c r="D147">
        <v>200</v>
      </c>
      <c r="E147">
        <v>1080</v>
      </c>
      <c r="F147" t="s">
        <v>304</v>
      </c>
      <c r="G147" t="s">
        <v>185</v>
      </c>
      <c r="H147" t="s">
        <v>488</v>
      </c>
      <c r="I147" t="s">
        <v>527</v>
      </c>
      <c r="J147">
        <v>1500000</v>
      </c>
      <c r="K147">
        <v>2000</v>
      </c>
      <c r="L147">
        <v>5</v>
      </c>
      <c r="M147" t="s">
        <v>429</v>
      </c>
    </row>
    <row r="148" spans="1:13" x14ac:dyDescent="0.2">
      <c r="A148">
        <v>145</v>
      </c>
      <c r="B148">
        <v>6</v>
      </c>
      <c r="C148">
        <v>9</v>
      </c>
      <c r="D148">
        <v>2000</v>
      </c>
      <c r="E148">
        <v>360</v>
      </c>
      <c r="F148" t="s">
        <v>324</v>
      </c>
      <c r="G148" t="s">
        <v>215</v>
      </c>
      <c r="H148" t="s">
        <v>537</v>
      </c>
      <c r="I148" t="s">
        <v>441</v>
      </c>
      <c r="J148">
        <v>200000</v>
      </c>
      <c r="K148">
        <v>2000</v>
      </c>
      <c r="L148">
        <v>5</v>
      </c>
      <c r="M148" t="s">
        <v>425</v>
      </c>
    </row>
    <row r="149" spans="1:13" x14ac:dyDescent="0.2">
      <c r="A149">
        <v>146</v>
      </c>
      <c r="B149">
        <v>4</v>
      </c>
      <c r="C149">
        <v>9</v>
      </c>
      <c r="D149">
        <v>4500</v>
      </c>
      <c r="E149">
        <v>120</v>
      </c>
      <c r="F149" t="s">
        <v>274</v>
      </c>
      <c r="G149" t="s">
        <v>246</v>
      </c>
      <c r="H149" t="s">
        <v>538</v>
      </c>
      <c r="I149" t="s">
        <v>441</v>
      </c>
      <c r="J149">
        <v>80000</v>
      </c>
      <c r="K149">
        <v>2000</v>
      </c>
      <c r="L149">
        <v>5</v>
      </c>
      <c r="M149" t="s">
        <v>423</v>
      </c>
    </row>
    <row r="150" spans="1:13" x14ac:dyDescent="0.2">
      <c r="A150">
        <v>147</v>
      </c>
      <c r="B150">
        <v>8</v>
      </c>
      <c r="C150">
        <v>9</v>
      </c>
      <c r="D150">
        <v>900</v>
      </c>
      <c r="E150">
        <v>600</v>
      </c>
      <c r="F150" t="s">
        <v>320</v>
      </c>
      <c r="G150" t="s">
        <v>194</v>
      </c>
      <c r="H150" t="s">
        <v>539</v>
      </c>
      <c r="I150" t="s">
        <v>480</v>
      </c>
      <c r="J150">
        <v>800000</v>
      </c>
      <c r="K150">
        <v>2000</v>
      </c>
      <c r="L150">
        <v>5</v>
      </c>
      <c r="M150" t="s">
        <v>427</v>
      </c>
    </row>
    <row r="151" spans="1:13" x14ac:dyDescent="0.2">
      <c r="A151">
        <v>148</v>
      </c>
      <c r="B151">
        <v>10</v>
      </c>
      <c r="C151">
        <v>9</v>
      </c>
      <c r="D151">
        <v>200</v>
      </c>
      <c r="E151">
        <v>1080</v>
      </c>
      <c r="F151" t="s">
        <v>284</v>
      </c>
      <c r="G151" t="s">
        <v>181</v>
      </c>
      <c r="H151" t="s">
        <v>497</v>
      </c>
      <c r="I151" t="s">
        <v>527</v>
      </c>
      <c r="J151">
        <v>1500000</v>
      </c>
      <c r="K151">
        <v>2000</v>
      </c>
      <c r="L151">
        <v>5</v>
      </c>
      <c r="M151" t="s">
        <v>429</v>
      </c>
    </row>
    <row r="152" spans="1:13" x14ac:dyDescent="0.2">
      <c r="A152">
        <v>149</v>
      </c>
      <c r="B152">
        <v>8</v>
      </c>
      <c r="C152">
        <v>9</v>
      </c>
      <c r="D152">
        <v>900</v>
      </c>
      <c r="E152">
        <v>600</v>
      </c>
      <c r="F152" t="s">
        <v>303</v>
      </c>
      <c r="G152" t="s">
        <v>193</v>
      </c>
      <c r="H152" t="s">
        <v>540</v>
      </c>
      <c r="I152" t="s">
        <v>480</v>
      </c>
      <c r="J152">
        <v>800000</v>
      </c>
      <c r="K152">
        <v>2000</v>
      </c>
      <c r="L152">
        <v>5</v>
      </c>
      <c r="M152" t="s">
        <v>427</v>
      </c>
    </row>
    <row r="153" spans="1:13" x14ac:dyDescent="0.2">
      <c r="A153">
        <v>150</v>
      </c>
      <c r="B153">
        <v>9</v>
      </c>
      <c r="C153">
        <v>9</v>
      </c>
      <c r="D153">
        <v>500</v>
      </c>
      <c r="E153">
        <v>840</v>
      </c>
      <c r="F153" t="s">
        <v>303</v>
      </c>
      <c r="G153" t="s">
        <v>220</v>
      </c>
      <c r="H153" t="s">
        <v>509</v>
      </c>
      <c r="I153" t="s">
        <v>515</v>
      </c>
      <c r="J153">
        <v>1200000</v>
      </c>
      <c r="K153">
        <v>2000</v>
      </c>
      <c r="L153">
        <v>5</v>
      </c>
      <c r="M153" t="s">
        <v>428</v>
      </c>
    </row>
    <row r="154" spans="1:13" x14ac:dyDescent="0.2">
      <c r="A154">
        <v>151</v>
      </c>
      <c r="B154">
        <v>8</v>
      </c>
      <c r="C154">
        <v>9</v>
      </c>
      <c r="D154">
        <v>900</v>
      </c>
      <c r="E154">
        <v>600</v>
      </c>
      <c r="F154" t="s">
        <v>310</v>
      </c>
      <c r="G154" t="s">
        <v>197</v>
      </c>
      <c r="H154" t="s">
        <v>490</v>
      </c>
      <c r="I154" t="s">
        <v>480</v>
      </c>
      <c r="J154">
        <v>800000</v>
      </c>
      <c r="K154">
        <v>2000</v>
      </c>
      <c r="L154">
        <v>5</v>
      </c>
      <c r="M154" t="s">
        <v>427</v>
      </c>
    </row>
    <row r="155" spans="1:13" x14ac:dyDescent="0.2">
      <c r="A155">
        <v>152</v>
      </c>
      <c r="B155">
        <v>9</v>
      </c>
      <c r="C155">
        <v>9</v>
      </c>
      <c r="D155">
        <v>500</v>
      </c>
      <c r="E155">
        <v>840</v>
      </c>
      <c r="F155" t="s">
        <v>46</v>
      </c>
      <c r="G155" t="s">
        <v>216</v>
      </c>
      <c r="H155" t="s">
        <v>541</v>
      </c>
      <c r="I155" t="s">
        <v>515</v>
      </c>
      <c r="J155">
        <v>1200000</v>
      </c>
      <c r="K155">
        <v>2000</v>
      </c>
      <c r="L155">
        <v>5</v>
      </c>
      <c r="M155" t="s">
        <v>428</v>
      </c>
    </row>
    <row r="156" spans="1:13" x14ac:dyDescent="0.2">
      <c r="A156">
        <v>153</v>
      </c>
      <c r="B156">
        <v>9</v>
      </c>
      <c r="C156">
        <v>9</v>
      </c>
      <c r="D156">
        <v>500</v>
      </c>
      <c r="E156">
        <v>840</v>
      </c>
      <c r="F156" t="s">
        <v>328</v>
      </c>
      <c r="G156" t="s">
        <v>247</v>
      </c>
      <c r="H156" t="s">
        <v>508</v>
      </c>
      <c r="I156" t="s">
        <v>515</v>
      </c>
      <c r="J156">
        <v>1200000</v>
      </c>
      <c r="K156">
        <v>2000</v>
      </c>
      <c r="L156">
        <v>5</v>
      </c>
      <c r="M156" t="s">
        <v>428</v>
      </c>
    </row>
    <row r="157" spans="1:13" x14ac:dyDescent="0.2">
      <c r="A157">
        <v>154</v>
      </c>
      <c r="B157">
        <v>5</v>
      </c>
      <c r="C157">
        <v>9</v>
      </c>
      <c r="D157">
        <v>3000</v>
      </c>
      <c r="E157">
        <v>240</v>
      </c>
      <c r="F157" t="s">
        <v>66</v>
      </c>
      <c r="G157" t="s">
        <v>184</v>
      </c>
      <c r="H157" t="s">
        <v>542</v>
      </c>
      <c r="I157" t="s">
        <v>441</v>
      </c>
      <c r="J157">
        <v>120000</v>
      </c>
      <c r="K157">
        <v>2000</v>
      </c>
      <c r="L157">
        <v>5</v>
      </c>
      <c r="M157" t="s">
        <v>424</v>
      </c>
    </row>
    <row r="158" spans="1:13" x14ac:dyDescent="0.2">
      <c r="A158">
        <v>155</v>
      </c>
      <c r="B158">
        <v>5</v>
      </c>
      <c r="C158">
        <v>9</v>
      </c>
      <c r="D158">
        <v>3000</v>
      </c>
      <c r="E158">
        <v>240</v>
      </c>
      <c r="F158" t="s">
        <v>40</v>
      </c>
      <c r="G158" t="s">
        <v>195</v>
      </c>
      <c r="H158" t="s">
        <v>543</v>
      </c>
      <c r="I158" t="s">
        <v>441</v>
      </c>
      <c r="J158">
        <v>120000</v>
      </c>
      <c r="K158">
        <v>2000</v>
      </c>
      <c r="L158">
        <v>5</v>
      </c>
      <c r="M158" t="s">
        <v>424</v>
      </c>
    </row>
    <row r="159" spans="1:13" x14ac:dyDescent="0.2">
      <c r="A159">
        <v>156</v>
      </c>
      <c r="B159">
        <v>5</v>
      </c>
      <c r="C159">
        <v>9</v>
      </c>
      <c r="D159">
        <v>3000</v>
      </c>
      <c r="E159">
        <v>240</v>
      </c>
      <c r="F159" t="s">
        <v>35</v>
      </c>
      <c r="G159" t="s">
        <v>202</v>
      </c>
      <c r="H159" t="s">
        <v>544</v>
      </c>
      <c r="I159" t="s">
        <v>441</v>
      </c>
      <c r="J159">
        <v>120000</v>
      </c>
      <c r="K159">
        <v>2000</v>
      </c>
      <c r="L159">
        <v>5</v>
      </c>
      <c r="M159" t="s">
        <v>424</v>
      </c>
    </row>
    <row r="160" spans="1:13" x14ac:dyDescent="0.2">
      <c r="A160">
        <v>157</v>
      </c>
      <c r="B160">
        <v>6</v>
      </c>
      <c r="C160">
        <v>9</v>
      </c>
      <c r="D160">
        <v>2000</v>
      </c>
      <c r="E160">
        <v>360</v>
      </c>
      <c r="F160" t="s">
        <v>40</v>
      </c>
      <c r="G160" t="s">
        <v>235</v>
      </c>
      <c r="H160" t="s">
        <v>545</v>
      </c>
      <c r="I160" t="s">
        <v>441</v>
      </c>
      <c r="J160">
        <v>200000</v>
      </c>
      <c r="K160">
        <v>2000</v>
      </c>
      <c r="L160">
        <v>5</v>
      </c>
      <c r="M160" t="s">
        <v>425</v>
      </c>
    </row>
    <row r="161" spans="1:13" x14ac:dyDescent="0.2">
      <c r="A161">
        <v>158</v>
      </c>
      <c r="B161">
        <v>6</v>
      </c>
      <c r="C161">
        <v>9</v>
      </c>
      <c r="D161">
        <v>2000</v>
      </c>
      <c r="E161">
        <v>360</v>
      </c>
      <c r="F161" t="s">
        <v>270</v>
      </c>
      <c r="G161" t="s">
        <v>185</v>
      </c>
      <c r="H161" t="s">
        <v>521</v>
      </c>
      <c r="I161" t="s">
        <v>441</v>
      </c>
      <c r="J161">
        <v>200000</v>
      </c>
      <c r="K161">
        <v>2000</v>
      </c>
      <c r="L161">
        <v>5</v>
      </c>
      <c r="M161" t="s">
        <v>425</v>
      </c>
    </row>
    <row r="162" spans="1:13" x14ac:dyDescent="0.2">
      <c r="A162">
        <v>159</v>
      </c>
      <c r="B162">
        <v>6</v>
      </c>
      <c r="C162">
        <v>9</v>
      </c>
      <c r="D162">
        <v>2000</v>
      </c>
      <c r="E162">
        <v>360</v>
      </c>
      <c r="F162" t="s">
        <v>283</v>
      </c>
      <c r="G162" t="s">
        <v>215</v>
      </c>
      <c r="H162" t="s">
        <v>546</v>
      </c>
      <c r="I162" t="s">
        <v>441</v>
      </c>
      <c r="J162">
        <v>200000</v>
      </c>
      <c r="K162">
        <v>2000</v>
      </c>
      <c r="L162">
        <v>5</v>
      </c>
      <c r="M162" t="s">
        <v>425</v>
      </c>
    </row>
    <row r="163" spans="1:13" x14ac:dyDescent="0.2">
      <c r="A163">
        <v>160</v>
      </c>
      <c r="B163">
        <v>7</v>
      </c>
      <c r="C163">
        <v>9</v>
      </c>
      <c r="D163">
        <v>1400</v>
      </c>
      <c r="E163">
        <v>480</v>
      </c>
      <c r="F163" t="s">
        <v>289</v>
      </c>
      <c r="G163" t="s">
        <v>246</v>
      </c>
      <c r="H163" t="s">
        <v>547</v>
      </c>
      <c r="I163" t="s">
        <v>441</v>
      </c>
      <c r="J163">
        <v>400000</v>
      </c>
      <c r="K163">
        <v>2000</v>
      </c>
      <c r="L163">
        <v>5</v>
      </c>
      <c r="M163" t="s">
        <v>426</v>
      </c>
    </row>
    <row r="164" spans="1:13" x14ac:dyDescent="0.2">
      <c r="A164">
        <v>161</v>
      </c>
      <c r="B164">
        <v>7</v>
      </c>
      <c r="C164">
        <v>9</v>
      </c>
      <c r="D164">
        <v>1400</v>
      </c>
      <c r="E164">
        <v>480</v>
      </c>
      <c r="F164" t="s">
        <v>324</v>
      </c>
      <c r="G164" t="s">
        <v>194</v>
      </c>
      <c r="H164" t="s">
        <v>548</v>
      </c>
      <c r="I164" t="s">
        <v>441</v>
      </c>
      <c r="J164">
        <v>400000</v>
      </c>
      <c r="K164">
        <v>2000</v>
      </c>
      <c r="L164">
        <v>5</v>
      </c>
      <c r="M164" t="s">
        <v>426</v>
      </c>
    </row>
    <row r="165" spans="1:13" x14ac:dyDescent="0.2">
      <c r="A165">
        <v>162</v>
      </c>
      <c r="B165">
        <v>7</v>
      </c>
      <c r="C165">
        <v>9</v>
      </c>
      <c r="D165">
        <v>1400</v>
      </c>
      <c r="E165">
        <v>480</v>
      </c>
      <c r="F165" t="s">
        <v>33</v>
      </c>
      <c r="G165" t="s">
        <v>181</v>
      </c>
      <c r="H165" t="s">
        <v>549</v>
      </c>
      <c r="I165" t="s">
        <v>441</v>
      </c>
      <c r="J165">
        <v>400000</v>
      </c>
      <c r="K165">
        <v>2000</v>
      </c>
      <c r="L165">
        <v>5</v>
      </c>
      <c r="M165" t="s">
        <v>426</v>
      </c>
    </row>
    <row r="166" spans="1:13" x14ac:dyDescent="0.2">
      <c r="A166">
        <v>163</v>
      </c>
      <c r="B166">
        <v>7</v>
      </c>
      <c r="C166">
        <v>10</v>
      </c>
      <c r="D166">
        <v>1400</v>
      </c>
      <c r="E166">
        <v>480</v>
      </c>
      <c r="F166" t="s">
        <v>272</v>
      </c>
      <c r="G166" t="s">
        <v>193</v>
      </c>
      <c r="H166" t="s">
        <v>465</v>
      </c>
      <c r="I166" t="s">
        <v>441</v>
      </c>
      <c r="J166">
        <v>400000</v>
      </c>
      <c r="K166">
        <v>2000</v>
      </c>
      <c r="L166">
        <v>5</v>
      </c>
      <c r="M166" t="s">
        <v>426</v>
      </c>
    </row>
    <row r="167" spans="1:13" x14ac:dyDescent="0.2">
      <c r="A167">
        <v>164</v>
      </c>
      <c r="B167">
        <v>7</v>
      </c>
      <c r="C167">
        <v>10</v>
      </c>
      <c r="D167">
        <v>1400</v>
      </c>
      <c r="E167">
        <v>480</v>
      </c>
      <c r="F167" t="s">
        <v>38</v>
      </c>
      <c r="G167" t="s">
        <v>220</v>
      </c>
      <c r="H167" t="s">
        <v>550</v>
      </c>
      <c r="I167" t="s">
        <v>441</v>
      </c>
      <c r="J167">
        <v>400000</v>
      </c>
      <c r="K167">
        <v>2000</v>
      </c>
      <c r="L167">
        <v>5</v>
      </c>
      <c r="M167" t="s">
        <v>426</v>
      </c>
    </row>
    <row r="168" spans="1:13" x14ac:dyDescent="0.2">
      <c r="A168">
        <v>165</v>
      </c>
      <c r="B168">
        <v>10</v>
      </c>
      <c r="C168">
        <v>10</v>
      </c>
      <c r="D168">
        <v>200</v>
      </c>
      <c r="E168">
        <v>1080</v>
      </c>
      <c r="F168" t="s">
        <v>317</v>
      </c>
      <c r="G168" t="s">
        <v>197</v>
      </c>
      <c r="H168" t="s">
        <v>538</v>
      </c>
      <c r="I168" t="s">
        <v>527</v>
      </c>
      <c r="J168">
        <v>1500000</v>
      </c>
      <c r="K168">
        <v>2000</v>
      </c>
      <c r="L168">
        <v>5</v>
      </c>
      <c r="M168" t="s">
        <v>429</v>
      </c>
    </row>
    <row r="169" spans="1:13" x14ac:dyDescent="0.2">
      <c r="A169">
        <v>166</v>
      </c>
      <c r="B169">
        <v>6</v>
      </c>
      <c r="C169">
        <v>10</v>
      </c>
      <c r="D169">
        <v>2000</v>
      </c>
      <c r="E169">
        <v>360</v>
      </c>
      <c r="F169" t="s">
        <v>45</v>
      </c>
      <c r="G169" t="s">
        <v>216</v>
      </c>
      <c r="H169" t="s">
        <v>495</v>
      </c>
      <c r="I169" t="s">
        <v>441</v>
      </c>
      <c r="J169">
        <v>200000</v>
      </c>
      <c r="K169">
        <v>2000</v>
      </c>
      <c r="L169">
        <v>5</v>
      </c>
      <c r="M169" t="s">
        <v>425</v>
      </c>
    </row>
    <row r="170" spans="1:13" x14ac:dyDescent="0.2">
      <c r="A170">
        <v>167</v>
      </c>
      <c r="B170">
        <v>6</v>
      </c>
      <c r="C170">
        <v>10</v>
      </c>
      <c r="D170">
        <v>2000</v>
      </c>
      <c r="E170">
        <v>360</v>
      </c>
      <c r="F170" t="s">
        <v>296</v>
      </c>
      <c r="G170" t="s">
        <v>247</v>
      </c>
      <c r="H170" t="s">
        <v>551</v>
      </c>
      <c r="I170" t="s">
        <v>441</v>
      </c>
      <c r="J170">
        <v>200000</v>
      </c>
      <c r="K170">
        <v>2000</v>
      </c>
      <c r="L170">
        <v>5</v>
      </c>
      <c r="M170" t="s">
        <v>425</v>
      </c>
    </row>
    <row r="171" spans="1:13" x14ac:dyDescent="0.2">
      <c r="A171">
        <v>168</v>
      </c>
      <c r="B171">
        <v>8</v>
      </c>
      <c r="C171">
        <v>10</v>
      </c>
      <c r="D171">
        <v>900</v>
      </c>
      <c r="E171">
        <v>600</v>
      </c>
      <c r="F171" t="s">
        <v>46</v>
      </c>
      <c r="G171" t="s">
        <v>184</v>
      </c>
      <c r="H171" t="s">
        <v>507</v>
      </c>
      <c r="I171" t="s">
        <v>480</v>
      </c>
      <c r="J171">
        <v>800000</v>
      </c>
      <c r="K171">
        <v>2000</v>
      </c>
      <c r="L171">
        <v>5</v>
      </c>
      <c r="M171" t="s">
        <v>427</v>
      </c>
    </row>
    <row r="172" spans="1:13" x14ac:dyDescent="0.2">
      <c r="A172">
        <v>169</v>
      </c>
      <c r="B172">
        <v>10</v>
      </c>
      <c r="C172">
        <v>10</v>
      </c>
      <c r="D172">
        <v>200</v>
      </c>
      <c r="E172">
        <v>1080</v>
      </c>
      <c r="F172" t="s">
        <v>328</v>
      </c>
      <c r="G172" t="s">
        <v>195</v>
      </c>
      <c r="H172" t="s">
        <v>552</v>
      </c>
      <c r="I172" t="s">
        <v>527</v>
      </c>
      <c r="J172">
        <v>1500000</v>
      </c>
      <c r="K172">
        <v>2000</v>
      </c>
      <c r="L172">
        <v>5</v>
      </c>
      <c r="M172" t="s">
        <v>429</v>
      </c>
    </row>
    <row r="173" spans="1:13" x14ac:dyDescent="0.2">
      <c r="A173">
        <v>170</v>
      </c>
      <c r="B173">
        <v>8</v>
      </c>
      <c r="C173">
        <v>10</v>
      </c>
      <c r="D173">
        <v>900</v>
      </c>
      <c r="E173">
        <v>600</v>
      </c>
      <c r="F173" t="s">
        <v>305</v>
      </c>
      <c r="G173" t="s">
        <v>202</v>
      </c>
      <c r="H173" t="s">
        <v>553</v>
      </c>
      <c r="I173" t="s">
        <v>480</v>
      </c>
      <c r="J173">
        <v>800000</v>
      </c>
      <c r="K173">
        <v>2000</v>
      </c>
      <c r="L173">
        <v>5</v>
      </c>
      <c r="M173" t="s">
        <v>427</v>
      </c>
    </row>
    <row r="174" spans="1:13" x14ac:dyDescent="0.2">
      <c r="A174">
        <v>171</v>
      </c>
      <c r="B174">
        <v>9</v>
      </c>
      <c r="C174">
        <v>10</v>
      </c>
      <c r="D174">
        <v>500</v>
      </c>
      <c r="E174">
        <v>840</v>
      </c>
      <c r="F174" t="s">
        <v>309</v>
      </c>
      <c r="G174" t="s">
        <v>235</v>
      </c>
      <c r="H174" t="s">
        <v>514</v>
      </c>
      <c r="I174" t="s">
        <v>515</v>
      </c>
      <c r="J174">
        <v>1200000</v>
      </c>
      <c r="K174">
        <v>2000</v>
      </c>
      <c r="L174">
        <v>5</v>
      </c>
      <c r="M174" t="s">
        <v>428</v>
      </c>
    </row>
    <row r="175" spans="1:13" x14ac:dyDescent="0.2">
      <c r="A175">
        <v>172</v>
      </c>
      <c r="B175">
        <v>8</v>
      </c>
      <c r="C175">
        <v>10</v>
      </c>
      <c r="D175">
        <v>900</v>
      </c>
      <c r="E175">
        <v>600</v>
      </c>
      <c r="F175" t="s">
        <v>317</v>
      </c>
      <c r="G175" t="s">
        <v>185</v>
      </c>
      <c r="H175" t="s">
        <v>530</v>
      </c>
      <c r="I175" t="s">
        <v>480</v>
      </c>
      <c r="J175">
        <v>800000</v>
      </c>
      <c r="K175">
        <v>2000</v>
      </c>
      <c r="L175">
        <v>5</v>
      </c>
      <c r="M175" t="s">
        <v>427</v>
      </c>
    </row>
    <row r="176" spans="1:13" x14ac:dyDescent="0.2">
      <c r="A176">
        <v>173</v>
      </c>
      <c r="B176">
        <v>9</v>
      </c>
      <c r="C176">
        <v>10</v>
      </c>
      <c r="D176">
        <v>500</v>
      </c>
      <c r="E176">
        <v>840</v>
      </c>
      <c r="F176" t="s">
        <v>284</v>
      </c>
      <c r="G176" t="s">
        <v>215</v>
      </c>
      <c r="H176" t="s">
        <v>503</v>
      </c>
      <c r="I176" t="s">
        <v>515</v>
      </c>
      <c r="J176">
        <v>1200000</v>
      </c>
      <c r="K176">
        <v>2000</v>
      </c>
      <c r="L176">
        <v>5</v>
      </c>
      <c r="M176" t="s">
        <v>428</v>
      </c>
    </row>
    <row r="177" spans="1:13" x14ac:dyDescent="0.2">
      <c r="A177">
        <v>174</v>
      </c>
      <c r="B177">
        <v>9</v>
      </c>
      <c r="C177">
        <v>10</v>
      </c>
      <c r="D177">
        <v>500</v>
      </c>
      <c r="E177">
        <v>840</v>
      </c>
      <c r="F177" t="s">
        <v>305</v>
      </c>
      <c r="G177" t="s">
        <v>246</v>
      </c>
      <c r="H177" t="s">
        <v>540</v>
      </c>
      <c r="I177" t="s">
        <v>515</v>
      </c>
      <c r="J177">
        <v>1200000</v>
      </c>
      <c r="K177">
        <v>2000</v>
      </c>
      <c r="L177">
        <v>5</v>
      </c>
      <c r="M177" t="s">
        <v>428</v>
      </c>
    </row>
    <row r="178" spans="1:13" x14ac:dyDescent="0.2">
      <c r="A178">
        <v>175</v>
      </c>
      <c r="B178">
        <v>10</v>
      </c>
      <c r="C178">
        <v>10</v>
      </c>
      <c r="D178">
        <v>200</v>
      </c>
      <c r="E178">
        <v>1080</v>
      </c>
      <c r="F178" t="s">
        <v>325</v>
      </c>
      <c r="G178" t="s">
        <v>194</v>
      </c>
      <c r="H178" t="s">
        <v>554</v>
      </c>
      <c r="I178" t="s">
        <v>527</v>
      </c>
      <c r="J178">
        <v>1500000</v>
      </c>
      <c r="K178">
        <v>2000</v>
      </c>
      <c r="L178">
        <v>5</v>
      </c>
      <c r="M178" t="s">
        <v>429</v>
      </c>
    </row>
    <row r="179" spans="1:13" x14ac:dyDescent="0.2">
      <c r="A179">
        <v>176</v>
      </c>
      <c r="B179">
        <v>9</v>
      </c>
      <c r="C179">
        <v>10</v>
      </c>
      <c r="D179">
        <v>500</v>
      </c>
      <c r="E179">
        <v>840</v>
      </c>
      <c r="F179" t="s">
        <v>328</v>
      </c>
      <c r="G179" t="s">
        <v>181</v>
      </c>
      <c r="H179" t="s">
        <v>555</v>
      </c>
      <c r="I179" t="s">
        <v>515</v>
      </c>
      <c r="J179">
        <v>1200000</v>
      </c>
      <c r="K179">
        <v>2000</v>
      </c>
      <c r="L179">
        <v>5</v>
      </c>
      <c r="M179" t="s">
        <v>428</v>
      </c>
    </row>
    <row r="180" spans="1:13" x14ac:dyDescent="0.2">
      <c r="A180">
        <v>177</v>
      </c>
      <c r="B180">
        <v>8</v>
      </c>
      <c r="C180">
        <v>10</v>
      </c>
      <c r="D180">
        <v>900</v>
      </c>
      <c r="E180">
        <v>600</v>
      </c>
      <c r="F180" t="s">
        <v>310</v>
      </c>
      <c r="G180" t="s">
        <v>193</v>
      </c>
      <c r="H180" t="s">
        <v>556</v>
      </c>
      <c r="I180" t="s">
        <v>480</v>
      </c>
      <c r="J180">
        <v>800000</v>
      </c>
      <c r="K180">
        <v>2000</v>
      </c>
      <c r="L180">
        <v>5</v>
      </c>
      <c r="M180" t="s">
        <v>427</v>
      </c>
    </row>
    <row r="181" spans="1:13" x14ac:dyDescent="0.2">
      <c r="A181">
        <v>178</v>
      </c>
      <c r="B181">
        <v>6</v>
      </c>
      <c r="C181">
        <v>10</v>
      </c>
      <c r="D181">
        <v>2000</v>
      </c>
      <c r="E181">
        <v>360</v>
      </c>
      <c r="F181" t="s">
        <v>296</v>
      </c>
      <c r="G181" t="s">
        <v>220</v>
      </c>
      <c r="H181" t="s">
        <v>557</v>
      </c>
      <c r="I181" t="s">
        <v>441</v>
      </c>
      <c r="J181">
        <v>200000</v>
      </c>
      <c r="K181">
        <v>2000</v>
      </c>
      <c r="L181">
        <v>5</v>
      </c>
      <c r="M181" t="s">
        <v>425</v>
      </c>
    </row>
    <row r="182" spans="1:13" x14ac:dyDescent="0.2">
      <c r="A182">
        <v>179</v>
      </c>
      <c r="B182">
        <v>6</v>
      </c>
      <c r="C182">
        <v>10</v>
      </c>
      <c r="D182">
        <v>2000</v>
      </c>
      <c r="E182">
        <v>360</v>
      </c>
      <c r="F182" t="s">
        <v>302</v>
      </c>
      <c r="G182" t="s">
        <v>197</v>
      </c>
      <c r="H182" t="s">
        <v>558</v>
      </c>
      <c r="I182" t="s">
        <v>441</v>
      </c>
      <c r="J182">
        <v>200000</v>
      </c>
      <c r="K182">
        <v>2000</v>
      </c>
      <c r="L182">
        <v>5</v>
      </c>
      <c r="M182" t="s">
        <v>425</v>
      </c>
    </row>
    <row r="183" spans="1:13" x14ac:dyDescent="0.2">
      <c r="A183">
        <v>180</v>
      </c>
      <c r="B183">
        <v>6</v>
      </c>
      <c r="C183">
        <v>10</v>
      </c>
      <c r="D183">
        <v>2000</v>
      </c>
      <c r="E183">
        <v>360</v>
      </c>
      <c r="F183" t="s">
        <v>274</v>
      </c>
      <c r="G183" t="s">
        <v>216</v>
      </c>
      <c r="H183" t="s">
        <v>531</v>
      </c>
      <c r="I183" t="s">
        <v>441</v>
      </c>
      <c r="J183">
        <v>200000</v>
      </c>
      <c r="K183">
        <v>2000</v>
      </c>
      <c r="L183">
        <v>5</v>
      </c>
      <c r="M183" t="s">
        <v>425</v>
      </c>
    </row>
    <row r="184" spans="1:13" x14ac:dyDescent="0.2">
      <c r="A184">
        <v>181</v>
      </c>
      <c r="B184">
        <v>7</v>
      </c>
      <c r="C184">
        <v>10</v>
      </c>
      <c r="D184">
        <v>1400</v>
      </c>
      <c r="E184">
        <v>480</v>
      </c>
      <c r="F184" t="s">
        <v>51</v>
      </c>
      <c r="G184" t="s">
        <v>247</v>
      </c>
      <c r="H184" t="s">
        <v>490</v>
      </c>
      <c r="I184" t="s">
        <v>441</v>
      </c>
      <c r="J184">
        <v>400000</v>
      </c>
      <c r="K184">
        <v>2000</v>
      </c>
      <c r="L184">
        <v>5</v>
      </c>
      <c r="M184" t="s">
        <v>426</v>
      </c>
    </row>
    <row r="185" spans="1:13" x14ac:dyDescent="0.2">
      <c r="A185">
        <v>182</v>
      </c>
      <c r="B185">
        <v>7</v>
      </c>
      <c r="C185">
        <v>10</v>
      </c>
      <c r="D185">
        <v>1400</v>
      </c>
      <c r="E185">
        <v>480</v>
      </c>
      <c r="F185" t="s">
        <v>275</v>
      </c>
      <c r="G185" t="s">
        <v>184</v>
      </c>
      <c r="H185" t="s">
        <v>559</v>
      </c>
      <c r="I185" t="s">
        <v>441</v>
      </c>
      <c r="J185">
        <v>400000</v>
      </c>
      <c r="K185">
        <v>2000</v>
      </c>
      <c r="L185">
        <v>5</v>
      </c>
      <c r="M185" t="s">
        <v>426</v>
      </c>
    </row>
    <row r="186" spans="1:13" x14ac:dyDescent="0.2">
      <c r="A186">
        <v>183</v>
      </c>
      <c r="B186">
        <v>7</v>
      </c>
      <c r="C186">
        <v>10</v>
      </c>
      <c r="D186">
        <v>1400</v>
      </c>
      <c r="E186">
        <v>480</v>
      </c>
      <c r="F186" t="s">
        <v>324</v>
      </c>
      <c r="G186" t="s">
        <v>195</v>
      </c>
      <c r="H186" t="s">
        <v>560</v>
      </c>
      <c r="I186" t="s">
        <v>441</v>
      </c>
      <c r="J186">
        <v>400000</v>
      </c>
      <c r="K186">
        <v>2000</v>
      </c>
      <c r="L186">
        <v>5</v>
      </c>
      <c r="M186" t="s">
        <v>426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6D28-67DE-427F-8AFF-A273EDEFA030}">
  <dimension ref="A1:K100"/>
  <sheetViews>
    <sheetView zoomScale="70" zoomScaleNormal="70" workbookViewId="0">
      <selection activeCell="E9" sqref="E9"/>
    </sheetView>
  </sheetViews>
  <sheetFormatPr defaultRowHeight="17.25" x14ac:dyDescent="0.2"/>
  <cols>
    <col min="1" max="1" width="9" style="4"/>
    <col min="2" max="2" width="13.75" style="4" customWidth="1"/>
    <col min="3" max="3" width="16.875" style="4" customWidth="1"/>
    <col min="4" max="4" width="13.75" style="4" customWidth="1"/>
  </cols>
  <sheetData>
    <row r="1" spans="1:11" x14ac:dyDescent="0.2">
      <c r="A1" s="4" t="s">
        <v>84</v>
      </c>
      <c r="B1" s="4" t="s">
        <v>81</v>
      </c>
      <c r="C1" s="4" t="s">
        <v>83</v>
      </c>
      <c r="D1" s="4" t="s">
        <v>82</v>
      </c>
      <c r="K1" s="5" t="s">
        <v>164</v>
      </c>
    </row>
    <row r="2" spans="1:11" x14ac:dyDescent="0.2">
      <c r="A2" s="4">
        <v>1</v>
      </c>
      <c r="B2" s="4" t="str">
        <f t="shared" ref="B2:B33" si="0">RIGHT(D2,1)</f>
        <v>0</v>
      </c>
      <c r="C2" s="4" t="s">
        <v>68</v>
      </c>
      <c r="D2" s="4" t="s">
        <v>32</v>
      </c>
      <c r="K2" s="5" t="s">
        <v>118</v>
      </c>
    </row>
    <row r="3" spans="1:11" x14ac:dyDescent="0.2">
      <c r="A3" s="4">
        <v>2</v>
      </c>
      <c r="B3" s="4" t="str">
        <f t="shared" si="0"/>
        <v>0</v>
      </c>
      <c r="C3" s="4" t="s">
        <v>329</v>
      </c>
      <c r="D3" s="4" t="s">
        <v>282</v>
      </c>
      <c r="K3" s="5" t="s">
        <v>100</v>
      </c>
    </row>
    <row r="4" spans="1:11" x14ac:dyDescent="0.2">
      <c r="A4" s="4">
        <v>3</v>
      </c>
      <c r="B4" s="4" t="str">
        <f t="shared" si="0"/>
        <v>0</v>
      </c>
      <c r="C4" s="4" t="s">
        <v>331</v>
      </c>
      <c r="D4" s="4" t="s">
        <v>34</v>
      </c>
      <c r="K4" s="5" t="s">
        <v>145</v>
      </c>
    </row>
    <row r="5" spans="1:11" x14ac:dyDescent="0.2">
      <c r="A5" s="4">
        <v>4</v>
      </c>
      <c r="B5" s="4" t="str">
        <f t="shared" si="0"/>
        <v>0</v>
      </c>
      <c r="C5" s="4" t="s">
        <v>333</v>
      </c>
      <c r="D5" s="4" t="s">
        <v>36</v>
      </c>
      <c r="K5" s="5" t="s">
        <v>98</v>
      </c>
    </row>
    <row r="6" spans="1:11" x14ac:dyDescent="0.2">
      <c r="A6" s="4">
        <v>5</v>
      </c>
      <c r="B6" s="4" t="str">
        <f t="shared" si="0"/>
        <v>0</v>
      </c>
      <c r="C6" s="4" t="s">
        <v>336</v>
      </c>
      <c r="D6" s="4" t="s">
        <v>285</v>
      </c>
      <c r="K6" s="5" t="s">
        <v>136</v>
      </c>
    </row>
    <row r="7" spans="1:11" x14ac:dyDescent="0.2">
      <c r="A7" s="4">
        <v>6</v>
      </c>
      <c r="B7" s="4" t="str">
        <f t="shared" si="0"/>
        <v>0</v>
      </c>
      <c r="C7" s="4" t="s">
        <v>338</v>
      </c>
      <c r="D7" s="4" t="s">
        <v>37</v>
      </c>
      <c r="K7" s="5" t="s">
        <v>91</v>
      </c>
    </row>
    <row r="8" spans="1:11" x14ac:dyDescent="0.2">
      <c r="A8" s="4">
        <v>7</v>
      </c>
      <c r="B8" s="4" t="str">
        <f t="shared" si="0"/>
        <v>0</v>
      </c>
      <c r="C8" s="4" t="s">
        <v>71</v>
      </c>
      <c r="D8" s="4" t="s">
        <v>39</v>
      </c>
      <c r="K8" s="5" t="s">
        <v>166</v>
      </c>
    </row>
    <row r="9" spans="1:11" x14ac:dyDescent="0.2">
      <c r="A9" s="4">
        <v>8</v>
      </c>
      <c r="B9" s="4" t="str">
        <f t="shared" si="0"/>
        <v>0</v>
      </c>
      <c r="C9" s="4" t="s">
        <v>341</v>
      </c>
      <c r="D9" s="4" t="s">
        <v>288</v>
      </c>
      <c r="K9" s="5" t="s">
        <v>142</v>
      </c>
    </row>
    <row r="10" spans="1:11" x14ac:dyDescent="0.2">
      <c r="A10" s="4">
        <v>9</v>
      </c>
      <c r="B10" s="4" t="str">
        <f t="shared" si="0"/>
        <v>0</v>
      </c>
      <c r="C10" s="4" t="s">
        <v>73</v>
      </c>
      <c r="D10" s="4" t="s">
        <v>41</v>
      </c>
      <c r="K10" s="5" t="s">
        <v>94</v>
      </c>
    </row>
    <row r="11" spans="1:11" x14ac:dyDescent="0.2">
      <c r="A11" s="4">
        <v>10</v>
      </c>
      <c r="B11" s="4" t="str">
        <f t="shared" si="0"/>
        <v>0</v>
      </c>
      <c r="C11" s="4" t="s">
        <v>344</v>
      </c>
      <c r="D11" s="4" t="s">
        <v>290</v>
      </c>
      <c r="K11" s="5" t="s">
        <v>171</v>
      </c>
    </row>
    <row r="12" spans="1:11" x14ac:dyDescent="0.2">
      <c r="A12" s="4">
        <v>11</v>
      </c>
      <c r="B12" s="4" t="str">
        <f t="shared" si="0"/>
        <v>0</v>
      </c>
      <c r="C12" s="4" t="s">
        <v>346</v>
      </c>
      <c r="D12" s="4" t="s">
        <v>291</v>
      </c>
      <c r="K12" s="5" t="s">
        <v>106</v>
      </c>
    </row>
    <row r="13" spans="1:11" x14ac:dyDescent="0.2">
      <c r="A13" s="4">
        <v>12</v>
      </c>
      <c r="B13" s="4" t="str">
        <f t="shared" si="0"/>
        <v>0</v>
      </c>
      <c r="C13" s="4" t="s">
        <v>348</v>
      </c>
      <c r="D13" s="4" t="s">
        <v>44</v>
      </c>
      <c r="K13" s="5" t="s">
        <v>174</v>
      </c>
    </row>
    <row r="14" spans="1:11" x14ac:dyDescent="0.2">
      <c r="A14" s="4">
        <v>13</v>
      </c>
      <c r="B14" s="4" t="str">
        <f t="shared" si="0"/>
        <v>0</v>
      </c>
      <c r="C14" s="4" t="s">
        <v>350</v>
      </c>
      <c r="D14" s="4" t="s">
        <v>294</v>
      </c>
      <c r="K14" s="5" t="s">
        <v>108</v>
      </c>
    </row>
    <row r="15" spans="1:11" x14ac:dyDescent="0.2">
      <c r="A15" s="4">
        <v>14</v>
      </c>
      <c r="B15" s="4" t="str">
        <f t="shared" si="0"/>
        <v>0</v>
      </c>
      <c r="C15" s="4" t="s">
        <v>353</v>
      </c>
      <c r="D15" s="4" t="s">
        <v>295</v>
      </c>
      <c r="K15" s="5" t="s">
        <v>108</v>
      </c>
    </row>
    <row r="16" spans="1:11" x14ac:dyDescent="0.2">
      <c r="A16" s="4">
        <v>15</v>
      </c>
      <c r="B16" s="4" t="str">
        <f t="shared" si="0"/>
        <v>0</v>
      </c>
      <c r="C16" s="4" t="s">
        <v>355</v>
      </c>
      <c r="D16" s="4" t="s">
        <v>47</v>
      </c>
      <c r="K16" s="5" t="s">
        <v>130</v>
      </c>
    </row>
    <row r="17" spans="1:11" x14ac:dyDescent="0.2">
      <c r="A17" s="4">
        <v>16</v>
      </c>
      <c r="B17" s="4" t="str">
        <f t="shared" si="0"/>
        <v>0</v>
      </c>
      <c r="C17" s="4" t="s">
        <v>357</v>
      </c>
      <c r="D17" s="4" t="s">
        <v>297</v>
      </c>
      <c r="K17" s="5" t="s">
        <v>148</v>
      </c>
    </row>
    <row r="18" spans="1:11" x14ac:dyDescent="0.2">
      <c r="A18" s="4">
        <v>17</v>
      </c>
      <c r="B18" s="4" t="str">
        <f t="shared" si="0"/>
        <v>0</v>
      </c>
      <c r="C18" s="4" t="s">
        <v>359</v>
      </c>
      <c r="D18" s="4" t="s">
        <v>299</v>
      </c>
      <c r="K18" s="5" t="s">
        <v>144</v>
      </c>
    </row>
    <row r="19" spans="1:11" x14ac:dyDescent="0.2">
      <c r="A19" s="4">
        <v>18</v>
      </c>
      <c r="B19" s="4" t="str">
        <f t="shared" si="0"/>
        <v>0</v>
      </c>
      <c r="C19" s="4" t="s">
        <v>361</v>
      </c>
      <c r="D19" s="4" t="s">
        <v>301</v>
      </c>
      <c r="K19" s="5" t="s">
        <v>131</v>
      </c>
    </row>
    <row r="20" spans="1:11" x14ac:dyDescent="0.2">
      <c r="A20" s="4">
        <v>19</v>
      </c>
      <c r="B20" s="4" t="str">
        <f t="shared" si="0"/>
        <v>0</v>
      </c>
      <c r="C20" s="4" t="s">
        <v>364</v>
      </c>
      <c r="D20" s="4" t="s">
        <v>49</v>
      </c>
      <c r="K20" s="5" t="s">
        <v>113</v>
      </c>
    </row>
    <row r="21" spans="1:11" x14ac:dyDescent="0.2">
      <c r="A21" s="4">
        <v>20</v>
      </c>
      <c r="B21" s="4" t="str">
        <f t="shared" si="0"/>
        <v>0</v>
      </c>
      <c r="C21" s="4" t="s">
        <v>366</v>
      </c>
      <c r="D21" s="4" t="s">
        <v>278</v>
      </c>
      <c r="K21" s="5" t="s">
        <v>133</v>
      </c>
    </row>
    <row r="22" spans="1:11" x14ac:dyDescent="0.2">
      <c r="A22" s="4">
        <v>21</v>
      </c>
      <c r="B22" s="4" t="str">
        <f t="shared" si="0"/>
        <v>0</v>
      </c>
      <c r="C22" s="4" t="s">
        <v>367</v>
      </c>
      <c r="D22" s="4" t="s">
        <v>50</v>
      </c>
      <c r="K22" s="5" t="s">
        <v>133</v>
      </c>
    </row>
    <row r="23" spans="1:11" x14ac:dyDescent="0.2">
      <c r="A23" s="4">
        <v>22</v>
      </c>
      <c r="B23" s="4" t="str">
        <f t="shared" si="0"/>
        <v>0</v>
      </c>
      <c r="C23" s="4" t="s">
        <v>370</v>
      </c>
      <c r="D23" s="4" t="s">
        <v>52</v>
      </c>
      <c r="K23" s="5" t="s">
        <v>153</v>
      </c>
    </row>
    <row r="24" spans="1:11" x14ac:dyDescent="0.2">
      <c r="A24" s="4">
        <v>23</v>
      </c>
      <c r="B24" s="4" t="str">
        <f t="shared" si="0"/>
        <v>0</v>
      </c>
      <c r="C24" s="4" t="s">
        <v>373</v>
      </c>
      <c r="D24" s="4" t="s">
        <v>306</v>
      </c>
      <c r="K24" s="5" t="s">
        <v>176</v>
      </c>
    </row>
    <row r="25" spans="1:11" x14ac:dyDescent="0.2">
      <c r="A25" s="4">
        <v>24</v>
      </c>
      <c r="B25" s="4" t="str">
        <f t="shared" si="0"/>
        <v>0</v>
      </c>
      <c r="C25" s="4" t="s">
        <v>375</v>
      </c>
      <c r="D25" s="4" t="s">
        <v>53</v>
      </c>
      <c r="K25" s="5" t="s">
        <v>169</v>
      </c>
    </row>
    <row r="26" spans="1:11" x14ac:dyDescent="0.2">
      <c r="A26" s="4">
        <v>25</v>
      </c>
      <c r="B26" s="4" t="str">
        <f t="shared" si="0"/>
        <v>0</v>
      </c>
      <c r="C26" s="4" t="s">
        <v>75</v>
      </c>
      <c r="D26" s="4" t="s">
        <v>55</v>
      </c>
      <c r="K26" s="5" t="s">
        <v>114</v>
      </c>
    </row>
    <row r="27" spans="1:11" x14ac:dyDescent="0.2">
      <c r="A27" s="4">
        <v>26</v>
      </c>
      <c r="B27" s="4" t="str">
        <f t="shared" si="0"/>
        <v>0</v>
      </c>
      <c r="C27" s="4" t="s">
        <v>379</v>
      </c>
      <c r="D27" s="4" t="s">
        <v>56</v>
      </c>
      <c r="K27" s="5" t="s">
        <v>152</v>
      </c>
    </row>
    <row r="28" spans="1:11" x14ac:dyDescent="0.2">
      <c r="A28" s="4">
        <v>27</v>
      </c>
      <c r="B28" s="4" t="str">
        <f t="shared" si="0"/>
        <v>0</v>
      </c>
      <c r="C28" s="4" t="s">
        <v>381</v>
      </c>
      <c r="D28" s="4" t="s">
        <v>58</v>
      </c>
      <c r="K28" s="5" t="s">
        <v>129</v>
      </c>
    </row>
    <row r="29" spans="1:11" x14ac:dyDescent="0.2">
      <c r="A29" s="4">
        <v>28</v>
      </c>
      <c r="B29" s="4" t="str">
        <f t="shared" si="0"/>
        <v>0</v>
      </c>
      <c r="C29" s="4" t="s">
        <v>384</v>
      </c>
      <c r="D29" s="4" t="s">
        <v>311</v>
      </c>
      <c r="K29" s="5" t="s">
        <v>111</v>
      </c>
    </row>
    <row r="30" spans="1:11" x14ac:dyDescent="0.2">
      <c r="A30" s="4">
        <v>29</v>
      </c>
      <c r="B30" s="4" t="str">
        <f t="shared" si="0"/>
        <v>0</v>
      </c>
      <c r="C30" s="4" t="s">
        <v>76</v>
      </c>
      <c r="D30" s="4" t="s">
        <v>60</v>
      </c>
      <c r="K30" s="5" t="s">
        <v>111</v>
      </c>
    </row>
    <row r="31" spans="1:11" x14ac:dyDescent="0.2">
      <c r="A31" s="4">
        <v>30</v>
      </c>
      <c r="B31" s="4" t="str">
        <f t="shared" si="0"/>
        <v>0</v>
      </c>
      <c r="C31" s="4" t="s">
        <v>387</v>
      </c>
      <c r="D31" s="4" t="s">
        <v>313</v>
      </c>
      <c r="K31" s="5" t="s">
        <v>159</v>
      </c>
    </row>
    <row r="32" spans="1:11" x14ac:dyDescent="0.2">
      <c r="A32" s="4">
        <v>31</v>
      </c>
      <c r="B32" s="4" t="str">
        <f t="shared" si="0"/>
        <v>0</v>
      </c>
      <c r="C32" s="4" t="s">
        <v>77</v>
      </c>
      <c r="D32" s="4" t="s">
        <v>61</v>
      </c>
      <c r="K32" s="5" t="s">
        <v>97</v>
      </c>
    </row>
    <row r="33" spans="1:11" x14ac:dyDescent="0.2">
      <c r="A33" s="4">
        <v>32</v>
      </c>
      <c r="B33" s="4" t="str">
        <f t="shared" si="0"/>
        <v>0</v>
      </c>
      <c r="C33" s="4" t="s">
        <v>390</v>
      </c>
      <c r="D33" s="4" t="s">
        <v>315</v>
      </c>
      <c r="K33" s="5" t="s">
        <v>121</v>
      </c>
    </row>
    <row r="34" spans="1:11" x14ac:dyDescent="0.2">
      <c r="A34" s="4">
        <v>33</v>
      </c>
      <c r="B34" s="4" t="str">
        <f t="shared" ref="B34:B65" si="1">RIGHT(D34,1)</f>
        <v>0</v>
      </c>
      <c r="C34" s="4" t="s">
        <v>393</v>
      </c>
      <c r="D34" s="4" t="s">
        <v>318</v>
      </c>
      <c r="K34" s="5" t="s">
        <v>127</v>
      </c>
    </row>
    <row r="35" spans="1:11" x14ac:dyDescent="0.2">
      <c r="A35" s="4">
        <v>34</v>
      </c>
      <c r="B35" s="4" t="str">
        <f t="shared" si="1"/>
        <v>0</v>
      </c>
      <c r="C35" s="4" t="s">
        <v>396</v>
      </c>
      <c r="D35" s="4" t="s">
        <v>321</v>
      </c>
      <c r="K35" s="5" t="s">
        <v>156</v>
      </c>
    </row>
    <row r="36" spans="1:11" x14ac:dyDescent="0.2">
      <c r="A36" s="4">
        <v>35</v>
      </c>
      <c r="B36" s="4" t="str">
        <f t="shared" si="1"/>
        <v>0</v>
      </c>
      <c r="C36" s="4" t="s">
        <v>398</v>
      </c>
      <c r="D36" s="4" t="s">
        <v>63</v>
      </c>
      <c r="K36" s="5" t="s">
        <v>135</v>
      </c>
    </row>
    <row r="37" spans="1:11" x14ac:dyDescent="0.2">
      <c r="A37" s="4">
        <v>36</v>
      </c>
      <c r="B37" s="4" t="str">
        <f t="shared" si="1"/>
        <v>0</v>
      </c>
      <c r="C37" s="4" t="s">
        <v>78</v>
      </c>
      <c r="D37" s="4" t="s">
        <v>277</v>
      </c>
      <c r="K37" s="5" t="s">
        <v>135</v>
      </c>
    </row>
    <row r="38" spans="1:11" x14ac:dyDescent="0.2">
      <c r="A38" s="4">
        <v>37</v>
      </c>
      <c r="B38" s="4" t="str">
        <f t="shared" si="1"/>
        <v>0</v>
      </c>
      <c r="C38" s="4" t="s">
        <v>402</v>
      </c>
      <c r="D38" s="4" t="s">
        <v>323</v>
      </c>
      <c r="K38" s="5" t="s">
        <v>137</v>
      </c>
    </row>
    <row r="39" spans="1:11" x14ac:dyDescent="0.2">
      <c r="A39" s="4">
        <v>38</v>
      </c>
      <c r="B39" s="4" t="str">
        <f t="shared" si="1"/>
        <v>0</v>
      </c>
      <c r="C39" s="4" t="s">
        <v>79</v>
      </c>
      <c r="D39" s="4" t="s">
        <v>65</v>
      </c>
      <c r="K39" s="5" t="s">
        <v>167</v>
      </c>
    </row>
    <row r="40" spans="1:11" x14ac:dyDescent="0.2">
      <c r="A40" s="4">
        <v>39</v>
      </c>
      <c r="B40" s="4" t="str">
        <f t="shared" si="1"/>
        <v>0</v>
      </c>
      <c r="C40" s="4" t="s">
        <v>405</v>
      </c>
      <c r="D40" s="4" t="s">
        <v>67</v>
      </c>
      <c r="K40" s="5" t="s">
        <v>99</v>
      </c>
    </row>
    <row r="41" spans="1:11" x14ac:dyDescent="0.2">
      <c r="A41" s="4">
        <v>40</v>
      </c>
      <c r="B41" s="4" t="str">
        <f t="shared" si="1"/>
        <v>0</v>
      </c>
      <c r="C41" s="4" t="s">
        <v>407</v>
      </c>
      <c r="D41" s="4" t="s">
        <v>326</v>
      </c>
      <c r="K41" s="5" t="s">
        <v>141</v>
      </c>
    </row>
    <row r="42" spans="1:11" x14ac:dyDescent="0.2">
      <c r="A42" s="4">
        <v>101</v>
      </c>
      <c r="B42" s="4" t="str">
        <f t="shared" si="1"/>
        <v>1</v>
      </c>
      <c r="C42" s="4" t="s">
        <v>69</v>
      </c>
      <c r="D42" s="4" t="s">
        <v>33</v>
      </c>
      <c r="K42" s="5" t="s">
        <v>173</v>
      </c>
    </row>
    <row r="43" spans="1:11" x14ac:dyDescent="0.2">
      <c r="A43" s="4">
        <v>102</v>
      </c>
      <c r="B43" s="4" t="str">
        <f t="shared" si="1"/>
        <v>1</v>
      </c>
      <c r="C43" s="4" t="s">
        <v>330</v>
      </c>
      <c r="D43" s="4" t="s">
        <v>283</v>
      </c>
      <c r="K43" s="5" t="s">
        <v>132</v>
      </c>
    </row>
    <row r="44" spans="1:11" x14ac:dyDescent="0.2">
      <c r="A44" s="4">
        <v>103</v>
      </c>
      <c r="B44" s="4" t="str">
        <f t="shared" si="1"/>
        <v>1</v>
      </c>
      <c r="C44" s="4" t="s">
        <v>332</v>
      </c>
      <c r="D44" s="4" t="s">
        <v>35</v>
      </c>
      <c r="K44" s="5" t="s">
        <v>126</v>
      </c>
    </row>
    <row r="45" spans="1:11" x14ac:dyDescent="0.2">
      <c r="A45" s="4">
        <v>104</v>
      </c>
      <c r="B45" s="4" t="str">
        <f t="shared" si="1"/>
        <v>1</v>
      </c>
      <c r="C45" s="4" t="s">
        <v>334</v>
      </c>
      <c r="D45" s="4" t="s">
        <v>276</v>
      </c>
      <c r="K45" s="5" t="s">
        <v>170</v>
      </c>
    </row>
    <row r="46" spans="1:11" x14ac:dyDescent="0.2">
      <c r="A46" s="4">
        <v>105</v>
      </c>
      <c r="B46" s="4" t="str">
        <f t="shared" si="1"/>
        <v>1</v>
      </c>
      <c r="C46" s="4" t="s">
        <v>337</v>
      </c>
      <c r="D46" s="4" t="s">
        <v>286</v>
      </c>
      <c r="K46" s="5" t="s">
        <v>95</v>
      </c>
    </row>
    <row r="47" spans="1:11" x14ac:dyDescent="0.2">
      <c r="A47" s="4">
        <v>106</v>
      </c>
      <c r="B47" s="4" t="str">
        <f t="shared" si="1"/>
        <v>1</v>
      </c>
      <c r="C47" s="4" t="s">
        <v>339</v>
      </c>
      <c r="D47" s="4" t="s">
        <v>38</v>
      </c>
      <c r="K47" s="5" t="s">
        <v>115</v>
      </c>
    </row>
    <row r="48" spans="1:11" x14ac:dyDescent="0.2">
      <c r="A48" s="4">
        <v>107</v>
      </c>
      <c r="B48" s="4" t="str">
        <f t="shared" si="1"/>
        <v>1</v>
      </c>
      <c r="C48" s="4" t="s">
        <v>72</v>
      </c>
      <c r="D48" s="4" t="s">
        <v>40</v>
      </c>
      <c r="K48" s="5" t="s">
        <v>87</v>
      </c>
    </row>
    <row r="49" spans="1:11" x14ac:dyDescent="0.2">
      <c r="A49" s="4">
        <v>108</v>
      </c>
      <c r="B49" s="4" t="str">
        <f t="shared" si="1"/>
        <v>1</v>
      </c>
      <c r="C49" s="4" t="s">
        <v>342</v>
      </c>
      <c r="D49" s="4" t="s">
        <v>289</v>
      </c>
      <c r="K49" s="5" t="s">
        <v>161</v>
      </c>
    </row>
    <row r="50" spans="1:11" x14ac:dyDescent="0.2">
      <c r="A50" s="4">
        <v>109</v>
      </c>
      <c r="B50" s="4" t="str">
        <f t="shared" si="1"/>
        <v>1</v>
      </c>
      <c r="C50" s="4" t="s">
        <v>343</v>
      </c>
      <c r="D50" s="4" t="s">
        <v>42</v>
      </c>
      <c r="K50" s="5" t="s">
        <v>86</v>
      </c>
    </row>
    <row r="51" spans="1:11" x14ac:dyDescent="0.2">
      <c r="A51" s="4">
        <v>110</v>
      </c>
      <c r="B51" s="4" t="str">
        <f t="shared" si="1"/>
        <v>1</v>
      </c>
      <c r="C51" s="4" t="s">
        <v>345</v>
      </c>
      <c r="D51" s="4" t="s">
        <v>43</v>
      </c>
      <c r="K51" s="5" t="s">
        <v>172</v>
      </c>
    </row>
    <row r="52" spans="1:11" x14ac:dyDescent="0.2">
      <c r="A52" s="4">
        <v>111</v>
      </c>
      <c r="B52" s="4" t="str">
        <f t="shared" si="1"/>
        <v>1</v>
      </c>
      <c r="C52" s="4" t="s">
        <v>347</v>
      </c>
      <c r="D52" s="4" t="s">
        <v>292</v>
      </c>
      <c r="K52" s="5" t="s">
        <v>147</v>
      </c>
    </row>
    <row r="53" spans="1:11" x14ac:dyDescent="0.2">
      <c r="A53" s="4">
        <v>112</v>
      </c>
      <c r="B53" s="4" t="str">
        <f t="shared" si="1"/>
        <v>1</v>
      </c>
      <c r="C53" s="4" t="s">
        <v>349</v>
      </c>
      <c r="D53" s="4" t="s">
        <v>293</v>
      </c>
      <c r="K53" s="5" t="s">
        <v>119</v>
      </c>
    </row>
    <row r="54" spans="1:11" x14ac:dyDescent="0.2">
      <c r="A54" s="4">
        <v>113</v>
      </c>
      <c r="B54" s="4" t="str">
        <f t="shared" si="1"/>
        <v>1</v>
      </c>
      <c r="C54" s="4" t="s">
        <v>351</v>
      </c>
      <c r="D54" s="4" t="s">
        <v>45</v>
      </c>
      <c r="K54" s="5" t="s">
        <v>160</v>
      </c>
    </row>
    <row r="55" spans="1:11" x14ac:dyDescent="0.2">
      <c r="A55" s="4">
        <v>114</v>
      </c>
      <c r="B55" s="4" t="str">
        <f t="shared" si="1"/>
        <v>1</v>
      </c>
      <c r="C55" s="4" t="s">
        <v>354</v>
      </c>
      <c r="D55" s="4" t="s">
        <v>296</v>
      </c>
      <c r="K55" s="5" t="s">
        <v>140</v>
      </c>
    </row>
    <row r="56" spans="1:11" x14ac:dyDescent="0.2">
      <c r="A56" s="4">
        <v>115</v>
      </c>
      <c r="B56" s="4" t="str">
        <f t="shared" si="1"/>
        <v>1</v>
      </c>
      <c r="C56" s="4" t="s">
        <v>356</v>
      </c>
      <c r="D56" s="4" t="s">
        <v>48</v>
      </c>
      <c r="K56" s="5" t="s">
        <v>151</v>
      </c>
    </row>
    <row r="57" spans="1:11" x14ac:dyDescent="0.2">
      <c r="A57" s="4">
        <v>116</v>
      </c>
      <c r="B57" s="4" t="str">
        <f t="shared" si="1"/>
        <v>1</v>
      </c>
      <c r="C57" s="4" t="s">
        <v>358</v>
      </c>
      <c r="D57" s="4" t="s">
        <v>298</v>
      </c>
      <c r="K57" s="5" t="s">
        <v>88</v>
      </c>
    </row>
    <row r="58" spans="1:11" x14ac:dyDescent="0.2">
      <c r="A58" s="4">
        <v>117</v>
      </c>
      <c r="B58" s="4" t="str">
        <f t="shared" si="1"/>
        <v>1</v>
      </c>
      <c r="C58" s="4" t="s">
        <v>360</v>
      </c>
      <c r="D58" s="4" t="s">
        <v>300</v>
      </c>
      <c r="K58" s="5" t="s">
        <v>107</v>
      </c>
    </row>
    <row r="59" spans="1:11" x14ac:dyDescent="0.2">
      <c r="A59" s="4">
        <v>118</v>
      </c>
      <c r="B59" s="4" t="str">
        <f t="shared" si="1"/>
        <v>1</v>
      </c>
      <c r="C59" s="4" t="s">
        <v>362</v>
      </c>
      <c r="D59" s="4" t="s">
        <v>302</v>
      </c>
      <c r="K59" s="5" t="s">
        <v>175</v>
      </c>
    </row>
    <row r="60" spans="1:11" x14ac:dyDescent="0.2">
      <c r="A60" s="4">
        <v>119</v>
      </c>
      <c r="B60" s="4" t="str">
        <f t="shared" si="1"/>
        <v>1</v>
      </c>
      <c r="C60" s="4" t="s">
        <v>365</v>
      </c>
      <c r="D60" s="4" t="s">
        <v>274</v>
      </c>
      <c r="K60" s="5" t="s">
        <v>168</v>
      </c>
    </row>
    <row r="61" spans="1:11" x14ac:dyDescent="0.2">
      <c r="A61" s="4">
        <v>120</v>
      </c>
      <c r="B61" s="4" t="str">
        <f t="shared" si="1"/>
        <v>1</v>
      </c>
      <c r="C61" s="4" t="s">
        <v>74</v>
      </c>
      <c r="D61" s="4" t="s">
        <v>270</v>
      </c>
      <c r="K61" s="5" t="s">
        <v>117</v>
      </c>
    </row>
    <row r="62" spans="1:11" x14ac:dyDescent="0.2">
      <c r="A62" s="4">
        <v>121</v>
      </c>
      <c r="B62" s="4" t="str">
        <f t="shared" si="1"/>
        <v>1</v>
      </c>
      <c r="C62" s="4" t="s">
        <v>368</v>
      </c>
      <c r="D62" s="4" t="s">
        <v>51</v>
      </c>
      <c r="K62" s="5" t="s">
        <v>165</v>
      </c>
    </row>
    <row r="63" spans="1:11" x14ac:dyDescent="0.2">
      <c r="A63" s="4">
        <v>122</v>
      </c>
      <c r="B63" s="4" t="str">
        <f t="shared" si="1"/>
        <v>1</v>
      </c>
      <c r="C63" s="4" t="s">
        <v>371</v>
      </c>
      <c r="D63" s="4" t="s">
        <v>275</v>
      </c>
      <c r="K63" s="5" t="s">
        <v>138</v>
      </c>
    </row>
    <row r="64" spans="1:11" x14ac:dyDescent="0.2">
      <c r="A64" s="4">
        <v>123</v>
      </c>
      <c r="B64" s="4" t="str">
        <f t="shared" si="1"/>
        <v>1</v>
      </c>
      <c r="C64" s="4" t="s">
        <v>374</v>
      </c>
      <c r="D64" s="4" t="s">
        <v>307</v>
      </c>
      <c r="K64" s="5" t="s">
        <v>138</v>
      </c>
    </row>
    <row r="65" spans="1:11" x14ac:dyDescent="0.2">
      <c r="A65" s="4">
        <v>124</v>
      </c>
      <c r="B65" s="4" t="str">
        <f t="shared" si="1"/>
        <v>1</v>
      </c>
      <c r="C65" s="4" t="s">
        <v>376</v>
      </c>
      <c r="D65" s="4" t="s">
        <v>54</v>
      </c>
      <c r="K65" s="5" t="s">
        <v>134</v>
      </c>
    </row>
    <row r="66" spans="1:11" x14ac:dyDescent="0.2">
      <c r="A66" s="4">
        <v>125</v>
      </c>
      <c r="B66" s="4" t="str">
        <f t="shared" ref="B66:B95" si="2">RIGHT(D66,1)</f>
        <v>1</v>
      </c>
      <c r="C66" s="4" t="s">
        <v>377</v>
      </c>
      <c r="D66" s="4" t="s">
        <v>308</v>
      </c>
      <c r="K66" s="5" t="s">
        <v>134</v>
      </c>
    </row>
    <row r="67" spans="1:11" x14ac:dyDescent="0.2">
      <c r="A67" s="4">
        <v>126</v>
      </c>
      <c r="B67" s="4" t="str">
        <f t="shared" si="2"/>
        <v>1</v>
      </c>
      <c r="C67" s="4" t="s">
        <v>380</v>
      </c>
      <c r="D67" s="4" t="s">
        <v>57</v>
      </c>
      <c r="K67" s="5" t="s">
        <v>157</v>
      </c>
    </row>
    <row r="68" spans="1:11" x14ac:dyDescent="0.2">
      <c r="A68" s="4">
        <v>127</v>
      </c>
      <c r="B68" s="4" t="str">
        <f t="shared" si="2"/>
        <v>1</v>
      </c>
      <c r="C68" s="4" t="s">
        <v>382</v>
      </c>
      <c r="D68" s="4" t="s">
        <v>59</v>
      </c>
      <c r="K68" s="5" t="s">
        <v>85</v>
      </c>
    </row>
    <row r="69" spans="1:11" x14ac:dyDescent="0.2">
      <c r="A69" s="4">
        <v>128</v>
      </c>
      <c r="B69" s="4" t="str">
        <f t="shared" si="2"/>
        <v>1</v>
      </c>
      <c r="C69" s="4" t="s">
        <v>385</v>
      </c>
      <c r="D69" s="4" t="s">
        <v>312</v>
      </c>
      <c r="K69" s="5" t="s">
        <v>109</v>
      </c>
    </row>
    <row r="70" spans="1:11" x14ac:dyDescent="0.2">
      <c r="A70" s="4">
        <v>129</v>
      </c>
      <c r="B70" s="4" t="str">
        <f t="shared" si="2"/>
        <v>1</v>
      </c>
      <c r="C70" s="4" t="s">
        <v>386</v>
      </c>
      <c r="D70" s="4" t="s">
        <v>272</v>
      </c>
      <c r="K70" s="5" t="s">
        <v>109</v>
      </c>
    </row>
    <row r="71" spans="1:11" x14ac:dyDescent="0.2">
      <c r="A71" s="4">
        <v>130</v>
      </c>
      <c r="B71" s="4" t="str">
        <f t="shared" si="2"/>
        <v>1</v>
      </c>
      <c r="C71" s="4" t="s">
        <v>388</v>
      </c>
      <c r="D71" s="4" t="s">
        <v>314</v>
      </c>
      <c r="K71" s="5" t="s">
        <v>149</v>
      </c>
    </row>
    <row r="72" spans="1:11" x14ac:dyDescent="0.2">
      <c r="A72" s="4">
        <v>131</v>
      </c>
      <c r="B72" s="4" t="str">
        <f t="shared" si="2"/>
        <v>1</v>
      </c>
      <c r="C72" s="4" t="s">
        <v>389</v>
      </c>
      <c r="D72" s="4" t="s">
        <v>62</v>
      </c>
      <c r="K72" s="5" t="s">
        <v>112</v>
      </c>
    </row>
    <row r="73" spans="1:11" x14ac:dyDescent="0.2">
      <c r="A73" s="4">
        <v>132</v>
      </c>
      <c r="B73" s="4" t="str">
        <f t="shared" si="2"/>
        <v>1</v>
      </c>
      <c r="C73" s="4" t="s">
        <v>391</v>
      </c>
      <c r="D73" s="4" t="s">
        <v>316</v>
      </c>
      <c r="K73" s="5" t="s">
        <v>104</v>
      </c>
    </row>
    <row r="74" spans="1:11" x14ac:dyDescent="0.2">
      <c r="A74" s="4">
        <v>133</v>
      </c>
      <c r="B74" s="4" t="str">
        <f t="shared" si="2"/>
        <v>1</v>
      </c>
      <c r="C74" s="4" t="s">
        <v>394</v>
      </c>
      <c r="D74" s="4" t="s">
        <v>319</v>
      </c>
      <c r="K74" s="5" t="s">
        <v>122</v>
      </c>
    </row>
    <row r="75" spans="1:11" x14ac:dyDescent="0.2">
      <c r="A75" s="4">
        <v>134</v>
      </c>
      <c r="B75" s="4" t="str">
        <f t="shared" si="2"/>
        <v>1</v>
      </c>
      <c r="C75" s="4" t="s">
        <v>397</v>
      </c>
      <c r="D75" s="4" t="s">
        <v>322</v>
      </c>
      <c r="K75" s="5" t="s">
        <v>122</v>
      </c>
    </row>
    <row r="76" spans="1:11" x14ac:dyDescent="0.2">
      <c r="A76" s="4">
        <v>135</v>
      </c>
      <c r="B76" s="4" t="str">
        <f t="shared" si="2"/>
        <v>1</v>
      </c>
      <c r="C76" s="4" t="s">
        <v>399</v>
      </c>
      <c r="D76" s="4" t="s">
        <v>279</v>
      </c>
      <c r="K76" s="5" t="s">
        <v>150</v>
      </c>
    </row>
    <row r="77" spans="1:11" x14ac:dyDescent="0.2">
      <c r="A77" s="4">
        <v>136</v>
      </c>
      <c r="B77" s="4" t="str">
        <f t="shared" si="2"/>
        <v>1</v>
      </c>
      <c r="C77" s="4" t="s">
        <v>401</v>
      </c>
      <c r="D77" s="4" t="s">
        <v>64</v>
      </c>
      <c r="K77" s="5" t="s">
        <v>146</v>
      </c>
    </row>
    <row r="78" spans="1:11" x14ac:dyDescent="0.2">
      <c r="A78" s="4">
        <v>137</v>
      </c>
      <c r="B78" s="4" t="str">
        <f t="shared" si="2"/>
        <v>1</v>
      </c>
      <c r="C78" s="4" t="s">
        <v>403</v>
      </c>
      <c r="D78" s="4" t="s">
        <v>324</v>
      </c>
      <c r="K78" s="5" t="s">
        <v>139</v>
      </c>
    </row>
    <row r="79" spans="1:11" x14ac:dyDescent="0.2">
      <c r="A79" s="4">
        <v>138</v>
      </c>
      <c r="B79" s="4" t="str">
        <f t="shared" si="2"/>
        <v>1</v>
      </c>
      <c r="C79" s="4" t="s">
        <v>80</v>
      </c>
      <c r="D79" s="4" t="s">
        <v>66</v>
      </c>
      <c r="K79" s="5" t="s">
        <v>90</v>
      </c>
    </row>
    <row r="80" spans="1:11" x14ac:dyDescent="0.2">
      <c r="A80" s="4">
        <v>139</v>
      </c>
      <c r="B80" s="4" t="str">
        <f t="shared" si="2"/>
        <v>1</v>
      </c>
      <c r="C80" s="4" t="s">
        <v>406</v>
      </c>
      <c r="D80" s="4" t="s">
        <v>271</v>
      </c>
      <c r="K80" s="5" t="s">
        <v>158</v>
      </c>
    </row>
    <row r="81" spans="1:11" x14ac:dyDescent="0.2">
      <c r="A81" s="4">
        <v>140</v>
      </c>
      <c r="B81" s="4" t="str">
        <f t="shared" si="2"/>
        <v>1</v>
      </c>
      <c r="C81" s="4" t="s">
        <v>408</v>
      </c>
      <c r="D81" s="4" t="s">
        <v>327</v>
      </c>
      <c r="K81" s="5" t="s">
        <v>120</v>
      </c>
    </row>
    <row r="82" spans="1:11" x14ac:dyDescent="0.2">
      <c r="A82" s="4">
        <v>201</v>
      </c>
      <c r="B82" s="4" t="str">
        <f t="shared" si="2"/>
        <v>2</v>
      </c>
      <c r="C82" s="4" t="s">
        <v>70</v>
      </c>
      <c r="D82" s="4" t="s">
        <v>269</v>
      </c>
      <c r="K82" s="5" t="s">
        <v>96</v>
      </c>
    </row>
    <row r="83" spans="1:11" x14ac:dyDescent="0.2">
      <c r="A83" s="4">
        <v>202</v>
      </c>
      <c r="B83" s="4" t="str">
        <f t="shared" si="2"/>
        <v>2</v>
      </c>
      <c r="C83" s="4" t="s">
        <v>335</v>
      </c>
      <c r="D83" s="4" t="s">
        <v>284</v>
      </c>
      <c r="K83" s="5" t="s">
        <v>163</v>
      </c>
    </row>
    <row r="84" spans="1:11" x14ac:dyDescent="0.2">
      <c r="A84" s="4">
        <v>203</v>
      </c>
      <c r="B84" s="4" t="str">
        <f t="shared" si="2"/>
        <v>2</v>
      </c>
      <c r="C84" s="4" t="s">
        <v>340</v>
      </c>
      <c r="D84" s="4" t="s">
        <v>287</v>
      </c>
      <c r="K84" s="5" t="s">
        <v>125</v>
      </c>
    </row>
    <row r="85" spans="1:11" x14ac:dyDescent="0.2">
      <c r="A85" s="4">
        <v>204</v>
      </c>
      <c r="B85" s="4" t="str">
        <f t="shared" si="2"/>
        <v>2</v>
      </c>
      <c r="C85" s="4" t="s">
        <v>352</v>
      </c>
      <c r="D85" s="4" t="s">
        <v>46</v>
      </c>
      <c r="K85" s="5" t="s">
        <v>116</v>
      </c>
    </row>
    <row r="86" spans="1:11" x14ac:dyDescent="0.2">
      <c r="A86" s="4">
        <v>205</v>
      </c>
      <c r="B86" s="4" t="str">
        <f t="shared" si="2"/>
        <v>2</v>
      </c>
      <c r="C86" s="4" t="s">
        <v>363</v>
      </c>
      <c r="D86" s="4" t="s">
        <v>303</v>
      </c>
      <c r="K86" s="5" t="s">
        <v>162</v>
      </c>
    </row>
    <row r="87" spans="1:11" x14ac:dyDescent="0.2">
      <c r="A87" s="4">
        <v>206</v>
      </c>
      <c r="B87" s="4" t="str">
        <f t="shared" si="2"/>
        <v>2</v>
      </c>
      <c r="C87" s="4" t="s">
        <v>369</v>
      </c>
      <c r="D87" s="4" t="s">
        <v>304</v>
      </c>
      <c r="K87" s="5" t="s">
        <v>143</v>
      </c>
    </row>
    <row r="88" spans="1:11" x14ac:dyDescent="0.2">
      <c r="A88" s="4">
        <v>207</v>
      </c>
      <c r="B88" s="4" t="str">
        <f t="shared" si="2"/>
        <v>2</v>
      </c>
      <c r="C88" s="4" t="s">
        <v>372</v>
      </c>
      <c r="D88" s="4" t="s">
        <v>305</v>
      </c>
      <c r="K88" s="5" t="s">
        <v>93</v>
      </c>
    </row>
    <row r="89" spans="1:11" x14ac:dyDescent="0.2">
      <c r="A89" s="4">
        <v>208</v>
      </c>
      <c r="B89" s="4" t="str">
        <f t="shared" si="2"/>
        <v>2</v>
      </c>
      <c r="C89" s="4" t="s">
        <v>378</v>
      </c>
      <c r="D89" s="4" t="s">
        <v>309</v>
      </c>
      <c r="K89" s="5" t="s">
        <v>123</v>
      </c>
    </row>
    <row r="90" spans="1:11" x14ac:dyDescent="0.2">
      <c r="A90" s="4">
        <v>209</v>
      </c>
      <c r="B90" s="4" t="str">
        <f t="shared" si="2"/>
        <v>2</v>
      </c>
      <c r="C90" s="4" t="s">
        <v>383</v>
      </c>
      <c r="D90" s="4" t="s">
        <v>310</v>
      </c>
      <c r="K90" s="5" t="s">
        <v>154</v>
      </c>
    </row>
    <row r="91" spans="1:11" x14ac:dyDescent="0.2">
      <c r="A91" s="4">
        <v>210</v>
      </c>
      <c r="B91" s="4" t="str">
        <f t="shared" si="2"/>
        <v>2</v>
      </c>
      <c r="C91" s="4" t="s">
        <v>392</v>
      </c>
      <c r="D91" s="4" t="s">
        <v>317</v>
      </c>
      <c r="K91" s="5" t="s">
        <v>102</v>
      </c>
    </row>
    <row r="92" spans="1:11" x14ac:dyDescent="0.2">
      <c r="A92" s="4">
        <v>211</v>
      </c>
      <c r="B92" s="4" t="str">
        <f t="shared" si="2"/>
        <v>2</v>
      </c>
      <c r="C92" s="4" t="s">
        <v>395</v>
      </c>
      <c r="D92" s="4" t="s">
        <v>320</v>
      </c>
      <c r="K92" s="5" t="s">
        <v>89</v>
      </c>
    </row>
    <row r="93" spans="1:11" x14ac:dyDescent="0.2">
      <c r="A93" s="4">
        <v>212</v>
      </c>
      <c r="B93" s="4" t="str">
        <f t="shared" si="2"/>
        <v>2</v>
      </c>
      <c r="C93" s="4" t="s">
        <v>400</v>
      </c>
      <c r="D93" s="4" t="s">
        <v>273</v>
      </c>
      <c r="K93" s="5" t="s">
        <v>101</v>
      </c>
    </row>
    <row r="94" spans="1:11" x14ac:dyDescent="0.2">
      <c r="A94" s="4">
        <v>213</v>
      </c>
      <c r="B94" s="4" t="str">
        <f t="shared" si="2"/>
        <v>2</v>
      </c>
      <c r="C94" s="4" t="s">
        <v>404</v>
      </c>
      <c r="D94" s="4" t="s">
        <v>325</v>
      </c>
      <c r="K94" s="5" t="s">
        <v>128</v>
      </c>
    </row>
    <row r="95" spans="1:11" x14ac:dyDescent="0.2">
      <c r="A95" s="4">
        <v>214</v>
      </c>
      <c r="B95" s="4" t="str">
        <f t="shared" si="2"/>
        <v>2</v>
      </c>
      <c r="C95" s="4" t="s">
        <v>409</v>
      </c>
      <c r="D95" s="4" t="s">
        <v>328</v>
      </c>
      <c r="K95" s="5" t="s">
        <v>105</v>
      </c>
    </row>
    <row r="96" spans="1:11" x14ac:dyDescent="0.2">
      <c r="K96" s="5" t="s">
        <v>124</v>
      </c>
    </row>
    <row r="97" spans="11:11" x14ac:dyDescent="0.2">
      <c r="K97" s="5" t="s">
        <v>155</v>
      </c>
    </row>
    <row r="98" spans="11:11" x14ac:dyDescent="0.2">
      <c r="K98" s="5" t="s">
        <v>92</v>
      </c>
    </row>
    <row r="99" spans="11:11" x14ac:dyDescent="0.2">
      <c r="K99" s="5" t="s">
        <v>103</v>
      </c>
    </row>
    <row r="100" spans="11:11" x14ac:dyDescent="0.2">
      <c r="K100" s="5" t="s">
        <v>110</v>
      </c>
    </row>
  </sheetData>
  <autoFilter ref="A1:D1" xr:uid="{669C6D28-67DE-427F-8AFF-A273EDEFA030}">
    <sortState xmlns:xlrd2="http://schemas.microsoft.com/office/spreadsheetml/2017/richdata2" ref="A2:D95">
      <sortCondition ref="B1"/>
    </sortState>
  </autoFilter>
  <sortState xmlns:xlrd2="http://schemas.microsoft.com/office/spreadsheetml/2017/richdata2" ref="K1:K199">
    <sortCondition ref="K1:K199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C2CD-AB6F-43FD-87AF-6EB521B3A69C}">
  <dimension ref="A1:O186"/>
  <sheetViews>
    <sheetView workbookViewId="0">
      <selection activeCell="H13" sqref="H13"/>
    </sheetView>
  </sheetViews>
  <sheetFormatPr defaultRowHeight="14.25" x14ac:dyDescent="0.2"/>
  <cols>
    <col min="1" max="1" width="10.375" bestFit="1" customWidth="1"/>
    <col min="2" max="2" width="12.25" bestFit="1" customWidth="1"/>
    <col min="3" max="3" width="22" bestFit="1" customWidth="1"/>
    <col min="4" max="4" width="14.125" bestFit="1" customWidth="1"/>
    <col min="5" max="5" width="12.25" bestFit="1" customWidth="1"/>
    <col min="6" max="6" width="16.25" bestFit="1" customWidth="1"/>
    <col min="7" max="7" width="83.75" bestFit="1" customWidth="1"/>
    <col min="8" max="9" width="16.125" bestFit="1" customWidth="1"/>
    <col min="10" max="10" width="12.25" bestFit="1" customWidth="1"/>
    <col min="11" max="11" width="16.125" bestFit="1" customWidth="1"/>
    <col min="12" max="12" width="14.875" bestFit="1" customWidth="1"/>
    <col min="13" max="13" width="40.375" bestFit="1" customWidth="1"/>
    <col min="14" max="14" width="3.5" bestFit="1" customWidth="1"/>
    <col min="15" max="15" width="40.375" bestFit="1" customWidth="1"/>
  </cols>
  <sheetData>
    <row r="1" spans="1:15" ht="18" thickBot="1" x14ac:dyDescent="0.25">
      <c r="A1" s="1" t="s">
        <v>1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19</v>
      </c>
      <c r="J1" s="1" t="s">
        <v>20</v>
      </c>
      <c r="K1" s="1" t="s">
        <v>22</v>
      </c>
      <c r="L1" s="3" t="s">
        <v>24</v>
      </c>
      <c r="M1" s="1" t="s">
        <v>26</v>
      </c>
    </row>
    <row r="2" spans="1:15" ht="18" thickBot="1" x14ac:dyDescent="0.25">
      <c r="A2" s="2" t="s">
        <v>4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2</v>
      </c>
      <c r="H2" s="2" t="s">
        <v>2</v>
      </c>
      <c r="I2" s="2" t="s">
        <v>2</v>
      </c>
      <c r="J2" s="2" t="s">
        <v>0</v>
      </c>
      <c r="K2" s="2" t="s">
        <v>0</v>
      </c>
      <c r="L2" s="2" t="s">
        <v>0</v>
      </c>
      <c r="M2" s="2" t="s">
        <v>2</v>
      </c>
    </row>
    <row r="3" spans="1:15" ht="18" thickBot="1" x14ac:dyDescent="0.25">
      <c r="A3" s="2" t="s">
        <v>5</v>
      </c>
      <c r="B3" s="2" t="s">
        <v>7</v>
      </c>
      <c r="C3" s="2" t="s">
        <v>9</v>
      </c>
      <c r="D3" s="2" t="s">
        <v>11</v>
      </c>
      <c r="E3" s="2" t="s">
        <v>13</v>
      </c>
      <c r="F3" s="2" t="s">
        <v>15</v>
      </c>
      <c r="G3" s="2" t="s">
        <v>17</v>
      </c>
      <c r="H3" s="2" t="s">
        <v>28</v>
      </c>
      <c r="I3" s="2" t="s">
        <v>30</v>
      </c>
      <c r="J3" s="2" t="s">
        <v>21</v>
      </c>
      <c r="K3" s="2" t="s">
        <v>23</v>
      </c>
      <c r="L3" s="2" t="s">
        <v>25</v>
      </c>
      <c r="M3" s="2" t="s">
        <v>3</v>
      </c>
    </row>
    <row r="4" spans="1:15" x14ac:dyDescent="0.2">
      <c r="A4">
        <v>1</v>
      </c>
      <c r="B4">
        <v>1</v>
      </c>
      <c r="C4">
        <v>1</v>
      </c>
      <c r="D4">
        <f>IF(B4=1,10000,IF(B4=2,8000,IF(B4=3,6000,IF(B4=4,4500,IF(B4=5,3000,IF(B4=6,2000,IF(B4=7,1400,IF(B4=8,900,IF(B4=9,500,IF(B4=10,200,0))))))))))</f>
        <v>10000</v>
      </c>
      <c r="E4">
        <f>IF(B4=1,30,IF(B4=2,60,IF(B4=3,90,IF(B4=4,120,IF(B4=5,240,IF(B4=6,360,IF(B4=7,480,IF(B4=8,600,IF(B4=9,840,IF(B4=10,1080,0))))))))))</f>
        <v>30</v>
      </c>
      <c r="F4" t="str">
        <f ca="1">VLOOKUP(IF(B4=1,RANDBETWEEN(1,40),IF(B4=2,RANDBETWEEN(1,40),IF(B4=3,RANDBETWEEN(1,40),IF(B4=4,RANDBETWEEN(101,140),IF(B4=5,RANDBETWEEN(101,140),IF(B4=6,RANDBETWEEN(101,140),IF(B4=7,RANDBETWEEN(101,140),IF(B4=8,RANDBETWEEN(201,214),IF(B4=9,RANDBETWEEN(201,214),IF(B4=10,RANDBETWEEN(201,214),0)))))))))),Sheet2!$A$2:$D$95,4,FALSE)</f>
        <v>Pet_10100</v>
      </c>
      <c r="G4" t="s">
        <v>256</v>
      </c>
      <c r="H4" t="str">
        <f ca="1">IF(B4=1,RANDBETWEEN(1,6)&amp;","&amp;RANDBETWEEN(1,6),IF(B4=2,RANDBETWEEN(1,6)&amp;","&amp;RANDBETWEEN(1,6),IF(B4=3,RANDBETWEEN(1,6)&amp;","&amp;RANDBETWEEN(1,6),IF(B4=4,RANDBETWEEN(1,6)&amp;","&amp;RANDBETWEEN(1,6)&amp;","&amp;RANDBETWEEN(1,6),IF(B4=5,RANDBETWEEN(1,6)&amp;","&amp;RANDBETWEEN(1,6)&amp;","&amp;RANDBETWEEN(1,6),IF(B4=6,RANDBETWEEN(1,6)&amp;","&amp;RANDBETWEEN(1,6)&amp;","&amp;RANDBETWEEN(1,6),IF(B4=7,RANDBETWEEN(1,6)&amp;","&amp;RANDBETWEEN(1,6)&amp;","&amp;RANDBETWEEN(1,6),IF(B4=8,RANDBETWEEN(1,6)&amp;","&amp;RANDBETWEEN(1,6)&amp;","&amp;RANDBETWEEN(1,6),IF(B4=9,RANDBETWEEN(1,6)&amp;","&amp;RANDBETWEEN(1,6)&amp;","&amp;RANDBETWEEN(1,6),IF(B4=10,RANDBETWEEN(1,6)&amp;","&amp;RANDBETWEEN(1,6)&amp;","&amp;RANDBETWEEN(1,6),0))))))))))</f>
        <v>4,3</v>
      </c>
      <c r="I4" t="str">
        <f>IF(B4=1,4000&amp;","&amp;4000,IF(B4=2,4000&amp;","&amp;4000,IF(B4=3,4000&amp;","&amp;4000,IF(B4=4,3000&amp;","&amp;3000&amp;","&amp;2000,IF(B4=5,3000&amp;","&amp;3000&amp;","&amp;2000,IF(B4=6,3000&amp;","&amp;3000&amp;","&amp;2000,IF(B4=7,3000&amp;","&amp;3000&amp;","&amp;2000,IF(B4=8,3000&amp;","&amp;2000&amp;","&amp;2000,IF(B4=9,2000&amp;","&amp;2000&amp;","&amp;2000,IF(B4=10,2000&amp;","&amp;2000&amp;","&amp;1000,0))))))))))</f>
        <v>4000,4000</v>
      </c>
      <c r="J4">
        <f>IF(B4=1,10000,IF(B4=2,20000,IF(B4=3,40000,IF(B4=4,80000,IF(B4=5,120000,IF(B4=6,200000,IF(B4=7,400000,IF(B4=8,800000,IF(B4=9,1200000,IF(B4=10,1500000,0))))))))))</f>
        <v>10000</v>
      </c>
      <c r="K4">
        <v>2000</v>
      </c>
      <c r="L4">
        <v>5</v>
      </c>
      <c r="M4" t="str">
        <f>VLOOKUP(B4,$N$5:$O$14,2,2)</f>
        <v>1000,200000|10010010,5</v>
      </c>
    </row>
    <row r="5" spans="1:15" x14ac:dyDescent="0.2">
      <c r="A5">
        <v>2</v>
      </c>
      <c r="B5">
        <v>1</v>
      </c>
      <c r="C5">
        <v>1</v>
      </c>
      <c r="D5">
        <f t="shared" ref="D5:D68" si="0">IF(B5=1,10000,IF(B5=2,8000,IF(B5=3,6000,IF(B5=4,4500,IF(B5=5,3000,IF(B5=6,2000,IF(B5=7,1400,IF(B5=8,900,IF(B5=9,500,IF(B5=10,200,0))))))))))</f>
        <v>10000</v>
      </c>
      <c r="E5">
        <f t="shared" ref="E5:E68" si="1">IF(B5=1,30,IF(B5=2,60,IF(B5=3,90,IF(B5=4,120,IF(B5=5,240,IF(B5=6,360,IF(B5=7,480,IF(B5=8,600,IF(B5=9,840,IF(B5=10,1080,0))))))))))</f>
        <v>30</v>
      </c>
      <c r="F5" t="str">
        <f ca="1">VLOOKUP(IF(B5=1,RANDBETWEEN(1,40),IF(B5=2,RANDBETWEEN(1,40),IF(B5=3,RANDBETWEEN(1,40),IF(B5=4,RANDBETWEEN(101,140),IF(B5=5,RANDBETWEEN(101,140),IF(B5=6,RANDBETWEEN(101,140),IF(B5=7,RANDBETWEEN(101,140),IF(B5=8,RANDBETWEEN(201,214),IF(B5=9,RANDBETWEEN(201,214),IF(B5=10,RANDBETWEEN(201,214),0)))))))))),Sheet2!$A$2:$D$95,4,FALSE)</f>
        <v>Pet_10090</v>
      </c>
      <c r="G5" t="s">
        <v>210</v>
      </c>
      <c r="H5" t="str">
        <f t="shared" ref="H5:H68" ca="1" si="2">IF(B5=1,RANDBETWEEN(1,6)&amp;","&amp;RANDBETWEEN(1,6),IF(B5=2,RANDBETWEEN(1,6)&amp;","&amp;RANDBETWEEN(1,6),IF(B5=3,RANDBETWEEN(1,6)&amp;","&amp;RANDBETWEEN(1,6),IF(B5=4,RANDBETWEEN(1,6)&amp;","&amp;RANDBETWEEN(1,6)&amp;","&amp;RANDBETWEEN(1,6),IF(B5=5,RANDBETWEEN(1,6)&amp;","&amp;RANDBETWEEN(1,6)&amp;","&amp;RANDBETWEEN(1,6),IF(B5=6,RANDBETWEEN(1,6)&amp;","&amp;RANDBETWEEN(1,6)&amp;","&amp;RANDBETWEEN(1,6),IF(B5=7,RANDBETWEEN(1,6)&amp;","&amp;RANDBETWEEN(1,6)&amp;","&amp;RANDBETWEEN(1,6),IF(B5=8,RANDBETWEEN(1,6)&amp;","&amp;RANDBETWEEN(1,6)&amp;","&amp;RANDBETWEEN(1,6),IF(B5=9,RANDBETWEEN(1,6)&amp;","&amp;RANDBETWEEN(1,6)&amp;","&amp;RANDBETWEEN(1,6),IF(B5=10,RANDBETWEEN(1,6)&amp;","&amp;RANDBETWEEN(1,6)&amp;","&amp;RANDBETWEEN(1,6),0))))))))))</f>
        <v>6,4</v>
      </c>
      <c r="I5" t="str">
        <f t="shared" ref="I5:I68" si="3">IF(B5=1,4000&amp;","&amp;4000,IF(B5=2,4000&amp;","&amp;4000,IF(B5=3,4000&amp;","&amp;4000,IF(B5=4,3000&amp;","&amp;3000&amp;","&amp;2000,IF(B5=5,3000&amp;","&amp;3000&amp;","&amp;2000,IF(B5=6,3000&amp;","&amp;3000&amp;","&amp;2000,IF(B5=7,3000&amp;","&amp;3000&amp;","&amp;2000,IF(B5=8,3000&amp;","&amp;2000&amp;","&amp;2000,IF(B5=9,2000&amp;","&amp;2000&amp;","&amp;2000,IF(B5=10,2000&amp;","&amp;2000&amp;","&amp;1000,0))))))))))</f>
        <v>4000,4000</v>
      </c>
      <c r="J5">
        <f t="shared" ref="J5:J68" si="4">IF(B5=1,10000,IF(B5=2,20000,IF(B5=3,40000,IF(B5=4,80000,IF(B5=5,120000,IF(B5=6,200000,IF(B5=7,400000,IF(B5=8,800000,IF(B5=9,1200000,IF(B5=10,1500000,0))))))))))</f>
        <v>10000</v>
      </c>
      <c r="K5">
        <v>2000</v>
      </c>
      <c r="L5">
        <v>5</v>
      </c>
      <c r="M5" t="str">
        <f t="shared" ref="M5:M68" si="5">VLOOKUP(B5,$N$5:$O$14,2,2)</f>
        <v>1000,200000|10010010,5</v>
      </c>
      <c r="N5">
        <v>1</v>
      </c>
      <c r="O5" s="6" t="s">
        <v>410</v>
      </c>
    </row>
    <row r="6" spans="1:15" x14ac:dyDescent="0.2">
      <c r="A6">
        <v>3</v>
      </c>
      <c r="B6">
        <v>1</v>
      </c>
      <c r="C6">
        <v>1</v>
      </c>
      <c r="D6">
        <f t="shared" si="0"/>
        <v>10000</v>
      </c>
      <c r="E6">
        <f t="shared" si="1"/>
        <v>30</v>
      </c>
      <c r="F6" t="str">
        <f ca="1">VLOOKUP(IF(B6=1,RANDBETWEEN(1,40),IF(B6=2,RANDBETWEEN(1,40),IF(B6=3,RANDBETWEEN(1,40),IF(B6=4,RANDBETWEEN(101,140),IF(B6=5,RANDBETWEEN(101,140),IF(B6=6,RANDBETWEEN(101,140),IF(B6=7,RANDBETWEEN(101,140),IF(B6=8,RANDBETWEEN(201,214),IF(B6=9,RANDBETWEEN(201,214),IF(B6=10,RANDBETWEEN(201,214),0)))))))))),Sheet2!$A$2:$D$95,4,FALSE)</f>
        <v>Pet_10090</v>
      </c>
      <c r="G6" t="s">
        <v>192</v>
      </c>
      <c r="H6" t="str">
        <f t="shared" ca="1" si="2"/>
        <v>6,6</v>
      </c>
      <c r="I6" t="str">
        <f t="shared" si="3"/>
        <v>4000,4000</v>
      </c>
      <c r="J6">
        <f t="shared" si="4"/>
        <v>10000</v>
      </c>
      <c r="K6">
        <v>2000</v>
      </c>
      <c r="L6">
        <v>5</v>
      </c>
      <c r="M6" t="str">
        <f t="shared" si="5"/>
        <v>1000,200000|10010010,5</v>
      </c>
      <c r="N6">
        <v>2</v>
      </c>
      <c r="O6" s="6" t="s">
        <v>411</v>
      </c>
    </row>
    <row r="7" spans="1:15" x14ac:dyDescent="0.2">
      <c r="A7">
        <v>4</v>
      </c>
      <c r="B7">
        <v>2</v>
      </c>
      <c r="C7">
        <v>1</v>
      </c>
      <c r="D7">
        <f t="shared" si="0"/>
        <v>8000</v>
      </c>
      <c r="E7">
        <f t="shared" si="1"/>
        <v>60</v>
      </c>
      <c r="F7" t="str">
        <f ca="1">VLOOKUP(IF(B7=1,RANDBETWEEN(1,40),IF(B7=2,RANDBETWEEN(1,40),IF(B7=3,RANDBETWEEN(1,40),IF(B7=4,RANDBETWEEN(101,140),IF(B7=5,RANDBETWEEN(101,140),IF(B7=6,RANDBETWEEN(101,140),IF(B7=7,RANDBETWEEN(101,140),IF(B7=8,RANDBETWEEN(201,214),IF(B7=9,RANDBETWEEN(201,214),IF(B7=10,RANDBETWEEN(201,214),0)))))))))),Sheet2!$A$2:$D$95,4,FALSE)</f>
        <v>Pet_10520</v>
      </c>
      <c r="G7" t="s">
        <v>237</v>
      </c>
      <c r="H7" t="str">
        <f t="shared" ca="1" si="2"/>
        <v>4,6</v>
      </c>
      <c r="I7" t="str">
        <f t="shared" si="3"/>
        <v>4000,4000</v>
      </c>
      <c r="J7">
        <f t="shared" si="4"/>
        <v>20000</v>
      </c>
      <c r="K7">
        <v>2000</v>
      </c>
      <c r="L7">
        <v>5</v>
      </c>
      <c r="M7" t="str">
        <f t="shared" si="5"/>
        <v>1000,300000|10010110,5</v>
      </c>
      <c r="N7">
        <v>3</v>
      </c>
      <c r="O7" s="6" t="s">
        <v>412</v>
      </c>
    </row>
    <row r="8" spans="1:15" x14ac:dyDescent="0.2">
      <c r="A8">
        <v>5</v>
      </c>
      <c r="B8">
        <v>2</v>
      </c>
      <c r="C8">
        <v>1</v>
      </c>
      <c r="D8">
        <f t="shared" si="0"/>
        <v>8000</v>
      </c>
      <c r="E8">
        <f t="shared" si="1"/>
        <v>60</v>
      </c>
      <c r="F8" t="str">
        <f ca="1">VLOOKUP(IF(B8=1,RANDBETWEEN(1,40),IF(B8=2,RANDBETWEEN(1,40),IF(B8=3,RANDBETWEEN(1,40),IF(B8=4,RANDBETWEEN(101,140),IF(B8=5,RANDBETWEEN(101,140),IF(B8=6,RANDBETWEEN(101,140),IF(B8=7,RANDBETWEEN(101,140),IF(B8=8,RANDBETWEEN(201,214),IF(B8=9,RANDBETWEEN(201,214),IF(B8=10,RANDBETWEEN(201,214),0)))))))))),Sheet2!$A$2:$D$95,4,FALSE)</f>
        <v>Pet_10420</v>
      </c>
      <c r="G8" t="s">
        <v>190</v>
      </c>
      <c r="H8" t="str">
        <f t="shared" ca="1" si="2"/>
        <v>4,6</v>
      </c>
      <c r="I8" t="str">
        <f t="shared" si="3"/>
        <v>4000,4000</v>
      </c>
      <c r="J8">
        <f t="shared" si="4"/>
        <v>20000</v>
      </c>
      <c r="K8">
        <v>2000</v>
      </c>
      <c r="L8">
        <v>5</v>
      </c>
      <c r="M8" t="str">
        <f t="shared" si="5"/>
        <v>1000,300000|10010110,5</v>
      </c>
      <c r="N8">
        <v>4</v>
      </c>
      <c r="O8" s="6" t="s">
        <v>413</v>
      </c>
    </row>
    <row r="9" spans="1:15" x14ac:dyDescent="0.2">
      <c r="A9">
        <v>6</v>
      </c>
      <c r="B9">
        <v>2</v>
      </c>
      <c r="C9">
        <v>1</v>
      </c>
      <c r="D9">
        <f t="shared" si="0"/>
        <v>8000</v>
      </c>
      <c r="E9">
        <f t="shared" si="1"/>
        <v>60</v>
      </c>
      <c r="F9" t="str">
        <f ca="1">VLOOKUP(IF(B9=1,RANDBETWEEN(1,40),IF(B9=2,RANDBETWEEN(1,40),IF(B9=3,RANDBETWEEN(1,40),IF(B9=4,RANDBETWEEN(101,140),IF(B9=5,RANDBETWEEN(101,140),IF(B9=6,RANDBETWEEN(101,140),IF(B9=7,RANDBETWEEN(101,140),IF(B9=8,RANDBETWEEN(201,214),IF(B9=9,RANDBETWEEN(201,214),IF(B9=10,RANDBETWEEN(201,214),0)))))))))),Sheet2!$A$2:$D$95,4,FALSE)</f>
        <v>Pet_10120</v>
      </c>
      <c r="G9" t="s">
        <v>228</v>
      </c>
      <c r="H9" t="str">
        <f t="shared" ca="1" si="2"/>
        <v>5,4</v>
      </c>
      <c r="I9" t="str">
        <f t="shared" si="3"/>
        <v>4000,4000</v>
      </c>
      <c r="J9">
        <f t="shared" si="4"/>
        <v>20000</v>
      </c>
      <c r="K9">
        <v>2000</v>
      </c>
      <c r="L9">
        <v>5</v>
      </c>
      <c r="M9" t="str">
        <f t="shared" si="5"/>
        <v>1000,300000|10010110,5</v>
      </c>
      <c r="N9">
        <v>5</v>
      </c>
      <c r="O9" s="6" t="s">
        <v>414</v>
      </c>
    </row>
    <row r="10" spans="1:15" x14ac:dyDescent="0.2">
      <c r="A10">
        <v>7</v>
      </c>
      <c r="B10">
        <v>3</v>
      </c>
      <c r="C10">
        <v>1</v>
      </c>
      <c r="D10">
        <f t="shared" si="0"/>
        <v>6000</v>
      </c>
      <c r="E10">
        <f t="shared" si="1"/>
        <v>90</v>
      </c>
      <c r="F10" t="str">
        <f ca="1">VLOOKUP(IF(B10=1,RANDBETWEEN(1,40),IF(B10=2,RANDBETWEEN(1,40),IF(B10=3,RANDBETWEEN(1,40),IF(B10=4,RANDBETWEEN(101,140),IF(B10=5,RANDBETWEEN(101,140),IF(B10=6,RANDBETWEEN(101,140),IF(B10=7,RANDBETWEEN(101,140),IF(B10=8,RANDBETWEEN(201,214),IF(B10=9,RANDBETWEEN(201,214),IF(B10=10,RANDBETWEEN(201,214),0)))))))))),Sheet2!$A$2:$D$95,4,FALSE)</f>
        <v>Pet_10250</v>
      </c>
      <c r="G10" t="s">
        <v>183</v>
      </c>
      <c r="H10" t="str">
        <f t="shared" ca="1" si="2"/>
        <v>5,1</v>
      </c>
      <c r="I10" t="str">
        <f t="shared" si="3"/>
        <v>4000,4000</v>
      </c>
      <c r="J10">
        <f t="shared" si="4"/>
        <v>40000</v>
      </c>
      <c r="K10">
        <v>2000</v>
      </c>
      <c r="L10">
        <v>5</v>
      </c>
      <c r="M10" t="str">
        <f t="shared" si="5"/>
        <v>1000,500000|10010030,5</v>
      </c>
      <c r="N10">
        <v>6</v>
      </c>
      <c r="O10" s="6" t="s">
        <v>415</v>
      </c>
    </row>
    <row r="11" spans="1:15" x14ac:dyDescent="0.2">
      <c r="A11">
        <v>8</v>
      </c>
      <c r="B11">
        <v>3</v>
      </c>
      <c r="C11">
        <v>1</v>
      </c>
      <c r="D11">
        <f t="shared" si="0"/>
        <v>6000</v>
      </c>
      <c r="E11">
        <f t="shared" si="1"/>
        <v>90</v>
      </c>
      <c r="F11" t="str">
        <f ca="1">VLOOKUP(IF(B11=1,RANDBETWEEN(1,40),IF(B11=2,RANDBETWEEN(1,40),IF(B11=3,RANDBETWEEN(1,40),IF(B11=4,RANDBETWEEN(101,140),IF(B11=5,RANDBETWEEN(101,140),IF(B11=6,RANDBETWEEN(101,140),IF(B11=7,RANDBETWEEN(101,140),IF(B11=8,RANDBETWEEN(201,214),IF(B11=9,RANDBETWEEN(201,214),IF(B11=10,RANDBETWEEN(201,214),0)))))))))),Sheet2!$A$2:$D$95,4,FALSE)</f>
        <v>Pet_10620</v>
      </c>
      <c r="G11" t="s">
        <v>258</v>
      </c>
      <c r="H11" t="str">
        <f t="shared" ca="1" si="2"/>
        <v>4,3</v>
      </c>
      <c r="I11" t="str">
        <f t="shared" si="3"/>
        <v>4000,4000</v>
      </c>
      <c r="J11">
        <f t="shared" si="4"/>
        <v>40000</v>
      </c>
      <c r="K11">
        <v>2000</v>
      </c>
      <c r="L11">
        <v>5</v>
      </c>
      <c r="M11" t="str">
        <f t="shared" si="5"/>
        <v>1000,500000|10010030,5</v>
      </c>
      <c r="N11">
        <v>7</v>
      </c>
      <c r="O11" s="6" t="s">
        <v>416</v>
      </c>
    </row>
    <row r="12" spans="1:15" x14ac:dyDescent="0.2">
      <c r="A12">
        <v>9</v>
      </c>
      <c r="B12">
        <v>3</v>
      </c>
      <c r="C12">
        <v>1</v>
      </c>
      <c r="D12">
        <f t="shared" si="0"/>
        <v>6000</v>
      </c>
      <c r="E12">
        <f t="shared" si="1"/>
        <v>90</v>
      </c>
      <c r="F12" t="str">
        <f ca="1">VLOOKUP(IF(B12=1,RANDBETWEEN(1,40),IF(B12=2,RANDBETWEEN(1,40),IF(B12=3,RANDBETWEEN(1,40),IF(B12=4,RANDBETWEEN(101,140),IF(B12=5,RANDBETWEEN(101,140),IF(B12=6,RANDBETWEEN(101,140),IF(B12=7,RANDBETWEEN(101,140),IF(B12=8,RANDBETWEEN(201,214),IF(B12=9,RANDBETWEEN(201,214),IF(B12=10,RANDBETWEEN(201,214),0)))))))))),Sheet2!$A$2:$D$95,4,FALSE)</f>
        <v>Pet_10580</v>
      </c>
      <c r="G12" t="s">
        <v>234</v>
      </c>
      <c r="H12" t="str">
        <f t="shared" ca="1" si="2"/>
        <v>3,4</v>
      </c>
      <c r="I12" t="str">
        <f t="shared" si="3"/>
        <v>4000,4000</v>
      </c>
      <c r="J12">
        <f t="shared" si="4"/>
        <v>40000</v>
      </c>
      <c r="K12">
        <v>2000</v>
      </c>
      <c r="L12">
        <v>5</v>
      </c>
      <c r="M12" t="str">
        <f t="shared" si="5"/>
        <v>1000,500000|10010030,5</v>
      </c>
      <c r="N12">
        <v>8</v>
      </c>
      <c r="O12" s="6" t="s">
        <v>417</v>
      </c>
    </row>
    <row r="13" spans="1:15" x14ac:dyDescent="0.2">
      <c r="A13">
        <v>10</v>
      </c>
      <c r="B13">
        <v>4</v>
      </c>
      <c r="C13">
        <v>1</v>
      </c>
      <c r="D13">
        <f t="shared" si="0"/>
        <v>4500</v>
      </c>
      <c r="E13">
        <f t="shared" si="1"/>
        <v>120</v>
      </c>
      <c r="F13" t="str">
        <f ca="1">VLOOKUP(IF(B13=1,RANDBETWEEN(1,40),IF(B13=2,RANDBETWEEN(1,40),IF(B13=3,RANDBETWEEN(1,40),IF(B13=4,RANDBETWEEN(101,140),IF(B13=5,RANDBETWEEN(101,140),IF(B13=6,RANDBETWEEN(101,140),IF(B13=7,RANDBETWEEN(101,140),IF(B13=8,RANDBETWEEN(201,214),IF(B13=9,RANDBETWEEN(201,214),IF(B13=10,RANDBETWEEN(201,214),0)))))))))),Sheet2!$A$2:$D$95,4,FALSE)</f>
        <v>Pet_10531</v>
      </c>
      <c r="G13" t="s">
        <v>186</v>
      </c>
      <c r="H13" t="str">
        <f t="shared" ca="1" si="2"/>
        <v>3,3,2</v>
      </c>
      <c r="I13" t="str">
        <f t="shared" si="3"/>
        <v>3000,3000,2000</v>
      </c>
      <c r="J13">
        <f t="shared" si="4"/>
        <v>80000</v>
      </c>
      <c r="K13">
        <v>2000</v>
      </c>
      <c r="L13">
        <v>5</v>
      </c>
      <c r="M13" t="str">
        <f t="shared" si="5"/>
        <v>1000,1000000|10010020,5|10010120,5</v>
      </c>
      <c r="N13">
        <v>9</v>
      </c>
      <c r="O13" s="6" t="s">
        <v>419</v>
      </c>
    </row>
    <row r="14" spans="1:15" x14ac:dyDescent="0.2">
      <c r="A14">
        <v>11</v>
      </c>
      <c r="B14">
        <v>4</v>
      </c>
      <c r="C14">
        <v>1</v>
      </c>
      <c r="D14">
        <f t="shared" si="0"/>
        <v>4500</v>
      </c>
      <c r="E14">
        <f t="shared" si="1"/>
        <v>120</v>
      </c>
      <c r="F14" t="str">
        <f ca="1">VLOOKUP(IF(B14=1,RANDBETWEEN(1,40),IF(B14=2,RANDBETWEEN(1,40),IF(B14=3,RANDBETWEEN(1,40),IF(B14=4,RANDBETWEEN(101,140),IF(B14=5,RANDBETWEEN(101,140),IF(B14=6,RANDBETWEEN(101,140),IF(B14=7,RANDBETWEEN(101,140),IF(B14=8,RANDBETWEEN(201,214),IF(B14=9,RANDBETWEEN(201,214),IF(B14=10,RANDBETWEEN(201,214),0)))))))))),Sheet2!$A$2:$D$95,4,FALSE)</f>
        <v>Pet_10571</v>
      </c>
      <c r="G14" t="s">
        <v>263</v>
      </c>
      <c r="H14" t="str">
        <f t="shared" ca="1" si="2"/>
        <v>2,5,2</v>
      </c>
      <c r="I14" t="str">
        <f t="shared" si="3"/>
        <v>3000,3000,2000</v>
      </c>
      <c r="J14">
        <f t="shared" si="4"/>
        <v>80000</v>
      </c>
      <c r="K14">
        <v>2000</v>
      </c>
      <c r="L14">
        <v>5</v>
      </c>
      <c r="M14" t="str">
        <f t="shared" si="5"/>
        <v>1000,1000000|10010020,5|10010120,5</v>
      </c>
      <c r="N14">
        <v>10</v>
      </c>
      <c r="O14" s="6" t="s">
        <v>418</v>
      </c>
    </row>
    <row r="15" spans="1:15" x14ac:dyDescent="0.2">
      <c r="A15">
        <v>12</v>
      </c>
      <c r="B15">
        <v>4</v>
      </c>
      <c r="C15">
        <v>1</v>
      </c>
      <c r="D15">
        <f t="shared" si="0"/>
        <v>4500</v>
      </c>
      <c r="E15">
        <f t="shared" si="1"/>
        <v>120</v>
      </c>
      <c r="F15" t="str">
        <f ca="1">VLOOKUP(IF(B15=1,RANDBETWEEN(1,40),IF(B15=2,RANDBETWEEN(1,40),IF(B15=3,RANDBETWEEN(1,40),IF(B15=4,RANDBETWEEN(101,140),IF(B15=5,RANDBETWEEN(101,140),IF(B15=6,RANDBETWEEN(101,140),IF(B15=7,RANDBETWEEN(101,140),IF(B15=8,RANDBETWEEN(201,214),IF(B15=9,RANDBETWEEN(201,214),IF(B15=10,RANDBETWEEN(201,214),0)))))))))),Sheet2!$A$2:$D$95,4,FALSE)</f>
        <v>Pet_10621</v>
      </c>
      <c r="G15" t="s">
        <v>198</v>
      </c>
      <c r="H15" t="str">
        <f t="shared" ca="1" si="2"/>
        <v>1,3,5</v>
      </c>
      <c r="I15" t="str">
        <f t="shared" si="3"/>
        <v>3000,3000,2000</v>
      </c>
      <c r="J15">
        <f t="shared" si="4"/>
        <v>80000</v>
      </c>
      <c r="K15">
        <v>2000</v>
      </c>
      <c r="L15">
        <v>5</v>
      </c>
      <c r="M15" t="str">
        <f t="shared" si="5"/>
        <v>1000,1000000|10010020,5|10010120,5</v>
      </c>
    </row>
    <row r="16" spans="1:15" x14ac:dyDescent="0.2">
      <c r="A16">
        <v>13</v>
      </c>
      <c r="B16">
        <v>1</v>
      </c>
      <c r="C16">
        <v>2</v>
      </c>
      <c r="D16">
        <f t="shared" si="0"/>
        <v>10000</v>
      </c>
      <c r="E16">
        <f t="shared" si="1"/>
        <v>30</v>
      </c>
      <c r="F16" t="str">
        <f ca="1">VLOOKUP(IF(B16=1,RANDBETWEEN(1,40),IF(B16=2,RANDBETWEEN(1,40),IF(B16=3,RANDBETWEEN(1,40),IF(B16=4,RANDBETWEEN(101,140),IF(B16=5,RANDBETWEEN(101,140),IF(B16=6,RANDBETWEEN(101,140),IF(B16=7,RANDBETWEEN(101,140),IF(B16=8,RANDBETWEEN(201,214),IF(B16=9,RANDBETWEEN(201,214),IF(B16=10,RANDBETWEEN(201,214),0)))))))))),Sheet2!$A$2:$D$95,4,FALSE)</f>
        <v>Pet_10520</v>
      </c>
      <c r="G16" t="s">
        <v>266</v>
      </c>
      <c r="H16" t="str">
        <f t="shared" ca="1" si="2"/>
        <v>5,3</v>
      </c>
      <c r="I16" t="str">
        <f t="shared" si="3"/>
        <v>4000,4000</v>
      </c>
      <c r="J16">
        <f t="shared" si="4"/>
        <v>10000</v>
      </c>
      <c r="K16">
        <v>2000</v>
      </c>
      <c r="L16">
        <v>5</v>
      </c>
      <c r="M16" t="str">
        <f t="shared" si="5"/>
        <v>1000,200000|10010010,5</v>
      </c>
    </row>
    <row r="17" spans="1:13" x14ac:dyDescent="0.2">
      <c r="A17">
        <v>14</v>
      </c>
      <c r="B17">
        <v>1</v>
      </c>
      <c r="C17">
        <v>2</v>
      </c>
      <c r="D17">
        <f t="shared" si="0"/>
        <v>10000</v>
      </c>
      <c r="E17">
        <f t="shared" si="1"/>
        <v>30</v>
      </c>
      <c r="F17" t="str">
        <f ca="1">VLOOKUP(IF(B17=1,RANDBETWEEN(1,40),IF(B17=2,RANDBETWEEN(1,40),IF(B17=3,RANDBETWEEN(1,40),IF(B17=4,RANDBETWEEN(101,140),IF(B17=5,RANDBETWEEN(101,140),IF(B17=6,RANDBETWEEN(101,140),IF(B17=7,RANDBETWEEN(101,140),IF(B17=8,RANDBETWEEN(201,214),IF(B17=9,RANDBETWEEN(201,214),IF(B17=10,RANDBETWEEN(201,214),0)))))))))),Sheet2!$A$2:$D$95,4,FALSE)</f>
        <v>Pet_10170</v>
      </c>
      <c r="G17" t="s">
        <v>200</v>
      </c>
      <c r="H17" t="str">
        <f t="shared" ca="1" si="2"/>
        <v>5,5</v>
      </c>
      <c r="I17" t="str">
        <f t="shared" si="3"/>
        <v>4000,4000</v>
      </c>
      <c r="J17">
        <f t="shared" si="4"/>
        <v>10000</v>
      </c>
      <c r="K17">
        <v>2000</v>
      </c>
      <c r="L17">
        <v>5</v>
      </c>
      <c r="M17" t="str">
        <f t="shared" si="5"/>
        <v>1000,200000|10010010,5</v>
      </c>
    </row>
    <row r="18" spans="1:13" x14ac:dyDescent="0.2">
      <c r="A18">
        <v>15</v>
      </c>
      <c r="B18">
        <v>1</v>
      </c>
      <c r="C18">
        <v>2</v>
      </c>
      <c r="D18">
        <f t="shared" si="0"/>
        <v>10000</v>
      </c>
      <c r="E18">
        <f t="shared" si="1"/>
        <v>30</v>
      </c>
      <c r="F18" t="str">
        <f ca="1">VLOOKUP(IF(B18=1,RANDBETWEEN(1,40),IF(B18=2,RANDBETWEEN(1,40),IF(B18=3,RANDBETWEEN(1,40),IF(B18=4,RANDBETWEEN(101,140),IF(B18=5,RANDBETWEEN(101,140),IF(B18=6,RANDBETWEEN(101,140),IF(B18=7,RANDBETWEEN(101,140),IF(B18=8,RANDBETWEEN(201,214),IF(B18=9,RANDBETWEEN(201,214),IF(B18=10,RANDBETWEEN(201,214),0)))))))))),Sheet2!$A$2:$D$95,4,FALSE)</f>
        <v>Pet_10180</v>
      </c>
      <c r="G18" t="s">
        <v>200</v>
      </c>
      <c r="H18" t="str">
        <f t="shared" ca="1" si="2"/>
        <v>4,6</v>
      </c>
      <c r="I18" t="str">
        <f t="shared" si="3"/>
        <v>4000,4000</v>
      </c>
      <c r="J18">
        <f t="shared" si="4"/>
        <v>10000</v>
      </c>
      <c r="K18">
        <v>2000</v>
      </c>
      <c r="L18">
        <v>5</v>
      </c>
      <c r="M18" t="str">
        <f t="shared" si="5"/>
        <v>1000,200000|10010010,5</v>
      </c>
    </row>
    <row r="19" spans="1:13" x14ac:dyDescent="0.2">
      <c r="A19">
        <v>16</v>
      </c>
      <c r="B19">
        <v>2</v>
      </c>
      <c r="C19">
        <v>2</v>
      </c>
      <c r="D19">
        <f t="shared" si="0"/>
        <v>8000</v>
      </c>
      <c r="E19">
        <f t="shared" si="1"/>
        <v>60</v>
      </c>
      <c r="F19" t="str">
        <f ca="1">VLOOKUP(IF(B19=1,RANDBETWEEN(1,40),IF(B19=2,RANDBETWEEN(1,40),IF(B19=3,RANDBETWEEN(1,40),IF(B19=4,RANDBETWEEN(101,140),IF(B19=5,RANDBETWEEN(101,140),IF(B19=6,RANDBETWEEN(101,140),IF(B19=7,RANDBETWEEN(101,140),IF(B19=8,RANDBETWEEN(201,214),IF(B19=9,RANDBETWEEN(201,214),IF(B19=10,RANDBETWEEN(201,214),0)))))))))),Sheet2!$A$2:$D$95,4,FALSE)</f>
        <v>Pet_10410</v>
      </c>
      <c r="G19" t="s">
        <v>222</v>
      </c>
      <c r="H19" t="str">
        <f t="shared" ca="1" si="2"/>
        <v>6,2</v>
      </c>
      <c r="I19" t="str">
        <f t="shared" si="3"/>
        <v>4000,4000</v>
      </c>
      <c r="J19">
        <f t="shared" si="4"/>
        <v>20000</v>
      </c>
      <c r="K19">
        <v>2000</v>
      </c>
      <c r="L19">
        <v>5</v>
      </c>
      <c r="M19" t="str">
        <f t="shared" si="5"/>
        <v>1000,300000|10010110,5</v>
      </c>
    </row>
    <row r="20" spans="1:13" x14ac:dyDescent="0.2">
      <c r="A20">
        <v>17</v>
      </c>
      <c r="B20">
        <v>2</v>
      </c>
      <c r="C20">
        <v>2</v>
      </c>
      <c r="D20">
        <f t="shared" si="0"/>
        <v>8000</v>
      </c>
      <c r="E20">
        <f t="shared" si="1"/>
        <v>60</v>
      </c>
      <c r="F20" t="str">
        <f ca="1">VLOOKUP(IF(B20=1,RANDBETWEEN(1,40),IF(B20=2,RANDBETWEEN(1,40),IF(B20=3,RANDBETWEEN(1,40),IF(B20=4,RANDBETWEEN(101,140),IF(B20=5,RANDBETWEEN(101,140),IF(B20=6,RANDBETWEEN(101,140),IF(B20=7,RANDBETWEEN(101,140),IF(B20=8,RANDBETWEEN(201,214),IF(B20=9,RANDBETWEEN(201,214),IF(B20=10,RANDBETWEEN(201,214),0)))))))))),Sheet2!$A$2:$D$95,4,FALSE)</f>
        <v>Pet_10350</v>
      </c>
      <c r="G20" t="s">
        <v>240</v>
      </c>
      <c r="H20" t="str">
        <f t="shared" ca="1" si="2"/>
        <v>3,5</v>
      </c>
      <c r="I20" t="str">
        <f t="shared" si="3"/>
        <v>4000,4000</v>
      </c>
      <c r="J20">
        <f t="shared" si="4"/>
        <v>20000</v>
      </c>
      <c r="K20">
        <v>2000</v>
      </c>
      <c r="L20">
        <v>5</v>
      </c>
      <c r="M20" t="str">
        <f t="shared" si="5"/>
        <v>1000,300000|10010110,5</v>
      </c>
    </row>
    <row r="21" spans="1:13" x14ac:dyDescent="0.2">
      <c r="A21">
        <v>18</v>
      </c>
      <c r="B21">
        <v>2</v>
      </c>
      <c r="C21">
        <v>2</v>
      </c>
      <c r="D21">
        <f t="shared" si="0"/>
        <v>8000</v>
      </c>
      <c r="E21">
        <f t="shared" si="1"/>
        <v>60</v>
      </c>
      <c r="F21" t="str">
        <f ca="1">VLOOKUP(IF(B21=1,RANDBETWEEN(1,40),IF(B21=2,RANDBETWEEN(1,40),IF(B21=3,RANDBETWEEN(1,40),IF(B21=4,RANDBETWEEN(101,140),IF(B21=5,RANDBETWEEN(101,140),IF(B21=6,RANDBETWEEN(101,140),IF(B21=7,RANDBETWEEN(101,140),IF(B21=8,RANDBETWEEN(201,214),IF(B21=9,RANDBETWEEN(201,214),IF(B21=10,RANDBETWEEN(201,214),0)))))))))),Sheet2!$A$2:$D$95,4,FALSE)</f>
        <v>Pet_10320</v>
      </c>
      <c r="G21" t="s">
        <v>236</v>
      </c>
      <c r="H21" t="str">
        <f t="shared" ca="1" si="2"/>
        <v>4,4</v>
      </c>
      <c r="I21" t="str">
        <f t="shared" si="3"/>
        <v>4000,4000</v>
      </c>
      <c r="J21">
        <f t="shared" si="4"/>
        <v>20000</v>
      </c>
      <c r="K21">
        <v>2000</v>
      </c>
      <c r="L21">
        <v>5</v>
      </c>
      <c r="M21" t="str">
        <f t="shared" si="5"/>
        <v>1000,300000|10010110,5</v>
      </c>
    </row>
    <row r="22" spans="1:13" x14ac:dyDescent="0.2">
      <c r="A22">
        <v>19</v>
      </c>
      <c r="B22">
        <v>3</v>
      </c>
      <c r="C22">
        <v>2</v>
      </c>
      <c r="D22">
        <f t="shared" si="0"/>
        <v>6000</v>
      </c>
      <c r="E22">
        <f t="shared" si="1"/>
        <v>90</v>
      </c>
      <c r="F22" t="str">
        <f ca="1">VLOOKUP(IF(B22=1,RANDBETWEEN(1,40),IF(B22=2,RANDBETWEEN(1,40),IF(B22=3,RANDBETWEEN(1,40),IF(B22=4,RANDBETWEEN(101,140),IF(B22=5,RANDBETWEEN(101,140),IF(B22=6,RANDBETWEEN(101,140),IF(B22=7,RANDBETWEEN(101,140),IF(B22=8,RANDBETWEEN(201,214),IF(B22=9,RANDBETWEEN(201,214),IF(B22=10,RANDBETWEEN(201,214),0)))))))))),Sheet2!$A$2:$D$95,4,FALSE)</f>
        <v>Pet_10150</v>
      </c>
      <c r="G22" t="s">
        <v>223</v>
      </c>
      <c r="H22" t="str">
        <f t="shared" ca="1" si="2"/>
        <v>4,3</v>
      </c>
      <c r="I22" t="str">
        <f t="shared" si="3"/>
        <v>4000,4000</v>
      </c>
      <c r="J22">
        <f t="shared" si="4"/>
        <v>40000</v>
      </c>
      <c r="K22">
        <v>2000</v>
      </c>
      <c r="L22">
        <v>5</v>
      </c>
      <c r="M22" t="str">
        <f t="shared" si="5"/>
        <v>1000,500000|10010030,5</v>
      </c>
    </row>
    <row r="23" spans="1:13" x14ac:dyDescent="0.2">
      <c r="A23">
        <v>20</v>
      </c>
      <c r="B23">
        <v>3</v>
      </c>
      <c r="C23">
        <v>2</v>
      </c>
      <c r="D23">
        <f t="shared" si="0"/>
        <v>6000</v>
      </c>
      <c r="E23">
        <f t="shared" si="1"/>
        <v>90</v>
      </c>
      <c r="F23" t="str">
        <f ca="1">VLOOKUP(IF(B23=1,RANDBETWEEN(1,40),IF(B23=2,RANDBETWEEN(1,40),IF(B23=3,RANDBETWEEN(1,40),IF(B23=4,RANDBETWEEN(101,140),IF(B23=5,RANDBETWEEN(101,140),IF(B23=6,RANDBETWEEN(101,140),IF(B23=7,RANDBETWEEN(101,140),IF(B23=8,RANDBETWEEN(201,214),IF(B23=9,RANDBETWEEN(201,214),IF(B23=10,RANDBETWEEN(201,214),0)))))))))),Sheet2!$A$2:$D$95,4,FALSE)</f>
        <v>Pet_10160</v>
      </c>
      <c r="G23" t="s">
        <v>205</v>
      </c>
      <c r="H23" t="str">
        <f t="shared" ca="1" si="2"/>
        <v>6,6</v>
      </c>
      <c r="I23" t="str">
        <f t="shared" si="3"/>
        <v>4000,4000</v>
      </c>
      <c r="J23">
        <f t="shared" si="4"/>
        <v>40000</v>
      </c>
      <c r="K23">
        <v>2000</v>
      </c>
      <c r="L23">
        <v>5</v>
      </c>
      <c r="M23" t="str">
        <f t="shared" si="5"/>
        <v>1000,500000|10010030,5</v>
      </c>
    </row>
    <row r="24" spans="1:13" x14ac:dyDescent="0.2">
      <c r="A24">
        <v>21</v>
      </c>
      <c r="B24">
        <v>3</v>
      </c>
      <c r="C24">
        <v>2</v>
      </c>
      <c r="D24">
        <f t="shared" si="0"/>
        <v>6000</v>
      </c>
      <c r="E24">
        <f t="shared" si="1"/>
        <v>90</v>
      </c>
      <c r="F24" t="str">
        <f ca="1">VLOOKUP(IF(B24=1,RANDBETWEEN(1,40),IF(B24=2,RANDBETWEEN(1,40),IF(B24=3,RANDBETWEEN(1,40),IF(B24=4,RANDBETWEEN(101,140),IF(B24=5,RANDBETWEEN(101,140),IF(B24=6,RANDBETWEEN(101,140),IF(B24=7,RANDBETWEEN(101,140),IF(B24=8,RANDBETWEEN(201,214),IF(B24=9,RANDBETWEEN(201,214),IF(B24=10,RANDBETWEEN(201,214),0)))))))))),Sheet2!$A$2:$D$95,4,FALSE)</f>
        <v>Pet_10090</v>
      </c>
      <c r="G24" t="s">
        <v>225</v>
      </c>
      <c r="H24" t="str">
        <f t="shared" ca="1" si="2"/>
        <v>6,1</v>
      </c>
      <c r="I24" t="str">
        <f t="shared" si="3"/>
        <v>4000,4000</v>
      </c>
      <c r="J24">
        <f t="shared" si="4"/>
        <v>40000</v>
      </c>
      <c r="K24">
        <v>2000</v>
      </c>
      <c r="L24">
        <v>5</v>
      </c>
      <c r="M24" t="str">
        <f t="shared" si="5"/>
        <v>1000,500000|10010030,5</v>
      </c>
    </row>
    <row r="25" spans="1:13" x14ac:dyDescent="0.2">
      <c r="A25">
        <v>22</v>
      </c>
      <c r="B25">
        <v>4</v>
      </c>
      <c r="C25">
        <v>2</v>
      </c>
      <c r="D25">
        <f t="shared" si="0"/>
        <v>4500</v>
      </c>
      <c r="E25">
        <f t="shared" si="1"/>
        <v>120</v>
      </c>
      <c r="F25" t="str">
        <f ca="1">VLOOKUP(IF(B25=1,RANDBETWEEN(1,40),IF(B25=2,RANDBETWEEN(1,40),IF(B25=3,RANDBETWEEN(1,40),IF(B25=4,RANDBETWEEN(101,140),IF(B25=5,RANDBETWEEN(101,140),IF(B25=6,RANDBETWEEN(101,140),IF(B25=7,RANDBETWEEN(101,140),IF(B25=8,RANDBETWEEN(201,214),IF(B25=9,RANDBETWEEN(201,214),IF(B25=10,RANDBETWEEN(201,214),0)))))))))),Sheet2!$A$2:$D$95,4,FALSE)</f>
        <v>Pet_10391</v>
      </c>
      <c r="G25" t="s">
        <v>225</v>
      </c>
      <c r="H25" t="str">
        <f t="shared" ca="1" si="2"/>
        <v>5,2,3</v>
      </c>
      <c r="I25" t="str">
        <f t="shared" si="3"/>
        <v>3000,3000,2000</v>
      </c>
      <c r="J25">
        <f t="shared" si="4"/>
        <v>80000</v>
      </c>
      <c r="K25">
        <v>2000</v>
      </c>
      <c r="L25">
        <v>5</v>
      </c>
      <c r="M25" t="str">
        <f t="shared" si="5"/>
        <v>1000,1000000|10010020,5|10010120,5</v>
      </c>
    </row>
    <row r="26" spans="1:13" x14ac:dyDescent="0.2">
      <c r="A26">
        <v>23</v>
      </c>
      <c r="B26">
        <v>4</v>
      </c>
      <c r="C26">
        <v>2</v>
      </c>
      <c r="D26">
        <f t="shared" si="0"/>
        <v>4500</v>
      </c>
      <c r="E26">
        <f t="shared" si="1"/>
        <v>120</v>
      </c>
      <c r="F26" t="str">
        <f ca="1">VLOOKUP(IF(B26=1,RANDBETWEEN(1,40),IF(B26=2,RANDBETWEEN(1,40),IF(B26=3,RANDBETWEEN(1,40),IF(B26=4,RANDBETWEEN(101,140),IF(B26=5,RANDBETWEEN(101,140),IF(B26=6,RANDBETWEEN(101,140),IF(B26=7,RANDBETWEEN(101,140),IF(B26=8,RANDBETWEEN(201,214),IF(B26=9,RANDBETWEEN(201,214),IF(B26=10,RANDBETWEEN(201,214),0)))))))))),Sheet2!$A$2:$D$95,4,FALSE)</f>
        <v>Pet_10171</v>
      </c>
      <c r="G26" t="s">
        <v>245</v>
      </c>
      <c r="H26" t="str">
        <f t="shared" ca="1" si="2"/>
        <v>1,5,3</v>
      </c>
      <c r="I26" t="str">
        <f t="shared" si="3"/>
        <v>3000,3000,2000</v>
      </c>
      <c r="J26">
        <f t="shared" si="4"/>
        <v>80000</v>
      </c>
      <c r="K26">
        <v>2000</v>
      </c>
      <c r="L26">
        <v>5</v>
      </c>
      <c r="M26" t="str">
        <f t="shared" si="5"/>
        <v>1000,1000000|10010020,5|10010120,5</v>
      </c>
    </row>
    <row r="27" spans="1:13" x14ac:dyDescent="0.2">
      <c r="A27">
        <v>24</v>
      </c>
      <c r="B27">
        <v>4</v>
      </c>
      <c r="C27">
        <v>2</v>
      </c>
      <c r="D27">
        <f t="shared" si="0"/>
        <v>4500</v>
      </c>
      <c r="E27">
        <f t="shared" si="1"/>
        <v>120</v>
      </c>
      <c r="F27" t="str">
        <f ca="1">VLOOKUP(IF(B27=1,RANDBETWEEN(1,40),IF(B27=2,RANDBETWEEN(1,40),IF(B27=3,RANDBETWEEN(1,40),IF(B27=4,RANDBETWEEN(101,140),IF(B27=5,RANDBETWEEN(101,140),IF(B27=6,RANDBETWEEN(101,140),IF(B27=7,RANDBETWEEN(101,140),IF(B27=8,RANDBETWEEN(201,214),IF(B27=9,RANDBETWEEN(201,214),IF(B27=10,RANDBETWEEN(201,214),0)))))))))),Sheet2!$A$2:$D$95,4,FALSE)</f>
        <v>Pet_10061</v>
      </c>
      <c r="G27" t="s">
        <v>268</v>
      </c>
      <c r="H27" t="str">
        <f t="shared" ca="1" si="2"/>
        <v>6,4,4</v>
      </c>
      <c r="I27" t="str">
        <f t="shared" si="3"/>
        <v>3000,3000,2000</v>
      </c>
      <c r="J27">
        <f t="shared" si="4"/>
        <v>80000</v>
      </c>
      <c r="K27">
        <v>2000</v>
      </c>
      <c r="L27">
        <v>5</v>
      </c>
      <c r="M27" t="str">
        <f t="shared" si="5"/>
        <v>1000,1000000|10010020,5|10010120,5</v>
      </c>
    </row>
    <row r="28" spans="1:13" x14ac:dyDescent="0.2">
      <c r="A28">
        <v>25</v>
      </c>
      <c r="B28">
        <v>5</v>
      </c>
      <c r="C28">
        <v>2</v>
      </c>
      <c r="D28">
        <f t="shared" si="0"/>
        <v>3000</v>
      </c>
      <c r="E28">
        <f t="shared" si="1"/>
        <v>240</v>
      </c>
      <c r="F28" t="str">
        <f ca="1">VLOOKUP(IF(B28=1,RANDBETWEEN(1,40),IF(B28=2,RANDBETWEEN(1,40),IF(B28=3,RANDBETWEEN(1,40),IF(B28=4,RANDBETWEEN(101,140),IF(B28=5,RANDBETWEEN(101,140),IF(B28=6,RANDBETWEEN(101,140),IF(B28=7,RANDBETWEEN(101,140),IF(B28=8,RANDBETWEEN(201,214),IF(B28=9,RANDBETWEEN(201,214),IF(B28=10,RANDBETWEEN(201,214),0)))))))))),Sheet2!$A$2:$D$95,4,FALSE)</f>
        <v>Pet_10191</v>
      </c>
      <c r="G28" t="s">
        <v>261</v>
      </c>
      <c r="H28" t="str">
        <f t="shared" ca="1" si="2"/>
        <v>2,4,4</v>
      </c>
      <c r="I28" t="str">
        <f t="shared" si="3"/>
        <v>3000,3000,2000</v>
      </c>
      <c r="J28">
        <f t="shared" si="4"/>
        <v>120000</v>
      </c>
      <c r="K28">
        <v>2000</v>
      </c>
      <c r="L28">
        <v>5</v>
      </c>
      <c r="M28" t="str">
        <f t="shared" si="5"/>
        <v>1000,2000000|10010050,5|10010150,5</v>
      </c>
    </row>
    <row r="29" spans="1:13" x14ac:dyDescent="0.2">
      <c r="A29">
        <v>26</v>
      </c>
      <c r="B29">
        <v>5</v>
      </c>
      <c r="C29">
        <v>2</v>
      </c>
      <c r="D29">
        <f t="shared" si="0"/>
        <v>3000</v>
      </c>
      <c r="E29">
        <f t="shared" si="1"/>
        <v>240</v>
      </c>
      <c r="F29" t="str">
        <f ca="1">VLOOKUP(IF(B29=1,RANDBETWEEN(1,40),IF(B29=2,RANDBETWEEN(1,40),IF(B29=3,RANDBETWEEN(1,40),IF(B29=4,RANDBETWEEN(101,140),IF(B29=5,RANDBETWEEN(101,140),IF(B29=6,RANDBETWEEN(101,140),IF(B29=7,RANDBETWEEN(101,140),IF(B29=8,RANDBETWEEN(201,214),IF(B29=9,RANDBETWEEN(201,214),IF(B29=10,RANDBETWEEN(201,214),0)))))))))),Sheet2!$A$2:$D$95,4,FALSE)</f>
        <v>Pet_10451</v>
      </c>
      <c r="G29" t="s">
        <v>206</v>
      </c>
      <c r="H29" t="str">
        <f t="shared" ca="1" si="2"/>
        <v>3,4,3</v>
      </c>
      <c r="I29" t="str">
        <f t="shared" si="3"/>
        <v>3000,3000,2000</v>
      </c>
      <c r="J29">
        <f t="shared" si="4"/>
        <v>120000</v>
      </c>
      <c r="K29">
        <v>2000</v>
      </c>
      <c r="L29">
        <v>5</v>
      </c>
      <c r="M29" t="str">
        <f t="shared" si="5"/>
        <v>1000,2000000|10010050,5|10010150,5</v>
      </c>
    </row>
    <row r="30" spans="1:13" x14ac:dyDescent="0.2">
      <c r="A30">
        <v>27</v>
      </c>
      <c r="B30">
        <v>5</v>
      </c>
      <c r="C30">
        <v>2</v>
      </c>
      <c r="D30">
        <f t="shared" si="0"/>
        <v>3000</v>
      </c>
      <c r="E30">
        <f t="shared" si="1"/>
        <v>240</v>
      </c>
      <c r="F30" t="str">
        <f ca="1">VLOOKUP(IF(B30=1,RANDBETWEEN(1,40),IF(B30=2,RANDBETWEEN(1,40),IF(B30=3,RANDBETWEEN(1,40),IF(B30=4,RANDBETWEEN(101,140),IF(B30=5,RANDBETWEEN(101,140),IF(B30=6,RANDBETWEEN(101,140),IF(B30=7,RANDBETWEEN(101,140),IF(B30=8,RANDBETWEEN(201,214),IF(B30=9,RANDBETWEEN(201,214),IF(B30=10,RANDBETWEEN(201,214),0)))))))))),Sheet2!$A$2:$D$95,4,FALSE)</f>
        <v>Pet_10151</v>
      </c>
      <c r="G30" t="s">
        <v>244</v>
      </c>
      <c r="H30" t="str">
        <f t="shared" ca="1" si="2"/>
        <v>4,3,4</v>
      </c>
      <c r="I30" t="str">
        <f t="shared" si="3"/>
        <v>3000,3000,2000</v>
      </c>
      <c r="J30">
        <f t="shared" si="4"/>
        <v>120000</v>
      </c>
      <c r="K30">
        <v>2000</v>
      </c>
      <c r="L30">
        <v>5</v>
      </c>
      <c r="M30" t="str">
        <f t="shared" si="5"/>
        <v>1000,2000000|10010050,5|10010150,5</v>
      </c>
    </row>
    <row r="31" spans="1:13" x14ac:dyDescent="0.2">
      <c r="A31">
        <v>28</v>
      </c>
      <c r="B31">
        <v>1</v>
      </c>
      <c r="C31">
        <v>3</v>
      </c>
      <c r="D31">
        <f t="shared" si="0"/>
        <v>10000</v>
      </c>
      <c r="E31">
        <f t="shared" si="1"/>
        <v>30</v>
      </c>
      <c r="F31" t="str">
        <f ca="1">VLOOKUP(IF(B31=1,RANDBETWEEN(1,40),IF(B31=2,RANDBETWEEN(1,40),IF(B31=3,RANDBETWEEN(1,40),IF(B31=4,RANDBETWEEN(101,140),IF(B31=5,RANDBETWEEN(101,140),IF(B31=6,RANDBETWEEN(101,140),IF(B31=7,RANDBETWEEN(101,140),IF(B31=8,RANDBETWEEN(201,214),IF(B31=9,RANDBETWEEN(201,214),IF(B31=10,RANDBETWEEN(201,214),0)))))))))),Sheet2!$A$2:$D$95,4,FALSE)</f>
        <v>Pet_10620</v>
      </c>
      <c r="G31" t="s">
        <v>221</v>
      </c>
      <c r="H31" t="str">
        <f t="shared" ca="1" si="2"/>
        <v>6,6</v>
      </c>
      <c r="I31" t="str">
        <f t="shared" si="3"/>
        <v>4000,4000</v>
      </c>
      <c r="J31">
        <f t="shared" si="4"/>
        <v>10000</v>
      </c>
      <c r="K31">
        <v>2000</v>
      </c>
      <c r="L31">
        <v>5</v>
      </c>
      <c r="M31" t="str">
        <f t="shared" si="5"/>
        <v>1000,200000|10010010,5</v>
      </c>
    </row>
    <row r="32" spans="1:13" x14ac:dyDescent="0.2">
      <c r="A32">
        <v>29</v>
      </c>
      <c r="B32">
        <v>1</v>
      </c>
      <c r="C32">
        <v>3</v>
      </c>
      <c r="D32">
        <f t="shared" si="0"/>
        <v>10000</v>
      </c>
      <c r="E32">
        <f t="shared" si="1"/>
        <v>30</v>
      </c>
      <c r="F32" t="str">
        <f ca="1">VLOOKUP(IF(B32=1,RANDBETWEEN(1,40),IF(B32=2,RANDBETWEEN(1,40),IF(B32=3,RANDBETWEEN(1,40),IF(B32=4,RANDBETWEEN(101,140),IF(B32=5,RANDBETWEEN(101,140),IF(B32=6,RANDBETWEEN(101,140),IF(B32=7,RANDBETWEEN(101,140),IF(B32=8,RANDBETWEEN(201,214),IF(B32=9,RANDBETWEEN(201,214),IF(B32=10,RANDBETWEEN(201,214),0)))))))))),Sheet2!$A$2:$D$95,4,FALSE)</f>
        <v>Pet_10360</v>
      </c>
      <c r="G32" t="s">
        <v>203</v>
      </c>
      <c r="H32" t="str">
        <f t="shared" ca="1" si="2"/>
        <v>1,3</v>
      </c>
      <c r="I32" t="str">
        <f t="shared" si="3"/>
        <v>4000,4000</v>
      </c>
      <c r="J32">
        <f t="shared" si="4"/>
        <v>10000</v>
      </c>
      <c r="K32">
        <v>2000</v>
      </c>
      <c r="L32">
        <v>5</v>
      </c>
      <c r="M32" t="str">
        <f t="shared" si="5"/>
        <v>1000,200000|10010010,5</v>
      </c>
    </row>
    <row r="33" spans="1:13" x14ac:dyDescent="0.2">
      <c r="A33">
        <v>30</v>
      </c>
      <c r="B33">
        <v>1</v>
      </c>
      <c r="C33">
        <v>3</v>
      </c>
      <c r="D33">
        <f t="shared" si="0"/>
        <v>10000</v>
      </c>
      <c r="E33">
        <f t="shared" si="1"/>
        <v>30</v>
      </c>
      <c r="F33" t="str">
        <f ca="1">VLOOKUP(IF(B33=1,RANDBETWEEN(1,40),IF(B33=2,RANDBETWEEN(1,40),IF(B33=3,RANDBETWEEN(1,40),IF(B33=4,RANDBETWEEN(101,140),IF(B33=5,RANDBETWEEN(101,140),IF(B33=6,RANDBETWEEN(101,140),IF(B33=7,RANDBETWEEN(101,140),IF(B33=8,RANDBETWEEN(201,214),IF(B33=9,RANDBETWEEN(201,214),IF(B33=10,RANDBETWEEN(201,214),0)))))))))),Sheet2!$A$2:$D$95,4,FALSE)</f>
        <v>Pet_10380</v>
      </c>
      <c r="G33" t="s">
        <v>203</v>
      </c>
      <c r="H33" t="str">
        <f t="shared" ca="1" si="2"/>
        <v>3,6</v>
      </c>
      <c r="I33" t="str">
        <f t="shared" si="3"/>
        <v>4000,4000</v>
      </c>
      <c r="J33">
        <f t="shared" si="4"/>
        <v>10000</v>
      </c>
      <c r="K33">
        <v>2000</v>
      </c>
      <c r="L33">
        <v>5</v>
      </c>
      <c r="M33" t="str">
        <f t="shared" si="5"/>
        <v>1000,200000|10010010,5</v>
      </c>
    </row>
    <row r="34" spans="1:13" x14ac:dyDescent="0.2">
      <c r="A34">
        <v>31</v>
      </c>
      <c r="B34">
        <v>2</v>
      </c>
      <c r="C34">
        <v>3</v>
      </c>
      <c r="D34">
        <f t="shared" si="0"/>
        <v>8000</v>
      </c>
      <c r="E34">
        <f t="shared" si="1"/>
        <v>60</v>
      </c>
      <c r="F34" t="str">
        <f ca="1">VLOOKUP(IF(B34=1,RANDBETWEEN(1,40),IF(B34=2,RANDBETWEEN(1,40),IF(B34=3,RANDBETWEEN(1,40),IF(B34=4,RANDBETWEEN(101,140),IF(B34=5,RANDBETWEEN(101,140),IF(B34=6,RANDBETWEEN(101,140),IF(B34=7,RANDBETWEEN(101,140),IF(B34=8,RANDBETWEEN(201,214),IF(B34=9,RANDBETWEEN(201,214),IF(B34=10,RANDBETWEEN(201,214),0)))))))))),Sheet2!$A$2:$D$95,4,FALSE)</f>
        <v>Pet_10570</v>
      </c>
      <c r="G34" t="s">
        <v>251</v>
      </c>
      <c r="H34" t="str">
        <f t="shared" ca="1" si="2"/>
        <v>4,5</v>
      </c>
      <c r="I34" t="str">
        <f t="shared" si="3"/>
        <v>4000,4000</v>
      </c>
      <c r="J34">
        <f t="shared" si="4"/>
        <v>20000</v>
      </c>
      <c r="K34">
        <v>2000</v>
      </c>
      <c r="L34">
        <v>5</v>
      </c>
      <c r="M34" t="str">
        <f t="shared" si="5"/>
        <v>1000,300000|10010110,5</v>
      </c>
    </row>
    <row r="35" spans="1:13" x14ac:dyDescent="0.2">
      <c r="A35">
        <v>32</v>
      </c>
      <c r="B35">
        <v>2</v>
      </c>
      <c r="C35">
        <v>3</v>
      </c>
      <c r="D35">
        <f t="shared" si="0"/>
        <v>8000</v>
      </c>
      <c r="E35">
        <f t="shared" si="1"/>
        <v>60</v>
      </c>
      <c r="F35" t="str">
        <f ca="1">VLOOKUP(IF(B35=1,RANDBETWEEN(1,40),IF(B35=2,RANDBETWEEN(1,40),IF(B35=3,RANDBETWEEN(1,40),IF(B35=4,RANDBETWEEN(101,140),IF(B35=5,RANDBETWEEN(101,140),IF(B35=6,RANDBETWEEN(101,140),IF(B35=7,RANDBETWEEN(101,140),IF(B35=8,RANDBETWEEN(201,214),IF(B35=9,RANDBETWEEN(201,214),IF(B35=10,RANDBETWEEN(201,214),0)))))))))),Sheet2!$A$2:$D$95,4,FALSE)</f>
        <v>Pet_10380</v>
      </c>
      <c r="G35" t="s">
        <v>189</v>
      </c>
      <c r="H35" t="str">
        <f t="shared" ca="1" si="2"/>
        <v>4,1</v>
      </c>
      <c r="I35" t="str">
        <f t="shared" si="3"/>
        <v>4000,4000</v>
      </c>
      <c r="J35">
        <f t="shared" si="4"/>
        <v>20000</v>
      </c>
      <c r="K35">
        <v>2000</v>
      </c>
      <c r="L35">
        <v>5</v>
      </c>
      <c r="M35" t="str">
        <f t="shared" si="5"/>
        <v>1000,300000|10010110,5</v>
      </c>
    </row>
    <row r="36" spans="1:13" x14ac:dyDescent="0.2">
      <c r="A36">
        <v>33</v>
      </c>
      <c r="B36">
        <v>2</v>
      </c>
      <c r="C36">
        <v>3</v>
      </c>
      <c r="D36">
        <f t="shared" si="0"/>
        <v>8000</v>
      </c>
      <c r="E36">
        <f t="shared" si="1"/>
        <v>60</v>
      </c>
      <c r="F36" t="str">
        <f ca="1">VLOOKUP(IF(B36=1,RANDBETWEEN(1,40),IF(B36=2,RANDBETWEEN(1,40),IF(B36=3,RANDBETWEEN(1,40),IF(B36=4,RANDBETWEEN(101,140),IF(B36=5,RANDBETWEEN(101,140),IF(B36=6,RANDBETWEEN(101,140),IF(B36=7,RANDBETWEEN(101,140),IF(B36=8,RANDBETWEEN(201,214),IF(B36=9,RANDBETWEEN(201,214),IF(B36=10,RANDBETWEEN(201,214),0)))))))))),Sheet2!$A$2:$D$95,4,FALSE)</f>
        <v>Pet_10060</v>
      </c>
      <c r="G36" t="s">
        <v>213</v>
      </c>
      <c r="H36" t="str">
        <f t="shared" ca="1" si="2"/>
        <v>3,5</v>
      </c>
      <c r="I36" t="str">
        <f t="shared" si="3"/>
        <v>4000,4000</v>
      </c>
      <c r="J36">
        <f t="shared" si="4"/>
        <v>20000</v>
      </c>
      <c r="K36">
        <v>2000</v>
      </c>
      <c r="L36">
        <v>5</v>
      </c>
      <c r="M36" t="str">
        <f t="shared" si="5"/>
        <v>1000,300000|10010110,5</v>
      </c>
    </row>
    <row r="37" spans="1:13" x14ac:dyDescent="0.2">
      <c r="A37">
        <v>34</v>
      </c>
      <c r="B37">
        <v>3</v>
      </c>
      <c r="C37">
        <v>3</v>
      </c>
      <c r="D37">
        <f t="shared" si="0"/>
        <v>6000</v>
      </c>
      <c r="E37">
        <f t="shared" si="1"/>
        <v>90</v>
      </c>
      <c r="F37" t="str">
        <f ca="1">VLOOKUP(IF(B37=1,RANDBETWEEN(1,40),IF(B37=2,RANDBETWEEN(1,40),IF(B37=3,RANDBETWEEN(1,40),IF(B37=4,RANDBETWEEN(101,140),IF(B37=5,RANDBETWEEN(101,140),IF(B37=6,RANDBETWEEN(101,140),IF(B37=7,RANDBETWEEN(101,140),IF(B37=8,RANDBETWEEN(201,214),IF(B37=9,RANDBETWEEN(201,214),IF(B37=10,RANDBETWEEN(201,214),0)))))))))),Sheet2!$A$2:$D$95,4,FALSE)</f>
        <v>Pet_10270</v>
      </c>
      <c r="G37" t="s">
        <v>219</v>
      </c>
      <c r="H37" t="str">
        <f t="shared" ca="1" si="2"/>
        <v>5,1</v>
      </c>
      <c r="I37" t="str">
        <f t="shared" si="3"/>
        <v>4000,4000</v>
      </c>
      <c r="J37">
        <f t="shared" si="4"/>
        <v>40000</v>
      </c>
      <c r="K37">
        <v>2000</v>
      </c>
      <c r="L37">
        <v>5</v>
      </c>
      <c r="M37" t="str">
        <f t="shared" si="5"/>
        <v>1000,500000|10010030,5</v>
      </c>
    </row>
    <row r="38" spans="1:13" x14ac:dyDescent="0.2">
      <c r="A38">
        <v>35</v>
      </c>
      <c r="B38">
        <v>3</v>
      </c>
      <c r="C38">
        <v>3</v>
      </c>
      <c r="D38">
        <f t="shared" si="0"/>
        <v>6000</v>
      </c>
      <c r="E38">
        <f t="shared" si="1"/>
        <v>90</v>
      </c>
      <c r="F38" t="str">
        <f ca="1">VLOOKUP(IF(B38=1,RANDBETWEEN(1,40),IF(B38=2,RANDBETWEEN(1,40),IF(B38=3,RANDBETWEEN(1,40),IF(B38=4,RANDBETWEEN(101,140),IF(B38=5,RANDBETWEEN(101,140),IF(B38=6,RANDBETWEEN(101,140),IF(B38=7,RANDBETWEEN(101,140),IF(B38=8,RANDBETWEEN(201,214),IF(B38=9,RANDBETWEEN(201,214),IF(B38=10,RANDBETWEEN(201,214),0)))))))))),Sheet2!$A$2:$D$95,4,FALSE)</f>
        <v>Pet_10450</v>
      </c>
      <c r="G38" t="s">
        <v>248</v>
      </c>
      <c r="H38" t="str">
        <f t="shared" ca="1" si="2"/>
        <v>6,5</v>
      </c>
      <c r="I38" t="str">
        <f t="shared" si="3"/>
        <v>4000,4000</v>
      </c>
      <c r="J38">
        <f t="shared" si="4"/>
        <v>40000</v>
      </c>
      <c r="K38">
        <v>2000</v>
      </c>
      <c r="L38">
        <v>5</v>
      </c>
      <c r="M38" t="str">
        <f t="shared" si="5"/>
        <v>1000,500000|10010030,5</v>
      </c>
    </row>
    <row r="39" spans="1:13" x14ac:dyDescent="0.2">
      <c r="A39">
        <v>36</v>
      </c>
      <c r="B39">
        <v>3</v>
      </c>
      <c r="C39">
        <v>3</v>
      </c>
      <c r="D39">
        <f t="shared" si="0"/>
        <v>6000</v>
      </c>
      <c r="E39">
        <f t="shared" si="1"/>
        <v>90</v>
      </c>
      <c r="F39" t="str">
        <f ca="1">VLOOKUP(IF(B39=1,RANDBETWEEN(1,40),IF(B39=2,RANDBETWEEN(1,40),IF(B39=3,RANDBETWEEN(1,40),IF(B39=4,RANDBETWEEN(101,140),IF(B39=5,RANDBETWEEN(101,140),IF(B39=6,RANDBETWEEN(101,140),IF(B39=7,RANDBETWEEN(101,140),IF(B39=8,RANDBETWEEN(201,214),IF(B39=9,RANDBETWEEN(201,214),IF(B39=10,RANDBETWEEN(201,214),0)))))))))),Sheet2!$A$2:$D$95,4,FALSE)</f>
        <v>Pet_10330</v>
      </c>
      <c r="G39" t="s">
        <v>227</v>
      </c>
      <c r="H39" t="str">
        <f t="shared" ca="1" si="2"/>
        <v>3,6</v>
      </c>
      <c r="I39" t="str">
        <f t="shared" si="3"/>
        <v>4000,4000</v>
      </c>
      <c r="J39">
        <f t="shared" si="4"/>
        <v>40000</v>
      </c>
      <c r="K39">
        <v>2000</v>
      </c>
      <c r="L39">
        <v>5</v>
      </c>
      <c r="M39" t="str">
        <f t="shared" si="5"/>
        <v>1000,500000|10010030,5</v>
      </c>
    </row>
    <row r="40" spans="1:13" x14ac:dyDescent="0.2">
      <c r="A40">
        <v>37</v>
      </c>
      <c r="B40">
        <v>4</v>
      </c>
      <c r="C40">
        <v>3</v>
      </c>
      <c r="D40">
        <f t="shared" si="0"/>
        <v>4500</v>
      </c>
      <c r="E40">
        <f t="shared" si="1"/>
        <v>120</v>
      </c>
      <c r="F40" t="str">
        <f ca="1">VLOOKUP(IF(B40=1,RANDBETWEEN(1,40),IF(B40=2,RANDBETWEEN(1,40),IF(B40=3,RANDBETWEEN(1,40),IF(B40=4,RANDBETWEEN(101,140),IF(B40=5,RANDBETWEEN(101,140),IF(B40=6,RANDBETWEEN(101,140),IF(B40=7,RANDBETWEEN(101,140),IF(B40=8,RANDBETWEEN(201,214),IF(B40=9,RANDBETWEEN(201,214),IF(B40=10,RANDBETWEEN(201,214),0)))))))))),Sheet2!$A$2:$D$95,4,FALSE)</f>
        <v>Pet_10621</v>
      </c>
      <c r="G40" t="s">
        <v>227</v>
      </c>
      <c r="H40" t="str">
        <f t="shared" ca="1" si="2"/>
        <v>2,2,1</v>
      </c>
      <c r="I40" t="str">
        <f t="shared" si="3"/>
        <v>3000,3000,2000</v>
      </c>
      <c r="J40">
        <f t="shared" si="4"/>
        <v>80000</v>
      </c>
      <c r="K40">
        <v>2000</v>
      </c>
      <c r="L40">
        <v>5</v>
      </c>
      <c r="M40" t="str">
        <f t="shared" si="5"/>
        <v>1000,1000000|10010020,5|10010120,5</v>
      </c>
    </row>
    <row r="41" spans="1:13" x14ac:dyDescent="0.2">
      <c r="A41">
        <v>38</v>
      </c>
      <c r="B41">
        <v>4</v>
      </c>
      <c r="C41">
        <v>3</v>
      </c>
      <c r="D41">
        <f t="shared" si="0"/>
        <v>4500</v>
      </c>
      <c r="E41">
        <f t="shared" si="1"/>
        <v>120</v>
      </c>
      <c r="F41" t="str">
        <f ca="1">VLOOKUP(IF(B41=1,RANDBETWEEN(1,40),IF(B41=2,RANDBETWEEN(1,40),IF(B41=3,RANDBETWEEN(1,40),IF(B41=4,RANDBETWEEN(101,140),IF(B41=5,RANDBETWEEN(101,140),IF(B41=6,RANDBETWEEN(101,140),IF(B41=7,RANDBETWEEN(101,140),IF(B41=8,RANDBETWEEN(201,214),IF(B41=9,RANDBETWEEN(201,214),IF(B41=10,RANDBETWEEN(201,214),0)))))))))),Sheet2!$A$2:$D$95,4,FALSE)</f>
        <v>Pet_10561</v>
      </c>
      <c r="G41" t="s">
        <v>229</v>
      </c>
      <c r="H41" t="str">
        <f t="shared" ca="1" si="2"/>
        <v>5,6,1</v>
      </c>
      <c r="I41" t="str">
        <f t="shared" si="3"/>
        <v>3000,3000,2000</v>
      </c>
      <c r="J41">
        <f t="shared" si="4"/>
        <v>80000</v>
      </c>
      <c r="K41">
        <v>2000</v>
      </c>
      <c r="L41">
        <v>5</v>
      </c>
      <c r="M41" t="str">
        <f t="shared" si="5"/>
        <v>1000,1000000|10010020,5|10010120,5</v>
      </c>
    </row>
    <row r="42" spans="1:13" x14ac:dyDescent="0.2">
      <c r="A42">
        <v>39</v>
      </c>
      <c r="B42">
        <v>4</v>
      </c>
      <c r="C42">
        <v>3</v>
      </c>
      <c r="D42">
        <f t="shared" si="0"/>
        <v>4500</v>
      </c>
      <c r="E42">
        <f t="shared" si="1"/>
        <v>120</v>
      </c>
      <c r="F42" t="str">
        <f ca="1">VLOOKUP(IF(B42=1,RANDBETWEEN(1,40),IF(B42=2,RANDBETWEEN(1,40),IF(B42=3,RANDBETWEEN(1,40),IF(B42=4,RANDBETWEEN(101,140),IF(B42=5,RANDBETWEEN(101,140),IF(B42=6,RANDBETWEEN(101,140),IF(B42=7,RANDBETWEEN(101,140),IF(B42=8,RANDBETWEEN(201,214),IF(B42=9,RANDBETWEEN(201,214),IF(B42=10,RANDBETWEEN(201,214),0)))))))))),Sheet2!$A$2:$D$95,4,FALSE)</f>
        <v>Pet_10581</v>
      </c>
      <c r="G42" t="s">
        <v>259</v>
      </c>
      <c r="H42" t="str">
        <f t="shared" ca="1" si="2"/>
        <v>5,1,6</v>
      </c>
      <c r="I42" t="str">
        <f t="shared" si="3"/>
        <v>3000,3000,2000</v>
      </c>
      <c r="J42">
        <f t="shared" si="4"/>
        <v>80000</v>
      </c>
      <c r="K42">
        <v>2000</v>
      </c>
      <c r="L42">
        <v>5</v>
      </c>
      <c r="M42" t="str">
        <f t="shared" si="5"/>
        <v>1000,1000000|10010020,5|10010120,5</v>
      </c>
    </row>
    <row r="43" spans="1:13" x14ac:dyDescent="0.2">
      <c r="A43">
        <v>40</v>
      </c>
      <c r="B43">
        <v>5</v>
      </c>
      <c r="C43">
        <v>3</v>
      </c>
      <c r="D43">
        <f t="shared" si="0"/>
        <v>3000</v>
      </c>
      <c r="E43">
        <f t="shared" si="1"/>
        <v>240</v>
      </c>
      <c r="F43" t="str">
        <f ca="1">VLOOKUP(IF(B43=1,RANDBETWEEN(1,40),IF(B43=2,RANDBETWEEN(1,40),IF(B43=3,RANDBETWEEN(1,40),IF(B43=4,RANDBETWEEN(101,140),IF(B43=5,RANDBETWEEN(101,140),IF(B43=6,RANDBETWEEN(101,140),IF(B43=7,RANDBETWEEN(101,140),IF(B43=8,RANDBETWEEN(201,214),IF(B43=9,RANDBETWEEN(201,214),IF(B43=10,RANDBETWEEN(201,214),0)))))))))),Sheet2!$A$2:$D$95,4,FALSE)</f>
        <v>Pet_10511</v>
      </c>
      <c r="G43" t="s">
        <v>191</v>
      </c>
      <c r="H43" t="str">
        <f t="shared" ca="1" si="2"/>
        <v>1,2,4</v>
      </c>
      <c r="I43" t="str">
        <f t="shared" si="3"/>
        <v>3000,3000,2000</v>
      </c>
      <c r="J43">
        <f t="shared" si="4"/>
        <v>120000</v>
      </c>
      <c r="K43">
        <v>2000</v>
      </c>
      <c r="L43">
        <v>5</v>
      </c>
      <c r="M43" t="str">
        <f t="shared" si="5"/>
        <v>1000,2000000|10010050,5|10010150,5</v>
      </c>
    </row>
    <row r="44" spans="1:13" x14ac:dyDescent="0.2">
      <c r="A44">
        <v>41</v>
      </c>
      <c r="B44">
        <v>5</v>
      </c>
      <c r="C44">
        <v>3</v>
      </c>
      <c r="D44">
        <f t="shared" si="0"/>
        <v>3000</v>
      </c>
      <c r="E44">
        <f t="shared" si="1"/>
        <v>240</v>
      </c>
      <c r="F44" t="str">
        <f ca="1">VLOOKUP(IF(B44=1,RANDBETWEEN(1,40),IF(B44=2,RANDBETWEEN(1,40),IF(B44=3,RANDBETWEEN(1,40),IF(B44=4,RANDBETWEEN(101,140),IF(B44=5,RANDBETWEEN(101,140),IF(B44=6,RANDBETWEEN(101,140),IF(B44=7,RANDBETWEEN(101,140),IF(B44=8,RANDBETWEEN(201,214),IF(B44=9,RANDBETWEEN(201,214),IF(B44=10,RANDBETWEEN(201,214),0)))))))))),Sheet2!$A$2:$D$95,4,FALSE)</f>
        <v>Pet_10391</v>
      </c>
      <c r="G44" t="s">
        <v>233</v>
      </c>
      <c r="H44" t="str">
        <f t="shared" ca="1" si="2"/>
        <v>6,6,6</v>
      </c>
      <c r="I44" t="str">
        <f t="shared" si="3"/>
        <v>3000,3000,2000</v>
      </c>
      <c r="J44">
        <f t="shared" si="4"/>
        <v>120000</v>
      </c>
      <c r="K44">
        <v>2000</v>
      </c>
      <c r="L44">
        <v>5</v>
      </c>
      <c r="M44" t="str">
        <f t="shared" si="5"/>
        <v>1000,2000000|10010050,5|10010150,5</v>
      </c>
    </row>
    <row r="45" spans="1:13" x14ac:dyDescent="0.2">
      <c r="A45">
        <v>42</v>
      </c>
      <c r="B45">
        <v>5</v>
      </c>
      <c r="C45">
        <v>3</v>
      </c>
      <c r="D45">
        <f t="shared" si="0"/>
        <v>3000</v>
      </c>
      <c r="E45">
        <f t="shared" si="1"/>
        <v>240</v>
      </c>
      <c r="F45" t="str">
        <f ca="1">VLOOKUP(IF(B45=1,RANDBETWEEN(1,40),IF(B45=2,RANDBETWEEN(1,40),IF(B45=3,RANDBETWEEN(1,40),IF(B45=4,RANDBETWEEN(101,140),IF(B45=5,RANDBETWEEN(101,140),IF(B45=6,RANDBETWEEN(101,140),IF(B45=7,RANDBETWEEN(101,140),IF(B45=8,RANDBETWEEN(201,214),IF(B45=9,RANDBETWEEN(201,214),IF(B45=10,RANDBETWEEN(201,214),0)))))))))),Sheet2!$A$2:$D$95,4,FALSE)</f>
        <v>Pet_10351</v>
      </c>
      <c r="G45" t="s">
        <v>265</v>
      </c>
      <c r="H45" t="str">
        <f t="shared" ca="1" si="2"/>
        <v>2,1,5</v>
      </c>
      <c r="I45" t="str">
        <f t="shared" si="3"/>
        <v>3000,3000,2000</v>
      </c>
      <c r="J45">
        <f t="shared" si="4"/>
        <v>120000</v>
      </c>
      <c r="K45">
        <v>2000</v>
      </c>
      <c r="L45">
        <v>5</v>
      </c>
      <c r="M45" t="str">
        <f t="shared" si="5"/>
        <v>1000,2000000|10010050,5|10010150,5</v>
      </c>
    </row>
    <row r="46" spans="1:13" x14ac:dyDescent="0.2">
      <c r="A46">
        <v>43</v>
      </c>
      <c r="B46">
        <v>6</v>
      </c>
      <c r="C46">
        <v>3</v>
      </c>
      <c r="D46">
        <f t="shared" si="0"/>
        <v>2000</v>
      </c>
      <c r="E46">
        <f t="shared" si="1"/>
        <v>360</v>
      </c>
      <c r="F46" t="str">
        <f ca="1">VLOOKUP(IF(B46=1,RANDBETWEEN(1,40),IF(B46=2,RANDBETWEEN(1,40),IF(B46=3,RANDBETWEEN(1,40),IF(B46=4,RANDBETWEEN(101,140),IF(B46=5,RANDBETWEEN(101,140),IF(B46=6,RANDBETWEEN(101,140),IF(B46=7,RANDBETWEEN(101,140),IF(B46=8,RANDBETWEEN(201,214),IF(B46=9,RANDBETWEEN(201,214),IF(B46=10,RANDBETWEEN(201,214),0)))))))))),Sheet2!$A$2:$D$95,4,FALSE)</f>
        <v>Pet_10181</v>
      </c>
      <c r="G46" t="s">
        <v>224</v>
      </c>
      <c r="H46" t="str">
        <f t="shared" ca="1" si="2"/>
        <v>3,4,5</v>
      </c>
      <c r="I46" t="str">
        <f t="shared" si="3"/>
        <v>3000,3000,2000</v>
      </c>
      <c r="J46">
        <f t="shared" si="4"/>
        <v>200000</v>
      </c>
      <c r="K46">
        <v>2000</v>
      </c>
      <c r="L46">
        <v>5</v>
      </c>
      <c r="M46" t="str">
        <f t="shared" si="5"/>
        <v>1000,5000000|10020320,1</v>
      </c>
    </row>
    <row r="47" spans="1:13" x14ac:dyDescent="0.2">
      <c r="A47">
        <v>44</v>
      </c>
      <c r="B47">
        <v>6</v>
      </c>
      <c r="C47">
        <v>3</v>
      </c>
      <c r="D47">
        <f t="shared" si="0"/>
        <v>2000</v>
      </c>
      <c r="E47">
        <f t="shared" si="1"/>
        <v>360</v>
      </c>
      <c r="F47" t="str">
        <f ca="1">VLOOKUP(IF(B47=1,RANDBETWEEN(1,40),IF(B47=2,RANDBETWEEN(1,40),IF(B47=3,RANDBETWEEN(1,40),IF(B47=4,RANDBETWEEN(101,140),IF(B47=5,RANDBETWEEN(101,140),IF(B47=6,RANDBETWEEN(101,140),IF(B47=7,RANDBETWEEN(101,140),IF(B47=8,RANDBETWEEN(201,214),IF(B47=9,RANDBETWEEN(201,214),IF(B47=10,RANDBETWEEN(201,214),0)))))))))),Sheet2!$A$2:$D$95,4,FALSE)</f>
        <v>Pet_10251</v>
      </c>
      <c r="G47" t="s">
        <v>218</v>
      </c>
      <c r="H47" t="str">
        <f t="shared" ca="1" si="2"/>
        <v>2,6,6</v>
      </c>
      <c r="I47" t="str">
        <f t="shared" si="3"/>
        <v>3000,3000,2000</v>
      </c>
      <c r="J47">
        <f t="shared" si="4"/>
        <v>200000</v>
      </c>
      <c r="K47">
        <v>2000</v>
      </c>
      <c r="L47">
        <v>5</v>
      </c>
      <c r="M47" t="str">
        <f t="shared" si="5"/>
        <v>1000,5000000|10020320,1</v>
      </c>
    </row>
    <row r="48" spans="1:13" x14ac:dyDescent="0.2">
      <c r="A48">
        <v>45</v>
      </c>
      <c r="B48">
        <v>6</v>
      </c>
      <c r="C48">
        <v>3</v>
      </c>
      <c r="D48">
        <f t="shared" si="0"/>
        <v>2000</v>
      </c>
      <c r="E48">
        <f t="shared" si="1"/>
        <v>360</v>
      </c>
      <c r="F48" t="str">
        <f ca="1">VLOOKUP(IF(B48=1,RANDBETWEEN(1,40),IF(B48=2,RANDBETWEEN(1,40),IF(B48=3,RANDBETWEEN(1,40),IF(B48=4,RANDBETWEEN(101,140),IF(B48=5,RANDBETWEEN(101,140),IF(B48=6,RANDBETWEEN(101,140),IF(B48=7,RANDBETWEEN(101,140),IF(B48=8,RANDBETWEEN(201,214),IF(B48=9,RANDBETWEEN(201,214),IF(B48=10,RANDBETWEEN(201,214),0)))))))))),Sheet2!$A$2:$D$95,4,FALSE)</f>
        <v>Pet_10421</v>
      </c>
      <c r="G48" t="s">
        <v>262</v>
      </c>
      <c r="H48" t="str">
        <f t="shared" ca="1" si="2"/>
        <v>5,5,5</v>
      </c>
      <c r="I48" t="str">
        <f t="shared" si="3"/>
        <v>3000,3000,2000</v>
      </c>
      <c r="J48">
        <f t="shared" si="4"/>
        <v>200000</v>
      </c>
      <c r="K48">
        <v>2000</v>
      </c>
      <c r="L48">
        <v>5</v>
      </c>
      <c r="M48" t="str">
        <f t="shared" si="5"/>
        <v>1000,5000000|10020320,1</v>
      </c>
    </row>
    <row r="49" spans="1:13" x14ac:dyDescent="0.2">
      <c r="A49">
        <v>46</v>
      </c>
      <c r="B49">
        <v>7</v>
      </c>
      <c r="C49">
        <v>4</v>
      </c>
      <c r="D49">
        <f t="shared" si="0"/>
        <v>1400</v>
      </c>
      <c r="E49">
        <f t="shared" si="1"/>
        <v>480</v>
      </c>
      <c r="F49" t="str">
        <f ca="1">VLOOKUP(IF(B49=1,RANDBETWEEN(1,40),IF(B49=2,RANDBETWEEN(1,40),IF(B49=3,RANDBETWEEN(1,40),IF(B49=4,RANDBETWEEN(101,140),IF(B49=5,RANDBETWEEN(101,140),IF(B49=6,RANDBETWEEN(101,140),IF(B49=7,RANDBETWEEN(101,140),IF(B49=8,RANDBETWEEN(201,214),IF(B49=9,RANDBETWEEN(201,214),IF(B49=10,RANDBETWEEN(201,214),0)))))))))),Sheet2!$A$2:$D$95,4,FALSE)</f>
        <v>Pet_10581</v>
      </c>
      <c r="G49" t="s">
        <v>187</v>
      </c>
      <c r="H49" t="str">
        <f t="shared" ca="1" si="2"/>
        <v>1,6,1</v>
      </c>
      <c r="I49" t="str">
        <f t="shared" si="3"/>
        <v>3000,3000,2000</v>
      </c>
      <c r="J49">
        <f t="shared" si="4"/>
        <v>400000</v>
      </c>
      <c r="K49">
        <v>2000</v>
      </c>
      <c r="L49">
        <v>5</v>
      </c>
      <c r="M49" t="str">
        <f t="shared" si="5"/>
        <v>1000,10000000|10020330,1</v>
      </c>
    </row>
    <row r="50" spans="1:13" x14ac:dyDescent="0.2">
      <c r="A50">
        <v>47</v>
      </c>
      <c r="B50">
        <v>7</v>
      </c>
      <c r="C50">
        <v>4</v>
      </c>
      <c r="D50">
        <f t="shared" si="0"/>
        <v>1400</v>
      </c>
      <c r="E50">
        <f t="shared" si="1"/>
        <v>480</v>
      </c>
      <c r="F50" t="str">
        <f ca="1">VLOOKUP(IF(B50=1,RANDBETWEEN(1,40),IF(B50=2,RANDBETWEEN(1,40),IF(B50=3,RANDBETWEEN(1,40),IF(B50=4,RANDBETWEEN(101,140),IF(B50=5,RANDBETWEEN(101,140),IF(B50=6,RANDBETWEEN(101,140),IF(B50=7,RANDBETWEEN(101,140),IF(B50=8,RANDBETWEEN(201,214),IF(B50=9,RANDBETWEEN(201,214),IF(B50=10,RANDBETWEEN(201,214),0)))))))))),Sheet2!$A$2:$D$95,4,FALSE)</f>
        <v>Pet_10101</v>
      </c>
      <c r="G50" t="s">
        <v>207</v>
      </c>
      <c r="H50" t="str">
        <f t="shared" ca="1" si="2"/>
        <v>2,6,6</v>
      </c>
      <c r="I50" t="str">
        <f t="shared" si="3"/>
        <v>3000,3000,2000</v>
      </c>
      <c r="J50">
        <f t="shared" si="4"/>
        <v>400000</v>
      </c>
      <c r="K50">
        <v>2000</v>
      </c>
      <c r="L50">
        <v>5</v>
      </c>
      <c r="M50" t="str">
        <f t="shared" si="5"/>
        <v>1000,10000000|10020330,1</v>
      </c>
    </row>
    <row r="51" spans="1:13" x14ac:dyDescent="0.2">
      <c r="A51">
        <v>48</v>
      </c>
      <c r="B51">
        <v>7</v>
      </c>
      <c r="C51">
        <v>4</v>
      </c>
      <c r="D51">
        <f t="shared" si="0"/>
        <v>1400</v>
      </c>
      <c r="E51">
        <f t="shared" si="1"/>
        <v>480</v>
      </c>
      <c r="F51" t="str">
        <f ca="1">VLOOKUP(IF(B51=1,RANDBETWEEN(1,40),IF(B51=2,RANDBETWEEN(1,40),IF(B51=3,RANDBETWEEN(1,40),IF(B51=4,RANDBETWEEN(101,140),IF(B51=5,RANDBETWEEN(101,140),IF(B51=6,RANDBETWEEN(101,140),IF(B51=7,RANDBETWEEN(101,140),IF(B51=8,RANDBETWEEN(201,214),IF(B51=9,RANDBETWEEN(201,214),IF(B51=10,RANDBETWEEN(201,214),0)))))))))),Sheet2!$A$2:$D$95,4,FALSE)</f>
        <v>Pet_10161</v>
      </c>
      <c r="G51" t="s">
        <v>179</v>
      </c>
      <c r="H51" t="str">
        <f t="shared" ca="1" si="2"/>
        <v>6,4,3</v>
      </c>
      <c r="I51" t="str">
        <f t="shared" si="3"/>
        <v>3000,3000,2000</v>
      </c>
      <c r="J51">
        <f t="shared" si="4"/>
        <v>400000</v>
      </c>
      <c r="K51">
        <v>2000</v>
      </c>
      <c r="L51">
        <v>5</v>
      </c>
      <c r="M51" t="str">
        <f t="shared" si="5"/>
        <v>1000,10000000|10020330,1</v>
      </c>
    </row>
    <row r="52" spans="1:13" x14ac:dyDescent="0.2">
      <c r="A52">
        <v>49</v>
      </c>
      <c r="B52">
        <v>2</v>
      </c>
      <c r="C52">
        <v>4</v>
      </c>
      <c r="D52">
        <f t="shared" si="0"/>
        <v>8000</v>
      </c>
      <c r="E52">
        <f t="shared" si="1"/>
        <v>60</v>
      </c>
      <c r="F52" t="str">
        <f ca="1">VLOOKUP(IF(B52=1,RANDBETWEEN(1,40),IF(B52=2,RANDBETWEEN(1,40),IF(B52=3,RANDBETWEEN(1,40),IF(B52=4,RANDBETWEEN(101,140),IF(B52=5,RANDBETWEEN(101,140),IF(B52=6,RANDBETWEEN(101,140),IF(B52=7,RANDBETWEEN(101,140),IF(B52=8,RANDBETWEEN(201,214),IF(B52=9,RANDBETWEEN(201,214),IF(B52=10,RANDBETWEEN(201,214),0)))))))))),Sheet2!$A$2:$D$95,4,FALSE)</f>
        <v>Pet_10590</v>
      </c>
      <c r="G52" t="s">
        <v>253</v>
      </c>
      <c r="H52" t="str">
        <f t="shared" ca="1" si="2"/>
        <v>3,3</v>
      </c>
      <c r="I52" t="str">
        <f t="shared" si="3"/>
        <v>4000,4000</v>
      </c>
      <c r="J52">
        <f t="shared" si="4"/>
        <v>20000</v>
      </c>
      <c r="K52">
        <v>2000</v>
      </c>
      <c r="L52">
        <v>5</v>
      </c>
      <c r="M52" t="str">
        <f t="shared" si="5"/>
        <v>1000,300000|10010110,5</v>
      </c>
    </row>
    <row r="53" spans="1:13" x14ac:dyDescent="0.2">
      <c r="A53">
        <v>50</v>
      </c>
      <c r="B53">
        <v>2</v>
      </c>
      <c r="C53">
        <v>4</v>
      </c>
      <c r="D53">
        <f t="shared" si="0"/>
        <v>8000</v>
      </c>
      <c r="E53">
        <f t="shared" si="1"/>
        <v>60</v>
      </c>
      <c r="F53" t="str">
        <f ca="1">VLOOKUP(IF(B53=1,RANDBETWEEN(1,40),IF(B53=2,RANDBETWEEN(1,40),IF(B53=3,RANDBETWEEN(1,40),IF(B53=4,RANDBETWEEN(101,140),IF(B53=5,RANDBETWEEN(101,140),IF(B53=6,RANDBETWEEN(101,140),IF(B53=7,RANDBETWEEN(101,140),IF(B53=8,RANDBETWEEN(201,214),IF(B53=9,RANDBETWEEN(201,214),IF(B53=10,RANDBETWEEN(201,214),0)))))))))),Sheet2!$A$2:$D$95,4,FALSE)</f>
        <v>Pet_10170</v>
      </c>
      <c r="G53" t="s">
        <v>178</v>
      </c>
      <c r="H53" t="str">
        <f t="shared" ca="1" si="2"/>
        <v>5,1</v>
      </c>
      <c r="I53" t="str">
        <f t="shared" si="3"/>
        <v>4000,4000</v>
      </c>
      <c r="J53">
        <f t="shared" si="4"/>
        <v>20000</v>
      </c>
      <c r="K53">
        <v>2000</v>
      </c>
      <c r="L53">
        <v>5</v>
      </c>
      <c r="M53" t="str">
        <f t="shared" si="5"/>
        <v>1000,300000|10010110,5</v>
      </c>
    </row>
    <row r="54" spans="1:13" x14ac:dyDescent="0.2">
      <c r="A54">
        <v>51</v>
      </c>
      <c r="B54">
        <v>2</v>
      </c>
      <c r="C54">
        <v>4</v>
      </c>
      <c r="D54">
        <f t="shared" si="0"/>
        <v>8000</v>
      </c>
      <c r="E54">
        <f t="shared" si="1"/>
        <v>60</v>
      </c>
      <c r="F54" t="str">
        <f ca="1">VLOOKUP(IF(B54=1,RANDBETWEEN(1,40),IF(B54=2,RANDBETWEEN(1,40),IF(B54=3,RANDBETWEEN(1,40),IF(B54=4,RANDBETWEEN(101,140),IF(B54=5,RANDBETWEEN(101,140),IF(B54=6,RANDBETWEEN(101,140),IF(B54=7,RANDBETWEEN(101,140),IF(B54=8,RANDBETWEEN(201,214),IF(B54=9,RANDBETWEEN(201,214),IF(B54=10,RANDBETWEEN(201,214),0)))))))))),Sheet2!$A$2:$D$95,4,FALSE)</f>
        <v>Pet_10390</v>
      </c>
      <c r="G54" t="s">
        <v>264</v>
      </c>
      <c r="H54" t="str">
        <f t="shared" ca="1" si="2"/>
        <v>3,5</v>
      </c>
      <c r="I54" t="str">
        <f t="shared" si="3"/>
        <v>4000,4000</v>
      </c>
      <c r="J54">
        <f t="shared" si="4"/>
        <v>20000</v>
      </c>
      <c r="K54">
        <v>2000</v>
      </c>
      <c r="L54">
        <v>5</v>
      </c>
      <c r="M54" t="str">
        <f t="shared" si="5"/>
        <v>1000,300000|10010110,5</v>
      </c>
    </row>
    <row r="55" spans="1:13" x14ac:dyDescent="0.2">
      <c r="A55">
        <v>52</v>
      </c>
      <c r="B55">
        <v>3</v>
      </c>
      <c r="C55">
        <v>4</v>
      </c>
      <c r="D55">
        <f t="shared" si="0"/>
        <v>6000</v>
      </c>
      <c r="E55">
        <f t="shared" si="1"/>
        <v>90</v>
      </c>
      <c r="F55" t="str">
        <f ca="1">VLOOKUP(IF(B55=1,RANDBETWEEN(1,40),IF(B55=2,RANDBETWEEN(1,40),IF(B55=3,RANDBETWEEN(1,40),IF(B55=4,RANDBETWEEN(101,140),IF(B55=5,RANDBETWEEN(101,140),IF(B55=6,RANDBETWEEN(101,140),IF(B55=7,RANDBETWEEN(101,140),IF(B55=8,RANDBETWEEN(201,214),IF(B55=9,RANDBETWEEN(201,214),IF(B55=10,RANDBETWEEN(201,214),0)))))))))),Sheet2!$A$2:$D$95,4,FALSE)</f>
        <v>Pet_10140</v>
      </c>
      <c r="G55" t="s">
        <v>239</v>
      </c>
      <c r="H55" t="str">
        <f t="shared" ca="1" si="2"/>
        <v>5,4</v>
      </c>
      <c r="I55" t="str">
        <f t="shared" si="3"/>
        <v>4000,4000</v>
      </c>
      <c r="J55">
        <f t="shared" si="4"/>
        <v>40000</v>
      </c>
      <c r="K55">
        <v>2000</v>
      </c>
      <c r="L55">
        <v>5</v>
      </c>
      <c r="M55" t="str">
        <f t="shared" si="5"/>
        <v>1000,500000|10010030,5</v>
      </c>
    </row>
    <row r="56" spans="1:13" x14ac:dyDescent="0.2">
      <c r="A56">
        <v>53</v>
      </c>
      <c r="B56">
        <v>3</v>
      </c>
      <c r="C56">
        <v>4</v>
      </c>
      <c r="D56">
        <f t="shared" si="0"/>
        <v>6000</v>
      </c>
      <c r="E56">
        <f t="shared" si="1"/>
        <v>90</v>
      </c>
      <c r="F56" t="str">
        <f ca="1">VLOOKUP(IF(B56=1,RANDBETWEEN(1,40),IF(B56=2,RANDBETWEEN(1,40),IF(B56=3,RANDBETWEEN(1,40),IF(B56=4,RANDBETWEEN(101,140),IF(B56=5,RANDBETWEEN(101,140),IF(B56=6,RANDBETWEEN(101,140),IF(B56=7,RANDBETWEEN(101,140),IF(B56=8,RANDBETWEEN(201,214),IF(B56=9,RANDBETWEEN(201,214),IF(B56=10,RANDBETWEEN(201,214),0)))))))))),Sheet2!$A$2:$D$95,4,FALSE)</f>
        <v>Pet_10420</v>
      </c>
      <c r="G56" t="s">
        <v>211</v>
      </c>
      <c r="H56" t="str">
        <f t="shared" ca="1" si="2"/>
        <v>5,2</v>
      </c>
      <c r="I56" t="str">
        <f t="shared" si="3"/>
        <v>4000,4000</v>
      </c>
      <c r="J56">
        <f t="shared" si="4"/>
        <v>40000</v>
      </c>
      <c r="K56">
        <v>2000</v>
      </c>
      <c r="L56">
        <v>5</v>
      </c>
      <c r="M56" t="str">
        <f t="shared" si="5"/>
        <v>1000,500000|10010030,5</v>
      </c>
    </row>
    <row r="57" spans="1:13" x14ac:dyDescent="0.2">
      <c r="A57">
        <v>54</v>
      </c>
      <c r="B57">
        <v>3</v>
      </c>
      <c r="C57">
        <v>4</v>
      </c>
      <c r="D57">
        <f t="shared" si="0"/>
        <v>6000</v>
      </c>
      <c r="E57">
        <f t="shared" si="1"/>
        <v>90</v>
      </c>
      <c r="F57" t="str">
        <f ca="1">VLOOKUP(IF(B57=1,RANDBETWEEN(1,40),IF(B57=2,RANDBETWEEN(1,40),IF(B57=3,RANDBETWEEN(1,40),IF(B57=4,RANDBETWEEN(101,140),IF(B57=5,RANDBETWEEN(101,140),IF(B57=6,RANDBETWEEN(101,140),IF(B57=7,RANDBETWEEN(101,140),IF(B57=8,RANDBETWEEN(201,214),IF(B57=9,RANDBETWEEN(201,214),IF(B57=10,RANDBETWEEN(201,214),0)))))))))),Sheet2!$A$2:$D$95,4,FALSE)</f>
        <v>Pet_10140</v>
      </c>
      <c r="G57" t="s">
        <v>252</v>
      </c>
      <c r="H57" t="str">
        <f t="shared" ca="1" si="2"/>
        <v>5,3</v>
      </c>
      <c r="I57" t="str">
        <f t="shared" si="3"/>
        <v>4000,4000</v>
      </c>
      <c r="J57">
        <f t="shared" si="4"/>
        <v>40000</v>
      </c>
      <c r="K57">
        <v>2000</v>
      </c>
      <c r="L57">
        <v>5</v>
      </c>
      <c r="M57" t="str">
        <f t="shared" si="5"/>
        <v>1000,500000|10010030,5</v>
      </c>
    </row>
    <row r="58" spans="1:13" x14ac:dyDescent="0.2">
      <c r="A58">
        <v>55</v>
      </c>
      <c r="B58">
        <v>4</v>
      </c>
      <c r="C58">
        <v>4</v>
      </c>
      <c r="D58">
        <f t="shared" si="0"/>
        <v>4500</v>
      </c>
      <c r="E58">
        <f t="shared" si="1"/>
        <v>120</v>
      </c>
      <c r="F58" t="str">
        <f ca="1">VLOOKUP(IF(B58=1,RANDBETWEEN(1,40),IF(B58=2,RANDBETWEEN(1,40),IF(B58=3,RANDBETWEEN(1,40),IF(B58=4,RANDBETWEEN(101,140),IF(B58=5,RANDBETWEEN(101,140),IF(B58=6,RANDBETWEEN(101,140),IF(B58=7,RANDBETWEEN(101,140),IF(B58=8,RANDBETWEEN(201,214),IF(B58=9,RANDBETWEEN(201,214),IF(B58=10,RANDBETWEEN(201,214),0)))))))))),Sheet2!$A$2:$D$95,4,FALSE)</f>
        <v>Pet_10561</v>
      </c>
      <c r="G58" t="s">
        <v>232</v>
      </c>
      <c r="H58" t="str">
        <f t="shared" ca="1" si="2"/>
        <v>6,4,4</v>
      </c>
      <c r="I58" t="str">
        <f t="shared" si="3"/>
        <v>3000,3000,2000</v>
      </c>
      <c r="J58">
        <f t="shared" si="4"/>
        <v>80000</v>
      </c>
      <c r="K58">
        <v>2000</v>
      </c>
      <c r="L58">
        <v>5</v>
      </c>
      <c r="M58" t="str">
        <f t="shared" si="5"/>
        <v>1000,1000000|10010020,5|10010120,5</v>
      </c>
    </row>
    <row r="59" spans="1:13" x14ac:dyDescent="0.2">
      <c r="A59">
        <v>56</v>
      </c>
      <c r="B59">
        <v>4</v>
      </c>
      <c r="C59">
        <v>4</v>
      </c>
      <c r="D59">
        <f t="shared" si="0"/>
        <v>4500</v>
      </c>
      <c r="E59">
        <f t="shared" si="1"/>
        <v>120</v>
      </c>
      <c r="F59" t="str">
        <f ca="1">VLOOKUP(IF(B59=1,RANDBETWEEN(1,40),IF(B59=2,RANDBETWEEN(1,40),IF(B59=3,RANDBETWEEN(1,40),IF(B59=4,RANDBETWEEN(101,140),IF(B59=5,RANDBETWEEN(101,140),IF(B59=6,RANDBETWEEN(101,140),IF(B59=7,RANDBETWEEN(101,140),IF(B59=8,RANDBETWEEN(201,214),IF(B59=9,RANDBETWEEN(201,214),IF(B59=10,RANDBETWEEN(201,214),0)))))))))),Sheet2!$A$2:$D$95,4,FALSE)</f>
        <v>Pet_10461</v>
      </c>
      <c r="G59" t="s">
        <v>243</v>
      </c>
      <c r="H59" t="str">
        <f t="shared" ca="1" si="2"/>
        <v>2,1,5</v>
      </c>
      <c r="I59" t="str">
        <f t="shared" si="3"/>
        <v>3000,3000,2000</v>
      </c>
      <c r="J59">
        <f t="shared" si="4"/>
        <v>80000</v>
      </c>
      <c r="K59">
        <v>2000</v>
      </c>
      <c r="L59">
        <v>5</v>
      </c>
      <c r="M59" t="str">
        <f t="shared" si="5"/>
        <v>1000,1000000|10010020,5|10010120,5</v>
      </c>
    </row>
    <row r="60" spans="1:13" x14ac:dyDescent="0.2">
      <c r="A60">
        <v>57</v>
      </c>
      <c r="B60">
        <v>4</v>
      </c>
      <c r="C60">
        <v>4</v>
      </c>
      <c r="D60">
        <f t="shared" si="0"/>
        <v>4500</v>
      </c>
      <c r="E60">
        <f t="shared" si="1"/>
        <v>120</v>
      </c>
      <c r="F60" t="str">
        <f ca="1">VLOOKUP(IF(B60=1,RANDBETWEEN(1,40),IF(B60=2,RANDBETWEEN(1,40),IF(B60=3,RANDBETWEEN(1,40),IF(B60=4,RANDBETWEEN(101,140),IF(B60=5,RANDBETWEEN(101,140),IF(B60=6,RANDBETWEEN(101,140),IF(B60=7,RANDBETWEEN(101,140),IF(B60=8,RANDBETWEEN(201,214),IF(B60=9,RANDBETWEEN(201,214),IF(B60=10,RANDBETWEEN(201,214),0)))))))))),Sheet2!$A$2:$D$95,4,FALSE)</f>
        <v>Pet_10461</v>
      </c>
      <c r="G60" t="s">
        <v>180</v>
      </c>
      <c r="H60" t="str">
        <f t="shared" ca="1" si="2"/>
        <v>4,5,4</v>
      </c>
      <c r="I60" t="str">
        <f t="shared" si="3"/>
        <v>3000,3000,2000</v>
      </c>
      <c r="J60">
        <f t="shared" si="4"/>
        <v>80000</v>
      </c>
      <c r="K60">
        <v>2000</v>
      </c>
      <c r="L60">
        <v>5</v>
      </c>
      <c r="M60" t="str">
        <f t="shared" si="5"/>
        <v>1000,1000000|10010020,5|10010120,5</v>
      </c>
    </row>
    <row r="61" spans="1:13" x14ac:dyDescent="0.2">
      <c r="A61">
        <v>58</v>
      </c>
      <c r="B61">
        <v>5</v>
      </c>
      <c r="C61">
        <v>4</v>
      </c>
      <c r="D61">
        <f t="shared" si="0"/>
        <v>3000</v>
      </c>
      <c r="E61">
        <f t="shared" si="1"/>
        <v>240</v>
      </c>
      <c r="F61" t="str">
        <f ca="1">VLOOKUP(IF(B61=1,RANDBETWEEN(1,40),IF(B61=2,RANDBETWEEN(1,40),IF(B61=3,RANDBETWEEN(1,40),IF(B61=4,RANDBETWEEN(101,140),IF(B61=5,RANDBETWEEN(101,140),IF(B61=6,RANDBETWEEN(101,140),IF(B61=7,RANDBETWEEN(101,140),IF(B61=8,RANDBETWEEN(201,214),IF(B61=9,RANDBETWEEN(201,214),IF(B61=10,RANDBETWEEN(201,214),0)))))))))),Sheet2!$A$2:$D$95,4,FALSE)</f>
        <v>Pet_10191</v>
      </c>
      <c r="G61" t="s">
        <v>199</v>
      </c>
      <c r="H61" t="str">
        <f t="shared" ca="1" si="2"/>
        <v>2,6,1</v>
      </c>
      <c r="I61" t="str">
        <f t="shared" si="3"/>
        <v>3000,3000,2000</v>
      </c>
      <c r="J61">
        <f t="shared" si="4"/>
        <v>120000</v>
      </c>
      <c r="K61">
        <v>2000</v>
      </c>
      <c r="L61">
        <v>5</v>
      </c>
      <c r="M61" t="str">
        <f t="shared" si="5"/>
        <v>1000,2000000|10010050,5|10010150,5</v>
      </c>
    </row>
    <row r="62" spans="1:13" x14ac:dyDescent="0.2">
      <c r="A62">
        <v>59</v>
      </c>
      <c r="B62">
        <v>5</v>
      </c>
      <c r="C62">
        <v>4</v>
      </c>
      <c r="D62">
        <f t="shared" si="0"/>
        <v>3000</v>
      </c>
      <c r="E62">
        <f t="shared" si="1"/>
        <v>240</v>
      </c>
      <c r="F62" t="str">
        <f ca="1">VLOOKUP(IF(B62=1,RANDBETWEEN(1,40),IF(B62=2,RANDBETWEEN(1,40),IF(B62=3,RANDBETWEEN(1,40),IF(B62=4,RANDBETWEEN(101,140),IF(B62=5,RANDBETWEEN(101,140),IF(B62=6,RANDBETWEEN(101,140),IF(B62=7,RANDBETWEEN(101,140),IF(B62=8,RANDBETWEEN(201,214),IF(B62=9,RANDBETWEEN(201,214),IF(B62=10,RANDBETWEEN(201,214),0)))))))))),Sheet2!$A$2:$D$95,4,FALSE)</f>
        <v>Pet_10581</v>
      </c>
      <c r="G62" t="s">
        <v>267</v>
      </c>
      <c r="H62" t="str">
        <f t="shared" ca="1" si="2"/>
        <v>4,5,4</v>
      </c>
      <c r="I62" t="str">
        <f t="shared" si="3"/>
        <v>3000,3000,2000</v>
      </c>
      <c r="J62">
        <f t="shared" si="4"/>
        <v>120000</v>
      </c>
      <c r="K62">
        <v>2000</v>
      </c>
      <c r="L62">
        <v>5</v>
      </c>
      <c r="M62" t="str">
        <f t="shared" si="5"/>
        <v>1000,2000000|10010050,5|10010150,5</v>
      </c>
    </row>
    <row r="63" spans="1:13" x14ac:dyDescent="0.2">
      <c r="A63">
        <v>60</v>
      </c>
      <c r="B63">
        <v>5</v>
      </c>
      <c r="C63">
        <v>4</v>
      </c>
      <c r="D63">
        <f t="shared" si="0"/>
        <v>3000</v>
      </c>
      <c r="E63">
        <f t="shared" si="1"/>
        <v>240</v>
      </c>
      <c r="F63" t="str">
        <f ca="1">VLOOKUP(IF(B63=1,RANDBETWEEN(1,40),IF(B63=2,RANDBETWEEN(1,40),IF(B63=3,RANDBETWEEN(1,40),IF(B63=4,RANDBETWEEN(101,140),IF(B63=5,RANDBETWEEN(101,140),IF(B63=6,RANDBETWEEN(101,140),IF(B63=7,RANDBETWEEN(101,140),IF(B63=8,RANDBETWEEN(201,214),IF(B63=9,RANDBETWEEN(201,214),IF(B63=10,RANDBETWEEN(201,214),0)))))))))),Sheet2!$A$2:$D$95,4,FALSE)</f>
        <v>Pet_10391</v>
      </c>
      <c r="G63" t="s">
        <v>260</v>
      </c>
      <c r="H63" t="str">
        <f t="shared" ca="1" si="2"/>
        <v>6,2,6</v>
      </c>
      <c r="I63" t="str">
        <f t="shared" si="3"/>
        <v>3000,3000,2000</v>
      </c>
      <c r="J63">
        <f t="shared" si="4"/>
        <v>120000</v>
      </c>
      <c r="K63">
        <v>2000</v>
      </c>
      <c r="L63">
        <v>5</v>
      </c>
      <c r="M63" t="str">
        <f t="shared" si="5"/>
        <v>1000,2000000|10010050,5|10010150,5</v>
      </c>
    </row>
    <row r="64" spans="1:13" x14ac:dyDescent="0.2">
      <c r="A64">
        <v>61</v>
      </c>
      <c r="B64">
        <v>6</v>
      </c>
      <c r="C64">
        <v>4</v>
      </c>
      <c r="D64">
        <f t="shared" si="0"/>
        <v>2000</v>
      </c>
      <c r="E64">
        <f t="shared" si="1"/>
        <v>360</v>
      </c>
      <c r="F64" t="str">
        <f ca="1">VLOOKUP(IF(B64=1,RANDBETWEEN(1,40),IF(B64=2,RANDBETWEEN(1,40),IF(B64=3,RANDBETWEEN(1,40),IF(B64=4,RANDBETWEEN(101,140),IF(B64=5,RANDBETWEEN(101,140),IF(B64=6,RANDBETWEEN(101,140),IF(B64=7,RANDBETWEEN(101,140),IF(B64=8,RANDBETWEEN(201,214),IF(B64=9,RANDBETWEEN(201,214),IF(B64=10,RANDBETWEEN(201,214),0)))))))))),Sheet2!$A$2:$D$95,4,FALSE)</f>
        <v>Pet_10141</v>
      </c>
      <c r="G64" t="s">
        <v>209</v>
      </c>
      <c r="H64" t="str">
        <f t="shared" ca="1" si="2"/>
        <v>4,5,2</v>
      </c>
      <c r="I64" t="str">
        <f t="shared" si="3"/>
        <v>3000,3000,2000</v>
      </c>
      <c r="J64">
        <f t="shared" si="4"/>
        <v>200000</v>
      </c>
      <c r="K64">
        <v>2000</v>
      </c>
      <c r="L64">
        <v>5</v>
      </c>
      <c r="M64" t="str">
        <f t="shared" si="5"/>
        <v>1000,5000000|10020320,1</v>
      </c>
    </row>
    <row r="65" spans="1:13" x14ac:dyDescent="0.2">
      <c r="A65">
        <v>62</v>
      </c>
      <c r="B65">
        <v>6</v>
      </c>
      <c r="C65">
        <v>4</v>
      </c>
      <c r="D65">
        <f t="shared" si="0"/>
        <v>2000</v>
      </c>
      <c r="E65">
        <f t="shared" si="1"/>
        <v>360</v>
      </c>
      <c r="F65" t="str">
        <f ca="1">VLOOKUP(IF(B65=1,RANDBETWEEN(1,40),IF(B65=2,RANDBETWEEN(1,40),IF(B65=3,RANDBETWEEN(1,40),IF(B65=4,RANDBETWEEN(101,140),IF(B65=5,RANDBETWEEN(101,140),IF(B65=6,RANDBETWEEN(101,140),IF(B65=7,RANDBETWEEN(101,140),IF(B65=8,RANDBETWEEN(201,214),IF(B65=9,RANDBETWEEN(201,214),IF(B65=10,RANDBETWEEN(201,214),0)))))))))),Sheet2!$A$2:$D$95,4,FALSE)</f>
        <v>Pet_10091</v>
      </c>
      <c r="G65" t="s">
        <v>257</v>
      </c>
      <c r="H65" t="str">
        <f t="shared" ca="1" si="2"/>
        <v>6,2,6</v>
      </c>
      <c r="I65" t="str">
        <f t="shared" si="3"/>
        <v>3000,3000,2000</v>
      </c>
      <c r="J65">
        <f t="shared" si="4"/>
        <v>200000</v>
      </c>
      <c r="K65">
        <v>2000</v>
      </c>
      <c r="L65">
        <v>5</v>
      </c>
      <c r="M65" t="str">
        <f t="shared" si="5"/>
        <v>1000,5000000|10020320,1</v>
      </c>
    </row>
    <row r="66" spans="1:13" x14ac:dyDescent="0.2">
      <c r="A66">
        <v>63</v>
      </c>
      <c r="B66">
        <v>6</v>
      </c>
      <c r="C66">
        <v>4</v>
      </c>
      <c r="D66">
        <f t="shared" si="0"/>
        <v>2000</v>
      </c>
      <c r="E66">
        <f t="shared" si="1"/>
        <v>360</v>
      </c>
      <c r="F66" t="str">
        <f ca="1">VLOOKUP(IF(B66=1,RANDBETWEEN(1,40),IF(B66=2,RANDBETWEEN(1,40),IF(B66=3,RANDBETWEEN(1,40),IF(B66=4,RANDBETWEEN(101,140),IF(B66=5,RANDBETWEEN(101,140),IF(B66=6,RANDBETWEEN(101,140),IF(B66=7,RANDBETWEEN(101,140),IF(B66=8,RANDBETWEEN(201,214),IF(B66=9,RANDBETWEEN(201,214),IF(B66=10,RANDBETWEEN(201,214),0)))))))))),Sheet2!$A$2:$D$95,4,FALSE)</f>
        <v>Pet_10391</v>
      </c>
      <c r="G66" t="s">
        <v>230</v>
      </c>
      <c r="H66" t="str">
        <f t="shared" ca="1" si="2"/>
        <v>3,6,1</v>
      </c>
      <c r="I66" t="str">
        <f t="shared" si="3"/>
        <v>3000,3000,2000</v>
      </c>
      <c r="J66">
        <f t="shared" si="4"/>
        <v>200000</v>
      </c>
      <c r="K66">
        <v>2000</v>
      </c>
      <c r="L66">
        <v>5</v>
      </c>
      <c r="M66" t="str">
        <f t="shared" si="5"/>
        <v>1000,5000000|10020320,1</v>
      </c>
    </row>
    <row r="67" spans="1:13" x14ac:dyDescent="0.2">
      <c r="A67">
        <v>64</v>
      </c>
      <c r="B67">
        <v>7</v>
      </c>
      <c r="C67">
        <v>5</v>
      </c>
      <c r="D67">
        <f t="shared" si="0"/>
        <v>1400</v>
      </c>
      <c r="E67">
        <f t="shared" si="1"/>
        <v>480</v>
      </c>
      <c r="F67" t="str">
        <f ca="1">VLOOKUP(IF(B67=1,RANDBETWEEN(1,40),IF(B67=2,RANDBETWEEN(1,40),IF(B67=3,RANDBETWEEN(1,40),IF(B67=4,RANDBETWEEN(101,140),IF(B67=5,RANDBETWEEN(101,140),IF(B67=6,RANDBETWEEN(101,140),IF(B67=7,RANDBETWEEN(101,140),IF(B67=8,RANDBETWEEN(201,214),IF(B67=9,RANDBETWEEN(201,214),IF(B67=10,RANDBETWEEN(201,214),0)))))))))),Sheet2!$A$2:$D$95,4,FALSE)</f>
        <v>Pet_10211</v>
      </c>
      <c r="G67" t="s">
        <v>230</v>
      </c>
      <c r="H67" t="str">
        <f t="shared" ca="1" si="2"/>
        <v>2,2,5</v>
      </c>
      <c r="I67" t="str">
        <f t="shared" si="3"/>
        <v>3000,3000,2000</v>
      </c>
      <c r="J67">
        <f t="shared" si="4"/>
        <v>400000</v>
      </c>
      <c r="K67">
        <v>2000</v>
      </c>
      <c r="L67">
        <v>5</v>
      </c>
      <c r="M67" t="str">
        <f t="shared" si="5"/>
        <v>1000,10000000|10020330,1</v>
      </c>
    </row>
    <row r="68" spans="1:13" x14ac:dyDescent="0.2">
      <c r="A68">
        <v>65</v>
      </c>
      <c r="B68">
        <v>7</v>
      </c>
      <c r="C68">
        <v>5</v>
      </c>
      <c r="D68">
        <f t="shared" si="0"/>
        <v>1400</v>
      </c>
      <c r="E68">
        <f t="shared" si="1"/>
        <v>480</v>
      </c>
      <c r="F68" t="str">
        <f ca="1">VLOOKUP(IF(B68=1,RANDBETWEEN(1,40),IF(B68=2,RANDBETWEEN(1,40),IF(B68=3,RANDBETWEEN(1,40),IF(B68=4,RANDBETWEEN(101,140),IF(B68=5,RANDBETWEEN(101,140),IF(B68=6,RANDBETWEEN(101,140),IF(B68=7,RANDBETWEEN(101,140),IF(B68=8,RANDBETWEEN(201,214),IF(B68=9,RANDBETWEEN(201,214),IF(B68=10,RANDBETWEEN(201,214),0)))))))))),Sheet2!$A$2:$D$95,4,FALSE)</f>
        <v>Pet_10151</v>
      </c>
      <c r="G68" t="s">
        <v>226</v>
      </c>
      <c r="H68" t="str">
        <f t="shared" ca="1" si="2"/>
        <v>6,5,6</v>
      </c>
      <c r="I68" t="str">
        <f t="shared" si="3"/>
        <v>3000,3000,2000</v>
      </c>
      <c r="J68">
        <f t="shared" si="4"/>
        <v>400000</v>
      </c>
      <c r="K68">
        <v>2000</v>
      </c>
      <c r="L68">
        <v>5</v>
      </c>
      <c r="M68" t="str">
        <f t="shared" si="5"/>
        <v>1000,10000000|10020330,1</v>
      </c>
    </row>
    <row r="69" spans="1:13" x14ac:dyDescent="0.2">
      <c r="A69">
        <v>66</v>
      </c>
      <c r="B69">
        <v>7</v>
      </c>
      <c r="C69">
        <v>5</v>
      </c>
      <c r="D69">
        <f t="shared" ref="D69:D132" si="6">IF(B69=1,10000,IF(B69=2,8000,IF(B69=3,6000,IF(B69=4,4500,IF(B69=5,3000,IF(B69=6,2000,IF(B69=7,1400,IF(B69=8,900,IF(B69=9,500,IF(B69=10,200,0))))))))))</f>
        <v>1400</v>
      </c>
      <c r="E69">
        <f t="shared" ref="E69:E132" si="7">IF(B69=1,30,IF(B69=2,60,IF(B69=3,90,IF(B69=4,120,IF(B69=5,240,IF(B69=6,360,IF(B69=7,480,IF(B69=8,600,IF(B69=9,840,IF(B69=10,1080,0))))))))))</f>
        <v>480</v>
      </c>
      <c r="F69" t="str">
        <f ca="1">VLOOKUP(IF(B69=1,RANDBETWEEN(1,40),IF(B69=2,RANDBETWEEN(1,40),IF(B69=3,RANDBETWEEN(1,40),IF(B69=4,RANDBETWEEN(101,140),IF(B69=5,RANDBETWEEN(101,140),IF(B69=6,RANDBETWEEN(101,140),IF(B69=7,RANDBETWEEN(101,140),IF(B69=8,RANDBETWEEN(201,214),IF(B69=9,RANDBETWEEN(201,214),IF(B69=10,RANDBETWEEN(201,214),0)))))))))),Sheet2!$A$2:$D$95,4,FALSE)</f>
        <v>Pet_10531</v>
      </c>
      <c r="G69" t="s">
        <v>226</v>
      </c>
      <c r="H69" t="str">
        <f t="shared" ref="H69:H132" ca="1" si="8">IF(B69=1,RANDBETWEEN(1,6)&amp;","&amp;RANDBETWEEN(1,6),IF(B69=2,RANDBETWEEN(1,6)&amp;","&amp;RANDBETWEEN(1,6),IF(B69=3,RANDBETWEEN(1,6)&amp;","&amp;RANDBETWEEN(1,6),IF(B69=4,RANDBETWEEN(1,6)&amp;","&amp;RANDBETWEEN(1,6)&amp;","&amp;RANDBETWEEN(1,6),IF(B69=5,RANDBETWEEN(1,6)&amp;","&amp;RANDBETWEEN(1,6)&amp;","&amp;RANDBETWEEN(1,6),IF(B69=6,RANDBETWEEN(1,6)&amp;","&amp;RANDBETWEEN(1,6)&amp;","&amp;RANDBETWEEN(1,6),IF(B69=7,RANDBETWEEN(1,6)&amp;","&amp;RANDBETWEEN(1,6)&amp;","&amp;RANDBETWEEN(1,6),IF(B69=8,RANDBETWEEN(1,6)&amp;","&amp;RANDBETWEEN(1,6)&amp;","&amp;RANDBETWEEN(1,6),IF(B69=9,RANDBETWEEN(1,6)&amp;","&amp;RANDBETWEEN(1,6)&amp;","&amp;RANDBETWEEN(1,6),IF(B69=10,RANDBETWEEN(1,6)&amp;","&amp;RANDBETWEEN(1,6)&amp;","&amp;RANDBETWEEN(1,6),0))))))))))</f>
        <v>3,6,1</v>
      </c>
      <c r="I69" t="str">
        <f t="shared" ref="I69:I132" si="9">IF(B69=1,4000&amp;","&amp;4000,IF(B69=2,4000&amp;","&amp;4000,IF(B69=3,4000&amp;","&amp;4000,IF(B69=4,3000&amp;","&amp;3000&amp;","&amp;2000,IF(B69=5,3000&amp;","&amp;3000&amp;","&amp;2000,IF(B69=6,3000&amp;","&amp;3000&amp;","&amp;2000,IF(B69=7,3000&amp;","&amp;3000&amp;","&amp;2000,IF(B69=8,3000&amp;","&amp;2000&amp;","&amp;2000,IF(B69=9,2000&amp;","&amp;2000&amp;","&amp;2000,IF(B69=10,2000&amp;","&amp;2000&amp;","&amp;1000,0))))))))))</f>
        <v>3000,3000,2000</v>
      </c>
      <c r="J69">
        <f t="shared" ref="J69:J103" si="10">IF(B69=1,10000,IF(B69=2,20000,IF(B69=3,40000,IF(B69=4,80000,IF(B69=5,120000,IF(B69=6,200000,IF(B69=7,400000,IF(B69=8,800000,IF(B69=9,1200000,IF(B69=10,1500000,0))))))))))</f>
        <v>400000</v>
      </c>
      <c r="K69">
        <v>2000</v>
      </c>
      <c r="L69">
        <v>5</v>
      </c>
      <c r="M69" t="str">
        <f t="shared" ref="M69:M132" si="11">VLOOKUP(B69,$N$5:$O$14,2,2)</f>
        <v>1000,10000000|10020330,1</v>
      </c>
    </row>
    <row r="70" spans="1:13" x14ac:dyDescent="0.2">
      <c r="A70">
        <v>67</v>
      </c>
      <c r="B70">
        <v>7</v>
      </c>
      <c r="C70">
        <v>5</v>
      </c>
      <c r="D70">
        <f t="shared" si="6"/>
        <v>1400</v>
      </c>
      <c r="E70">
        <f t="shared" si="7"/>
        <v>480</v>
      </c>
      <c r="F70" t="str">
        <f ca="1">VLOOKUP(IF(B70=1,RANDBETWEEN(1,40),IF(B70=2,RANDBETWEEN(1,40),IF(B70=3,RANDBETWEEN(1,40),IF(B70=4,RANDBETWEEN(101,140),IF(B70=5,RANDBETWEEN(101,140),IF(B70=6,RANDBETWEEN(101,140),IF(B70=7,RANDBETWEEN(101,140),IF(B70=8,RANDBETWEEN(201,214),IF(B70=9,RANDBETWEEN(201,214),IF(B70=10,RANDBETWEEN(201,214),0)))))))))),Sheet2!$A$2:$D$95,4,FALSE)</f>
        <v>Pet_10301</v>
      </c>
      <c r="G70" t="s">
        <v>249</v>
      </c>
      <c r="H70" t="str">
        <f t="shared" ca="1" si="8"/>
        <v>4,1,3</v>
      </c>
      <c r="I70" t="str">
        <f t="shared" si="9"/>
        <v>3000,3000,2000</v>
      </c>
      <c r="J70">
        <f t="shared" si="10"/>
        <v>400000</v>
      </c>
      <c r="K70">
        <v>2000</v>
      </c>
      <c r="L70">
        <v>5</v>
      </c>
      <c r="M70" t="str">
        <f t="shared" si="11"/>
        <v>1000,10000000|10020330,1</v>
      </c>
    </row>
    <row r="71" spans="1:13" x14ac:dyDescent="0.2">
      <c r="A71">
        <v>68</v>
      </c>
      <c r="B71">
        <v>7</v>
      </c>
      <c r="C71">
        <v>5</v>
      </c>
      <c r="D71">
        <f t="shared" si="6"/>
        <v>1400</v>
      </c>
      <c r="E71">
        <f t="shared" si="7"/>
        <v>480</v>
      </c>
      <c r="F71" t="str">
        <f ca="1">VLOOKUP(IF(B71=1,RANDBETWEEN(1,40),IF(B71=2,RANDBETWEEN(1,40),IF(B71=3,RANDBETWEEN(1,40),IF(B71=4,RANDBETWEEN(101,140),IF(B71=5,RANDBETWEEN(101,140),IF(B71=6,RANDBETWEEN(101,140),IF(B71=7,RANDBETWEEN(101,140),IF(B71=8,RANDBETWEEN(201,214),IF(B71=9,RANDBETWEEN(201,214),IF(B71=10,RANDBETWEEN(201,214),0)))))))))),Sheet2!$A$2:$D$95,4,FALSE)</f>
        <v>Pet_10071</v>
      </c>
      <c r="G71" t="s">
        <v>177</v>
      </c>
      <c r="H71" t="str">
        <f t="shared" ca="1" si="8"/>
        <v>5,5,4</v>
      </c>
      <c r="I71" t="str">
        <f t="shared" si="9"/>
        <v>3000,3000,2000</v>
      </c>
      <c r="J71">
        <f t="shared" si="10"/>
        <v>400000</v>
      </c>
      <c r="K71">
        <v>2000</v>
      </c>
      <c r="L71">
        <v>5</v>
      </c>
      <c r="M71" t="str">
        <f t="shared" si="11"/>
        <v>1000,10000000|10020330,1</v>
      </c>
    </row>
    <row r="72" spans="1:13" x14ac:dyDescent="0.2">
      <c r="A72">
        <v>69</v>
      </c>
      <c r="B72">
        <v>8</v>
      </c>
      <c r="C72">
        <v>5</v>
      </c>
      <c r="D72">
        <f t="shared" si="6"/>
        <v>900</v>
      </c>
      <c r="E72">
        <f t="shared" si="7"/>
        <v>600</v>
      </c>
      <c r="F72" t="str">
        <f ca="1">VLOOKUP(IF(B72=1,RANDBETWEEN(1,40),IF(B72=2,RANDBETWEEN(1,40),IF(B72=3,RANDBETWEEN(1,40),IF(B72=4,RANDBETWEEN(101,140),IF(B72=5,RANDBETWEEN(101,140),IF(B72=6,RANDBETWEEN(101,140),IF(B72=7,RANDBETWEEN(101,140),IF(B72=8,RANDBETWEEN(201,214),IF(B72=9,RANDBETWEEN(201,214),IF(B72=10,RANDBETWEEN(201,214),0)))))))))),Sheet2!$A$2:$D$95,4,FALSE)</f>
        <v>Pet_10522</v>
      </c>
      <c r="G72" t="s">
        <v>201</v>
      </c>
      <c r="H72" t="str">
        <f t="shared" ca="1" si="8"/>
        <v>5,4,2</v>
      </c>
      <c r="I72" t="str">
        <f t="shared" si="9"/>
        <v>3000,2000,2000</v>
      </c>
      <c r="J72">
        <f t="shared" si="10"/>
        <v>800000</v>
      </c>
      <c r="K72">
        <v>2000</v>
      </c>
      <c r="L72">
        <v>5</v>
      </c>
      <c r="M72" t="str">
        <f t="shared" si="11"/>
        <v>1000,20000000|10000010,1</v>
      </c>
    </row>
    <row r="73" spans="1:13" x14ac:dyDescent="0.2">
      <c r="A73">
        <v>70</v>
      </c>
      <c r="B73">
        <v>3</v>
      </c>
      <c r="C73">
        <v>5</v>
      </c>
      <c r="D73">
        <f t="shared" si="6"/>
        <v>6000</v>
      </c>
      <c r="E73">
        <f t="shared" si="7"/>
        <v>90</v>
      </c>
      <c r="F73" t="str">
        <f ca="1">VLOOKUP(IF(B73=1,RANDBETWEEN(1,40),IF(B73=2,RANDBETWEEN(1,40),IF(B73=3,RANDBETWEEN(1,40),IF(B73=4,RANDBETWEEN(101,140),IF(B73=5,RANDBETWEEN(101,140),IF(B73=6,RANDBETWEEN(101,140),IF(B73=7,RANDBETWEEN(101,140),IF(B73=8,RANDBETWEEN(201,214),IF(B73=9,RANDBETWEEN(201,214),IF(B73=10,RANDBETWEEN(201,214),0)))))))))),Sheet2!$A$2:$D$95,4,FALSE)</f>
        <v>Pet_10160</v>
      </c>
      <c r="G73" t="s">
        <v>201</v>
      </c>
      <c r="H73" t="str">
        <f t="shared" ca="1" si="8"/>
        <v>5,1</v>
      </c>
      <c r="I73" t="str">
        <f t="shared" si="9"/>
        <v>4000,4000</v>
      </c>
      <c r="J73">
        <f t="shared" si="10"/>
        <v>40000</v>
      </c>
      <c r="K73">
        <v>2000</v>
      </c>
      <c r="L73">
        <v>5</v>
      </c>
      <c r="M73" t="str">
        <f t="shared" si="11"/>
        <v>1000,500000|10010030,5</v>
      </c>
    </row>
    <row r="74" spans="1:13" x14ac:dyDescent="0.2">
      <c r="A74">
        <v>71</v>
      </c>
      <c r="B74">
        <v>3</v>
      </c>
      <c r="C74">
        <v>5</v>
      </c>
      <c r="D74">
        <f t="shared" si="6"/>
        <v>6000</v>
      </c>
      <c r="E74">
        <f t="shared" si="7"/>
        <v>90</v>
      </c>
      <c r="F74" t="str">
        <f ca="1">VLOOKUP(IF(B74=1,RANDBETWEEN(1,40),IF(B74=2,RANDBETWEEN(1,40),IF(B74=3,RANDBETWEEN(1,40),IF(B74=4,RANDBETWEEN(101,140),IF(B74=5,RANDBETWEEN(101,140),IF(B74=6,RANDBETWEEN(101,140),IF(B74=7,RANDBETWEEN(101,140),IF(B74=8,RANDBETWEEN(201,214),IF(B74=9,RANDBETWEEN(201,214),IF(B74=10,RANDBETWEEN(201,214),0)))))))))),Sheet2!$A$2:$D$95,4,FALSE)</f>
        <v>Pet_10380</v>
      </c>
      <c r="G74" t="s">
        <v>241</v>
      </c>
      <c r="H74" t="str">
        <f t="shared" ca="1" si="8"/>
        <v>4,1</v>
      </c>
      <c r="I74" t="str">
        <f t="shared" si="9"/>
        <v>4000,4000</v>
      </c>
      <c r="J74">
        <f t="shared" si="10"/>
        <v>40000</v>
      </c>
      <c r="K74">
        <v>2000</v>
      </c>
      <c r="L74">
        <v>5</v>
      </c>
      <c r="M74" t="str">
        <f t="shared" si="11"/>
        <v>1000,500000|10010030,5</v>
      </c>
    </row>
    <row r="75" spans="1:13" x14ac:dyDescent="0.2">
      <c r="A75">
        <v>72</v>
      </c>
      <c r="B75">
        <v>3</v>
      </c>
      <c r="C75">
        <v>5</v>
      </c>
      <c r="D75">
        <f t="shared" si="6"/>
        <v>6000</v>
      </c>
      <c r="E75">
        <f t="shared" si="7"/>
        <v>90</v>
      </c>
      <c r="F75" t="str">
        <f ca="1">VLOOKUP(IF(B75=1,RANDBETWEEN(1,40),IF(B75=2,RANDBETWEEN(1,40),IF(B75=3,RANDBETWEEN(1,40),IF(B75=4,RANDBETWEEN(101,140),IF(B75=5,RANDBETWEEN(101,140),IF(B75=6,RANDBETWEEN(101,140),IF(B75=7,RANDBETWEEN(101,140),IF(B75=8,RANDBETWEEN(201,214),IF(B75=9,RANDBETWEEN(201,214),IF(B75=10,RANDBETWEEN(201,214),0)))))))))),Sheet2!$A$2:$D$95,4,FALSE)</f>
        <v>Pet_10360</v>
      </c>
      <c r="G75" t="s">
        <v>204</v>
      </c>
      <c r="H75" t="str">
        <f t="shared" ca="1" si="8"/>
        <v>4,3</v>
      </c>
      <c r="I75" t="str">
        <f t="shared" si="9"/>
        <v>4000,4000</v>
      </c>
      <c r="J75">
        <f t="shared" si="10"/>
        <v>40000</v>
      </c>
      <c r="K75">
        <v>2000</v>
      </c>
      <c r="L75">
        <v>5</v>
      </c>
      <c r="M75" t="str">
        <f t="shared" si="11"/>
        <v>1000,500000|10010030,5</v>
      </c>
    </row>
    <row r="76" spans="1:13" x14ac:dyDescent="0.2">
      <c r="A76">
        <v>73</v>
      </c>
      <c r="B76">
        <v>4</v>
      </c>
      <c r="C76">
        <v>5</v>
      </c>
      <c r="D76">
        <f t="shared" si="6"/>
        <v>4500</v>
      </c>
      <c r="E76">
        <f t="shared" si="7"/>
        <v>120</v>
      </c>
      <c r="F76" t="str">
        <f ca="1">VLOOKUP(IF(B76=1,RANDBETWEEN(1,40),IF(B76=2,RANDBETWEEN(1,40),IF(B76=3,RANDBETWEEN(1,40),IF(B76=4,RANDBETWEEN(101,140),IF(B76=5,RANDBETWEEN(101,140),IF(B76=6,RANDBETWEEN(101,140),IF(B76=7,RANDBETWEEN(101,140),IF(B76=8,RANDBETWEEN(201,214),IF(B76=9,RANDBETWEEN(201,214),IF(B76=10,RANDBETWEEN(201,214),0)))))))))),Sheet2!$A$2:$D$95,4,FALSE)</f>
        <v>Pet_10271</v>
      </c>
      <c r="G76" t="s">
        <v>196</v>
      </c>
      <c r="H76" t="str">
        <f t="shared" ca="1" si="8"/>
        <v>3,6,6</v>
      </c>
      <c r="I76" t="str">
        <f t="shared" si="9"/>
        <v>3000,3000,2000</v>
      </c>
      <c r="J76">
        <f t="shared" si="10"/>
        <v>80000</v>
      </c>
      <c r="K76">
        <v>2000</v>
      </c>
      <c r="L76">
        <v>5</v>
      </c>
      <c r="M76" t="str">
        <f t="shared" si="11"/>
        <v>1000,1000000|10010020,5|10010120,5</v>
      </c>
    </row>
    <row r="77" spans="1:13" x14ac:dyDescent="0.2">
      <c r="A77">
        <v>74</v>
      </c>
      <c r="B77">
        <v>4</v>
      </c>
      <c r="C77">
        <v>5</v>
      </c>
      <c r="D77">
        <f t="shared" si="6"/>
        <v>4500</v>
      </c>
      <c r="E77">
        <f t="shared" si="7"/>
        <v>120</v>
      </c>
      <c r="F77" t="str">
        <f ca="1">VLOOKUP(IF(B77=1,RANDBETWEEN(1,40),IF(B77=2,RANDBETWEEN(1,40),IF(B77=3,RANDBETWEEN(1,40),IF(B77=4,RANDBETWEEN(101,140),IF(B77=5,RANDBETWEEN(101,140),IF(B77=6,RANDBETWEEN(101,140),IF(B77=7,RANDBETWEEN(101,140),IF(B77=8,RANDBETWEEN(201,214),IF(B77=9,RANDBETWEEN(201,214),IF(B77=10,RANDBETWEEN(201,214),0)))))))))),Sheet2!$A$2:$D$95,4,FALSE)</f>
        <v>Pet_10321</v>
      </c>
      <c r="G77" t="s">
        <v>214</v>
      </c>
      <c r="H77" t="str">
        <f t="shared" ca="1" si="8"/>
        <v>3,1,3</v>
      </c>
      <c r="I77" t="str">
        <f t="shared" si="9"/>
        <v>3000,3000,2000</v>
      </c>
      <c r="J77">
        <f t="shared" si="10"/>
        <v>80000</v>
      </c>
      <c r="K77">
        <v>2000</v>
      </c>
      <c r="L77">
        <v>5</v>
      </c>
      <c r="M77" t="str">
        <f t="shared" si="11"/>
        <v>1000,1000000|10010020,5|10010120,5</v>
      </c>
    </row>
    <row r="78" spans="1:13" x14ac:dyDescent="0.2">
      <c r="A78">
        <v>75</v>
      </c>
      <c r="B78">
        <v>4</v>
      </c>
      <c r="C78">
        <v>5</v>
      </c>
      <c r="D78">
        <f t="shared" si="6"/>
        <v>4500</v>
      </c>
      <c r="E78">
        <f t="shared" si="7"/>
        <v>120</v>
      </c>
      <c r="F78" t="str">
        <f ca="1">VLOOKUP(IF(B78=1,RANDBETWEEN(1,40),IF(B78=2,RANDBETWEEN(1,40),IF(B78=3,RANDBETWEEN(1,40),IF(B78=4,RANDBETWEEN(101,140),IF(B78=5,RANDBETWEEN(101,140),IF(B78=6,RANDBETWEEN(101,140),IF(B78=7,RANDBETWEEN(101,140),IF(B78=8,RANDBETWEEN(201,214),IF(B78=9,RANDBETWEEN(201,214),IF(B78=10,RANDBETWEEN(201,214),0)))))))))),Sheet2!$A$2:$D$95,4,FALSE)</f>
        <v>Pet_10101</v>
      </c>
      <c r="G78" t="s">
        <v>214</v>
      </c>
      <c r="H78" t="str">
        <f t="shared" ca="1" si="8"/>
        <v>2,3,1</v>
      </c>
      <c r="I78" t="str">
        <f t="shared" si="9"/>
        <v>3000,3000,2000</v>
      </c>
      <c r="J78">
        <f t="shared" si="10"/>
        <v>80000</v>
      </c>
      <c r="K78">
        <v>2000</v>
      </c>
      <c r="L78">
        <v>5</v>
      </c>
      <c r="M78" t="str">
        <f t="shared" si="11"/>
        <v>1000,1000000|10010020,5|10010120,5</v>
      </c>
    </row>
    <row r="79" spans="1:13" x14ac:dyDescent="0.2">
      <c r="A79">
        <v>76</v>
      </c>
      <c r="B79">
        <v>5</v>
      </c>
      <c r="C79">
        <v>5</v>
      </c>
      <c r="D79">
        <f t="shared" si="6"/>
        <v>3000</v>
      </c>
      <c r="E79">
        <f t="shared" si="7"/>
        <v>240</v>
      </c>
      <c r="F79" t="str">
        <f ca="1">VLOOKUP(IF(B79=1,RANDBETWEEN(1,40),IF(B79=2,RANDBETWEEN(1,40),IF(B79=3,RANDBETWEEN(1,40),IF(B79=4,RANDBETWEEN(101,140),IF(B79=5,RANDBETWEEN(101,140),IF(B79=6,RANDBETWEEN(101,140),IF(B79=7,RANDBETWEEN(101,140),IF(B79=8,RANDBETWEEN(201,214),IF(B79=9,RANDBETWEEN(201,214),IF(B79=10,RANDBETWEEN(201,214),0)))))))))),Sheet2!$A$2:$D$95,4,FALSE)</f>
        <v>Pet_10511</v>
      </c>
      <c r="G79" t="s">
        <v>242</v>
      </c>
      <c r="H79" t="str">
        <f t="shared" ca="1" si="8"/>
        <v>3,2,4</v>
      </c>
      <c r="I79" t="str">
        <f t="shared" si="9"/>
        <v>3000,3000,2000</v>
      </c>
      <c r="J79">
        <f t="shared" si="10"/>
        <v>120000</v>
      </c>
      <c r="K79">
        <v>2000</v>
      </c>
      <c r="L79">
        <v>5</v>
      </c>
      <c r="M79" t="str">
        <f t="shared" si="11"/>
        <v>1000,2000000|10010050,5|10010150,5</v>
      </c>
    </row>
    <row r="80" spans="1:13" x14ac:dyDescent="0.2">
      <c r="A80">
        <v>77</v>
      </c>
      <c r="B80">
        <v>5</v>
      </c>
      <c r="C80">
        <v>5</v>
      </c>
      <c r="D80">
        <f t="shared" si="6"/>
        <v>3000</v>
      </c>
      <c r="E80">
        <f t="shared" si="7"/>
        <v>240</v>
      </c>
      <c r="F80" t="str">
        <f ca="1">VLOOKUP(IF(B80=1,RANDBETWEEN(1,40),IF(B80=2,RANDBETWEEN(1,40),IF(B80=3,RANDBETWEEN(1,40),IF(B80=4,RANDBETWEEN(101,140),IF(B80=5,RANDBETWEEN(101,140),IF(B80=6,RANDBETWEEN(101,140),IF(B80=7,RANDBETWEEN(101,140),IF(B80=8,RANDBETWEEN(201,214),IF(B80=9,RANDBETWEEN(201,214),IF(B80=10,RANDBETWEEN(201,214),0)))))))))),Sheet2!$A$2:$D$95,4,FALSE)</f>
        <v>Pet_10131</v>
      </c>
      <c r="G80" t="s">
        <v>238</v>
      </c>
      <c r="H80" t="str">
        <f t="shared" ca="1" si="8"/>
        <v>6,2,5</v>
      </c>
      <c r="I80" t="str">
        <f t="shared" si="9"/>
        <v>3000,3000,2000</v>
      </c>
      <c r="J80">
        <f t="shared" si="10"/>
        <v>120000</v>
      </c>
      <c r="K80">
        <v>2000</v>
      </c>
      <c r="L80">
        <v>5</v>
      </c>
      <c r="M80" t="str">
        <f t="shared" si="11"/>
        <v>1000,2000000|10010050,5|10010150,5</v>
      </c>
    </row>
    <row r="81" spans="1:13" x14ac:dyDescent="0.2">
      <c r="A81">
        <v>78</v>
      </c>
      <c r="B81">
        <v>5</v>
      </c>
      <c r="C81">
        <v>5</v>
      </c>
      <c r="D81">
        <f t="shared" si="6"/>
        <v>3000</v>
      </c>
      <c r="E81">
        <f t="shared" si="7"/>
        <v>240</v>
      </c>
      <c r="F81" t="str">
        <f ca="1">VLOOKUP(IF(B81=1,RANDBETWEEN(1,40),IF(B81=2,RANDBETWEEN(1,40),IF(B81=3,RANDBETWEEN(1,40),IF(B81=4,RANDBETWEEN(101,140),IF(B81=5,RANDBETWEEN(101,140),IF(B81=6,RANDBETWEEN(101,140),IF(B81=7,RANDBETWEEN(101,140),IF(B81=8,RANDBETWEEN(201,214),IF(B81=9,RANDBETWEEN(201,214),IF(B81=10,RANDBETWEEN(201,214),0)))))))))),Sheet2!$A$2:$D$95,4,FALSE)</f>
        <v>Pet_10561</v>
      </c>
      <c r="G81" t="s">
        <v>231</v>
      </c>
      <c r="H81" t="str">
        <f t="shared" ca="1" si="8"/>
        <v>3,3,6</v>
      </c>
      <c r="I81" t="str">
        <f t="shared" si="9"/>
        <v>3000,3000,2000</v>
      </c>
      <c r="J81">
        <f t="shared" si="10"/>
        <v>120000</v>
      </c>
      <c r="K81">
        <v>2000</v>
      </c>
      <c r="L81">
        <v>5</v>
      </c>
      <c r="M81" t="str">
        <f t="shared" si="11"/>
        <v>1000,2000000|10010050,5|10010150,5</v>
      </c>
    </row>
    <row r="82" spans="1:13" x14ac:dyDescent="0.2">
      <c r="A82">
        <v>79</v>
      </c>
      <c r="B82">
        <v>6</v>
      </c>
      <c r="C82">
        <v>5</v>
      </c>
      <c r="D82">
        <f t="shared" si="6"/>
        <v>2000</v>
      </c>
      <c r="E82">
        <f t="shared" si="7"/>
        <v>360</v>
      </c>
      <c r="F82" t="str">
        <f ca="1">VLOOKUP(IF(B82=1,RANDBETWEEN(1,40),IF(B82=2,RANDBETWEEN(1,40),IF(B82=3,RANDBETWEEN(1,40),IF(B82=4,RANDBETWEEN(101,140),IF(B82=5,RANDBETWEEN(101,140),IF(B82=6,RANDBETWEEN(101,140),IF(B82=7,RANDBETWEEN(101,140),IF(B82=8,RANDBETWEEN(201,214),IF(B82=9,RANDBETWEEN(201,214),IF(B82=10,RANDBETWEEN(201,214),0)))))))))),Sheet2!$A$2:$D$95,4,FALSE)</f>
        <v>Pet_10571</v>
      </c>
      <c r="G82" t="s">
        <v>182</v>
      </c>
      <c r="H82" t="str">
        <f t="shared" ca="1" si="8"/>
        <v>1,1,3</v>
      </c>
      <c r="I82" t="str">
        <f t="shared" si="9"/>
        <v>3000,3000,2000</v>
      </c>
      <c r="J82">
        <f t="shared" si="10"/>
        <v>200000</v>
      </c>
      <c r="K82">
        <v>2000</v>
      </c>
      <c r="L82">
        <v>5</v>
      </c>
      <c r="M82" t="str">
        <f t="shared" si="11"/>
        <v>1000,5000000|10020320,1</v>
      </c>
    </row>
    <row r="83" spans="1:13" x14ac:dyDescent="0.2">
      <c r="A83">
        <v>80</v>
      </c>
      <c r="B83">
        <v>6</v>
      </c>
      <c r="C83">
        <v>5</v>
      </c>
      <c r="D83">
        <f t="shared" si="6"/>
        <v>2000</v>
      </c>
      <c r="E83">
        <f t="shared" si="7"/>
        <v>360</v>
      </c>
      <c r="F83" t="str">
        <f ca="1">VLOOKUP(IF(B83=1,RANDBETWEEN(1,40),IF(B83=2,RANDBETWEEN(1,40),IF(B83=3,RANDBETWEEN(1,40),IF(B83=4,RANDBETWEEN(101,140),IF(B83=5,RANDBETWEEN(101,140),IF(B83=6,RANDBETWEEN(101,140),IF(B83=7,RANDBETWEEN(101,140),IF(B83=8,RANDBETWEEN(201,214),IF(B83=9,RANDBETWEEN(201,214),IF(B83=10,RANDBETWEEN(201,214),0)))))))))),Sheet2!$A$2:$D$95,4,FALSE)</f>
        <v>Pet_10151</v>
      </c>
      <c r="G83" t="s">
        <v>250</v>
      </c>
      <c r="H83" t="str">
        <f t="shared" ca="1" si="8"/>
        <v>2,1,1</v>
      </c>
      <c r="I83" t="str">
        <f t="shared" si="9"/>
        <v>3000,3000,2000</v>
      </c>
      <c r="J83">
        <f t="shared" si="10"/>
        <v>200000</v>
      </c>
      <c r="K83">
        <v>2000</v>
      </c>
      <c r="L83">
        <v>5</v>
      </c>
      <c r="M83" t="str">
        <f t="shared" si="11"/>
        <v>1000,5000000|10020320,1</v>
      </c>
    </row>
    <row r="84" spans="1:13" x14ac:dyDescent="0.2">
      <c r="A84">
        <v>81</v>
      </c>
      <c r="B84">
        <v>6</v>
      </c>
      <c r="C84">
        <v>5</v>
      </c>
      <c r="D84">
        <f t="shared" si="6"/>
        <v>2000</v>
      </c>
      <c r="E84">
        <f t="shared" si="7"/>
        <v>360</v>
      </c>
      <c r="F84" t="str">
        <f ca="1">VLOOKUP(IF(B84=1,RANDBETWEEN(1,40),IF(B84=2,RANDBETWEEN(1,40),IF(B84=3,RANDBETWEEN(1,40),IF(B84=4,RANDBETWEEN(101,140),IF(B84=5,RANDBETWEEN(101,140),IF(B84=6,RANDBETWEEN(101,140),IF(B84=7,RANDBETWEEN(101,140),IF(B84=8,RANDBETWEEN(201,214),IF(B84=9,RANDBETWEEN(201,214),IF(B84=10,RANDBETWEEN(201,214),0)))))))))),Sheet2!$A$2:$D$95,4,FALSE)</f>
        <v>Pet_10111</v>
      </c>
      <c r="G84" t="s">
        <v>212</v>
      </c>
      <c r="H84" t="str">
        <f t="shared" ca="1" si="8"/>
        <v>6,4,6</v>
      </c>
      <c r="I84" t="str">
        <f t="shared" si="9"/>
        <v>3000,3000,2000</v>
      </c>
      <c r="J84">
        <f t="shared" si="10"/>
        <v>200000</v>
      </c>
      <c r="K84">
        <v>2000</v>
      </c>
      <c r="L84">
        <v>5</v>
      </c>
      <c r="M84" t="str">
        <f t="shared" si="11"/>
        <v>1000,5000000|10020320,1</v>
      </c>
    </row>
    <row r="85" spans="1:13" x14ac:dyDescent="0.2">
      <c r="A85">
        <v>82</v>
      </c>
      <c r="B85">
        <v>7</v>
      </c>
      <c r="C85">
        <v>6</v>
      </c>
      <c r="D85">
        <f t="shared" si="6"/>
        <v>1400</v>
      </c>
      <c r="E85">
        <f t="shared" si="7"/>
        <v>480</v>
      </c>
      <c r="F85" t="str">
        <f ca="1">VLOOKUP(IF(B85=1,RANDBETWEEN(1,40),IF(B85=2,RANDBETWEEN(1,40),IF(B85=3,RANDBETWEEN(1,40),IF(B85=4,RANDBETWEEN(101,140),IF(B85=5,RANDBETWEEN(101,140),IF(B85=6,RANDBETWEEN(101,140),IF(B85=7,RANDBETWEEN(101,140),IF(B85=8,RANDBETWEEN(201,214),IF(B85=9,RANDBETWEEN(201,214),IF(B85=10,RANDBETWEEN(201,214),0)))))))))),Sheet2!$A$2:$D$95,4,FALSE)</f>
        <v>Pet_10321</v>
      </c>
      <c r="G85" t="s">
        <v>188</v>
      </c>
      <c r="H85" t="str">
        <f t="shared" ca="1" si="8"/>
        <v>6,2,6</v>
      </c>
      <c r="I85" t="str">
        <f t="shared" si="9"/>
        <v>3000,3000,2000</v>
      </c>
      <c r="J85">
        <f t="shared" si="10"/>
        <v>400000</v>
      </c>
      <c r="K85">
        <v>2000</v>
      </c>
      <c r="L85">
        <v>5</v>
      </c>
      <c r="M85" t="str">
        <f t="shared" si="11"/>
        <v>1000,10000000|10020330,1</v>
      </c>
    </row>
    <row r="86" spans="1:13" x14ac:dyDescent="0.2">
      <c r="A86">
        <v>83</v>
      </c>
      <c r="B86">
        <v>7</v>
      </c>
      <c r="C86">
        <v>6</v>
      </c>
      <c r="D86">
        <f t="shared" si="6"/>
        <v>1400</v>
      </c>
      <c r="E86">
        <f t="shared" si="7"/>
        <v>480</v>
      </c>
      <c r="F86" t="str">
        <f ca="1">VLOOKUP(IF(B86=1,RANDBETWEEN(1,40),IF(B86=2,RANDBETWEEN(1,40),IF(B86=3,RANDBETWEEN(1,40),IF(B86=4,RANDBETWEEN(101,140),IF(B86=5,RANDBETWEEN(101,140),IF(B86=6,RANDBETWEEN(101,140),IF(B86=7,RANDBETWEEN(101,140),IF(B86=8,RANDBETWEEN(201,214),IF(B86=9,RANDBETWEEN(201,214),IF(B86=10,RANDBETWEEN(201,214),0)))))))))),Sheet2!$A$2:$D$95,4,FALSE)</f>
        <v>Pet_10091</v>
      </c>
      <c r="G86" t="s">
        <v>255</v>
      </c>
      <c r="H86" t="str">
        <f t="shared" ca="1" si="8"/>
        <v>4,4,5</v>
      </c>
      <c r="I86" t="str">
        <f t="shared" si="9"/>
        <v>3000,3000,2000</v>
      </c>
      <c r="J86">
        <f t="shared" si="10"/>
        <v>400000</v>
      </c>
      <c r="K86">
        <v>2000</v>
      </c>
      <c r="L86">
        <v>5</v>
      </c>
      <c r="M86" t="str">
        <f t="shared" si="11"/>
        <v>1000,10000000|10020330,1</v>
      </c>
    </row>
    <row r="87" spans="1:13" x14ac:dyDescent="0.2">
      <c r="A87">
        <v>84</v>
      </c>
      <c r="B87">
        <v>7</v>
      </c>
      <c r="C87">
        <v>6</v>
      </c>
      <c r="D87">
        <f t="shared" si="6"/>
        <v>1400</v>
      </c>
      <c r="E87">
        <f t="shared" si="7"/>
        <v>480</v>
      </c>
      <c r="F87" t="str">
        <f ca="1">VLOOKUP(IF(B87=1,RANDBETWEEN(1,40),IF(B87=2,RANDBETWEEN(1,40),IF(B87=3,RANDBETWEEN(1,40),IF(B87=4,RANDBETWEEN(101,140),IF(B87=5,RANDBETWEEN(101,140),IF(B87=6,RANDBETWEEN(101,140),IF(B87=7,RANDBETWEEN(101,140),IF(B87=8,RANDBETWEEN(201,214),IF(B87=9,RANDBETWEEN(201,214),IF(B87=10,RANDBETWEEN(201,214),0)))))))))),Sheet2!$A$2:$D$95,4,FALSE)</f>
        <v>Pet_10471</v>
      </c>
      <c r="G87" t="s">
        <v>217</v>
      </c>
      <c r="H87" t="str">
        <f t="shared" ca="1" si="8"/>
        <v>6,2,1</v>
      </c>
      <c r="I87" t="str">
        <f t="shared" si="9"/>
        <v>3000,3000,2000</v>
      </c>
      <c r="J87">
        <f t="shared" si="10"/>
        <v>400000</v>
      </c>
      <c r="K87">
        <v>2000</v>
      </c>
      <c r="L87">
        <v>5</v>
      </c>
      <c r="M87" t="str">
        <f t="shared" si="11"/>
        <v>1000,10000000|10020330,1</v>
      </c>
    </row>
    <row r="88" spans="1:13" x14ac:dyDescent="0.2">
      <c r="A88">
        <v>85</v>
      </c>
      <c r="B88">
        <v>6</v>
      </c>
      <c r="C88">
        <v>6</v>
      </c>
      <c r="D88">
        <f t="shared" si="6"/>
        <v>2000</v>
      </c>
      <c r="E88">
        <f t="shared" si="7"/>
        <v>360</v>
      </c>
      <c r="F88" t="str">
        <f ca="1">VLOOKUP(IF(B88=1,RANDBETWEEN(1,40),IF(B88=2,RANDBETWEEN(1,40),IF(B88=3,RANDBETWEEN(1,40),IF(B88=4,RANDBETWEEN(101,140),IF(B88=5,RANDBETWEEN(101,140),IF(B88=6,RANDBETWEEN(101,140),IF(B88=7,RANDBETWEEN(101,140),IF(B88=8,RANDBETWEEN(201,214),IF(B88=9,RANDBETWEEN(201,214),IF(B88=10,RANDBETWEEN(201,214),0)))))))))),Sheet2!$A$2:$D$95,4,FALSE)</f>
        <v>Pet_10071</v>
      </c>
      <c r="G88" t="s">
        <v>208</v>
      </c>
      <c r="H88" t="str">
        <f t="shared" ca="1" si="8"/>
        <v>4,2,4</v>
      </c>
      <c r="I88" t="str">
        <f t="shared" si="9"/>
        <v>3000,3000,2000</v>
      </c>
      <c r="J88">
        <f t="shared" si="10"/>
        <v>200000</v>
      </c>
      <c r="K88">
        <v>2000</v>
      </c>
      <c r="L88">
        <v>5</v>
      </c>
      <c r="M88" t="str">
        <f t="shared" si="11"/>
        <v>1000,5000000|10020320,1</v>
      </c>
    </row>
    <row r="89" spans="1:13" x14ac:dyDescent="0.2">
      <c r="A89">
        <v>86</v>
      </c>
      <c r="B89">
        <v>7</v>
      </c>
      <c r="C89">
        <v>6</v>
      </c>
      <c r="D89">
        <f t="shared" si="6"/>
        <v>1400</v>
      </c>
      <c r="E89">
        <f t="shared" si="7"/>
        <v>480</v>
      </c>
      <c r="F89" t="str">
        <f ca="1">VLOOKUP(IF(B89=1,RANDBETWEEN(1,40),IF(B89=2,RANDBETWEEN(1,40),IF(B89=3,RANDBETWEEN(1,40),IF(B89=4,RANDBETWEEN(101,140),IF(B89=5,RANDBETWEEN(101,140),IF(B89=6,RANDBETWEEN(101,140),IF(B89=7,RANDBETWEEN(101,140),IF(B89=8,RANDBETWEEN(201,214),IF(B89=9,RANDBETWEEN(201,214),IF(B89=10,RANDBETWEEN(201,214),0)))))))))),Sheet2!$A$2:$D$95,4,FALSE)</f>
        <v>Pet_10181</v>
      </c>
      <c r="G89" t="s">
        <v>254</v>
      </c>
      <c r="H89" t="str">
        <f t="shared" ca="1" si="8"/>
        <v>6,6,4</v>
      </c>
      <c r="I89" t="str">
        <f t="shared" si="9"/>
        <v>3000,3000,2000</v>
      </c>
      <c r="J89">
        <f t="shared" si="10"/>
        <v>400000</v>
      </c>
      <c r="K89">
        <v>2000</v>
      </c>
      <c r="L89">
        <v>5</v>
      </c>
      <c r="M89" t="str">
        <f t="shared" si="11"/>
        <v>1000,10000000|10020330,1</v>
      </c>
    </row>
    <row r="90" spans="1:13" x14ac:dyDescent="0.2">
      <c r="A90">
        <v>87</v>
      </c>
      <c r="B90">
        <v>8</v>
      </c>
      <c r="C90">
        <v>6</v>
      </c>
      <c r="D90">
        <f t="shared" si="6"/>
        <v>900</v>
      </c>
      <c r="E90">
        <f t="shared" si="7"/>
        <v>600</v>
      </c>
      <c r="F90" t="str">
        <f ca="1">VLOOKUP(IF(B90=1,RANDBETWEEN(1,40),IF(B90=2,RANDBETWEEN(1,40),IF(B90=3,RANDBETWEEN(1,40),IF(B90=4,RANDBETWEEN(101,140),IF(B90=5,RANDBETWEEN(101,140),IF(B90=6,RANDBETWEEN(101,140),IF(B90=7,RANDBETWEEN(101,140),IF(B90=8,RANDBETWEEN(201,214),IF(B90=9,RANDBETWEEN(201,214),IF(B90=10,RANDBETWEEN(201,214),0)))))))))),Sheet2!$A$2:$D$95,4,FALSE)</f>
        <v>Pet_10582</v>
      </c>
      <c r="G90" t="s">
        <v>235</v>
      </c>
      <c r="H90" t="str">
        <f t="shared" ca="1" si="8"/>
        <v>6,6,5</v>
      </c>
      <c r="I90" t="str">
        <f t="shared" si="9"/>
        <v>3000,2000,2000</v>
      </c>
      <c r="J90">
        <f t="shared" si="10"/>
        <v>800000</v>
      </c>
      <c r="K90">
        <v>2000</v>
      </c>
      <c r="L90">
        <v>5</v>
      </c>
      <c r="M90" t="str">
        <f t="shared" si="11"/>
        <v>1000,20000000|10000010,1</v>
      </c>
    </row>
    <row r="91" spans="1:13" x14ac:dyDescent="0.2">
      <c r="A91">
        <v>88</v>
      </c>
      <c r="B91">
        <v>8</v>
      </c>
      <c r="C91">
        <v>6</v>
      </c>
      <c r="D91">
        <f t="shared" si="6"/>
        <v>900</v>
      </c>
      <c r="E91">
        <f t="shared" si="7"/>
        <v>600</v>
      </c>
      <c r="F91" t="str">
        <f ca="1">VLOOKUP(IF(B91=1,RANDBETWEEN(1,40),IF(B91=2,RANDBETWEEN(1,40),IF(B91=3,RANDBETWEEN(1,40),IF(B91=4,RANDBETWEEN(101,140),IF(B91=5,RANDBETWEEN(101,140),IF(B91=6,RANDBETWEEN(101,140),IF(B91=7,RANDBETWEEN(101,140),IF(B91=8,RANDBETWEEN(201,214),IF(B91=9,RANDBETWEEN(201,214),IF(B91=10,RANDBETWEEN(201,214),0)))))))))),Sheet2!$A$2:$D$95,4,FALSE)</f>
        <v>Pet_10512</v>
      </c>
      <c r="G91" t="s">
        <v>185</v>
      </c>
      <c r="H91" t="str">
        <f t="shared" ca="1" si="8"/>
        <v>2,4,4</v>
      </c>
      <c r="I91" t="str">
        <f t="shared" si="9"/>
        <v>3000,2000,2000</v>
      </c>
      <c r="J91">
        <f t="shared" si="10"/>
        <v>800000</v>
      </c>
      <c r="K91">
        <v>2000</v>
      </c>
      <c r="L91">
        <v>5</v>
      </c>
      <c r="M91" t="str">
        <f t="shared" si="11"/>
        <v>1000,20000000|10000010,1</v>
      </c>
    </row>
    <row r="92" spans="1:13" x14ac:dyDescent="0.2">
      <c r="A92">
        <v>89</v>
      </c>
      <c r="B92">
        <v>8</v>
      </c>
      <c r="C92">
        <v>6</v>
      </c>
      <c r="D92">
        <f t="shared" si="6"/>
        <v>900</v>
      </c>
      <c r="E92">
        <f t="shared" si="7"/>
        <v>600</v>
      </c>
      <c r="F92" t="str">
        <f ca="1">VLOOKUP(IF(B92=1,RANDBETWEEN(1,40),IF(B92=2,RANDBETWEEN(1,40),IF(B92=3,RANDBETWEEN(1,40),IF(B92=4,RANDBETWEEN(101,140),IF(B92=5,RANDBETWEEN(101,140),IF(B92=6,RANDBETWEEN(101,140),IF(B92=7,RANDBETWEEN(101,140),IF(B92=8,RANDBETWEEN(201,214),IF(B92=9,RANDBETWEEN(201,214),IF(B92=10,RANDBETWEEN(201,214),0)))))))))),Sheet2!$A$2:$D$95,4,FALSE)</f>
        <v>Pet_10192</v>
      </c>
      <c r="G92" t="s">
        <v>215</v>
      </c>
      <c r="H92" t="str">
        <f t="shared" ca="1" si="8"/>
        <v>2,2,1</v>
      </c>
      <c r="I92" t="str">
        <f t="shared" si="9"/>
        <v>3000,2000,2000</v>
      </c>
      <c r="J92">
        <f t="shared" si="10"/>
        <v>800000</v>
      </c>
      <c r="K92">
        <v>2000</v>
      </c>
      <c r="L92">
        <v>5</v>
      </c>
      <c r="M92" t="str">
        <f t="shared" si="11"/>
        <v>1000,20000000|10000010,1</v>
      </c>
    </row>
    <row r="93" spans="1:13" x14ac:dyDescent="0.2">
      <c r="A93">
        <v>90</v>
      </c>
      <c r="B93">
        <v>4</v>
      </c>
      <c r="C93">
        <v>6</v>
      </c>
      <c r="D93">
        <f t="shared" si="6"/>
        <v>4500</v>
      </c>
      <c r="E93">
        <f t="shared" si="7"/>
        <v>120</v>
      </c>
      <c r="F93" t="str">
        <f ca="1">VLOOKUP(IF(B93=1,RANDBETWEEN(1,40),IF(B93=2,RANDBETWEEN(1,40),IF(B93=3,RANDBETWEEN(1,40),IF(B93=4,RANDBETWEEN(101,140),IF(B93=5,RANDBETWEEN(101,140),IF(B93=6,RANDBETWEEN(101,140),IF(B93=7,RANDBETWEEN(101,140),IF(B93=8,RANDBETWEEN(201,214),IF(B93=9,RANDBETWEEN(201,214),IF(B93=10,RANDBETWEEN(201,214),0)))))))))),Sheet2!$A$2:$D$95,4,FALSE)</f>
        <v>Pet_10511</v>
      </c>
      <c r="G93" t="s">
        <v>246</v>
      </c>
      <c r="H93" t="str">
        <f t="shared" ca="1" si="8"/>
        <v>4,5,3</v>
      </c>
      <c r="I93" t="str">
        <f t="shared" si="9"/>
        <v>3000,3000,2000</v>
      </c>
      <c r="J93">
        <f t="shared" si="10"/>
        <v>80000</v>
      </c>
      <c r="K93">
        <v>2000</v>
      </c>
      <c r="L93">
        <v>5</v>
      </c>
      <c r="M93" t="str">
        <f t="shared" si="11"/>
        <v>1000,1000000|10010020,5|10010120,5</v>
      </c>
    </row>
    <row r="94" spans="1:13" x14ac:dyDescent="0.2">
      <c r="A94">
        <v>91</v>
      </c>
      <c r="B94">
        <v>4</v>
      </c>
      <c r="C94">
        <v>6</v>
      </c>
      <c r="D94">
        <f t="shared" si="6"/>
        <v>4500</v>
      </c>
      <c r="E94">
        <f t="shared" si="7"/>
        <v>120</v>
      </c>
      <c r="F94" t="str">
        <f ca="1">VLOOKUP(IF(B94=1,RANDBETWEEN(1,40),IF(B94=2,RANDBETWEEN(1,40),IF(B94=3,RANDBETWEEN(1,40),IF(B94=4,RANDBETWEEN(101,140),IF(B94=5,RANDBETWEEN(101,140),IF(B94=6,RANDBETWEEN(101,140),IF(B94=7,RANDBETWEEN(101,140),IF(B94=8,RANDBETWEEN(201,214),IF(B94=9,RANDBETWEEN(201,214),IF(B94=10,RANDBETWEEN(201,214),0)))))))))),Sheet2!$A$2:$D$95,4,FALSE)</f>
        <v>Pet_10101</v>
      </c>
      <c r="G94" t="s">
        <v>194</v>
      </c>
      <c r="H94" t="str">
        <f t="shared" ca="1" si="8"/>
        <v>4,2,3</v>
      </c>
      <c r="I94" t="str">
        <f t="shared" si="9"/>
        <v>3000,3000,2000</v>
      </c>
      <c r="J94">
        <f t="shared" si="10"/>
        <v>80000</v>
      </c>
      <c r="K94">
        <v>2000</v>
      </c>
      <c r="L94">
        <v>5</v>
      </c>
      <c r="M94" t="str">
        <f t="shared" si="11"/>
        <v>1000,1000000|10010020,5|10010120,5</v>
      </c>
    </row>
    <row r="95" spans="1:13" x14ac:dyDescent="0.2">
      <c r="A95">
        <v>92</v>
      </c>
      <c r="B95">
        <v>4</v>
      </c>
      <c r="C95">
        <v>6</v>
      </c>
      <c r="D95">
        <f t="shared" si="6"/>
        <v>4500</v>
      </c>
      <c r="E95">
        <f t="shared" si="7"/>
        <v>120</v>
      </c>
      <c r="F95" t="str">
        <f ca="1">VLOOKUP(IF(B95=1,RANDBETWEEN(1,40),IF(B95=2,RANDBETWEEN(1,40),IF(B95=3,RANDBETWEEN(1,40),IF(B95=4,RANDBETWEEN(101,140),IF(B95=5,RANDBETWEEN(101,140),IF(B95=6,RANDBETWEEN(101,140),IF(B95=7,RANDBETWEEN(101,140),IF(B95=8,RANDBETWEEN(201,214),IF(B95=9,RANDBETWEEN(201,214),IF(B95=10,RANDBETWEEN(201,214),0)))))))))),Sheet2!$A$2:$D$95,4,FALSE)</f>
        <v>Pet_10361</v>
      </c>
      <c r="G95" t="s">
        <v>181</v>
      </c>
      <c r="H95" t="str">
        <f t="shared" ca="1" si="8"/>
        <v>3,4,3</v>
      </c>
      <c r="I95" t="str">
        <f t="shared" si="9"/>
        <v>3000,3000,2000</v>
      </c>
      <c r="J95">
        <f t="shared" si="10"/>
        <v>80000</v>
      </c>
      <c r="K95">
        <v>2000</v>
      </c>
      <c r="L95">
        <v>5</v>
      </c>
      <c r="M95" t="str">
        <f t="shared" si="11"/>
        <v>1000,1000000|10010020,5|10010120,5</v>
      </c>
    </row>
    <row r="96" spans="1:13" x14ac:dyDescent="0.2">
      <c r="A96">
        <v>93</v>
      </c>
      <c r="B96">
        <v>4</v>
      </c>
      <c r="C96">
        <v>6</v>
      </c>
      <c r="D96">
        <f t="shared" si="6"/>
        <v>4500</v>
      </c>
      <c r="E96">
        <f t="shared" si="7"/>
        <v>120</v>
      </c>
      <c r="F96" t="str">
        <f ca="1">VLOOKUP(IF(B96=1,RANDBETWEEN(1,40),IF(B96=2,RANDBETWEEN(1,40),IF(B96=3,RANDBETWEEN(1,40),IF(B96=4,RANDBETWEEN(101,140),IF(B96=5,RANDBETWEEN(101,140),IF(B96=6,RANDBETWEEN(101,140),IF(B96=7,RANDBETWEEN(101,140),IF(B96=8,RANDBETWEEN(201,214),IF(B96=9,RANDBETWEEN(201,214),IF(B96=10,RANDBETWEEN(201,214),0)))))))))),Sheet2!$A$2:$D$95,4,FALSE)</f>
        <v>Pet_10071</v>
      </c>
      <c r="G96" t="s">
        <v>193</v>
      </c>
      <c r="H96" t="str">
        <f t="shared" ca="1" si="8"/>
        <v>1,4,2</v>
      </c>
      <c r="I96" t="str">
        <f t="shared" si="9"/>
        <v>3000,3000,2000</v>
      </c>
      <c r="J96">
        <f t="shared" si="10"/>
        <v>80000</v>
      </c>
      <c r="K96">
        <v>2000</v>
      </c>
      <c r="L96">
        <v>5</v>
      </c>
      <c r="M96" t="str">
        <f t="shared" si="11"/>
        <v>1000,1000000|10010020,5|10010120,5</v>
      </c>
    </row>
    <row r="97" spans="1:13" x14ac:dyDescent="0.2">
      <c r="A97">
        <v>94</v>
      </c>
      <c r="B97">
        <v>5</v>
      </c>
      <c r="C97">
        <v>6</v>
      </c>
      <c r="D97">
        <f t="shared" si="6"/>
        <v>3000</v>
      </c>
      <c r="E97">
        <f t="shared" si="7"/>
        <v>240</v>
      </c>
      <c r="F97" t="str">
        <f ca="1">VLOOKUP(IF(B97=1,RANDBETWEEN(1,40),IF(B97=2,RANDBETWEEN(1,40),IF(B97=3,RANDBETWEEN(1,40),IF(B97=4,RANDBETWEEN(101,140),IF(B97=5,RANDBETWEEN(101,140),IF(B97=6,RANDBETWEEN(101,140),IF(B97=7,RANDBETWEEN(101,140),IF(B97=8,RANDBETWEEN(201,214),IF(B97=9,RANDBETWEEN(201,214),IF(B97=10,RANDBETWEEN(201,214),0)))))))))),Sheet2!$A$2:$D$95,4,FALSE)</f>
        <v>Pet_10111</v>
      </c>
      <c r="G97" t="s">
        <v>220</v>
      </c>
      <c r="H97" t="str">
        <f t="shared" ca="1" si="8"/>
        <v>5,2,4</v>
      </c>
      <c r="I97" t="str">
        <f t="shared" si="9"/>
        <v>3000,3000,2000</v>
      </c>
      <c r="J97">
        <f t="shared" si="10"/>
        <v>120000</v>
      </c>
      <c r="K97">
        <v>2000</v>
      </c>
      <c r="L97">
        <v>5</v>
      </c>
      <c r="M97" t="str">
        <f t="shared" si="11"/>
        <v>1000,2000000|10010050,5|10010150,5</v>
      </c>
    </row>
    <row r="98" spans="1:13" x14ac:dyDescent="0.2">
      <c r="A98">
        <v>95</v>
      </c>
      <c r="B98">
        <v>5</v>
      </c>
      <c r="C98">
        <v>6</v>
      </c>
      <c r="D98">
        <f t="shared" si="6"/>
        <v>3000</v>
      </c>
      <c r="E98">
        <f t="shared" si="7"/>
        <v>240</v>
      </c>
      <c r="F98" t="str">
        <f ca="1">VLOOKUP(IF(B98=1,RANDBETWEEN(1,40),IF(B98=2,RANDBETWEEN(1,40),IF(B98=3,RANDBETWEEN(1,40),IF(B98=4,RANDBETWEEN(101,140),IF(B98=5,RANDBETWEEN(101,140),IF(B98=6,RANDBETWEEN(101,140),IF(B98=7,RANDBETWEEN(101,140),IF(B98=8,RANDBETWEEN(201,214),IF(B98=9,RANDBETWEEN(201,214),IF(B98=10,RANDBETWEEN(201,214),0)))))))))),Sheet2!$A$2:$D$95,4,FALSE)</f>
        <v>Pet_10331</v>
      </c>
      <c r="G98" t="s">
        <v>197</v>
      </c>
      <c r="H98" t="str">
        <f t="shared" ca="1" si="8"/>
        <v>6,3,4</v>
      </c>
      <c r="I98" t="str">
        <f t="shared" si="9"/>
        <v>3000,3000,2000</v>
      </c>
      <c r="J98">
        <f t="shared" si="10"/>
        <v>120000</v>
      </c>
      <c r="K98">
        <v>2000</v>
      </c>
      <c r="L98">
        <v>5</v>
      </c>
      <c r="M98" t="str">
        <f t="shared" si="11"/>
        <v>1000,2000000|10010050,5|10010150,5</v>
      </c>
    </row>
    <row r="99" spans="1:13" x14ac:dyDescent="0.2">
      <c r="A99">
        <v>96</v>
      </c>
      <c r="B99">
        <v>5</v>
      </c>
      <c r="C99">
        <v>6</v>
      </c>
      <c r="D99">
        <f t="shared" si="6"/>
        <v>3000</v>
      </c>
      <c r="E99">
        <f t="shared" si="7"/>
        <v>240</v>
      </c>
      <c r="F99" t="str">
        <f ca="1">VLOOKUP(IF(B99=1,RANDBETWEEN(1,40),IF(B99=2,RANDBETWEEN(1,40),IF(B99=3,RANDBETWEEN(1,40),IF(B99=4,RANDBETWEEN(101,140),IF(B99=5,RANDBETWEEN(101,140),IF(B99=6,RANDBETWEEN(101,140),IF(B99=7,RANDBETWEEN(101,140),IF(B99=8,RANDBETWEEN(201,214),IF(B99=9,RANDBETWEEN(201,214),IF(B99=10,RANDBETWEEN(201,214),0)))))))))),Sheet2!$A$2:$D$95,4,FALSE)</f>
        <v>Pet_10321</v>
      </c>
      <c r="G99" t="s">
        <v>216</v>
      </c>
      <c r="H99" t="str">
        <f t="shared" ca="1" si="8"/>
        <v>2,4,2</v>
      </c>
      <c r="I99" t="str">
        <f t="shared" si="9"/>
        <v>3000,3000,2000</v>
      </c>
      <c r="J99">
        <f t="shared" si="10"/>
        <v>120000</v>
      </c>
      <c r="K99">
        <v>2000</v>
      </c>
      <c r="L99">
        <v>5</v>
      </c>
      <c r="M99" t="str">
        <f t="shared" si="11"/>
        <v>1000,2000000|10010050,5|10010150,5</v>
      </c>
    </row>
    <row r="100" spans="1:13" x14ac:dyDescent="0.2">
      <c r="A100">
        <v>97</v>
      </c>
      <c r="B100">
        <v>6</v>
      </c>
      <c r="C100">
        <v>6</v>
      </c>
      <c r="D100">
        <f t="shared" si="6"/>
        <v>2000</v>
      </c>
      <c r="E100">
        <f t="shared" si="7"/>
        <v>360</v>
      </c>
      <c r="F100" t="str">
        <f ca="1">VLOOKUP(IF(B100=1,RANDBETWEEN(1,40),IF(B100=2,RANDBETWEEN(1,40),IF(B100=3,RANDBETWEEN(1,40),IF(B100=4,RANDBETWEEN(101,140),IF(B100=5,RANDBETWEEN(101,140),IF(B100=6,RANDBETWEEN(101,140),IF(B100=7,RANDBETWEEN(101,140),IF(B100=8,RANDBETWEEN(201,214),IF(B100=9,RANDBETWEEN(201,214),IF(B100=10,RANDBETWEEN(201,214),0)))))))))),Sheet2!$A$2:$D$95,4,FALSE)</f>
        <v>Pet_10601</v>
      </c>
      <c r="G100" t="s">
        <v>247</v>
      </c>
      <c r="H100" t="str">
        <f t="shared" ca="1" si="8"/>
        <v>5,4,3</v>
      </c>
      <c r="I100" t="str">
        <f t="shared" si="9"/>
        <v>3000,3000,2000</v>
      </c>
      <c r="J100">
        <f t="shared" si="10"/>
        <v>200000</v>
      </c>
      <c r="K100">
        <v>2000</v>
      </c>
      <c r="L100">
        <v>5</v>
      </c>
      <c r="M100" t="str">
        <f t="shared" si="11"/>
        <v>1000,5000000|10020320,1</v>
      </c>
    </row>
    <row r="101" spans="1:13" x14ac:dyDescent="0.2">
      <c r="A101">
        <v>98</v>
      </c>
      <c r="B101">
        <v>6</v>
      </c>
      <c r="C101">
        <v>6</v>
      </c>
      <c r="D101">
        <f t="shared" si="6"/>
        <v>2000</v>
      </c>
      <c r="E101">
        <f t="shared" si="7"/>
        <v>360</v>
      </c>
      <c r="F101" t="str">
        <f ca="1">VLOOKUP(IF(B101=1,RANDBETWEEN(1,40),IF(B101=2,RANDBETWEEN(1,40),IF(B101=3,RANDBETWEEN(1,40),IF(B101=4,RANDBETWEEN(101,140),IF(B101=5,RANDBETWEEN(101,140),IF(B101=6,RANDBETWEEN(101,140),IF(B101=7,RANDBETWEEN(101,140),IF(B101=8,RANDBETWEEN(201,214),IF(B101=9,RANDBETWEEN(201,214),IF(B101=10,RANDBETWEEN(201,214),0)))))))))),Sheet2!$A$2:$D$95,4,FALSE)</f>
        <v>Pet_10211</v>
      </c>
      <c r="G101" t="s">
        <v>184</v>
      </c>
      <c r="H101" t="str">
        <f t="shared" ca="1" si="8"/>
        <v>6,4,4</v>
      </c>
      <c r="I101" t="str">
        <f t="shared" si="9"/>
        <v>3000,3000,2000</v>
      </c>
      <c r="J101">
        <f t="shared" si="10"/>
        <v>200000</v>
      </c>
      <c r="K101">
        <v>2000</v>
      </c>
      <c r="L101">
        <v>5</v>
      </c>
      <c r="M101" t="str">
        <f t="shared" si="11"/>
        <v>1000,5000000|10020320,1</v>
      </c>
    </row>
    <row r="102" spans="1:13" x14ac:dyDescent="0.2">
      <c r="A102">
        <v>99</v>
      </c>
      <c r="B102">
        <v>6</v>
      </c>
      <c r="C102">
        <v>6</v>
      </c>
      <c r="D102">
        <f t="shared" si="6"/>
        <v>2000</v>
      </c>
      <c r="E102">
        <f t="shared" si="7"/>
        <v>360</v>
      </c>
      <c r="F102" t="str">
        <f ca="1">VLOOKUP(IF(B102=1,RANDBETWEEN(1,40),IF(B102=2,RANDBETWEEN(1,40),IF(B102=3,RANDBETWEEN(1,40),IF(B102=4,RANDBETWEEN(101,140),IF(B102=5,RANDBETWEEN(101,140),IF(B102=6,RANDBETWEEN(101,140),IF(B102=7,RANDBETWEEN(101,140),IF(B102=8,RANDBETWEEN(201,214),IF(B102=9,RANDBETWEEN(201,214),IF(B102=10,RANDBETWEEN(201,214),0)))))))))),Sheet2!$A$2:$D$95,4,FALSE)</f>
        <v>Pet_10101</v>
      </c>
      <c r="G102" t="s">
        <v>195</v>
      </c>
      <c r="H102" t="str">
        <f t="shared" ca="1" si="8"/>
        <v>6,4,1</v>
      </c>
      <c r="I102" t="str">
        <f t="shared" si="9"/>
        <v>3000,3000,2000</v>
      </c>
      <c r="J102">
        <f t="shared" si="10"/>
        <v>200000</v>
      </c>
      <c r="K102">
        <v>2000</v>
      </c>
      <c r="L102">
        <v>5</v>
      </c>
      <c r="M102" t="str">
        <f t="shared" si="11"/>
        <v>1000,5000000|10020320,1</v>
      </c>
    </row>
    <row r="103" spans="1:13" x14ac:dyDescent="0.2">
      <c r="A103">
        <v>100</v>
      </c>
      <c r="B103">
        <v>7</v>
      </c>
      <c r="C103">
        <v>7</v>
      </c>
      <c r="D103">
        <f t="shared" si="6"/>
        <v>1400</v>
      </c>
      <c r="E103">
        <f t="shared" si="7"/>
        <v>480</v>
      </c>
      <c r="F103" t="str">
        <f ca="1">VLOOKUP(IF(B103=1,RANDBETWEEN(1,40),IF(B103=2,RANDBETWEEN(1,40),IF(B103=3,RANDBETWEEN(1,40),IF(B103=4,RANDBETWEEN(101,140),IF(B103=5,RANDBETWEEN(101,140),IF(B103=6,RANDBETWEEN(101,140),IF(B103=7,RANDBETWEEN(101,140),IF(B103=8,RANDBETWEEN(201,214),IF(B103=9,RANDBETWEEN(201,214),IF(B103=10,RANDBETWEEN(201,214),0)))))))))),Sheet2!$A$2:$D$95,4,FALSE)</f>
        <v>Pet_10221</v>
      </c>
      <c r="G103" t="s">
        <v>202</v>
      </c>
      <c r="H103" t="str">
        <f t="shared" ca="1" si="8"/>
        <v>3,5,5</v>
      </c>
      <c r="I103" t="str">
        <f t="shared" si="9"/>
        <v>3000,3000,2000</v>
      </c>
      <c r="J103">
        <f t="shared" si="10"/>
        <v>400000</v>
      </c>
      <c r="K103">
        <v>2000</v>
      </c>
      <c r="L103">
        <v>5</v>
      </c>
      <c r="M103" t="str">
        <f t="shared" si="11"/>
        <v>1000,10000000|10020330,1</v>
      </c>
    </row>
    <row r="104" spans="1:13" x14ac:dyDescent="0.2">
      <c r="A104">
        <v>101</v>
      </c>
      <c r="B104">
        <v>7</v>
      </c>
      <c r="C104">
        <v>7</v>
      </c>
      <c r="D104">
        <f t="shared" si="6"/>
        <v>1400</v>
      </c>
      <c r="E104">
        <f t="shared" si="7"/>
        <v>480</v>
      </c>
      <c r="F104" t="str">
        <f ca="1">VLOOKUP(IF(B104=1,RANDBETWEEN(1,40),IF(B104=2,RANDBETWEEN(1,40),IF(B104=3,RANDBETWEEN(1,40),IF(B104=4,RANDBETWEEN(101,140),IF(B104=5,RANDBETWEEN(101,140),IF(B104=6,RANDBETWEEN(101,140),IF(B104=7,RANDBETWEEN(101,140),IF(B104=8,RANDBETWEEN(201,214),IF(B104=9,RANDBETWEEN(201,214),IF(B104=10,RANDBETWEEN(201,214),0)))))))))),Sheet2!$A$2:$D$95,4,FALSE)</f>
        <v>Pet_10111</v>
      </c>
      <c r="G104" t="s">
        <v>235</v>
      </c>
      <c r="H104" t="str">
        <f t="shared" ca="1" si="8"/>
        <v>2,5,2</v>
      </c>
      <c r="I104" t="str">
        <f t="shared" si="9"/>
        <v>3000,3000,2000</v>
      </c>
      <c r="J104">
        <f t="shared" ref="J104:J167" si="12">IF(B104=1,10000,IF(B104=2,20000,IF(B104=3,40000,IF(B104=4,80000,IF(B104=5,120000,IF(B104=6,200000,IF(B104=7,400000,IF(B104=8,800000,IF(B104=9,1200000,IF(B104=10,1500000,0))))))))))</f>
        <v>400000</v>
      </c>
      <c r="K104">
        <v>2000</v>
      </c>
      <c r="L104">
        <v>5</v>
      </c>
      <c r="M104" t="str">
        <f t="shared" si="11"/>
        <v>1000,10000000|10020330,1</v>
      </c>
    </row>
    <row r="105" spans="1:13" x14ac:dyDescent="0.2">
      <c r="A105">
        <v>102</v>
      </c>
      <c r="B105">
        <v>7</v>
      </c>
      <c r="C105">
        <v>7</v>
      </c>
      <c r="D105">
        <f t="shared" si="6"/>
        <v>1400</v>
      </c>
      <c r="E105">
        <f t="shared" si="7"/>
        <v>480</v>
      </c>
      <c r="F105" t="str">
        <f ca="1">VLOOKUP(IF(B105=1,RANDBETWEEN(1,40),IF(B105=2,RANDBETWEEN(1,40),IF(B105=3,RANDBETWEEN(1,40),IF(B105=4,RANDBETWEEN(101,140),IF(B105=5,RANDBETWEEN(101,140),IF(B105=6,RANDBETWEEN(101,140),IF(B105=7,RANDBETWEEN(101,140),IF(B105=8,RANDBETWEEN(201,214),IF(B105=9,RANDBETWEEN(201,214),IF(B105=10,RANDBETWEEN(201,214),0)))))))))),Sheet2!$A$2:$D$95,4,FALSE)</f>
        <v>Pet_10071</v>
      </c>
      <c r="G105" t="s">
        <v>185</v>
      </c>
      <c r="H105" t="str">
        <f t="shared" ca="1" si="8"/>
        <v>4,4,3</v>
      </c>
      <c r="I105" t="str">
        <f t="shared" si="9"/>
        <v>3000,3000,2000</v>
      </c>
      <c r="J105">
        <f t="shared" si="12"/>
        <v>400000</v>
      </c>
      <c r="K105">
        <v>2000</v>
      </c>
      <c r="L105">
        <v>5</v>
      </c>
      <c r="M105" t="str">
        <f t="shared" si="11"/>
        <v>1000,10000000|10020330,1</v>
      </c>
    </row>
    <row r="106" spans="1:13" x14ac:dyDescent="0.2">
      <c r="A106">
        <v>103</v>
      </c>
      <c r="B106">
        <v>6</v>
      </c>
      <c r="C106">
        <v>7</v>
      </c>
      <c r="D106">
        <f t="shared" si="6"/>
        <v>2000</v>
      </c>
      <c r="E106">
        <f t="shared" si="7"/>
        <v>360</v>
      </c>
      <c r="F106" t="str">
        <f ca="1">VLOOKUP(IF(B106=1,RANDBETWEEN(1,40),IF(B106=2,RANDBETWEEN(1,40),IF(B106=3,RANDBETWEEN(1,40),IF(B106=4,RANDBETWEEN(101,140),IF(B106=5,RANDBETWEEN(101,140),IF(B106=6,RANDBETWEEN(101,140),IF(B106=7,RANDBETWEEN(101,140),IF(B106=8,RANDBETWEEN(201,214),IF(B106=9,RANDBETWEEN(201,214),IF(B106=10,RANDBETWEEN(201,214),0)))))))))),Sheet2!$A$2:$D$95,4,FALSE)</f>
        <v>Pet_10181</v>
      </c>
      <c r="G106" t="s">
        <v>215</v>
      </c>
      <c r="H106" t="str">
        <f t="shared" ca="1" si="8"/>
        <v>3,4,4</v>
      </c>
      <c r="I106" t="str">
        <f t="shared" si="9"/>
        <v>3000,3000,2000</v>
      </c>
      <c r="J106">
        <f t="shared" si="12"/>
        <v>200000</v>
      </c>
      <c r="K106">
        <v>2000</v>
      </c>
      <c r="L106">
        <v>5</v>
      </c>
      <c r="M106" t="str">
        <f t="shared" si="11"/>
        <v>1000,5000000|10020320,1</v>
      </c>
    </row>
    <row r="107" spans="1:13" x14ac:dyDescent="0.2">
      <c r="A107">
        <v>104</v>
      </c>
      <c r="B107">
        <v>7</v>
      </c>
      <c r="C107">
        <v>7</v>
      </c>
      <c r="D107">
        <f t="shared" si="6"/>
        <v>1400</v>
      </c>
      <c r="E107">
        <f t="shared" si="7"/>
        <v>480</v>
      </c>
      <c r="F107" t="str">
        <f ca="1">VLOOKUP(IF(B107=1,RANDBETWEEN(1,40),IF(B107=2,RANDBETWEEN(1,40),IF(B107=3,RANDBETWEEN(1,40),IF(B107=4,RANDBETWEEN(101,140),IF(B107=5,RANDBETWEEN(101,140),IF(B107=6,RANDBETWEEN(101,140),IF(B107=7,RANDBETWEEN(101,140),IF(B107=8,RANDBETWEEN(201,214),IF(B107=9,RANDBETWEEN(201,214),IF(B107=10,RANDBETWEEN(201,214),0)))))))))),Sheet2!$A$2:$D$95,4,FALSE)</f>
        <v>Pet_10351</v>
      </c>
      <c r="G107" t="s">
        <v>246</v>
      </c>
      <c r="H107" t="str">
        <f t="shared" ca="1" si="8"/>
        <v>3,4,2</v>
      </c>
      <c r="I107" t="str">
        <f t="shared" si="9"/>
        <v>3000,3000,2000</v>
      </c>
      <c r="J107">
        <f t="shared" si="12"/>
        <v>400000</v>
      </c>
      <c r="K107">
        <v>2000</v>
      </c>
      <c r="L107">
        <v>5</v>
      </c>
      <c r="M107" t="str">
        <f t="shared" si="11"/>
        <v>1000,10000000|10020330,1</v>
      </c>
    </row>
    <row r="108" spans="1:13" x14ac:dyDescent="0.2">
      <c r="A108">
        <v>105</v>
      </c>
      <c r="B108">
        <v>8</v>
      </c>
      <c r="C108">
        <v>7</v>
      </c>
      <c r="D108">
        <f t="shared" si="6"/>
        <v>900</v>
      </c>
      <c r="E108">
        <f t="shared" si="7"/>
        <v>600</v>
      </c>
      <c r="F108" t="str">
        <f ca="1">VLOOKUP(IF(B108=1,RANDBETWEEN(1,40),IF(B108=2,RANDBETWEEN(1,40),IF(B108=3,RANDBETWEEN(1,40),IF(B108=4,RANDBETWEEN(101,140),IF(B108=5,RANDBETWEEN(101,140),IF(B108=6,RANDBETWEEN(101,140),IF(B108=7,RANDBETWEEN(101,140),IF(B108=8,RANDBETWEEN(201,214),IF(B108=9,RANDBETWEEN(201,214),IF(B108=10,RANDBETWEEN(201,214),0)))))))))),Sheet2!$A$2:$D$95,4,FALSE)</f>
        <v>Pet_10332</v>
      </c>
      <c r="G108" t="s">
        <v>194</v>
      </c>
      <c r="H108" t="str">
        <f t="shared" ca="1" si="8"/>
        <v>1,5,2</v>
      </c>
      <c r="I108" t="str">
        <f t="shared" si="9"/>
        <v>3000,2000,2000</v>
      </c>
      <c r="J108">
        <f t="shared" si="12"/>
        <v>800000</v>
      </c>
      <c r="K108">
        <v>2000</v>
      </c>
      <c r="L108">
        <v>5</v>
      </c>
      <c r="M108" t="str">
        <f t="shared" si="11"/>
        <v>1000,20000000|10000010,1</v>
      </c>
    </row>
    <row r="109" spans="1:13" x14ac:dyDescent="0.2">
      <c r="A109">
        <v>106</v>
      </c>
      <c r="B109">
        <v>8</v>
      </c>
      <c r="C109">
        <v>7</v>
      </c>
      <c r="D109">
        <f t="shared" si="6"/>
        <v>900</v>
      </c>
      <c r="E109">
        <f t="shared" si="7"/>
        <v>600</v>
      </c>
      <c r="F109" t="str">
        <f ca="1">VLOOKUP(IF(B109=1,RANDBETWEEN(1,40),IF(B109=2,RANDBETWEEN(1,40),IF(B109=3,RANDBETWEEN(1,40),IF(B109=4,RANDBETWEEN(101,140),IF(B109=5,RANDBETWEEN(101,140),IF(B109=6,RANDBETWEEN(101,140),IF(B109=7,RANDBETWEEN(101,140),IF(B109=8,RANDBETWEEN(201,214),IF(B109=9,RANDBETWEEN(201,214),IF(B109=10,RANDBETWEEN(201,214),0)))))))))),Sheet2!$A$2:$D$95,4,FALSE)</f>
        <v>Pet_10122</v>
      </c>
      <c r="G109" t="s">
        <v>181</v>
      </c>
      <c r="H109" t="str">
        <f t="shared" ca="1" si="8"/>
        <v>3,1,6</v>
      </c>
      <c r="I109" t="str">
        <f t="shared" si="9"/>
        <v>3000,2000,2000</v>
      </c>
      <c r="J109">
        <f t="shared" si="12"/>
        <v>800000</v>
      </c>
      <c r="K109">
        <v>2000</v>
      </c>
      <c r="L109">
        <v>5</v>
      </c>
      <c r="M109" t="str">
        <f t="shared" si="11"/>
        <v>1000,20000000|10000010,1</v>
      </c>
    </row>
    <row r="110" spans="1:13" x14ac:dyDescent="0.2">
      <c r="A110">
        <v>107</v>
      </c>
      <c r="B110">
        <v>8</v>
      </c>
      <c r="C110">
        <v>7</v>
      </c>
      <c r="D110">
        <f t="shared" si="6"/>
        <v>900</v>
      </c>
      <c r="E110">
        <f t="shared" si="7"/>
        <v>600</v>
      </c>
      <c r="F110" t="str">
        <f ca="1">VLOOKUP(IF(B110=1,RANDBETWEEN(1,40),IF(B110=2,RANDBETWEEN(1,40),IF(B110=3,RANDBETWEEN(1,40),IF(B110=4,RANDBETWEEN(101,140),IF(B110=5,RANDBETWEEN(101,140),IF(B110=6,RANDBETWEEN(101,140),IF(B110=7,RANDBETWEEN(101,140),IF(B110=8,RANDBETWEEN(201,214),IF(B110=9,RANDBETWEEN(201,214),IF(B110=10,RANDBETWEEN(201,214),0)))))))))),Sheet2!$A$2:$D$95,4,FALSE)</f>
        <v>Pet_10122</v>
      </c>
      <c r="G110" t="s">
        <v>193</v>
      </c>
      <c r="H110" t="str">
        <f t="shared" ca="1" si="8"/>
        <v>1,6,4</v>
      </c>
      <c r="I110" t="str">
        <f t="shared" si="9"/>
        <v>3000,2000,2000</v>
      </c>
      <c r="J110">
        <f t="shared" si="12"/>
        <v>800000</v>
      </c>
      <c r="K110">
        <v>2000</v>
      </c>
      <c r="L110">
        <v>5</v>
      </c>
      <c r="M110" t="str">
        <f t="shared" si="11"/>
        <v>1000,20000000|10000010,1</v>
      </c>
    </row>
    <row r="111" spans="1:13" x14ac:dyDescent="0.2">
      <c r="A111">
        <v>108</v>
      </c>
      <c r="B111">
        <v>9</v>
      </c>
      <c r="C111">
        <v>7</v>
      </c>
      <c r="D111">
        <f t="shared" si="6"/>
        <v>500</v>
      </c>
      <c r="E111">
        <f t="shared" si="7"/>
        <v>840</v>
      </c>
      <c r="F111" t="str">
        <f ca="1">VLOOKUP(IF(B111=1,RANDBETWEEN(1,40),IF(B111=2,RANDBETWEEN(1,40),IF(B111=3,RANDBETWEEN(1,40),IF(B111=4,RANDBETWEEN(101,140),IF(B111=5,RANDBETWEEN(101,140),IF(B111=6,RANDBETWEEN(101,140),IF(B111=7,RANDBETWEEN(101,140),IF(B111=8,RANDBETWEEN(201,214),IF(B111=9,RANDBETWEEN(201,214),IF(B111=10,RANDBETWEEN(201,214),0)))))))))),Sheet2!$A$2:$D$95,4,FALSE)</f>
        <v>Pet_10562</v>
      </c>
      <c r="G111" t="s">
        <v>220</v>
      </c>
      <c r="H111" t="str">
        <f t="shared" ca="1" si="8"/>
        <v>5,5,1</v>
      </c>
      <c r="I111" t="str">
        <f t="shared" si="9"/>
        <v>2000,2000,2000</v>
      </c>
      <c r="J111">
        <f t="shared" si="12"/>
        <v>1200000</v>
      </c>
      <c r="K111">
        <v>2000</v>
      </c>
      <c r="L111">
        <v>5</v>
      </c>
      <c r="M111" t="str">
        <f t="shared" si="11"/>
        <v>1000,50000000|10020440,2</v>
      </c>
    </row>
    <row r="112" spans="1:13" x14ac:dyDescent="0.2">
      <c r="A112">
        <v>109</v>
      </c>
      <c r="B112">
        <v>8</v>
      </c>
      <c r="C112">
        <v>7</v>
      </c>
      <c r="D112">
        <f t="shared" si="6"/>
        <v>900</v>
      </c>
      <c r="E112">
        <f t="shared" si="7"/>
        <v>600</v>
      </c>
      <c r="F112" t="str">
        <f ca="1">VLOOKUP(IF(B112=1,RANDBETWEEN(1,40),IF(B112=2,RANDBETWEEN(1,40),IF(B112=3,RANDBETWEEN(1,40),IF(B112=4,RANDBETWEEN(101,140),IF(B112=5,RANDBETWEEN(101,140),IF(B112=6,RANDBETWEEN(101,140),IF(B112=7,RANDBETWEEN(101,140),IF(B112=8,RANDBETWEEN(201,214),IF(B112=9,RANDBETWEEN(201,214),IF(B112=10,RANDBETWEEN(201,214),0)))))))))),Sheet2!$A$2:$D$95,4,FALSE)</f>
        <v>Pet_10422</v>
      </c>
      <c r="G112" t="s">
        <v>197</v>
      </c>
      <c r="H112" t="str">
        <f t="shared" ca="1" si="8"/>
        <v>2,3,3</v>
      </c>
      <c r="I112" t="str">
        <f t="shared" si="9"/>
        <v>3000,2000,2000</v>
      </c>
      <c r="J112">
        <f t="shared" si="12"/>
        <v>800000</v>
      </c>
      <c r="K112">
        <v>2000</v>
      </c>
      <c r="L112">
        <v>5</v>
      </c>
      <c r="M112" t="str">
        <f t="shared" si="11"/>
        <v>1000,20000000|10000010,1</v>
      </c>
    </row>
    <row r="113" spans="1:13" x14ac:dyDescent="0.2">
      <c r="A113">
        <v>110</v>
      </c>
      <c r="B113">
        <v>8</v>
      </c>
      <c r="C113">
        <v>7</v>
      </c>
      <c r="D113">
        <f t="shared" si="6"/>
        <v>900</v>
      </c>
      <c r="E113">
        <f t="shared" si="7"/>
        <v>600</v>
      </c>
      <c r="F113" t="str">
        <f ca="1">VLOOKUP(IF(B113=1,RANDBETWEEN(1,40),IF(B113=2,RANDBETWEEN(1,40),IF(B113=3,RANDBETWEEN(1,40),IF(B113=4,RANDBETWEEN(101,140),IF(B113=5,RANDBETWEEN(101,140),IF(B113=6,RANDBETWEEN(101,140),IF(B113=7,RANDBETWEEN(101,140),IF(B113=8,RANDBETWEEN(201,214),IF(B113=9,RANDBETWEEN(201,214),IF(B113=10,RANDBETWEEN(201,214),0)))))))))),Sheet2!$A$2:$D$95,4,FALSE)</f>
        <v>Pet_10512</v>
      </c>
      <c r="G113" t="s">
        <v>216</v>
      </c>
      <c r="H113" t="str">
        <f t="shared" ca="1" si="8"/>
        <v>2,5,3</v>
      </c>
      <c r="I113" t="str">
        <f t="shared" si="9"/>
        <v>3000,2000,2000</v>
      </c>
      <c r="J113">
        <f t="shared" si="12"/>
        <v>800000</v>
      </c>
      <c r="K113">
        <v>2000</v>
      </c>
      <c r="L113">
        <v>5</v>
      </c>
      <c r="M113" t="str">
        <f t="shared" si="11"/>
        <v>1000,20000000|10000010,1</v>
      </c>
    </row>
    <row r="114" spans="1:13" x14ac:dyDescent="0.2">
      <c r="A114">
        <v>111</v>
      </c>
      <c r="B114">
        <v>9</v>
      </c>
      <c r="C114">
        <v>7</v>
      </c>
      <c r="D114">
        <f t="shared" si="6"/>
        <v>500</v>
      </c>
      <c r="E114">
        <f t="shared" si="7"/>
        <v>840</v>
      </c>
      <c r="F114" t="str">
        <f ca="1">VLOOKUP(IF(B114=1,RANDBETWEEN(1,40),IF(B114=2,RANDBETWEEN(1,40),IF(B114=3,RANDBETWEEN(1,40),IF(B114=4,RANDBETWEEN(101,140),IF(B114=5,RANDBETWEEN(101,140),IF(B114=6,RANDBETWEEN(101,140),IF(B114=7,RANDBETWEEN(101,140),IF(B114=8,RANDBETWEEN(201,214),IF(B114=9,RANDBETWEEN(201,214),IF(B114=10,RANDBETWEEN(201,214),0)))))))))),Sheet2!$A$2:$D$95,4,FALSE)</f>
        <v>Pet_10512</v>
      </c>
      <c r="G114" t="s">
        <v>247</v>
      </c>
      <c r="H114" t="str">
        <f t="shared" ca="1" si="8"/>
        <v>4,2,6</v>
      </c>
      <c r="I114" t="str">
        <f t="shared" si="9"/>
        <v>2000,2000,2000</v>
      </c>
      <c r="J114">
        <f t="shared" si="12"/>
        <v>1200000</v>
      </c>
      <c r="K114">
        <v>2000</v>
      </c>
      <c r="L114">
        <v>5</v>
      </c>
      <c r="M114" t="str">
        <f t="shared" si="11"/>
        <v>1000,50000000|10020440,2</v>
      </c>
    </row>
    <row r="115" spans="1:13" x14ac:dyDescent="0.2">
      <c r="A115">
        <v>112</v>
      </c>
      <c r="B115">
        <v>5</v>
      </c>
      <c r="C115">
        <v>7</v>
      </c>
      <c r="D115">
        <f t="shared" si="6"/>
        <v>3000</v>
      </c>
      <c r="E115">
        <f t="shared" si="7"/>
        <v>240</v>
      </c>
      <c r="F115" t="str">
        <f ca="1">VLOOKUP(IF(B115=1,RANDBETWEEN(1,40),IF(B115=2,RANDBETWEEN(1,40),IF(B115=3,RANDBETWEEN(1,40),IF(B115=4,RANDBETWEEN(101,140),IF(B115=5,RANDBETWEEN(101,140),IF(B115=6,RANDBETWEEN(101,140),IF(B115=7,RANDBETWEEN(101,140),IF(B115=8,RANDBETWEEN(201,214),IF(B115=9,RANDBETWEEN(201,214),IF(B115=10,RANDBETWEEN(201,214),0)))))))))),Sheet2!$A$2:$D$95,4,FALSE)</f>
        <v>Pet_10601</v>
      </c>
      <c r="G115" t="s">
        <v>184</v>
      </c>
      <c r="H115" t="str">
        <f t="shared" ca="1" si="8"/>
        <v>4,5,2</v>
      </c>
      <c r="I115" t="str">
        <f t="shared" si="9"/>
        <v>3000,3000,2000</v>
      </c>
      <c r="J115">
        <f t="shared" si="12"/>
        <v>120000</v>
      </c>
      <c r="K115">
        <v>2000</v>
      </c>
      <c r="L115">
        <v>5</v>
      </c>
      <c r="M115" t="str">
        <f t="shared" si="11"/>
        <v>1000,2000000|10010050,5|10010150,5</v>
      </c>
    </row>
    <row r="116" spans="1:13" x14ac:dyDescent="0.2">
      <c r="A116">
        <v>113</v>
      </c>
      <c r="B116">
        <v>5</v>
      </c>
      <c r="C116">
        <v>7</v>
      </c>
      <c r="D116">
        <f t="shared" si="6"/>
        <v>3000</v>
      </c>
      <c r="E116">
        <f t="shared" si="7"/>
        <v>240</v>
      </c>
      <c r="F116" t="str">
        <f ca="1">VLOOKUP(IF(B116=1,RANDBETWEEN(1,40),IF(B116=2,RANDBETWEEN(1,40),IF(B116=3,RANDBETWEEN(1,40),IF(B116=4,RANDBETWEEN(101,140),IF(B116=5,RANDBETWEEN(101,140),IF(B116=6,RANDBETWEEN(101,140),IF(B116=7,RANDBETWEEN(101,140),IF(B116=8,RANDBETWEEN(201,214),IF(B116=9,RANDBETWEEN(201,214),IF(B116=10,RANDBETWEEN(201,214),0)))))))))),Sheet2!$A$2:$D$95,4,FALSE)</f>
        <v>Pet_10131</v>
      </c>
      <c r="G116" t="s">
        <v>195</v>
      </c>
      <c r="H116" t="str">
        <f t="shared" ca="1" si="8"/>
        <v>6,3,2</v>
      </c>
      <c r="I116" t="str">
        <f t="shared" si="9"/>
        <v>3000,3000,2000</v>
      </c>
      <c r="J116">
        <f t="shared" si="12"/>
        <v>120000</v>
      </c>
      <c r="K116">
        <v>2000</v>
      </c>
      <c r="L116">
        <v>5</v>
      </c>
      <c r="M116" t="str">
        <f t="shared" si="11"/>
        <v>1000,2000000|10010050,5|10010150,5</v>
      </c>
    </row>
    <row r="117" spans="1:13" x14ac:dyDescent="0.2">
      <c r="A117">
        <v>114</v>
      </c>
      <c r="B117">
        <v>5</v>
      </c>
      <c r="C117">
        <v>7</v>
      </c>
      <c r="D117">
        <f t="shared" si="6"/>
        <v>3000</v>
      </c>
      <c r="E117">
        <f t="shared" si="7"/>
        <v>240</v>
      </c>
      <c r="F117" t="str">
        <f ca="1">VLOOKUP(IF(B117=1,RANDBETWEEN(1,40),IF(B117=2,RANDBETWEEN(1,40),IF(B117=3,RANDBETWEEN(1,40),IF(B117=4,RANDBETWEEN(101,140),IF(B117=5,RANDBETWEEN(101,140),IF(B117=6,RANDBETWEEN(101,140),IF(B117=7,RANDBETWEEN(101,140),IF(B117=8,RANDBETWEEN(201,214),IF(B117=9,RANDBETWEEN(201,214),IF(B117=10,RANDBETWEEN(201,214),0)))))))))),Sheet2!$A$2:$D$95,4,FALSE)</f>
        <v>Pet_10251</v>
      </c>
      <c r="G117" t="s">
        <v>202</v>
      </c>
      <c r="H117" t="str">
        <f t="shared" ca="1" si="8"/>
        <v>2,5,6</v>
      </c>
      <c r="I117" t="str">
        <f t="shared" si="9"/>
        <v>3000,3000,2000</v>
      </c>
      <c r="J117">
        <f t="shared" si="12"/>
        <v>120000</v>
      </c>
      <c r="K117">
        <v>2000</v>
      </c>
      <c r="L117">
        <v>5</v>
      </c>
      <c r="M117" t="str">
        <f t="shared" si="11"/>
        <v>1000,2000000|10010050,5|10010150,5</v>
      </c>
    </row>
    <row r="118" spans="1:13" x14ac:dyDescent="0.2">
      <c r="A118">
        <v>115</v>
      </c>
      <c r="B118">
        <v>6</v>
      </c>
      <c r="C118">
        <v>7</v>
      </c>
      <c r="D118">
        <f t="shared" si="6"/>
        <v>2000</v>
      </c>
      <c r="E118">
        <f t="shared" si="7"/>
        <v>360</v>
      </c>
      <c r="F118" t="str">
        <f ca="1">VLOOKUP(IF(B118=1,RANDBETWEEN(1,40),IF(B118=2,RANDBETWEEN(1,40),IF(B118=3,RANDBETWEEN(1,40),IF(B118=4,RANDBETWEEN(101,140),IF(B118=5,RANDBETWEEN(101,140),IF(B118=6,RANDBETWEEN(101,140),IF(B118=7,RANDBETWEEN(101,140),IF(B118=8,RANDBETWEEN(201,214),IF(B118=9,RANDBETWEEN(201,214),IF(B118=10,RANDBETWEEN(201,214),0)))))))))),Sheet2!$A$2:$D$95,4,FALSE)</f>
        <v>Pet_10191</v>
      </c>
      <c r="G118" t="s">
        <v>235</v>
      </c>
      <c r="H118" t="str">
        <f t="shared" ca="1" si="8"/>
        <v>6,5,5</v>
      </c>
      <c r="I118" t="str">
        <f t="shared" si="9"/>
        <v>3000,3000,2000</v>
      </c>
      <c r="J118">
        <f t="shared" si="12"/>
        <v>200000</v>
      </c>
      <c r="K118">
        <v>2000</v>
      </c>
      <c r="L118">
        <v>5</v>
      </c>
      <c r="M118" t="str">
        <f t="shared" si="11"/>
        <v>1000,5000000|10020320,1</v>
      </c>
    </row>
    <row r="119" spans="1:13" x14ac:dyDescent="0.2">
      <c r="A119">
        <v>116</v>
      </c>
      <c r="B119">
        <v>6</v>
      </c>
      <c r="C119">
        <v>7</v>
      </c>
      <c r="D119">
        <f t="shared" si="6"/>
        <v>2000</v>
      </c>
      <c r="E119">
        <f t="shared" si="7"/>
        <v>360</v>
      </c>
      <c r="F119" t="str">
        <f ca="1">VLOOKUP(IF(B119=1,RANDBETWEEN(1,40),IF(B119=2,RANDBETWEEN(1,40),IF(B119=3,RANDBETWEEN(1,40),IF(B119=4,RANDBETWEEN(101,140),IF(B119=5,RANDBETWEEN(101,140),IF(B119=6,RANDBETWEEN(101,140),IF(B119=7,RANDBETWEEN(101,140),IF(B119=8,RANDBETWEEN(201,214),IF(B119=9,RANDBETWEEN(201,214),IF(B119=10,RANDBETWEEN(201,214),0)))))))))),Sheet2!$A$2:$D$95,4,FALSE)</f>
        <v>Pet_10121</v>
      </c>
      <c r="G119" t="s">
        <v>185</v>
      </c>
      <c r="H119" t="str">
        <f t="shared" ca="1" si="8"/>
        <v>6,6,3</v>
      </c>
      <c r="I119" t="str">
        <f t="shared" si="9"/>
        <v>3000,3000,2000</v>
      </c>
      <c r="J119">
        <f t="shared" si="12"/>
        <v>200000</v>
      </c>
      <c r="K119">
        <v>2000</v>
      </c>
      <c r="L119">
        <v>5</v>
      </c>
      <c r="M119" t="str">
        <f t="shared" si="11"/>
        <v>1000,5000000|10020320,1</v>
      </c>
    </row>
    <row r="120" spans="1:13" x14ac:dyDescent="0.2">
      <c r="A120">
        <v>117</v>
      </c>
      <c r="B120">
        <v>6</v>
      </c>
      <c r="C120">
        <v>7</v>
      </c>
      <c r="D120">
        <f t="shared" si="6"/>
        <v>2000</v>
      </c>
      <c r="E120">
        <f t="shared" si="7"/>
        <v>360</v>
      </c>
      <c r="F120" t="str">
        <f ca="1">VLOOKUP(IF(B120=1,RANDBETWEEN(1,40),IF(B120=2,RANDBETWEEN(1,40),IF(B120=3,RANDBETWEEN(1,40),IF(B120=4,RANDBETWEEN(101,140),IF(B120=5,RANDBETWEEN(101,140),IF(B120=6,RANDBETWEEN(101,140),IF(B120=7,RANDBETWEEN(101,140),IF(B120=8,RANDBETWEEN(201,214),IF(B120=9,RANDBETWEEN(201,214),IF(B120=10,RANDBETWEEN(201,214),0)))))))))),Sheet2!$A$2:$D$95,4,FALSE)</f>
        <v>Pet_10331</v>
      </c>
      <c r="G120" t="s">
        <v>215</v>
      </c>
      <c r="H120" t="str">
        <f t="shared" ca="1" si="8"/>
        <v>2,4,5</v>
      </c>
      <c r="I120" t="str">
        <f t="shared" si="9"/>
        <v>3000,3000,2000</v>
      </c>
      <c r="J120">
        <f t="shared" si="12"/>
        <v>200000</v>
      </c>
      <c r="K120">
        <v>2000</v>
      </c>
      <c r="L120">
        <v>5</v>
      </c>
      <c r="M120" t="str">
        <f t="shared" si="11"/>
        <v>1000,5000000|10020320,1</v>
      </c>
    </row>
    <row r="121" spans="1:13" x14ac:dyDescent="0.2">
      <c r="A121">
        <v>118</v>
      </c>
      <c r="B121">
        <v>7</v>
      </c>
      <c r="C121">
        <v>7</v>
      </c>
      <c r="D121">
        <f t="shared" si="6"/>
        <v>1400</v>
      </c>
      <c r="E121">
        <f t="shared" si="7"/>
        <v>480</v>
      </c>
      <c r="F121" t="str">
        <f ca="1">VLOOKUP(IF(B121=1,RANDBETWEEN(1,40),IF(B121=2,RANDBETWEEN(1,40),IF(B121=3,RANDBETWEEN(1,40),IF(B121=4,RANDBETWEEN(101,140),IF(B121=5,RANDBETWEEN(101,140),IF(B121=6,RANDBETWEEN(101,140),IF(B121=7,RANDBETWEEN(101,140),IF(B121=8,RANDBETWEEN(201,214),IF(B121=9,RANDBETWEEN(201,214),IF(B121=10,RANDBETWEEN(201,214),0)))))))))),Sheet2!$A$2:$D$95,4,FALSE)</f>
        <v>Pet_10151</v>
      </c>
      <c r="G121" t="s">
        <v>246</v>
      </c>
      <c r="H121" t="str">
        <f t="shared" ca="1" si="8"/>
        <v>1,2,2</v>
      </c>
      <c r="I121" t="str">
        <f t="shared" si="9"/>
        <v>3000,3000,2000</v>
      </c>
      <c r="J121">
        <f t="shared" si="12"/>
        <v>400000</v>
      </c>
      <c r="K121">
        <v>2000</v>
      </c>
      <c r="L121">
        <v>5</v>
      </c>
      <c r="M121" t="str">
        <f t="shared" si="11"/>
        <v>1000,10000000|10020330,1</v>
      </c>
    </row>
    <row r="122" spans="1:13" x14ac:dyDescent="0.2">
      <c r="A122">
        <v>119</v>
      </c>
      <c r="B122">
        <v>7</v>
      </c>
      <c r="C122">
        <v>7</v>
      </c>
      <c r="D122">
        <f t="shared" si="6"/>
        <v>1400</v>
      </c>
      <c r="E122">
        <f t="shared" si="7"/>
        <v>480</v>
      </c>
      <c r="F122" t="str">
        <f ca="1">VLOOKUP(IF(B122=1,RANDBETWEEN(1,40),IF(B122=2,RANDBETWEEN(1,40),IF(B122=3,RANDBETWEEN(1,40),IF(B122=4,RANDBETWEEN(101,140),IF(B122=5,RANDBETWEEN(101,140),IF(B122=6,RANDBETWEEN(101,140),IF(B122=7,RANDBETWEEN(101,140),IF(B122=8,RANDBETWEEN(201,214),IF(B122=9,RANDBETWEEN(201,214),IF(B122=10,RANDBETWEEN(201,214),0)))))))))),Sheet2!$A$2:$D$95,4,FALSE)</f>
        <v>Pet_10121</v>
      </c>
      <c r="G122" t="s">
        <v>194</v>
      </c>
      <c r="H122" t="str">
        <f t="shared" ca="1" si="8"/>
        <v>3,6,6</v>
      </c>
      <c r="I122" t="str">
        <f t="shared" si="9"/>
        <v>3000,3000,2000</v>
      </c>
      <c r="J122">
        <f t="shared" si="12"/>
        <v>400000</v>
      </c>
      <c r="K122">
        <v>2000</v>
      </c>
      <c r="L122">
        <v>5</v>
      </c>
      <c r="M122" t="str">
        <f t="shared" si="11"/>
        <v>1000,10000000|10020330,1</v>
      </c>
    </row>
    <row r="123" spans="1:13" x14ac:dyDescent="0.2">
      <c r="A123">
        <v>120</v>
      </c>
      <c r="B123">
        <v>7</v>
      </c>
      <c r="C123">
        <v>7</v>
      </c>
      <c r="D123">
        <f t="shared" si="6"/>
        <v>1400</v>
      </c>
      <c r="E123">
        <f t="shared" si="7"/>
        <v>480</v>
      </c>
      <c r="F123" t="str">
        <f ca="1">VLOOKUP(IF(B123=1,RANDBETWEEN(1,40),IF(B123=2,RANDBETWEEN(1,40),IF(B123=3,RANDBETWEEN(1,40),IF(B123=4,RANDBETWEEN(101,140),IF(B123=5,RANDBETWEEN(101,140),IF(B123=6,RANDBETWEEN(101,140),IF(B123=7,RANDBETWEEN(101,140),IF(B123=8,RANDBETWEEN(201,214),IF(B123=9,RANDBETWEEN(201,214),IF(B123=10,RANDBETWEEN(201,214),0)))))))))),Sheet2!$A$2:$D$95,4,FALSE)</f>
        <v>Pet_10271</v>
      </c>
      <c r="G123" t="s">
        <v>181</v>
      </c>
      <c r="H123" t="str">
        <f t="shared" ca="1" si="8"/>
        <v>4,5,5</v>
      </c>
      <c r="I123" t="str">
        <f t="shared" si="9"/>
        <v>3000,3000,2000</v>
      </c>
      <c r="J123">
        <f t="shared" si="12"/>
        <v>400000</v>
      </c>
      <c r="K123">
        <v>2000</v>
      </c>
      <c r="L123">
        <v>5</v>
      </c>
      <c r="M123" t="str">
        <f t="shared" si="11"/>
        <v>1000,10000000|10020330,1</v>
      </c>
    </row>
    <row r="124" spans="1:13" x14ac:dyDescent="0.2">
      <c r="A124">
        <v>121</v>
      </c>
      <c r="B124">
        <v>7</v>
      </c>
      <c r="C124">
        <v>8</v>
      </c>
      <c r="D124">
        <f t="shared" si="6"/>
        <v>1400</v>
      </c>
      <c r="E124">
        <f t="shared" si="7"/>
        <v>480</v>
      </c>
      <c r="F124" t="str">
        <f ca="1">VLOOKUP(IF(B124=1,RANDBETWEEN(1,40),IF(B124=2,RANDBETWEEN(1,40),IF(B124=3,RANDBETWEEN(1,40),IF(B124=4,RANDBETWEEN(101,140),IF(B124=5,RANDBETWEEN(101,140),IF(B124=6,RANDBETWEEN(101,140),IF(B124=7,RANDBETWEEN(101,140),IF(B124=8,RANDBETWEEN(201,214),IF(B124=9,RANDBETWEEN(201,214),IF(B124=10,RANDBETWEEN(201,214),0)))))))))),Sheet2!$A$2:$D$95,4,FALSE)</f>
        <v>Pet_10061</v>
      </c>
      <c r="G124" t="s">
        <v>193</v>
      </c>
      <c r="H124" t="str">
        <f t="shared" ca="1" si="8"/>
        <v>5,4,2</v>
      </c>
      <c r="I124" t="str">
        <f t="shared" si="9"/>
        <v>3000,3000,2000</v>
      </c>
      <c r="J124">
        <f t="shared" si="12"/>
        <v>400000</v>
      </c>
      <c r="K124">
        <v>2000</v>
      </c>
      <c r="L124">
        <v>5</v>
      </c>
      <c r="M124" t="str">
        <f t="shared" si="11"/>
        <v>1000,10000000|10020330,1</v>
      </c>
    </row>
    <row r="125" spans="1:13" x14ac:dyDescent="0.2">
      <c r="A125">
        <v>122</v>
      </c>
      <c r="B125">
        <v>7</v>
      </c>
      <c r="C125">
        <v>8</v>
      </c>
      <c r="D125">
        <f t="shared" si="6"/>
        <v>1400</v>
      </c>
      <c r="E125">
        <f t="shared" si="7"/>
        <v>480</v>
      </c>
      <c r="F125" t="str">
        <f ca="1">VLOOKUP(IF(B125=1,RANDBETWEEN(1,40),IF(B125=2,RANDBETWEEN(1,40),IF(B125=3,RANDBETWEEN(1,40),IF(B125=4,RANDBETWEEN(101,140),IF(B125=5,RANDBETWEEN(101,140),IF(B125=6,RANDBETWEEN(101,140),IF(B125=7,RANDBETWEEN(101,140),IF(B125=8,RANDBETWEEN(201,214),IF(B125=9,RANDBETWEEN(201,214),IF(B125=10,RANDBETWEEN(201,214),0)))))))))),Sheet2!$A$2:$D$95,4,FALSE)</f>
        <v>Pet_10601</v>
      </c>
      <c r="G125" t="s">
        <v>220</v>
      </c>
      <c r="H125" t="str">
        <f t="shared" ca="1" si="8"/>
        <v>3,2,3</v>
      </c>
      <c r="I125" t="str">
        <f t="shared" si="9"/>
        <v>3000,3000,2000</v>
      </c>
      <c r="J125">
        <f t="shared" si="12"/>
        <v>400000</v>
      </c>
      <c r="K125">
        <v>2000</v>
      </c>
      <c r="L125">
        <v>5</v>
      </c>
      <c r="M125" t="str">
        <f t="shared" si="11"/>
        <v>1000,10000000|10020330,1</v>
      </c>
    </row>
    <row r="126" spans="1:13" x14ac:dyDescent="0.2">
      <c r="A126">
        <v>123</v>
      </c>
      <c r="B126">
        <v>10</v>
      </c>
      <c r="C126">
        <v>8</v>
      </c>
      <c r="D126">
        <f t="shared" si="6"/>
        <v>200</v>
      </c>
      <c r="E126">
        <f t="shared" si="7"/>
        <v>1080</v>
      </c>
      <c r="F126" t="str">
        <f ca="1">VLOOKUP(IF(B126=1,RANDBETWEEN(1,40),IF(B126=2,RANDBETWEEN(1,40),IF(B126=3,RANDBETWEEN(1,40),IF(B126=4,RANDBETWEEN(101,140),IF(B126=5,RANDBETWEEN(101,140),IF(B126=6,RANDBETWEEN(101,140),IF(B126=7,RANDBETWEEN(101,140),IF(B126=8,RANDBETWEEN(201,214),IF(B126=9,RANDBETWEEN(201,214),IF(B126=10,RANDBETWEEN(201,214),0)))))))))),Sheet2!$A$2:$D$95,4,FALSE)</f>
        <v>Pet_10582</v>
      </c>
      <c r="G126" t="s">
        <v>197</v>
      </c>
      <c r="H126" t="str">
        <f t="shared" ca="1" si="8"/>
        <v>4,6,3</v>
      </c>
      <c r="I126" t="str">
        <f t="shared" si="9"/>
        <v>2000,2000,1000</v>
      </c>
      <c r="J126">
        <f t="shared" si="12"/>
        <v>1500000</v>
      </c>
      <c r="K126">
        <v>2000</v>
      </c>
      <c r="L126">
        <v>5</v>
      </c>
      <c r="M126" t="str">
        <f t="shared" si="11"/>
        <v>1000,100000000|10000010,10</v>
      </c>
    </row>
    <row r="127" spans="1:13" x14ac:dyDescent="0.2">
      <c r="A127">
        <v>124</v>
      </c>
      <c r="B127">
        <v>6</v>
      </c>
      <c r="C127">
        <v>8</v>
      </c>
      <c r="D127">
        <f t="shared" si="6"/>
        <v>2000</v>
      </c>
      <c r="E127">
        <f t="shared" si="7"/>
        <v>360</v>
      </c>
      <c r="F127" t="str">
        <f ca="1">VLOOKUP(IF(B127=1,RANDBETWEEN(1,40),IF(B127=2,RANDBETWEEN(1,40),IF(B127=3,RANDBETWEEN(1,40),IF(B127=4,RANDBETWEEN(101,140),IF(B127=5,RANDBETWEEN(101,140),IF(B127=6,RANDBETWEEN(101,140),IF(B127=7,RANDBETWEEN(101,140),IF(B127=8,RANDBETWEEN(201,214),IF(B127=9,RANDBETWEEN(201,214),IF(B127=10,RANDBETWEEN(201,214),0)))))))))),Sheet2!$A$2:$D$95,4,FALSE)</f>
        <v>Pet_10181</v>
      </c>
      <c r="G127" t="s">
        <v>216</v>
      </c>
      <c r="H127" t="str">
        <f t="shared" ca="1" si="8"/>
        <v>2,4,5</v>
      </c>
      <c r="I127" t="str">
        <f t="shared" si="9"/>
        <v>3000,3000,2000</v>
      </c>
      <c r="J127">
        <f t="shared" si="12"/>
        <v>200000</v>
      </c>
      <c r="K127">
        <v>2000</v>
      </c>
      <c r="L127">
        <v>5</v>
      </c>
      <c r="M127" t="str">
        <f t="shared" si="11"/>
        <v>1000,5000000|10020320,1</v>
      </c>
    </row>
    <row r="128" spans="1:13" x14ac:dyDescent="0.2">
      <c r="A128">
        <v>125</v>
      </c>
      <c r="B128">
        <v>4</v>
      </c>
      <c r="C128">
        <v>8</v>
      </c>
      <c r="D128">
        <f t="shared" si="6"/>
        <v>4500</v>
      </c>
      <c r="E128">
        <f t="shared" si="7"/>
        <v>120</v>
      </c>
      <c r="F128" t="str">
        <f ca="1">VLOOKUP(IF(B128=1,RANDBETWEEN(1,40),IF(B128=2,RANDBETWEEN(1,40),IF(B128=3,RANDBETWEEN(1,40),IF(B128=4,RANDBETWEEN(101,140),IF(B128=5,RANDBETWEEN(101,140),IF(B128=6,RANDBETWEEN(101,140),IF(B128=7,RANDBETWEEN(101,140),IF(B128=8,RANDBETWEEN(201,214),IF(B128=9,RANDBETWEEN(201,214),IF(B128=10,RANDBETWEEN(201,214),0)))))))))),Sheet2!$A$2:$D$95,4,FALSE)</f>
        <v>Pet_10581</v>
      </c>
      <c r="G128" t="s">
        <v>247</v>
      </c>
      <c r="H128" t="str">
        <f t="shared" ca="1" si="8"/>
        <v>4,2,3</v>
      </c>
      <c r="I128" t="str">
        <f t="shared" si="9"/>
        <v>3000,3000,2000</v>
      </c>
      <c r="J128">
        <f t="shared" si="12"/>
        <v>80000</v>
      </c>
      <c r="K128">
        <v>2000</v>
      </c>
      <c r="L128">
        <v>5</v>
      </c>
      <c r="M128" t="str">
        <f t="shared" si="11"/>
        <v>1000,1000000|10010020,5|10010120,5</v>
      </c>
    </row>
    <row r="129" spans="1:13" x14ac:dyDescent="0.2">
      <c r="A129">
        <v>126</v>
      </c>
      <c r="B129">
        <v>8</v>
      </c>
      <c r="C129">
        <v>8</v>
      </c>
      <c r="D129">
        <f t="shared" si="6"/>
        <v>900</v>
      </c>
      <c r="E129">
        <f t="shared" si="7"/>
        <v>600</v>
      </c>
      <c r="F129" t="str">
        <f ca="1">VLOOKUP(IF(B129=1,RANDBETWEEN(1,40),IF(B129=2,RANDBETWEEN(1,40),IF(B129=3,RANDBETWEEN(1,40),IF(B129=4,RANDBETWEEN(101,140),IF(B129=5,RANDBETWEEN(101,140),IF(B129=6,RANDBETWEEN(101,140),IF(B129=7,RANDBETWEEN(101,140),IF(B129=8,RANDBETWEEN(201,214),IF(B129=9,RANDBETWEEN(201,214),IF(B129=10,RANDBETWEEN(201,214),0)))))))))),Sheet2!$A$2:$D$95,4,FALSE)</f>
        <v>Pet_10062</v>
      </c>
      <c r="G129" t="s">
        <v>184</v>
      </c>
      <c r="H129" t="str">
        <f t="shared" ca="1" si="8"/>
        <v>3,4,6</v>
      </c>
      <c r="I129" t="str">
        <f t="shared" si="9"/>
        <v>3000,2000,2000</v>
      </c>
      <c r="J129">
        <f t="shared" si="12"/>
        <v>800000</v>
      </c>
      <c r="K129">
        <v>2000</v>
      </c>
      <c r="L129">
        <v>5</v>
      </c>
      <c r="M129" t="str">
        <f t="shared" si="11"/>
        <v>1000,20000000|10000010,1</v>
      </c>
    </row>
    <row r="130" spans="1:13" x14ac:dyDescent="0.2">
      <c r="A130">
        <v>127</v>
      </c>
      <c r="B130">
        <v>8</v>
      </c>
      <c r="C130">
        <v>8</v>
      </c>
      <c r="D130">
        <f t="shared" si="6"/>
        <v>900</v>
      </c>
      <c r="E130">
        <f t="shared" si="7"/>
        <v>600</v>
      </c>
      <c r="F130" t="str">
        <f ca="1">VLOOKUP(IF(B130=1,RANDBETWEEN(1,40),IF(B130=2,RANDBETWEEN(1,40),IF(B130=3,RANDBETWEEN(1,40),IF(B130=4,RANDBETWEEN(101,140),IF(B130=5,RANDBETWEEN(101,140),IF(B130=6,RANDBETWEEN(101,140),IF(B130=7,RANDBETWEEN(101,140),IF(B130=8,RANDBETWEEN(201,214),IF(B130=9,RANDBETWEEN(201,214),IF(B130=10,RANDBETWEEN(201,214),0)))))))))),Sheet2!$A$2:$D$95,4,FALSE)</f>
        <v>Pet_10272</v>
      </c>
      <c r="G130" t="s">
        <v>195</v>
      </c>
      <c r="H130" t="str">
        <f t="shared" ca="1" si="8"/>
        <v>5,3,2</v>
      </c>
      <c r="I130" t="str">
        <f t="shared" si="9"/>
        <v>3000,2000,2000</v>
      </c>
      <c r="J130">
        <f t="shared" si="12"/>
        <v>800000</v>
      </c>
      <c r="K130">
        <v>2000</v>
      </c>
      <c r="L130">
        <v>5</v>
      </c>
      <c r="M130" t="str">
        <f t="shared" si="11"/>
        <v>1000,20000000|10000010,1</v>
      </c>
    </row>
    <row r="131" spans="1:13" x14ac:dyDescent="0.2">
      <c r="A131">
        <v>128</v>
      </c>
      <c r="B131">
        <v>8</v>
      </c>
      <c r="C131">
        <v>8</v>
      </c>
      <c r="D131">
        <f t="shared" si="6"/>
        <v>900</v>
      </c>
      <c r="E131">
        <f t="shared" si="7"/>
        <v>600</v>
      </c>
      <c r="F131" t="str">
        <f ca="1">VLOOKUP(IF(B131=1,RANDBETWEEN(1,40),IF(B131=2,RANDBETWEEN(1,40),IF(B131=3,RANDBETWEEN(1,40),IF(B131=4,RANDBETWEEN(101,140),IF(B131=5,RANDBETWEEN(101,140),IF(B131=6,RANDBETWEEN(101,140),IF(B131=7,RANDBETWEEN(101,140),IF(B131=8,RANDBETWEEN(201,214),IF(B131=9,RANDBETWEEN(201,214),IF(B131=10,RANDBETWEEN(201,214),0)))))))))),Sheet2!$A$2:$D$95,4,FALSE)</f>
        <v>Pet_10122</v>
      </c>
      <c r="G131" t="s">
        <v>202</v>
      </c>
      <c r="H131" t="str">
        <f t="shared" ca="1" si="8"/>
        <v>3,1,3</v>
      </c>
      <c r="I131" t="str">
        <f t="shared" si="9"/>
        <v>3000,2000,2000</v>
      </c>
      <c r="J131">
        <f t="shared" si="12"/>
        <v>800000</v>
      </c>
      <c r="K131">
        <v>2000</v>
      </c>
      <c r="L131">
        <v>5</v>
      </c>
      <c r="M131" t="str">
        <f t="shared" si="11"/>
        <v>1000,20000000|10000010,1</v>
      </c>
    </row>
    <row r="132" spans="1:13" x14ac:dyDescent="0.2">
      <c r="A132">
        <v>129</v>
      </c>
      <c r="B132">
        <v>9</v>
      </c>
      <c r="C132">
        <v>8</v>
      </c>
      <c r="D132">
        <f t="shared" si="6"/>
        <v>500</v>
      </c>
      <c r="E132">
        <f t="shared" si="7"/>
        <v>840</v>
      </c>
      <c r="F132" t="str">
        <f ca="1">VLOOKUP(IF(B132=1,RANDBETWEEN(1,40),IF(B132=2,RANDBETWEEN(1,40),IF(B132=3,RANDBETWEEN(1,40),IF(B132=4,RANDBETWEEN(101,140),IF(B132=5,RANDBETWEEN(101,140),IF(B132=6,RANDBETWEEN(101,140),IF(B132=7,RANDBETWEEN(101,140),IF(B132=8,RANDBETWEEN(201,214),IF(B132=9,RANDBETWEEN(201,214),IF(B132=10,RANDBETWEEN(201,214),0)))))))))),Sheet2!$A$2:$D$95,4,FALSE)</f>
        <v>Pet_10622</v>
      </c>
      <c r="G132" t="s">
        <v>235</v>
      </c>
      <c r="H132" t="str">
        <f t="shared" ca="1" si="8"/>
        <v>5,1,3</v>
      </c>
      <c r="I132" t="str">
        <f t="shared" si="9"/>
        <v>2000,2000,2000</v>
      </c>
      <c r="J132">
        <f t="shared" si="12"/>
        <v>1200000</v>
      </c>
      <c r="K132">
        <v>2000</v>
      </c>
      <c r="L132">
        <v>5</v>
      </c>
      <c r="M132" t="str">
        <f t="shared" si="11"/>
        <v>1000,50000000|10020440,2</v>
      </c>
    </row>
    <row r="133" spans="1:13" x14ac:dyDescent="0.2">
      <c r="A133">
        <v>130</v>
      </c>
      <c r="B133">
        <v>8</v>
      </c>
      <c r="C133">
        <v>8</v>
      </c>
      <c r="D133">
        <f t="shared" ref="D133:D186" si="13">IF(B133=1,10000,IF(B133=2,8000,IF(B133=3,6000,IF(B133=4,4500,IF(B133=5,3000,IF(B133=6,2000,IF(B133=7,1400,IF(B133=8,900,IF(B133=9,500,IF(B133=10,200,0))))))))))</f>
        <v>900</v>
      </c>
      <c r="E133">
        <f t="shared" ref="E133:E186" si="14">IF(B133=1,30,IF(B133=2,60,IF(B133=3,90,IF(B133=4,120,IF(B133=5,240,IF(B133=6,360,IF(B133=7,480,IF(B133=8,600,IF(B133=9,840,IF(B133=10,1080,0))))))))))</f>
        <v>600</v>
      </c>
      <c r="F133" t="str">
        <f ca="1">VLOOKUP(IF(B133=1,RANDBETWEEN(1,40),IF(B133=2,RANDBETWEEN(1,40),IF(B133=3,RANDBETWEEN(1,40),IF(B133=4,RANDBETWEEN(101,140),IF(B133=5,RANDBETWEEN(101,140),IF(B133=6,RANDBETWEEN(101,140),IF(B133=7,RANDBETWEEN(101,140),IF(B133=8,RANDBETWEEN(201,214),IF(B133=9,RANDBETWEEN(201,214),IF(B133=10,RANDBETWEEN(201,214),0)))))))))),Sheet2!$A$2:$D$95,4,FALSE)</f>
        <v>Pet_10062</v>
      </c>
      <c r="G133" t="s">
        <v>185</v>
      </c>
      <c r="H133" t="str">
        <f t="shared" ref="H133:H186" ca="1" si="15">IF(B133=1,RANDBETWEEN(1,6)&amp;","&amp;RANDBETWEEN(1,6),IF(B133=2,RANDBETWEEN(1,6)&amp;","&amp;RANDBETWEEN(1,6),IF(B133=3,RANDBETWEEN(1,6)&amp;","&amp;RANDBETWEEN(1,6),IF(B133=4,RANDBETWEEN(1,6)&amp;","&amp;RANDBETWEEN(1,6)&amp;","&amp;RANDBETWEEN(1,6),IF(B133=5,RANDBETWEEN(1,6)&amp;","&amp;RANDBETWEEN(1,6)&amp;","&amp;RANDBETWEEN(1,6),IF(B133=6,RANDBETWEEN(1,6)&amp;","&amp;RANDBETWEEN(1,6)&amp;","&amp;RANDBETWEEN(1,6),IF(B133=7,RANDBETWEEN(1,6)&amp;","&amp;RANDBETWEEN(1,6)&amp;","&amp;RANDBETWEEN(1,6),IF(B133=8,RANDBETWEEN(1,6)&amp;","&amp;RANDBETWEEN(1,6)&amp;","&amp;RANDBETWEEN(1,6),IF(B133=9,RANDBETWEEN(1,6)&amp;","&amp;RANDBETWEEN(1,6)&amp;","&amp;RANDBETWEEN(1,6),IF(B133=10,RANDBETWEEN(1,6)&amp;","&amp;RANDBETWEEN(1,6)&amp;","&amp;RANDBETWEEN(1,6),0))))))))))</f>
        <v>5,3,5</v>
      </c>
      <c r="I133" t="str">
        <f t="shared" ref="I133:I186" si="16">IF(B133=1,4000&amp;","&amp;4000,IF(B133=2,4000&amp;","&amp;4000,IF(B133=3,4000&amp;","&amp;4000,IF(B133=4,3000&amp;","&amp;3000&amp;","&amp;2000,IF(B133=5,3000&amp;","&amp;3000&amp;","&amp;2000,IF(B133=6,3000&amp;","&amp;3000&amp;","&amp;2000,IF(B133=7,3000&amp;","&amp;3000&amp;","&amp;2000,IF(B133=8,3000&amp;","&amp;2000&amp;","&amp;2000,IF(B133=9,2000&amp;","&amp;2000&amp;","&amp;2000,IF(B133=10,2000&amp;","&amp;2000&amp;","&amp;1000,0))))))))))</f>
        <v>3000,2000,2000</v>
      </c>
      <c r="J133">
        <f t="shared" si="12"/>
        <v>800000</v>
      </c>
      <c r="K133">
        <v>2000</v>
      </c>
      <c r="L133">
        <v>5</v>
      </c>
      <c r="M133" t="str">
        <f t="shared" ref="M133:M186" si="17">VLOOKUP(B133,$N$5:$O$14,2,2)</f>
        <v>1000,20000000|10000010,1</v>
      </c>
    </row>
    <row r="134" spans="1:13" x14ac:dyDescent="0.2">
      <c r="A134">
        <v>131</v>
      </c>
      <c r="B134">
        <v>8</v>
      </c>
      <c r="C134">
        <v>8</v>
      </c>
      <c r="D134">
        <f t="shared" si="13"/>
        <v>900</v>
      </c>
      <c r="E134">
        <f t="shared" si="14"/>
        <v>600</v>
      </c>
      <c r="F134" t="str">
        <f ca="1">VLOOKUP(IF(B134=1,RANDBETWEEN(1,40),IF(B134=2,RANDBETWEEN(1,40),IF(B134=3,RANDBETWEEN(1,40),IF(B134=4,RANDBETWEEN(101,140),IF(B134=5,RANDBETWEEN(101,140),IF(B134=6,RANDBETWEEN(101,140),IF(B134=7,RANDBETWEEN(101,140),IF(B134=8,RANDBETWEEN(201,214),IF(B134=9,RANDBETWEEN(201,214),IF(B134=10,RANDBETWEEN(201,214),0)))))))))),Sheet2!$A$2:$D$95,4,FALSE)</f>
        <v>Pet_10392</v>
      </c>
      <c r="G134" t="s">
        <v>215</v>
      </c>
      <c r="H134" t="str">
        <f t="shared" ca="1" si="15"/>
        <v>2,2,1</v>
      </c>
      <c r="I134" t="str">
        <f t="shared" si="16"/>
        <v>3000,2000,2000</v>
      </c>
      <c r="J134">
        <f t="shared" si="12"/>
        <v>800000</v>
      </c>
      <c r="K134">
        <v>2000</v>
      </c>
      <c r="L134">
        <v>5</v>
      </c>
      <c r="M134" t="str">
        <f t="shared" si="17"/>
        <v>1000,20000000|10000010,1</v>
      </c>
    </row>
    <row r="135" spans="1:13" x14ac:dyDescent="0.2">
      <c r="A135">
        <v>132</v>
      </c>
      <c r="B135">
        <v>9</v>
      </c>
      <c r="C135">
        <v>8</v>
      </c>
      <c r="D135">
        <f t="shared" si="13"/>
        <v>500</v>
      </c>
      <c r="E135">
        <f t="shared" si="14"/>
        <v>840</v>
      </c>
      <c r="F135" t="str">
        <f ca="1">VLOOKUP(IF(B135=1,RANDBETWEEN(1,40),IF(B135=2,RANDBETWEEN(1,40),IF(B135=3,RANDBETWEEN(1,40),IF(B135=4,RANDBETWEEN(101,140),IF(B135=5,RANDBETWEEN(101,140),IF(B135=6,RANDBETWEEN(101,140),IF(B135=7,RANDBETWEEN(101,140),IF(B135=8,RANDBETWEEN(201,214),IF(B135=9,RANDBETWEEN(201,214),IF(B135=10,RANDBETWEEN(201,214),0)))))))))),Sheet2!$A$2:$D$95,4,FALSE)</f>
        <v>Pet_10392</v>
      </c>
      <c r="G135" t="s">
        <v>246</v>
      </c>
      <c r="H135" t="str">
        <f t="shared" ca="1" si="15"/>
        <v>2,4,2</v>
      </c>
      <c r="I135" t="str">
        <f t="shared" si="16"/>
        <v>2000,2000,2000</v>
      </c>
      <c r="J135">
        <f t="shared" si="12"/>
        <v>1200000</v>
      </c>
      <c r="K135">
        <v>2000</v>
      </c>
      <c r="L135">
        <v>5</v>
      </c>
      <c r="M135" t="str">
        <f t="shared" si="17"/>
        <v>1000,50000000|10020440,2</v>
      </c>
    </row>
    <row r="136" spans="1:13" x14ac:dyDescent="0.2">
      <c r="A136">
        <v>133</v>
      </c>
      <c r="B136">
        <v>5</v>
      </c>
      <c r="C136">
        <v>8</v>
      </c>
      <c r="D136">
        <f t="shared" si="13"/>
        <v>3000</v>
      </c>
      <c r="E136">
        <f t="shared" si="14"/>
        <v>240</v>
      </c>
      <c r="F136" t="str">
        <f ca="1">VLOOKUP(IF(B136=1,RANDBETWEEN(1,40),IF(B136=2,RANDBETWEEN(1,40),IF(B136=3,RANDBETWEEN(1,40),IF(B136=4,RANDBETWEEN(101,140),IF(B136=5,RANDBETWEEN(101,140),IF(B136=6,RANDBETWEEN(101,140),IF(B136=7,RANDBETWEEN(101,140),IF(B136=8,RANDBETWEEN(201,214),IF(B136=9,RANDBETWEEN(201,214),IF(B136=10,RANDBETWEEN(201,214),0)))))))))),Sheet2!$A$2:$D$95,4,FALSE)</f>
        <v>Pet_10091</v>
      </c>
      <c r="G136" t="s">
        <v>194</v>
      </c>
      <c r="H136" t="str">
        <f t="shared" ca="1" si="15"/>
        <v>5,4,4</v>
      </c>
      <c r="I136" t="str">
        <f t="shared" si="16"/>
        <v>3000,3000,2000</v>
      </c>
      <c r="J136">
        <f t="shared" si="12"/>
        <v>120000</v>
      </c>
      <c r="K136">
        <v>2000</v>
      </c>
      <c r="L136">
        <v>5</v>
      </c>
      <c r="M136" t="str">
        <f t="shared" si="17"/>
        <v>1000,2000000|10010050,5|10010150,5</v>
      </c>
    </row>
    <row r="137" spans="1:13" x14ac:dyDescent="0.2">
      <c r="A137">
        <v>134</v>
      </c>
      <c r="B137">
        <v>5</v>
      </c>
      <c r="C137">
        <v>8</v>
      </c>
      <c r="D137">
        <f t="shared" si="13"/>
        <v>3000</v>
      </c>
      <c r="E137">
        <f t="shared" si="14"/>
        <v>240</v>
      </c>
      <c r="F137" t="str">
        <f ca="1">VLOOKUP(IF(B137=1,RANDBETWEEN(1,40),IF(B137=2,RANDBETWEEN(1,40),IF(B137=3,RANDBETWEEN(1,40),IF(B137=4,RANDBETWEEN(101,140),IF(B137=5,RANDBETWEEN(101,140),IF(B137=6,RANDBETWEEN(101,140),IF(B137=7,RANDBETWEEN(101,140),IF(B137=8,RANDBETWEEN(201,214),IF(B137=9,RANDBETWEEN(201,214),IF(B137=10,RANDBETWEEN(201,214),0)))))))))),Sheet2!$A$2:$D$95,4,FALSE)</f>
        <v>Pet_10101</v>
      </c>
      <c r="G137" t="s">
        <v>181</v>
      </c>
      <c r="H137" t="str">
        <f t="shared" ca="1" si="15"/>
        <v>5,5,2</v>
      </c>
      <c r="I137" t="str">
        <f t="shared" si="16"/>
        <v>3000,3000,2000</v>
      </c>
      <c r="J137">
        <f t="shared" si="12"/>
        <v>120000</v>
      </c>
      <c r="K137">
        <v>2000</v>
      </c>
      <c r="L137">
        <v>5</v>
      </c>
      <c r="M137" t="str">
        <f t="shared" si="17"/>
        <v>1000,2000000|10010050,5|10010150,5</v>
      </c>
    </row>
    <row r="138" spans="1:13" x14ac:dyDescent="0.2">
      <c r="A138">
        <v>135</v>
      </c>
      <c r="B138">
        <v>5</v>
      </c>
      <c r="C138">
        <v>8</v>
      </c>
      <c r="D138">
        <f t="shared" si="13"/>
        <v>3000</v>
      </c>
      <c r="E138">
        <f t="shared" si="14"/>
        <v>240</v>
      </c>
      <c r="F138" t="str">
        <f ca="1">VLOOKUP(IF(B138=1,RANDBETWEEN(1,40),IF(B138=2,RANDBETWEEN(1,40),IF(B138=3,RANDBETWEEN(1,40),IF(B138=4,RANDBETWEEN(101,140),IF(B138=5,RANDBETWEEN(101,140),IF(B138=6,RANDBETWEEN(101,140),IF(B138=7,RANDBETWEEN(101,140),IF(B138=8,RANDBETWEEN(201,214),IF(B138=9,RANDBETWEEN(201,214),IF(B138=10,RANDBETWEEN(201,214),0)))))))))),Sheet2!$A$2:$D$95,4,FALSE)</f>
        <v>Pet_10581</v>
      </c>
      <c r="G138" t="s">
        <v>193</v>
      </c>
      <c r="H138" t="str">
        <f t="shared" ca="1" si="15"/>
        <v>2,1,2</v>
      </c>
      <c r="I138" t="str">
        <f t="shared" si="16"/>
        <v>3000,3000,2000</v>
      </c>
      <c r="J138">
        <f t="shared" si="12"/>
        <v>120000</v>
      </c>
      <c r="K138">
        <v>2000</v>
      </c>
      <c r="L138">
        <v>5</v>
      </c>
      <c r="M138" t="str">
        <f t="shared" si="17"/>
        <v>1000,2000000|10010050,5|10010150,5</v>
      </c>
    </row>
    <row r="139" spans="1:13" x14ac:dyDescent="0.2">
      <c r="A139">
        <v>136</v>
      </c>
      <c r="B139">
        <v>6</v>
      </c>
      <c r="C139">
        <v>8</v>
      </c>
      <c r="D139">
        <f t="shared" si="13"/>
        <v>2000</v>
      </c>
      <c r="E139">
        <f t="shared" si="14"/>
        <v>360</v>
      </c>
      <c r="F139" t="str">
        <f ca="1">VLOOKUP(IF(B139=1,RANDBETWEEN(1,40),IF(B139=2,RANDBETWEEN(1,40),IF(B139=3,RANDBETWEEN(1,40),IF(B139=4,RANDBETWEEN(101,140),IF(B139=5,RANDBETWEEN(101,140),IF(B139=6,RANDBETWEEN(101,140),IF(B139=7,RANDBETWEEN(101,140),IF(B139=8,RANDBETWEEN(201,214),IF(B139=9,RANDBETWEEN(201,214),IF(B139=10,RANDBETWEEN(201,214),0)))))))))),Sheet2!$A$2:$D$95,4,FALSE)</f>
        <v>Pet_10381</v>
      </c>
      <c r="G139" t="s">
        <v>220</v>
      </c>
      <c r="H139" t="str">
        <f t="shared" ca="1" si="15"/>
        <v>3,4,5</v>
      </c>
      <c r="I139" t="str">
        <f t="shared" si="16"/>
        <v>3000,3000,2000</v>
      </c>
      <c r="J139">
        <f t="shared" si="12"/>
        <v>200000</v>
      </c>
      <c r="K139">
        <v>2000</v>
      </c>
      <c r="L139">
        <v>5</v>
      </c>
      <c r="M139" t="str">
        <f t="shared" si="17"/>
        <v>1000,5000000|10020320,1</v>
      </c>
    </row>
    <row r="140" spans="1:13" x14ac:dyDescent="0.2">
      <c r="A140">
        <v>137</v>
      </c>
      <c r="B140">
        <v>6</v>
      </c>
      <c r="C140">
        <v>8</v>
      </c>
      <c r="D140">
        <f t="shared" si="13"/>
        <v>2000</v>
      </c>
      <c r="E140">
        <f t="shared" si="14"/>
        <v>360</v>
      </c>
      <c r="F140" t="str">
        <f ca="1">VLOOKUP(IF(B140=1,RANDBETWEEN(1,40),IF(B140=2,RANDBETWEEN(1,40),IF(B140=3,RANDBETWEEN(1,40),IF(B140=4,RANDBETWEEN(101,140),IF(B140=5,RANDBETWEEN(101,140),IF(B140=6,RANDBETWEEN(101,140),IF(B140=7,RANDBETWEEN(101,140),IF(B140=8,RANDBETWEEN(201,214),IF(B140=9,RANDBETWEEN(201,214),IF(B140=10,RANDBETWEEN(201,214),0)))))))))),Sheet2!$A$2:$D$95,4,FALSE)</f>
        <v>Pet_10601</v>
      </c>
      <c r="G140" t="s">
        <v>197</v>
      </c>
      <c r="H140" t="str">
        <f t="shared" ca="1" si="15"/>
        <v>6,1,2</v>
      </c>
      <c r="I140" t="str">
        <f t="shared" si="16"/>
        <v>3000,3000,2000</v>
      </c>
      <c r="J140">
        <f t="shared" si="12"/>
        <v>200000</v>
      </c>
      <c r="K140">
        <v>2000</v>
      </c>
      <c r="L140">
        <v>5</v>
      </c>
      <c r="M140" t="str">
        <f t="shared" si="17"/>
        <v>1000,5000000|10020320,1</v>
      </c>
    </row>
    <row r="141" spans="1:13" x14ac:dyDescent="0.2">
      <c r="A141">
        <v>138</v>
      </c>
      <c r="B141">
        <v>6</v>
      </c>
      <c r="C141">
        <v>8</v>
      </c>
      <c r="D141">
        <f t="shared" si="13"/>
        <v>2000</v>
      </c>
      <c r="E141">
        <f t="shared" si="14"/>
        <v>360</v>
      </c>
      <c r="F141" t="str">
        <f ca="1">VLOOKUP(IF(B141=1,RANDBETWEEN(1,40),IF(B141=2,RANDBETWEEN(1,40),IF(B141=3,RANDBETWEEN(1,40),IF(B141=4,RANDBETWEEN(101,140),IF(B141=5,RANDBETWEEN(101,140),IF(B141=6,RANDBETWEEN(101,140),IF(B141=7,RANDBETWEEN(101,140),IF(B141=8,RANDBETWEEN(201,214),IF(B141=9,RANDBETWEEN(201,214),IF(B141=10,RANDBETWEEN(201,214),0)))))))))),Sheet2!$A$2:$D$95,4,FALSE)</f>
        <v>Pet_10301</v>
      </c>
      <c r="G141" t="s">
        <v>216</v>
      </c>
      <c r="H141" t="str">
        <f t="shared" ca="1" si="15"/>
        <v>2,2,6</v>
      </c>
      <c r="I141" t="str">
        <f t="shared" si="16"/>
        <v>3000,3000,2000</v>
      </c>
      <c r="J141">
        <f t="shared" si="12"/>
        <v>200000</v>
      </c>
      <c r="K141">
        <v>2000</v>
      </c>
      <c r="L141">
        <v>5</v>
      </c>
      <c r="M141" t="str">
        <f t="shared" si="17"/>
        <v>1000,5000000|10020320,1</v>
      </c>
    </row>
    <row r="142" spans="1:13" x14ac:dyDescent="0.2">
      <c r="A142">
        <v>139</v>
      </c>
      <c r="B142">
        <v>7</v>
      </c>
      <c r="C142">
        <v>8</v>
      </c>
      <c r="D142">
        <f t="shared" si="13"/>
        <v>1400</v>
      </c>
      <c r="E142">
        <f t="shared" si="14"/>
        <v>480</v>
      </c>
      <c r="F142" t="str">
        <f ca="1">VLOOKUP(IF(B142=1,RANDBETWEEN(1,40),IF(B142=2,RANDBETWEEN(1,40),IF(B142=3,RANDBETWEEN(1,40),IF(B142=4,RANDBETWEEN(101,140),IF(B142=5,RANDBETWEEN(101,140),IF(B142=6,RANDBETWEEN(101,140),IF(B142=7,RANDBETWEEN(101,140),IF(B142=8,RANDBETWEEN(201,214),IF(B142=9,RANDBETWEEN(201,214),IF(B142=10,RANDBETWEEN(201,214),0)))))))))),Sheet2!$A$2:$D$95,4,FALSE)</f>
        <v>Pet_10511</v>
      </c>
      <c r="G142" t="s">
        <v>247</v>
      </c>
      <c r="H142" t="str">
        <f t="shared" ca="1" si="15"/>
        <v>6,3,1</v>
      </c>
      <c r="I142" t="str">
        <f t="shared" si="16"/>
        <v>3000,3000,2000</v>
      </c>
      <c r="J142">
        <f t="shared" si="12"/>
        <v>400000</v>
      </c>
      <c r="K142">
        <v>2000</v>
      </c>
      <c r="L142">
        <v>5</v>
      </c>
      <c r="M142" t="str">
        <f t="shared" si="17"/>
        <v>1000,10000000|10020330,1</v>
      </c>
    </row>
    <row r="143" spans="1:13" x14ac:dyDescent="0.2">
      <c r="A143">
        <v>140</v>
      </c>
      <c r="B143">
        <v>7</v>
      </c>
      <c r="C143">
        <v>8</v>
      </c>
      <c r="D143">
        <f t="shared" si="13"/>
        <v>1400</v>
      </c>
      <c r="E143">
        <f t="shared" si="14"/>
        <v>480</v>
      </c>
      <c r="F143" t="str">
        <f ca="1">VLOOKUP(IF(B143=1,RANDBETWEEN(1,40),IF(B143=2,RANDBETWEEN(1,40),IF(B143=3,RANDBETWEEN(1,40),IF(B143=4,RANDBETWEEN(101,140),IF(B143=5,RANDBETWEEN(101,140),IF(B143=6,RANDBETWEEN(101,140),IF(B143=7,RANDBETWEEN(101,140),IF(B143=8,RANDBETWEEN(201,214),IF(B143=9,RANDBETWEEN(201,214),IF(B143=10,RANDBETWEEN(201,214),0)))))))))),Sheet2!$A$2:$D$95,4,FALSE)</f>
        <v>Pet_10571</v>
      </c>
      <c r="G143" t="s">
        <v>184</v>
      </c>
      <c r="H143" t="str">
        <f t="shared" ca="1" si="15"/>
        <v>6,4,4</v>
      </c>
      <c r="I143" t="str">
        <f t="shared" si="16"/>
        <v>3000,3000,2000</v>
      </c>
      <c r="J143">
        <f t="shared" si="12"/>
        <v>400000</v>
      </c>
      <c r="K143">
        <v>2000</v>
      </c>
      <c r="L143">
        <v>5</v>
      </c>
      <c r="M143" t="str">
        <f t="shared" si="17"/>
        <v>1000,10000000|10020330,1</v>
      </c>
    </row>
    <row r="144" spans="1:13" x14ac:dyDescent="0.2">
      <c r="A144">
        <v>141</v>
      </c>
      <c r="B144">
        <v>7</v>
      </c>
      <c r="C144">
        <v>8</v>
      </c>
      <c r="D144">
        <f t="shared" si="13"/>
        <v>1400</v>
      </c>
      <c r="E144">
        <f t="shared" si="14"/>
        <v>480</v>
      </c>
      <c r="F144" t="str">
        <f ca="1">VLOOKUP(IF(B144=1,RANDBETWEEN(1,40),IF(B144=2,RANDBETWEEN(1,40),IF(B144=3,RANDBETWEEN(1,40),IF(B144=4,RANDBETWEEN(101,140),IF(B144=5,RANDBETWEEN(101,140),IF(B144=6,RANDBETWEEN(101,140),IF(B144=7,RANDBETWEEN(101,140),IF(B144=8,RANDBETWEEN(201,214),IF(B144=9,RANDBETWEEN(201,214),IF(B144=10,RANDBETWEEN(201,214),0)))))))))),Sheet2!$A$2:$D$95,4,FALSE)</f>
        <v>Pet_10221</v>
      </c>
      <c r="G144" t="s">
        <v>195</v>
      </c>
      <c r="H144" t="str">
        <f t="shared" ca="1" si="15"/>
        <v>2,3,4</v>
      </c>
      <c r="I144" t="str">
        <f t="shared" si="16"/>
        <v>3000,3000,2000</v>
      </c>
      <c r="J144">
        <f t="shared" si="12"/>
        <v>400000</v>
      </c>
      <c r="K144">
        <v>2000</v>
      </c>
      <c r="L144">
        <v>5</v>
      </c>
      <c r="M144" t="str">
        <f t="shared" si="17"/>
        <v>1000,10000000|10020330,1</v>
      </c>
    </row>
    <row r="145" spans="1:13" x14ac:dyDescent="0.2">
      <c r="A145">
        <v>142</v>
      </c>
      <c r="B145">
        <v>7</v>
      </c>
      <c r="C145">
        <v>9</v>
      </c>
      <c r="D145">
        <f t="shared" si="13"/>
        <v>1400</v>
      </c>
      <c r="E145">
        <f t="shared" si="14"/>
        <v>480</v>
      </c>
      <c r="F145" t="str">
        <f ca="1">VLOOKUP(IF(B145=1,RANDBETWEEN(1,40),IF(B145=2,RANDBETWEEN(1,40),IF(B145=3,RANDBETWEEN(1,40),IF(B145=4,RANDBETWEEN(101,140),IF(B145=5,RANDBETWEEN(101,140),IF(B145=6,RANDBETWEEN(101,140),IF(B145=7,RANDBETWEEN(101,140),IF(B145=8,RANDBETWEEN(201,214),IF(B145=9,RANDBETWEEN(201,214),IF(B145=10,RANDBETWEEN(201,214),0)))))))))),Sheet2!$A$2:$D$95,4,FALSE)</f>
        <v>Pet_10131</v>
      </c>
      <c r="G145" t="s">
        <v>202</v>
      </c>
      <c r="H145" t="str">
        <f t="shared" ca="1" si="15"/>
        <v>5,4,4</v>
      </c>
      <c r="I145" t="str">
        <f t="shared" si="16"/>
        <v>3000,3000,2000</v>
      </c>
      <c r="J145">
        <f t="shared" si="12"/>
        <v>400000</v>
      </c>
      <c r="K145">
        <v>2000</v>
      </c>
      <c r="L145">
        <v>5</v>
      </c>
      <c r="M145" t="str">
        <f t="shared" si="17"/>
        <v>1000,10000000|10020330,1</v>
      </c>
    </row>
    <row r="146" spans="1:13" x14ac:dyDescent="0.2">
      <c r="A146">
        <v>143</v>
      </c>
      <c r="B146">
        <v>7</v>
      </c>
      <c r="C146">
        <v>9</v>
      </c>
      <c r="D146">
        <f t="shared" si="13"/>
        <v>1400</v>
      </c>
      <c r="E146">
        <f t="shared" si="14"/>
        <v>480</v>
      </c>
      <c r="F146" t="str">
        <f ca="1">VLOOKUP(IF(B146=1,RANDBETWEEN(1,40),IF(B146=2,RANDBETWEEN(1,40),IF(B146=3,RANDBETWEEN(1,40),IF(B146=4,RANDBETWEEN(101,140),IF(B146=5,RANDBETWEEN(101,140),IF(B146=6,RANDBETWEEN(101,140),IF(B146=7,RANDBETWEEN(101,140),IF(B146=8,RANDBETWEEN(201,214),IF(B146=9,RANDBETWEEN(201,214),IF(B146=10,RANDBETWEEN(201,214),0)))))))))),Sheet2!$A$2:$D$95,4,FALSE)</f>
        <v>Pet_10131</v>
      </c>
      <c r="G146" t="s">
        <v>235</v>
      </c>
      <c r="H146" t="str">
        <f t="shared" ca="1" si="15"/>
        <v>1,6,2</v>
      </c>
      <c r="I146" t="str">
        <f t="shared" si="16"/>
        <v>3000,3000,2000</v>
      </c>
      <c r="J146">
        <f t="shared" si="12"/>
        <v>400000</v>
      </c>
      <c r="K146">
        <v>2000</v>
      </c>
      <c r="L146">
        <v>5</v>
      </c>
      <c r="M146" t="str">
        <f t="shared" si="17"/>
        <v>1000,10000000|10020330,1</v>
      </c>
    </row>
    <row r="147" spans="1:13" x14ac:dyDescent="0.2">
      <c r="A147">
        <v>144</v>
      </c>
      <c r="B147">
        <v>10</v>
      </c>
      <c r="C147">
        <v>9</v>
      </c>
      <c r="D147">
        <f t="shared" si="13"/>
        <v>200</v>
      </c>
      <c r="E147">
        <f t="shared" si="14"/>
        <v>1080</v>
      </c>
      <c r="F147" t="str">
        <f ca="1">VLOOKUP(IF(B147=1,RANDBETWEEN(1,40),IF(B147=2,RANDBETWEEN(1,40),IF(B147=3,RANDBETWEEN(1,40),IF(B147=4,RANDBETWEEN(101,140),IF(B147=5,RANDBETWEEN(101,140),IF(B147=6,RANDBETWEEN(101,140),IF(B147=7,RANDBETWEEN(101,140),IF(B147=8,RANDBETWEEN(201,214),IF(B147=9,RANDBETWEEN(201,214),IF(B147=10,RANDBETWEEN(201,214),0)))))))))),Sheet2!$A$2:$D$95,4,FALSE)</f>
        <v>Pet_10332</v>
      </c>
      <c r="G147" t="s">
        <v>185</v>
      </c>
      <c r="H147" t="str">
        <f t="shared" ca="1" si="15"/>
        <v>4,1,4</v>
      </c>
      <c r="I147" t="str">
        <f t="shared" si="16"/>
        <v>2000,2000,1000</v>
      </c>
      <c r="J147">
        <f t="shared" si="12"/>
        <v>1500000</v>
      </c>
      <c r="K147">
        <v>2000</v>
      </c>
      <c r="L147">
        <v>5</v>
      </c>
      <c r="M147" t="str">
        <f t="shared" si="17"/>
        <v>1000,100000000|10000010,10</v>
      </c>
    </row>
    <row r="148" spans="1:13" x14ac:dyDescent="0.2">
      <c r="A148">
        <v>145</v>
      </c>
      <c r="B148">
        <v>6</v>
      </c>
      <c r="C148">
        <v>9</v>
      </c>
      <c r="D148">
        <f t="shared" si="13"/>
        <v>2000</v>
      </c>
      <c r="E148">
        <f t="shared" si="14"/>
        <v>360</v>
      </c>
      <c r="F148" t="str">
        <f ca="1">VLOOKUP(IF(B148=1,RANDBETWEEN(1,40),IF(B148=2,RANDBETWEEN(1,40),IF(B148=3,RANDBETWEEN(1,40),IF(B148=4,RANDBETWEEN(101,140),IF(B148=5,RANDBETWEEN(101,140),IF(B148=6,RANDBETWEEN(101,140),IF(B148=7,RANDBETWEEN(101,140),IF(B148=8,RANDBETWEEN(201,214),IF(B148=9,RANDBETWEEN(201,214),IF(B148=10,RANDBETWEEN(201,214),0)))))))))),Sheet2!$A$2:$D$95,4,FALSE)</f>
        <v>Pet_10511</v>
      </c>
      <c r="G148" t="s">
        <v>215</v>
      </c>
      <c r="H148" t="str">
        <f t="shared" ca="1" si="15"/>
        <v>1,4,3</v>
      </c>
      <c r="I148" t="str">
        <f t="shared" si="16"/>
        <v>3000,3000,2000</v>
      </c>
      <c r="J148">
        <f t="shared" si="12"/>
        <v>200000</v>
      </c>
      <c r="K148">
        <v>2000</v>
      </c>
      <c r="L148">
        <v>5</v>
      </c>
      <c r="M148" t="str">
        <f t="shared" si="17"/>
        <v>1000,5000000|10020320,1</v>
      </c>
    </row>
    <row r="149" spans="1:13" x14ac:dyDescent="0.2">
      <c r="A149">
        <v>146</v>
      </c>
      <c r="B149">
        <v>4</v>
      </c>
      <c r="C149">
        <v>9</v>
      </c>
      <c r="D149">
        <f t="shared" si="13"/>
        <v>4500</v>
      </c>
      <c r="E149">
        <f t="shared" si="14"/>
        <v>120</v>
      </c>
      <c r="F149" t="str">
        <f ca="1">VLOOKUP(IF(B149=1,RANDBETWEEN(1,40),IF(B149=2,RANDBETWEEN(1,40),IF(B149=3,RANDBETWEEN(1,40),IF(B149=4,RANDBETWEEN(101,140),IF(B149=5,RANDBETWEEN(101,140),IF(B149=6,RANDBETWEEN(101,140),IF(B149=7,RANDBETWEEN(101,140),IF(B149=8,RANDBETWEEN(201,214),IF(B149=9,RANDBETWEEN(201,214),IF(B149=10,RANDBETWEEN(201,214),0)))))))))),Sheet2!$A$2:$D$95,4,FALSE)</f>
        <v>Pet_10591</v>
      </c>
      <c r="G149" t="s">
        <v>246</v>
      </c>
      <c r="H149" t="str">
        <f t="shared" ca="1" si="15"/>
        <v>3,6,6</v>
      </c>
      <c r="I149" t="str">
        <f t="shared" si="16"/>
        <v>3000,3000,2000</v>
      </c>
      <c r="J149">
        <f t="shared" si="12"/>
        <v>80000</v>
      </c>
      <c r="K149">
        <v>2000</v>
      </c>
      <c r="L149">
        <v>5</v>
      </c>
      <c r="M149" t="str">
        <f t="shared" si="17"/>
        <v>1000,1000000|10010020,5|10010120,5</v>
      </c>
    </row>
    <row r="150" spans="1:13" x14ac:dyDescent="0.2">
      <c r="A150">
        <v>147</v>
      </c>
      <c r="B150">
        <v>8</v>
      </c>
      <c r="C150">
        <v>9</v>
      </c>
      <c r="D150">
        <f t="shared" si="13"/>
        <v>900</v>
      </c>
      <c r="E150">
        <f t="shared" si="14"/>
        <v>600</v>
      </c>
      <c r="F150" t="str">
        <f ca="1">VLOOKUP(IF(B150=1,RANDBETWEEN(1,40),IF(B150=2,RANDBETWEEN(1,40),IF(B150=3,RANDBETWEEN(1,40),IF(B150=4,RANDBETWEEN(101,140),IF(B150=5,RANDBETWEEN(101,140),IF(B150=6,RANDBETWEEN(101,140),IF(B150=7,RANDBETWEEN(101,140),IF(B150=8,RANDBETWEEN(201,214),IF(B150=9,RANDBETWEEN(201,214),IF(B150=10,RANDBETWEEN(201,214),0)))))))))),Sheet2!$A$2:$D$95,4,FALSE)</f>
        <v>Pet_10512</v>
      </c>
      <c r="G150" t="s">
        <v>194</v>
      </c>
      <c r="H150" t="str">
        <f t="shared" ca="1" si="15"/>
        <v>6,1,5</v>
      </c>
      <c r="I150" t="str">
        <f t="shared" si="16"/>
        <v>3000,2000,2000</v>
      </c>
      <c r="J150">
        <f t="shared" si="12"/>
        <v>800000</v>
      </c>
      <c r="K150">
        <v>2000</v>
      </c>
      <c r="L150">
        <v>5</v>
      </c>
      <c r="M150" t="str">
        <f t="shared" si="17"/>
        <v>1000,20000000|10000010,1</v>
      </c>
    </row>
    <row r="151" spans="1:13" x14ac:dyDescent="0.2">
      <c r="A151">
        <v>148</v>
      </c>
      <c r="B151">
        <v>10</v>
      </c>
      <c r="C151">
        <v>9</v>
      </c>
      <c r="D151">
        <f t="shared" si="13"/>
        <v>200</v>
      </c>
      <c r="E151">
        <f t="shared" si="14"/>
        <v>1080</v>
      </c>
      <c r="F151" t="str">
        <f ca="1">VLOOKUP(IF(B151=1,RANDBETWEEN(1,40),IF(B151=2,RANDBETWEEN(1,40),IF(B151=3,RANDBETWEEN(1,40),IF(B151=4,RANDBETWEEN(101,140),IF(B151=5,RANDBETWEEN(101,140),IF(B151=6,RANDBETWEEN(101,140),IF(B151=7,RANDBETWEEN(101,140),IF(B151=8,RANDBETWEEN(201,214),IF(B151=9,RANDBETWEEN(201,214),IF(B151=10,RANDBETWEEN(201,214),0)))))))))),Sheet2!$A$2:$D$95,4,FALSE)</f>
        <v>Pet_10352</v>
      </c>
      <c r="G151" t="s">
        <v>181</v>
      </c>
      <c r="H151" t="str">
        <f t="shared" ca="1" si="15"/>
        <v>4,4,3</v>
      </c>
      <c r="I151" t="str">
        <f t="shared" si="16"/>
        <v>2000,2000,1000</v>
      </c>
      <c r="J151">
        <f t="shared" si="12"/>
        <v>1500000</v>
      </c>
      <c r="K151">
        <v>2000</v>
      </c>
      <c r="L151">
        <v>5</v>
      </c>
      <c r="M151" t="str">
        <f t="shared" si="17"/>
        <v>1000,100000000|10000010,10</v>
      </c>
    </row>
    <row r="152" spans="1:13" x14ac:dyDescent="0.2">
      <c r="A152">
        <v>149</v>
      </c>
      <c r="B152">
        <v>8</v>
      </c>
      <c r="C152">
        <v>9</v>
      </c>
      <c r="D152">
        <f t="shared" si="13"/>
        <v>900</v>
      </c>
      <c r="E152">
        <f t="shared" si="14"/>
        <v>600</v>
      </c>
      <c r="F152" t="str">
        <f ca="1">VLOOKUP(IF(B152=1,RANDBETWEEN(1,40),IF(B152=2,RANDBETWEEN(1,40),IF(B152=3,RANDBETWEEN(1,40),IF(B152=4,RANDBETWEEN(101,140),IF(B152=5,RANDBETWEEN(101,140),IF(B152=6,RANDBETWEEN(101,140),IF(B152=7,RANDBETWEEN(101,140),IF(B152=8,RANDBETWEEN(201,214),IF(B152=9,RANDBETWEEN(201,214),IF(B152=10,RANDBETWEEN(201,214),0)))))))))),Sheet2!$A$2:$D$95,4,FALSE)</f>
        <v>Pet_10422</v>
      </c>
      <c r="G152" t="s">
        <v>193</v>
      </c>
      <c r="H152" t="str">
        <f t="shared" ca="1" si="15"/>
        <v>3,5,1</v>
      </c>
      <c r="I152" t="str">
        <f t="shared" si="16"/>
        <v>3000,2000,2000</v>
      </c>
      <c r="J152">
        <f t="shared" si="12"/>
        <v>800000</v>
      </c>
      <c r="K152">
        <v>2000</v>
      </c>
      <c r="L152">
        <v>5</v>
      </c>
      <c r="M152" t="str">
        <f t="shared" si="17"/>
        <v>1000,20000000|10000010,1</v>
      </c>
    </row>
    <row r="153" spans="1:13" x14ac:dyDescent="0.2">
      <c r="A153">
        <v>150</v>
      </c>
      <c r="B153">
        <v>9</v>
      </c>
      <c r="C153">
        <v>9</v>
      </c>
      <c r="D153">
        <f t="shared" si="13"/>
        <v>500</v>
      </c>
      <c r="E153">
        <f t="shared" si="14"/>
        <v>840</v>
      </c>
      <c r="F153" t="str">
        <f ca="1">VLOOKUP(IF(B153=1,RANDBETWEEN(1,40),IF(B153=2,RANDBETWEEN(1,40),IF(B153=3,RANDBETWEEN(1,40),IF(B153=4,RANDBETWEEN(101,140),IF(B153=5,RANDBETWEEN(101,140),IF(B153=6,RANDBETWEEN(101,140),IF(B153=7,RANDBETWEEN(101,140),IF(B153=8,RANDBETWEEN(201,214),IF(B153=9,RANDBETWEEN(201,214),IF(B153=10,RANDBETWEEN(201,214),0)))))))))),Sheet2!$A$2:$D$95,4,FALSE)</f>
        <v>Pet_10392</v>
      </c>
      <c r="G153" t="s">
        <v>220</v>
      </c>
      <c r="H153" t="str">
        <f t="shared" ca="1" si="15"/>
        <v>2,6,4</v>
      </c>
      <c r="I153" t="str">
        <f t="shared" si="16"/>
        <v>2000,2000,2000</v>
      </c>
      <c r="J153">
        <f t="shared" si="12"/>
        <v>1200000</v>
      </c>
      <c r="K153">
        <v>2000</v>
      </c>
      <c r="L153">
        <v>5</v>
      </c>
      <c r="M153" t="str">
        <f t="shared" si="17"/>
        <v>1000,50000000|10020440,2</v>
      </c>
    </row>
    <row r="154" spans="1:13" x14ac:dyDescent="0.2">
      <c r="A154">
        <v>151</v>
      </c>
      <c r="B154">
        <v>8</v>
      </c>
      <c r="C154">
        <v>9</v>
      </c>
      <c r="D154">
        <f t="shared" si="13"/>
        <v>900</v>
      </c>
      <c r="E154">
        <f t="shared" si="14"/>
        <v>600</v>
      </c>
      <c r="F154" t="str">
        <f ca="1">VLOOKUP(IF(B154=1,RANDBETWEEN(1,40),IF(B154=2,RANDBETWEEN(1,40),IF(B154=3,RANDBETWEEN(1,40),IF(B154=4,RANDBETWEEN(101,140),IF(B154=5,RANDBETWEEN(101,140),IF(B154=6,RANDBETWEEN(101,140),IF(B154=7,RANDBETWEEN(101,140),IF(B154=8,RANDBETWEEN(201,214),IF(B154=9,RANDBETWEEN(201,214),IF(B154=10,RANDBETWEEN(201,214),0)))))))))),Sheet2!$A$2:$D$95,4,FALSE)</f>
        <v>Pet_10392</v>
      </c>
      <c r="G154" t="s">
        <v>197</v>
      </c>
      <c r="H154" t="str">
        <f t="shared" ca="1" si="15"/>
        <v>2,6,6</v>
      </c>
      <c r="I154" t="str">
        <f t="shared" si="16"/>
        <v>3000,2000,2000</v>
      </c>
      <c r="J154">
        <f t="shared" si="12"/>
        <v>800000</v>
      </c>
      <c r="K154">
        <v>2000</v>
      </c>
      <c r="L154">
        <v>5</v>
      </c>
      <c r="M154" t="str">
        <f t="shared" si="17"/>
        <v>1000,20000000|10000010,1</v>
      </c>
    </row>
    <row r="155" spans="1:13" x14ac:dyDescent="0.2">
      <c r="A155">
        <v>152</v>
      </c>
      <c r="B155">
        <v>9</v>
      </c>
      <c r="C155">
        <v>9</v>
      </c>
      <c r="D155">
        <f t="shared" si="13"/>
        <v>500</v>
      </c>
      <c r="E155">
        <f t="shared" si="14"/>
        <v>840</v>
      </c>
      <c r="F155" t="str">
        <f ca="1">VLOOKUP(IF(B155=1,RANDBETWEEN(1,40),IF(B155=2,RANDBETWEEN(1,40),IF(B155=3,RANDBETWEEN(1,40),IF(B155=4,RANDBETWEEN(101,140),IF(B155=5,RANDBETWEEN(101,140),IF(B155=6,RANDBETWEEN(101,140),IF(B155=7,RANDBETWEEN(101,140),IF(B155=8,RANDBETWEEN(201,214),IF(B155=9,RANDBETWEEN(201,214),IF(B155=10,RANDBETWEEN(201,214),0)))))))))),Sheet2!$A$2:$D$95,4,FALSE)</f>
        <v>Pet_10392</v>
      </c>
      <c r="G155" t="s">
        <v>216</v>
      </c>
      <c r="H155" t="str">
        <f t="shared" ca="1" si="15"/>
        <v>4,6,5</v>
      </c>
      <c r="I155" t="str">
        <f t="shared" si="16"/>
        <v>2000,2000,2000</v>
      </c>
      <c r="J155">
        <f t="shared" si="12"/>
        <v>1200000</v>
      </c>
      <c r="K155">
        <v>2000</v>
      </c>
      <c r="L155">
        <v>5</v>
      </c>
      <c r="M155" t="str">
        <f t="shared" si="17"/>
        <v>1000,50000000|10020440,2</v>
      </c>
    </row>
    <row r="156" spans="1:13" x14ac:dyDescent="0.2">
      <c r="A156">
        <v>153</v>
      </c>
      <c r="B156">
        <v>9</v>
      </c>
      <c r="C156">
        <v>9</v>
      </c>
      <c r="D156">
        <f t="shared" si="13"/>
        <v>500</v>
      </c>
      <c r="E156">
        <f t="shared" si="14"/>
        <v>840</v>
      </c>
      <c r="F156" t="str">
        <f ca="1">VLOOKUP(IF(B156=1,RANDBETWEEN(1,40),IF(B156=2,RANDBETWEEN(1,40),IF(B156=3,RANDBETWEEN(1,40),IF(B156=4,RANDBETWEEN(101,140),IF(B156=5,RANDBETWEEN(101,140),IF(B156=6,RANDBETWEEN(101,140),IF(B156=7,RANDBETWEEN(101,140),IF(B156=8,RANDBETWEEN(201,214),IF(B156=9,RANDBETWEEN(201,214),IF(B156=10,RANDBETWEEN(201,214),0)))))))))),Sheet2!$A$2:$D$95,4,FALSE)</f>
        <v>Pet_10122</v>
      </c>
      <c r="G156" t="s">
        <v>247</v>
      </c>
      <c r="H156" t="str">
        <f t="shared" ca="1" si="15"/>
        <v>1,2,5</v>
      </c>
      <c r="I156" t="str">
        <f t="shared" si="16"/>
        <v>2000,2000,2000</v>
      </c>
      <c r="J156">
        <f t="shared" si="12"/>
        <v>1200000</v>
      </c>
      <c r="K156">
        <v>2000</v>
      </c>
      <c r="L156">
        <v>5</v>
      </c>
      <c r="M156" t="str">
        <f t="shared" si="17"/>
        <v>1000,50000000|10020440,2</v>
      </c>
    </row>
    <row r="157" spans="1:13" x14ac:dyDescent="0.2">
      <c r="A157">
        <v>154</v>
      </c>
      <c r="B157">
        <v>5</v>
      </c>
      <c r="C157">
        <v>9</v>
      </c>
      <c r="D157">
        <f t="shared" si="13"/>
        <v>3000</v>
      </c>
      <c r="E157">
        <f t="shared" si="14"/>
        <v>240</v>
      </c>
      <c r="F157" t="str">
        <f ca="1">VLOOKUP(IF(B157=1,RANDBETWEEN(1,40),IF(B157=2,RANDBETWEEN(1,40),IF(B157=3,RANDBETWEEN(1,40),IF(B157=4,RANDBETWEEN(101,140),IF(B157=5,RANDBETWEEN(101,140),IF(B157=6,RANDBETWEEN(101,140),IF(B157=7,RANDBETWEEN(101,140),IF(B157=8,RANDBETWEEN(201,214),IF(B157=9,RANDBETWEEN(201,214),IF(B157=10,RANDBETWEEN(201,214),0)))))))))),Sheet2!$A$2:$D$95,4,FALSE)</f>
        <v>Pet_10071</v>
      </c>
      <c r="G157" t="s">
        <v>184</v>
      </c>
      <c r="H157" t="str">
        <f t="shared" ca="1" si="15"/>
        <v>3,6,5</v>
      </c>
      <c r="I157" t="str">
        <f t="shared" si="16"/>
        <v>3000,3000,2000</v>
      </c>
      <c r="J157">
        <f t="shared" si="12"/>
        <v>120000</v>
      </c>
      <c r="K157">
        <v>2000</v>
      </c>
      <c r="L157">
        <v>5</v>
      </c>
      <c r="M157" t="str">
        <f t="shared" si="17"/>
        <v>1000,2000000|10010050,5|10010150,5</v>
      </c>
    </row>
    <row r="158" spans="1:13" x14ac:dyDescent="0.2">
      <c r="A158">
        <v>155</v>
      </c>
      <c r="B158">
        <v>5</v>
      </c>
      <c r="C158">
        <v>9</v>
      </c>
      <c r="D158">
        <f t="shared" si="13"/>
        <v>3000</v>
      </c>
      <c r="E158">
        <f t="shared" si="14"/>
        <v>240</v>
      </c>
      <c r="F158" t="str">
        <f ca="1">VLOOKUP(IF(B158=1,RANDBETWEEN(1,40),IF(B158=2,RANDBETWEEN(1,40),IF(B158=3,RANDBETWEEN(1,40),IF(B158=4,RANDBETWEEN(101,140),IF(B158=5,RANDBETWEEN(101,140),IF(B158=6,RANDBETWEEN(101,140),IF(B158=7,RANDBETWEEN(101,140),IF(B158=8,RANDBETWEEN(201,214),IF(B158=9,RANDBETWEEN(201,214),IF(B158=10,RANDBETWEEN(201,214),0)))))))))),Sheet2!$A$2:$D$95,4,FALSE)</f>
        <v>Pet_10531</v>
      </c>
      <c r="G158" t="s">
        <v>195</v>
      </c>
      <c r="H158" t="str">
        <f t="shared" ca="1" si="15"/>
        <v>6,1,3</v>
      </c>
      <c r="I158" t="str">
        <f t="shared" si="16"/>
        <v>3000,3000,2000</v>
      </c>
      <c r="J158">
        <f t="shared" si="12"/>
        <v>120000</v>
      </c>
      <c r="K158">
        <v>2000</v>
      </c>
      <c r="L158">
        <v>5</v>
      </c>
      <c r="M158" t="str">
        <f t="shared" si="17"/>
        <v>1000,2000000|10010050,5|10010150,5</v>
      </c>
    </row>
    <row r="159" spans="1:13" x14ac:dyDescent="0.2">
      <c r="A159">
        <v>156</v>
      </c>
      <c r="B159">
        <v>5</v>
      </c>
      <c r="C159">
        <v>9</v>
      </c>
      <c r="D159">
        <f t="shared" si="13"/>
        <v>3000</v>
      </c>
      <c r="E159">
        <f t="shared" si="14"/>
        <v>240</v>
      </c>
      <c r="F159" t="str">
        <f ca="1">VLOOKUP(IF(B159=1,RANDBETWEEN(1,40),IF(B159=2,RANDBETWEEN(1,40),IF(B159=3,RANDBETWEEN(1,40),IF(B159=4,RANDBETWEEN(101,140),IF(B159=5,RANDBETWEEN(101,140),IF(B159=6,RANDBETWEEN(101,140),IF(B159=7,RANDBETWEEN(101,140),IF(B159=8,RANDBETWEEN(201,214),IF(B159=9,RANDBETWEEN(201,214),IF(B159=10,RANDBETWEEN(201,214),0)))))))))),Sheet2!$A$2:$D$95,4,FALSE)</f>
        <v>Pet_10301</v>
      </c>
      <c r="G159" t="s">
        <v>202</v>
      </c>
      <c r="H159" t="str">
        <f t="shared" ca="1" si="15"/>
        <v>1,1,4</v>
      </c>
      <c r="I159" t="str">
        <f t="shared" si="16"/>
        <v>3000,3000,2000</v>
      </c>
      <c r="J159">
        <f t="shared" si="12"/>
        <v>120000</v>
      </c>
      <c r="K159">
        <v>2000</v>
      </c>
      <c r="L159">
        <v>5</v>
      </c>
      <c r="M159" t="str">
        <f t="shared" si="17"/>
        <v>1000,2000000|10010050,5|10010150,5</v>
      </c>
    </row>
    <row r="160" spans="1:13" x14ac:dyDescent="0.2">
      <c r="A160">
        <v>157</v>
      </c>
      <c r="B160">
        <v>6</v>
      </c>
      <c r="C160">
        <v>9</v>
      </c>
      <c r="D160">
        <f t="shared" si="13"/>
        <v>2000</v>
      </c>
      <c r="E160">
        <f t="shared" si="14"/>
        <v>360</v>
      </c>
      <c r="F160" t="str">
        <f ca="1">VLOOKUP(IF(B160=1,RANDBETWEEN(1,40),IF(B160=2,RANDBETWEEN(1,40),IF(B160=3,RANDBETWEEN(1,40),IF(B160=4,RANDBETWEEN(101,140),IF(B160=5,RANDBETWEEN(101,140),IF(B160=6,RANDBETWEEN(101,140),IF(B160=7,RANDBETWEEN(101,140),IF(B160=8,RANDBETWEEN(201,214),IF(B160=9,RANDBETWEEN(201,214),IF(B160=10,RANDBETWEEN(201,214),0)))))))))),Sheet2!$A$2:$D$95,4,FALSE)</f>
        <v>Pet_10151</v>
      </c>
      <c r="G160" t="s">
        <v>235</v>
      </c>
      <c r="H160" t="str">
        <f t="shared" ca="1" si="15"/>
        <v>6,2,6</v>
      </c>
      <c r="I160" t="str">
        <f t="shared" si="16"/>
        <v>3000,3000,2000</v>
      </c>
      <c r="J160">
        <f t="shared" si="12"/>
        <v>200000</v>
      </c>
      <c r="K160">
        <v>2000</v>
      </c>
      <c r="L160">
        <v>5</v>
      </c>
      <c r="M160" t="str">
        <f t="shared" si="17"/>
        <v>1000,5000000|10020320,1</v>
      </c>
    </row>
    <row r="161" spans="1:13" x14ac:dyDescent="0.2">
      <c r="A161">
        <v>158</v>
      </c>
      <c r="B161">
        <v>6</v>
      </c>
      <c r="C161">
        <v>9</v>
      </c>
      <c r="D161">
        <f t="shared" si="13"/>
        <v>2000</v>
      </c>
      <c r="E161">
        <f t="shared" si="14"/>
        <v>360</v>
      </c>
      <c r="F161" t="str">
        <f ca="1">VLOOKUP(IF(B161=1,RANDBETWEEN(1,40),IF(B161=2,RANDBETWEEN(1,40),IF(B161=3,RANDBETWEEN(1,40),IF(B161=4,RANDBETWEEN(101,140),IF(B161=5,RANDBETWEEN(101,140),IF(B161=6,RANDBETWEEN(101,140),IF(B161=7,RANDBETWEEN(101,140),IF(B161=8,RANDBETWEEN(201,214),IF(B161=9,RANDBETWEEN(201,214),IF(B161=10,RANDBETWEEN(201,214),0)))))))))),Sheet2!$A$2:$D$95,4,FALSE)</f>
        <v>Pet_10121</v>
      </c>
      <c r="G161" t="s">
        <v>185</v>
      </c>
      <c r="H161" t="str">
        <f t="shared" ca="1" si="15"/>
        <v>3,6,5</v>
      </c>
      <c r="I161" t="str">
        <f t="shared" si="16"/>
        <v>3000,3000,2000</v>
      </c>
      <c r="J161">
        <f t="shared" si="12"/>
        <v>200000</v>
      </c>
      <c r="K161">
        <v>2000</v>
      </c>
      <c r="L161">
        <v>5</v>
      </c>
      <c r="M161" t="str">
        <f t="shared" si="17"/>
        <v>1000,5000000|10020320,1</v>
      </c>
    </row>
    <row r="162" spans="1:13" x14ac:dyDescent="0.2">
      <c r="A162">
        <v>159</v>
      </c>
      <c r="B162">
        <v>6</v>
      </c>
      <c r="C162">
        <v>9</v>
      </c>
      <c r="D162">
        <f t="shared" si="13"/>
        <v>2000</v>
      </c>
      <c r="E162">
        <f t="shared" si="14"/>
        <v>360</v>
      </c>
      <c r="F162" t="str">
        <f ca="1">VLOOKUP(IF(B162=1,RANDBETWEEN(1,40),IF(B162=2,RANDBETWEEN(1,40),IF(B162=3,RANDBETWEEN(1,40),IF(B162=4,RANDBETWEEN(101,140),IF(B162=5,RANDBETWEEN(101,140),IF(B162=6,RANDBETWEEN(101,140),IF(B162=7,RANDBETWEEN(101,140),IF(B162=8,RANDBETWEEN(201,214),IF(B162=9,RANDBETWEEN(201,214),IF(B162=10,RANDBETWEEN(201,214),0)))))))))),Sheet2!$A$2:$D$95,4,FALSE)</f>
        <v>Pet_10321</v>
      </c>
      <c r="G162" t="s">
        <v>215</v>
      </c>
      <c r="H162" t="str">
        <f t="shared" ca="1" si="15"/>
        <v>6,5,5</v>
      </c>
      <c r="I162" t="str">
        <f t="shared" si="16"/>
        <v>3000,3000,2000</v>
      </c>
      <c r="J162">
        <f t="shared" si="12"/>
        <v>200000</v>
      </c>
      <c r="K162">
        <v>2000</v>
      </c>
      <c r="L162">
        <v>5</v>
      </c>
      <c r="M162" t="str">
        <f t="shared" si="17"/>
        <v>1000,5000000|10020320,1</v>
      </c>
    </row>
    <row r="163" spans="1:13" x14ac:dyDescent="0.2">
      <c r="A163">
        <v>160</v>
      </c>
      <c r="B163">
        <v>7</v>
      </c>
      <c r="C163">
        <v>9</v>
      </c>
      <c r="D163">
        <f t="shared" si="13"/>
        <v>1400</v>
      </c>
      <c r="E163">
        <f t="shared" si="14"/>
        <v>480</v>
      </c>
      <c r="F163" t="str">
        <f ca="1">VLOOKUP(IF(B163=1,RANDBETWEEN(1,40),IF(B163=2,RANDBETWEEN(1,40),IF(B163=3,RANDBETWEEN(1,40),IF(B163=4,RANDBETWEEN(101,140),IF(B163=5,RANDBETWEEN(101,140),IF(B163=6,RANDBETWEEN(101,140),IF(B163=7,RANDBETWEEN(101,140),IF(B163=8,RANDBETWEEN(201,214),IF(B163=9,RANDBETWEEN(201,214),IF(B163=10,RANDBETWEEN(201,214),0)))))))))),Sheet2!$A$2:$D$95,4,FALSE)</f>
        <v>Pet_10471</v>
      </c>
      <c r="G163" t="s">
        <v>246</v>
      </c>
      <c r="H163" t="str">
        <f t="shared" ca="1" si="15"/>
        <v>6,4,6</v>
      </c>
      <c r="I163" t="str">
        <f t="shared" si="16"/>
        <v>3000,3000,2000</v>
      </c>
      <c r="J163">
        <f t="shared" si="12"/>
        <v>400000</v>
      </c>
      <c r="K163">
        <v>2000</v>
      </c>
      <c r="L163">
        <v>5</v>
      </c>
      <c r="M163" t="str">
        <f t="shared" si="17"/>
        <v>1000,10000000|10020330,1</v>
      </c>
    </row>
    <row r="164" spans="1:13" x14ac:dyDescent="0.2">
      <c r="A164">
        <v>161</v>
      </c>
      <c r="B164">
        <v>7</v>
      </c>
      <c r="C164">
        <v>9</v>
      </c>
      <c r="D164">
        <f t="shared" si="13"/>
        <v>1400</v>
      </c>
      <c r="E164">
        <f t="shared" si="14"/>
        <v>480</v>
      </c>
      <c r="F164" t="str">
        <f ca="1">VLOOKUP(IF(B164=1,RANDBETWEEN(1,40),IF(B164=2,RANDBETWEEN(1,40),IF(B164=3,RANDBETWEEN(1,40),IF(B164=4,RANDBETWEEN(101,140),IF(B164=5,RANDBETWEEN(101,140),IF(B164=6,RANDBETWEEN(101,140),IF(B164=7,RANDBETWEEN(101,140),IF(B164=8,RANDBETWEEN(201,214),IF(B164=9,RANDBETWEEN(201,214),IF(B164=10,RANDBETWEEN(201,214),0)))))))))),Sheet2!$A$2:$D$95,4,FALSE)</f>
        <v>Pet_10621</v>
      </c>
      <c r="G164" t="s">
        <v>194</v>
      </c>
      <c r="H164" t="str">
        <f t="shared" ca="1" si="15"/>
        <v>2,6,6</v>
      </c>
      <c r="I164" t="str">
        <f t="shared" si="16"/>
        <v>3000,3000,2000</v>
      </c>
      <c r="J164">
        <f t="shared" si="12"/>
        <v>400000</v>
      </c>
      <c r="K164">
        <v>2000</v>
      </c>
      <c r="L164">
        <v>5</v>
      </c>
      <c r="M164" t="str">
        <f t="shared" si="17"/>
        <v>1000,10000000|10020330,1</v>
      </c>
    </row>
    <row r="165" spans="1:13" x14ac:dyDescent="0.2">
      <c r="A165">
        <v>162</v>
      </c>
      <c r="B165">
        <v>7</v>
      </c>
      <c r="C165">
        <v>9</v>
      </c>
      <c r="D165">
        <f t="shared" si="13"/>
        <v>1400</v>
      </c>
      <c r="E165">
        <f t="shared" si="14"/>
        <v>480</v>
      </c>
      <c r="F165" t="str">
        <f ca="1">VLOOKUP(IF(B165=1,RANDBETWEEN(1,40),IF(B165=2,RANDBETWEEN(1,40),IF(B165=3,RANDBETWEEN(1,40),IF(B165=4,RANDBETWEEN(101,140),IF(B165=5,RANDBETWEEN(101,140),IF(B165=6,RANDBETWEEN(101,140),IF(B165=7,RANDBETWEEN(101,140),IF(B165=8,RANDBETWEEN(201,214),IF(B165=9,RANDBETWEEN(201,214),IF(B165=10,RANDBETWEEN(201,214),0)))))))))),Sheet2!$A$2:$D$95,4,FALSE)</f>
        <v>Pet_10121</v>
      </c>
      <c r="G165" t="s">
        <v>181</v>
      </c>
      <c r="H165" t="str">
        <f t="shared" ca="1" si="15"/>
        <v>3,6,1</v>
      </c>
      <c r="I165" t="str">
        <f t="shared" si="16"/>
        <v>3000,3000,2000</v>
      </c>
      <c r="J165">
        <f t="shared" si="12"/>
        <v>400000</v>
      </c>
      <c r="K165">
        <v>2000</v>
      </c>
      <c r="L165">
        <v>5</v>
      </c>
      <c r="M165" t="str">
        <f t="shared" si="17"/>
        <v>1000,10000000|10020330,1</v>
      </c>
    </row>
    <row r="166" spans="1:13" x14ac:dyDescent="0.2">
      <c r="A166">
        <v>163</v>
      </c>
      <c r="B166">
        <v>7</v>
      </c>
      <c r="C166">
        <v>10</v>
      </c>
      <c r="D166">
        <f t="shared" si="13"/>
        <v>1400</v>
      </c>
      <c r="E166">
        <f t="shared" si="14"/>
        <v>480</v>
      </c>
      <c r="F166" t="str">
        <f ca="1">VLOOKUP(IF(B166=1,RANDBETWEEN(1,40),IF(B166=2,RANDBETWEEN(1,40),IF(B166=3,RANDBETWEEN(1,40),IF(B166=4,RANDBETWEEN(101,140),IF(B166=5,RANDBETWEEN(101,140),IF(B166=6,RANDBETWEEN(101,140),IF(B166=7,RANDBETWEEN(101,140),IF(B166=8,RANDBETWEEN(201,214),IF(B166=9,RANDBETWEEN(201,214),IF(B166=10,RANDBETWEEN(201,214),0)))))))))),Sheet2!$A$2:$D$95,4,FALSE)</f>
        <v>Pet_10211</v>
      </c>
      <c r="G166" t="s">
        <v>193</v>
      </c>
      <c r="H166" t="str">
        <f t="shared" ca="1" si="15"/>
        <v>2,4,4</v>
      </c>
      <c r="I166" t="str">
        <f t="shared" si="16"/>
        <v>3000,3000,2000</v>
      </c>
      <c r="J166">
        <f t="shared" si="12"/>
        <v>400000</v>
      </c>
      <c r="K166">
        <v>2000</v>
      </c>
      <c r="L166">
        <v>5</v>
      </c>
      <c r="M166" t="str">
        <f t="shared" si="17"/>
        <v>1000,10000000|10020330,1</v>
      </c>
    </row>
    <row r="167" spans="1:13" x14ac:dyDescent="0.2">
      <c r="A167">
        <v>164</v>
      </c>
      <c r="B167">
        <v>7</v>
      </c>
      <c r="C167">
        <v>10</v>
      </c>
      <c r="D167">
        <f t="shared" si="13"/>
        <v>1400</v>
      </c>
      <c r="E167">
        <f t="shared" si="14"/>
        <v>480</v>
      </c>
      <c r="F167" t="str">
        <f ca="1">VLOOKUP(IF(B167=1,RANDBETWEEN(1,40),IF(B167=2,RANDBETWEEN(1,40),IF(B167=3,RANDBETWEEN(1,40),IF(B167=4,RANDBETWEEN(101,140),IF(B167=5,RANDBETWEEN(101,140),IF(B167=6,RANDBETWEEN(101,140),IF(B167=7,RANDBETWEEN(101,140),IF(B167=8,RANDBETWEEN(201,214),IF(B167=9,RANDBETWEEN(201,214),IF(B167=10,RANDBETWEEN(201,214),0)))))))))),Sheet2!$A$2:$D$95,4,FALSE)</f>
        <v>Pet_10511</v>
      </c>
      <c r="G167" t="s">
        <v>220</v>
      </c>
      <c r="H167" t="str">
        <f t="shared" ca="1" si="15"/>
        <v>4,2,3</v>
      </c>
      <c r="I167" t="str">
        <f t="shared" si="16"/>
        <v>3000,3000,2000</v>
      </c>
      <c r="J167">
        <f t="shared" si="12"/>
        <v>400000</v>
      </c>
      <c r="K167">
        <v>2000</v>
      </c>
      <c r="L167">
        <v>5</v>
      </c>
      <c r="M167" t="str">
        <f t="shared" si="17"/>
        <v>1000,10000000|10020330,1</v>
      </c>
    </row>
    <row r="168" spans="1:13" x14ac:dyDescent="0.2">
      <c r="A168">
        <v>165</v>
      </c>
      <c r="B168">
        <v>10</v>
      </c>
      <c r="C168">
        <v>10</v>
      </c>
      <c r="D168">
        <f t="shared" si="13"/>
        <v>200</v>
      </c>
      <c r="E168">
        <f t="shared" si="14"/>
        <v>1080</v>
      </c>
      <c r="F168" t="str">
        <f ca="1">VLOOKUP(IF(B168=1,RANDBETWEEN(1,40),IF(B168=2,RANDBETWEEN(1,40),IF(B168=3,RANDBETWEEN(1,40),IF(B168=4,RANDBETWEEN(101,140),IF(B168=5,RANDBETWEEN(101,140),IF(B168=6,RANDBETWEEN(101,140),IF(B168=7,RANDBETWEEN(101,140),IF(B168=8,RANDBETWEEN(201,214),IF(B168=9,RANDBETWEEN(201,214),IF(B168=10,RANDBETWEEN(201,214),0)))))))))),Sheet2!$A$2:$D$95,4,FALSE)</f>
        <v>Pet_10062</v>
      </c>
      <c r="G168" t="s">
        <v>197</v>
      </c>
      <c r="H168" t="str">
        <f t="shared" ca="1" si="15"/>
        <v>1,3,6</v>
      </c>
      <c r="I168" t="str">
        <f t="shared" si="16"/>
        <v>2000,2000,1000</v>
      </c>
      <c r="J168">
        <f t="shared" ref="J168:J186" si="18">IF(B168=1,10000,IF(B168=2,20000,IF(B168=3,40000,IF(B168=4,80000,IF(B168=5,120000,IF(B168=6,200000,IF(B168=7,400000,IF(B168=8,800000,IF(B168=9,1200000,IF(B168=10,1500000,0))))))))))</f>
        <v>1500000</v>
      </c>
      <c r="K168">
        <v>2000</v>
      </c>
      <c r="L168">
        <v>5</v>
      </c>
      <c r="M168" t="str">
        <f t="shared" si="17"/>
        <v>1000,100000000|10000010,10</v>
      </c>
    </row>
    <row r="169" spans="1:13" x14ac:dyDescent="0.2">
      <c r="A169">
        <v>166</v>
      </c>
      <c r="B169">
        <v>6</v>
      </c>
      <c r="C169">
        <v>10</v>
      </c>
      <c r="D169">
        <f t="shared" si="13"/>
        <v>2000</v>
      </c>
      <c r="E169">
        <f t="shared" si="14"/>
        <v>360</v>
      </c>
      <c r="F169" t="str">
        <f ca="1">VLOOKUP(IF(B169=1,RANDBETWEEN(1,40),IF(B169=2,RANDBETWEEN(1,40),IF(B169=3,RANDBETWEEN(1,40),IF(B169=4,RANDBETWEEN(101,140),IF(B169=5,RANDBETWEEN(101,140),IF(B169=6,RANDBETWEEN(101,140),IF(B169=7,RANDBETWEEN(101,140),IF(B169=8,RANDBETWEEN(201,214),IF(B169=9,RANDBETWEEN(201,214),IF(B169=10,RANDBETWEEN(201,214),0)))))))))),Sheet2!$A$2:$D$95,4,FALSE)</f>
        <v>Pet_10181</v>
      </c>
      <c r="G169" t="s">
        <v>216</v>
      </c>
      <c r="H169" t="str">
        <f t="shared" ca="1" si="15"/>
        <v>4,6,2</v>
      </c>
      <c r="I169" t="str">
        <f t="shared" si="16"/>
        <v>3000,3000,2000</v>
      </c>
      <c r="J169">
        <f t="shared" si="18"/>
        <v>200000</v>
      </c>
      <c r="K169">
        <v>2000</v>
      </c>
      <c r="L169">
        <v>5</v>
      </c>
      <c r="M169" t="str">
        <f t="shared" si="17"/>
        <v>1000,5000000|10020320,1</v>
      </c>
    </row>
    <row r="170" spans="1:13" x14ac:dyDescent="0.2">
      <c r="A170">
        <v>167</v>
      </c>
      <c r="B170">
        <v>6</v>
      </c>
      <c r="C170">
        <v>10</v>
      </c>
      <c r="D170">
        <f t="shared" si="13"/>
        <v>2000</v>
      </c>
      <c r="E170">
        <f t="shared" si="14"/>
        <v>360</v>
      </c>
      <c r="F170" t="str">
        <f ca="1">VLOOKUP(IF(B170=1,RANDBETWEEN(1,40),IF(B170=2,RANDBETWEEN(1,40),IF(B170=3,RANDBETWEEN(1,40),IF(B170=4,RANDBETWEEN(101,140),IF(B170=5,RANDBETWEEN(101,140),IF(B170=6,RANDBETWEEN(101,140),IF(B170=7,RANDBETWEEN(101,140),IF(B170=8,RANDBETWEEN(201,214),IF(B170=9,RANDBETWEEN(201,214),IF(B170=10,RANDBETWEEN(201,214),0)))))))))),Sheet2!$A$2:$D$95,4,FALSE)</f>
        <v>Pet_10321</v>
      </c>
      <c r="G170" t="s">
        <v>247</v>
      </c>
      <c r="H170" t="str">
        <f t="shared" ca="1" si="15"/>
        <v>2,3,3</v>
      </c>
      <c r="I170" t="str">
        <f t="shared" si="16"/>
        <v>3000,3000,2000</v>
      </c>
      <c r="J170">
        <f t="shared" si="18"/>
        <v>200000</v>
      </c>
      <c r="K170">
        <v>2000</v>
      </c>
      <c r="L170">
        <v>5</v>
      </c>
      <c r="M170" t="str">
        <f t="shared" si="17"/>
        <v>1000,5000000|10020320,1</v>
      </c>
    </row>
    <row r="171" spans="1:13" x14ac:dyDescent="0.2">
      <c r="A171">
        <v>168</v>
      </c>
      <c r="B171">
        <v>8</v>
      </c>
      <c r="C171">
        <v>10</v>
      </c>
      <c r="D171">
        <f t="shared" si="13"/>
        <v>900</v>
      </c>
      <c r="E171">
        <f t="shared" si="14"/>
        <v>600</v>
      </c>
      <c r="F171" t="str">
        <f ca="1">VLOOKUP(IF(B171=1,RANDBETWEEN(1,40),IF(B171=2,RANDBETWEEN(1,40),IF(B171=3,RANDBETWEEN(1,40),IF(B171=4,RANDBETWEEN(101,140),IF(B171=5,RANDBETWEEN(101,140),IF(B171=6,RANDBETWEEN(101,140),IF(B171=7,RANDBETWEEN(101,140),IF(B171=8,RANDBETWEEN(201,214),IF(B171=9,RANDBETWEEN(201,214),IF(B171=10,RANDBETWEEN(201,214),0)))))))))),Sheet2!$A$2:$D$95,4,FALSE)</f>
        <v>Pet_10192</v>
      </c>
      <c r="G171" t="s">
        <v>184</v>
      </c>
      <c r="H171" t="str">
        <f t="shared" ca="1" si="15"/>
        <v>3,4,4</v>
      </c>
      <c r="I171" t="str">
        <f t="shared" si="16"/>
        <v>3000,2000,2000</v>
      </c>
      <c r="J171">
        <f t="shared" si="18"/>
        <v>800000</v>
      </c>
      <c r="K171">
        <v>2000</v>
      </c>
      <c r="L171">
        <v>5</v>
      </c>
      <c r="M171" t="str">
        <f t="shared" si="17"/>
        <v>1000,20000000|10000010,1</v>
      </c>
    </row>
    <row r="172" spans="1:13" x14ac:dyDescent="0.2">
      <c r="A172">
        <v>169</v>
      </c>
      <c r="B172">
        <v>10</v>
      </c>
      <c r="C172">
        <v>10</v>
      </c>
      <c r="D172">
        <f t="shared" si="13"/>
        <v>200</v>
      </c>
      <c r="E172">
        <f t="shared" si="14"/>
        <v>1080</v>
      </c>
      <c r="F172" t="str">
        <f ca="1">VLOOKUP(IF(B172=1,RANDBETWEEN(1,40),IF(B172=2,RANDBETWEEN(1,40),IF(B172=3,RANDBETWEEN(1,40),IF(B172=4,RANDBETWEEN(101,140),IF(B172=5,RANDBETWEEN(101,140),IF(B172=6,RANDBETWEEN(101,140),IF(B172=7,RANDBETWEEN(101,140),IF(B172=8,RANDBETWEEN(201,214),IF(B172=9,RANDBETWEEN(201,214),IF(B172=10,RANDBETWEEN(201,214),0)))))))))),Sheet2!$A$2:$D$95,4,FALSE)</f>
        <v>Pet_10392</v>
      </c>
      <c r="G172" t="s">
        <v>195</v>
      </c>
      <c r="H172" t="str">
        <f t="shared" ca="1" si="15"/>
        <v>6,5,5</v>
      </c>
      <c r="I172" t="str">
        <f t="shared" si="16"/>
        <v>2000,2000,1000</v>
      </c>
      <c r="J172">
        <f t="shared" si="18"/>
        <v>1500000</v>
      </c>
      <c r="K172">
        <v>2000</v>
      </c>
      <c r="L172">
        <v>5</v>
      </c>
      <c r="M172" t="str">
        <f t="shared" si="17"/>
        <v>1000,100000000|10000010,10</v>
      </c>
    </row>
    <row r="173" spans="1:13" x14ac:dyDescent="0.2">
      <c r="A173">
        <v>170</v>
      </c>
      <c r="B173">
        <v>8</v>
      </c>
      <c r="C173">
        <v>10</v>
      </c>
      <c r="D173">
        <f t="shared" si="13"/>
        <v>900</v>
      </c>
      <c r="E173">
        <f t="shared" si="14"/>
        <v>600</v>
      </c>
      <c r="F173" t="str">
        <f ca="1">VLOOKUP(IF(B173=1,RANDBETWEEN(1,40),IF(B173=2,RANDBETWEEN(1,40),IF(B173=3,RANDBETWEEN(1,40),IF(B173=4,RANDBETWEEN(101,140),IF(B173=5,RANDBETWEEN(101,140),IF(B173=6,RANDBETWEEN(101,140),IF(B173=7,RANDBETWEEN(101,140),IF(B173=8,RANDBETWEEN(201,214),IF(B173=9,RANDBETWEEN(201,214),IF(B173=10,RANDBETWEEN(201,214),0)))))))))),Sheet2!$A$2:$D$95,4,FALSE)</f>
        <v>Pet_10122</v>
      </c>
      <c r="G173" t="s">
        <v>202</v>
      </c>
      <c r="H173" t="str">
        <f t="shared" ca="1" si="15"/>
        <v>4,3,4</v>
      </c>
      <c r="I173" t="str">
        <f t="shared" si="16"/>
        <v>3000,2000,2000</v>
      </c>
      <c r="J173">
        <f t="shared" si="18"/>
        <v>800000</v>
      </c>
      <c r="K173">
        <v>2000</v>
      </c>
      <c r="L173">
        <v>5</v>
      </c>
      <c r="M173" t="str">
        <f t="shared" si="17"/>
        <v>1000,20000000|10000010,1</v>
      </c>
    </row>
    <row r="174" spans="1:13" x14ac:dyDescent="0.2">
      <c r="A174">
        <v>171</v>
      </c>
      <c r="B174">
        <v>9</v>
      </c>
      <c r="C174">
        <v>10</v>
      </c>
      <c r="D174">
        <f t="shared" si="13"/>
        <v>500</v>
      </c>
      <c r="E174">
        <f t="shared" si="14"/>
        <v>840</v>
      </c>
      <c r="F174" t="str">
        <f ca="1">VLOOKUP(IF(B174=1,RANDBETWEEN(1,40),IF(B174=2,RANDBETWEEN(1,40),IF(B174=3,RANDBETWEEN(1,40),IF(B174=4,RANDBETWEEN(101,140),IF(B174=5,RANDBETWEEN(101,140),IF(B174=6,RANDBETWEEN(101,140),IF(B174=7,RANDBETWEEN(101,140),IF(B174=8,RANDBETWEEN(201,214),IF(B174=9,RANDBETWEEN(201,214),IF(B174=10,RANDBETWEEN(201,214),0)))))))))),Sheet2!$A$2:$D$95,4,FALSE)</f>
        <v>Pet_10582</v>
      </c>
      <c r="G174" t="s">
        <v>235</v>
      </c>
      <c r="H174" t="str">
        <f t="shared" ca="1" si="15"/>
        <v>5,2,1</v>
      </c>
      <c r="I174" t="str">
        <f t="shared" si="16"/>
        <v>2000,2000,2000</v>
      </c>
      <c r="J174">
        <f t="shared" si="18"/>
        <v>1200000</v>
      </c>
      <c r="K174">
        <v>2000</v>
      </c>
      <c r="L174">
        <v>5</v>
      </c>
      <c r="M174" t="str">
        <f t="shared" si="17"/>
        <v>1000,50000000|10020440,2</v>
      </c>
    </row>
    <row r="175" spans="1:13" x14ac:dyDescent="0.2">
      <c r="A175">
        <v>172</v>
      </c>
      <c r="B175">
        <v>8</v>
      </c>
      <c r="C175">
        <v>10</v>
      </c>
      <c r="D175">
        <f t="shared" si="13"/>
        <v>900</v>
      </c>
      <c r="E175">
        <f t="shared" si="14"/>
        <v>600</v>
      </c>
      <c r="F175" t="str">
        <f ca="1">VLOOKUP(IF(B175=1,RANDBETWEEN(1,40),IF(B175=2,RANDBETWEEN(1,40),IF(B175=3,RANDBETWEEN(1,40),IF(B175=4,RANDBETWEEN(101,140),IF(B175=5,RANDBETWEEN(101,140),IF(B175=6,RANDBETWEEN(101,140),IF(B175=7,RANDBETWEEN(101,140),IF(B175=8,RANDBETWEEN(201,214),IF(B175=9,RANDBETWEEN(201,214),IF(B175=10,RANDBETWEEN(201,214),0)))))))))),Sheet2!$A$2:$D$95,4,FALSE)</f>
        <v>Pet_10512</v>
      </c>
      <c r="G175" t="s">
        <v>185</v>
      </c>
      <c r="H175" t="str">
        <f t="shared" ca="1" si="15"/>
        <v>1,1,1</v>
      </c>
      <c r="I175" t="str">
        <f t="shared" si="16"/>
        <v>3000,2000,2000</v>
      </c>
      <c r="J175">
        <f t="shared" si="18"/>
        <v>800000</v>
      </c>
      <c r="K175">
        <v>2000</v>
      </c>
      <c r="L175">
        <v>5</v>
      </c>
      <c r="M175" t="str">
        <f t="shared" si="17"/>
        <v>1000,20000000|10000010,1</v>
      </c>
    </row>
    <row r="176" spans="1:13" x14ac:dyDescent="0.2">
      <c r="A176">
        <v>173</v>
      </c>
      <c r="B176">
        <v>9</v>
      </c>
      <c r="C176">
        <v>10</v>
      </c>
      <c r="D176">
        <f t="shared" si="13"/>
        <v>500</v>
      </c>
      <c r="E176">
        <f t="shared" si="14"/>
        <v>840</v>
      </c>
      <c r="F176" t="str">
        <f ca="1">VLOOKUP(IF(B176=1,RANDBETWEEN(1,40),IF(B176=2,RANDBETWEEN(1,40),IF(B176=3,RANDBETWEEN(1,40),IF(B176=4,RANDBETWEEN(101,140),IF(B176=5,RANDBETWEEN(101,140),IF(B176=6,RANDBETWEEN(101,140),IF(B176=7,RANDBETWEEN(101,140),IF(B176=8,RANDBETWEEN(201,214),IF(B176=9,RANDBETWEEN(201,214),IF(B176=10,RANDBETWEEN(201,214),0)))))))))),Sheet2!$A$2:$D$95,4,FALSE)</f>
        <v>Pet_10512</v>
      </c>
      <c r="G176" t="s">
        <v>215</v>
      </c>
      <c r="H176" t="str">
        <f t="shared" ca="1" si="15"/>
        <v>5,3,2</v>
      </c>
      <c r="I176" t="str">
        <f t="shared" si="16"/>
        <v>2000,2000,2000</v>
      </c>
      <c r="J176">
        <f t="shared" si="18"/>
        <v>1200000</v>
      </c>
      <c r="K176">
        <v>2000</v>
      </c>
      <c r="L176">
        <v>5</v>
      </c>
      <c r="M176" t="str">
        <f t="shared" si="17"/>
        <v>1000,50000000|10020440,2</v>
      </c>
    </row>
    <row r="177" spans="1:13" x14ac:dyDescent="0.2">
      <c r="A177">
        <v>174</v>
      </c>
      <c r="B177">
        <v>9</v>
      </c>
      <c r="C177">
        <v>10</v>
      </c>
      <c r="D177">
        <f t="shared" si="13"/>
        <v>500</v>
      </c>
      <c r="E177">
        <f t="shared" si="14"/>
        <v>840</v>
      </c>
      <c r="F177" t="str">
        <f ca="1">VLOOKUP(IF(B177=1,RANDBETWEEN(1,40),IF(B177=2,RANDBETWEEN(1,40),IF(B177=3,RANDBETWEEN(1,40),IF(B177=4,RANDBETWEEN(101,140),IF(B177=5,RANDBETWEEN(101,140),IF(B177=6,RANDBETWEEN(101,140),IF(B177=7,RANDBETWEEN(101,140),IF(B177=8,RANDBETWEEN(201,214),IF(B177=9,RANDBETWEEN(201,214),IF(B177=10,RANDBETWEEN(201,214),0)))))))))),Sheet2!$A$2:$D$95,4,FALSE)</f>
        <v>Pet_10512</v>
      </c>
      <c r="G177" t="s">
        <v>246</v>
      </c>
      <c r="H177" t="str">
        <f t="shared" ca="1" si="15"/>
        <v>4,6,3</v>
      </c>
      <c r="I177" t="str">
        <f t="shared" si="16"/>
        <v>2000,2000,2000</v>
      </c>
      <c r="J177">
        <f t="shared" si="18"/>
        <v>1200000</v>
      </c>
      <c r="K177">
        <v>2000</v>
      </c>
      <c r="L177">
        <v>5</v>
      </c>
      <c r="M177" t="str">
        <f t="shared" si="17"/>
        <v>1000,50000000|10020440,2</v>
      </c>
    </row>
    <row r="178" spans="1:13" x14ac:dyDescent="0.2">
      <c r="A178">
        <v>175</v>
      </c>
      <c r="B178">
        <v>10</v>
      </c>
      <c r="C178">
        <v>10</v>
      </c>
      <c r="D178">
        <f t="shared" si="13"/>
        <v>200</v>
      </c>
      <c r="E178">
        <f t="shared" si="14"/>
        <v>1080</v>
      </c>
      <c r="F178" t="str">
        <f ca="1">VLOOKUP(IF(B178=1,RANDBETWEEN(1,40),IF(B178=2,RANDBETWEEN(1,40),IF(B178=3,RANDBETWEEN(1,40),IF(B178=4,RANDBETWEEN(101,140),IF(B178=5,RANDBETWEEN(101,140),IF(B178=6,RANDBETWEEN(101,140),IF(B178=7,RANDBETWEEN(101,140),IF(B178=8,RANDBETWEEN(201,214),IF(B178=9,RANDBETWEEN(201,214),IF(B178=10,RANDBETWEEN(201,214),0)))))))))),Sheet2!$A$2:$D$95,4,FALSE)</f>
        <v>Pet_10582</v>
      </c>
      <c r="G178" t="s">
        <v>194</v>
      </c>
      <c r="H178" t="str">
        <f t="shared" ca="1" si="15"/>
        <v>5,6,6</v>
      </c>
      <c r="I178" t="str">
        <f t="shared" si="16"/>
        <v>2000,2000,1000</v>
      </c>
      <c r="J178">
        <f t="shared" si="18"/>
        <v>1500000</v>
      </c>
      <c r="K178">
        <v>2000</v>
      </c>
      <c r="L178">
        <v>5</v>
      </c>
      <c r="M178" t="str">
        <f t="shared" si="17"/>
        <v>1000,100000000|10000010,10</v>
      </c>
    </row>
    <row r="179" spans="1:13" x14ac:dyDescent="0.2">
      <c r="A179">
        <v>176</v>
      </c>
      <c r="B179">
        <v>9</v>
      </c>
      <c r="C179">
        <v>10</v>
      </c>
      <c r="D179">
        <f t="shared" si="13"/>
        <v>500</v>
      </c>
      <c r="E179">
        <f t="shared" si="14"/>
        <v>840</v>
      </c>
      <c r="F179" t="str">
        <f ca="1">VLOOKUP(IF(B179=1,RANDBETWEEN(1,40),IF(B179=2,RANDBETWEEN(1,40),IF(B179=3,RANDBETWEEN(1,40),IF(B179=4,RANDBETWEEN(101,140),IF(B179=5,RANDBETWEEN(101,140),IF(B179=6,RANDBETWEEN(101,140),IF(B179=7,RANDBETWEEN(101,140),IF(B179=8,RANDBETWEEN(201,214),IF(B179=9,RANDBETWEEN(201,214),IF(B179=10,RANDBETWEEN(201,214),0)))))))))),Sheet2!$A$2:$D$95,4,FALSE)</f>
        <v>Pet_10062</v>
      </c>
      <c r="G179" t="s">
        <v>181</v>
      </c>
      <c r="H179" t="str">
        <f t="shared" ca="1" si="15"/>
        <v>3,2,2</v>
      </c>
      <c r="I179" t="str">
        <f t="shared" si="16"/>
        <v>2000,2000,2000</v>
      </c>
      <c r="J179">
        <f t="shared" si="18"/>
        <v>1200000</v>
      </c>
      <c r="K179">
        <v>2000</v>
      </c>
      <c r="L179">
        <v>5</v>
      </c>
      <c r="M179" t="str">
        <f t="shared" si="17"/>
        <v>1000,50000000|10020440,2</v>
      </c>
    </row>
    <row r="180" spans="1:13" x14ac:dyDescent="0.2">
      <c r="A180">
        <v>177</v>
      </c>
      <c r="B180">
        <v>8</v>
      </c>
      <c r="C180">
        <v>10</v>
      </c>
      <c r="D180">
        <f t="shared" si="13"/>
        <v>900</v>
      </c>
      <c r="E180">
        <f t="shared" si="14"/>
        <v>600</v>
      </c>
      <c r="F180" t="str">
        <f ca="1">VLOOKUP(IF(B180=1,RANDBETWEEN(1,40),IF(B180=2,RANDBETWEEN(1,40),IF(B180=3,RANDBETWEEN(1,40),IF(B180=4,RANDBETWEEN(101,140),IF(B180=5,RANDBETWEEN(101,140),IF(B180=6,RANDBETWEEN(101,140),IF(B180=7,RANDBETWEEN(101,140),IF(B180=8,RANDBETWEEN(201,214),IF(B180=9,RANDBETWEEN(201,214),IF(B180=10,RANDBETWEEN(201,214),0)))))))))),Sheet2!$A$2:$D$95,4,FALSE)</f>
        <v>Pet_10332</v>
      </c>
      <c r="G180" t="s">
        <v>193</v>
      </c>
      <c r="H180" t="str">
        <f t="shared" ca="1" si="15"/>
        <v>5,3,2</v>
      </c>
      <c r="I180" t="str">
        <f t="shared" si="16"/>
        <v>3000,2000,2000</v>
      </c>
      <c r="J180">
        <f t="shared" si="18"/>
        <v>800000</v>
      </c>
      <c r="K180">
        <v>2000</v>
      </c>
      <c r="L180">
        <v>5</v>
      </c>
      <c r="M180" t="str">
        <f t="shared" si="17"/>
        <v>1000,20000000|10000010,1</v>
      </c>
    </row>
    <row r="181" spans="1:13" x14ac:dyDescent="0.2">
      <c r="A181">
        <v>178</v>
      </c>
      <c r="B181">
        <v>6</v>
      </c>
      <c r="C181">
        <v>10</v>
      </c>
      <c r="D181">
        <f t="shared" si="13"/>
        <v>2000</v>
      </c>
      <c r="E181">
        <f t="shared" si="14"/>
        <v>360</v>
      </c>
      <c r="F181" t="str">
        <f ca="1">VLOOKUP(IF(B181=1,RANDBETWEEN(1,40),IF(B181=2,RANDBETWEEN(1,40),IF(B181=3,RANDBETWEEN(1,40),IF(B181=4,RANDBETWEEN(101,140),IF(B181=5,RANDBETWEEN(101,140),IF(B181=6,RANDBETWEEN(101,140),IF(B181=7,RANDBETWEEN(101,140),IF(B181=8,RANDBETWEEN(201,214),IF(B181=9,RANDBETWEEN(201,214),IF(B181=10,RANDBETWEEN(201,214),0)))))))))),Sheet2!$A$2:$D$95,4,FALSE)</f>
        <v>Pet_10191</v>
      </c>
      <c r="G181" t="s">
        <v>220</v>
      </c>
      <c r="H181" t="str">
        <f t="shared" ca="1" si="15"/>
        <v>5,6,4</v>
      </c>
      <c r="I181" t="str">
        <f t="shared" si="16"/>
        <v>3000,3000,2000</v>
      </c>
      <c r="J181">
        <f t="shared" si="18"/>
        <v>200000</v>
      </c>
      <c r="K181">
        <v>2000</v>
      </c>
      <c r="L181">
        <v>5</v>
      </c>
      <c r="M181" t="str">
        <f t="shared" si="17"/>
        <v>1000,5000000|10020320,1</v>
      </c>
    </row>
    <row r="182" spans="1:13" x14ac:dyDescent="0.2">
      <c r="A182">
        <v>179</v>
      </c>
      <c r="B182">
        <v>6</v>
      </c>
      <c r="C182">
        <v>10</v>
      </c>
      <c r="D182">
        <f t="shared" si="13"/>
        <v>2000</v>
      </c>
      <c r="E182">
        <f t="shared" si="14"/>
        <v>360</v>
      </c>
      <c r="F182" t="str">
        <f ca="1">VLOOKUP(IF(B182=1,RANDBETWEEN(1,40),IF(B182=2,RANDBETWEEN(1,40),IF(B182=3,RANDBETWEEN(1,40),IF(B182=4,RANDBETWEEN(101,140),IF(B182=5,RANDBETWEEN(101,140),IF(B182=6,RANDBETWEEN(101,140),IF(B182=7,RANDBETWEEN(101,140),IF(B182=8,RANDBETWEEN(201,214),IF(B182=9,RANDBETWEEN(201,214),IF(B182=10,RANDBETWEEN(201,214),0)))))))))),Sheet2!$A$2:$D$95,4,FALSE)</f>
        <v>Pet_10331</v>
      </c>
      <c r="G182" t="s">
        <v>197</v>
      </c>
      <c r="H182" t="str">
        <f t="shared" ca="1" si="15"/>
        <v>5,2,4</v>
      </c>
      <c r="I182" t="str">
        <f t="shared" si="16"/>
        <v>3000,3000,2000</v>
      </c>
      <c r="J182">
        <f t="shared" si="18"/>
        <v>200000</v>
      </c>
      <c r="K182">
        <v>2000</v>
      </c>
      <c r="L182">
        <v>5</v>
      </c>
      <c r="M182" t="str">
        <f t="shared" si="17"/>
        <v>1000,5000000|10020320,1</v>
      </c>
    </row>
    <row r="183" spans="1:13" x14ac:dyDescent="0.2">
      <c r="A183">
        <v>180</v>
      </c>
      <c r="B183">
        <v>6</v>
      </c>
      <c r="C183">
        <v>10</v>
      </c>
      <c r="D183">
        <f t="shared" si="13"/>
        <v>2000</v>
      </c>
      <c r="E183">
        <f t="shared" si="14"/>
        <v>360</v>
      </c>
      <c r="F183" t="str">
        <f ca="1">VLOOKUP(IF(B183=1,RANDBETWEEN(1,40),IF(B183=2,RANDBETWEEN(1,40),IF(B183=3,RANDBETWEEN(1,40),IF(B183=4,RANDBETWEEN(101,140),IF(B183=5,RANDBETWEEN(101,140),IF(B183=6,RANDBETWEEN(101,140),IF(B183=7,RANDBETWEEN(101,140),IF(B183=8,RANDBETWEEN(201,214),IF(B183=9,RANDBETWEEN(201,214),IF(B183=10,RANDBETWEEN(201,214),0)))))))))),Sheet2!$A$2:$D$95,4,FALSE)</f>
        <v>Pet_10521</v>
      </c>
      <c r="G183" t="s">
        <v>216</v>
      </c>
      <c r="H183" t="str">
        <f t="shared" ca="1" si="15"/>
        <v>2,3,5</v>
      </c>
      <c r="I183" t="str">
        <f t="shared" si="16"/>
        <v>3000,3000,2000</v>
      </c>
      <c r="J183">
        <f t="shared" si="18"/>
        <v>200000</v>
      </c>
      <c r="K183">
        <v>2000</v>
      </c>
      <c r="L183">
        <v>5</v>
      </c>
      <c r="M183" t="str">
        <f t="shared" si="17"/>
        <v>1000,5000000|10020320,1</v>
      </c>
    </row>
    <row r="184" spans="1:13" x14ac:dyDescent="0.2">
      <c r="A184">
        <v>181</v>
      </c>
      <c r="B184">
        <v>7</v>
      </c>
      <c r="C184">
        <v>10</v>
      </c>
      <c r="D184">
        <f t="shared" si="13"/>
        <v>1400</v>
      </c>
      <c r="E184">
        <f t="shared" si="14"/>
        <v>480</v>
      </c>
      <c r="F184" t="str">
        <f ca="1">VLOOKUP(IF(B184=1,RANDBETWEEN(1,40),IF(B184=2,RANDBETWEEN(1,40),IF(B184=3,RANDBETWEEN(1,40),IF(B184=4,RANDBETWEEN(101,140),IF(B184=5,RANDBETWEEN(101,140),IF(B184=6,RANDBETWEEN(101,140),IF(B184=7,RANDBETWEEN(101,140),IF(B184=8,RANDBETWEEN(201,214),IF(B184=9,RANDBETWEEN(201,214),IF(B184=10,RANDBETWEEN(201,214),0)))))))))),Sheet2!$A$2:$D$95,4,FALSE)</f>
        <v>Pet_10531</v>
      </c>
      <c r="G184" t="s">
        <v>247</v>
      </c>
      <c r="H184" t="str">
        <f t="shared" ca="1" si="15"/>
        <v>1,5,5</v>
      </c>
      <c r="I184" t="str">
        <f t="shared" si="16"/>
        <v>3000,3000,2000</v>
      </c>
      <c r="J184">
        <f t="shared" si="18"/>
        <v>400000</v>
      </c>
      <c r="K184">
        <v>2000</v>
      </c>
      <c r="L184">
        <v>5</v>
      </c>
      <c r="M184" t="str">
        <f t="shared" si="17"/>
        <v>1000,10000000|10020330,1</v>
      </c>
    </row>
    <row r="185" spans="1:13" x14ac:dyDescent="0.2">
      <c r="A185">
        <v>182</v>
      </c>
      <c r="B185">
        <v>7</v>
      </c>
      <c r="C185">
        <v>10</v>
      </c>
      <c r="D185">
        <f t="shared" si="13"/>
        <v>1400</v>
      </c>
      <c r="E185">
        <f t="shared" si="14"/>
        <v>480</v>
      </c>
      <c r="F185" t="str">
        <f ca="1">VLOOKUP(IF(B185=1,RANDBETWEEN(1,40),IF(B185=2,RANDBETWEEN(1,40),IF(B185=3,RANDBETWEEN(1,40),IF(B185=4,RANDBETWEEN(101,140),IF(B185=5,RANDBETWEEN(101,140),IF(B185=6,RANDBETWEEN(101,140),IF(B185=7,RANDBETWEEN(101,140),IF(B185=8,RANDBETWEEN(201,214),IF(B185=9,RANDBETWEEN(201,214),IF(B185=10,RANDBETWEEN(201,214),0)))))))))),Sheet2!$A$2:$D$95,4,FALSE)</f>
        <v>Pet_10381</v>
      </c>
      <c r="G185" t="s">
        <v>184</v>
      </c>
      <c r="H185" t="str">
        <f t="shared" ca="1" si="15"/>
        <v>3,1,4</v>
      </c>
      <c r="I185" t="str">
        <f t="shared" si="16"/>
        <v>3000,3000,2000</v>
      </c>
      <c r="J185">
        <f t="shared" si="18"/>
        <v>400000</v>
      </c>
      <c r="K185">
        <v>2000</v>
      </c>
      <c r="L185">
        <v>5</v>
      </c>
      <c r="M185" t="str">
        <f t="shared" si="17"/>
        <v>1000,10000000|10020330,1</v>
      </c>
    </row>
    <row r="186" spans="1:13" x14ac:dyDescent="0.2">
      <c r="A186">
        <v>183</v>
      </c>
      <c r="B186">
        <v>7</v>
      </c>
      <c r="C186">
        <v>10</v>
      </c>
      <c r="D186">
        <f t="shared" si="13"/>
        <v>1400</v>
      </c>
      <c r="E186">
        <f t="shared" si="14"/>
        <v>480</v>
      </c>
      <c r="F186" t="str">
        <f ca="1">VLOOKUP(IF(B186=1,RANDBETWEEN(1,40),IF(B186=2,RANDBETWEEN(1,40),IF(B186=3,RANDBETWEEN(1,40),IF(B186=4,RANDBETWEEN(101,140),IF(B186=5,RANDBETWEEN(101,140),IF(B186=6,RANDBETWEEN(101,140),IF(B186=7,RANDBETWEEN(101,140),IF(B186=8,RANDBETWEEN(201,214),IF(B186=9,RANDBETWEEN(201,214),IF(B186=10,RANDBETWEEN(201,214),0)))))))))),Sheet2!$A$2:$D$95,4,FALSE)</f>
        <v>Pet_10621</v>
      </c>
      <c r="G186" t="s">
        <v>195</v>
      </c>
      <c r="H186" t="str">
        <f t="shared" ca="1" si="15"/>
        <v>1,2,6</v>
      </c>
      <c r="I186" t="str">
        <f t="shared" si="16"/>
        <v>3000,3000,2000</v>
      </c>
      <c r="J186">
        <f t="shared" si="18"/>
        <v>400000</v>
      </c>
      <c r="K186">
        <v>2000</v>
      </c>
      <c r="L186">
        <v>5</v>
      </c>
      <c r="M186" t="str">
        <f t="shared" si="17"/>
        <v>1000,10000000|10020330,1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2024-10-25T02:41:51Z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D4C5024A68214CE581570F6276FD8603_12</vt:lpwstr>
  </property>
  <property fmtid="{D5CDD505-2E9C-101B-9397-08002B2CF9AE}" pid="3" name="KSOProductBuildVer">
    <vt:lpwstr>2052-12.1.0.16729</vt:lpwstr>
  </property>
</Properties>
</file>