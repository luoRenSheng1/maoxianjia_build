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2" r:id="rId1"/>
    <sheet name="钻石" sheetId="6" r:id="rId2"/>
    <sheet name="金币掉落" sheetId="5" r:id="rId3"/>
    <sheet name="寻宝铲" sheetId="4" r:id="rId4"/>
    <sheet name="英雄经验副本" sheetId="7" r:id="rId5"/>
    <sheet name="神器碎片" sheetId="9" r:id="rId6"/>
    <sheet name="圣物碎片" sheetId="8" r:id="rId7"/>
    <sheet name="宠物" sheetId="10" r:id="rId8"/>
  </sheets>
  <externalReferences>
    <externalReference r:id="rId9"/>
    <externalReference r:id="rId10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0" l="1"/>
  <c r="B121" i="10"/>
  <c r="J121" i="10" s="1"/>
  <c r="E120" i="10"/>
  <c r="B120" i="10"/>
  <c r="J120" i="10" s="1"/>
  <c r="E119" i="10"/>
  <c r="B119" i="10"/>
  <c r="J119" i="10" s="1"/>
  <c r="E118" i="10"/>
  <c r="B118" i="10"/>
  <c r="E117" i="10"/>
  <c r="B117" i="10"/>
  <c r="J117" i="10" s="1"/>
  <c r="E116" i="10"/>
  <c r="B116" i="10"/>
  <c r="E115" i="10"/>
  <c r="B115" i="10"/>
  <c r="J115" i="10" s="1"/>
  <c r="E114" i="10"/>
  <c r="B114" i="10"/>
  <c r="J114" i="10" s="1"/>
  <c r="E113" i="10"/>
  <c r="B113" i="10"/>
  <c r="E112" i="10"/>
  <c r="B112" i="10"/>
  <c r="J112" i="10" s="1"/>
  <c r="E111" i="10"/>
  <c r="B111" i="10"/>
  <c r="E110" i="10"/>
  <c r="B110" i="10"/>
  <c r="J110" i="10" s="1"/>
  <c r="E109" i="10"/>
  <c r="B109" i="10"/>
  <c r="J109" i="10" s="1"/>
  <c r="E108" i="10"/>
  <c r="B108" i="10"/>
  <c r="J108" i="10" s="1"/>
  <c r="E107" i="10"/>
  <c r="B107" i="10"/>
  <c r="E106" i="10"/>
  <c r="B106" i="10"/>
  <c r="J106" i="10" s="1"/>
  <c r="E105" i="10"/>
  <c r="B105" i="10"/>
  <c r="E104" i="10"/>
  <c r="B104" i="10"/>
  <c r="E103" i="10"/>
  <c r="B103" i="10"/>
  <c r="J102" i="10"/>
  <c r="E102" i="10"/>
  <c r="B102" i="10"/>
  <c r="E101" i="10"/>
  <c r="B101" i="10"/>
  <c r="J101" i="10" s="1"/>
  <c r="E100" i="10"/>
  <c r="B100" i="10"/>
  <c r="E99" i="10"/>
  <c r="B99" i="10"/>
  <c r="J99" i="10" s="1"/>
  <c r="E98" i="10"/>
  <c r="B98" i="10"/>
  <c r="J98" i="10" s="1"/>
  <c r="E97" i="10"/>
  <c r="B97" i="10"/>
  <c r="E96" i="10"/>
  <c r="B96" i="10"/>
  <c r="J96" i="10" s="1"/>
  <c r="E95" i="10"/>
  <c r="B95" i="10"/>
  <c r="E94" i="10"/>
  <c r="B94" i="10"/>
  <c r="J94" i="10" s="1"/>
  <c r="E93" i="10"/>
  <c r="B93" i="10"/>
  <c r="J93" i="10" s="1"/>
  <c r="E92" i="10"/>
  <c r="B92" i="10"/>
  <c r="J92" i="10" s="1"/>
  <c r="E91" i="10"/>
  <c r="B91" i="10"/>
  <c r="E90" i="10"/>
  <c r="B90" i="10"/>
  <c r="J90" i="10" s="1"/>
  <c r="E89" i="10"/>
  <c r="B89" i="10"/>
  <c r="J89" i="10" s="1"/>
  <c r="E88" i="10"/>
  <c r="B88" i="10"/>
  <c r="E87" i="10"/>
  <c r="B87" i="10"/>
  <c r="J86" i="10"/>
  <c r="E86" i="10"/>
  <c r="B86" i="10"/>
  <c r="E85" i="10"/>
  <c r="B85" i="10"/>
  <c r="J85" i="10" s="1"/>
  <c r="E84" i="10"/>
  <c r="B84" i="10"/>
  <c r="E83" i="10"/>
  <c r="B83" i="10"/>
  <c r="J83" i="10" s="1"/>
  <c r="E82" i="10"/>
  <c r="B82" i="10"/>
  <c r="J82" i="10" s="1"/>
  <c r="E81" i="10"/>
  <c r="B81" i="10"/>
  <c r="E80" i="10"/>
  <c r="B80" i="10"/>
  <c r="J80" i="10" s="1"/>
  <c r="E79" i="10"/>
  <c r="B79" i="10"/>
  <c r="E78" i="10"/>
  <c r="B78" i="10"/>
  <c r="J78" i="10" s="1"/>
  <c r="E77" i="10"/>
  <c r="B77" i="10"/>
  <c r="J77" i="10" s="1"/>
  <c r="E76" i="10"/>
  <c r="B76" i="10"/>
  <c r="J76" i="10" s="1"/>
  <c r="E75" i="10"/>
  <c r="B75" i="10"/>
  <c r="E74" i="10"/>
  <c r="B74" i="10"/>
  <c r="J74" i="10" s="1"/>
  <c r="E73" i="10"/>
  <c r="B73" i="10"/>
  <c r="J73" i="10" s="1"/>
  <c r="E72" i="10"/>
  <c r="B72" i="10"/>
  <c r="E71" i="10"/>
  <c r="B71" i="10"/>
  <c r="J70" i="10"/>
  <c r="E70" i="10"/>
  <c r="B70" i="10"/>
  <c r="E69" i="10"/>
  <c r="B69" i="10"/>
  <c r="J69" i="10" s="1"/>
  <c r="E68" i="10"/>
  <c r="B68" i="10"/>
  <c r="E67" i="10"/>
  <c r="B67" i="10"/>
  <c r="J67" i="10" s="1"/>
  <c r="E66" i="10"/>
  <c r="B66" i="10"/>
  <c r="J66" i="10" s="1"/>
  <c r="E65" i="10"/>
  <c r="B65" i="10"/>
  <c r="E64" i="10"/>
  <c r="B64" i="10"/>
  <c r="J64" i="10" s="1"/>
  <c r="E63" i="10"/>
  <c r="B63" i="10"/>
  <c r="E62" i="10"/>
  <c r="B62" i="10"/>
  <c r="J62" i="10" s="1"/>
  <c r="E61" i="10"/>
  <c r="B61" i="10"/>
  <c r="J61" i="10" s="1"/>
  <c r="E60" i="10"/>
  <c r="B60" i="10"/>
  <c r="J60" i="10" s="1"/>
  <c r="E59" i="10"/>
  <c r="B59" i="10"/>
  <c r="E58" i="10"/>
  <c r="B58" i="10"/>
  <c r="J58" i="10" s="1"/>
  <c r="E57" i="10"/>
  <c r="B57" i="10"/>
  <c r="J57" i="10" s="1"/>
  <c r="E56" i="10"/>
  <c r="B56" i="10"/>
  <c r="E55" i="10"/>
  <c r="B55" i="10"/>
  <c r="J54" i="10"/>
  <c r="E54" i="10"/>
  <c r="B54" i="10"/>
  <c r="E53" i="10"/>
  <c r="B53" i="10"/>
  <c r="J53" i="10" s="1"/>
  <c r="E52" i="10"/>
  <c r="B52" i="10"/>
  <c r="E51" i="10"/>
  <c r="B51" i="10"/>
  <c r="J51" i="10" s="1"/>
  <c r="E50" i="10"/>
  <c r="B50" i="10"/>
  <c r="J50" i="10" s="1"/>
  <c r="E49" i="10"/>
  <c r="B49" i="10"/>
  <c r="E48" i="10"/>
  <c r="B48" i="10"/>
  <c r="J48" i="10" s="1"/>
  <c r="E47" i="10"/>
  <c r="B47" i="10"/>
  <c r="E46" i="10"/>
  <c r="B46" i="10"/>
  <c r="J46" i="10" s="1"/>
  <c r="E45" i="10"/>
  <c r="B45" i="10"/>
  <c r="J45" i="10" s="1"/>
  <c r="E44" i="10"/>
  <c r="B44" i="10"/>
  <c r="J44" i="10" s="1"/>
  <c r="E43" i="10"/>
  <c r="B43" i="10"/>
  <c r="E42" i="10"/>
  <c r="B42" i="10"/>
  <c r="J42" i="10" s="1"/>
  <c r="E41" i="10"/>
  <c r="B41" i="10"/>
  <c r="J41" i="10" s="1"/>
  <c r="E40" i="10"/>
  <c r="B40" i="10"/>
  <c r="E39" i="10"/>
  <c r="B39" i="10"/>
  <c r="J38" i="10"/>
  <c r="E38" i="10"/>
  <c r="B38" i="10"/>
  <c r="E37" i="10"/>
  <c r="B37" i="10"/>
  <c r="J37" i="10" s="1"/>
  <c r="E36" i="10"/>
  <c r="B36" i="10"/>
  <c r="E35" i="10"/>
  <c r="B35" i="10"/>
  <c r="J35" i="10" s="1"/>
  <c r="E34" i="10"/>
  <c r="B34" i="10"/>
  <c r="J34" i="10" s="1"/>
  <c r="E33" i="10"/>
  <c r="B33" i="10"/>
  <c r="E32" i="10"/>
  <c r="B32" i="10"/>
  <c r="J32" i="10" s="1"/>
  <c r="E31" i="10"/>
  <c r="B31" i="10"/>
  <c r="E30" i="10"/>
  <c r="B30" i="10"/>
  <c r="J30" i="10" s="1"/>
  <c r="E29" i="10"/>
  <c r="B29" i="10"/>
  <c r="J29" i="10" s="1"/>
  <c r="E28" i="10"/>
  <c r="B28" i="10"/>
  <c r="J28" i="10" s="1"/>
  <c r="E27" i="10"/>
  <c r="B27" i="10"/>
  <c r="E26" i="10"/>
  <c r="B26" i="10"/>
  <c r="J26" i="10" s="1"/>
  <c r="E25" i="10"/>
  <c r="B25" i="10"/>
  <c r="J25" i="10" s="1"/>
  <c r="E24" i="10"/>
  <c r="B24" i="10"/>
  <c r="E23" i="10"/>
  <c r="B23" i="10"/>
  <c r="J22" i="10"/>
  <c r="E22" i="10"/>
  <c r="B22" i="10"/>
  <c r="E21" i="10"/>
  <c r="B21" i="10"/>
  <c r="J21" i="10" s="1"/>
  <c r="E20" i="10"/>
  <c r="B20" i="10"/>
  <c r="E19" i="10"/>
  <c r="B19" i="10"/>
  <c r="J19" i="10" s="1"/>
  <c r="E18" i="10"/>
  <c r="B18" i="10"/>
  <c r="J18" i="10" s="1"/>
  <c r="E17" i="10"/>
  <c r="B17" i="10"/>
  <c r="E16" i="10"/>
  <c r="B16" i="10"/>
  <c r="J16" i="10" s="1"/>
  <c r="E15" i="10"/>
  <c r="B15" i="10"/>
  <c r="E14" i="10"/>
  <c r="B14" i="10"/>
  <c r="J14" i="10" s="1"/>
  <c r="E13" i="10"/>
  <c r="B13" i="10"/>
  <c r="J13" i="10" s="1"/>
  <c r="E12" i="10"/>
  <c r="B12" i="10"/>
  <c r="J12" i="10" s="1"/>
  <c r="E11" i="10"/>
  <c r="B11" i="10"/>
  <c r="E10" i="10"/>
  <c r="B10" i="10"/>
  <c r="J10" i="10" s="1"/>
  <c r="E9" i="10"/>
  <c r="B9" i="10"/>
  <c r="J9" i="10" s="1"/>
  <c r="E8" i="10"/>
  <c r="B8" i="10"/>
  <c r="E7" i="10"/>
  <c r="B7" i="10"/>
  <c r="J6" i="10"/>
  <c r="E6" i="10"/>
  <c r="B6" i="10"/>
  <c r="E5" i="10"/>
  <c r="B5" i="10"/>
  <c r="J5" i="10" s="1"/>
  <c r="E4" i="10"/>
  <c r="B4" i="10"/>
  <c r="E3" i="10"/>
  <c r="B3" i="10"/>
  <c r="J3" i="10" s="1"/>
  <c r="E2" i="10"/>
  <c r="B2" i="10"/>
  <c r="J2" i="10" s="1"/>
  <c r="B121" i="8"/>
  <c r="E121" i="8" s="1"/>
  <c r="E120" i="8"/>
  <c r="B120" i="8"/>
  <c r="B119" i="8"/>
  <c r="E119" i="8" s="1"/>
  <c r="B118" i="8"/>
  <c r="E118" i="8" s="1"/>
  <c r="B117" i="8"/>
  <c r="E117" i="8" s="1"/>
  <c r="E116" i="8"/>
  <c r="B116" i="8"/>
  <c r="B115" i="8"/>
  <c r="E115" i="8" s="1"/>
  <c r="B114" i="8"/>
  <c r="E114" i="8" s="1"/>
  <c r="E113" i="8"/>
  <c r="B113" i="8"/>
  <c r="B112" i="8"/>
  <c r="E112" i="8" s="1"/>
  <c r="E111" i="8"/>
  <c r="B111" i="8"/>
  <c r="B110" i="8"/>
  <c r="E110" i="8" s="1"/>
  <c r="B109" i="8"/>
  <c r="E109" i="8" s="1"/>
  <c r="B108" i="8"/>
  <c r="E108" i="8" s="1"/>
  <c r="B107" i="8"/>
  <c r="E107" i="8" s="1"/>
  <c r="B106" i="8"/>
  <c r="E106" i="8" s="1"/>
  <c r="B105" i="8"/>
  <c r="E105" i="8" s="1"/>
  <c r="E104" i="8"/>
  <c r="B104" i="8"/>
  <c r="B103" i="8"/>
  <c r="E103" i="8" s="1"/>
  <c r="B102" i="8"/>
  <c r="E102" i="8" s="1"/>
  <c r="B101" i="8"/>
  <c r="E101" i="8" s="1"/>
  <c r="B100" i="8"/>
  <c r="E100" i="8" s="1"/>
  <c r="E99" i="8"/>
  <c r="B99" i="8"/>
  <c r="B98" i="8"/>
  <c r="E98" i="8" s="1"/>
  <c r="B97" i="8"/>
  <c r="E97" i="8" s="1"/>
  <c r="E96" i="8"/>
  <c r="B96" i="8"/>
  <c r="B95" i="8"/>
  <c r="E95" i="8" s="1"/>
  <c r="B94" i="8"/>
  <c r="E94" i="8" s="1"/>
  <c r="E93" i="8"/>
  <c r="B93" i="8"/>
  <c r="E92" i="8"/>
  <c r="B92" i="8"/>
  <c r="B91" i="8"/>
  <c r="E91" i="8" s="1"/>
  <c r="B90" i="8"/>
  <c r="E90" i="8" s="1"/>
  <c r="E89" i="8"/>
  <c r="B89" i="8"/>
  <c r="B88" i="8"/>
  <c r="E88" i="8" s="1"/>
  <c r="E87" i="8"/>
  <c r="B87" i="8"/>
  <c r="E86" i="8"/>
  <c r="B86" i="8"/>
  <c r="B85" i="8"/>
  <c r="E85" i="8" s="1"/>
  <c r="E84" i="8"/>
  <c r="B84" i="8"/>
  <c r="B83" i="8"/>
  <c r="E83" i="8" s="1"/>
  <c r="B82" i="8"/>
  <c r="E82" i="8" s="1"/>
  <c r="B81" i="8"/>
  <c r="E81" i="8" s="1"/>
  <c r="E80" i="8"/>
  <c r="B80" i="8"/>
  <c r="B79" i="8"/>
  <c r="E79" i="8" s="1"/>
  <c r="B78" i="8"/>
  <c r="E78" i="8" s="1"/>
  <c r="E77" i="8"/>
  <c r="B77" i="8"/>
  <c r="B76" i="8"/>
  <c r="E76" i="8" s="1"/>
  <c r="E75" i="8"/>
  <c r="B75" i="8"/>
  <c r="B74" i="8"/>
  <c r="E74" i="8" s="1"/>
  <c r="B73" i="8"/>
  <c r="E73" i="8" s="1"/>
  <c r="B72" i="8"/>
  <c r="E72" i="8" s="1"/>
  <c r="B71" i="8"/>
  <c r="E71" i="8" s="1"/>
  <c r="B70" i="8"/>
  <c r="E70" i="8" s="1"/>
  <c r="B69" i="8"/>
  <c r="E69" i="8" s="1"/>
  <c r="E68" i="8"/>
  <c r="B68" i="8"/>
  <c r="B67" i="8"/>
  <c r="E67" i="8" s="1"/>
  <c r="B66" i="8"/>
  <c r="E66" i="8" s="1"/>
  <c r="B65" i="8"/>
  <c r="E65" i="8" s="1"/>
  <c r="B64" i="8"/>
  <c r="E64" i="8" s="1"/>
  <c r="E63" i="8"/>
  <c r="B63" i="8"/>
  <c r="B62" i="8"/>
  <c r="E62" i="8" s="1"/>
  <c r="B61" i="8"/>
  <c r="E61" i="8" s="1"/>
  <c r="E60" i="8"/>
  <c r="B60" i="8"/>
  <c r="B59" i="8"/>
  <c r="E59" i="8" s="1"/>
  <c r="B58" i="8"/>
  <c r="E58" i="8" s="1"/>
  <c r="E57" i="8"/>
  <c r="B57" i="8"/>
  <c r="E56" i="8"/>
  <c r="B56" i="8"/>
  <c r="B55" i="8"/>
  <c r="E55" i="8" s="1"/>
  <c r="B54" i="8"/>
  <c r="E54" i="8" s="1"/>
  <c r="E53" i="8"/>
  <c r="B53" i="8"/>
  <c r="B52" i="8"/>
  <c r="E52" i="8" s="1"/>
  <c r="E51" i="8"/>
  <c r="B51" i="8"/>
  <c r="E50" i="8"/>
  <c r="B50" i="8"/>
  <c r="B49" i="8"/>
  <c r="E49" i="8" s="1"/>
  <c r="E48" i="8"/>
  <c r="B48" i="8"/>
  <c r="B47" i="8"/>
  <c r="E47" i="8" s="1"/>
  <c r="B46" i="8"/>
  <c r="E46" i="8" s="1"/>
  <c r="B45" i="8"/>
  <c r="E45" i="8" s="1"/>
  <c r="E44" i="8"/>
  <c r="B44" i="8"/>
  <c r="B43" i="8"/>
  <c r="E43" i="8" s="1"/>
  <c r="B42" i="8"/>
  <c r="E42" i="8" s="1"/>
  <c r="E41" i="8"/>
  <c r="B41" i="8"/>
  <c r="B40" i="8"/>
  <c r="E40" i="8" s="1"/>
  <c r="E39" i="8"/>
  <c r="B39" i="8"/>
  <c r="B38" i="8"/>
  <c r="E38" i="8" s="1"/>
  <c r="B37" i="8"/>
  <c r="E37" i="8" s="1"/>
  <c r="B36" i="8"/>
  <c r="E36" i="8" s="1"/>
  <c r="B35" i="8"/>
  <c r="E35" i="8" s="1"/>
  <c r="B34" i="8"/>
  <c r="E34" i="8" s="1"/>
  <c r="B33" i="8"/>
  <c r="E33" i="8" s="1"/>
  <c r="E32" i="8"/>
  <c r="B32" i="8"/>
  <c r="B31" i="8"/>
  <c r="E31" i="8" s="1"/>
  <c r="B30" i="8"/>
  <c r="E30" i="8" s="1"/>
  <c r="B29" i="8"/>
  <c r="E29" i="8" s="1"/>
  <c r="B28" i="8"/>
  <c r="E28" i="8" s="1"/>
  <c r="E27" i="8"/>
  <c r="B27" i="8"/>
  <c r="B26" i="8"/>
  <c r="E26" i="8" s="1"/>
  <c r="B25" i="8"/>
  <c r="E25" i="8" s="1"/>
  <c r="E24" i="8"/>
  <c r="B24" i="8"/>
  <c r="B23" i="8"/>
  <c r="E23" i="8" s="1"/>
  <c r="B22" i="8"/>
  <c r="E22" i="8" s="1"/>
  <c r="E21" i="8"/>
  <c r="B21" i="8"/>
  <c r="E20" i="8"/>
  <c r="B20" i="8"/>
  <c r="B19" i="8"/>
  <c r="E19" i="8" s="1"/>
  <c r="B18" i="8"/>
  <c r="E18" i="8" s="1"/>
  <c r="E17" i="8"/>
  <c r="B17" i="8"/>
  <c r="B16" i="8"/>
  <c r="E16" i="8" s="1"/>
  <c r="E15" i="8"/>
  <c r="B15" i="8"/>
  <c r="E14" i="8"/>
  <c r="B14" i="8"/>
  <c r="B13" i="8"/>
  <c r="E13" i="8" s="1"/>
  <c r="E12" i="8"/>
  <c r="B12" i="8"/>
  <c r="B11" i="8"/>
  <c r="E11" i="8" s="1"/>
  <c r="B10" i="8"/>
  <c r="E10" i="8" s="1"/>
  <c r="B9" i="8"/>
  <c r="E9" i="8" s="1"/>
  <c r="E8" i="8"/>
  <c r="B8" i="8"/>
  <c r="B7" i="8"/>
  <c r="E7" i="8" s="1"/>
  <c r="B6" i="8"/>
  <c r="E6" i="8" s="1"/>
  <c r="E5" i="8"/>
  <c r="B5" i="8"/>
  <c r="B4" i="8"/>
  <c r="E4" i="8" s="1"/>
  <c r="E3" i="8"/>
  <c r="B3" i="8"/>
  <c r="B2" i="8"/>
  <c r="E2" i="8" s="1"/>
  <c r="B121" i="9"/>
  <c r="K121" i="9" s="1"/>
  <c r="B120" i="9"/>
  <c r="K120" i="9" s="1"/>
  <c r="B119" i="9"/>
  <c r="K119" i="9" s="1"/>
  <c r="B118" i="9"/>
  <c r="K118" i="9" s="1"/>
  <c r="B117" i="9"/>
  <c r="K117" i="9" s="1"/>
  <c r="K116" i="9"/>
  <c r="B116" i="9"/>
  <c r="B115" i="9"/>
  <c r="K115" i="9" s="1"/>
  <c r="B114" i="9"/>
  <c r="K114" i="9" s="1"/>
  <c r="B113" i="9"/>
  <c r="K113" i="9" s="1"/>
  <c r="B112" i="9"/>
  <c r="K112" i="9" s="1"/>
  <c r="K111" i="9"/>
  <c r="B111" i="9"/>
  <c r="B110" i="9"/>
  <c r="K110" i="9" s="1"/>
  <c r="B109" i="9"/>
  <c r="K109" i="9" s="1"/>
  <c r="K108" i="9"/>
  <c r="B108" i="9"/>
  <c r="B107" i="9"/>
  <c r="K107" i="9" s="1"/>
  <c r="B106" i="9"/>
  <c r="K106" i="9" s="1"/>
  <c r="K105" i="9"/>
  <c r="B105" i="9"/>
  <c r="K104" i="9"/>
  <c r="B104" i="9"/>
  <c r="B103" i="9"/>
  <c r="K103" i="9" s="1"/>
  <c r="B102" i="9"/>
  <c r="K102" i="9" s="1"/>
  <c r="K101" i="9"/>
  <c r="B101" i="9"/>
  <c r="B100" i="9"/>
  <c r="K100" i="9" s="1"/>
  <c r="K99" i="9"/>
  <c r="B99" i="9"/>
  <c r="K98" i="9"/>
  <c r="B98" i="9"/>
  <c r="B97" i="9"/>
  <c r="K97" i="9" s="1"/>
  <c r="K96" i="9"/>
  <c r="B96" i="9"/>
  <c r="B95" i="9"/>
  <c r="K95" i="9" s="1"/>
  <c r="B94" i="9"/>
  <c r="K94" i="9" s="1"/>
  <c r="B93" i="9"/>
  <c r="K93" i="9" s="1"/>
  <c r="K92" i="9"/>
  <c r="B92" i="9"/>
  <c r="B91" i="9"/>
  <c r="K91" i="9" s="1"/>
  <c r="B90" i="9"/>
  <c r="K90" i="9" s="1"/>
  <c r="K89" i="9"/>
  <c r="B89" i="9"/>
  <c r="B88" i="9"/>
  <c r="K88" i="9" s="1"/>
  <c r="K87" i="9"/>
  <c r="B87" i="9"/>
  <c r="B86" i="9"/>
  <c r="K86" i="9" s="1"/>
  <c r="B85" i="9"/>
  <c r="K85" i="9" s="1"/>
  <c r="B84" i="9"/>
  <c r="K84" i="9" s="1"/>
  <c r="B83" i="9"/>
  <c r="K83" i="9" s="1"/>
  <c r="B82" i="9"/>
  <c r="K82" i="9" s="1"/>
  <c r="B81" i="9"/>
  <c r="K81" i="9" s="1"/>
  <c r="K80" i="9"/>
  <c r="B80" i="9"/>
  <c r="B79" i="9"/>
  <c r="K79" i="9" s="1"/>
  <c r="B78" i="9"/>
  <c r="K78" i="9" s="1"/>
  <c r="B77" i="9"/>
  <c r="K77" i="9" s="1"/>
  <c r="B76" i="9"/>
  <c r="K76" i="9" s="1"/>
  <c r="K75" i="9"/>
  <c r="B75" i="9"/>
  <c r="B74" i="9"/>
  <c r="K74" i="9" s="1"/>
  <c r="B73" i="9"/>
  <c r="K73" i="9" s="1"/>
  <c r="K72" i="9"/>
  <c r="B72" i="9"/>
  <c r="B71" i="9"/>
  <c r="K71" i="9" s="1"/>
  <c r="B70" i="9"/>
  <c r="K70" i="9" s="1"/>
  <c r="K69" i="9"/>
  <c r="B69" i="9"/>
  <c r="K68" i="9"/>
  <c r="B68" i="9"/>
  <c r="B67" i="9"/>
  <c r="K67" i="9" s="1"/>
  <c r="B66" i="9"/>
  <c r="K66" i="9" s="1"/>
  <c r="K65" i="9"/>
  <c r="B65" i="9"/>
  <c r="B64" i="9"/>
  <c r="K64" i="9" s="1"/>
  <c r="K63" i="9"/>
  <c r="B63" i="9"/>
  <c r="K62" i="9"/>
  <c r="B62" i="9"/>
  <c r="B61" i="9"/>
  <c r="K61" i="9" s="1"/>
  <c r="K60" i="9"/>
  <c r="B60" i="9"/>
  <c r="B59" i="9"/>
  <c r="K59" i="9" s="1"/>
  <c r="B58" i="9"/>
  <c r="K58" i="9" s="1"/>
  <c r="B57" i="9"/>
  <c r="K57" i="9" s="1"/>
  <c r="K56" i="9"/>
  <c r="B56" i="9"/>
  <c r="B55" i="9"/>
  <c r="K55" i="9" s="1"/>
  <c r="B54" i="9"/>
  <c r="K54" i="9" s="1"/>
  <c r="K53" i="9"/>
  <c r="B53" i="9"/>
  <c r="B52" i="9"/>
  <c r="K52" i="9" s="1"/>
  <c r="K51" i="9"/>
  <c r="B51" i="9"/>
  <c r="B50" i="9"/>
  <c r="K50" i="9" s="1"/>
  <c r="B49" i="9"/>
  <c r="K49" i="9" s="1"/>
  <c r="B48" i="9"/>
  <c r="K48" i="9" s="1"/>
  <c r="B47" i="9"/>
  <c r="K47" i="9" s="1"/>
  <c r="B46" i="9"/>
  <c r="K46" i="9" s="1"/>
  <c r="B45" i="9"/>
  <c r="K45" i="9" s="1"/>
  <c r="K44" i="9"/>
  <c r="B44" i="9"/>
  <c r="B43" i="9"/>
  <c r="K43" i="9" s="1"/>
  <c r="B42" i="9"/>
  <c r="K42" i="9" s="1"/>
  <c r="B41" i="9"/>
  <c r="K41" i="9" s="1"/>
  <c r="B40" i="9"/>
  <c r="K40" i="9" s="1"/>
  <c r="K39" i="9"/>
  <c r="B39" i="9"/>
  <c r="B38" i="9"/>
  <c r="K38" i="9" s="1"/>
  <c r="B37" i="9"/>
  <c r="K37" i="9" s="1"/>
  <c r="K36" i="9"/>
  <c r="B36" i="9"/>
  <c r="B35" i="9"/>
  <c r="K35" i="9" s="1"/>
  <c r="B34" i="9"/>
  <c r="K34" i="9" s="1"/>
  <c r="K33" i="9"/>
  <c r="B33" i="9"/>
  <c r="K32" i="9"/>
  <c r="B32" i="9"/>
  <c r="B31" i="9"/>
  <c r="K31" i="9" s="1"/>
  <c r="B30" i="9"/>
  <c r="K30" i="9" s="1"/>
  <c r="K29" i="9"/>
  <c r="B29" i="9"/>
  <c r="B28" i="9"/>
  <c r="K28" i="9" s="1"/>
  <c r="K27" i="9"/>
  <c r="B27" i="9"/>
  <c r="K26" i="9"/>
  <c r="B26" i="9"/>
  <c r="B25" i="9"/>
  <c r="K25" i="9" s="1"/>
  <c r="K24" i="9"/>
  <c r="B24" i="9"/>
  <c r="B23" i="9"/>
  <c r="K23" i="9" s="1"/>
  <c r="B22" i="9"/>
  <c r="K22" i="9" s="1"/>
  <c r="B21" i="9"/>
  <c r="K21" i="9" s="1"/>
  <c r="K20" i="9"/>
  <c r="B20" i="9"/>
  <c r="B19" i="9"/>
  <c r="K19" i="9" s="1"/>
  <c r="B18" i="9"/>
  <c r="K18" i="9" s="1"/>
  <c r="K17" i="9"/>
  <c r="B17" i="9"/>
  <c r="B16" i="9"/>
  <c r="K16" i="9" s="1"/>
  <c r="K15" i="9"/>
  <c r="B15" i="9"/>
  <c r="B14" i="9"/>
  <c r="K14" i="9" s="1"/>
  <c r="B13" i="9"/>
  <c r="K13" i="9" s="1"/>
  <c r="B12" i="9"/>
  <c r="K12" i="9" s="1"/>
  <c r="B11" i="9"/>
  <c r="K11" i="9" s="1"/>
  <c r="B10" i="9"/>
  <c r="K10" i="9" s="1"/>
  <c r="B9" i="9"/>
  <c r="K9" i="9" s="1"/>
  <c r="K8" i="9"/>
  <c r="B8" i="9"/>
  <c r="B7" i="9"/>
  <c r="K7" i="9" s="1"/>
  <c r="B6" i="9"/>
  <c r="K6" i="9" s="1"/>
  <c r="B5" i="9"/>
  <c r="K5" i="9" s="1"/>
  <c r="B4" i="9"/>
  <c r="K4" i="9" s="1"/>
  <c r="K3" i="9"/>
  <c r="B3" i="9"/>
  <c r="B2" i="9"/>
  <c r="K2" i="9" s="1"/>
  <c r="K121" i="7"/>
  <c r="H121" i="7"/>
  <c r="B121" i="7"/>
  <c r="K120" i="7"/>
  <c r="H120" i="7"/>
  <c r="B120" i="7"/>
  <c r="K119" i="7"/>
  <c r="H119" i="7"/>
  <c r="Q119" i="7" s="1"/>
  <c r="B119" i="7"/>
  <c r="K118" i="7"/>
  <c r="H118" i="7"/>
  <c r="B118" i="7"/>
  <c r="K117" i="7"/>
  <c r="H117" i="7"/>
  <c r="Q117" i="7" s="1"/>
  <c r="B117" i="7"/>
  <c r="Q116" i="7"/>
  <c r="K116" i="7"/>
  <c r="H116" i="7"/>
  <c r="B116" i="7"/>
  <c r="K115" i="7"/>
  <c r="H115" i="7"/>
  <c r="B115" i="7"/>
  <c r="Q115" i="7" s="1"/>
  <c r="K114" i="7"/>
  <c r="H114" i="7"/>
  <c r="B114" i="7"/>
  <c r="Q114" i="7" s="1"/>
  <c r="K113" i="7"/>
  <c r="H113" i="7"/>
  <c r="B113" i="7"/>
  <c r="Q113" i="7" s="1"/>
  <c r="K112" i="7"/>
  <c r="H112" i="7"/>
  <c r="B112" i="7"/>
  <c r="Q111" i="7"/>
  <c r="K111" i="7"/>
  <c r="H111" i="7"/>
  <c r="B111" i="7"/>
  <c r="Q110" i="7"/>
  <c r="K110" i="7"/>
  <c r="H110" i="7"/>
  <c r="B110" i="7"/>
  <c r="K109" i="7"/>
  <c r="H109" i="7"/>
  <c r="B109" i="7"/>
  <c r="K108" i="7"/>
  <c r="H108" i="7"/>
  <c r="Q108" i="7" s="1"/>
  <c r="B108" i="7"/>
  <c r="K107" i="7"/>
  <c r="H107" i="7"/>
  <c r="B107" i="7"/>
  <c r="Q107" i="7" s="1"/>
  <c r="K106" i="7"/>
  <c r="H106" i="7"/>
  <c r="B106" i="7"/>
  <c r="Q106" i="7" s="1"/>
  <c r="K105" i="7"/>
  <c r="H105" i="7"/>
  <c r="B105" i="7"/>
  <c r="Q105" i="7" s="1"/>
  <c r="K104" i="7"/>
  <c r="H104" i="7"/>
  <c r="Q104" i="7" s="1"/>
  <c r="B104" i="7"/>
  <c r="K103" i="7"/>
  <c r="H103" i="7"/>
  <c r="B103" i="7"/>
  <c r="Q103" i="7" s="1"/>
  <c r="K102" i="7"/>
  <c r="H102" i="7"/>
  <c r="B102" i="7"/>
  <c r="Q102" i="7" s="1"/>
  <c r="K101" i="7"/>
  <c r="H101" i="7"/>
  <c r="B101" i="7"/>
  <c r="Q101" i="7" s="1"/>
  <c r="K100" i="7"/>
  <c r="H100" i="7"/>
  <c r="B100" i="7"/>
  <c r="K99" i="7"/>
  <c r="Q99" i="7" s="1"/>
  <c r="H99" i="7"/>
  <c r="B99" i="7"/>
  <c r="Q98" i="7"/>
  <c r="K98" i="7"/>
  <c r="H98" i="7"/>
  <c r="B98" i="7"/>
  <c r="K97" i="7"/>
  <c r="H97" i="7"/>
  <c r="B97" i="7"/>
  <c r="K96" i="7"/>
  <c r="H96" i="7"/>
  <c r="B96" i="7"/>
  <c r="K95" i="7"/>
  <c r="H95" i="7"/>
  <c r="B95" i="7"/>
  <c r="K94" i="7"/>
  <c r="H94" i="7"/>
  <c r="B94" i="7"/>
  <c r="K93" i="7"/>
  <c r="H93" i="7"/>
  <c r="B93" i="7"/>
  <c r="Q93" i="7" s="1"/>
  <c r="K92" i="7"/>
  <c r="H92" i="7"/>
  <c r="B92" i="7"/>
  <c r="K91" i="7"/>
  <c r="H91" i="7"/>
  <c r="B91" i="7"/>
  <c r="Q91" i="7" s="1"/>
  <c r="K90" i="7"/>
  <c r="H90" i="7"/>
  <c r="B90" i="7"/>
  <c r="Q90" i="7" s="1"/>
  <c r="Q89" i="7"/>
  <c r="K89" i="7"/>
  <c r="H89" i="7"/>
  <c r="B89" i="7"/>
  <c r="K88" i="7"/>
  <c r="H88" i="7"/>
  <c r="B88" i="7"/>
  <c r="Q87" i="7"/>
  <c r="K87" i="7"/>
  <c r="H87" i="7"/>
  <c r="B87" i="7"/>
  <c r="Q86" i="7"/>
  <c r="K86" i="7"/>
  <c r="H86" i="7"/>
  <c r="B86" i="7"/>
  <c r="K85" i="7"/>
  <c r="H85" i="7"/>
  <c r="B85" i="7"/>
  <c r="K84" i="7"/>
  <c r="H84" i="7"/>
  <c r="B84" i="7"/>
  <c r="Q84" i="7" s="1"/>
  <c r="K83" i="7"/>
  <c r="H83" i="7"/>
  <c r="Q83" i="7" s="1"/>
  <c r="B83" i="7"/>
  <c r="K82" i="7"/>
  <c r="H82" i="7"/>
  <c r="B82" i="7"/>
  <c r="Q82" i="7" s="1"/>
  <c r="K81" i="7"/>
  <c r="H81" i="7"/>
  <c r="Q81" i="7" s="1"/>
  <c r="B81" i="7"/>
  <c r="K80" i="7"/>
  <c r="H80" i="7"/>
  <c r="Q80" i="7" s="1"/>
  <c r="B80" i="7"/>
  <c r="K79" i="7"/>
  <c r="H79" i="7"/>
  <c r="B79" i="7"/>
  <c r="Q79" i="7" s="1"/>
  <c r="K78" i="7"/>
  <c r="H78" i="7"/>
  <c r="B78" i="7"/>
  <c r="Q78" i="7" s="1"/>
  <c r="K77" i="7"/>
  <c r="H77" i="7"/>
  <c r="B77" i="7"/>
  <c r="Q76" i="7"/>
  <c r="K76" i="7"/>
  <c r="H76" i="7"/>
  <c r="B76" i="7"/>
  <c r="Q75" i="7"/>
  <c r="K75" i="7"/>
  <c r="H75" i="7"/>
  <c r="B75" i="7"/>
  <c r="K74" i="7"/>
  <c r="H74" i="7"/>
  <c r="B74" i="7"/>
  <c r="Q73" i="7"/>
  <c r="K73" i="7"/>
  <c r="H73" i="7"/>
  <c r="B73" i="7"/>
  <c r="K72" i="7"/>
  <c r="H72" i="7"/>
  <c r="B72" i="7"/>
  <c r="Q72" i="7" s="1"/>
  <c r="K71" i="7"/>
  <c r="H71" i="7"/>
  <c r="B71" i="7"/>
  <c r="Q71" i="7" s="1"/>
  <c r="Q70" i="7"/>
  <c r="K70" i="7"/>
  <c r="H70" i="7"/>
  <c r="B70" i="7"/>
  <c r="Q69" i="7"/>
  <c r="K69" i="7"/>
  <c r="H69" i="7"/>
  <c r="B69" i="7"/>
  <c r="K68" i="7"/>
  <c r="H68" i="7"/>
  <c r="B68" i="7"/>
  <c r="Q68" i="7" s="1"/>
  <c r="K67" i="7"/>
  <c r="H67" i="7"/>
  <c r="B67" i="7"/>
  <c r="Q67" i="7" s="1"/>
  <c r="K66" i="7"/>
  <c r="H66" i="7"/>
  <c r="B66" i="7"/>
  <c r="Q66" i="7" s="1"/>
  <c r="K65" i="7"/>
  <c r="H65" i="7"/>
  <c r="B65" i="7"/>
  <c r="Q65" i="7" s="1"/>
  <c r="Q64" i="7"/>
  <c r="K64" i="7"/>
  <c r="H64" i="7"/>
  <c r="B64" i="7"/>
  <c r="Q63" i="7"/>
  <c r="K63" i="7"/>
  <c r="H63" i="7"/>
  <c r="B63" i="7"/>
  <c r="K62" i="7"/>
  <c r="H62" i="7"/>
  <c r="B62" i="7"/>
  <c r="Q62" i="7" s="1"/>
  <c r="Q61" i="7"/>
  <c r="K61" i="7"/>
  <c r="H61" i="7"/>
  <c r="B61" i="7"/>
  <c r="Q60" i="7"/>
  <c r="K60" i="7"/>
  <c r="H60" i="7"/>
  <c r="B60" i="7"/>
  <c r="K59" i="7"/>
  <c r="H59" i="7"/>
  <c r="B59" i="7"/>
  <c r="K58" i="7"/>
  <c r="H58" i="7"/>
  <c r="Q58" i="7" s="1"/>
  <c r="B58" i="7"/>
  <c r="K57" i="7"/>
  <c r="H57" i="7"/>
  <c r="Q57" i="7" s="1"/>
  <c r="B57" i="7"/>
  <c r="K56" i="7"/>
  <c r="H56" i="7"/>
  <c r="B56" i="7"/>
  <c r="Q56" i="7" s="1"/>
  <c r="K55" i="7"/>
  <c r="H55" i="7"/>
  <c r="B55" i="7"/>
  <c r="Q55" i="7" s="1"/>
  <c r="K54" i="7"/>
  <c r="H54" i="7"/>
  <c r="B54" i="7"/>
  <c r="Q54" i="7" s="1"/>
  <c r="K53" i="7"/>
  <c r="H53" i="7"/>
  <c r="B53" i="7"/>
  <c r="Q53" i="7" s="1"/>
  <c r="K52" i="7"/>
  <c r="H52" i="7"/>
  <c r="Q52" i="7" s="1"/>
  <c r="B52" i="7"/>
  <c r="Q51" i="7"/>
  <c r="K51" i="7"/>
  <c r="H51" i="7"/>
  <c r="B51" i="7"/>
  <c r="K50" i="7"/>
  <c r="H50" i="7"/>
  <c r="B50" i="7"/>
  <c r="K49" i="7"/>
  <c r="H49" i="7"/>
  <c r="B49" i="7"/>
  <c r="Q49" i="7" s="1"/>
  <c r="K48" i="7"/>
  <c r="H48" i="7"/>
  <c r="Q48" i="7" s="1"/>
  <c r="B48" i="7"/>
  <c r="K47" i="7"/>
  <c r="H47" i="7"/>
  <c r="B47" i="7"/>
  <c r="K46" i="7"/>
  <c r="H46" i="7"/>
  <c r="B46" i="7"/>
  <c r="Q46" i="7" s="1"/>
  <c r="K45" i="7"/>
  <c r="H45" i="7"/>
  <c r="Q45" i="7" s="1"/>
  <c r="B45" i="7"/>
  <c r="K44" i="7"/>
  <c r="H44" i="7"/>
  <c r="B44" i="7"/>
  <c r="Q44" i="7" s="1"/>
  <c r="K43" i="7"/>
  <c r="H43" i="7"/>
  <c r="B43" i="7"/>
  <c r="Q43" i="7" s="1"/>
  <c r="K42" i="7"/>
  <c r="H42" i="7"/>
  <c r="B42" i="7"/>
  <c r="Q42" i="7" s="1"/>
  <c r="K41" i="7"/>
  <c r="H41" i="7"/>
  <c r="B41" i="7"/>
  <c r="Q40" i="7"/>
  <c r="K40" i="7"/>
  <c r="H40" i="7"/>
  <c r="B40" i="7"/>
  <c r="K39" i="7"/>
  <c r="H39" i="7"/>
  <c r="Q39" i="7" s="1"/>
  <c r="B39" i="7"/>
  <c r="K38" i="7"/>
  <c r="H38" i="7"/>
  <c r="B38" i="7"/>
  <c r="K37" i="7"/>
  <c r="Q37" i="7" s="1"/>
  <c r="H37" i="7"/>
  <c r="B37" i="7"/>
  <c r="K36" i="7"/>
  <c r="H36" i="7"/>
  <c r="B36" i="7"/>
  <c r="Q36" i="7" s="1"/>
  <c r="K35" i="7"/>
  <c r="H35" i="7"/>
  <c r="B35" i="7"/>
  <c r="K34" i="7"/>
  <c r="H34" i="7"/>
  <c r="Q34" i="7" s="1"/>
  <c r="B34" i="7"/>
  <c r="K33" i="7"/>
  <c r="H33" i="7"/>
  <c r="Q33" i="7" s="1"/>
  <c r="B33" i="7"/>
  <c r="K32" i="7"/>
  <c r="H32" i="7"/>
  <c r="B32" i="7"/>
  <c r="Q32" i="7" s="1"/>
  <c r="K31" i="7"/>
  <c r="H31" i="7"/>
  <c r="B31" i="7"/>
  <c r="Q31" i="7" s="1"/>
  <c r="K30" i="7"/>
  <c r="H30" i="7"/>
  <c r="B30" i="7"/>
  <c r="Q30" i="7" s="1"/>
  <c r="K29" i="7"/>
  <c r="H29" i="7"/>
  <c r="B29" i="7"/>
  <c r="Q28" i="7"/>
  <c r="K28" i="7"/>
  <c r="H28" i="7"/>
  <c r="B28" i="7"/>
  <c r="Q27" i="7"/>
  <c r="K27" i="7"/>
  <c r="H27" i="7"/>
  <c r="B27" i="7"/>
  <c r="K26" i="7"/>
  <c r="H26" i="7"/>
  <c r="B26" i="7"/>
  <c r="Q26" i="7" s="1"/>
  <c r="K25" i="7"/>
  <c r="Q25" i="7" s="1"/>
  <c r="H25" i="7"/>
  <c r="B25" i="7"/>
  <c r="K24" i="7"/>
  <c r="Q24" i="7" s="1"/>
  <c r="H24" i="7"/>
  <c r="B24" i="7"/>
  <c r="K23" i="7"/>
  <c r="H23" i="7"/>
  <c r="B23" i="7"/>
  <c r="K22" i="7"/>
  <c r="H22" i="7"/>
  <c r="Q22" i="7" s="1"/>
  <c r="B22" i="7"/>
  <c r="K21" i="7"/>
  <c r="H21" i="7"/>
  <c r="Q21" i="7" s="1"/>
  <c r="B21" i="7"/>
  <c r="K20" i="7"/>
  <c r="H20" i="7"/>
  <c r="B20" i="7"/>
  <c r="Q20" i="7" s="1"/>
  <c r="K19" i="7"/>
  <c r="H19" i="7"/>
  <c r="B19" i="7"/>
  <c r="Q19" i="7" s="1"/>
  <c r="K18" i="7"/>
  <c r="H18" i="7"/>
  <c r="B18" i="7"/>
  <c r="Q18" i="7" s="1"/>
  <c r="K17" i="7"/>
  <c r="H17" i="7"/>
  <c r="B17" i="7"/>
  <c r="Q17" i="7" s="1"/>
  <c r="K16" i="7"/>
  <c r="H16" i="7"/>
  <c r="Q16" i="7" s="1"/>
  <c r="B16" i="7"/>
  <c r="Q15" i="7"/>
  <c r="K15" i="7"/>
  <c r="H15" i="7"/>
  <c r="B15" i="7"/>
  <c r="K14" i="7"/>
  <c r="H14" i="7"/>
  <c r="B14" i="7"/>
  <c r="K13" i="7"/>
  <c r="H13" i="7"/>
  <c r="B13" i="7"/>
  <c r="Q13" i="7" s="1"/>
  <c r="K12" i="7"/>
  <c r="Q12" i="7" s="1"/>
  <c r="H12" i="7"/>
  <c r="B12" i="7"/>
  <c r="K11" i="7"/>
  <c r="H11" i="7"/>
  <c r="B11" i="7"/>
  <c r="K10" i="7"/>
  <c r="H10" i="7"/>
  <c r="Q10" i="7" s="1"/>
  <c r="B10" i="7"/>
  <c r="K9" i="7"/>
  <c r="H9" i="7"/>
  <c r="Q9" i="7" s="1"/>
  <c r="B9" i="7"/>
  <c r="K8" i="7"/>
  <c r="H8" i="7"/>
  <c r="B8" i="7"/>
  <c r="Q8" i="7" s="1"/>
  <c r="K7" i="7"/>
  <c r="H7" i="7"/>
  <c r="B7" i="7"/>
  <c r="Q7" i="7" s="1"/>
  <c r="K6" i="7"/>
  <c r="H6" i="7"/>
  <c r="B6" i="7"/>
  <c r="Q6" i="7" s="1"/>
  <c r="K5" i="7"/>
  <c r="H5" i="7"/>
  <c r="B5" i="7"/>
  <c r="Q4" i="7"/>
  <c r="K4" i="7"/>
  <c r="H4" i="7"/>
  <c r="B4" i="7"/>
  <c r="K3" i="7"/>
  <c r="H3" i="7"/>
  <c r="Q3" i="7" s="1"/>
  <c r="B3" i="7"/>
  <c r="K2" i="7"/>
  <c r="H2" i="7"/>
  <c r="B2" i="7"/>
  <c r="B121" i="4"/>
  <c r="E121" i="4" s="1"/>
  <c r="B120" i="4"/>
  <c r="E120" i="4" s="1"/>
  <c r="B119" i="4"/>
  <c r="E119" i="4" s="1"/>
  <c r="B118" i="4"/>
  <c r="E118" i="4" s="1"/>
  <c r="B117" i="4"/>
  <c r="E117" i="4" s="1"/>
  <c r="E116" i="4"/>
  <c r="B116" i="4"/>
  <c r="B115" i="4"/>
  <c r="E115" i="4" s="1"/>
  <c r="E114" i="4"/>
  <c r="B114" i="4"/>
  <c r="B113" i="4"/>
  <c r="E113" i="4" s="1"/>
  <c r="E112" i="4"/>
  <c r="B112" i="4"/>
  <c r="B111" i="4"/>
  <c r="E111" i="4" s="1"/>
  <c r="B110" i="4"/>
  <c r="E110" i="4" s="1"/>
  <c r="E109" i="4"/>
  <c r="B109" i="4"/>
  <c r="B108" i="4"/>
  <c r="E108" i="4" s="1"/>
  <c r="B107" i="4"/>
  <c r="E107" i="4" s="1"/>
  <c r="B106" i="4"/>
  <c r="E106" i="4" s="1"/>
  <c r="B105" i="4"/>
  <c r="E105" i="4" s="1"/>
  <c r="E104" i="4"/>
  <c r="B104" i="4"/>
  <c r="E103" i="4"/>
  <c r="B103" i="4"/>
  <c r="B102" i="4"/>
  <c r="E102" i="4" s="1"/>
  <c r="E101" i="4"/>
  <c r="B101" i="4"/>
  <c r="B100" i="4"/>
  <c r="E100" i="4" s="1"/>
  <c r="B99" i="4"/>
  <c r="E99" i="4" s="1"/>
  <c r="B98" i="4"/>
  <c r="E98" i="4" s="1"/>
  <c r="B97" i="4"/>
  <c r="E97" i="4" s="1"/>
  <c r="E96" i="4"/>
  <c r="B96" i="4"/>
  <c r="B95" i="4"/>
  <c r="E95" i="4" s="1"/>
  <c r="B94" i="4"/>
  <c r="E94" i="4" s="1"/>
  <c r="B93" i="4"/>
  <c r="E93" i="4" s="1"/>
  <c r="E92" i="4"/>
  <c r="B92" i="4"/>
  <c r="E91" i="4"/>
  <c r="B91" i="4"/>
  <c r="E90" i="4"/>
  <c r="B90" i="4"/>
  <c r="B89" i="4"/>
  <c r="E89" i="4" s="1"/>
  <c r="E88" i="4"/>
  <c r="B88" i="4"/>
  <c r="B87" i="4"/>
  <c r="E87" i="4" s="1"/>
  <c r="B86" i="4"/>
  <c r="E86" i="4" s="1"/>
  <c r="B85" i="4"/>
  <c r="E85" i="4" s="1"/>
  <c r="B84" i="4"/>
  <c r="E84" i="4" s="1"/>
  <c r="E83" i="4"/>
  <c r="B83" i="4"/>
  <c r="B82" i="4"/>
  <c r="E82" i="4" s="1"/>
  <c r="B81" i="4"/>
  <c r="E81" i="4" s="1"/>
  <c r="B80" i="4"/>
  <c r="E80" i="4" s="1"/>
  <c r="E79" i="4"/>
  <c r="B79" i="4"/>
  <c r="E78" i="4"/>
  <c r="B78" i="4"/>
  <c r="E77" i="4"/>
  <c r="B77" i="4"/>
  <c r="B76" i="4"/>
  <c r="E76" i="4" s="1"/>
  <c r="B75" i="4"/>
  <c r="E75" i="4" s="1"/>
  <c r="B74" i="4"/>
  <c r="E74" i="4" s="1"/>
  <c r="B73" i="4"/>
  <c r="E73" i="4" s="1"/>
  <c r="B72" i="4"/>
  <c r="E72" i="4" s="1"/>
  <c r="B71" i="4"/>
  <c r="E71" i="4" s="1"/>
  <c r="E70" i="4"/>
  <c r="B70" i="4"/>
  <c r="B69" i="4"/>
  <c r="E69" i="4" s="1"/>
  <c r="E68" i="4"/>
  <c r="B68" i="4"/>
  <c r="B67" i="4"/>
  <c r="E67" i="4" s="1"/>
  <c r="E66" i="4"/>
  <c r="B66" i="4"/>
  <c r="E65" i="4"/>
  <c r="B65" i="4"/>
  <c r="E64" i="4"/>
  <c r="B64" i="4"/>
  <c r="B63" i="4"/>
  <c r="E63" i="4" s="1"/>
  <c r="B62" i="4"/>
  <c r="E62" i="4" s="1"/>
  <c r="B61" i="4"/>
  <c r="E61" i="4" s="1"/>
  <c r="B60" i="4"/>
  <c r="E60" i="4" s="1"/>
  <c r="B59" i="4"/>
  <c r="E59" i="4" s="1"/>
  <c r="B58" i="4"/>
  <c r="E58" i="4" s="1"/>
  <c r="B57" i="4"/>
  <c r="E57" i="4" s="1"/>
  <c r="B56" i="4"/>
  <c r="E56" i="4" s="1"/>
  <c r="E55" i="4"/>
  <c r="B55" i="4"/>
  <c r="B54" i="4"/>
  <c r="E54" i="4" s="1"/>
  <c r="E53" i="4"/>
  <c r="B53" i="4"/>
  <c r="E52" i="4"/>
  <c r="B52" i="4"/>
  <c r="B51" i="4"/>
  <c r="E51" i="4" s="1"/>
  <c r="E50" i="4"/>
  <c r="B50" i="4"/>
  <c r="B49" i="4"/>
  <c r="E49" i="4" s="1"/>
  <c r="B48" i="4"/>
  <c r="E48" i="4" s="1"/>
  <c r="B47" i="4"/>
  <c r="E47" i="4" s="1"/>
  <c r="B46" i="4"/>
  <c r="E46" i="4" s="1"/>
  <c r="B45" i="4"/>
  <c r="E45" i="4" s="1"/>
  <c r="E44" i="4"/>
  <c r="B44" i="4"/>
  <c r="B43" i="4"/>
  <c r="E43" i="4" s="1"/>
  <c r="E42" i="4"/>
  <c r="B42" i="4"/>
  <c r="B41" i="4"/>
  <c r="E41" i="4" s="1"/>
  <c r="E40" i="4"/>
  <c r="B40" i="4"/>
  <c r="B39" i="4"/>
  <c r="E39" i="4" s="1"/>
  <c r="B38" i="4"/>
  <c r="E38" i="4" s="1"/>
  <c r="E37" i="4"/>
  <c r="B37" i="4"/>
  <c r="B36" i="4"/>
  <c r="E36" i="4" s="1"/>
  <c r="B35" i="4"/>
  <c r="E35" i="4" s="1"/>
  <c r="B34" i="4"/>
  <c r="E34" i="4" s="1"/>
  <c r="B33" i="4"/>
  <c r="E33" i="4" s="1"/>
  <c r="E32" i="4"/>
  <c r="B32" i="4"/>
  <c r="E31" i="4"/>
  <c r="B31" i="4"/>
  <c r="B30" i="4"/>
  <c r="E30" i="4" s="1"/>
  <c r="E29" i="4"/>
  <c r="B29" i="4"/>
  <c r="B28" i="4"/>
  <c r="E28" i="4" s="1"/>
  <c r="B27" i="4"/>
  <c r="E27" i="4" s="1"/>
  <c r="B26" i="4"/>
  <c r="E26" i="4" s="1"/>
  <c r="B25" i="4"/>
  <c r="E25" i="4" s="1"/>
  <c r="E24" i="4"/>
  <c r="B24" i="4"/>
  <c r="B23" i="4"/>
  <c r="E23" i="4" s="1"/>
  <c r="B22" i="4"/>
  <c r="E22" i="4" s="1"/>
  <c r="B21" i="4"/>
  <c r="E21" i="4" s="1"/>
  <c r="E20" i="4"/>
  <c r="B20" i="4"/>
  <c r="E19" i="4"/>
  <c r="B19" i="4"/>
  <c r="E18" i="4"/>
  <c r="B18" i="4"/>
  <c r="B17" i="4"/>
  <c r="E17" i="4" s="1"/>
  <c r="E16" i="4"/>
  <c r="B16" i="4"/>
  <c r="B15" i="4"/>
  <c r="E15" i="4" s="1"/>
  <c r="B14" i="4"/>
  <c r="E14" i="4" s="1"/>
  <c r="B13" i="4"/>
  <c r="E13" i="4" s="1"/>
  <c r="B12" i="4"/>
  <c r="E12" i="4" s="1"/>
  <c r="E11" i="4"/>
  <c r="B11" i="4"/>
  <c r="B10" i="4"/>
  <c r="E10" i="4" s="1"/>
  <c r="B9" i="4"/>
  <c r="E9" i="4" s="1"/>
  <c r="B8" i="4"/>
  <c r="E8" i="4" s="1"/>
  <c r="E7" i="4"/>
  <c r="B7" i="4"/>
  <c r="E6" i="4"/>
  <c r="B6" i="4"/>
  <c r="E5" i="4"/>
  <c r="B5" i="4"/>
  <c r="B4" i="4"/>
  <c r="E4" i="4" s="1"/>
  <c r="B3" i="4"/>
  <c r="E3" i="4" s="1"/>
  <c r="B2" i="4"/>
  <c r="E2" i="4" s="1"/>
  <c r="B121" i="5"/>
  <c r="E121" i="5" s="1"/>
  <c r="B120" i="5"/>
  <c r="E120" i="5" s="1"/>
  <c r="B119" i="5"/>
  <c r="E119" i="5" s="1"/>
  <c r="E118" i="5"/>
  <c r="B118" i="5"/>
  <c r="B117" i="5"/>
  <c r="E117" i="5" s="1"/>
  <c r="E116" i="5"/>
  <c r="B116" i="5"/>
  <c r="B115" i="5"/>
  <c r="E115" i="5" s="1"/>
  <c r="E114" i="5"/>
  <c r="B114" i="5"/>
  <c r="E113" i="5"/>
  <c r="B113" i="5"/>
  <c r="E112" i="5"/>
  <c r="B112" i="5"/>
  <c r="B111" i="5"/>
  <c r="E111" i="5" s="1"/>
  <c r="B110" i="5"/>
  <c r="E110" i="5" s="1"/>
  <c r="B109" i="5"/>
  <c r="E109" i="5" s="1"/>
  <c r="B108" i="5"/>
  <c r="E108" i="5" s="1"/>
  <c r="B107" i="5"/>
  <c r="E107" i="5" s="1"/>
  <c r="B106" i="5"/>
  <c r="E106" i="5" s="1"/>
  <c r="B105" i="5"/>
  <c r="E105" i="5" s="1"/>
  <c r="B104" i="5"/>
  <c r="E104" i="5" s="1"/>
  <c r="E103" i="5"/>
  <c r="B103" i="5"/>
  <c r="B102" i="5"/>
  <c r="E102" i="5" s="1"/>
  <c r="E101" i="5"/>
  <c r="B101" i="5"/>
  <c r="E100" i="5"/>
  <c r="B100" i="5"/>
  <c r="B99" i="5"/>
  <c r="E99" i="5" s="1"/>
  <c r="E98" i="5"/>
  <c r="B98" i="5"/>
  <c r="B97" i="5"/>
  <c r="E97" i="5" s="1"/>
  <c r="E96" i="5"/>
  <c r="B96" i="5"/>
  <c r="B95" i="5"/>
  <c r="E95" i="5" s="1"/>
  <c r="B94" i="5"/>
  <c r="E94" i="5" s="1"/>
  <c r="B93" i="5"/>
  <c r="E93" i="5" s="1"/>
  <c r="E92" i="5"/>
  <c r="B92" i="5"/>
  <c r="B91" i="5"/>
  <c r="E91" i="5" s="1"/>
  <c r="E90" i="5"/>
  <c r="B90" i="5"/>
  <c r="B89" i="5"/>
  <c r="E89" i="5" s="1"/>
  <c r="E88" i="5"/>
  <c r="B88" i="5"/>
  <c r="B87" i="5"/>
  <c r="E87" i="5" s="1"/>
  <c r="B86" i="5"/>
  <c r="E86" i="5" s="1"/>
  <c r="E85" i="5"/>
  <c r="B85" i="5"/>
  <c r="B84" i="5"/>
  <c r="E84" i="5" s="1"/>
  <c r="E83" i="5"/>
  <c r="B83" i="5"/>
  <c r="B82" i="5"/>
  <c r="E82" i="5" s="1"/>
  <c r="B81" i="5"/>
  <c r="E81" i="5" s="1"/>
  <c r="E80" i="5"/>
  <c r="B80" i="5"/>
  <c r="E79" i="5"/>
  <c r="B79" i="5"/>
  <c r="B78" i="5"/>
  <c r="E78" i="5" s="1"/>
  <c r="E77" i="5"/>
  <c r="B77" i="5"/>
  <c r="B76" i="5"/>
  <c r="E76" i="5" s="1"/>
  <c r="E75" i="5"/>
  <c r="B75" i="5"/>
  <c r="E74" i="5"/>
  <c r="B74" i="5"/>
  <c r="E73" i="5"/>
  <c r="B73" i="5"/>
  <c r="B72" i="5"/>
  <c r="E72" i="5" s="1"/>
  <c r="E71" i="5"/>
  <c r="B71" i="5"/>
  <c r="B70" i="5"/>
  <c r="E70" i="5" s="1"/>
  <c r="E69" i="5"/>
  <c r="B69" i="5"/>
  <c r="E68" i="5"/>
  <c r="B68" i="5"/>
  <c r="E67" i="5"/>
  <c r="B67" i="5"/>
  <c r="B66" i="5"/>
  <c r="E66" i="5" s="1"/>
  <c r="E65" i="5"/>
  <c r="B65" i="5"/>
  <c r="B64" i="5"/>
  <c r="E64" i="5" s="1"/>
  <c r="E63" i="5"/>
  <c r="B63" i="5"/>
  <c r="E62" i="5"/>
  <c r="B62" i="5"/>
  <c r="E61" i="5"/>
  <c r="B61" i="5"/>
  <c r="B60" i="5"/>
  <c r="E60" i="5" s="1"/>
  <c r="E59" i="5"/>
  <c r="B59" i="5"/>
  <c r="B58" i="5"/>
  <c r="E58" i="5" s="1"/>
  <c r="E57" i="5"/>
  <c r="B57" i="5"/>
  <c r="E56" i="5"/>
  <c r="B56" i="5"/>
  <c r="E55" i="5"/>
  <c r="B55" i="5"/>
  <c r="B54" i="5"/>
  <c r="E54" i="5" s="1"/>
  <c r="E53" i="5"/>
  <c r="B53" i="5"/>
  <c r="B52" i="5"/>
  <c r="E52" i="5" s="1"/>
  <c r="E51" i="5"/>
  <c r="B51" i="5"/>
  <c r="E50" i="5"/>
  <c r="B50" i="5"/>
  <c r="E49" i="5"/>
  <c r="B49" i="5"/>
  <c r="B48" i="5"/>
  <c r="E48" i="5" s="1"/>
  <c r="E47" i="5"/>
  <c r="B47" i="5"/>
  <c r="B46" i="5"/>
  <c r="E46" i="5" s="1"/>
  <c r="E45" i="5"/>
  <c r="B45" i="5"/>
  <c r="E44" i="5"/>
  <c r="B44" i="5"/>
  <c r="E43" i="5"/>
  <c r="B43" i="5"/>
  <c r="B42" i="5"/>
  <c r="E42" i="5" s="1"/>
  <c r="E41" i="5"/>
  <c r="B41" i="5"/>
  <c r="B40" i="5"/>
  <c r="E40" i="5" s="1"/>
  <c r="E39" i="5"/>
  <c r="B39" i="5"/>
  <c r="E38" i="5"/>
  <c r="B38" i="5"/>
  <c r="E37" i="5"/>
  <c r="B37" i="5"/>
  <c r="B36" i="5"/>
  <c r="E36" i="5" s="1"/>
  <c r="E35" i="5"/>
  <c r="B35" i="5"/>
  <c r="B34" i="5"/>
  <c r="E34" i="5" s="1"/>
  <c r="E33" i="5"/>
  <c r="B33" i="5"/>
  <c r="E32" i="5"/>
  <c r="B32" i="5"/>
  <c r="E31" i="5"/>
  <c r="B31" i="5"/>
  <c r="B30" i="5"/>
  <c r="E30" i="5" s="1"/>
  <c r="E29" i="5"/>
  <c r="B29" i="5"/>
  <c r="B28" i="5"/>
  <c r="E28" i="5" s="1"/>
  <c r="E27" i="5"/>
  <c r="B27" i="5"/>
  <c r="E26" i="5"/>
  <c r="B26" i="5"/>
  <c r="E25" i="5"/>
  <c r="B25" i="5"/>
  <c r="B24" i="5"/>
  <c r="E24" i="5" s="1"/>
  <c r="E23" i="5"/>
  <c r="B23" i="5"/>
  <c r="B22" i="5"/>
  <c r="E22" i="5" s="1"/>
  <c r="E21" i="5"/>
  <c r="B21" i="5"/>
  <c r="E20" i="5"/>
  <c r="B20" i="5"/>
  <c r="E19" i="5"/>
  <c r="B19" i="5"/>
  <c r="B18" i="5"/>
  <c r="E18" i="5" s="1"/>
  <c r="E17" i="5"/>
  <c r="B17" i="5"/>
  <c r="B16" i="5"/>
  <c r="E16" i="5" s="1"/>
  <c r="E15" i="5"/>
  <c r="B15" i="5"/>
  <c r="E14" i="5"/>
  <c r="B14" i="5"/>
  <c r="E13" i="5"/>
  <c r="B13" i="5"/>
  <c r="B12" i="5"/>
  <c r="E12" i="5" s="1"/>
  <c r="E11" i="5"/>
  <c r="B11" i="5"/>
  <c r="B10" i="5"/>
  <c r="E10" i="5" s="1"/>
  <c r="E9" i="5"/>
  <c r="B9" i="5"/>
  <c r="E8" i="5"/>
  <c r="B8" i="5"/>
  <c r="E7" i="5"/>
  <c r="B7" i="5"/>
  <c r="B6" i="5"/>
  <c r="E6" i="5" s="1"/>
  <c r="E5" i="5"/>
  <c r="B5" i="5"/>
  <c r="B4" i="5"/>
  <c r="E4" i="5" s="1"/>
  <c r="E3" i="5"/>
  <c r="B3" i="5"/>
  <c r="E2" i="5"/>
  <c r="B2" i="5"/>
  <c r="E121" i="6"/>
  <c r="B121" i="6"/>
  <c r="B120" i="6"/>
  <c r="E120" i="6" s="1"/>
  <c r="E119" i="6"/>
  <c r="B119" i="6"/>
  <c r="B118" i="6"/>
  <c r="E118" i="6" s="1"/>
  <c r="E117" i="6"/>
  <c r="B117" i="6"/>
  <c r="E116" i="6"/>
  <c r="B116" i="6"/>
  <c r="E115" i="6"/>
  <c r="B115" i="6"/>
  <c r="B114" i="6"/>
  <c r="E114" i="6" s="1"/>
  <c r="E113" i="6"/>
  <c r="B113" i="6"/>
  <c r="B112" i="6"/>
  <c r="E112" i="6" s="1"/>
  <c r="E111" i="6"/>
  <c r="B111" i="6"/>
  <c r="E110" i="6"/>
  <c r="B110" i="6"/>
  <c r="E109" i="6"/>
  <c r="B109" i="6"/>
  <c r="B108" i="6"/>
  <c r="E108" i="6" s="1"/>
  <c r="E107" i="6"/>
  <c r="B107" i="6"/>
  <c r="B106" i="6"/>
  <c r="E106" i="6" s="1"/>
  <c r="E105" i="6"/>
  <c r="B105" i="6"/>
  <c r="E104" i="6"/>
  <c r="B104" i="6"/>
  <c r="E103" i="6"/>
  <c r="B103" i="6"/>
  <c r="B102" i="6"/>
  <c r="E102" i="6" s="1"/>
  <c r="E101" i="6"/>
  <c r="B101" i="6"/>
  <c r="B100" i="6"/>
  <c r="E100" i="6" s="1"/>
  <c r="E99" i="6"/>
  <c r="B99" i="6"/>
  <c r="E98" i="6"/>
  <c r="B98" i="6"/>
  <c r="E97" i="6"/>
  <c r="B97" i="6"/>
  <c r="B96" i="6"/>
  <c r="E96" i="6" s="1"/>
  <c r="E95" i="6"/>
  <c r="B95" i="6"/>
  <c r="B94" i="6"/>
  <c r="E94" i="6" s="1"/>
  <c r="E93" i="6"/>
  <c r="B93" i="6"/>
  <c r="E92" i="6"/>
  <c r="B92" i="6"/>
  <c r="E91" i="6"/>
  <c r="B91" i="6"/>
  <c r="B90" i="6"/>
  <c r="E90" i="6" s="1"/>
  <c r="E89" i="6"/>
  <c r="B89" i="6"/>
  <c r="B88" i="6"/>
  <c r="E88" i="6" s="1"/>
  <c r="E87" i="6"/>
  <c r="B87" i="6"/>
  <c r="E86" i="6"/>
  <c r="B86" i="6"/>
  <c r="E85" i="6"/>
  <c r="B85" i="6"/>
  <c r="B84" i="6"/>
  <c r="E84" i="6" s="1"/>
  <c r="E83" i="6"/>
  <c r="B83" i="6"/>
  <c r="B82" i="6"/>
  <c r="E82" i="6" s="1"/>
  <c r="E81" i="6"/>
  <c r="B81" i="6"/>
  <c r="E80" i="6"/>
  <c r="B80" i="6"/>
  <c r="E79" i="6"/>
  <c r="B79" i="6"/>
  <c r="B78" i="6"/>
  <c r="E78" i="6" s="1"/>
  <c r="E77" i="6"/>
  <c r="B77" i="6"/>
  <c r="B76" i="6"/>
  <c r="E76" i="6" s="1"/>
  <c r="E75" i="6"/>
  <c r="B75" i="6"/>
  <c r="E74" i="6"/>
  <c r="B74" i="6"/>
  <c r="E73" i="6"/>
  <c r="B73" i="6"/>
  <c r="B72" i="6"/>
  <c r="E72" i="6" s="1"/>
  <c r="E71" i="6"/>
  <c r="B71" i="6"/>
  <c r="B70" i="6"/>
  <c r="E70" i="6" s="1"/>
  <c r="E69" i="6"/>
  <c r="B69" i="6"/>
  <c r="E68" i="6"/>
  <c r="B68" i="6"/>
  <c r="E67" i="6"/>
  <c r="B67" i="6"/>
  <c r="B66" i="6"/>
  <c r="E66" i="6" s="1"/>
  <c r="E65" i="6"/>
  <c r="B65" i="6"/>
  <c r="B64" i="6"/>
  <c r="E64" i="6" s="1"/>
  <c r="E63" i="6"/>
  <c r="B63" i="6"/>
  <c r="E62" i="6"/>
  <c r="B62" i="6"/>
  <c r="E61" i="6"/>
  <c r="B61" i="6"/>
  <c r="B60" i="6"/>
  <c r="E60" i="6" s="1"/>
  <c r="E59" i="6"/>
  <c r="B59" i="6"/>
  <c r="B58" i="6"/>
  <c r="E58" i="6" s="1"/>
  <c r="E57" i="6"/>
  <c r="B57" i="6"/>
  <c r="E56" i="6"/>
  <c r="B56" i="6"/>
  <c r="E55" i="6"/>
  <c r="B55" i="6"/>
  <c r="B54" i="6"/>
  <c r="E54" i="6" s="1"/>
  <c r="E53" i="6"/>
  <c r="B53" i="6"/>
  <c r="B52" i="6"/>
  <c r="E52" i="6" s="1"/>
  <c r="E51" i="6"/>
  <c r="B51" i="6"/>
  <c r="E50" i="6"/>
  <c r="B50" i="6"/>
  <c r="E49" i="6"/>
  <c r="B49" i="6"/>
  <c r="B48" i="6"/>
  <c r="E48" i="6" s="1"/>
  <c r="E47" i="6"/>
  <c r="B47" i="6"/>
  <c r="B46" i="6"/>
  <c r="E46" i="6" s="1"/>
  <c r="E45" i="6"/>
  <c r="B45" i="6"/>
  <c r="E44" i="6"/>
  <c r="B44" i="6"/>
  <c r="E43" i="6"/>
  <c r="B43" i="6"/>
  <c r="B42" i="6"/>
  <c r="E42" i="6" s="1"/>
  <c r="E41" i="6"/>
  <c r="B41" i="6"/>
  <c r="B40" i="6"/>
  <c r="E40" i="6" s="1"/>
  <c r="E39" i="6"/>
  <c r="B39" i="6"/>
  <c r="E38" i="6"/>
  <c r="B38" i="6"/>
  <c r="E37" i="6"/>
  <c r="B37" i="6"/>
  <c r="B36" i="6"/>
  <c r="E36" i="6" s="1"/>
  <c r="E35" i="6"/>
  <c r="B35" i="6"/>
  <c r="B34" i="6"/>
  <c r="E34" i="6" s="1"/>
  <c r="E33" i="6"/>
  <c r="B33" i="6"/>
  <c r="E32" i="6"/>
  <c r="B32" i="6"/>
  <c r="E31" i="6"/>
  <c r="B31" i="6"/>
  <c r="B30" i="6"/>
  <c r="E30" i="6" s="1"/>
  <c r="E29" i="6"/>
  <c r="B29" i="6"/>
  <c r="B28" i="6"/>
  <c r="E28" i="6" s="1"/>
  <c r="E27" i="6"/>
  <c r="B27" i="6"/>
  <c r="E26" i="6"/>
  <c r="B26" i="6"/>
  <c r="E25" i="6"/>
  <c r="B25" i="6"/>
  <c r="B24" i="6"/>
  <c r="E24" i="6" s="1"/>
  <c r="E23" i="6"/>
  <c r="B23" i="6"/>
  <c r="B22" i="6"/>
  <c r="E22" i="6" s="1"/>
  <c r="E21" i="6"/>
  <c r="B21" i="6"/>
  <c r="E20" i="6"/>
  <c r="B20" i="6"/>
  <c r="E19" i="6"/>
  <c r="B19" i="6"/>
  <c r="B18" i="6"/>
  <c r="E18" i="6" s="1"/>
  <c r="E17" i="6"/>
  <c r="B17" i="6"/>
  <c r="B16" i="6"/>
  <c r="E16" i="6" s="1"/>
  <c r="E15" i="6"/>
  <c r="B15" i="6"/>
  <c r="E14" i="6"/>
  <c r="B14" i="6"/>
  <c r="E13" i="6"/>
  <c r="B13" i="6"/>
  <c r="B12" i="6"/>
  <c r="E12" i="6" s="1"/>
  <c r="E11" i="6"/>
  <c r="B11" i="6"/>
  <c r="B10" i="6"/>
  <c r="E10" i="6" s="1"/>
  <c r="E9" i="6"/>
  <c r="B9" i="6"/>
  <c r="B8" i="6"/>
  <c r="E8" i="6" s="1"/>
  <c r="E7" i="6"/>
  <c r="B7" i="6"/>
  <c r="B6" i="6"/>
  <c r="E6" i="6" s="1"/>
  <c r="E5" i="6"/>
  <c r="B5" i="6"/>
  <c r="B4" i="6"/>
  <c r="E4" i="6" s="1"/>
  <c r="E3" i="6"/>
  <c r="B3" i="6"/>
  <c r="B2" i="6"/>
  <c r="E2" i="6" s="1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S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D603" i="2"/>
  <c r="S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D602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D601" i="2"/>
  <c r="S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D600" i="2"/>
  <c r="S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D599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D598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D597" i="2"/>
  <c r="S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D596" i="2"/>
  <c r="S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D595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D594" i="2"/>
  <c r="S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D593" i="2"/>
  <c r="S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D592" i="2"/>
  <c r="S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D591" i="2"/>
  <c r="S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D590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D589" i="2"/>
  <c r="S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D588" i="2"/>
  <c r="S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D587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D586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D585" i="2"/>
  <c r="S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D584" i="2"/>
  <c r="S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D583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D582" i="2"/>
  <c r="S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D581" i="2"/>
  <c r="S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D580" i="2"/>
  <c r="S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D579" i="2"/>
  <c r="S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D578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D577" i="2"/>
  <c r="S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D576" i="2"/>
  <c r="S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D575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D574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D573" i="2"/>
  <c r="S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D572" i="2"/>
  <c r="S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D571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D570" i="2"/>
  <c r="S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D569" i="2"/>
  <c r="S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D568" i="2"/>
  <c r="S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D567" i="2"/>
  <c r="S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D566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D565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D564" i="2"/>
  <c r="S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D563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D562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D561" i="2"/>
  <c r="S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D560" i="2"/>
  <c r="S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D559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D558" i="2"/>
  <c r="S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D557" i="2"/>
  <c r="S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D556" i="2"/>
  <c r="S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D555" i="2"/>
  <c r="S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D554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D553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D552" i="2"/>
  <c r="S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D551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D550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D549" i="2"/>
  <c r="S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D548" i="2"/>
  <c r="S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D547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D546" i="2"/>
  <c r="S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D545" i="2"/>
  <c r="S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D544" i="2"/>
  <c r="S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D543" i="2"/>
  <c r="S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D542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D541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D540" i="2"/>
  <c r="S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D539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D538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D537" i="2"/>
  <c r="S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D536" i="2"/>
  <c r="S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D535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D534" i="2"/>
  <c r="S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D533" i="2"/>
  <c r="S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D532" i="2"/>
  <c r="S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D531" i="2"/>
  <c r="S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D530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D529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D528" i="2"/>
  <c r="S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D527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D526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D525" i="2"/>
  <c r="S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D524" i="2"/>
  <c r="S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D523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D522" i="2"/>
  <c r="S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D521" i="2"/>
  <c r="S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D520" i="2"/>
  <c r="S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D519" i="2"/>
  <c r="S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D518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D517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D516" i="2"/>
  <c r="S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D515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D514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D513" i="2"/>
  <c r="S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D512" i="2"/>
  <c r="S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D511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D510" i="2"/>
  <c r="S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D509" i="2"/>
  <c r="S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D508" i="2"/>
  <c r="S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D507" i="2"/>
  <c r="S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D506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D505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D504" i="2"/>
  <c r="S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D503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D502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D501" i="2"/>
  <c r="S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D500" i="2"/>
  <c r="S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D499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D498" i="2"/>
  <c r="S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D497" i="2"/>
  <c r="S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D496" i="2"/>
  <c r="S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D495" i="2"/>
  <c r="S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D494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D493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D492" i="2"/>
  <c r="S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D491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D490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D489" i="2"/>
  <c r="S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D488" i="2"/>
  <c r="S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D487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D486" i="2"/>
  <c r="S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D485" i="2"/>
  <c r="S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D484" i="2"/>
  <c r="Q483" i="2"/>
  <c r="P483" i="2"/>
  <c r="O483" i="2"/>
  <c r="N483" i="2"/>
  <c r="M483" i="2"/>
  <c r="L483" i="2"/>
  <c r="K483" i="2"/>
  <c r="J483" i="2"/>
  <c r="I483" i="2"/>
  <c r="H483" i="2"/>
  <c r="G483" i="2"/>
  <c r="Q482" i="2"/>
  <c r="P482" i="2"/>
  <c r="O482" i="2"/>
  <c r="N482" i="2"/>
  <c r="M482" i="2"/>
  <c r="L482" i="2"/>
  <c r="K482" i="2"/>
  <c r="J482" i="2"/>
  <c r="I482" i="2"/>
  <c r="H482" i="2"/>
  <c r="G482" i="2"/>
  <c r="Q481" i="2"/>
  <c r="P481" i="2"/>
  <c r="O481" i="2"/>
  <c r="N481" i="2"/>
  <c r="M481" i="2"/>
  <c r="L481" i="2"/>
  <c r="K481" i="2"/>
  <c r="J481" i="2"/>
  <c r="I481" i="2"/>
  <c r="H481" i="2"/>
  <c r="G481" i="2"/>
  <c r="Q480" i="2"/>
  <c r="P480" i="2"/>
  <c r="O480" i="2"/>
  <c r="N480" i="2"/>
  <c r="M480" i="2"/>
  <c r="L480" i="2"/>
  <c r="K480" i="2"/>
  <c r="J480" i="2"/>
  <c r="I480" i="2"/>
  <c r="H480" i="2"/>
  <c r="G480" i="2"/>
  <c r="Q479" i="2"/>
  <c r="P479" i="2"/>
  <c r="O479" i="2"/>
  <c r="N479" i="2"/>
  <c r="M479" i="2"/>
  <c r="L479" i="2"/>
  <c r="K479" i="2"/>
  <c r="J479" i="2"/>
  <c r="I479" i="2"/>
  <c r="H479" i="2"/>
  <c r="G479" i="2"/>
  <c r="Q478" i="2"/>
  <c r="P478" i="2"/>
  <c r="O478" i="2"/>
  <c r="N478" i="2"/>
  <c r="M478" i="2"/>
  <c r="L478" i="2"/>
  <c r="K478" i="2"/>
  <c r="J478" i="2"/>
  <c r="I478" i="2"/>
  <c r="H478" i="2"/>
  <c r="G478" i="2"/>
  <c r="Q477" i="2"/>
  <c r="P477" i="2"/>
  <c r="O477" i="2"/>
  <c r="N477" i="2"/>
  <c r="M477" i="2"/>
  <c r="L477" i="2"/>
  <c r="K477" i="2"/>
  <c r="J477" i="2"/>
  <c r="I477" i="2"/>
  <c r="H477" i="2"/>
  <c r="G477" i="2"/>
  <c r="Q476" i="2"/>
  <c r="P476" i="2"/>
  <c r="O476" i="2"/>
  <c r="N476" i="2"/>
  <c r="M476" i="2"/>
  <c r="L476" i="2"/>
  <c r="K476" i="2"/>
  <c r="J476" i="2"/>
  <c r="I476" i="2"/>
  <c r="H476" i="2"/>
  <c r="G476" i="2"/>
  <c r="Q475" i="2"/>
  <c r="P475" i="2"/>
  <c r="O475" i="2"/>
  <c r="N475" i="2"/>
  <c r="M475" i="2"/>
  <c r="L475" i="2"/>
  <c r="K475" i="2"/>
  <c r="J475" i="2"/>
  <c r="I475" i="2"/>
  <c r="H475" i="2"/>
  <c r="G475" i="2"/>
  <c r="Q474" i="2"/>
  <c r="P474" i="2"/>
  <c r="O474" i="2"/>
  <c r="N474" i="2"/>
  <c r="M474" i="2"/>
  <c r="L474" i="2"/>
  <c r="K474" i="2"/>
  <c r="J474" i="2"/>
  <c r="I474" i="2"/>
  <c r="H474" i="2"/>
  <c r="G474" i="2"/>
  <c r="Q473" i="2"/>
  <c r="P473" i="2"/>
  <c r="O473" i="2"/>
  <c r="N473" i="2"/>
  <c r="M473" i="2"/>
  <c r="L473" i="2"/>
  <c r="K473" i="2"/>
  <c r="J473" i="2"/>
  <c r="I473" i="2"/>
  <c r="H473" i="2"/>
  <c r="G473" i="2"/>
  <c r="Q472" i="2"/>
  <c r="P472" i="2"/>
  <c r="O472" i="2"/>
  <c r="N472" i="2"/>
  <c r="M472" i="2"/>
  <c r="L472" i="2"/>
  <c r="K472" i="2"/>
  <c r="J472" i="2"/>
  <c r="I472" i="2"/>
  <c r="H472" i="2"/>
  <c r="G472" i="2"/>
  <c r="Q471" i="2"/>
  <c r="P471" i="2"/>
  <c r="O471" i="2"/>
  <c r="N471" i="2"/>
  <c r="M471" i="2"/>
  <c r="L471" i="2"/>
  <c r="K471" i="2"/>
  <c r="J471" i="2"/>
  <c r="I471" i="2"/>
  <c r="H471" i="2"/>
  <c r="G471" i="2"/>
  <c r="Q470" i="2"/>
  <c r="P470" i="2"/>
  <c r="O470" i="2"/>
  <c r="N470" i="2"/>
  <c r="M470" i="2"/>
  <c r="L470" i="2"/>
  <c r="K470" i="2"/>
  <c r="J470" i="2"/>
  <c r="I470" i="2"/>
  <c r="H470" i="2"/>
  <c r="G470" i="2"/>
  <c r="Q469" i="2"/>
  <c r="P469" i="2"/>
  <c r="O469" i="2"/>
  <c r="N469" i="2"/>
  <c r="M469" i="2"/>
  <c r="L469" i="2"/>
  <c r="K469" i="2"/>
  <c r="J469" i="2"/>
  <c r="I469" i="2"/>
  <c r="H469" i="2"/>
  <c r="G469" i="2"/>
  <c r="Q468" i="2"/>
  <c r="P468" i="2"/>
  <c r="O468" i="2"/>
  <c r="N468" i="2"/>
  <c r="M468" i="2"/>
  <c r="L468" i="2"/>
  <c r="K468" i="2"/>
  <c r="J468" i="2"/>
  <c r="I468" i="2"/>
  <c r="H468" i="2"/>
  <c r="G468" i="2"/>
  <c r="Q467" i="2"/>
  <c r="P467" i="2"/>
  <c r="O467" i="2"/>
  <c r="N467" i="2"/>
  <c r="M467" i="2"/>
  <c r="L467" i="2"/>
  <c r="K467" i="2"/>
  <c r="J467" i="2"/>
  <c r="I467" i="2"/>
  <c r="H467" i="2"/>
  <c r="G467" i="2"/>
  <c r="Q466" i="2"/>
  <c r="P466" i="2"/>
  <c r="O466" i="2"/>
  <c r="N466" i="2"/>
  <c r="M466" i="2"/>
  <c r="L466" i="2"/>
  <c r="K466" i="2"/>
  <c r="J466" i="2"/>
  <c r="I466" i="2"/>
  <c r="H466" i="2"/>
  <c r="G466" i="2"/>
  <c r="Q465" i="2"/>
  <c r="P465" i="2"/>
  <c r="O465" i="2"/>
  <c r="N465" i="2"/>
  <c r="M465" i="2"/>
  <c r="L465" i="2"/>
  <c r="K465" i="2"/>
  <c r="J465" i="2"/>
  <c r="I465" i="2"/>
  <c r="H465" i="2"/>
  <c r="G465" i="2"/>
  <c r="Q464" i="2"/>
  <c r="P464" i="2"/>
  <c r="O464" i="2"/>
  <c r="N464" i="2"/>
  <c r="M464" i="2"/>
  <c r="L464" i="2"/>
  <c r="K464" i="2"/>
  <c r="J464" i="2"/>
  <c r="I464" i="2"/>
  <c r="H464" i="2"/>
  <c r="G464" i="2"/>
  <c r="Q463" i="2"/>
  <c r="P463" i="2"/>
  <c r="O463" i="2"/>
  <c r="N463" i="2"/>
  <c r="M463" i="2"/>
  <c r="L463" i="2"/>
  <c r="K463" i="2"/>
  <c r="J463" i="2"/>
  <c r="I463" i="2"/>
  <c r="H463" i="2"/>
  <c r="G463" i="2"/>
  <c r="Q462" i="2"/>
  <c r="P462" i="2"/>
  <c r="O462" i="2"/>
  <c r="N462" i="2"/>
  <c r="M462" i="2"/>
  <c r="L462" i="2"/>
  <c r="K462" i="2"/>
  <c r="J462" i="2"/>
  <c r="I462" i="2"/>
  <c r="H462" i="2"/>
  <c r="G462" i="2"/>
  <c r="Q461" i="2"/>
  <c r="P461" i="2"/>
  <c r="O461" i="2"/>
  <c r="N461" i="2"/>
  <c r="M461" i="2"/>
  <c r="L461" i="2"/>
  <c r="K461" i="2"/>
  <c r="J461" i="2"/>
  <c r="I461" i="2"/>
  <c r="H461" i="2"/>
  <c r="G461" i="2"/>
  <c r="Q460" i="2"/>
  <c r="P460" i="2"/>
  <c r="O460" i="2"/>
  <c r="N460" i="2"/>
  <c r="M460" i="2"/>
  <c r="L460" i="2"/>
  <c r="K460" i="2"/>
  <c r="J460" i="2"/>
  <c r="I460" i="2"/>
  <c r="H460" i="2"/>
  <c r="G460" i="2"/>
  <c r="Q459" i="2"/>
  <c r="P459" i="2"/>
  <c r="O459" i="2"/>
  <c r="N459" i="2"/>
  <c r="M459" i="2"/>
  <c r="L459" i="2"/>
  <c r="K459" i="2"/>
  <c r="J459" i="2"/>
  <c r="I459" i="2"/>
  <c r="H459" i="2"/>
  <c r="G459" i="2"/>
  <c r="Q458" i="2"/>
  <c r="P458" i="2"/>
  <c r="O458" i="2"/>
  <c r="N458" i="2"/>
  <c r="M458" i="2"/>
  <c r="L458" i="2"/>
  <c r="K458" i="2"/>
  <c r="J458" i="2"/>
  <c r="I458" i="2"/>
  <c r="H458" i="2"/>
  <c r="G458" i="2"/>
  <c r="Q457" i="2"/>
  <c r="P457" i="2"/>
  <c r="O457" i="2"/>
  <c r="N457" i="2"/>
  <c r="M457" i="2"/>
  <c r="L457" i="2"/>
  <c r="K457" i="2"/>
  <c r="J457" i="2"/>
  <c r="I457" i="2"/>
  <c r="H457" i="2"/>
  <c r="G457" i="2"/>
  <c r="Q456" i="2"/>
  <c r="P456" i="2"/>
  <c r="O456" i="2"/>
  <c r="N456" i="2"/>
  <c r="M456" i="2"/>
  <c r="L456" i="2"/>
  <c r="K456" i="2"/>
  <c r="J456" i="2"/>
  <c r="I456" i="2"/>
  <c r="H456" i="2"/>
  <c r="G456" i="2"/>
  <c r="Q455" i="2"/>
  <c r="P455" i="2"/>
  <c r="O455" i="2"/>
  <c r="N455" i="2"/>
  <c r="M455" i="2"/>
  <c r="L455" i="2"/>
  <c r="K455" i="2"/>
  <c r="J455" i="2"/>
  <c r="I455" i="2"/>
  <c r="H455" i="2"/>
  <c r="G455" i="2"/>
  <c r="Q454" i="2"/>
  <c r="P454" i="2"/>
  <c r="O454" i="2"/>
  <c r="N454" i="2"/>
  <c r="M454" i="2"/>
  <c r="L454" i="2"/>
  <c r="K454" i="2"/>
  <c r="J454" i="2"/>
  <c r="I454" i="2"/>
  <c r="H454" i="2"/>
  <c r="G454" i="2"/>
  <c r="Q453" i="2"/>
  <c r="P453" i="2"/>
  <c r="O453" i="2"/>
  <c r="N453" i="2"/>
  <c r="M453" i="2"/>
  <c r="L453" i="2"/>
  <c r="K453" i="2"/>
  <c r="J453" i="2"/>
  <c r="I453" i="2"/>
  <c r="H453" i="2"/>
  <c r="G453" i="2"/>
  <c r="Q452" i="2"/>
  <c r="P452" i="2"/>
  <c r="O452" i="2"/>
  <c r="N452" i="2"/>
  <c r="M452" i="2"/>
  <c r="L452" i="2"/>
  <c r="K452" i="2"/>
  <c r="J452" i="2"/>
  <c r="I452" i="2"/>
  <c r="H452" i="2"/>
  <c r="G452" i="2"/>
  <c r="Q451" i="2"/>
  <c r="P451" i="2"/>
  <c r="O451" i="2"/>
  <c r="N451" i="2"/>
  <c r="M451" i="2"/>
  <c r="L451" i="2"/>
  <c r="K451" i="2"/>
  <c r="J451" i="2"/>
  <c r="I451" i="2"/>
  <c r="H451" i="2"/>
  <c r="G451" i="2"/>
  <c r="Q450" i="2"/>
  <c r="P450" i="2"/>
  <c r="O450" i="2"/>
  <c r="N450" i="2"/>
  <c r="M450" i="2"/>
  <c r="L450" i="2"/>
  <c r="K450" i="2"/>
  <c r="J450" i="2"/>
  <c r="I450" i="2"/>
  <c r="H450" i="2"/>
  <c r="G450" i="2"/>
  <c r="Q449" i="2"/>
  <c r="P449" i="2"/>
  <c r="O449" i="2"/>
  <c r="N449" i="2"/>
  <c r="M449" i="2"/>
  <c r="L449" i="2"/>
  <c r="K449" i="2"/>
  <c r="J449" i="2"/>
  <c r="I449" i="2"/>
  <c r="H449" i="2"/>
  <c r="G449" i="2"/>
  <c r="Q448" i="2"/>
  <c r="P448" i="2"/>
  <c r="O448" i="2"/>
  <c r="N448" i="2"/>
  <c r="M448" i="2"/>
  <c r="L448" i="2"/>
  <c r="K448" i="2"/>
  <c r="J448" i="2"/>
  <c r="I448" i="2"/>
  <c r="H448" i="2"/>
  <c r="G448" i="2"/>
  <c r="Q447" i="2"/>
  <c r="P447" i="2"/>
  <c r="O447" i="2"/>
  <c r="N447" i="2"/>
  <c r="M447" i="2"/>
  <c r="L447" i="2"/>
  <c r="K447" i="2"/>
  <c r="J447" i="2"/>
  <c r="I447" i="2"/>
  <c r="H447" i="2"/>
  <c r="G447" i="2"/>
  <c r="Q446" i="2"/>
  <c r="P446" i="2"/>
  <c r="O446" i="2"/>
  <c r="N446" i="2"/>
  <c r="M446" i="2"/>
  <c r="L446" i="2"/>
  <c r="K446" i="2"/>
  <c r="J446" i="2"/>
  <c r="I446" i="2"/>
  <c r="H446" i="2"/>
  <c r="G446" i="2"/>
  <c r="Q445" i="2"/>
  <c r="P445" i="2"/>
  <c r="O445" i="2"/>
  <c r="N445" i="2"/>
  <c r="M445" i="2"/>
  <c r="L445" i="2"/>
  <c r="K445" i="2"/>
  <c r="J445" i="2"/>
  <c r="I445" i="2"/>
  <c r="H445" i="2"/>
  <c r="G445" i="2"/>
  <c r="Q444" i="2"/>
  <c r="P444" i="2"/>
  <c r="O444" i="2"/>
  <c r="N444" i="2"/>
  <c r="M444" i="2"/>
  <c r="L444" i="2"/>
  <c r="K444" i="2"/>
  <c r="J444" i="2"/>
  <c r="I444" i="2"/>
  <c r="H444" i="2"/>
  <c r="G444" i="2"/>
  <c r="Q443" i="2"/>
  <c r="P443" i="2"/>
  <c r="O443" i="2"/>
  <c r="N443" i="2"/>
  <c r="M443" i="2"/>
  <c r="L443" i="2"/>
  <c r="K443" i="2"/>
  <c r="J443" i="2"/>
  <c r="I443" i="2"/>
  <c r="H443" i="2"/>
  <c r="G443" i="2"/>
  <c r="Q442" i="2"/>
  <c r="P442" i="2"/>
  <c r="O442" i="2"/>
  <c r="N442" i="2"/>
  <c r="M442" i="2"/>
  <c r="L442" i="2"/>
  <c r="K442" i="2"/>
  <c r="J442" i="2"/>
  <c r="I442" i="2"/>
  <c r="H442" i="2"/>
  <c r="G442" i="2"/>
  <c r="Q441" i="2"/>
  <c r="P441" i="2"/>
  <c r="O441" i="2"/>
  <c r="N441" i="2"/>
  <c r="M441" i="2"/>
  <c r="L441" i="2"/>
  <c r="K441" i="2"/>
  <c r="J441" i="2"/>
  <c r="I441" i="2"/>
  <c r="H441" i="2"/>
  <c r="G441" i="2"/>
  <c r="Q440" i="2"/>
  <c r="P440" i="2"/>
  <c r="O440" i="2"/>
  <c r="N440" i="2"/>
  <c r="M440" i="2"/>
  <c r="L440" i="2"/>
  <c r="K440" i="2"/>
  <c r="J440" i="2"/>
  <c r="I440" i="2"/>
  <c r="H440" i="2"/>
  <c r="G440" i="2"/>
  <c r="Q439" i="2"/>
  <c r="P439" i="2"/>
  <c r="O439" i="2"/>
  <c r="N439" i="2"/>
  <c r="M439" i="2"/>
  <c r="L439" i="2"/>
  <c r="K439" i="2"/>
  <c r="J439" i="2"/>
  <c r="I439" i="2"/>
  <c r="H439" i="2"/>
  <c r="G439" i="2"/>
  <c r="Q438" i="2"/>
  <c r="P438" i="2"/>
  <c r="O438" i="2"/>
  <c r="N438" i="2"/>
  <c r="M438" i="2"/>
  <c r="L438" i="2"/>
  <c r="K438" i="2"/>
  <c r="J438" i="2"/>
  <c r="I438" i="2"/>
  <c r="H438" i="2"/>
  <c r="G438" i="2"/>
  <c r="Q437" i="2"/>
  <c r="P437" i="2"/>
  <c r="O437" i="2"/>
  <c r="N437" i="2"/>
  <c r="M437" i="2"/>
  <c r="L437" i="2"/>
  <c r="K437" i="2"/>
  <c r="J437" i="2"/>
  <c r="I437" i="2"/>
  <c r="H437" i="2"/>
  <c r="G437" i="2"/>
  <c r="Q436" i="2"/>
  <c r="P436" i="2"/>
  <c r="O436" i="2"/>
  <c r="N436" i="2"/>
  <c r="M436" i="2"/>
  <c r="L436" i="2"/>
  <c r="K436" i="2"/>
  <c r="J436" i="2"/>
  <c r="I436" i="2"/>
  <c r="H436" i="2"/>
  <c r="G436" i="2"/>
  <c r="Q435" i="2"/>
  <c r="P435" i="2"/>
  <c r="O435" i="2"/>
  <c r="N435" i="2"/>
  <c r="M435" i="2"/>
  <c r="L435" i="2"/>
  <c r="K435" i="2"/>
  <c r="J435" i="2"/>
  <c r="I435" i="2"/>
  <c r="H435" i="2"/>
  <c r="G435" i="2"/>
  <c r="Q434" i="2"/>
  <c r="P434" i="2"/>
  <c r="O434" i="2"/>
  <c r="N434" i="2"/>
  <c r="M434" i="2"/>
  <c r="L434" i="2"/>
  <c r="K434" i="2"/>
  <c r="J434" i="2"/>
  <c r="I434" i="2"/>
  <c r="H434" i="2"/>
  <c r="G434" i="2"/>
  <c r="Q433" i="2"/>
  <c r="P433" i="2"/>
  <c r="O433" i="2"/>
  <c r="N433" i="2"/>
  <c r="M433" i="2"/>
  <c r="L433" i="2"/>
  <c r="K433" i="2"/>
  <c r="J433" i="2"/>
  <c r="I433" i="2"/>
  <c r="H433" i="2"/>
  <c r="G433" i="2"/>
  <c r="Q432" i="2"/>
  <c r="P432" i="2"/>
  <c r="O432" i="2"/>
  <c r="N432" i="2"/>
  <c r="M432" i="2"/>
  <c r="L432" i="2"/>
  <c r="K432" i="2"/>
  <c r="J432" i="2"/>
  <c r="I432" i="2"/>
  <c r="H432" i="2"/>
  <c r="G432" i="2"/>
  <c r="Q431" i="2"/>
  <c r="P431" i="2"/>
  <c r="O431" i="2"/>
  <c r="N431" i="2"/>
  <c r="M431" i="2"/>
  <c r="L431" i="2"/>
  <c r="K431" i="2"/>
  <c r="J431" i="2"/>
  <c r="I431" i="2"/>
  <c r="H431" i="2"/>
  <c r="G431" i="2"/>
  <c r="Q430" i="2"/>
  <c r="P430" i="2"/>
  <c r="O430" i="2"/>
  <c r="N430" i="2"/>
  <c r="M430" i="2"/>
  <c r="L430" i="2"/>
  <c r="K430" i="2"/>
  <c r="J430" i="2"/>
  <c r="I430" i="2"/>
  <c r="H430" i="2"/>
  <c r="G430" i="2"/>
  <c r="Q429" i="2"/>
  <c r="P429" i="2"/>
  <c r="O429" i="2"/>
  <c r="N429" i="2"/>
  <c r="M429" i="2"/>
  <c r="L429" i="2"/>
  <c r="K429" i="2"/>
  <c r="J429" i="2"/>
  <c r="I429" i="2"/>
  <c r="H429" i="2"/>
  <c r="G429" i="2"/>
  <c r="Q428" i="2"/>
  <c r="P428" i="2"/>
  <c r="O428" i="2"/>
  <c r="N428" i="2"/>
  <c r="M428" i="2"/>
  <c r="L428" i="2"/>
  <c r="K428" i="2"/>
  <c r="J428" i="2"/>
  <c r="I428" i="2"/>
  <c r="H428" i="2"/>
  <c r="G428" i="2"/>
  <c r="Q427" i="2"/>
  <c r="P427" i="2"/>
  <c r="O427" i="2"/>
  <c r="N427" i="2"/>
  <c r="M427" i="2"/>
  <c r="L427" i="2"/>
  <c r="K427" i="2"/>
  <c r="J427" i="2"/>
  <c r="I427" i="2"/>
  <c r="H427" i="2"/>
  <c r="G427" i="2"/>
  <c r="Q426" i="2"/>
  <c r="P426" i="2"/>
  <c r="O426" i="2"/>
  <c r="N426" i="2"/>
  <c r="M426" i="2"/>
  <c r="L426" i="2"/>
  <c r="K426" i="2"/>
  <c r="J426" i="2"/>
  <c r="I426" i="2"/>
  <c r="H426" i="2"/>
  <c r="G426" i="2"/>
  <c r="Q425" i="2"/>
  <c r="P425" i="2"/>
  <c r="O425" i="2"/>
  <c r="N425" i="2"/>
  <c r="M425" i="2"/>
  <c r="L425" i="2"/>
  <c r="K425" i="2"/>
  <c r="J425" i="2"/>
  <c r="I425" i="2"/>
  <c r="H425" i="2"/>
  <c r="G425" i="2"/>
  <c r="Q424" i="2"/>
  <c r="P424" i="2"/>
  <c r="O424" i="2"/>
  <c r="N424" i="2"/>
  <c r="M424" i="2"/>
  <c r="L424" i="2"/>
  <c r="K424" i="2"/>
  <c r="J424" i="2"/>
  <c r="I424" i="2"/>
  <c r="H424" i="2"/>
  <c r="G424" i="2"/>
  <c r="Q423" i="2"/>
  <c r="P423" i="2"/>
  <c r="O423" i="2"/>
  <c r="N423" i="2"/>
  <c r="M423" i="2"/>
  <c r="L423" i="2"/>
  <c r="K423" i="2"/>
  <c r="J423" i="2"/>
  <c r="I423" i="2"/>
  <c r="H423" i="2"/>
  <c r="G423" i="2"/>
  <c r="Q422" i="2"/>
  <c r="P422" i="2"/>
  <c r="O422" i="2"/>
  <c r="N422" i="2"/>
  <c r="M422" i="2"/>
  <c r="L422" i="2"/>
  <c r="K422" i="2"/>
  <c r="J422" i="2"/>
  <c r="I422" i="2"/>
  <c r="H422" i="2"/>
  <c r="G422" i="2"/>
  <c r="Q421" i="2"/>
  <c r="P421" i="2"/>
  <c r="O421" i="2"/>
  <c r="N421" i="2"/>
  <c r="M421" i="2"/>
  <c r="L421" i="2"/>
  <c r="K421" i="2"/>
  <c r="J421" i="2"/>
  <c r="I421" i="2"/>
  <c r="H421" i="2"/>
  <c r="G421" i="2"/>
  <c r="Q420" i="2"/>
  <c r="P420" i="2"/>
  <c r="O420" i="2"/>
  <c r="N420" i="2"/>
  <c r="M420" i="2"/>
  <c r="L420" i="2"/>
  <c r="K420" i="2"/>
  <c r="J420" i="2"/>
  <c r="I420" i="2"/>
  <c r="H420" i="2"/>
  <c r="G420" i="2"/>
  <c r="Q419" i="2"/>
  <c r="P419" i="2"/>
  <c r="O419" i="2"/>
  <c r="N419" i="2"/>
  <c r="M419" i="2"/>
  <c r="L419" i="2"/>
  <c r="K419" i="2"/>
  <c r="J419" i="2"/>
  <c r="I419" i="2"/>
  <c r="H419" i="2"/>
  <c r="G419" i="2"/>
  <c r="Q418" i="2"/>
  <c r="P418" i="2"/>
  <c r="O418" i="2"/>
  <c r="N418" i="2"/>
  <c r="M418" i="2"/>
  <c r="L418" i="2"/>
  <c r="K418" i="2"/>
  <c r="J418" i="2"/>
  <c r="I418" i="2"/>
  <c r="H418" i="2"/>
  <c r="G418" i="2"/>
  <c r="Q417" i="2"/>
  <c r="P417" i="2"/>
  <c r="O417" i="2"/>
  <c r="N417" i="2"/>
  <c r="M417" i="2"/>
  <c r="L417" i="2"/>
  <c r="K417" i="2"/>
  <c r="J417" i="2"/>
  <c r="I417" i="2"/>
  <c r="H417" i="2"/>
  <c r="G417" i="2"/>
  <c r="Q416" i="2"/>
  <c r="P416" i="2"/>
  <c r="O416" i="2"/>
  <c r="N416" i="2"/>
  <c r="M416" i="2"/>
  <c r="L416" i="2"/>
  <c r="K416" i="2"/>
  <c r="J416" i="2"/>
  <c r="I416" i="2"/>
  <c r="H416" i="2"/>
  <c r="G416" i="2"/>
  <c r="Q415" i="2"/>
  <c r="P415" i="2"/>
  <c r="O415" i="2"/>
  <c r="N415" i="2"/>
  <c r="M415" i="2"/>
  <c r="L415" i="2"/>
  <c r="K415" i="2"/>
  <c r="J415" i="2"/>
  <c r="I415" i="2"/>
  <c r="H415" i="2"/>
  <c r="G415" i="2"/>
  <c r="Q414" i="2"/>
  <c r="P414" i="2"/>
  <c r="O414" i="2"/>
  <c r="N414" i="2"/>
  <c r="M414" i="2"/>
  <c r="L414" i="2"/>
  <c r="K414" i="2"/>
  <c r="J414" i="2"/>
  <c r="I414" i="2"/>
  <c r="H414" i="2"/>
  <c r="G414" i="2"/>
  <c r="Q413" i="2"/>
  <c r="P413" i="2"/>
  <c r="O413" i="2"/>
  <c r="N413" i="2"/>
  <c r="M413" i="2"/>
  <c r="L413" i="2"/>
  <c r="K413" i="2"/>
  <c r="J413" i="2"/>
  <c r="I413" i="2"/>
  <c r="H413" i="2"/>
  <c r="G413" i="2"/>
  <c r="Q412" i="2"/>
  <c r="P412" i="2"/>
  <c r="O412" i="2"/>
  <c r="N412" i="2"/>
  <c r="M412" i="2"/>
  <c r="L412" i="2"/>
  <c r="K412" i="2"/>
  <c r="J412" i="2"/>
  <c r="I412" i="2"/>
  <c r="H412" i="2"/>
  <c r="G412" i="2"/>
  <c r="Q411" i="2"/>
  <c r="P411" i="2"/>
  <c r="O411" i="2"/>
  <c r="N411" i="2"/>
  <c r="M411" i="2"/>
  <c r="L411" i="2"/>
  <c r="K411" i="2"/>
  <c r="J411" i="2"/>
  <c r="I411" i="2"/>
  <c r="H411" i="2"/>
  <c r="G411" i="2"/>
  <c r="Q410" i="2"/>
  <c r="P410" i="2"/>
  <c r="O410" i="2"/>
  <c r="N410" i="2"/>
  <c r="M410" i="2"/>
  <c r="L410" i="2"/>
  <c r="K410" i="2"/>
  <c r="J410" i="2"/>
  <c r="I410" i="2"/>
  <c r="H410" i="2"/>
  <c r="G410" i="2"/>
  <c r="Q409" i="2"/>
  <c r="P409" i="2"/>
  <c r="O409" i="2"/>
  <c r="N409" i="2"/>
  <c r="M409" i="2"/>
  <c r="L409" i="2"/>
  <c r="K409" i="2"/>
  <c r="J409" i="2"/>
  <c r="I409" i="2"/>
  <c r="H409" i="2"/>
  <c r="G409" i="2"/>
  <c r="Q408" i="2"/>
  <c r="P408" i="2"/>
  <c r="O408" i="2"/>
  <c r="N408" i="2"/>
  <c r="M408" i="2"/>
  <c r="L408" i="2"/>
  <c r="K408" i="2"/>
  <c r="J408" i="2"/>
  <c r="I408" i="2"/>
  <c r="H408" i="2"/>
  <c r="G408" i="2"/>
  <c r="Q407" i="2"/>
  <c r="P407" i="2"/>
  <c r="O407" i="2"/>
  <c r="N407" i="2"/>
  <c r="M407" i="2"/>
  <c r="L407" i="2"/>
  <c r="K407" i="2"/>
  <c r="J407" i="2"/>
  <c r="I407" i="2"/>
  <c r="H407" i="2"/>
  <c r="G407" i="2"/>
  <c r="Q406" i="2"/>
  <c r="P406" i="2"/>
  <c r="O406" i="2"/>
  <c r="N406" i="2"/>
  <c r="M406" i="2"/>
  <c r="L406" i="2"/>
  <c r="K406" i="2"/>
  <c r="J406" i="2"/>
  <c r="I406" i="2"/>
  <c r="H406" i="2"/>
  <c r="G406" i="2"/>
  <c r="Q405" i="2"/>
  <c r="P405" i="2"/>
  <c r="O405" i="2"/>
  <c r="N405" i="2"/>
  <c r="M405" i="2"/>
  <c r="L405" i="2"/>
  <c r="K405" i="2"/>
  <c r="J405" i="2"/>
  <c r="I405" i="2"/>
  <c r="H405" i="2"/>
  <c r="G405" i="2"/>
  <c r="Q404" i="2"/>
  <c r="P404" i="2"/>
  <c r="O404" i="2"/>
  <c r="N404" i="2"/>
  <c r="M404" i="2"/>
  <c r="L404" i="2"/>
  <c r="K404" i="2"/>
  <c r="J404" i="2"/>
  <c r="I404" i="2"/>
  <c r="H404" i="2"/>
  <c r="G404" i="2"/>
  <c r="Q403" i="2"/>
  <c r="P403" i="2"/>
  <c r="O403" i="2"/>
  <c r="N403" i="2"/>
  <c r="M403" i="2"/>
  <c r="L403" i="2"/>
  <c r="K403" i="2"/>
  <c r="J403" i="2"/>
  <c r="I403" i="2"/>
  <c r="H403" i="2"/>
  <c r="G403" i="2"/>
  <c r="Q402" i="2"/>
  <c r="P402" i="2"/>
  <c r="O402" i="2"/>
  <c r="N402" i="2"/>
  <c r="M402" i="2"/>
  <c r="L402" i="2"/>
  <c r="K402" i="2"/>
  <c r="J402" i="2"/>
  <c r="I402" i="2"/>
  <c r="H402" i="2"/>
  <c r="G402" i="2"/>
  <c r="Q401" i="2"/>
  <c r="P401" i="2"/>
  <c r="O401" i="2"/>
  <c r="N401" i="2"/>
  <c r="M401" i="2"/>
  <c r="L401" i="2"/>
  <c r="K401" i="2"/>
  <c r="J401" i="2"/>
  <c r="I401" i="2"/>
  <c r="H401" i="2"/>
  <c r="G401" i="2"/>
  <c r="Q400" i="2"/>
  <c r="P400" i="2"/>
  <c r="O400" i="2"/>
  <c r="N400" i="2"/>
  <c r="M400" i="2"/>
  <c r="L400" i="2"/>
  <c r="K400" i="2"/>
  <c r="J400" i="2"/>
  <c r="I400" i="2"/>
  <c r="H400" i="2"/>
  <c r="G400" i="2"/>
  <c r="Q399" i="2"/>
  <c r="P399" i="2"/>
  <c r="O399" i="2"/>
  <c r="N399" i="2"/>
  <c r="M399" i="2"/>
  <c r="L399" i="2"/>
  <c r="K399" i="2"/>
  <c r="J399" i="2"/>
  <c r="I399" i="2"/>
  <c r="H399" i="2"/>
  <c r="G399" i="2"/>
  <c r="Q398" i="2"/>
  <c r="P398" i="2"/>
  <c r="O398" i="2"/>
  <c r="N398" i="2"/>
  <c r="M398" i="2"/>
  <c r="L398" i="2"/>
  <c r="K398" i="2"/>
  <c r="J398" i="2"/>
  <c r="I398" i="2"/>
  <c r="H398" i="2"/>
  <c r="G398" i="2"/>
  <c r="Q397" i="2"/>
  <c r="P397" i="2"/>
  <c r="O397" i="2"/>
  <c r="N397" i="2"/>
  <c r="M397" i="2"/>
  <c r="L397" i="2"/>
  <c r="K397" i="2"/>
  <c r="J397" i="2"/>
  <c r="I397" i="2"/>
  <c r="H397" i="2"/>
  <c r="G397" i="2"/>
  <c r="Q396" i="2"/>
  <c r="P396" i="2"/>
  <c r="O396" i="2"/>
  <c r="N396" i="2"/>
  <c r="M396" i="2"/>
  <c r="L396" i="2"/>
  <c r="K396" i="2"/>
  <c r="J396" i="2"/>
  <c r="I396" i="2"/>
  <c r="H396" i="2"/>
  <c r="G396" i="2"/>
  <c r="Q395" i="2"/>
  <c r="P395" i="2"/>
  <c r="O395" i="2"/>
  <c r="N395" i="2"/>
  <c r="M395" i="2"/>
  <c r="L395" i="2"/>
  <c r="K395" i="2"/>
  <c r="J395" i="2"/>
  <c r="I395" i="2"/>
  <c r="H395" i="2"/>
  <c r="G395" i="2"/>
  <c r="Q394" i="2"/>
  <c r="P394" i="2"/>
  <c r="O394" i="2"/>
  <c r="N394" i="2"/>
  <c r="M394" i="2"/>
  <c r="L394" i="2"/>
  <c r="K394" i="2"/>
  <c r="J394" i="2"/>
  <c r="I394" i="2"/>
  <c r="H394" i="2"/>
  <c r="G394" i="2"/>
  <c r="Q393" i="2"/>
  <c r="P393" i="2"/>
  <c r="O393" i="2"/>
  <c r="N393" i="2"/>
  <c r="M393" i="2"/>
  <c r="L393" i="2"/>
  <c r="K393" i="2"/>
  <c r="J393" i="2"/>
  <c r="I393" i="2"/>
  <c r="H393" i="2"/>
  <c r="G393" i="2"/>
  <c r="Q392" i="2"/>
  <c r="P392" i="2"/>
  <c r="O392" i="2"/>
  <c r="N392" i="2"/>
  <c r="M392" i="2"/>
  <c r="L392" i="2"/>
  <c r="K392" i="2"/>
  <c r="J392" i="2"/>
  <c r="I392" i="2"/>
  <c r="H392" i="2"/>
  <c r="G392" i="2"/>
  <c r="Q391" i="2"/>
  <c r="P391" i="2"/>
  <c r="O391" i="2"/>
  <c r="N391" i="2"/>
  <c r="M391" i="2"/>
  <c r="L391" i="2"/>
  <c r="K391" i="2"/>
  <c r="J391" i="2"/>
  <c r="I391" i="2"/>
  <c r="H391" i="2"/>
  <c r="G391" i="2"/>
  <c r="Q390" i="2"/>
  <c r="P390" i="2"/>
  <c r="O390" i="2"/>
  <c r="N390" i="2"/>
  <c r="M390" i="2"/>
  <c r="L390" i="2"/>
  <c r="K390" i="2"/>
  <c r="J390" i="2"/>
  <c r="I390" i="2"/>
  <c r="H390" i="2"/>
  <c r="G390" i="2"/>
  <c r="Q389" i="2"/>
  <c r="P389" i="2"/>
  <c r="O389" i="2"/>
  <c r="N389" i="2"/>
  <c r="M389" i="2"/>
  <c r="L389" i="2"/>
  <c r="K389" i="2"/>
  <c r="J389" i="2"/>
  <c r="I389" i="2"/>
  <c r="H389" i="2"/>
  <c r="G389" i="2"/>
  <c r="Q388" i="2"/>
  <c r="P388" i="2"/>
  <c r="O388" i="2"/>
  <c r="N388" i="2"/>
  <c r="M388" i="2"/>
  <c r="L388" i="2"/>
  <c r="K388" i="2"/>
  <c r="J388" i="2"/>
  <c r="I388" i="2"/>
  <c r="H388" i="2"/>
  <c r="G388" i="2"/>
  <c r="Q387" i="2"/>
  <c r="P387" i="2"/>
  <c r="O387" i="2"/>
  <c r="N387" i="2"/>
  <c r="M387" i="2"/>
  <c r="L387" i="2"/>
  <c r="K387" i="2"/>
  <c r="J387" i="2"/>
  <c r="I387" i="2"/>
  <c r="H387" i="2"/>
  <c r="G387" i="2"/>
  <c r="Q386" i="2"/>
  <c r="P386" i="2"/>
  <c r="O386" i="2"/>
  <c r="N386" i="2"/>
  <c r="M386" i="2"/>
  <c r="L386" i="2"/>
  <c r="K386" i="2"/>
  <c r="J386" i="2"/>
  <c r="I386" i="2"/>
  <c r="H386" i="2"/>
  <c r="G386" i="2"/>
  <c r="Q385" i="2"/>
  <c r="P385" i="2"/>
  <c r="O385" i="2"/>
  <c r="N385" i="2"/>
  <c r="M385" i="2"/>
  <c r="L385" i="2"/>
  <c r="K385" i="2"/>
  <c r="J385" i="2"/>
  <c r="I385" i="2"/>
  <c r="H385" i="2"/>
  <c r="G385" i="2"/>
  <c r="Q384" i="2"/>
  <c r="P384" i="2"/>
  <c r="O384" i="2"/>
  <c r="N384" i="2"/>
  <c r="M384" i="2"/>
  <c r="L384" i="2"/>
  <c r="K384" i="2"/>
  <c r="J384" i="2"/>
  <c r="I384" i="2"/>
  <c r="H384" i="2"/>
  <c r="G384" i="2"/>
  <c r="Q383" i="2"/>
  <c r="P383" i="2"/>
  <c r="O383" i="2"/>
  <c r="N383" i="2"/>
  <c r="M383" i="2"/>
  <c r="L383" i="2"/>
  <c r="K383" i="2"/>
  <c r="J383" i="2"/>
  <c r="I383" i="2"/>
  <c r="H383" i="2"/>
  <c r="G383" i="2"/>
  <c r="Q382" i="2"/>
  <c r="P382" i="2"/>
  <c r="O382" i="2"/>
  <c r="N382" i="2"/>
  <c r="M382" i="2"/>
  <c r="L382" i="2"/>
  <c r="K382" i="2"/>
  <c r="J382" i="2"/>
  <c r="I382" i="2"/>
  <c r="H382" i="2"/>
  <c r="G382" i="2"/>
  <c r="Q381" i="2"/>
  <c r="P381" i="2"/>
  <c r="O381" i="2"/>
  <c r="N381" i="2"/>
  <c r="M381" i="2"/>
  <c r="L381" i="2"/>
  <c r="K381" i="2"/>
  <c r="J381" i="2"/>
  <c r="I381" i="2"/>
  <c r="H381" i="2"/>
  <c r="G381" i="2"/>
  <c r="Q380" i="2"/>
  <c r="P380" i="2"/>
  <c r="O380" i="2"/>
  <c r="N380" i="2"/>
  <c r="M380" i="2"/>
  <c r="L380" i="2"/>
  <c r="K380" i="2"/>
  <c r="J380" i="2"/>
  <c r="I380" i="2"/>
  <c r="H380" i="2"/>
  <c r="G380" i="2"/>
  <c r="Q379" i="2"/>
  <c r="P379" i="2"/>
  <c r="O379" i="2"/>
  <c r="N379" i="2"/>
  <c r="M379" i="2"/>
  <c r="L379" i="2"/>
  <c r="K379" i="2"/>
  <c r="J379" i="2"/>
  <c r="I379" i="2"/>
  <c r="H379" i="2"/>
  <c r="G379" i="2"/>
  <c r="Q378" i="2"/>
  <c r="P378" i="2"/>
  <c r="O378" i="2"/>
  <c r="N378" i="2"/>
  <c r="M378" i="2"/>
  <c r="L378" i="2"/>
  <c r="K378" i="2"/>
  <c r="J378" i="2"/>
  <c r="I378" i="2"/>
  <c r="H378" i="2"/>
  <c r="G378" i="2"/>
  <c r="Q377" i="2"/>
  <c r="P377" i="2"/>
  <c r="O377" i="2"/>
  <c r="N377" i="2"/>
  <c r="M377" i="2"/>
  <c r="L377" i="2"/>
  <c r="K377" i="2"/>
  <c r="J377" i="2"/>
  <c r="I377" i="2"/>
  <c r="H377" i="2"/>
  <c r="G377" i="2"/>
  <c r="Q376" i="2"/>
  <c r="P376" i="2"/>
  <c r="O376" i="2"/>
  <c r="N376" i="2"/>
  <c r="M376" i="2"/>
  <c r="L376" i="2"/>
  <c r="K376" i="2"/>
  <c r="J376" i="2"/>
  <c r="I376" i="2"/>
  <c r="H376" i="2"/>
  <c r="G376" i="2"/>
  <c r="Q375" i="2"/>
  <c r="P375" i="2"/>
  <c r="O375" i="2"/>
  <c r="N375" i="2"/>
  <c r="M375" i="2"/>
  <c r="L375" i="2"/>
  <c r="K375" i="2"/>
  <c r="J375" i="2"/>
  <c r="I375" i="2"/>
  <c r="H375" i="2"/>
  <c r="G375" i="2"/>
  <c r="Q374" i="2"/>
  <c r="P374" i="2"/>
  <c r="O374" i="2"/>
  <c r="N374" i="2"/>
  <c r="M374" i="2"/>
  <c r="L374" i="2"/>
  <c r="K374" i="2"/>
  <c r="J374" i="2"/>
  <c r="I374" i="2"/>
  <c r="H374" i="2"/>
  <c r="G374" i="2"/>
  <c r="Q373" i="2"/>
  <c r="P373" i="2"/>
  <c r="O373" i="2"/>
  <c r="N373" i="2"/>
  <c r="M373" i="2"/>
  <c r="L373" i="2"/>
  <c r="K373" i="2"/>
  <c r="J373" i="2"/>
  <c r="I373" i="2"/>
  <c r="H373" i="2"/>
  <c r="G373" i="2"/>
  <c r="Q372" i="2"/>
  <c r="P372" i="2"/>
  <c r="O372" i="2"/>
  <c r="N372" i="2"/>
  <c r="M372" i="2"/>
  <c r="L372" i="2"/>
  <c r="K372" i="2"/>
  <c r="J372" i="2"/>
  <c r="I372" i="2"/>
  <c r="H372" i="2"/>
  <c r="G372" i="2"/>
  <c r="Q371" i="2"/>
  <c r="P371" i="2"/>
  <c r="O371" i="2"/>
  <c r="N371" i="2"/>
  <c r="M371" i="2"/>
  <c r="L371" i="2"/>
  <c r="K371" i="2"/>
  <c r="J371" i="2"/>
  <c r="I371" i="2"/>
  <c r="H371" i="2"/>
  <c r="G371" i="2"/>
  <c r="Q370" i="2"/>
  <c r="P370" i="2"/>
  <c r="O370" i="2"/>
  <c r="N370" i="2"/>
  <c r="M370" i="2"/>
  <c r="L370" i="2"/>
  <c r="K370" i="2"/>
  <c r="J370" i="2"/>
  <c r="I370" i="2"/>
  <c r="H370" i="2"/>
  <c r="G370" i="2"/>
  <c r="Q369" i="2"/>
  <c r="P369" i="2"/>
  <c r="O369" i="2"/>
  <c r="N369" i="2"/>
  <c r="M369" i="2"/>
  <c r="L369" i="2"/>
  <c r="K369" i="2"/>
  <c r="J369" i="2"/>
  <c r="I369" i="2"/>
  <c r="H369" i="2"/>
  <c r="G369" i="2"/>
  <c r="Q368" i="2"/>
  <c r="P368" i="2"/>
  <c r="O368" i="2"/>
  <c r="N368" i="2"/>
  <c r="M368" i="2"/>
  <c r="L368" i="2"/>
  <c r="K368" i="2"/>
  <c r="J368" i="2"/>
  <c r="I368" i="2"/>
  <c r="H368" i="2"/>
  <c r="G368" i="2"/>
  <c r="Q367" i="2"/>
  <c r="P367" i="2"/>
  <c r="O367" i="2"/>
  <c r="N367" i="2"/>
  <c r="M367" i="2"/>
  <c r="L367" i="2"/>
  <c r="K367" i="2"/>
  <c r="J367" i="2"/>
  <c r="I367" i="2"/>
  <c r="H367" i="2"/>
  <c r="G367" i="2"/>
  <c r="Q366" i="2"/>
  <c r="P366" i="2"/>
  <c r="O366" i="2"/>
  <c r="N366" i="2"/>
  <c r="M366" i="2"/>
  <c r="L366" i="2"/>
  <c r="K366" i="2"/>
  <c r="J366" i="2"/>
  <c r="I366" i="2"/>
  <c r="H366" i="2"/>
  <c r="G366" i="2"/>
  <c r="Q365" i="2"/>
  <c r="P365" i="2"/>
  <c r="O365" i="2"/>
  <c r="N365" i="2"/>
  <c r="M365" i="2"/>
  <c r="L365" i="2"/>
  <c r="K365" i="2"/>
  <c r="J365" i="2"/>
  <c r="I365" i="2"/>
  <c r="H365" i="2"/>
  <c r="G365" i="2"/>
  <c r="Q364" i="2"/>
  <c r="P364" i="2"/>
  <c r="O364" i="2"/>
  <c r="N364" i="2"/>
  <c r="M364" i="2"/>
  <c r="L364" i="2"/>
  <c r="K364" i="2"/>
  <c r="J364" i="2"/>
  <c r="I364" i="2"/>
  <c r="H364" i="2"/>
  <c r="G364" i="2"/>
  <c r="Q363" i="2"/>
  <c r="P363" i="2"/>
  <c r="O363" i="2"/>
  <c r="N363" i="2"/>
  <c r="M363" i="2"/>
  <c r="L363" i="2"/>
  <c r="K363" i="2"/>
  <c r="J363" i="2"/>
  <c r="I363" i="2"/>
  <c r="A363" i="2"/>
  <c r="Q362" i="2"/>
  <c r="P362" i="2"/>
  <c r="O362" i="2"/>
  <c r="N362" i="2"/>
  <c r="M362" i="2"/>
  <c r="L362" i="2"/>
  <c r="K362" i="2"/>
  <c r="J362" i="2"/>
  <c r="I362" i="2"/>
  <c r="A362" i="2"/>
  <c r="Q361" i="2"/>
  <c r="P361" i="2"/>
  <c r="O361" i="2"/>
  <c r="N361" i="2"/>
  <c r="M361" i="2"/>
  <c r="L361" i="2"/>
  <c r="K361" i="2"/>
  <c r="J361" i="2"/>
  <c r="I361" i="2"/>
  <c r="A361" i="2"/>
  <c r="Q360" i="2"/>
  <c r="P360" i="2"/>
  <c r="O360" i="2"/>
  <c r="N360" i="2"/>
  <c r="M360" i="2"/>
  <c r="L360" i="2"/>
  <c r="K360" i="2"/>
  <c r="J360" i="2"/>
  <c r="I360" i="2"/>
  <c r="A360" i="2"/>
  <c r="Q359" i="2"/>
  <c r="P359" i="2"/>
  <c r="O359" i="2"/>
  <c r="N359" i="2"/>
  <c r="M359" i="2"/>
  <c r="L359" i="2"/>
  <c r="K359" i="2"/>
  <c r="J359" i="2"/>
  <c r="I359" i="2"/>
  <c r="A359" i="2"/>
  <c r="Q358" i="2"/>
  <c r="P358" i="2"/>
  <c r="O358" i="2"/>
  <c r="N358" i="2"/>
  <c r="M358" i="2"/>
  <c r="L358" i="2"/>
  <c r="K358" i="2"/>
  <c r="J358" i="2"/>
  <c r="I358" i="2"/>
  <c r="A358" i="2"/>
  <c r="Q357" i="2"/>
  <c r="P357" i="2"/>
  <c r="O357" i="2"/>
  <c r="N357" i="2"/>
  <c r="M357" i="2"/>
  <c r="L357" i="2"/>
  <c r="K357" i="2"/>
  <c r="J357" i="2"/>
  <c r="I357" i="2"/>
  <c r="A357" i="2"/>
  <c r="Q356" i="2"/>
  <c r="P356" i="2"/>
  <c r="O356" i="2"/>
  <c r="N356" i="2"/>
  <c r="M356" i="2"/>
  <c r="L356" i="2"/>
  <c r="K356" i="2"/>
  <c r="J356" i="2"/>
  <c r="I356" i="2"/>
  <c r="A356" i="2"/>
  <c r="Q355" i="2"/>
  <c r="P355" i="2"/>
  <c r="O355" i="2"/>
  <c r="N355" i="2"/>
  <c r="M355" i="2"/>
  <c r="L355" i="2"/>
  <c r="K355" i="2"/>
  <c r="J355" i="2"/>
  <c r="I355" i="2"/>
  <c r="A355" i="2"/>
  <c r="Q354" i="2"/>
  <c r="P354" i="2"/>
  <c r="O354" i="2"/>
  <c r="N354" i="2"/>
  <c r="M354" i="2"/>
  <c r="L354" i="2"/>
  <c r="K354" i="2"/>
  <c r="J354" i="2"/>
  <c r="I354" i="2"/>
  <c r="A354" i="2"/>
  <c r="Q353" i="2"/>
  <c r="P353" i="2"/>
  <c r="O353" i="2"/>
  <c r="N353" i="2"/>
  <c r="M353" i="2"/>
  <c r="L353" i="2"/>
  <c r="K353" i="2"/>
  <c r="J353" i="2"/>
  <c r="I353" i="2"/>
  <c r="A353" i="2"/>
  <c r="Q352" i="2"/>
  <c r="P352" i="2"/>
  <c r="O352" i="2"/>
  <c r="N352" i="2"/>
  <c r="M352" i="2"/>
  <c r="L352" i="2"/>
  <c r="K352" i="2"/>
  <c r="J352" i="2"/>
  <c r="I352" i="2"/>
  <c r="A352" i="2"/>
  <c r="Q351" i="2"/>
  <c r="P351" i="2"/>
  <c r="O351" i="2"/>
  <c r="N351" i="2"/>
  <c r="M351" i="2"/>
  <c r="L351" i="2"/>
  <c r="K351" i="2"/>
  <c r="J351" i="2"/>
  <c r="I351" i="2"/>
  <c r="A351" i="2"/>
  <c r="Q350" i="2"/>
  <c r="P350" i="2"/>
  <c r="O350" i="2"/>
  <c r="N350" i="2"/>
  <c r="M350" i="2"/>
  <c r="L350" i="2"/>
  <c r="K350" i="2"/>
  <c r="J350" i="2"/>
  <c r="I350" i="2"/>
  <c r="A350" i="2"/>
  <c r="Q349" i="2"/>
  <c r="P349" i="2"/>
  <c r="O349" i="2"/>
  <c r="N349" i="2"/>
  <c r="M349" i="2"/>
  <c r="L349" i="2"/>
  <c r="K349" i="2"/>
  <c r="J349" i="2"/>
  <c r="I349" i="2"/>
  <c r="A349" i="2"/>
  <c r="Q348" i="2"/>
  <c r="P348" i="2"/>
  <c r="O348" i="2"/>
  <c r="N348" i="2"/>
  <c r="M348" i="2"/>
  <c r="L348" i="2"/>
  <c r="K348" i="2"/>
  <c r="J348" i="2"/>
  <c r="I348" i="2"/>
  <c r="A348" i="2"/>
  <c r="Q347" i="2"/>
  <c r="P347" i="2"/>
  <c r="O347" i="2"/>
  <c r="N347" i="2"/>
  <c r="M347" i="2"/>
  <c r="L347" i="2"/>
  <c r="K347" i="2"/>
  <c r="J347" i="2"/>
  <c r="I347" i="2"/>
  <c r="A347" i="2"/>
  <c r="Q346" i="2"/>
  <c r="P346" i="2"/>
  <c r="O346" i="2"/>
  <c r="N346" i="2"/>
  <c r="M346" i="2"/>
  <c r="L346" i="2"/>
  <c r="K346" i="2"/>
  <c r="J346" i="2"/>
  <c r="I346" i="2"/>
  <c r="A346" i="2"/>
  <c r="Q345" i="2"/>
  <c r="P345" i="2"/>
  <c r="O345" i="2"/>
  <c r="N345" i="2"/>
  <c r="M345" i="2"/>
  <c r="L345" i="2"/>
  <c r="K345" i="2"/>
  <c r="J345" i="2"/>
  <c r="I345" i="2"/>
  <c r="A345" i="2"/>
  <c r="Q344" i="2"/>
  <c r="P344" i="2"/>
  <c r="O344" i="2"/>
  <c r="N344" i="2"/>
  <c r="M344" i="2"/>
  <c r="L344" i="2"/>
  <c r="K344" i="2"/>
  <c r="J344" i="2"/>
  <c r="I344" i="2"/>
  <c r="A344" i="2"/>
  <c r="Q343" i="2"/>
  <c r="P343" i="2"/>
  <c r="O343" i="2"/>
  <c r="N343" i="2"/>
  <c r="M343" i="2"/>
  <c r="L343" i="2"/>
  <c r="K343" i="2"/>
  <c r="J343" i="2"/>
  <c r="I343" i="2"/>
  <c r="A343" i="2"/>
  <c r="Q342" i="2"/>
  <c r="P342" i="2"/>
  <c r="O342" i="2"/>
  <c r="N342" i="2"/>
  <c r="M342" i="2"/>
  <c r="L342" i="2"/>
  <c r="K342" i="2"/>
  <c r="J342" i="2"/>
  <c r="I342" i="2"/>
  <c r="A342" i="2"/>
  <c r="Q341" i="2"/>
  <c r="P341" i="2"/>
  <c r="O341" i="2"/>
  <c r="N341" i="2"/>
  <c r="M341" i="2"/>
  <c r="L341" i="2"/>
  <c r="K341" i="2"/>
  <c r="J341" i="2"/>
  <c r="I341" i="2"/>
  <c r="A341" i="2"/>
  <c r="Q340" i="2"/>
  <c r="P340" i="2"/>
  <c r="O340" i="2"/>
  <c r="N340" i="2"/>
  <c r="M340" i="2"/>
  <c r="L340" i="2"/>
  <c r="K340" i="2"/>
  <c r="J340" i="2"/>
  <c r="I340" i="2"/>
  <c r="A340" i="2"/>
  <c r="Q339" i="2"/>
  <c r="P339" i="2"/>
  <c r="O339" i="2"/>
  <c r="N339" i="2"/>
  <c r="M339" i="2"/>
  <c r="L339" i="2"/>
  <c r="K339" i="2"/>
  <c r="J339" i="2"/>
  <c r="I339" i="2"/>
  <c r="A339" i="2"/>
  <c r="Q338" i="2"/>
  <c r="P338" i="2"/>
  <c r="O338" i="2"/>
  <c r="N338" i="2"/>
  <c r="M338" i="2"/>
  <c r="L338" i="2"/>
  <c r="K338" i="2"/>
  <c r="J338" i="2"/>
  <c r="I338" i="2"/>
  <c r="A338" i="2"/>
  <c r="Q337" i="2"/>
  <c r="P337" i="2"/>
  <c r="O337" i="2"/>
  <c r="N337" i="2"/>
  <c r="M337" i="2"/>
  <c r="L337" i="2"/>
  <c r="K337" i="2"/>
  <c r="J337" i="2"/>
  <c r="I337" i="2"/>
  <c r="A337" i="2"/>
  <c r="Q336" i="2"/>
  <c r="P336" i="2"/>
  <c r="O336" i="2"/>
  <c r="N336" i="2"/>
  <c r="M336" i="2"/>
  <c r="L336" i="2"/>
  <c r="K336" i="2"/>
  <c r="J336" i="2"/>
  <c r="I336" i="2"/>
  <c r="A336" i="2"/>
  <c r="Q335" i="2"/>
  <c r="P335" i="2"/>
  <c r="O335" i="2"/>
  <c r="N335" i="2"/>
  <c r="M335" i="2"/>
  <c r="L335" i="2"/>
  <c r="K335" i="2"/>
  <c r="J335" i="2"/>
  <c r="I335" i="2"/>
  <c r="A335" i="2"/>
  <c r="Q334" i="2"/>
  <c r="P334" i="2"/>
  <c r="O334" i="2"/>
  <c r="N334" i="2"/>
  <c r="M334" i="2"/>
  <c r="L334" i="2"/>
  <c r="K334" i="2"/>
  <c r="J334" i="2"/>
  <c r="I334" i="2"/>
  <c r="A334" i="2"/>
  <c r="Q333" i="2"/>
  <c r="P333" i="2"/>
  <c r="O333" i="2"/>
  <c r="N333" i="2"/>
  <c r="M333" i="2"/>
  <c r="L333" i="2"/>
  <c r="K333" i="2"/>
  <c r="J333" i="2"/>
  <c r="I333" i="2"/>
  <c r="A333" i="2"/>
  <c r="Q332" i="2"/>
  <c r="P332" i="2"/>
  <c r="O332" i="2"/>
  <c r="N332" i="2"/>
  <c r="M332" i="2"/>
  <c r="L332" i="2"/>
  <c r="K332" i="2"/>
  <c r="J332" i="2"/>
  <c r="I332" i="2"/>
  <c r="A332" i="2"/>
  <c r="Q331" i="2"/>
  <c r="P331" i="2"/>
  <c r="O331" i="2"/>
  <c r="N331" i="2"/>
  <c r="M331" i="2"/>
  <c r="L331" i="2"/>
  <c r="K331" i="2"/>
  <c r="J331" i="2"/>
  <c r="I331" i="2"/>
  <c r="A331" i="2"/>
  <c r="Q330" i="2"/>
  <c r="P330" i="2"/>
  <c r="O330" i="2"/>
  <c r="N330" i="2"/>
  <c r="M330" i="2"/>
  <c r="L330" i="2"/>
  <c r="K330" i="2"/>
  <c r="J330" i="2"/>
  <c r="I330" i="2"/>
  <c r="A330" i="2"/>
  <c r="Q329" i="2"/>
  <c r="P329" i="2"/>
  <c r="O329" i="2"/>
  <c r="N329" i="2"/>
  <c r="M329" i="2"/>
  <c r="L329" i="2"/>
  <c r="K329" i="2"/>
  <c r="J329" i="2"/>
  <c r="I329" i="2"/>
  <c r="A329" i="2"/>
  <c r="Q328" i="2"/>
  <c r="P328" i="2"/>
  <c r="O328" i="2"/>
  <c r="N328" i="2"/>
  <c r="M328" i="2"/>
  <c r="L328" i="2"/>
  <c r="K328" i="2"/>
  <c r="J328" i="2"/>
  <c r="I328" i="2"/>
  <c r="A328" i="2"/>
  <c r="Q327" i="2"/>
  <c r="P327" i="2"/>
  <c r="O327" i="2"/>
  <c r="N327" i="2"/>
  <c r="M327" i="2"/>
  <c r="L327" i="2"/>
  <c r="K327" i="2"/>
  <c r="J327" i="2"/>
  <c r="I327" i="2"/>
  <c r="A327" i="2"/>
  <c r="Q326" i="2"/>
  <c r="P326" i="2"/>
  <c r="O326" i="2"/>
  <c r="N326" i="2"/>
  <c r="M326" i="2"/>
  <c r="L326" i="2"/>
  <c r="K326" i="2"/>
  <c r="J326" i="2"/>
  <c r="I326" i="2"/>
  <c r="A326" i="2"/>
  <c r="Q325" i="2"/>
  <c r="P325" i="2"/>
  <c r="O325" i="2"/>
  <c r="N325" i="2"/>
  <c r="M325" i="2"/>
  <c r="L325" i="2"/>
  <c r="K325" i="2"/>
  <c r="J325" i="2"/>
  <c r="I325" i="2"/>
  <c r="A325" i="2"/>
  <c r="Q324" i="2"/>
  <c r="P324" i="2"/>
  <c r="O324" i="2"/>
  <c r="N324" i="2"/>
  <c r="M324" i="2"/>
  <c r="L324" i="2"/>
  <c r="K324" i="2"/>
  <c r="J324" i="2"/>
  <c r="I324" i="2"/>
  <c r="A324" i="2"/>
  <c r="Q323" i="2"/>
  <c r="P323" i="2"/>
  <c r="O323" i="2"/>
  <c r="N323" i="2"/>
  <c r="M323" i="2"/>
  <c r="L323" i="2"/>
  <c r="K323" i="2"/>
  <c r="J323" i="2"/>
  <c r="I323" i="2"/>
  <c r="A323" i="2"/>
  <c r="Q322" i="2"/>
  <c r="P322" i="2"/>
  <c r="O322" i="2"/>
  <c r="N322" i="2"/>
  <c r="M322" i="2"/>
  <c r="L322" i="2"/>
  <c r="K322" i="2"/>
  <c r="J322" i="2"/>
  <c r="I322" i="2"/>
  <c r="A322" i="2"/>
  <c r="Q321" i="2"/>
  <c r="P321" i="2"/>
  <c r="O321" i="2"/>
  <c r="N321" i="2"/>
  <c r="M321" i="2"/>
  <c r="L321" i="2"/>
  <c r="K321" i="2"/>
  <c r="J321" i="2"/>
  <c r="I321" i="2"/>
  <c r="A321" i="2"/>
  <c r="Q320" i="2"/>
  <c r="P320" i="2"/>
  <c r="O320" i="2"/>
  <c r="N320" i="2"/>
  <c r="M320" i="2"/>
  <c r="L320" i="2"/>
  <c r="K320" i="2"/>
  <c r="J320" i="2"/>
  <c r="I320" i="2"/>
  <c r="A320" i="2"/>
  <c r="Q319" i="2"/>
  <c r="P319" i="2"/>
  <c r="O319" i="2"/>
  <c r="N319" i="2"/>
  <c r="M319" i="2"/>
  <c r="L319" i="2"/>
  <c r="K319" i="2"/>
  <c r="J319" i="2"/>
  <c r="I319" i="2"/>
  <c r="A319" i="2"/>
  <c r="Q318" i="2"/>
  <c r="P318" i="2"/>
  <c r="O318" i="2"/>
  <c r="N318" i="2"/>
  <c r="M318" i="2"/>
  <c r="L318" i="2"/>
  <c r="K318" i="2"/>
  <c r="J318" i="2"/>
  <c r="I318" i="2"/>
  <c r="A318" i="2"/>
  <c r="Q317" i="2"/>
  <c r="P317" i="2"/>
  <c r="O317" i="2"/>
  <c r="N317" i="2"/>
  <c r="M317" i="2"/>
  <c r="L317" i="2"/>
  <c r="K317" i="2"/>
  <c r="J317" i="2"/>
  <c r="I317" i="2"/>
  <c r="A317" i="2"/>
  <c r="Q316" i="2"/>
  <c r="P316" i="2"/>
  <c r="O316" i="2"/>
  <c r="N316" i="2"/>
  <c r="M316" i="2"/>
  <c r="L316" i="2"/>
  <c r="K316" i="2"/>
  <c r="J316" i="2"/>
  <c r="I316" i="2"/>
  <c r="A316" i="2"/>
  <c r="Q315" i="2"/>
  <c r="P315" i="2"/>
  <c r="O315" i="2"/>
  <c r="N315" i="2"/>
  <c r="M315" i="2"/>
  <c r="L315" i="2"/>
  <c r="K315" i="2"/>
  <c r="J315" i="2"/>
  <c r="I315" i="2"/>
  <c r="A315" i="2"/>
  <c r="Q314" i="2"/>
  <c r="P314" i="2"/>
  <c r="O314" i="2"/>
  <c r="N314" i="2"/>
  <c r="M314" i="2"/>
  <c r="L314" i="2"/>
  <c r="K314" i="2"/>
  <c r="J314" i="2"/>
  <c r="I314" i="2"/>
  <c r="A314" i="2"/>
  <c r="Q313" i="2"/>
  <c r="P313" i="2"/>
  <c r="O313" i="2"/>
  <c r="N313" i="2"/>
  <c r="M313" i="2"/>
  <c r="L313" i="2"/>
  <c r="K313" i="2"/>
  <c r="J313" i="2"/>
  <c r="I313" i="2"/>
  <c r="A313" i="2"/>
  <c r="Q312" i="2"/>
  <c r="P312" i="2"/>
  <c r="O312" i="2"/>
  <c r="N312" i="2"/>
  <c r="M312" i="2"/>
  <c r="L312" i="2"/>
  <c r="K312" i="2"/>
  <c r="J312" i="2"/>
  <c r="I312" i="2"/>
  <c r="A312" i="2"/>
  <c r="Q311" i="2"/>
  <c r="P311" i="2"/>
  <c r="O311" i="2"/>
  <c r="N311" i="2"/>
  <c r="M311" i="2"/>
  <c r="L311" i="2"/>
  <c r="K311" i="2"/>
  <c r="J311" i="2"/>
  <c r="I311" i="2"/>
  <c r="A311" i="2"/>
  <c r="Q310" i="2"/>
  <c r="P310" i="2"/>
  <c r="O310" i="2"/>
  <c r="N310" i="2"/>
  <c r="M310" i="2"/>
  <c r="L310" i="2"/>
  <c r="K310" i="2"/>
  <c r="J310" i="2"/>
  <c r="I310" i="2"/>
  <c r="A310" i="2"/>
  <c r="Q309" i="2"/>
  <c r="P309" i="2"/>
  <c r="O309" i="2"/>
  <c r="N309" i="2"/>
  <c r="M309" i="2"/>
  <c r="L309" i="2"/>
  <c r="K309" i="2"/>
  <c r="J309" i="2"/>
  <c r="I309" i="2"/>
  <c r="A309" i="2"/>
  <c r="Q308" i="2"/>
  <c r="P308" i="2"/>
  <c r="O308" i="2"/>
  <c r="N308" i="2"/>
  <c r="M308" i="2"/>
  <c r="L308" i="2"/>
  <c r="K308" i="2"/>
  <c r="J308" i="2"/>
  <c r="I308" i="2"/>
  <c r="A308" i="2"/>
  <c r="Q307" i="2"/>
  <c r="P307" i="2"/>
  <c r="O307" i="2"/>
  <c r="N307" i="2"/>
  <c r="M307" i="2"/>
  <c r="L307" i="2"/>
  <c r="K307" i="2"/>
  <c r="J307" i="2"/>
  <c r="I307" i="2"/>
  <c r="A307" i="2"/>
  <c r="Q306" i="2"/>
  <c r="P306" i="2"/>
  <c r="O306" i="2"/>
  <c r="N306" i="2"/>
  <c r="M306" i="2"/>
  <c r="L306" i="2"/>
  <c r="K306" i="2"/>
  <c r="J306" i="2"/>
  <c r="I306" i="2"/>
  <c r="A306" i="2"/>
  <c r="Q305" i="2"/>
  <c r="P305" i="2"/>
  <c r="O305" i="2"/>
  <c r="N305" i="2"/>
  <c r="M305" i="2"/>
  <c r="L305" i="2"/>
  <c r="K305" i="2"/>
  <c r="J305" i="2"/>
  <c r="I305" i="2"/>
  <c r="A305" i="2"/>
  <c r="Q304" i="2"/>
  <c r="P304" i="2"/>
  <c r="O304" i="2"/>
  <c r="N304" i="2"/>
  <c r="M304" i="2"/>
  <c r="L304" i="2"/>
  <c r="K304" i="2"/>
  <c r="J304" i="2"/>
  <c r="I304" i="2"/>
  <c r="A304" i="2"/>
  <c r="Q303" i="2"/>
  <c r="P303" i="2"/>
  <c r="O303" i="2"/>
  <c r="N303" i="2"/>
  <c r="M303" i="2"/>
  <c r="L303" i="2"/>
  <c r="K303" i="2"/>
  <c r="J303" i="2"/>
  <c r="I303" i="2"/>
  <c r="A303" i="2"/>
  <c r="Q302" i="2"/>
  <c r="P302" i="2"/>
  <c r="O302" i="2"/>
  <c r="N302" i="2"/>
  <c r="M302" i="2"/>
  <c r="L302" i="2"/>
  <c r="K302" i="2"/>
  <c r="J302" i="2"/>
  <c r="I302" i="2"/>
  <c r="A302" i="2"/>
  <c r="Q301" i="2"/>
  <c r="P301" i="2"/>
  <c r="O301" i="2"/>
  <c r="N301" i="2"/>
  <c r="M301" i="2"/>
  <c r="L301" i="2"/>
  <c r="K301" i="2"/>
  <c r="J301" i="2"/>
  <c r="I301" i="2"/>
  <c r="A301" i="2"/>
  <c r="Q300" i="2"/>
  <c r="P300" i="2"/>
  <c r="O300" i="2"/>
  <c r="N300" i="2"/>
  <c r="M300" i="2"/>
  <c r="L300" i="2"/>
  <c r="K300" i="2"/>
  <c r="J300" i="2"/>
  <c r="I300" i="2"/>
  <c r="A300" i="2"/>
  <c r="Q299" i="2"/>
  <c r="P299" i="2"/>
  <c r="O299" i="2"/>
  <c r="N299" i="2"/>
  <c r="M299" i="2"/>
  <c r="L299" i="2"/>
  <c r="K299" i="2"/>
  <c r="J299" i="2"/>
  <c r="I299" i="2"/>
  <c r="A299" i="2"/>
  <c r="Q298" i="2"/>
  <c r="P298" i="2"/>
  <c r="O298" i="2"/>
  <c r="N298" i="2"/>
  <c r="M298" i="2"/>
  <c r="L298" i="2"/>
  <c r="K298" i="2"/>
  <c r="J298" i="2"/>
  <c r="I298" i="2"/>
  <c r="A298" i="2"/>
  <c r="Q297" i="2"/>
  <c r="P297" i="2"/>
  <c r="O297" i="2"/>
  <c r="N297" i="2"/>
  <c r="M297" i="2"/>
  <c r="L297" i="2"/>
  <c r="K297" i="2"/>
  <c r="J297" i="2"/>
  <c r="I297" i="2"/>
  <c r="A297" i="2"/>
  <c r="Q296" i="2"/>
  <c r="P296" i="2"/>
  <c r="O296" i="2"/>
  <c r="N296" i="2"/>
  <c r="M296" i="2"/>
  <c r="L296" i="2"/>
  <c r="K296" i="2"/>
  <c r="J296" i="2"/>
  <c r="I296" i="2"/>
  <c r="A296" i="2"/>
  <c r="Q295" i="2"/>
  <c r="P295" i="2"/>
  <c r="O295" i="2"/>
  <c r="N295" i="2"/>
  <c r="M295" i="2"/>
  <c r="L295" i="2"/>
  <c r="K295" i="2"/>
  <c r="J295" i="2"/>
  <c r="I295" i="2"/>
  <c r="A295" i="2"/>
  <c r="Q294" i="2"/>
  <c r="P294" i="2"/>
  <c r="O294" i="2"/>
  <c r="N294" i="2"/>
  <c r="M294" i="2"/>
  <c r="L294" i="2"/>
  <c r="K294" i="2"/>
  <c r="J294" i="2"/>
  <c r="I294" i="2"/>
  <c r="A294" i="2"/>
  <c r="Q293" i="2"/>
  <c r="P293" i="2"/>
  <c r="O293" i="2"/>
  <c r="N293" i="2"/>
  <c r="M293" i="2"/>
  <c r="L293" i="2"/>
  <c r="K293" i="2"/>
  <c r="J293" i="2"/>
  <c r="I293" i="2"/>
  <c r="A293" i="2"/>
  <c r="Q292" i="2"/>
  <c r="P292" i="2"/>
  <c r="O292" i="2"/>
  <c r="N292" i="2"/>
  <c r="M292" i="2"/>
  <c r="L292" i="2"/>
  <c r="K292" i="2"/>
  <c r="J292" i="2"/>
  <c r="I292" i="2"/>
  <c r="A292" i="2"/>
  <c r="Q291" i="2"/>
  <c r="P291" i="2"/>
  <c r="O291" i="2"/>
  <c r="N291" i="2"/>
  <c r="M291" i="2"/>
  <c r="L291" i="2"/>
  <c r="K291" i="2"/>
  <c r="J291" i="2"/>
  <c r="I291" i="2"/>
  <c r="A291" i="2"/>
  <c r="Q290" i="2"/>
  <c r="P290" i="2"/>
  <c r="O290" i="2"/>
  <c r="N290" i="2"/>
  <c r="M290" i="2"/>
  <c r="L290" i="2"/>
  <c r="K290" i="2"/>
  <c r="J290" i="2"/>
  <c r="I290" i="2"/>
  <c r="A290" i="2"/>
  <c r="Q289" i="2"/>
  <c r="P289" i="2"/>
  <c r="O289" i="2"/>
  <c r="N289" i="2"/>
  <c r="M289" i="2"/>
  <c r="L289" i="2"/>
  <c r="K289" i="2"/>
  <c r="J289" i="2"/>
  <c r="I289" i="2"/>
  <c r="A289" i="2"/>
  <c r="Q288" i="2"/>
  <c r="P288" i="2"/>
  <c r="O288" i="2"/>
  <c r="N288" i="2"/>
  <c r="M288" i="2"/>
  <c r="L288" i="2"/>
  <c r="K288" i="2"/>
  <c r="J288" i="2"/>
  <c r="I288" i="2"/>
  <c r="A288" i="2"/>
  <c r="Q287" i="2"/>
  <c r="P287" i="2"/>
  <c r="O287" i="2"/>
  <c r="N287" i="2"/>
  <c r="M287" i="2"/>
  <c r="L287" i="2"/>
  <c r="K287" i="2"/>
  <c r="J287" i="2"/>
  <c r="I287" i="2"/>
  <c r="A287" i="2"/>
  <c r="Q286" i="2"/>
  <c r="P286" i="2"/>
  <c r="O286" i="2"/>
  <c r="N286" i="2"/>
  <c r="M286" i="2"/>
  <c r="L286" i="2"/>
  <c r="K286" i="2"/>
  <c r="J286" i="2"/>
  <c r="I286" i="2"/>
  <c r="A286" i="2"/>
  <c r="Q285" i="2"/>
  <c r="P285" i="2"/>
  <c r="O285" i="2"/>
  <c r="N285" i="2"/>
  <c r="M285" i="2"/>
  <c r="L285" i="2"/>
  <c r="K285" i="2"/>
  <c r="J285" i="2"/>
  <c r="I285" i="2"/>
  <c r="A285" i="2"/>
  <c r="Q284" i="2"/>
  <c r="P284" i="2"/>
  <c r="O284" i="2"/>
  <c r="N284" i="2"/>
  <c r="M284" i="2"/>
  <c r="L284" i="2"/>
  <c r="K284" i="2"/>
  <c r="J284" i="2"/>
  <c r="I284" i="2"/>
  <c r="A284" i="2"/>
  <c r="Q283" i="2"/>
  <c r="P283" i="2"/>
  <c r="O283" i="2"/>
  <c r="N283" i="2"/>
  <c r="M283" i="2"/>
  <c r="L283" i="2"/>
  <c r="K283" i="2"/>
  <c r="J283" i="2"/>
  <c r="I283" i="2"/>
  <c r="A283" i="2"/>
  <c r="Q282" i="2"/>
  <c r="P282" i="2"/>
  <c r="O282" i="2"/>
  <c r="N282" i="2"/>
  <c r="M282" i="2"/>
  <c r="L282" i="2"/>
  <c r="K282" i="2"/>
  <c r="J282" i="2"/>
  <c r="I282" i="2"/>
  <c r="A282" i="2"/>
  <c r="Q281" i="2"/>
  <c r="P281" i="2"/>
  <c r="O281" i="2"/>
  <c r="N281" i="2"/>
  <c r="M281" i="2"/>
  <c r="L281" i="2"/>
  <c r="K281" i="2"/>
  <c r="J281" i="2"/>
  <c r="I281" i="2"/>
  <c r="A281" i="2"/>
  <c r="Q280" i="2"/>
  <c r="P280" i="2"/>
  <c r="O280" i="2"/>
  <c r="N280" i="2"/>
  <c r="M280" i="2"/>
  <c r="L280" i="2"/>
  <c r="K280" i="2"/>
  <c r="J280" i="2"/>
  <c r="I280" i="2"/>
  <c r="A280" i="2"/>
  <c r="Q279" i="2"/>
  <c r="P279" i="2"/>
  <c r="O279" i="2"/>
  <c r="N279" i="2"/>
  <c r="M279" i="2"/>
  <c r="L279" i="2"/>
  <c r="K279" i="2"/>
  <c r="J279" i="2"/>
  <c r="I279" i="2"/>
  <c r="A279" i="2"/>
  <c r="Q278" i="2"/>
  <c r="P278" i="2"/>
  <c r="O278" i="2"/>
  <c r="N278" i="2"/>
  <c r="M278" i="2"/>
  <c r="L278" i="2"/>
  <c r="K278" i="2"/>
  <c r="J278" i="2"/>
  <c r="I278" i="2"/>
  <c r="A278" i="2"/>
  <c r="Q277" i="2"/>
  <c r="P277" i="2"/>
  <c r="O277" i="2"/>
  <c r="N277" i="2"/>
  <c r="M277" i="2"/>
  <c r="L277" i="2"/>
  <c r="K277" i="2"/>
  <c r="J277" i="2"/>
  <c r="I277" i="2"/>
  <c r="A277" i="2"/>
  <c r="Q276" i="2"/>
  <c r="P276" i="2"/>
  <c r="O276" i="2"/>
  <c r="N276" i="2"/>
  <c r="M276" i="2"/>
  <c r="L276" i="2"/>
  <c r="K276" i="2"/>
  <c r="J276" i="2"/>
  <c r="I276" i="2"/>
  <c r="A276" i="2"/>
  <c r="Q275" i="2"/>
  <c r="P275" i="2"/>
  <c r="O275" i="2"/>
  <c r="N275" i="2"/>
  <c r="M275" i="2"/>
  <c r="L275" i="2"/>
  <c r="K275" i="2"/>
  <c r="J275" i="2"/>
  <c r="I275" i="2"/>
  <c r="A275" i="2"/>
  <c r="Q274" i="2"/>
  <c r="P274" i="2"/>
  <c r="O274" i="2"/>
  <c r="N274" i="2"/>
  <c r="M274" i="2"/>
  <c r="L274" i="2"/>
  <c r="K274" i="2"/>
  <c r="J274" i="2"/>
  <c r="I274" i="2"/>
  <c r="A274" i="2"/>
  <c r="Q273" i="2"/>
  <c r="P273" i="2"/>
  <c r="O273" i="2"/>
  <c r="N273" i="2"/>
  <c r="M273" i="2"/>
  <c r="L273" i="2"/>
  <c r="K273" i="2"/>
  <c r="J273" i="2"/>
  <c r="I273" i="2"/>
  <c r="A273" i="2"/>
  <c r="Q272" i="2"/>
  <c r="P272" i="2"/>
  <c r="O272" i="2"/>
  <c r="N272" i="2"/>
  <c r="M272" i="2"/>
  <c r="L272" i="2"/>
  <c r="K272" i="2"/>
  <c r="J272" i="2"/>
  <c r="I272" i="2"/>
  <c r="A272" i="2"/>
  <c r="Q271" i="2"/>
  <c r="P271" i="2"/>
  <c r="O271" i="2"/>
  <c r="N271" i="2"/>
  <c r="M271" i="2"/>
  <c r="L271" i="2"/>
  <c r="K271" i="2"/>
  <c r="J271" i="2"/>
  <c r="I271" i="2"/>
  <c r="A271" i="2"/>
  <c r="Q270" i="2"/>
  <c r="P270" i="2"/>
  <c r="O270" i="2"/>
  <c r="N270" i="2"/>
  <c r="M270" i="2"/>
  <c r="L270" i="2"/>
  <c r="K270" i="2"/>
  <c r="J270" i="2"/>
  <c r="I270" i="2"/>
  <c r="A270" i="2"/>
  <c r="Q269" i="2"/>
  <c r="P269" i="2"/>
  <c r="O269" i="2"/>
  <c r="N269" i="2"/>
  <c r="M269" i="2"/>
  <c r="L269" i="2"/>
  <c r="K269" i="2"/>
  <c r="J269" i="2"/>
  <c r="I269" i="2"/>
  <c r="A269" i="2"/>
  <c r="Q268" i="2"/>
  <c r="P268" i="2"/>
  <c r="O268" i="2"/>
  <c r="N268" i="2"/>
  <c r="M268" i="2"/>
  <c r="L268" i="2"/>
  <c r="K268" i="2"/>
  <c r="J268" i="2"/>
  <c r="I268" i="2"/>
  <c r="A268" i="2"/>
  <c r="Q267" i="2"/>
  <c r="P267" i="2"/>
  <c r="O267" i="2"/>
  <c r="N267" i="2"/>
  <c r="M267" i="2"/>
  <c r="L267" i="2"/>
  <c r="K267" i="2"/>
  <c r="J267" i="2"/>
  <c r="I267" i="2"/>
  <c r="A267" i="2"/>
  <c r="Q266" i="2"/>
  <c r="P266" i="2"/>
  <c r="O266" i="2"/>
  <c r="N266" i="2"/>
  <c r="M266" i="2"/>
  <c r="L266" i="2"/>
  <c r="K266" i="2"/>
  <c r="J266" i="2"/>
  <c r="I266" i="2"/>
  <c r="A266" i="2"/>
  <c r="Q265" i="2"/>
  <c r="P265" i="2"/>
  <c r="O265" i="2"/>
  <c r="N265" i="2"/>
  <c r="M265" i="2"/>
  <c r="L265" i="2"/>
  <c r="K265" i="2"/>
  <c r="J265" i="2"/>
  <c r="I265" i="2"/>
  <c r="A265" i="2"/>
  <c r="Q264" i="2"/>
  <c r="P264" i="2"/>
  <c r="O264" i="2"/>
  <c r="N264" i="2"/>
  <c r="M264" i="2"/>
  <c r="L264" i="2"/>
  <c r="K264" i="2"/>
  <c r="J264" i="2"/>
  <c r="I264" i="2"/>
  <c r="A264" i="2"/>
  <c r="Q263" i="2"/>
  <c r="P263" i="2"/>
  <c r="O263" i="2"/>
  <c r="N263" i="2"/>
  <c r="M263" i="2"/>
  <c r="L263" i="2"/>
  <c r="K263" i="2"/>
  <c r="J263" i="2"/>
  <c r="I263" i="2"/>
  <c r="A263" i="2"/>
  <c r="Q262" i="2"/>
  <c r="P262" i="2"/>
  <c r="O262" i="2"/>
  <c r="N262" i="2"/>
  <c r="M262" i="2"/>
  <c r="L262" i="2"/>
  <c r="K262" i="2"/>
  <c r="J262" i="2"/>
  <c r="I262" i="2"/>
  <c r="A262" i="2"/>
  <c r="Q261" i="2"/>
  <c r="P261" i="2"/>
  <c r="O261" i="2"/>
  <c r="N261" i="2"/>
  <c r="M261" i="2"/>
  <c r="L261" i="2"/>
  <c r="K261" i="2"/>
  <c r="J261" i="2"/>
  <c r="I261" i="2"/>
  <c r="A261" i="2"/>
  <c r="Q260" i="2"/>
  <c r="P260" i="2"/>
  <c r="O260" i="2"/>
  <c r="N260" i="2"/>
  <c r="M260" i="2"/>
  <c r="L260" i="2"/>
  <c r="K260" i="2"/>
  <c r="J260" i="2"/>
  <c r="I260" i="2"/>
  <c r="A260" i="2"/>
  <c r="Q259" i="2"/>
  <c r="P259" i="2"/>
  <c r="O259" i="2"/>
  <c r="N259" i="2"/>
  <c r="M259" i="2"/>
  <c r="L259" i="2"/>
  <c r="K259" i="2"/>
  <c r="J259" i="2"/>
  <c r="I259" i="2"/>
  <c r="A259" i="2"/>
  <c r="Q258" i="2"/>
  <c r="P258" i="2"/>
  <c r="O258" i="2"/>
  <c r="N258" i="2"/>
  <c r="M258" i="2"/>
  <c r="L258" i="2"/>
  <c r="K258" i="2"/>
  <c r="J258" i="2"/>
  <c r="I258" i="2"/>
  <c r="A258" i="2"/>
  <c r="Q257" i="2"/>
  <c r="P257" i="2"/>
  <c r="O257" i="2"/>
  <c r="N257" i="2"/>
  <c r="M257" i="2"/>
  <c r="L257" i="2"/>
  <c r="K257" i="2"/>
  <c r="J257" i="2"/>
  <c r="I257" i="2"/>
  <c r="A257" i="2"/>
  <c r="Q256" i="2"/>
  <c r="P256" i="2"/>
  <c r="O256" i="2"/>
  <c r="N256" i="2"/>
  <c r="M256" i="2"/>
  <c r="L256" i="2"/>
  <c r="K256" i="2"/>
  <c r="J256" i="2"/>
  <c r="I256" i="2"/>
  <c r="A256" i="2"/>
  <c r="Q255" i="2"/>
  <c r="P255" i="2"/>
  <c r="O255" i="2"/>
  <c r="N255" i="2"/>
  <c r="M255" i="2"/>
  <c r="L255" i="2"/>
  <c r="K255" i="2"/>
  <c r="J255" i="2"/>
  <c r="I255" i="2"/>
  <c r="A255" i="2"/>
  <c r="Q254" i="2"/>
  <c r="P254" i="2"/>
  <c r="O254" i="2"/>
  <c r="N254" i="2"/>
  <c r="M254" i="2"/>
  <c r="L254" i="2"/>
  <c r="K254" i="2"/>
  <c r="J254" i="2"/>
  <c r="I254" i="2"/>
  <c r="A254" i="2"/>
  <c r="Q253" i="2"/>
  <c r="P253" i="2"/>
  <c r="O253" i="2"/>
  <c r="N253" i="2"/>
  <c r="M253" i="2"/>
  <c r="L253" i="2"/>
  <c r="K253" i="2"/>
  <c r="J253" i="2"/>
  <c r="I253" i="2"/>
  <c r="A253" i="2"/>
  <c r="Q252" i="2"/>
  <c r="P252" i="2"/>
  <c r="O252" i="2"/>
  <c r="N252" i="2"/>
  <c r="M252" i="2"/>
  <c r="L252" i="2"/>
  <c r="K252" i="2"/>
  <c r="J252" i="2"/>
  <c r="I252" i="2"/>
  <c r="A252" i="2"/>
  <c r="Q251" i="2"/>
  <c r="P251" i="2"/>
  <c r="O251" i="2"/>
  <c r="N251" i="2"/>
  <c r="M251" i="2"/>
  <c r="L251" i="2"/>
  <c r="K251" i="2"/>
  <c r="J251" i="2"/>
  <c r="I251" i="2"/>
  <c r="A251" i="2"/>
  <c r="Q250" i="2"/>
  <c r="P250" i="2"/>
  <c r="O250" i="2"/>
  <c r="N250" i="2"/>
  <c r="M250" i="2"/>
  <c r="L250" i="2"/>
  <c r="K250" i="2"/>
  <c r="J250" i="2"/>
  <c r="I250" i="2"/>
  <c r="A250" i="2"/>
  <c r="Q249" i="2"/>
  <c r="P249" i="2"/>
  <c r="O249" i="2"/>
  <c r="N249" i="2"/>
  <c r="M249" i="2"/>
  <c r="L249" i="2"/>
  <c r="K249" i="2"/>
  <c r="J249" i="2"/>
  <c r="I249" i="2"/>
  <c r="A249" i="2"/>
  <c r="Q248" i="2"/>
  <c r="P248" i="2"/>
  <c r="O248" i="2"/>
  <c r="N248" i="2"/>
  <c r="M248" i="2"/>
  <c r="L248" i="2"/>
  <c r="K248" i="2"/>
  <c r="J248" i="2"/>
  <c r="I248" i="2"/>
  <c r="A248" i="2"/>
  <c r="Q247" i="2"/>
  <c r="P247" i="2"/>
  <c r="O247" i="2"/>
  <c r="N247" i="2"/>
  <c r="M247" i="2"/>
  <c r="L247" i="2"/>
  <c r="K247" i="2"/>
  <c r="J247" i="2"/>
  <c r="I247" i="2"/>
  <c r="A247" i="2"/>
  <c r="Q246" i="2"/>
  <c r="P246" i="2"/>
  <c r="O246" i="2"/>
  <c r="N246" i="2"/>
  <c r="M246" i="2"/>
  <c r="L246" i="2"/>
  <c r="K246" i="2"/>
  <c r="J246" i="2"/>
  <c r="I246" i="2"/>
  <c r="A246" i="2"/>
  <c r="Q245" i="2"/>
  <c r="P245" i="2"/>
  <c r="O245" i="2"/>
  <c r="N245" i="2"/>
  <c r="M245" i="2"/>
  <c r="L245" i="2"/>
  <c r="K245" i="2"/>
  <c r="J245" i="2"/>
  <c r="I245" i="2"/>
  <c r="A245" i="2"/>
  <c r="Q244" i="2"/>
  <c r="P244" i="2"/>
  <c r="O244" i="2"/>
  <c r="N244" i="2"/>
  <c r="M244" i="2"/>
  <c r="L244" i="2"/>
  <c r="K244" i="2"/>
  <c r="J244" i="2"/>
  <c r="I244" i="2"/>
  <c r="A244" i="2"/>
  <c r="Q243" i="2"/>
  <c r="P243" i="2"/>
  <c r="O243" i="2"/>
  <c r="N243" i="2"/>
  <c r="M243" i="2"/>
  <c r="L243" i="2"/>
  <c r="K243" i="2"/>
  <c r="J243" i="2"/>
  <c r="I243" i="2"/>
  <c r="A243" i="2"/>
  <c r="Q242" i="2"/>
  <c r="P242" i="2"/>
  <c r="O242" i="2"/>
  <c r="N242" i="2"/>
  <c r="M242" i="2"/>
  <c r="L242" i="2"/>
  <c r="K242" i="2"/>
  <c r="J242" i="2"/>
  <c r="I242" i="2"/>
  <c r="A242" i="2"/>
  <c r="Q241" i="2"/>
  <c r="P241" i="2"/>
  <c r="O241" i="2"/>
  <c r="N241" i="2"/>
  <c r="M241" i="2"/>
  <c r="L241" i="2"/>
  <c r="K241" i="2"/>
  <c r="J241" i="2"/>
  <c r="I241" i="2"/>
  <c r="A241" i="2"/>
  <c r="Q240" i="2"/>
  <c r="P240" i="2"/>
  <c r="O240" i="2"/>
  <c r="N240" i="2"/>
  <c r="M240" i="2"/>
  <c r="L240" i="2"/>
  <c r="K240" i="2"/>
  <c r="J240" i="2"/>
  <c r="I240" i="2"/>
  <c r="A240" i="2"/>
  <c r="Q239" i="2"/>
  <c r="P239" i="2"/>
  <c r="O239" i="2"/>
  <c r="N239" i="2"/>
  <c r="M239" i="2"/>
  <c r="L239" i="2"/>
  <c r="K239" i="2"/>
  <c r="J239" i="2"/>
  <c r="I239" i="2"/>
  <c r="A239" i="2"/>
  <c r="Q238" i="2"/>
  <c r="P238" i="2"/>
  <c r="O238" i="2"/>
  <c r="N238" i="2"/>
  <c r="M238" i="2"/>
  <c r="L238" i="2"/>
  <c r="K238" i="2"/>
  <c r="J238" i="2"/>
  <c r="I238" i="2"/>
  <c r="A238" i="2"/>
  <c r="Q237" i="2"/>
  <c r="P237" i="2"/>
  <c r="O237" i="2"/>
  <c r="N237" i="2"/>
  <c r="M237" i="2"/>
  <c r="L237" i="2"/>
  <c r="K237" i="2"/>
  <c r="J237" i="2"/>
  <c r="I237" i="2"/>
  <c r="A237" i="2"/>
  <c r="Q236" i="2"/>
  <c r="P236" i="2"/>
  <c r="O236" i="2"/>
  <c r="N236" i="2"/>
  <c r="M236" i="2"/>
  <c r="L236" i="2"/>
  <c r="K236" i="2"/>
  <c r="J236" i="2"/>
  <c r="I236" i="2"/>
  <c r="A236" i="2"/>
  <c r="Q235" i="2"/>
  <c r="P235" i="2"/>
  <c r="O235" i="2"/>
  <c r="N235" i="2"/>
  <c r="M235" i="2"/>
  <c r="L235" i="2"/>
  <c r="K235" i="2"/>
  <c r="J235" i="2"/>
  <c r="I235" i="2"/>
  <c r="A235" i="2"/>
  <c r="Q234" i="2"/>
  <c r="P234" i="2"/>
  <c r="O234" i="2"/>
  <c r="N234" i="2"/>
  <c r="M234" i="2"/>
  <c r="L234" i="2"/>
  <c r="K234" i="2"/>
  <c r="J234" i="2"/>
  <c r="I234" i="2"/>
  <c r="A234" i="2"/>
  <c r="Q233" i="2"/>
  <c r="P233" i="2"/>
  <c r="O233" i="2"/>
  <c r="N233" i="2"/>
  <c r="M233" i="2"/>
  <c r="L233" i="2"/>
  <c r="K233" i="2"/>
  <c r="J233" i="2"/>
  <c r="I233" i="2"/>
  <c r="A233" i="2"/>
  <c r="Q232" i="2"/>
  <c r="P232" i="2"/>
  <c r="O232" i="2"/>
  <c r="N232" i="2"/>
  <c r="M232" i="2"/>
  <c r="L232" i="2"/>
  <c r="K232" i="2"/>
  <c r="J232" i="2"/>
  <c r="I232" i="2"/>
  <c r="A232" i="2"/>
  <c r="Q231" i="2"/>
  <c r="P231" i="2"/>
  <c r="O231" i="2"/>
  <c r="N231" i="2"/>
  <c r="M231" i="2"/>
  <c r="L231" i="2"/>
  <c r="K231" i="2"/>
  <c r="J231" i="2"/>
  <c r="I231" i="2"/>
  <c r="A231" i="2"/>
  <c r="Q230" i="2"/>
  <c r="P230" i="2"/>
  <c r="O230" i="2"/>
  <c r="N230" i="2"/>
  <c r="M230" i="2"/>
  <c r="L230" i="2"/>
  <c r="K230" i="2"/>
  <c r="J230" i="2"/>
  <c r="I230" i="2"/>
  <c r="A230" i="2"/>
  <c r="Q229" i="2"/>
  <c r="P229" i="2"/>
  <c r="O229" i="2"/>
  <c r="N229" i="2"/>
  <c r="M229" i="2"/>
  <c r="L229" i="2"/>
  <c r="K229" i="2"/>
  <c r="J229" i="2"/>
  <c r="I229" i="2"/>
  <c r="A229" i="2"/>
  <c r="Q228" i="2"/>
  <c r="P228" i="2"/>
  <c r="O228" i="2"/>
  <c r="N228" i="2"/>
  <c r="M228" i="2"/>
  <c r="L228" i="2"/>
  <c r="K228" i="2"/>
  <c r="J228" i="2"/>
  <c r="I228" i="2"/>
  <c r="A228" i="2"/>
  <c r="Q227" i="2"/>
  <c r="P227" i="2"/>
  <c r="O227" i="2"/>
  <c r="N227" i="2"/>
  <c r="M227" i="2"/>
  <c r="L227" i="2"/>
  <c r="K227" i="2"/>
  <c r="J227" i="2"/>
  <c r="I227" i="2"/>
  <c r="A227" i="2"/>
  <c r="Q226" i="2"/>
  <c r="P226" i="2"/>
  <c r="O226" i="2"/>
  <c r="N226" i="2"/>
  <c r="M226" i="2"/>
  <c r="L226" i="2"/>
  <c r="K226" i="2"/>
  <c r="J226" i="2"/>
  <c r="I226" i="2"/>
  <c r="A226" i="2"/>
  <c r="Q225" i="2"/>
  <c r="P225" i="2"/>
  <c r="O225" i="2"/>
  <c r="N225" i="2"/>
  <c r="M225" i="2"/>
  <c r="L225" i="2"/>
  <c r="K225" i="2"/>
  <c r="J225" i="2"/>
  <c r="I225" i="2"/>
  <c r="A225" i="2"/>
  <c r="Q224" i="2"/>
  <c r="P224" i="2"/>
  <c r="O224" i="2"/>
  <c r="N224" i="2"/>
  <c r="M224" i="2"/>
  <c r="L224" i="2"/>
  <c r="K224" i="2"/>
  <c r="J224" i="2"/>
  <c r="I224" i="2"/>
  <c r="A224" i="2"/>
  <c r="Q223" i="2"/>
  <c r="P223" i="2"/>
  <c r="O223" i="2"/>
  <c r="N223" i="2"/>
  <c r="M223" i="2"/>
  <c r="L223" i="2"/>
  <c r="K223" i="2"/>
  <c r="J223" i="2"/>
  <c r="I223" i="2"/>
  <c r="A223" i="2"/>
  <c r="Q222" i="2"/>
  <c r="P222" i="2"/>
  <c r="O222" i="2"/>
  <c r="N222" i="2"/>
  <c r="M222" i="2"/>
  <c r="L222" i="2"/>
  <c r="K222" i="2"/>
  <c r="J222" i="2"/>
  <c r="I222" i="2"/>
  <c r="A222" i="2"/>
  <c r="Q221" i="2"/>
  <c r="P221" i="2"/>
  <c r="O221" i="2"/>
  <c r="N221" i="2"/>
  <c r="M221" i="2"/>
  <c r="L221" i="2"/>
  <c r="K221" i="2"/>
  <c r="J221" i="2"/>
  <c r="I221" i="2"/>
  <c r="A221" i="2"/>
  <c r="Q220" i="2"/>
  <c r="P220" i="2"/>
  <c r="O220" i="2"/>
  <c r="N220" i="2"/>
  <c r="M220" i="2"/>
  <c r="L220" i="2"/>
  <c r="K220" i="2"/>
  <c r="J220" i="2"/>
  <c r="I220" i="2"/>
  <c r="A220" i="2"/>
  <c r="Q219" i="2"/>
  <c r="P219" i="2"/>
  <c r="O219" i="2"/>
  <c r="N219" i="2"/>
  <c r="M219" i="2"/>
  <c r="L219" i="2"/>
  <c r="K219" i="2"/>
  <c r="J219" i="2"/>
  <c r="I219" i="2"/>
  <c r="A219" i="2"/>
  <c r="Q218" i="2"/>
  <c r="P218" i="2"/>
  <c r="O218" i="2"/>
  <c r="N218" i="2"/>
  <c r="M218" i="2"/>
  <c r="L218" i="2"/>
  <c r="K218" i="2"/>
  <c r="J218" i="2"/>
  <c r="I218" i="2"/>
  <c r="A218" i="2"/>
  <c r="Q217" i="2"/>
  <c r="P217" i="2"/>
  <c r="O217" i="2"/>
  <c r="N217" i="2"/>
  <c r="M217" i="2"/>
  <c r="L217" i="2"/>
  <c r="K217" i="2"/>
  <c r="J217" i="2"/>
  <c r="I217" i="2"/>
  <c r="A217" i="2"/>
  <c r="Q216" i="2"/>
  <c r="P216" i="2"/>
  <c r="O216" i="2"/>
  <c r="N216" i="2"/>
  <c r="M216" i="2"/>
  <c r="L216" i="2"/>
  <c r="K216" i="2"/>
  <c r="J216" i="2"/>
  <c r="I216" i="2"/>
  <c r="A216" i="2"/>
  <c r="Q215" i="2"/>
  <c r="P215" i="2"/>
  <c r="O215" i="2"/>
  <c r="N215" i="2"/>
  <c r="M215" i="2"/>
  <c r="L215" i="2"/>
  <c r="K215" i="2"/>
  <c r="J215" i="2"/>
  <c r="I215" i="2"/>
  <c r="A215" i="2"/>
  <c r="Q214" i="2"/>
  <c r="P214" i="2"/>
  <c r="O214" i="2"/>
  <c r="N214" i="2"/>
  <c r="M214" i="2"/>
  <c r="L214" i="2"/>
  <c r="K214" i="2"/>
  <c r="J214" i="2"/>
  <c r="I214" i="2"/>
  <c r="A214" i="2"/>
  <c r="Q213" i="2"/>
  <c r="P213" i="2"/>
  <c r="O213" i="2"/>
  <c r="N213" i="2"/>
  <c r="M213" i="2"/>
  <c r="L213" i="2"/>
  <c r="K213" i="2"/>
  <c r="J213" i="2"/>
  <c r="I213" i="2"/>
  <c r="A213" i="2"/>
  <c r="Q212" i="2"/>
  <c r="P212" i="2"/>
  <c r="O212" i="2"/>
  <c r="N212" i="2"/>
  <c r="M212" i="2"/>
  <c r="L212" i="2"/>
  <c r="K212" i="2"/>
  <c r="J212" i="2"/>
  <c r="I212" i="2"/>
  <c r="A212" i="2"/>
  <c r="Q211" i="2"/>
  <c r="P211" i="2"/>
  <c r="O211" i="2"/>
  <c r="N211" i="2"/>
  <c r="M211" i="2"/>
  <c r="L211" i="2"/>
  <c r="K211" i="2"/>
  <c r="J211" i="2"/>
  <c r="I211" i="2"/>
  <c r="A211" i="2"/>
  <c r="Q210" i="2"/>
  <c r="P210" i="2"/>
  <c r="O210" i="2"/>
  <c r="N210" i="2"/>
  <c r="M210" i="2"/>
  <c r="L210" i="2"/>
  <c r="K210" i="2"/>
  <c r="J210" i="2"/>
  <c r="I210" i="2"/>
  <c r="A210" i="2"/>
  <c r="Q209" i="2"/>
  <c r="P209" i="2"/>
  <c r="O209" i="2"/>
  <c r="N209" i="2"/>
  <c r="M209" i="2"/>
  <c r="L209" i="2"/>
  <c r="K209" i="2"/>
  <c r="J209" i="2"/>
  <c r="I209" i="2"/>
  <c r="A209" i="2"/>
  <c r="Q208" i="2"/>
  <c r="P208" i="2"/>
  <c r="O208" i="2"/>
  <c r="N208" i="2"/>
  <c r="M208" i="2"/>
  <c r="L208" i="2"/>
  <c r="K208" i="2"/>
  <c r="J208" i="2"/>
  <c r="I208" i="2"/>
  <c r="A208" i="2"/>
  <c r="Q207" i="2"/>
  <c r="P207" i="2"/>
  <c r="O207" i="2"/>
  <c r="N207" i="2"/>
  <c r="M207" i="2"/>
  <c r="L207" i="2"/>
  <c r="K207" i="2"/>
  <c r="J207" i="2"/>
  <c r="I207" i="2"/>
  <c r="A207" i="2"/>
  <c r="Q206" i="2"/>
  <c r="P206" i="2"/>
  <c r="O206" i="2"/>
  <c r="N206" i="2"/>
  <c r="M206" i="2"/>
  <c r="L206" i="2"/>
  <c r="K206" i="2"/>
  <c r="J206" i="2"/>
  <c r="I206" i="2"/>
  <c r="A206" i="2"/>
  <c r="Q205" i="2"/>
  <c r="P205" i="2"/>
  <c r="O205" i="2"/>
  <c r="N205" i="2"/>
  <c r="M205" i="2"/>
  <c r="L205" i="2"/>
  <c r="K205" i="2"/>
  <c r="J205" i="2"/>
  <c r="I205" i="2"/>
  <c r="A205" i="2"/>
  <c r="Q204" i="2"/>
  <c r="P204" i="2"/>
  <c r="O204" i="2"/>
  <c r="N204" i="2"/>
  <c r="M204" i="2"/>
  <c r="L204" i="2"/>
  <c r="K204" i="2"/>
  <c r="J204" i="2"/>
  <c r="I204" i="2"/>
  <c r="A204" i="2"/>
  <c r="Q203" i="2"/>
  <c r="P203" i="2"/>
  <c r="O203" i="2"/>
  <c r="N203" i="2"/>
  <c r="M203" i="2"/>
  <c r="L203" i="2"/>
  <c r="K203" i="2"/>
  <c r="J203" i="2"/>
  <c r="I203" i="2"/>
  <c r="A203" i="2"/>
  <c r="Q202" i="2"/>
  <c r="P202" i="2"/>
  <c r="O202" i="2"/>
  <c r="N202" i="2"/>
  <c r="M202" i="2"/>
  <c r="L202" i="2"/>
  <c r="K202" i="2"/>
  <c r="J202" i="2"/>
  <c r="I202" i="2"/>
  <c r="A202" i="2"/>
  <c r="Q201" i="2"/>
  <c r="P201" i="2"/>
  <c r="O201" i="2"/>
  <c r="N201" i="2"/>
  <c r="M201" i="2"/>
  <c r="L201" i="2"/>
  <c r="K201" i="2"/>
  <c r="J201" i="2"/>
  <c r="I201" i="2"/>
  <c r="A201" i="2"/>
  <c r="Q200" i="2"/>
  <c r="P200" i="2"/>
  <c r="O200" i="2"/>
  <c r="N200" i="2"/>
  <c r="M200" i="2"/>
  <c r="L200" i="2"/>
  <c r="K200" i="2"/>
  <c r="J200" i="2"/>
  <c r="I200" i="2"/>
  <c r="A200" i="2"/>
  <c r="Q199" i="2"/>
  <c r="P199" i="2"/>
  <c r="O199" i="2"/>
  <c r="N199" i="2"/>
  <c r="M199" i="2"/>
  <c r="L199" i="2"/>
  <c r="K199" i="2"/>
  <c r="J199" i="2"/>
  <c r="I199" i="2"/>
  <c r="A199" i="2"/>
  <c r="Q198" i="2"/>
  <c r="P198" i="2"/>
  <c r="O198" i="2"/>
  <c r="N198" i="2"/>
  <c r="M198" i="2"/>
  <c r="L198" i="2"/>
  <c r="K198" i="2"/>
  <c r="J198" i="2"/>
  <c r="I198" i="2"/>
  <c r="A198" i="2"/>
  <c r="Q197" i="2"/>
  <c r="P197" i="2"/>
  <c r="O197" i="2"/>
  <c r="N197" i="2"/>
  <c r="M197" i="2"/>
  <c r="L197" i="2"/>
  <c r="K197" i="2"/>
  <c r="J197" i="2"/>
  <c r="I197" i="2"/>
  <c r="A197" i="2"/>
  <c r="Q196" i="2"/>
  <c r="P196" i="2"/>
  <c r="O196" i="2"/>
  <c r="N196" i="2"/>
  <c r="M196" i="2"/>
  <c r="L196" i="2"/>
  <c r="K196" i="2"/>
  <c r="J196" i="2"/>
  <c r="I196" i="2"/>
  <c r="A196" i="2"/>
  <c r="Q195" i="2"/>
  <c r="P195" i="2"/>
  <c r="O195" i="2"/>
  <c r="N195" i="2"/>
  <c r="M195" i="2"/>
  <c r="L195" i="2"/>
  <c r="K195" i="2"/>
  <c r="J195" i="2"/>
  <c r="I195" i="2"/>
  <c r="A195" i="2"/>
  <c r="Q194" i="2"/>
  <c r="P194" i="2"/>
  <c r="O194" i="2"/>
  <c r="N194" i="2"/>
  <c r="M194" i="2"/>
  <c r="L194" i="2"/>
  <c r="K194" i="2"/>
  <c r="J194" i="2"/>
  <c r="I194" i="2"/>
  <c r="A194" i="2"/>
  <c r="Q193" i="2"/>
  <c r="P193" i="2"/>
  <c r="O193" i="2"/>
  <c r="N193" i="2"/>
  <c r="M193" i="2"/>
  <c r="L193" i="2"/>
  <c r="K193" i="2"/>
  <c r="J193" i="2"/>
  <c r="I193" i="2"/>
  <c r="A193" i="2"/>
  <c r="Q192" i="2"/>
  <c r="P192" i="2"/>
  <c r="O192" i="2"/>
  <c r="N192" i="2"/>
  <c r="M192" i="2"/>
  <c r="L192" i="2"/>
  <c r="K192" i="2"/>
  <c r="J192" i="2"/>
  <c r="I192" i="2"/>
  <c r="A192" i="2"/>
  <c r="Q191" i="2"/>
  <c r="P191" i="2"/>
  <c r="O191" i="2"/>
  <c r="N191" i="2"/>
  <c r="M191" i="2"/>
  <c r="L191" i="2"/>
  <c r="K191" i="2"/>
  <c r="J191" i="2"/>
  <c r="I191" i="2"/>
  <c r="A191" i="2"/>
  <c r="Q190" i="2"/>
  <c r="P190" i="2"/>
  <c r="O190" i="2"/>
  <c r="N190" i="2"/>
  <c r="M190" i="2"/>
  <c r="L190" i="2"/>
  <c r="K190" i="2"/>
  <c r="J190" i="2"/>
  <c r="I190" i="2"/>
  <c r="A190" i="2"/>
  <c r="Q189" i="2"/>
  <c r="P189" i="2"/>
  <c r="O189" i="2"/>
  <c r="N189" i="2"/>
  <c r="M189" i="2"/>
  <c r="L189" i="2"/>
  <c r="K189" i="2"/>
  <c r="J189" i="2"/>
  <c r="I189" i="2"/>
  <c r="A189" i="2"/>
  <c r="Q188" i="2"/>
  <c r="P188" i="2"/>
  <c r="O188" i="2"/>
  <c r="N188" i="2"/>
  <c r="M188" i="2"/>
  <c r="L188" i="2"/>
  <c r="K188" i="2"/>
  <c r="J188" i="2"/>
  <c r="I188" i="2"/>
  <c r="A188" i="2"/>
  <c r="Q187" i="2"/>
  <c r="P187" i="2"/>
  <c r="O187" i="2"/>
  <c r="N187" i="2"/>
  <c r="M187" i="2"/>
  <c r="L187" i="2"/>
  <c r="K187" i="2"/>
  <c r="J187" i="2"/>
  <c r="I187" i="2"/>
  <c r="A187" i="2"/>
  <c r="Q186" i="2"/>
  <c r="P186" i="2"/>
  <c r="O186" i="2"/>
  <c r="N186" i="2"/>
  <c r="M186" i="2"/>
  <c r="L186" i="2"/>
  <c r="K186" i="2"/>
  <c r="J186" i="2"/>
  <c r="I186" i="2"/>
  <c r="A186" i="2"/>
  <c r="Q185" i="2"/>
  <c r="P185" i="2"/>
  <c r="O185" i="2"/>
  <c r="N185" i="2"/>
  <c r="M185" i="2"/>
  <c r="L185" i="2"/>
  <c r="K185" i="2"/>
  <c r="J185" i="2"/>
  <c r="I185" i="2"/>
  <c r="A185" i="2"/>
  <c r="Q184" i="2"/>
  <c r="P184" i="2"/>
  <c r="O184" i="2"/>
  <c r="N184" i="2"/>
  <c r="M184" i="2"/>
  <c r="L184" i="2"/>
  <c r="K184" i="2"/>
  <c r="J184" i="2"/>
  <c r="I184" i="2"/>
  <c r="A184" i="2"/>
  <c r="Q183" i="2"/>
  <c r="P183" i="2"/>
  <c r="O183" i="2"/>
  <c r="N183" i="2"/>
  <c r="M183" i="2"/>
  <c r="L183" i="2"/>
  <c r="K183" i="2"/>
  <c r="J183" i="2"/>
  <c r="I183" i="2"/>
  <c r="A183" i="2"/>
  <c r="Q182" i="2"/>
  <c r="P182" i="2"/>
  <c r="O182" i="2"/>
  <c r="N182" i="2"/>
  <c r="M182" i="2"/>
  <c r="L182" i="2"/>
  <c r="K182" i="2"/>
  <c r="J182" i="2"/>
  <c r="I182" i="2"/>
  <c r="A182" i="2"/>
  <c r="Q181" i="2"/>
  <c r="P181" i="2"/>
  <c r="O181" i="2"/>
  <c r="N181" i="2"/>
  <c r="M181" i="2"/>
  <c r="L181" i="2"/>
  <c r="K181" i="2"/>
  <c r="J181" i="2"/>
  <c r="I181" i="2"/>
  <c r="A181" i="2"/>
  <c r="Q180" i="2"/>
  <c r="P180" i="2"/>
  <c r="O180" i="2"/>
  <c r="N180" i="2"/>
  <c r="M180" i="2"/>
  <c r="L180" i="2"/>
  <c r="K180" i="2"/>
  <c r="J180" i="2"/>
  <c r="I180" i="2"/>
  <c r="A180" i="2"/>
  <c r="Q179" i="2"/>
  <c r="P179" i="2"/>
  <c r="O179" i="2"/>
  <c r="N179" i="2"/>
  <c r="M179" i="2"/>
  <c r="L179" i="2"/>
  <c r="K179" i="2"/>
  <c r="J179" i="2"/>
  <c r="I179" i="2"/>
  <c r="A179" i="2"/>
  <c r="Q178" i="2"/>
  <c r="P178" i="2"/>
  <c r="O178" i="2"/>
  <c r="N178" i="2"/>
  <c r="M178" i="2"/>
  <c r="L178" i="2"/>
  <c r="K178" i="2"/>
  <c r="J178" i="2"/>
  <c r="I178" i="2"/>
  <c r="A178" i="2"/>
  <c r="Q177" i="2"/>
  <c r="P177" i="2"/>
  <c r="O177" i="2"/>
  <c r="N177" i="2"/>
  <c r="M177" i="2"/>
  <c r="L177" i="2"/>
  <c r="K177" i="2"/>
  <c r="J177" i="2"/>
  <c r="I177" i="2"/>
  <c r="A177" i="2"/>
  <c r="Q176" i="2"/>
  <c r="P176" i="2"/>
  <c r="O176" i="2"/>
  <c r="N176" i="2"/>
  <c r="M176" i="2"/>
  <c r="L176" i="2"/>
  <c r="K176" i="2"/>
  <c r="J176" i="2"/>
  <c r="I176" i="2"/>
  <c r="A176" i="2"/>
  <c r="Q175" i="2"/>
  <c r="P175" i="2"/>
  <c r="O175" i="2"/>
  <c r="N175" i="2"/>
  <c r="M175" i="2"/>
  <c r="L175" i="2"/>
  <c r="K175" i="2"/>
  <c r="J175" i="2"/>
  <c r="I175" i="2"/>
  <c r="A175" i="2"/>
  <c r="Q174" i="2"/>
  <c r="P174" i="2"/>
  <c r="O174" i="2"/>
  <c r="N174" i="2"/>
  <c r="M174" i="2"/>
  <c r="L174" i="2"/>
  <c r="K174" i="2"/>
  <c r="J174" i="2"/>
  <c r="I174" i="2"/>
  <c r="A174" i="2"/>
  <c r="Q173" i="2"/>
  <c r="P173" i="2"/>
  <c r="O173" i="2"/>
  <c r="N173" i="2"/>
  <c r="M173" i="2"/>
  <c r="L173" i="2"/>
  <c r="K173" i="2"/>
  <c r="J173" i="2"/>
  <c r="I173" i="2"/>
  <c r="A173" i="2"/>
  <c r="Q172" i="2"/>
  <c r="P172" i="2"/>
  <c r="O172" i="2"/>
  <c r="N172" i="2"/>
  <c r="M172" i="2"/>
  <c r="L172" i="2"/>
  <c r="K172" i="2"/>
  <c r="J172" i="2"/>
  <c r="I172" i="2"/>
  <c r="A172" i="2"/>
  <c r="Q171" i="2"/>
  <c r="P171" i="2"/>
  <c r="O171" i="2"/>
  <c r="N171" i="2"/>
  <c r="M171" i="2"/>
  <c r="L171" i="2"/>
  <c r="K171" i="2"/>
  <c r="J171" i="2"/>
  <c r="I171" i="2"/>
  <c r="A171" i="2"/>
  <c r="Q170" i="2"/>
  <c r="P170" i="2"/>
  <c r="O170" i="2"/>
  <c r="N170" i="2"/>
  <c r="M170" i="2"/>
  <c r="L170" i="2"/>
  <c r="K170" i="2"/>
  <c r="J170" i="2"/>
  <c r="I170" i="2"/>
  <c r="A170" i="2"/>
  <c r="Q169" i="2"/>
  <c r="P169" i="2"/>
  <c r="O169" i="2"/>
  <c r="N169" i="2"/>
  <c r="M169" i="2"/>
  <c r="L169" i="2"/>
  <c r="K169" i="2"/>
  <c r="J169" i="2"/>
  <c r="I169" i="2"/>
  <c r="A169" i="2"/>
  <c r="Q168" i="2"/>
  <c r="P168" i="2"/>
  <c r="O168" i="2"/>
  <c r="N168" i="2"/>
  <c r="M168" i="2"/>
  <c r="L168" i="2"/>
  <c r="K168" i="2"/>
  <c r="J168" i="2"/>
  <c r="I168" i="2"/>
  <c r="A168" i="2"/>
  <c r="Q167" i="2"/>
  <c r="P167" i="2"/>
  <c r="O167" i="2"/>
  <c r="N167" i="2"/>
  <c r="M167" i="2"/>
  <c r="L167" i="2"/>
  <c r="K167" i="2"/>
  <c r="J167" i="2"/>
  <c r="I167" i="2"/>
  <c r="A167" i="2"/>
  <c r="Q166" i="2"/>
  <c r="P166" i="2"/>
  <c r="O166" i="2"/>
  <c r="N166" i="2"/>
  <c r="M166" i="2"/>
  <c r="L166" i="2"/>
  <c r="K166" i="2"/>
  <c r="J166" i="2"/>
  <c r="I166" i="2"/>
  <c r="A166" i="2"/>
  <c r="Q165" i="2"/>
  <c r="P165" i="2"/>
  <c r="O165" i="2"/>
  <c r="N165" i="2"/>
  <c r="M165" i="2"/>
  <c r="L165" i="2"/>
  <c r="K165" i="2"/>
  <c r="J165" i="2"/>
  <c r="I165" i="2"/>
  <c r="A165" i="2"/>
  <c r="Q164" i="2"/>
  <c r="P164" i="2"/>
  <c r="O164" i="2"/>
  <c r="N164" i="2"/>
  <c r="M164" i="2"/>
  <c r="L164" i="2"/>
  <c r="K164" i="2"/>
  <c r="J164" i="2"/>
  <c r="I164" i="2"/>
  <c r="A164" i="2"/>
  <c r="Q163" i="2"/>
  <c r="P163" i="2"/>
  <c r="O163" i="2"/>
  <c r="N163" i="2"/>
  <c r="M163" i="2"/>
  <c r="L163" i="2"/>
  <c r="K163" i="2"/>
  <c r="J163" i="2"/>
  <c r="I163" i="2"/>
  <c r="A163" i="2"/>
  <c r="Q162" i="2"/>
  <c r="P162" i="2"/>
  <c r="O162" i="2"/>
  <c r="N162" i="2"/>
  <c r="M162" i="2"/>
  <c r="L162" i="2"/>
  <c r="K162" i="2"/>
  <c r="J162" i="2"/>
  <c r="I162" i="2"/>
  <c r="A162" i="2"/>
  <c r="Q161" i="2"/>
  <c r="P161" i="2"/>
  <c r="O161" i="2"/>
  <c r="N161" i="2"/>
  <c r="M161" i="2"/>
  <c r="L161" i="2"/>
  <c r="K161" i="2"/>
  <c r="J161" i="2"/>
  <c r="I161" i="2"/>
  <c r="A161" i="2"/>
  <c r="Q160" i="2"/>
  <c r="P160" i="2"/>
  <c r="O160" i="2"/>
  <c r="N160" i="2"/>
  <c r="M160" i="2"/>
  <c r="L160" i="2"/>
  <c r="K160" i="2"/>
  <c r="J160" i="2"/>
  <c r="I160" i="2"/>
  <c r="A160" i="2"/>
  <c r="Q159" i="2"/>
  <c r="P159" i="2"/>
  <c r="O159" i="2"/>
  <c r="N159" i="2"/>
  <c r="M159" i="2"/>
  <c r="L159" i="2"/>
  <c r="K159" i="2"/>
  <c r="J159" i="2"/>
  <c r="I159" i="2"/>
  <c r="A159" i="2"/>
  <c r="Q158" i="2"/>
  <c r="P158" i="2"/>
  <c r="O158" i="2"/>
  <c r="N158" i="2"/>
  <c r="M158" i="2"/>
  <c r="L158" i="2"/>
  <c r="K158" i="2"/>
  <c r="J158" i="2"/>
  <c r="I158" i="2"/>
  <c r="A158" i="2"/>
  <c r="Q157" i="2"/>
  <c r="P157" i="2"/>
  <c r="O157" i="2"/>
  <c r="N157" i="2"/>
  <c r="M157" i="2"/>
  <c r="L157" i="2"/>
  <c r="K157" i="2"/>
  <c r="J157" i="2"/>
  <c r="I157" i="2"/>
  <c r="A157" i="2"/>
  <c r="Q156" i="2"/>
  <c r="P156" i="2"/>
  <c r="O156" i="2"/>
  <c r="N156" i="2"/>
  <c r="M156" i="2"/>
  <c r="L156" i="2"/>
  <c r="K156" i="2"/>
  <c r="J156" i="2"/>
  <c r="I156" i="2"/>
  <c r="A156" i="2"/>
  <c r="Q155" i="2"/>
  <c r="P155" i="2"/>
  <c r="O155" i="2"/>
  <c r="N155" i="2"/>
  <c r="M155" i="2"/>
  <c r="L155" i="2"/>
  <c r="K155" i="2"/>
  <c r="J155" i="2"/>
  <c r="I155" i="2"/>
  <c r="A155" i="2"/>
  <c r="Q154" i="2"/>
  <c r="P154" i="2"/>
  <c r="O154" i="2"/>
  <c r="N154" i="2"/>
  <c r="M154" i="2"/>
  <c r="L154" i="2"/>
  <c r="K154" i="2"/>
  <c r="J154" i="2"/>
  <c r="I154" i="2"/>
  <c r="A154" i="2"/>
  <c r="Q153" i="2"/>
  <c r="P153" i="2"/>
  <c r="O153" i="2"/>
  <c r="N153" i="2"/>
  <c r="M153" i="2"/>
  <c r="L153" i="2"/>
  <c r="K153" i="2"/>
  <c r="J153" i="2"/>
  <c r="I153" i="2"/>
  <c r="A153" i="2"/>
  <c r="Q152" i="2"/>
  <c r="P152" i="2"/>
  <c r="O152" i="2"/>
  <c r="N152" i="2"/>
  <c r="M152" i="2"/>
  <c r="L152" i="2"/>
  <c r="K152" i="2"/>
  <c r="J152" i="2"/>
  <c r="I152" i="2"/>
  <c r="A152" i="2"/>
  <c r="Q151" i="2"/>
  <c r="P151" i="2"/>
  <c r="O151" i="2"/>
  <c r="N151" i="2"/>
  <c r="M151" i="2"/>
  <c r="L151" i="2"/>
  <c r="K151" i="2"/>
  <c r="J151" i="2"/>
  <c r="I151" i="2"/>
  <c r="A151" i="2"/>
  <c r="Q150" i="2"/>
  <c r="P150" i="2"/>
  <c r="O150" i="2"/>
  <c r="N150" i="2"/>
  <c r="M150" i="2"/>
  <c r="L150" i="2"/>
  <c r="K150" i="2"/>
  <c r="J150" i="2"/>
  <c r="I150" i="2"/>
  <c r="A150" i="2"/>
  <c r="Q149" i="2"/>
  <c r="P149" i="2"/>
  <c r="O149" i="2"/>
  <c r="N149" i="2"/>
  <c r="M149" i="2"/>
  <c r="L149" i="2"/>
  <c r="K149" i="2"/>
  <c r="J149" i="2"/>
  <c r="I149" i="2"/>
  <c r="A149" i="2"/>
  <c r="Q148" i="2"/>
  <c r="P148" i="2"/>
  <c r="O148" i="2"/>
  <c r="N148" i="2"/>
  <c r="M148" i="2"/>
  <c r="L148" i="2"/>
  <c r="K148" i="2"/>
  <c r="J148" i="2"/>
  <c r="I148" i="2"/>
  <c r="A148" i="2"/>
  <c r="Q147" i="2"/>
  <c r="P147" i="2"/>
  <c r="O147" i="2"/>
  <c r="N147" i="2"/>
  <c r="M147" i="2"/>
  <c r="L147" i="2"/>
  <c r="K147" i="2"/>
  <c r="J147" i="2"/>
  <c r="I147" i="2"/>
  <c r="A147" i="2"/>
  <c r="Q146" i="2"/>
  <c r="P146" i="2"/>
  <c r="O146" i="2"/>
  <c r="N146" i="2"/>
  <c r="M146" i="2"/>
  <c r="L146" i="2"/>
  <c r="K146" i="2"/>
  <c r="J146" i="2"/>
  <c r="I146" i="2"/>
  <c r="A146" i="2"/>
  <c r="Q145" i="2"/>
  <c r="P145" i="2"/>
  <c r="O145" i="2"/>
  <c r="N145" i="2"/>
  <c r="M145" i="2"/>
  <c r="L145" i="2"/>
  <c r="K145" i="2"/>
  <c r="J145" i="2"/>
  <c r="I145" i="2"/>
  <c r="A145" i="2"/>
  <c r="Q144" i="2"/>
  <c r="P144" i="2"/>
  <c r="O144" i="2"/>
  <c r="N144" i="2"/>
  <c r="M144" i="2"/>
  <c r="L144" i="2"/>
  <c r="K144" i="2"/>
  <c r="J144" i="2"/>
  <c r="I144" i="2"/>
  <c r="A144" i="2"/>
  <c r="Q143" i="2"/>
  <c r="P143" i="2"/>
  <c r="O143" i="2"/>
  <c r="N143" i="2"/>
  <c r="M143" i="2"/>
  <c r="L143" i="2"/>
  <c r="K143" i="2"/>
  <c r="J143" i="2"/>
  <c r="I143" i="2"/>
  <c r="A143" i="2"/>
  <c r="Q142" i="2"/>
  <c r="P142" i="2"/>
  <c r="O142" i="2"/>
  <c r="N142" i="2"/>
  <c r="M142" i="2"/>
  <c r="L142" i="2"/>
  <c r="K142" i="2"/>
  <c r="J142" i="2"/>
  <c r="I142" i="2"/>
  <c r="A142" i="2"/>
  <c r="Q141" i="2"/>
  <c r="P141" i="2"/>
  <c r="O141" i="2"/>
  <c r="N141" i="2"/>
  <c r="M141" i="2"/>
  <c r="L141" i="2"/>
  <c r="K141" i="2"/>
  <c r="J141" i="2"/>
  <c r="I141" i="2"/>
  <c r="A141" i="2"/>
  <c r="Q140" i="2"/>
  <c r="P140" i="2"/>
  <c r="O140" i="2"/>
  <c r="N140" i="2"/>
  <c r="M140" i="2"/>
  <c r="L140" i="2"/>
  <c r="K140" i="2"/>
  <c r="J140" i="2"/>
  <c r="I140" i="2"/>
  <c r="A140" i="2"/>
  <c r="Q139" i="2"/>
  <c r="P139" i="2"/>
  <c r="O139" i="2"/>
  <c r="N139" i="2"/>
  <c r="M139" i="2"/>
  <c r="L139" i="2"/>
  <c r="K139" i="2"/>
  <c r="J139" i="2"/>
  <c r="I139" i="2"/>
  <c r="A139" i="2"/>
  <c r="Q138" i="2"/>
  <c r="P138" i="2"/>
  <c r="O138" i="2"/>
  <c r="N138" i="2"/>
  <c r="M138" i="2"/>
  <c r="L138" i="2"/>
  <c r="K138" i="2"/>
  <c r="J138" i="2"/>
  <c r="I138" i="2"/>
  <c r="A138" i="2"/>
  <c r="Q137" i="2"/>
  <c r="P137" i="2"/>
  <c r="O137" i="2"/>
  <c r="N137" i="2"/>
  <c r="M137" i="2"/>
  <c r="L137" i="2"/>
  <c r="K137" i="2"/>
  <c r="J137" i="2"/>
  <c r="I137" i="2"/>
  <c r="A137" i="2"/>
  <c r="Q136" i="2"/>
  <c r="P136" i="2"/>
  <c r="O136" i="2"/>
  <c r="N136" i="2"/>
  <c r="M136" i="2"/>
  <c r="L136" i="2"/>
  <c r="K136" i="2"/>
  <c r="J136" i="2"/>
  <c r="I136" i="2"/>
  <c r="A136" i="2"/>
  <c r="Q135" i="2"/>
  <c r="P135" i="2"/>
  <c r="O135" i="2"/>
  <c r="N135" i="2"/>
  <c r="M135" i="2"/>
  <c r="L135" i="2"/>
  <c r="K135" i="2"/>
  <c r="J135" i="2"/>
  <c r="I135" i="2"/>
  <c r="A135" i="2"/>
  <c r="Q134" i="2"/>
  <c r="P134" i="2"/>
  <c r="O134" i="2"/>
  <c r="N134" i="2"/>
  <c r="M134" i="2"/>
  <c r="L134" i="2"/>
  <c r="K134" i="2"/>
  <c r="J134" i="2"/>
  <c r="I134" i="2"/>
  <c r="A134" i="2"/>
  <c r="Q133" i="2"/>
  <c r="P133" i="2"/>
  <c r="O133" i="2"/>
  <c r="N133" i="2"/>
  <c r="M133" i="2"/>
  <c r="L133" i="2"/>
  <c r="K133" i="2"/>
  <c r="J133" i="2"/>
  <c r="I133" i="2"/>
  <c r="A133" i="2"/>
  <c r="Q132" i="2"/>
  <c r="P132" i="2"/>
  <c r="O132" i="2"/>
  <c r="N132" i="2"/>
  <c r="M132" i="2"/>
  <c r="L132" i="2"/>
  <c r="K132" i="2"/>
  <c r="J132" i="2"/>
  <c r="I132" i="2"/>
  <c r="A132" i="2"/>
  <c r="Q131" i="2"/>
  <c r="P131" i="2"/>
  <c r="O131" i="2"/>
  <c r="N131" i="2"/>
  <c r="M131" i="2"/>
  <c r="L131" i="2"/>
  <c r="K131" i="2"/>
  <c r="J131" i="2"/>
  <c r="I131" i="2"/>
  <c r="A131" i="2"/>
  <c r="Q130" i="2"/>
  <c r="P130" i="2"/>
  <c r="O130" i="2"/>
  <c r="N130" i="2"/>
  <c r="M130" i="2"/>
  <c r="L130" i="2"/>
  <c r="K130" i="2"/>
  <c r="J130" i="2"/>
  <c r="I130" i="2"/>
  <c r="A130" i="2"/>
  <c r="Q129" i="2"/>
  <c r="P129" i="2"/>
  <c r="O129" i="2"/>
  <c r="N129" i="2"/>
  <c r="M129" i="2"/>
  <c r="L129" i="2"/>
  <c r="K129" i="2"/>
  <c r="J129" i="2"/>
  <c r="I129" i="2"/>
  <c r="A129" i="2"/>
  <c r="Q128" i="2"/>
  <c r="P128" i="2"/>
  <c r="O128" i="2"/>
  <c r="N128" i="2"/>
  <c r="M128" i="2"/>
  <c r="L128" i="2"/>
  <c r="K128" i="2"/>
  <c r="J128" i="2"/>
  <c r="I128" i="2"/>
  <c r="A128" i="2"/>
  <c r="Q127" i="2"/>
  <c r="P127" i="2"/>
  <c r="O127" i="2"/>
  <c r="N127" i="2"/>
  <c r="M127" i="2"/>
  <c r="L127" i="2"/>
  <c r="K127" i="2"/>
  <c r="J127" i="2"/>
  <c r="I127" i="2"/>
  <c r="A127" i="2"/>
  <c r="Q126" i="2"/>
  <c r="P126" i="2"/>
  <c r="O126" i="2"/>
  <c r="N126" i="2"/>
  <c r="M126" i="2"/>
  <c r="L126" i="2"/>
  <c r="K126" i="2"/>
  <c r="J126" i="2"/>
  <c r="I126" i="2"/>
  <c r="A126" i="2"/>
  <c r="Q125" i="2"/>
  <c r="P125" i="2"/>
  <c r="O125" i="2"/>
  <c r="N125" i="2"/>
  <c r="M125" i="2"/>
  <c r="L125" i="2"/>
  <c r="K125" i="2"/>
  <c r="J125" i="2"/>
  <c r="I125" i="2"/>
  <c r="A125" i="2"/>
  <c r="Q124" i="2"/>
  <c r="P124" i="2"/>
  <c r="O124" i="2"/>
  <c r="N124" i="2"/>
  <c r="M124" i="2"/>
  <c r="L124" i="2"/>
  <c r="K124" i="2"/>
  <c r="J124" i="2"/>
  <c r="I124" i="2"/>
  <c r="A124" i="2"/>
  <c r="R123" i="2"/>
  <c r="R603" i="2" s="1"/>
  <c r="R122" i="2"/>
  <c r="R602" i="2" s="1"/>
  <c r="R121" i="2"/>
  <c r="R120" i="2"/>
  <c r="R600" i="2" s="1"/>
  <c r="R119" i="2"/>
  <c r="R599" i="2" s="1"/>
  <c r="R118" i="2"/>
  <c r="R117" i="2"/>
  <c r="R116" i="2"/>
  <c r="R596" i="2" s="1"/>
  <c r="R115" i="2"/>
  <c r="R595" i="2" s="1"/>
  <c r="R114" i="2"/>
  <c r="R113" i="2"/>
  <c r="R593" i="2" s="1"/>
  <c r="R112" i="2"/>
  <c r="R592" i="2" s="1"/>
  <c r="R111" i="2"/>
  <c r="R591" i="2" s="1"/>
  <c r="R110" i="2"/>
  <c r="R590" i="2" s="1"/>
  <c r="R109" i="2"/>
  <c r="R108" i="2"/>
  <c r="R588" i="2" s="1"/>
  <c r="R107" i="2"/>
  <c r="R587" i="2" s="1"/>
  <c r="R106" i="2"/>
  <c r="R105" i="2"/>
  <c r="R104" i="2"/>
  <c r="R584" i="2" s="1"/>
  <c r="R103" i="2"/>
  <c r="R583" i="2" s="1"/>
  <c r="R102" i="2"/>
  <c r="R101" i="2"/>
  <c r="R581" i="2" s="1"/>
  <c r="R100" i="2"/>
  <c r="R580" i="2" s="1"/>
  <c r="R99" i="2"/>
  <c r="R579" i="2" s="1"/>
  <c r="R98" i="2"/>
  <c r="R578" i="2" s="1"/>
  <c r="R97" i="2"/>
  <c r="R96" i="2"/>
  <c r="R576" i="2" s="1"/>
  <c r="R95" i="2"/>
  <c r="R575" i="2" s="1"/>
  <c r="R94" i="2"/>
  <c r="R93" i="2"/>
  <c r="R92" i="2"/>
  <c r="R572" i="2" s="1"/>
  <c r="R91" i="2"/>
  <c r="R571" i="2" s="1"/>
  <c r="R90" i="2"/>
  <c r="R89" i="2"/>
  <c r="R569" i="2" s="1"/>
  <c r="R88" i="2"/>
  <c r="R568" i="2" s="1"/>
  <c r="R87" i="2"/>
  <c r="R567" i="2" s="1"/>
  <c r="R86" i="2"/>
  <c r="R566" i="2" s="1"/>
  <c r="R85" i="2"/>
  <c r="R84" i="2"/>
  <c r="R83" i="2"/>
  <c r="R563" i="2" s="1"/>
  <c r="R82" i="2"/>
  <c r="R81" i="2"/>
  <c r="R80" i="2"/>
  <c r="R560" i="2" s="1"/>
  <c r="R79" i="2"/>
  <c r="R559" i="2" s="1"/>
  <c r="R78" i="2"/>
  <c r="R77" i="2"/>
  <c r="R557" i="2" s="1"/>
  <c r="R76" i="2"/>
  <c r="R556" i="2" s="1"/>
  <c r="R75" i="2"/>
  <c r="R555" i="2" s="1"/>
  <c r="R74" i="2"/>
  <c r="R554" i="2" s="1"/>
  <c r="R73" i="2"/>
  <c r="R72" i="2"/>
  <c r="R71" i="2"/>
  <c r="R551" i="2" s="1"/>
  <c r="R70" i="2"/>
  <c r="R69" i="2"/>
  <c r="R68" i="2"/>
  <c r="R548" i="2" s="1"/>
  <c r="R67" i="2"/>
  <c r="R547" i="2" s="1"/>
  <c r="R66" i="2"/>
  <c r="R65" i="2"/>
  <c r="R545" i="2" s="1"/>
  <c r="R64" i="2"/>
  <c r="R544" i="2" s="1"/>
  <c r="R63" i="2"/>
  <c r="R543" i="2" s="1"/>
  <c r="R62" i="2"/>
  <c r="R542" i="2" s="1"/>
  <c r="R61" i="2"/>
  <c r="R60" i="2"/>
  <c r="R59" i="2"/>
  <c r="R539" i="2" s="1"/>
  <c r="R58" i="2"/>
  <c r="R57" i="2"/>
  <c r="R56" i="2"/>
  <c r="R536" i="2" s="1"/>
  <c r="R55" i="2"/>
  <c r="R535" i="2" s="1"/>
  <c r="R54" i="2"/>
  <c r="R53" i="2"/>
  <c r="R533" i="2" s="1"/>
  <c r="R52" i="2"/>
  <c r="R532" i="2" s="1"/>
  <c r="R51" i="2"/>
  <c r="R531" i="2" s="1"/>
  <c r="R50" i="2"/>
  <c r="R530" i="2" s="1"/>
  <c r="R49" i="2"/>
  <c r="R48" i="2"/>
  <c r="R47" i="2"/>
  <c r="R527" i="2" s="1"/>
  <c r="R46" i="2"/>
  <c r="R45" i="2"/>
  <c r="R44" i="2"/>
  <c r="R524" i="2" s="1"/>
  <c r="R43" i="2"/>
  <c r="R523" i="2" s="1"/>
  <c r="R42" i="2"/>
  <c r="R41" i="2"/>
  <c r="R521" i="2" s="1"/>
  <c r="R40" i="2"/>
  <c r="R520" i="2" s="1"/>
  <c r="R39" i="2"/>
  <c r="R519" i="2" s="1"/>
  <c r="R38" i="2"/>
  <c r="R518" i="2" s="1"/>
  <c r="R37" i="2"/>
  <c r="R36" i="2"/>
  <c r="R35" i="2"/>
  <c r="R515" i="2" s="1"/>
  <c r="R34" i="2"/>
  <c r="R33" i="2"/>
  <c r="R32" i="2"/>
  <c r="R512" i="2" s="1"/>
  <c r="R31" i="2"/>
  <c r="R511" i="2" s="1"/>
  <c r="R30" i="2"/>
  <c r="R29" i="2"/>
  <c r="R509" i="2" s="1"/>
  <c r="R28" i="2"/>
  <c r="R508" i="2" s="1"/>
  <c r="R27" i="2"/>
  <c r="R507" i="2" s="1"/>
  <c r="R26" i="2"/>
  <c r="R506" i="2" s="1"/>
  <c r="R25" i="2"/>
  <c r="R24" i="2"/>
  <c r="R23" i="2"/>
  <c r="R503" i="2" s="1"/>
  <c r="R22" i="2"/>
  <c r="R21" i="2"/>
  <c r="R20" i="2"/>
  <c r="R500" i="2" s="1"/>
  <c r="R19" i="2"/>
  <c r="R499" i="2" s="1"/>
  <c r="R18" i="2"/>
  <c r="R17" i="2"/>
  <c r="R497" i="2" s="1"/>
  <c r="R16" i="2"/>
  <c r="R496" i="2" s="1"/>
  <c r="R15" i="2"/>
  <c r="R495" i="2" s="1"/>
  <c r="R14" i="2"/>
  <c r="R494" i="2" s="1"/>
  <c r="R13" i="2"/>
  <c r="R12" i="2"/>
  <c r="R11" i="2"/>
  <c r="R491" i="2" s="1"/>
  <c r="R10" i="2"/>
  <c r="R9" i="2"/>
  <c r="R8" i="2"/>
  <c r="R488" i="2" s="1"/>
  <c r="R7" i="2"/>
  <c r="R487" i="2" s="1"/>
  <c r="R6" i="2"/>
  <c r="R5" i="2"/>
  <c r="R485" i="2" s="1"/>
  <c r="R4" i="2"/>
  <c r="R484" i="2" s="1"/>
  <c r="Q29" i="7" l="1"/>
  <c r="Q96" i="7"/>
  <c r="Q23" i="7"/>
  <c r="Q59" i="7"/>
  <c r="Q97" i="7"/>
  <c r="Q14" i="7"/>
  <c r="Q50" i="7"/>
  <c r="Q120" i="7"/>
  <c r="Q11" i="7"/>
  <c r="Q47" i="7"/>
  <c r="Q5" i="7"/>
  <c r="Q41" i="7"/>
  <c r="Q77" i="7"/>
  <c r="Q2" i="7"/>
  <c r="Q38" i="7"/>
  <c r="Q74" i="7"/>
  <c r="Q95" i="7"/>
  <c r="Q35" i="7"/>
  <c r="Q92" i="7"/>
  <c r="Q85" i="7"/>
  <c r="Q121" i="7"/>
  <c r="J4" i="10"/>
  <c r="J20" i="10"/>
  <c r="J36" i="10"/>
  <c r="J52" i="10"/>
  <c r="J68" i="10"/>
  <c r="J84" i="10"/>
  <c r="J100" i="10"/>
  <c r="J116" i="10"/>
  <c r="Q118" i="7"/>
  <c r="J15" i="10"/>
  <c r="J31" i="10"/>
  <c r="J47" i="10"/>
  <c r="J63" i="10"/>
  <c r="J79" i="10"/>
  <c r="J95" i="10"/>
  <c r="J111" i="10"/>
  <c r="Q112" i="7"/>
  <c r="Q109" i="7"/>
  <c r="J11" i="10"/>
  <c r="J27" i="10"/>
  <c r="J43" i="10"/>
  <c r="J59" i="10"/>
  <c r="J75" i="10"/>
  <c r="J91" i="10"/>
  <c r="J107" i="10"/>
  <c r="J118" i="10"/>
  <c r="J17" i="10"/>
  <c r="J33" i="10"/>
  <c r="J49" i="10"/>
  <c r="J65" i="10"/>
  <c r="J81" i="10"/>
  <c r="J97" i="10"/>
  <c r="J113" i="10"/>
  <c r="Q100" i="7"/>
  <c r="J7" i="10"/>
  <c r="J23" i="10"/>
  <c r="J39" i="10"/>
  <c r="J55" i="10"/>
  <c r="J71" i="10"/>
  <c r="J87" i="10"/>
  <c r="J103" i="10"/>
  <c r="Q94" i="7"/>
  <c r="J8" i="10"/>
  <c r="J24" i="10"/>
  <c r="J40" i="10"/>
  <c r="J56" i="10"/>
  <c r="J72" i="10"/>
  <c r="J88" i="10"/>
  <c r="J104" i="10"/>
  <c r="Q88" i="7"/>
  <c r="J105" i="10"/>
</calcChain>
</file>

<file path=xl/comments1.xml><?xml version="1.0" encoding="utf-8"?>
<comments xmlns="http://schemas.openxmlformats.org/spreadsheetml/2006/main">
  <authors>
    <author>Administrator</author>
    <author>User</author>
    <author>Windows 用户</author>
  </authors>
  <commentList>
    <comment ref="E3" authorId="0" shapeId="0">
      <text>
        <r>
          <rPr>
            <b/>
            <sz val="9"/>
            <rFont val="宋体"/>
            <charset val="134"/>
          </rPr>
          <t>Administrator:
1=金币副本
2=铸造锤副本
3=钻石副本
4=英雄经验副本
5=宠物材料副本
6=宠物技能书副本
7=神器副本
8=圣物副本</t>
        </r>
      </text>
    </comment>
    <comment ref="G3" authorId="1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怪物组ID|怪物组ID</t>
        </r>
      </text>
    </comment>
    <comment ref="H3" authorId="0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1=物理伤害
2=法术伤害
3=道术伤害</t>
        </r>
      </text>
    </comment>
    <comment ref="T3" authorId="2" shapeId="0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当副本类型为5时，通关奖励为章节ID掉落的符石+符石数量</t>
        </r>
      </text>
    </comment>
  </commentList>
</comments>
</file>

<file path=xl/sharedStrings.xml><?xml version="1.0" encoding="utf-8"?>
<sst xmlns="http://schemas.openxmlformats.org/spreadsheetml/2006/main" count="3829" uniqueCount="1164">
  <si>
    <t>Id</t>
  </si>
  <si>
    <t>Name_Note</t>
  </si>
  <si>
    <t>Name</t>
  </si>
  <si>
    <t>Name_param</t>
  </si>
  <si>
    <t>Type</t>
  </si>
  <si>
    <t>Stage</t>
  </si>
  <si>
    <t>MonsterData</t>
  </si>
  <si>
    <t>HarmType</t>
  </si>
  <si>
    <t>EntryNumber</t>
  </si>
  <si>
    <t>EntryGroup</t>
  </si>
  <si>
    <t>PhysicalAtk</t>
  </si>
  <si>
    <t>MagicAtk</t>
  </si>
  <si>
    <t>SorceryAtk</t>
  </si>
  <si>
    <t>PhysicalDef</t>
  </si>
  <si>
    <t>MagicDef</t>
  </si>
  <si>
    <t>SorceryDef</t>
  </si>
  <si>
    <t>Hp</t>
  </si>
  <si>
    <t>Reply</t>
  </si>
  <si>
    <t>Time</t>
  </si>
  <si>
    <t>PassReward</t>
  </si>
  <si>
    <t>Int</t>
  </si>
  <si>
    <t>String</t>
  </si>
  <si>
    <t>ArrayInt</t>
  </si>
  <si>
    <t>int</t>
  </si>
  <si>
    <t>关卡ID</t>
  </si>
  <si>
    <t>&lt;c&gt;关卡名称</t>
  </si>
  <si>
    <t>关卡名称</t>
  </si>
  <si>
    <t>关卡名称参数</t>
  </si>
  <si>
    <t>副本type</t>
  </si>
  <si>
    <t>副本关数</t>
  </si>
  <si>
    <t>关卡刷怪数据</t>
  </si>
  <si>
    <t>伤害类型</t>
  </si>
  <si>
    <t>词条数量</t>
  </si>
  <si>
    <t>词条组</t>
  </si>
  <si>
    <t>物理伤害</t>
  </si>
  <si>
    <t>魔法伤害</t>
  </si>
  <si>
    <t>道术伤害</t>
  </si>
  <si>
    <t>物理防御</t>
  </si>
  <si>
    <t>魔法防御</t>
  </si>
  <si>
    <t>道术防御</t>
  </si>
  <si>
    <t>生命值</t>
  </si>
  <si>
    <t>生命恢复</t>
  </si>
  <si>
    <t>通关时间</t>
  </si>
  <si>
    <t>通关奖励</t>
  </si>
  <si>
    <t>金币副本lv.1</t>
  </si>
  <si>
    <t>DungeonStage_Name_30001</t>
  </si>
  <si>
    <t>2000,408960</t>
  </si>
  <si>
    <t>金币副本lv.2</t>
  </si>
  <si>
    <t>2000,442800</t>
  </si>
  <si>
    <t>金币副本lv.3</t>
  </si>
  <si>
    <t>2000,461520</t>
  </si>
  <si>
    <t>金币副本lv.4</t>
  </si>
  <si>
    <t>金币副本lv.5</t>
  </si>
  <si>
    <t>2000,465120</t>
  </si>
  <si>
    <t>金币副本lv.6</t>
  </si>
  <si>
    <t>金币副本lv.7</t>
  </si>
  <si>
    <t>金币副本lv.8</t>
  </si>
  <si>
    <t>金币副本lv.9</t>
  </si>
  <si>
    <t>2000,697680</t>
  </si>
  <si>
    <t>金币副本lv.10</t>
  </si>
  <si>
    <t>金币副本lv.11</t>
  </si>
  <si>
    <t>金币副本lv.12</t>
  </si>
  <si>
    <t>金币副本lv.13</t>
  </si>
  <si>
    <t>金币副本lv.14</t>
  </si>
  <si>
    <t>金币副本lv.15</t>
  </si>
  <si>
    <t>2000,708840</t>
  </si>
  <si>
    <t>金币副本lv.16</t>
  </si>
  <si>
    <t>金币副本lv.17</t>
  </si>
  <si>
    <t>2000,997200</t>
  </si>
  <si>
    <t>金币副本lv.18</t>
  </si>
  <si>
    <t>金币副本lv.19</t>
  </si>
  <si>
    <t>2000,1001160</t>
  </si>
  <si>
    <t>金币副本lv.20</t>
  </si>
  <si>
    <t>金币副本lv.21</t>
  </si>
  <si>
    <t>2000,1057320</t>
  </si>
  <si>
    <t>金币副本lv.22</t>
  </si>
  <si>
    <t>金币副本lv.23</t>
  </si>
  <si>
    <t>2000,1060920</t>
  </si>
  <si>
    <t>金币副本lv.24</t>
  </si>
  <si>
    <t>金币副本lv.25</t>
  </si>
  <si>
    <t>2000,1493280</t>
  </si>
  <si>
    <t>金币副本lv.26</t>
  </si>
  <si>
    <t>金币副本lv.27</t>
  </si>
  <si>
    <t>2000,1498320</t>
  </si>
  <si>
    <t>金币副本lv.28</t>
  </si>
  <si>
    <t>金币副本lv.29</t>
  </si>
  <si>
    <t>2000,1521720</t>
  </si>
  <si>
    <t>金币副本lv.30</t>
  </si>
  <si>
    <t>金币副本lv.31</t>
  </si>
  <si>
    <t>2000,1526400</t>
  </si>
  <si>
    <t>金币副本lv.32</t>
  </si>
  <si>
    <t>金币副本lv.33</t>
  </si>
  <si>
    <t>2000,1859760</t>
  </si>
  <si>
    <t>金币副本lv.34</t>
  </si>
  <si>
    <t>金币副本lv.35</t>
  </si>
  <si>
    <t>2000,1865520</t>
  </si>
  <si>
    <t>金币副本lv.36</t>
  </si>
  <si>
    <t>金币副本lv.37</t>
  </si>
  <si>
    <t>2000,1893600</t>
  </si>
  <si>
    <t>金币副本lv.38</t>
  </si>
  <si>
    <t>金币副本lv.39</t>
  </si>
  <si>
    <t>2000,1899000</t>
  </si>
  <si>
    <t>金币副本lv.40</t>
  </si>
  <si>
    <t>金币副本lv.41</t>
  </si>
  <si>
    <t>2000,2336760</t>
  </si>
  <si>
    <t>金币副本lv.42</t>
  </si>
  <si>
    <t>金币副本lv.43</t>
  </si>
  <si>
    <t>2000,2343240</t>
  </si>
  <si>
    <t>金币副本lv.44</t>
  </si>
  <si>
    <t>金币副本lv.45</t>
  </si>
  <si>
    <t>2000,2376000</t>
  </si>
  <si>
    <t>金币副本lv.46</t>
  </si>
  <si>
    <t>金币副本lv.47</t>
  </si>
  <si>
    <t>2000,2382840</t>
  </si>
  <si>
    <t>金币副本lv.48</t>
  </si>
  <si>
    <t>金币副本lv.49</t>
  </si>
  <si>
    <t>2000,2415600</t>
  </si>
  <si>
    <t>金币副本lv.50</t>
  </si>
  <si>
    <t>金币副本lv.51</t>
  </si>
  <si>
    <t>2000,2422080</t>
  </si>
  <si>
    <t>金币副本lv.52</t>
  </si>
  <si>
    <t>金币副本lv.53</t>
  </si>
  <si>
    <t>2000,3110040</t>
  </si>
  <si>
    <t>金币副本lv.54</t>
  </si>
  <si>
    <t>金币副本lv.55</t>
  </si>
  <si>
    <t>2000,3117600</t>
  </si>
  <si>
    <t>金币副本lv.56</t>
  </si>
  <si>
    <t>金币副本lv.57</t>
  </si>
  <si>
    <t>2000,3155400</t>
  </si>
  <si>
    <t>金币副本lv.58</t>
  </si>
  <si>
    <t>金币副本lv.59</t>
  </si>
  <si>
    <t>2000,3162960</t>
  </si>
  <si>
    <t>金币副本lv.60</t>
  </si>
  <si>
    <t>金币副本lv.61</t>
  </si>
  <si>
    <t>2000,3248640</t>
  </si>
  <si>
    <t>金币副本lv.62</t>
  </si>
  <si>
    <t>金币副本lv.63</t>
  </si>
  <si>
    <t>2000,3256200</t>
  </si>
  <si>
    <t>金币副本lv.64</t>
  </si>
  <si>
    <t>金币副本lv.65</t>
  </si>
  <si>
    <t>2000,3705480</t>
  </si>
  <si>
    <t>金币副本lv.66</t>
  </si>
  <si>
    <t>金币副本lv.67</t>
  </si>
  <si>
    <t>2000,3714120</t>
  </si>
  <si>
    <t>金币副本lv.68</t>
  </si>
  <si>
    <t>金币副本lv.69</t>
  </si>
  <si>
    <t>2000,3756600</t>
  </si>
  <si>
    <t>金币副本lv.70</t>
  </si>
  <si>
    <t>金币副本lv.71</t>
  </si>
  <si>
    <t>2000,3764880</t>
  </si>
  <si>
    <t>金币副本lv.72</t>
  </si>
  <si>
    <t>金币副本lv.73</t>
  </si>
  <si>
    <t>2000,3807360</t>
  </si>
  <si>
    <t>金币副本lv.74</t>
  </si>
  <si>
    <t>金币副本lv.75</t>
  </si>
  <si>
    <t>2000,3815640</t>
  </si>
  <si>
    <t>金币副本lv.76</t>
  </si>
  <si>
    <t>金币副本lv.77</t>
  </si>
  <si>
    <t>2000,4294080</t>
  </si>
  <si>
    <t>金币副本lv.78</t>
  </si>
  <si>
    <t>金币副本lv.79</t>
  </si>
  <si>
    <t>2000,4303800</t>
  </si>
  <si>
    <t>金币副本lv.80</t>
  </si>
  <si>
    <t>金币副本lv.81</t>
  </si>
  <si>
    <t>2000,4554000</t>
  </si>
  <si>
    <t>金币副本lv.82</t>
  </si>
  <si>
    <t>金币副本lv.83</t>
  </si>
  <si>
    <t>2000,4563360</t>
  </si>
  <si>
    <t>金币副本lv.84</t>
  </si>
  <si>
    <t>金币副本lv.85</t>
  </si>
  <si>
    <t>2000,4610520</t>
  </si>
  <si>
    <t>金币副本lv.86</t>
  </si>
  <si>
    <t>金币副本lv.87</t>
  </si>
  <si>
    <t>2000,4619880</t>
  </si>
  <si>
    <t>金币副本lv.88</t>
  </si>
  <si>
    <t>金币副本lv.89</t>
  </si>
  <si>
    <t>2000,5773320</t>
  </si>
  <si>
    <t>金币副本lv.90</t>
  </si>
  <si>
    <t>金币副本lv.91</t>
  </si>
  <si>
    <t>2000,5783760</t>
  </si>
  <si>
    <t>金币副本lv.92</t>
  </si>
  <si>
    <t>金币副本lv.93</t>
  </si>
  <si>
    <t>2000,5835600</t>
  </si>
  <si>
    <t>金币副本lv.94</t>
  </si>
  <si>
    <t>金币副本lv.95</t>
  </si>
  <si>
    <t>2000,5846040</t>
  </si>
  <si>
    <t>金币副本lv.96</t>
  </si>
  <si>
    <t>金币副本lv.97</t>
  </si>
  <si>
    <t>2000,5897880</t>
  </si>
  <si>
    <t>金币副本lv.98</t>
  </si>
  <si>
    <t>金币副本lv.99</t>
  </si>
  <si>
    <t>2000,5908320</t>
  </si>
  <si>
    <t>金币副本lv.100</t>
  </si>
  <si>
    <t>金币副本lv.101</t>
  </si>
  <si>
    <t>2000,6501960</t>
  </si>
  <si>
    <t>金币副本lv.102</t>
  </si>
  <si>
    <t>金币副本lv.103</t>
  </si>
  <si>
    <t>2000,6513120</t>
  </si>
  <si>
    <t>金币副本lv.104</t>
  </si>
  <si>
    <t>金币副本lv.105</t>
  </si>
  <si>
    <t>2000,6570000</t>
  </si>
  <si>
    <t>金币副本lv.106</t>
  </si>
  <si>
    <t>金币副本lv.107</t>
  </si>
  <si>
    <t>2000,6581520</t>
  </si>
  <si>
    <t>金币副本lv.108</t>
  </si>
  <si>
    <t>金币副本lv.109</t>
  </si>
  <si>
    <t>2000,6638040</t>
  </si>
  <si>
    <t>金币副本lv.110</t>
  </si>
  <si>
    <t>金币副本lv.111</t>
  </si>
  <si>
    <t>2000,6649560</t>
  </si>
  <si>
    <t>金币副本lv.112</t>
  </si>
  <si>
    <t>金币副本lv.113</t>
  </si>
  <si>
    <t>2000,8247960</t>
  </si>
  <si>
    <t>金币副本lv.114</t>
  </si>
  <si>
    <t>金币副本lv.115</t>
  </si>
  <si>
    <t>2000,8260200</t>
  </si>
  <si>
    <t>金币副本lv.116</t>
  </si>
  <si>
    <t>金币副本lv.117</t>
  </si>
  <si>
    <t>2000,8321760</t>
  </si>
  <si>
    <t>金币副本lv.118</t>
  </si>
  <si>
    <t>金币副本lv.119</t>
  </si>
  <si>
    <t>2000,8334000</t>
  </si>
  <si>
    <t>金币副本lv.120</t>
  </si>
  <si>
    <t>铸造副本lv.1</t>
  </si>
  <si>
    <t>DungeonStage_Name_10001</t>
  </si>
  <si>
    <t>10000001,8</t>
  </si>
  <si>
    <t>铸造副本lv.2</t>
  </si>
  <si>
    <t>铸造副本lv.3</t>
  </si>
  <si>
    <t>铸造副本lv.4</t>
  </si>
  <si>
    <t>铸造副本lv.5</t>
  </si>
  <si>
    <t>10000001,9</t>
  </si>
  <si>
    <t>铸造副本lv.6</t>
  </si>
  <si>
    <t>铸造副本lv.7</t>
  </si>
  <si>
    <t>铸造副本lv.8</t>
  </si>
  <si>
    <t>铸造副本lv.9</t>
  </si>
  <si>
    <t>10000001,10</t>
  </si>
  <si>
    <t>铸造副本lv.10</t>
  </si>
  <si>
    <t>铸造副本lv.11</t>
  </si>
  <si>
    <t>铸造副本lv.12</t>
  </si>
  <si>
    <t>铸造副本lv.13</t>
  </si>
  <si>
    <t>10000001,11</t>
  </si>
  <si>
    <t>铸造副本lv.14</t>
  </si>
  <si>
    <t>铸造副本lv.15</t>
  </si>
  <si>
    <t>铸造副本lv.16</t>
  </si>
  <si>
    <t>铸造副本lv.17</t>
  </si>
  <si>
    <t>10000001,12</t>
  </si>
  <si>
    <t>铸造副本lv.18</t>
  </si>
  <si>
    <t>铸造副本lv.19</t>
  </si>
  <si>
    <t>铸造副本lv.20</t>
  </si>
  <si>
    <t>铸造副本lv.21</t>
  </si>
  <si>
    <t>10000001,13</t>
  </si>
  <si>
    <t>铸造副本lv.22</t>
  </si>
  <si>
    <t>铸造副本lv.23</t>
  </si>
  <si>
    <t>铸造副本lv.24</t>
  </si>
  <si>
    <t>铸造副本lv.25</t>
  </si>
  <si>
    <t>10000001,14</t>
  </si>
  <si>
    <t>铸造副本lv.26</t>
  </si>
  <si>
    <t>铸造副本lv.27</t>
  </si>
  <si>
    <t>铸造副本lv.28</t>
  </si>
  <si>
    <t>铸造副本lv.29</t>
  </si>
  <si>
    <t>10000001,15</t>
  </si>
  <si>
    <t>铸造副本lv.30</t>
  </si>
  <si>
    <t>铸造副本lv.31</t>
  </si>
  <si>
    <t>铸造副本lv.32</t>
  </si>
  <si>
    <t>铸造副本lv.33</t>
  </si>
  <si>
    <t>10000001,16</t>
  </si>
  <si>
    <t>铸造副本lv.34</t>
  </si>
  <si>
    <t>铸造副本lv.35</t>
  </si>
  <si>
    <t>铸造副本lv.36</t>
  </si>
  <si>
    <t>铸造副本lv.37</t>
  </si>
  <si>
    <t>10000001,17</t>
  </si>
  <si>
    <t>铸造副本lv.38</t>
  </si>
  <si>
    <t>铸造副本lv.39</t>
  </si>
  <si>
    <t>铸造副本lv.40</t>
  </si>
  <si>
    <t>铸造副本lv.41</t>
  </si>
  <si>
    <t>10000001,18</t>
  </si>
  <si>
    <t>铸造副本lv.42</t>
  </si>
  <si>
    <t>铸造副本lv.43</t>
  </si>
  <si>
    <t>铸造副本lv.44</t>
  </si>
  <si>
    <t>铸造副本lv.45</t>
  </si>
  <si>
    <t>10000001,19</t>
  </si>
  <si>
    <t>铸造副本lv.46</t>
  </si>
  <si>
    <t>铸造副本lv.47</t>
  </si>
  <si>
    <t>铸造副本lv.48</t>
  </si>
  <si>
    <t>铸造副本lv.49</t>
  </si>
  <si>
    <t>10000001,20</t>
  </si>
  <si>
    <t>铸造副本lv.50</t>
  </si>
  <si>
    <t>铸造副本lv.51</t>
  </si>
  <si>
    <t>铸造副本lv.52</t>
  </si>
  <si>
    <t>铸造副本lv.53</t>
  </si>
  <si>
    <t>10000001,21</t>
  </si>
  <si>
    <t>铸造副本lv.54</t>
  </si>
  <si>
    <t>铸造副本lv.55</t>
  </si>
  <si>
    <t>铸造副本lv.56</t>
  </si>
  <si>
    <t>铸造副本lv.57</t>
  </si>
  <si>
    <t>10000001,22</t>
  </si>
  <si>
    <t>铸造副本lv.58</t>
  </si>
  <si>
    <t>铸造副本lv.59</t>
  </si>
  <si>
    <t>铸造副本lv.60</t>
  </si>
  <si>
    <t>铸造副本lv.61</t>
  </si>
  <si>
    <t>10000001,23</t>
  </si>
  <si>
    <t>铸造副本lv.62</t>
  </si>
  <si>
    <t>铸造副本lv.63</t>
  </si>
  <si>
    <t>铸造副本lv.64</t>
  </si>
  <si>
    <t>铸造副本lv.65</t>
  </si>
  <si>
    <t>10000001,24</t>
  </si>
  <si>
    <t>铸造副本lv.66</t>
  </si>
  <si>
    <t>铸造副本lv.67</t>
  </si>
  <si>
    <t>铸造副本lv.68</t>
  </si>
  <si>
    <t>铸造副本lv.69</t>
  </si>
  <si>
    <t>10000001,25</t>
  </si>
  <si>
    <t>铸造副本lv.70</t>
  </si>
  <si>
    <t>铸造副本lv.71</t>
  </si>
  <si>
    <t>铸造副本lv.72</t>
  </si>
  <si>
    <t>铸造副本lv.73</t>
  </si>
  <si>
    <t>10000001,26</t>
  </si>
  <si>
    <t>铸造副本lv.74</t>
  </si>
  <si>
    <t>铸造副本lv.75</t>
  </si>
  <si>
    <t>铸造副本lv.76</t>
  </si>
  <si>
    <t>铸造副本lv.77</t>
  </si>
  <si>
    <t>10000001,27</t>
  </si>
  <si>
    <t>铸造副本lv.78</t>
  </si>
  <si>
    <t>铸造副本lv.79</t>
  </si>
  <si>
    <t>铸造副本lv.80</t>
  </si>
  <si>
    <t>铸造副本lv.81</t>
  </si>
  <si>
    <t>10000001,28</t>
  </si>
  <si>
    <t>铸造副本lv.82</t>
  </si>
  <si>
    <t>铸造副本lv.83</t>
  </si>
  <si>
    <t>铸造副本lv.84</t>
  </si>
  <si>
    <t>铸造副本lv.85</t>
  </si>
  <si>
    <t>10000001,29</t>
  </si>
  <si>
    <t>铸造副本lv.86</t>
  </si>
  <si>
    <t>铸造副本lv.87</t>
  </si>
  <si>
    <t>铸造副本lv.88</t>
  </si>
  <si>
    <t>铸造副本lv.89</t>
  </si>
  <si>
    <t>10000001,30</t>
  </si>
  <si>
    <t>铸造副本lv.90</t>
  </si>
  <si>
    <t>铸造副本lv.91</t>
  </si>
  <si>
    <t>铸造副本lv.92</t>
  </si>
  <si>
    <t>铸造副本lv.93</t>
  </si>
  <si>
    <t>10000001,31</t>
  </si>
  <si>
    <t>铸造副本lv.94</t>
  </si>
  <si>
    <t>铸造副本lv.95</t>
  </si>
  <si>
    <t>铸造副本lv.96</t>
  </si>
  <si>
    <t>铸造副本lv.97</t>
  </si>
  <si>
    <t>10000001,32</t>
  </si>
  <si>
    <t>铸造副本lv.98</t>
  </si>
  <si>
    <t>铸造副本lv.99</t>
  </si>
  <si>
    <t>铸造副本lv.100</t>
  </si>
  <si>
    <t>铸造副本lv.101</t>
  </si>
  <si>
    <t>10000001,33</t>
  </si>
  <si>
    <t>铸造副本lv.102</t>
  </si>
  <si>
    <t>铸造副本lv.103</t>
  </si>
  <si>
    <t>铸造副本lv.104</t>
  </si>
  <si>
    <t>铸造副本lv.105</t>
  </si>
  <si>
    <t>10000001,34</t>
  </si>
  <si>
    <t>铸造副本lv.106</t>
  </si>
  <si>
    <t>铸造副本lv.107</t>
  </si>
  <si>
    <t>铸造副本lv.108</t>
  </si>
  <si>
    <t>铸造副本lv.109</t>
  </si>
  <si>
    <t>10000001,35</t>
  </si>
  <si>
    <t>铸造副本lv.110</t>
  </si>
  <si>
    <t>铸造副本lv.111</t>
  </si>
  <si>
    <t>铸造副本lv.112</t>
  </si>
  <si>
    <t>铸造副本lv.113</t>
  </si>
  <si>
    <t>10000001,36</t>
  </si>
  <si>
    <t>铸造副本lv.114</t>
  </si>
  <si>
    <t>铸造副本lv.115</t>
  </si>
  <si>
    <t>铸造副本lv.116</t>
  </si>
  <si>
    <t>铸造副本lv.117</t>
  </si>
  <si>
    <t>10000001,37</t>
  </si>
  <si>
    <t>铸造副本lv.118</t>
  </si>
  <si>
    <t>铸造副本lv.119</t>
  </si>
  <si>
    <t>铸造副本lv.120</t>
  </si>
  <si>
    <t>钻石副本lv.1</t>
  </si>
  <si>
    <t>DungeonStage_Name_20001</t>
  </si>
  <si>
    <t>1000,300</t>
  </si>
  <si>
    <t>钻石副本lv.2</t>
  </si>
  <si>
    <t>钻石副本lv.3</t>
  </si>
  <si>
    <t>钻石副本lv.4</t>
  </si>
  <si>
    <t>钻石副本lv.5</t>
  </si>
  <si>
    <t>1000,310</t>
  </si>
  <si>
    <t>钻石副本lv.6</t>
  </si>
  <si>
    <t>钻石副本lv.7</t>
  </si>
  <si>
    <t>钻石副本lv.8</t>
  </si>
  <si>
    <t>钻石副本lv.9</t>
  </si>
  <si>
    <t>1000,320</t>
  </si>
  <si>
    <t>钻石副本lv.10</t>
  </si>
  <si>
    <t>钻石副本lv.11</t>
  </si>
  <si>
    <t>钻石副本lv.12</t>
  </si>
  <si>
    <t>钻石副本lv.13</t>
  </si>
  <si>
    <t>1000,330</t>
  </si>
  <si>
    <t>钻石副本lv.14</t>
  </si>
  <si>
    <t>钻石副本lv.15</t>
  </si>
  <si>
    <t>钻石副本lv.16</t>
  </si>
  <si>
    <t>钻石副本lv.17</t>
  </si>
  <si>
    <t>1000,340</t>
  </si>
  <si>
    <t>钻石副本lv.18</t>
  </si>
  <si>
    <t>钻石副本lv.19</t>
  </si>
  <si>
    <t>钻石副本lv.20</t>
  </si>
  <si>
    <t>钻石副本lv.21</t>
  </si>
  <si>
    <t>1000,350</t>
  </si>
  <si>
    <t>钻石副本lv.22</t>
  </si>
  <si>
    <t>钻石副本lv.23</t>
  </si>
  <si>
    <t>钻石副本lv.24</t>
  </si>
  <si>
    <t>钻石副本lv.25</t>
  </si>
  <si>
    <t>1000,360</t>
  </si>
  <si>
    <t>钻石副本lv.26</t>
  </si>
  <si>
    <t>钻石副本lv.27</t>
  </si>
  <si>
    <t>钻石副本lv.28</t>
  </si>
  <si>
    <t>钻石副本lv.29</t>
  </si>
  <si>
    <t>1000,370</t>
  </si>
  <si>
    <t>钻石副本lv.30</t>
  </si>
  <si>
    <t>钻石副本lv.31</t>
  </si>
  <si>
    <t>钻石副本lv.32</t>
  </si>
  <si>
    <t>钻石副本lv.33</t>
  </si>
  <si>
    <t>1000,380</t>
  </si>
  <si>
    <t>钻石副本lv.34</t>
  </si>
  <si>
    <t>钻石副本lv.35</t>
  </si>
  <si>
    <t>钻石副本lv.36</t>
  </si>
  <si>
    <t>钻石副本lv.37</t>
  </si>
  <si>
    <t>1000,390</t>
  </si>
  <si>
    <t>钻石副本lv.38</t>
  </si>
  <si>
    <t>钻石副本lv.39</t>
  </si>
  <si>
    <t>钻石副本lv.40</t>
  </si>
  <si>
    <t>钻石副本lv.41</t>
  </si>
  <si>
    <t>1000,400</t>
  </si>
  <si>
    <t>钻石副本lv.42</t>
  </si>
  <si>
    <t>钻石副本lv.43</t>
  </si>
  <si>
    <t>钻石副本lv.44</t>
  </si>
  <si>
    <t>钻石副本lv.45</t>
  </si>
  <si>
    <t>1000,410</t>
  </si>
  <si>
    <t>钻石副本lv.46</t>
  </si>
  <si>
    <t>钻石副本lv.47</t>
  </si>
  <si>
    <t>钻石副本lv.48</t>
  </si>
  <si>
    <t>钻石副本lv.49</t>
  </si>
  <si>
    <t>1000,420</t>
  </si>
  <si>
    <t>钻石副本lv.50</t>
  </si>
  <si>
    <t>钻石副本lv.51</t>
  </si>
  <si>
    <t>钻石副本lv.52</t>
  </si>
  <si>
    <t>钻石副本lv.53</t>
  </si>
  <si>
    <t>1000,430</t>
  </si>
  <si>
    <t>钻石副本lv.54</t>
  </si>
  <si>
    <t>钻石副本lv.55</t>
  </si>
  <si>
    <t>钻石副本lv.56</t>
  </si>
  <si>
    <t>钻石副本lv.57</t>
  </si>
  <si>
    <t>1000,440</t>
  </si>
  <si>
    <t>钻石副本lv.58</t>
  </si>
  <si>
    <t>钻石副本lv.59</t>
  </si>
  <si>
    <t>钻石副本lv.60</t>
  </si>
  <si>
    <t>钻石副本lv.61</t>
  </si>
  <si>
    <t>1000,450</t>
  </si>
  <si>
    <t>钻石副本lv.62</t>
  </si>
  <si>
    <t>钻石副本lv.63</t>
  </si>
  <si>
    <t>钻石副本lv.64</t>
  </si>
  <si>
    <t>钻石副本lv.65</t>
  </si>
  <si>
    <t>1000,460</t>
  </si>
  <si>
    <t>钻石副本lv.66</t>
  </si>
  <si>
    <t>钻石副本lv.67</t>
  </si>
  <si>
    <t>钻石副本lv.68</t>
  </si>
  <si>
    <t>钻石副本lv.69</t>
  </si>
  <si>
    <t>1000,470</t>
  </si>
  <si>
    <t>钻石副本lv.70</t>
  </si>
  <si>
    <t>钻石副本lv.71</t>
  </si>
  <si>
    <t>钻石副本lv.72</t>
  </si>
  <si>
    <t>钻石副本lv.73</t>
  </si>
  <si>
    <t>1000,480</t>
  </si>
  <si>
    <t>钻石副本lv.74</t>
  </si>
  <si>
    <t>钻石副本lv.75</t>
  </si>
  <si>
    <t>钻石副本lv.76</t>
  </si>
  <si>
    <t>钻石副本lv.77</t>
  </si>
  <si>
    <t>1000,490</t>
  </si>
  <si>
    <t>钻石副本lv.78</t>
  </si>
  <si>
    <t>钻石副本lv.79</t>
  </si>
  <si>
    <t>钻石副本lv.80</t>
  </si>
  <si>
    <t>钻石副本lv.81</t>
  </si>
  <si>
    <t>1000,500</t>
  </si>
  <si>
    <t>钻石副本lv.82</t>
  </si>
  <si>
    <t>钻石副本lv.83</t>
  </si>
  <si>
    <t>钻石副本lv.84</t>
  </si>
  <si>
    <t>钻石副本lv.85</t>
  </si>
  <si>
    <t>1000,510</t>
  </si>
  <si>
    <t>钻石副本lv.86</t>
  </si>
  <si>
    <t>钻石副本lv.87</t>
  </si>
  <si>
    <t>钻石副本lv.88</t>
  </si>
  <si>
    <t>钻石副本lv.89</t>
  </si>
  <si>
    <t>1000,520</t>
  </si>
  <si>
    <t>钻石副本lv.90</t>
  </si>
  <si>
    <t>钻石副本lv.91</t>
  </si>
  <si>
    <t>钻石副本lv.92</t>
  </si>
  <si>
    <t>钻石副本lv.93</t>
  </si>
  <si>
    <t>1000,530</t>
  </si>
  <si>
    <t>钻石副本lv.94</t>
  </si>
  <si>
    <t>钻石副本lv.95</t>
  </si>
  <si>
    <t>钻石副本lv.96</t>
  </si>
  <si>
    <t>钻石副本lv.97</t>
  </si>
  <si>
    <t>1000,540</t>
  </si>
  <si>
    <t>钻石副本lv.98</t>
  </si>
  <si>
    <t>钻石副本lv.99</t>
  </si>
  <si>
    <t>钻石副本lv.100</t>
  </si>
  <si>
    <t>钻石副本lv.101</t>
  </si>
  <si>
    <t>1000,550</t>
  </si>
  <si>
    <t>钻石副本lv.102</t>
  </si>
  <si>
    <t>钻石副本lv.103</t>
  </si>
  <si>
    <t>钻石副本lv.104</t>
  </si>
  <si>
    <t>钻石副本lv.105</t>
  </si>
  <si>
    <t>1000,560</t>
  </si>
  <si>
    <t>钻石副本lv.106</t>
  </si>
  <si>
    <t>钻石副本lv.107</t>
  </si>
  <si>
    <t>钻石副本lv.108</t>
  </si>
  <si>
    <t>钻石副本lv.109</t>
  </si>
  <si>
    <t>1000,570</t>
  </si>
  <si>
    <t>钻石副本lv.110</t>
  </si>
  <si>
    <t>钻石副本lv.111</t>
  </si>
  <si>
    <t>钻石副本lv.112</t>
  </si>
  <si>
    <t>钻石副本lv.113</t>
  </si>
  <si>
    <t>1000,580</t>
  </si>
  <si>
    <t>钻石副本lv.114</t>
  </si>
  <si>
    <t>钻石副本lv.115</t>
  </si>
  <si>
    <t>钻石副本lv.116</t>
  </si>
  <si>
    <t>钻石副本lv.117</t>
  </si>
  <si>
    <t>1000,590</t>
  </si>
  <si>
    <t>钻石副本lv.118</t>
  </si>
  <si>
    <t>钻石副本lv.119</t>
  </si>
  <si>
    <t>钻石副本lv.120</t>
  </si>
  <si>
    <t>英雄经验副本lv.1</t>
  </si>
  <si>
    <t>DungeonStage_Name_40001</t>
  </si>
  <si>
    <t>1010001,25|1010002,1</t>
  </si>
  <si>
    <t>英雄经验副本lv.2</t>
  </si>
  <si>
    <t>英雄经验副本lv.3</t>
  </si>
  <si>
    <t>英雄经验副本lv.4</t>
  </si>
  <si>
    <t>英雄经验副本lv.5</t>
  </si>
  <si>
    <t>1010001,26|1010002,1</t>
  </si>
  <si>
    <t>英雄经验副本lv.6</t>
  </si>
  <si>
    <t>英雄经验副本lv.7</t>
  </si>
  <si>
    <t>英雄经验副本lv.8</t>
  </si>
  <si>
    <t>英雄经验副本lv.9</t>
  </si>
  <si>
    <t>1010001,27|1010002,1</t>
  </si>
  <si>
    <t>英雄经验副本lv.10</t>
  </si>
  <si>
    <t>英雄经验副本lv.11</t>
  </si>
  <si>
    <t>英雄经验副本lv.12</t>
  </si>
  <si>
    <t>英雄经验副本lv.13</t>
  </si>
  <si>
    <t>1010001,28|1010002,1</t>
  </si>
  <si>
    <t>英雄经验副本lv.14</t>
  </si>
  <si>
    <t>英雄经验副本lv.15</t>
  </si>
  <si>
    <t>英雄经验副本lv.16</t>
  </si>
  <si>
    <t>英雄经验副本lv.17</t>
  </si>
  <si>
    <t>1010001,29|1010002,1</t>
  </si>
  <si>
    <t>英雄经验副本lv.18</t>
  </si>
  <si>
    <t>英雄经验副本lv.19</t>
  </si>
  <si>
    <t>英雄经验副本lv.20</t>
  </si>
  <si>
    <t>英雄经验副本lv.21</t>
  </si>
  <si>
    <t>1010001,30|1010002,1</t>
  </si>
  <si>
    <t>英雄经验副本lv.22</t>
  </si>
  <si>
    <t>英雄经验副本lv.23</t>
  </si>
  <si>
    <t>英雄经验副本lv.24</t>
  </si>
  <si>
    <t>英雄经验副本lv.25</t>
  </si>
  <si>
    <t>1010001,31|1010002,1</t>
  </si>
  <si>
    <t>英雄经验副本lv.26</t>
  </si>
  <si>
    <t>英雄经验副本lv.27</t>
  </si>
  <si>
    <t>英雄经验副本lv.28</t>
  </si>
  <si>
    <t>英雄经验副本lv.29</t>
  </si>
  <si>
    <t>1010001,32|1010002,1</t>
  </si>
  <si>
    <t>英雄经验副本lv.30</t>
  </si>
  <si>
    <t>英雄经验副本lv.31</t>
  </si>
  <si>
    <t>英雄经验副本lv.32</t>
  </si>
  <si>
    <t>英雄经验副本lv.33</t>
  </si>
  <si>
    <t>1010001,33|1010002,1</t>
  </si>
  <si>
    <t>英雄经验副本lv.34</t>
  </si>
  <si>
    <t>英雄经验副本lv.35</t>
  </si>
  <si>
    <t>英雄经验副本lv.36</t>
  </si>
  <si>
    <t>英雄经验副本lv.37</t>
  </si>
  <si>
    <t>1010001,34|1010002,1</t>
  </si>
  <si>
    <t>英雄经验副本lv.38</t>
  </si>
  <si>
    <t>英雄经验副本lv.39</t>
  </si>
  <si>
    <t>英雄经验副本lv.40</t>
  </si>
  <si>
    <t>英雄经验副本lv.41</t>
  </si>
  <si>
    <t>1010001,35|1010002,1</t>
  </si>
  <si>
    <t>英雄经验副本lv.42</t>
  </si>
  <si>
    <t>英雄经验副本lv.43</t>
  </si>
  <si>
    <t>英雄经验副本lv.44</t>
  </si>
  <si>
    <t>英雄经验副本lv.45</t>
  </si>
  <si>
    <t>1010001,36|1010002,1</t>
  </si>
  <si>
    <t>英雄经验副本lv.46</t>
  </si>
  <si>
    <t>英雄经验副本lv.47</t>
  </si>
  <si>
    <t>英雄经验副本lv.48</t>
  </si>
  <si>
    <t>英雄经验副本lv.49</t>
  </si>
  <si>
    <t>1010001,37|1010002,1</t>
  </si>
  <si>
    <t>英雄经验副本lv.50</t>
  </si>
  <si>
    <t>英雄经验副本lv.51</t>
  </si>
  <si>
    <t>英雄经验副本lv.52</t>
  </si>
  <si>
    <t>英雄经验副本lv.53</t>
  </si>
  <si>
    <t>1010001,38|1010002,1</t>
  </si>
  <si>
    <t>英雄经验副本lv.54</t>
  </si>
  <si>
    <t>英雄经验副本lv.55</t>
  </si>
  <si>
    <t>英雄经验副本lv.56</t>
  </si>
  <si>
    <t>英雄经验副本lv.57</t>
  </si>
  <si>
    <t>1010001,39|1010002,1</t>
  </si>
  <si>
    <t>英雄经验副本lv.58</t>
  </si>
  <si>
    <t>英雄经验副本lv.59</t>
  </si>
  <si>
    <t>英雄经验副本lv.60</t>
  </si>
  <si>
    <t>英雄经验副本lv.61</t>
  </si>
  <si>
    <t>1010001,40|1010002,1</t>
  </si>
  <si>
    <t>英雄经验副本lv.62</t>
  </si>
  <si>
    <t>英雄经验副本lv.63</t>
  </si>
  <si>
    <t>英雄经验副本lv.64</t>
  </si>
  <si>
    <t>英雄经验副本lv.65</t>
  </si>
  <si>
    <t>1010001,41|1010002,1</t>
  </si>
  <si>
    <t>英雄经验副本lv.66</t>
  </si>
  <si>
    <t>英雄经验副本lv.67</t>
  </si>
  <si>
    <t>英雄经验副本lv.68</t>
  </si>
  <si>
    <t>英雄经验副本lv.69</t>
  </si>
  <si>
    <t>1010001,42|1010002,1</t>
  </si>
  <si>
    <t>英雄经验副本lv.70</t>
  </si>
  <si>
    <t>英雄经验副本lv.71</t>
  </si>
  <si>
    <t>英雄经验副本lv.72</t>
  </si>
  <si>
    <t>英雄经验副本lv.73</t>
  </si>
  <si>
    <t>1010001,43|1010002,1</t>
  </si>
  <si>
    <t>英雄经验副本lv.74</t>
  </si>
  <si>
    <t>英雄经验副本lv.75</t>
  </si>
  <si>
    <t>英雄经验副本lv.76</t>
  </si>
  <si>
    <t>英雄经验副本lv.77</t>
  </si>
  <si>
    <t>1010001,44|1010002,1</t>
  </si>
  <si>
    <t>英雄经验副本lv.78</t>
  </si>
  <si>
    <t>英雄经验副本lv.79</t>
  </si>
  <si>
    <t>英雄经验副本lv.80</t>
  </si>
  <si>
    <t>英雄经验副本lv.81</t>
  </si>
  <si>
    <t>1010001,45|1010002,1</t>
  </si>
  <si>
    <t>英雄经验副本lv.82</t>
  </si>
  <si>
    <t>英雄经验副本lv.83</t>
  </si>
  <si>
    <t>英雄经验副本lv.84</t>
  </si>
  <si>
    <t>英雄经验副本lv.85</t>
  </si>
  <si>
    <t>1010001,46|1010002,1</t>
  </si>
  <si>
    <t>英雄经验副本lv.86</t>
  </si>
  <si>
    <t>英雄经验副本lv.87</t>
  </si>
  <si>
    <t>英雄经验副本lv.88</t>
  </si>
  <si>
    <t>英雄经验副本lv.89</t>
  </si>
  <si>
    <t>1010001,47|1010002,1</t>
  </si>
  <si>
    <t>英雄经验副本lv.90</t>
  </si>
  <si>
    <t>英雄经验副本lv.91</t>
  </si>
  <si>
    <t>英雄经验副本lv.92</t>
  </si>
  <si>
    <t>英雄经验副本lv.93</t>
  </si>
  <si>
    <t>1010001,48|1010002,1</t>
  </si>
  <si>
    <t>英雄经验副本lv.94</t>
  </si>
  <si>
    <t>英雄经验副本lv.95</t>
  </si>
  <si>
    <t>英雄经验副本lv.96</t>
  </si>
  <si>
    <t>英雄经验副本lv.97</t>
  </si>
  <si>
    <t>1010001,49|1010002,1</t>
  </si>
  <si>
    <t>英雄经验副本lv.98</t>
  </si>
  <si>
    <t>英雄经验副本lv.99</t>
  </si>
  <si>
    <t>英雄经验副本lv.100</t>
  </si>
  <si>
    <t>英雄经验副本lv.101</t>
  </si>
  <si>
    <t>1010001,50|1010002,1</t>
  </si>
  <si>
    <t>英雄经验副本lv.102</t>
  </si>
  <si>
    <t>英雄经验副本lv.103</t>
  </si>
  <si>
    <t>英雄经验副本lv.104</t>
  </si>
  <si>
    <t>英雄经验副本lv.105</t>
  </si>
  <si>
    <t>1010001,51|1010002,1</t>
  </si>
  <si>
    <t>英雄经验副本lv.106</t>
  </si>
  <si>
    <t>英雄经验副本lv.107</t>
  </si>
  <si>
    <t>英雄经验副本lv.108</t>
  </si>
  <si>
    <t>英雄经验副本lv.109</t>
  </si>
  <si>
    <t>1010001,52|1010002,1</t>
  </si>
  <si>
    <t>英雄经验副本lv.110</t>
  </si>
  <si>
    <t>英雄经验副本lv.111</t>
  </si>
  <si>
    <t>英雄经验副本lv.112</t>
  </si>
  <si>
    <t>英雄经验副本lv.113</t>
  </si>
  <si>
    <t>1010001,53|1010002,1</t>
  </si>
  <si>
    <t>英雄经验副本lv.114</t>
  </si>
  <si>
    <t>英雄经验副本lv.115</t>
  </si>
  <si>
    <t>英雄经验副本lv.116</t>
  </si>
  <si>
    <t>英雄经验副本lv.117</t>
  </si>
  <si>
    <t>1010001,54|1010002,1</t>
  </si>
  <si>
    <t>英雄经验副本lv.118</t>
  </si>
  <si>
    <t>英雄经验副本lv.119</t>
  </si>
  <si>
    <t>英雄经验副本lv.120</t>
  </si>
  <si>
    <t>宠物材料副本lv.1</t>
  </si>
  <si>
    <r>
      <rPr>
        <sz val="11"/>
        <color theme="1"/>
        <rFont val="等线"/>
        <charset val="134"/>
        <scheme val="minor"/>
      </rPr>
      <t>DungeonStage_Name_</t>
    </r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0001</t>
    </r>
  </si>
  <si>
    <t>1010010,4|1010011,8</t>
  </si>
  <si>
    <t>宠物材料副本lv.2</t>
  </si>
  <si>
    <t>宠物材料副本lv.3</t>
  </si>
  <si>
    <t>宠物材料副本lv.4</t>
  </si>
  <si>
    <t>宠物材料副本lv.5</t>
  </si>
  <si>
    <t>宠物材料副本lv.6</t>
  </si>
  <si>
    <t>宠物材料副本lv.7</t>
  </si>
  <si>
    <t>宠物材料副本lv.8</t>
  </si>
  <si>
    <t>宠物材料副本lv.9</t>
  </si>
  <si>
    <t>宠物材料副本lv.10</t>
  </si>
  <si>
    <t>宠物材料副本lv.11</t>
  </si>
  <si>
    <t>宠物材料副本lv.12</t>
  </si>
  <si>
    <t>宠物材料副本lv.13</t>
  </si>
  <si>
    <t>宠物材料副本lv.14</t>
  </si>
  <si>
    <t>宠物材料副本lv.15</t>
  </si>
  <si>
    <t>宠物材料副本lv.16</t>
  </si>
  <si>
    <t>宠物材料副本lv.17</t>
  </si>
  <si>
    <t>宠物材料副本lv.18</t>
  </si>
  <si>
    <t>宠物材料副本lv.19</t>
  </si>
  <si>
    <t>宠物材料副本lv.20</t>
  </si>
  <si>
    <t>宠物材料副本lv.21</t>
  </si>
  <si>
    <t>宠物材料副本lv.22</t>
  </si>
  <si>
    <t>宠物材料副本lv.23</t>
  </si>
  <si>
    <t>宠物材料副本lv.24</t>
  </si>
  <si>
    <t>宠物材料副本lv.25</t>
  </si>
  <si>
    <t>宠物材料副本lv.26</t>
  </si>
  <si>
    <t>宠物材料副本lv.27</t>
  </si>
  <si>
    <t>宠物材料副本lv.28</t>
  </si>
  <si>
    <t>宠物材料副本lv.29</t>
  </si>
  <si>
    <t>宠物材料副本lv.30</t>
  </si>
  <si>
    <t>宠物材料副本lv.31</t>
  </si>
  <si>
    <t>宠物材料副本lv.32</t>
  </si>
  <si>
    <t>宠物材料副本lv.33</t>
  </si>
  <si>
    <t>宠物材料副本lv.34</t>
  </si>
  <si>
    <t>宠物材料副本lv.35</t>
  </si>
  <si>
    <t>宠物材料副本lv.36</t>
  </si>
  <si>
    <t>宠物材料副本lv.37</t>
  </si>
  <si>
    <t>宠物材料副本lv.38</t>
  </si>
  <si>
    <t>宠物材料副本lv.39</t>
  </si>
  <si>
    <t>宠物材料副本lv.40</t>
  </si>
  <si>
    <t>宠物材料副本lv.41</t>
  </si>
  <si>
    <t>宠物材料副本lv.42</t>
  </si>
  <si>
    <t>宠物材料副本lv.43</t>
  </si>
  <si>
    <t>宠物材料副本lv.44</t>
  </si>
  <si>
    <t>宠物材料副本lv.45</t>
  </si>
  <si>
    <t>宠物材料副本lv.46</t>
  </si>
  <si>
    <t>宠物材料副本lv.47</t>
  </si>
  <si>
    <t>宠物材料副本lv.48</t>
  </si>
  <si>
    <t>宠物材料副本lv.49</t>
  </si>
  <si>
    <t>宠物材料副本lv.50</t>
  </si>
  <si>
    <t>宠物材料副本lv.51</t>
  </si>
  <si>
    <t>宠物材料副本lv.52</t>
  </si>
  <si>
    <t>宠物材料副本lv.53</t>
  </si>
  <si>
    <t>宠物材料副本lv.54</t>
  </si>
  <si>
    <t>宠物材料副本lv.55</t>
  </si>
  <si>
    <t>宠物材料副本lv.56</t>
  </si>
  <si>
    <t>宠物材料副本lv.57</t>
  </si>
  <si>
    <t>宠物材料副本lv.58</t>
  </si>
  <si>
    <t>宠物材料副本lv.59</t>
  </si>
  <si>
    <t>宠物材料副本lv.60</t>
  </si>
  <si>
    <t>宠物材料副本lv.61</t>
  </si>
  <si>
    <t>宠物材料副本lv.62</t>
  </si>
  <si>
    <t>宠物材料副本lv.63</t>
  </si>
  <si>
    <t>宠物材料副本lv.64</t>
  </si>
  <si>
    <t>宠物材料副本lv.65</t>
  </si>
  <si>
    <t>宠物材料副本lv.66</t>
  </si>
  <si>
    <t>宠物材料副本lv.67</t>
  </si>
  <si>
    <t>宠物材料副本lv.68</t>
  </si>
  <si>
    <t>宠物材料副本lv.69</t>
  </si>
  <si>
    <t>宠物材料副本lv.70</t>
  </si>
  <si>
    <t>宠物材料副本lv.71</t>
  </si>
  <si>
    <t>宠物材料副本lv.72</t>
  </si>
  <si>
    <t>宠物材料副本lv.73</t>
  </si>
  <si>
    <t>宠物材料副本lv.74</t>
  </si>
  <si>
    <t>宠物材料副本lv.75</t>
  </si>
  <si>
    <t>宠物材料副本lv.76</t>
  </si>
  <si>
    <t>宠物材料副本lv.77</t>
  </si>
  <si>
    <t>宠物材料副本lv.78</t>
  </si>
  <si>
    <t>宠物材料副本lv.79</t>
  </si>
  <si>
    <t>宠物材料副本lv.80</t>
  </si>
  <si>
    <t>宠物材料副本lv.81</t>
  </si>
  <si>
    <t>宠物材料副本lv.82</t>
  </si>
  <si>
    <t>宠物材料副本lv.83</t>
  </si>
  <si>
    <t>宠物材料副本lv.84</t>
  </si>
  <si>
    <t>宠物材料副本lv.85</t>
  </si>
  <si>
    <t>宠物材料副本lv.86</t>
  </si>
  <si>
    <t>宠物材料副本lv.87</t>
  </si>
  <si>
    <t>宠物材料副本lv.88</t>
  </si>
  <si>
    <t>宠物材料副本lv.89</t>
  </si>
  <si>
    <t>宠物材料副本lv.90</t>
  </si>
  <si>
    <t>宠物材料副本lv.91</t>
  </si>
  <si>
    <t>宠物材料副本lv.92</t>
  </si>
  <si>
    <t>宠物材料副本lv.93</t>
  </si>
  <si>
    <t>宠物材料副本lv.94</t>
  </si>
  <si>
    <t>宠物材料副本lv.95</t>
  </si>
  <si>
    <t>宠物材料副本lv.96</t>
  </si>
  <si>
    <t>宠物材料副本lv.97</t>
  </si>
  <si>
    <t>宠物材料副本lv.98</t>
  </si>
  <si>
    <t>宠物材料副本lv.99</t>
  </si>
  <si>
    <t>宠物材料副本lv.100</t>
  </si>
  <si>
    <t>宠物材料副本lv.101</t>
  </si>
  <si>
    <t>宠物材料副本lv.102</t>
  </si>
  <si>
    <t>宠物材料副本lv.103</t>
  </si>
  <si>
    <t>宠物材料副本lv.104</t>
  </si>
  <si>
    <t>宠物材料副本lv.105</t>
  </si>
  <si>
    <t>宠物材料副本lv.106</t>
  </si>
  <si>
    <t>宠物材料副本lv.107</t>
  </si>
  <si>
    <t>宠物材料副本lv.108</t>
  </si>
  <si>
    <t>宠物材料副本lv.109</t>
  </si>
  <si>
    <t>宠物材料副本lv.110</t>
  </si>
  <si>
    <t>宠物材料副本lv.111</t>
  </si>
  <si>
    <t>宠物材料副本lv.112</t>
  </si>
  <si>
    <t>宠物材料副本lv.113</t>
  </si>
  <si>
    <t>宠物材料副本lv.114</t>
  </si>
  <si>
    <t>宠物材料副本lv.115</t>
  </si>
  <si>
    <t>宠物材料副本lv.116</t>
  </si>
  <si>
    <r>
      <rPr>
        <sz val="11"/>
        <color theme="1"/>
        <rFont val="等线"/>
        <charset val="134"/>
        <scheme val="minor"/>
      </rPr>
      <t>DungeonStage_Name_</t>
    </r>
    <r>
      <rPr>
        <sz val="11"/>
        <color theme="1"/>
        <rFont val="等线"/>
        <charset val="134"/>
        <scheme val="minor"/>
      </rPr>
      <t>50001</t>
    </r>
  </si>
  <si>
    <t>宠物材料副本lv.117</t>
  </si>
  <si>
    <t>宠物材料副本lv.118</t>
  </si>
  <si>
    <t>宠物材料副本lv.119</t>
  </si>
  <si>
    <t>宠物材料副本lv.120</t>
  </si>
  <si>
    <t>神器副本lv.1</t>
  </si>
  <si>
    <t>DungeonStage_Name_70001</t>
  </si>
  <si>
    <t>1010006,5|1010007,5|1010008,5|1010009,5</t>
  </si>
  <si>
    <t>神器副本lv.2</t>
  </si>
  <si>
    <t>神器副本lv.3</t>
  </si>
  <si>
    <t>神器副本lv.4</t>
  </si>
  <si>
    <t>神器副本lv.5</t>
  </si>
  <si>
    <t>1010006,6|1010007,6|1010008,6|1010009,6</t>
  </si>
  <si>
    <t>神器副本lv.6</t>
  </si>
  <si>
    <t>神器副本lv.7</t>
  </si>
  <si>
    <t>神器副本lv.8</t>
  </si>
  <si>
    <t>神器副本lv.9</t>
  </si>
  <si>
    <t>1010006,7|1010007,7|1010008,7|1010009,7</t>
  </si>
  <si>
    <t>神器副本lv.10</t>
  </si>
  <si>
    <t>神器副本lv.11</t>
  </si>
  <si>
    <t>神器副本lv.12</t>
  </si>
  <si>
    <t>神器副本lv.13</t>
  </si>
  <si>
    <t>1010006,8|1010007,8|1010008,8|1010009,8</t>
  </si>
  <si>
    <t>神器副本lv.14</t>
  </si>
  <si>
    <t>神器副本lv.15</t>
  </si>
  <si>
    <t>神器副本lv.16</t>
  </si>
  <si>
    <t>神器副本lv.17</t>
  </si>
  <si>
    <t>1010006,9|1010007,9|1010008,9|1010009,9</t>
  </si>
  <si>
    <t>神器副本lv.18</t>
  </si>
  <si>
    <t>神器副本lv.19</t>
  </si>
  <si>
    <t>神器副本lv.20</t>
  </si>
  <si>
    <t>神器副本lv.21</t>
  </si>
  <si>
    <t>1010006,10|1010007,10|1010008,10|1010009,10</t>
  </si>
  <si>
    <t>神器副本lv.22</t>
  </si>
  <si>
    <t>神器副本lv.23</t>
  </si>
  <si>
    <t>神器副本lv.24</t>
  </si>
  <si>
    <t>神器副本lv.25</t>
  </si>
  <si>
    <t>1010006,11|1010007,11|1010008,11|1010009,11</t>
  </si>
  <si>
    <t>神器副本lv.26</t>
  </si>
  <si>
    <t>神器副本lv.27</t>
  </si>
  <si>
    <t>神器副本lv.28</t>
  </si>
  <si>
    <t>神器副本lv.29</t>
  </si>
  <si>
    <t>1010006,12|1010007,12|1010008,12|1010009,12</t>
  </si>
  <si>
    <t>神器副本lv.30</t>
  </si>
  <si>
    <t>神器副本lv.31</t>
  </si>
  <si>
    <t>神器副本lv.32</t>
  </si>
  <si>
    <t>神器副本lv.33</t>
  </si>
  <si>
    <t>1010006,13|1010007,13|1010008,13|1010009,13</t>
  </si>
  <si>
    <t>神器副本lv.34</t>
  </si>
  <si>
    <t>神器副本lv.35</t>
  </si>
  <si>
    <t>神器副本lv.36</t>
  </si>
  <si>
    <t>神器副本lv.37</t>
  </si>
  <si>
    <t>1010006,14|1010007,14|1010008,14|1010009,14</t>
  </si>
  <si>
    <t>神器副本lv.38</t>
  </si>
  <si>
    <t>神器副本lv.39</t>
  </si>
  <si>
    <t>神器副本lv.40</t>
  </si>
  <si>
    <t>神器副本lv.41</t>
  </si>
  <si>
    <t>1010006,15|1010007,15|1010008,15|1010009,15</t>
  </si>
  <si>
    <t>神器副本lv.42</t>
  </si>
  <si>
    <t>神器副本lv.43</t>
  </si>
  <si>
    <t>神器副本lv.44</t>
  </si>
  <si>
    <t>神器副本lv.45</t>
  </si>
  <si>
    <t>1010006,16|1010007,16|1010008,16|1010009,16</t>
  </si>
  <si>
    <t>神器副本lv.46</t>
  </si>
  <si>
    <t>神器副本lv.47</t>
  </si>
  <si>
    <t>神器副本lv.48</t>
  </si>
  <si>
    <t>神器副本lv.49</t>
  </si>
  <si>
    <t>1010006,17|1010007,17|1010008,17|1010009,17</t>
  </si>
  <si>
    <t>神器副本lv.50</t>
  </si>
  <si>
    <t>神器副本lv.51</t>
  </si>
  <si>
    <t>神器副本lv.52</t>
  </si>
  <si>
    <t>神器副本lv.53</t>
  </si>
  <si>
    <t>1010006,18|1010007,18|1010008,18|1010009,18</t>
  </si>
  <si>
    <t>神器副本lv.54</t>
  </si>
  <si>
    <t>神器副本lv.55</t>
  </si>
  <si>
    <t>神器副本lv.56</t>
  </si>
  <si>
    <t>神器副本lv.57</t>
  </si>
  <si>
    <t>1010006,19|1010007,19|1010008,19|1010009,19</t>
  </si>
  <si>
    <t>神器副本lv.58</t>
  </si>
  <si>
    <t>神器副本lv.59</t>
  </si>
  <si>
    <t>神器副本lv.60</t>
  </si>
  <si>
    <t>神器副本lv.61</t>
  </si>
  <si>
    <t>1010006,20|1010007,20|1010008,20|1010009,20</t>
  </si>
  <si>
    <t>神器副本lv.62</t>
  </si>
  <si>
    <t>神器副本lv.63</t>
  </si>
  <si>
    <t>神器副本lv.64</t>
  </si>
  <si>
    <t>神器副本lv.65</t>
  </si>
  <si>
    <t>1010006,21|1010007,21|1010008,21|1010009,21</t>
  </si>
  <si>
    <t>神器副本lv.66</t>
  </si>
  <si>
    <t>神器副本lv.67</t>
  </si>
  <si>
    <t>神器副本lv.68</t>
  </si>
  <si>
    <t>神器副本lv.69</t>
  </si>
  <si>
    <t>1010006,22|1010007,22|1010008,22|1010009,22</t>
  </si>
  <si>
    <t>神器副本lv.70</t>
  </si>
  <si>
    <t>神器副本lv.71</t>
  </si>
  <si>
    <t>神器副本lv.72</t>
  </si>
  <si>
    <t>神器副本lv.73</t>
  </si>
  <si>
    <t>1010006,23|1010007,23|1010008,23|1010009,23</t>
  </si>
  <si>
    <t>神器副本lv.74</t>
  </si>
  <si>
    <t>神器副本lv.75</t>
  </si>
  <si>
    <t>神器副本lv.76</t>
  </si>
  <si>
    <t>神器副本lv.77</t>
  </si>
  <si>
    <t>1010006,24|1010007,24|1010008,24|1010009,24</t>
  </si>
  <si>
    <t>神器副本lv.78</t>
  </si>
  <si>
    <t>神器副本lv.79</t>
  </si>
  <si>
    <t>神器副本lv.80</t>
  </si>
  <si>
    <t>神器副本lv.81</t>
  </si>
  <si>
    <t>1010006,25|1010007,25|1010008,25|1010009,25</t>
  </si>
  <si>
    <t>神器副本lv.82</t>
  </si>
  <si>
    <t>神器副本lv.83</t>
  </si>
  <si>
    <t>神器副本lv.84</t>
  </si>
  <si>
    <t>神器副本lv.85</t>
  </si>
  <si>
    <t>1010006,26|1010007,26|1010008,26|1010009,26</t>
  </si>
  <si>
    <t>神器副本lv.86</t>
  </si>
  <si>
    <t>神器副本lv.87</t>
  </si>
  <si>
    <t>神器副本lv.88</t>
  </si>
  <si>
    <t>神器副本lv.89</t>
  </si>
  <si>
    <t>1010006,27|1010007,27|1010008,27|1010009,27</t>
  </si>
  <si>
    <t>神器副本lv.90</t>
  </si>
  <si>
    <t>神器副本lv.91</t>
  </si>
  <si>
    <t>神器副本lv.92</t>
  </si>
  <si>
    <t>神器副本lv.93</t>
  </si>
  <si>
    <t>1010006,28|1010007,28|1010008,28|1010009,28</t>
  </si>
  <si>
    <t>神器副本lv.94</t>
  </si>
  <si>
    <t>神器副本lv.95</t>
  </si>
  <si>
    <t>神器副本lv.96</t>
  </si>
  <si>
    <t>神器副本lv.97</t>
  </si>
  <si>
    <t>1010006,29|1010007,29|1010008,29|1010009,29</t>
  </si>
  <si>
    <t>神器副本lv.98</t>
  </si>
  <si>
    <t>神器副本lv.99</t>
  </si>
  <si>
    <t>神器副本lv.100</t>
  </si>
  <si>
    <t>神器副本lv.101</t>
  </si>
  <si>
    <t>1010006,30|1010007,30|1010008,30|1010009,30</t>
  </si>
  <si>
    <t>神器副本lv.102</t>
  </si>
  <si>
    <t>神器副本lv.103</t>
  </si>
  <si>
    <t>神器副本lv.104</t>
  </si>
  <si>
    <t>神器副本lv.105</t>
  </si>
  <si>
    <t>1010006,31|1010007,31|1010008,31|1010009,31</t>
  </si>
  <si>
    <t>神器副本lv.106</t>
  </si>
  <si>
    <t>神器副本lv.107</t>
  </si>
  <si>
    <t>神器副本lv.108</t>
  </si>
  <si>
    <t>神器副本lv.109</t>
  </si>
  <si>
    <t>1010006,32|1010007,32|1010008,32|1010009,32</t>
  </si>
  <si>
    <t>神器副本lv.110</t>
  </si>
  <si>
    <t>神器副本lv.111</t>
  </si>
  <si>
    <t>神器副本lv.112</t>
  </si>
  <si>
    <t>神器副本lv.113</t>
  </si>
  <si>
    <t>1010006,33|1010007,33|1010008,33|1010009,33</t>
  </si>
  <si>
    <t>神器副本lv.114</t>
  </si>
  <si>
    <t>神器副本lv.115</t>
  </si>
  <si>
    <t>神器副本lv.116</t>
  </si>
  <si>
    <t>神器副本lv.117</t>
  </si>
  <si>
    <t>1010006,34|1010007,34|1010008,34|1010009,34</t>
  </si>
  <si>
    <t>神器副本lv.118</t>
  </si>
  <si>
    <t>神器副本lv.119</t>
  </si>
  <si>
    <t>神器副本lv.120</t>
  </si>
  <si>
    <t>圣物副本lv.1</t>
  </si>
  <si>
    <t>DungeonStage_Name_80001</t>
  </si>
  <si>
    <t>1010015,5</t>
  </si>
  <si>
    <t>圣物副本lv.2</t>
  </si>
  <si>
    <t>圣物副本lv.3</t>
  </si>
  <si>
    <t>圣物副本lv.4</t>
  </si>
  <si>
    <t>圣物副本lv.5</t>
  </si>
  <si>
    <t>1010015,6</t>
  </si>
  <si>
    <t>圣物副本lv.6</t>
  </si>
  <si>
    <t>圣物副本lv.7</t>
  </si>
  <si>
    <t>圣物副本lv.8</t>
  </si>
  <si>
    <t>圣物副本lv.9</t>
  </si>
  <si>
    <t>1010015,7</t>
  </si>
  <si>
    <t>圣物副本lv.10</t>
  </si>
  <si>
    <t>圣物副本lv.11</t>
  </si>
  <si>
    <t>圣物副本lv.12</t>
  </si>
  <si>
    <t>圣物副本lv.13</t>
  </si>
  <si>
    <t>1010015,8</t>
  </si>
  <si>
    <t>圣物副本lv.14</t>
  </si>
  <si>
    <t>圣物副本lv.15</t>
  </si>
  <si>
    <t>圣物副本lv.16</t>
  </si>
  <si>
    <t>圣物副本lv.17</t>
  </si>
  <si>
    <t>1010015,9</t>
  </si>
  <si>
    <t>圣物副本lv.18</t>
  </si>
  <si>
    <t>圣物副本lv.19</t>
  </si>
  <si>
    <t>圣物副本lv.20</t>
  </si>
  <si>
    <t>圣物副本lv.21</t>
  </si>
  <si>
    <t>1010015,10</t>
  </si>
  <si>
    <t>圣物副本lv.22</t>
  </si>
  <si>
    <t>圣物副本lv.23</t>
  </si>
  <si>
    <t>圣物副本lv.24</t>
  </si>
  <si>
    <t>圣物副本lv.25</t>
  </si>
  <si>
    <t>1010015,11</t>
  </si>
  <si>
    <t>圣物副本lv.26</t>
  </si>
  <si>
    <t>圣物副本lv.27</t>
  </si>
  <si>
    <t>圣物副本lv.28</t>
  </si>
  <si>
    <t>圣物副本lv.29</t>
  </si>
  <si>
    <t>1010015,12</t>
  </si>
  <si>
    <t>圣物副本lv.30</t>
  </si>
  <si>
    <t>圣物副本lv.31</t>
  </si>
  <si>
    <t>圣物副本lv.32</t>
  </si>
  <si>
    <t>圣物副本lv.33</t>
  </si>
  <si>
    <t>1010015,13</t>
  </si>
  <si>
    <t>圣物副本lv.34</t>
  </si>
  <si>
    <t>圣物副本lv.35</t>
  </si>
  <si>
    <t>圣物副本lv.36</t>
  </si>
  <si>
    <t>圣物副本lv.37</t>
  </si>
  <si>
    <t>1010015,14</t>
  </si>
  <si>
    <t>圣物副本lv.38</t>
  </si>
  <si>
    <t>圣物副本lv.39</t>
  </si>
  <si>
    <t>圣物副本lv.40</t>
  </si>
  <si>
    <t>圣物副本lv.41</t>
  </si>
  <si>
    <t>1010015,15</t>
  </si>
  <si>
    <t>圣物副本lv.42</t>
  </si>
  <si>
    <t>圣物副本lv.43</t>
  </si>
  <si>
    <t>圣物副本lv.44</t>
  </si>
  <si>
    <t>圣物副本lv.45</t>
  </si>
  <si>
    <t>1010015,16</t>
  </si>
  <si>
    <t>圣物副本lv.46</t>
  </si>
  <si>
    <t>圣物副本lv.47</t>
  </si>
  <si>
    <t>圣物副本lv.48</t>
  </si>
  <si>
    <t>圣物副本lv.49</t>
  </si>
  <si>
    <t>1010015,17</t>
  </si>
  <si>
    <t>圣物副本lv.50</t>
  </si>
  <si>
    <t>圣物副本lv.51</t>
  </si>
  <si>
    <t>圣物副本lv.52</t>
  </si>
  <si>
    <t>圣物副本lv.53</t>
  </si>
  <si>
    <t>1010015,18</t>
  </si>
  <si>
    <t>圣物副本lv.54</t>
  </si>
  <si>
    <t>圣物副本lv.55</t>
  </si>
  <si>
    <t>圣物副本lv.56</t>
  </si>
  <si>
    <t>圣物副本lv.57</t>
  </si>
  <si>
    <t>1010015,19</t>
  </si>
  <si>
    <t>圣物副本lv.58</t>
  </si>
  <si>
    <t>圣物副本lv.59</t>
  </si>
  <si>
    <t>圣物副本lv.60</t>
  </si>
  <si>
    <t>圣物副本lv.61</t>
  </si>
  <si>
    <t>1010015,20</t>
  </si>
  <si>
    <t>圣物副本lv.62</t>
  </si>
  <si>
    <t>圣物副本lv.63</t>
  </si>
  <si>
    <t>圣物副本lv.64</t>
  </si>
  <si>
    <t>圣物副本lv.65</t>
  </si>
  <si>
    <t>1010015,21</t>
  </si>
  <si>
    <t>圣物副本lv.66</t>
  </si>
  <si>
    <t>圣物副本lv.67</t>
  </si>
  <si>
    <t>圣物副本lv.68</t>
  </si>
  <si>
    <t>圣物副本lv.69</t>
  </si>
  <si>
    <t>1010015,22</t>
  </si>
  <si>
    <t>圣物副本lv.70</t>
  </si>
  <si>
    <t>圣物副本lv.71</t>
  </si>
  <si>
    <t>圣物副本lv.72</t>
  </si>
  <si>
    <t>圣物副本lv.73</t>
  </si>
  <si>
    <t>1010015,23</t>
  </si>
  <si>
    <t>圣物副本lv.74</t>
  </si>
  <si>
    <t>圣物副本lv.75</t>
  </si>
  <si>
    <t>圣物副本lv.76</t>
  </si>
  <si>
    <t>圣物副本lv.77</t>
  </si>
  <si>
    <t>1010015,24</t>
  </si>
  <si>
    <t>圣物副本lv.78</t>
  </si>
  <si>
    <t>圣物副本lv.79</t>
  </si>
  <si>
    <t>圣物副本lv.80</t>
  </si>
  <si>
    <t>圣物副本lv.81</t>
  </si>
  <si>
    <t>1010015,25</t>
  </si>
  <si>
    <t>圣物副本lv.82</t>
  </si>
  <si>
    <t>圣物副本lv.83</t>
  </si>
  <si>
    <t>圣物副本lv.84</t>
  </si>
  <si>
    <t>圣物副本lv.85</t>
  </si>
  <si>
    <t>1010015,26</t>
  </si>
  <si>
    <t>圣物副本lv.86</t>
  </si>
  <si>
    <t>圣物副本lv.87</t>
  </si>
  <si>
    <t>圣物副本lv.88</t>
  </si>
  <si>
    <t>圣物副本lv.89</t>
  </si>
  <si>
    <t>1010015,27</t>
  </si>
  <si>
    <t>圣物副本lv.90</t>
  </si>
  <si>
    <t>圣物副本lv.91</t>
  </si>
  <si>
    <t>圣物副本lv.92</t>
  </si>
  <si>
    <t>圣物副本lv.93</t>
  </si>
  <si>
    <t>1010015,28</t>
  </si>
  <si>
    <t>圣物副本lv.94</t>
  </si>
  <si>
    <t>圣物副本lv.95</t>
  </si>
  <si>
    <t>圣物副本lv.96</t>
  </si>
  <si>
    <t>圣物副本lv.97</t>
  </si>
  <si>
    <t>1010015,29</t>
  </si>
  <si>
    <t>圣物副本lv.98</t>
  </si>
  <si>
    <t>圣物副本lv.99</t>
  </si>
  <si>
    <t>圣物副本lv.100</t>
  </si>
  <si>
    <t>圣物副本lv.101</t>
  </si>
  <si>
    <t>1010015,30</t>
  </si>
  <si>
    <t>圣物副本lv.102</t>
  </si>
  <si>
    <t>圣物副本lv.103</t>
  </si>
  <si>
    <t>圣物副本lv.104</t>
  </si>
  <si>
    <t>圣物副本lv.105</t>
  </si>
  <si>
    <t>1010015,31</t>
  </si>
  <si>
    <t>圣物副本lv.106</t>
  </si>
  <si>
    <t>圣物副本lv.107</t>
  </si>
  <si>
    <t>圣物副本lv.108</t>
  </si>
  <si>
    <t>圣物副本lv.109</t>
  </si>
  <si>
    <t>1010015,32</t>
  </si>
  <si>
    <t>圣物副本lv.110</t>
  </si>
  <si>
    <t>圣物副本lv.111</t>
  </si>
  <si>
    <t>圣物副本lv.112</t>
  </si>
  <si>
    <t>圣物副本lv.113</t>
  </si>
  <si>
    <t>1010015,33</t>
  </si>
  <si>
    <t>圣物副本lv.114</t>
  </si>
  <si>
    <t>圣物副本lv.115</t>
  </si>
  <si>
    <t>圣物副本lv.116</t>
  </si>
  <si>
    <t>圣物副本lv.117</t>
  </si>
  <si>
    <t>1010015,34</t>
  </si>
  <si>
    <t>圣物副本lv.118</t>
  </si>
  <si>
    <t>圣物副本lv.119</t>
  </si>
  <si>
    <t>圣物副本lv.120</t>
  </si>
  <si>
    <t>随机事件副本</t>
  </si>
  <si>
    <t>DungeonStage_Name_1000001</t>
  </si>
  <si>
    <t>0</t>
  </si>
  <si>
    <t>钻石关卡</t>
  </si>
  <si>
    <t>钻石数量</t>
  </si>
  <si>
    <t>钻石道具ID</t>
  </si>
  <si>
    <t>链接符</t>
  </si>
  <si>
    <t>,</t>
  </si>
  <si>
    <t>金币关卡</t>
  </si>
  <si>
    <t>关卡金币</t>
  </si>
  <si>
    <r>
      <rPr>
        <sz val="11"/>
        <color theme="1"/>
        <rFont val="等线"/>
        <charset val="134"/>
        <scheme val="minor"/>
      </rPr>
      <t>金币道具I</t>
    </r>
    <r>
      <rPr>
        <sz val="11"/>
        <color theme="1"/>
        <rFont val="等线"/>
        <charset val="134"/>
        <scheme val="minor"/>
      </rPr>
      <t>D</t>
    </r>
  </si>
  <si>
    <t>铸造锤关卡</t>
  </si>
  <si>
    <t>锤子数量</t>
  </si>
  <si>
    <t>锤子道具ID</t>
  </si>
  <si>
    <t>奶酪锤关卡</t>
  </si>
  <si>
    <t>奶酪数量</t>
  </si>
  <si>
    <t>奶酪道具ID</t>
  </si>
  <si>
    <t>帝王蟹数量</t>
  </si>
  <si>
    <t>帝王蟹ID</t>
  </si>
  <si>
    <t>技能强化石数量</t>
  </si>
  <si>
    <t>技能强化石ID</t>
  </si>
  <si>
    <t>天赋点数量</t>
  </si>
  <si>
    <t>天赋点ID</t>
  </si>
  <si>
    <t>|</t>
  </si>
  <si>
    <t>序</t>
  </si>
  <si>
    <t>数量</t>
  </si>
  <si>
    <t>盾牌碎片</t>
  </si>
  <si>
    <t>勋章碎片</t>
  </si>
  <si>
    <t>护符碎片</t>
  </si>
  <si>
    <t>印记碎片</t>
  </si>
  <si>
    <t>圣物碎片</t>
  </si>
  <si>
    <t>宠物天赋令</t>
  </si>
  <si>
    <t>宠物天赋水晶</t>
  </si>
  <si>
    <t>宠物打孔石</t>
  </si>
  <si>
    <t>1010010,5|1010011,9</t>
  </si>
  <si>
    <t>1010010,6|1010011,10</t>
  </si>
  <si>
    <t>1010010,7|1010011,11</t>
  </si>
  <si>
    <t>1010010,8|1010011,12</t>
  </si>
  <si>
    <t>1010010,9|1010011,13</t>
  </si>
  <si>
    <t>1010010,10|1010011,14</t>
  </si>
  <si>
    <t>1010010,11|1010011,15</t>
  </si>
  <si>
    <t>1010010,12|1010011,16</t>
  </si>
  <si>
    <t>1010010,13|1010011,17</t>
  </si>
  <si>
    <t>1010010,14|1010011,18</t>
  </si>
  <si>
    <t>1010010,15|1010011,19</t>
  </si>
  <si>
    <t>1010010,16|1010011,20</t>
  </si>
  <si>
    <t>1010010,17|1010011,21</t>
  </si>
  <si>
    <t>1010010,18|1010011,22</t>
  </si>
  <si>
    <t>1010010,19|1010011,23</t>
  </si>
  <si>
    <t>1010010,20|1010011,24</t>
  </si>
  <si>
    <t>1010010,21|1010011,25</t>
  </si>
  <si>
    <t>1010010,22|1010011,26</t>
  </si>
  <si>
    <t>1010010,23|1010011,27</t>
  </si>
  <si>
    <t>1010010,24|1010011,28</t>
  </si>
  <si>
    <t>1010010,25|1010011,29</t>
  </si>
  <si>
    <t>1010010,26|1010011,30</t>
  </si>
  <si>
    <t>1010010,27|1010011,31</t>
  </si>
  <si>
    <t>1010010,28|1010011,32</t>
  </si>
  <si>
    <t>1010010,29|1010011,33</t>
  </si>
  <si>
    <t>1010010,30|1010011,34</t>
  </si>
  <si>
    <t>1010010,31|1010011,35</t>
  </si>
  <si>
    <t>1010010,32|1010011,36</t>
  </si>
  <si>
    <t>1010010,33|1010011,37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</si>
</sst>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sz val="12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color rgb="FF000000"/>
      <name val="等线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1" fillId="0" borderId="0" xfId="0" applyFont="1" applyFill="1" applyBorder="1" applyAlignment="1">
      <alignment horizontal="left"/>
    </xf>
    <xf numFmtId="49" fontId="0" fillId="0" borderId="0" xfId="0" applyNumberForma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49" fontId="6" fillId="4" borderId="0" xfId="0" applyNumberFormat="1" applyFont="1" applyFill="1" applyAlignment="1">
      <alignment horizontal="left"/>
    </xf>
    <xf numFmtId="49" fontId="0" fillId="0" borderId="0" xfId="0" quotePrefix="1" applyNumberFormat="1" applyFont="1" applyFill="1" applyBorder="1" applyAlignment="1">
      <alignment horizontal="left"/>
    </xf>
  </cellXfs>
  <cellStyles count="1">
    <cellStyle name="常规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tageMonsterAtt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135;&#38144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0</v>
          </cell>
        </row>
        <row r="13">
          <cell r="Q13">
            <v>0</v>
          </cell>
        </row>
        <row r="14">
          <cell r="Q14">
            <v>0</v>
          </cell>
        </row>
        <row r="15">
          <cell r="Q15">
            <v>0</v>
          </cell>
        </row>
        <row r="16">
          <cell r="Q16">
            <v>0</v>
          </cell>
        </row>
        <row r="17">
          <cell r="Q17">
            <v>0</v>
          </cell>
        </row>
        <row r="18">
          <cell r="Q18">
            <v>0</v>
          </cell>
        </row>
        <row r="19">
          <cell r="Q19">
            <v>0</v>
          </cell>
        </row>
        <row r="20">
          <cell r="Q20">
            <v>0</v>
          </cell>
        </row>
        <row r="21">
          <cell r="Q21">
            <v>0</v>
          </cell>
        </row>
        <row r="22">
          <cell r="Q22">
            <v>0</v>
          </cell>
        </row>
        <row r="23">
          <cell r="Q23">
            <v>0</v>
          </cell>
        </row>
        <row r="24">
          <cell r="Q24">
            <v>0</v>
          </cell>
        </row>
        <row r="25">
          <cell r="Q25">
            <v>0</v>
          </cell>
        </row>
        <row r="26">
          <cell r="Q26">
            <v>0</v>
          </cell>
        </row>
        <row r="27">
          <cell r="Q27">
            <v>0</v>
          </cell>
        </row>
        <row r="28">
          <cell r="Q28">
            <v>0</v>
          </cell>
        </row>
        <row r="29">
          <cell r="Q29">
            <v>0</v>
          </cell>
        </row>
        <row r="30">
          <cell r="Q30">
            <v>0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0</v>
          </cell>
        </row>
        <row r="38">
          <cell r="Q38">
            <v>0</v>
          </cell>
        </row>
        <row r="39">
          <cell r="Q39">
            <v>0</v>
          </cell>
        </row>
        <row r="40">
          <cell r="Q40">
            <v>0</v>
          </cell>
        </row>
        <row r="41">
          <cell r="Q41">
            <v>0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0</v>
          </cell>
        </row>
        <row r="45">
          <cell r="Q45">
            <v>0</v>
          </cell>
        </row>
        <row r="46">
          <cell r="Q46">
            <v>0</v>
          </cell>
        </row>
        <row r="47">
          <cell r="Q47">
            <v>0</v>
          </cell>
        </row>
        <row r="48">
          <cell r="Q48">
            <v>0</v>
          </cell>
        </row>
        <row r="49">
          <cell r="Q49">
            <v>0</v>
          </cell>
        </row>
        <row r="50">
          <cell r="Q50">
            <v>0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0</v>
          </cell>
        </row>
        <row r="55">
          <cell r="Q55">
            <v>0</v>
          </cell>
        </row>
        <row r="56">
          <cell r="Q56">
            <v>0</v>
          </cell>
        </row>
        <row r="57">
          <cell r="Q57">
            <v>0</v>
          </cell>
        </row>
        <row r="58">
          <cell r="Q58">
            <v>0</v>
          </cell>
        </row>
        <row r="59">
          <cell r="Q59">
            <v>0</v>
          </cell>
        </row>
        <row r="60">
          <cell r="Q60">
            <v>0</v>
          </cell>
        </row>
        <row r="61">
          <cell r="Q61">
            <v>0</v>
          </cell>
        </row>
        <row r="62">
          <cell r="Q62">
            <v>0</v>
          </cell>
        </row>
        <row r="63">
          <cell r="Q63">
            <v>0</v>
          </cell>
        </row>
        <row r="64">
          <cell r="Q64">
            <v>0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0</v>
          </cell>
        </row>
        <row r="69">
          <cell r="Q69">
            <v>0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0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0</v>
          </cell>
        </row>
        <row r="85">
          <cell r="Q85">
            <v>0</v>
          </cell>
        </row>
        <row r="86">
          <cell r="Q86">
            <v>0</v>
          </cell>
        </row>
        <row r="87">
          <cell r="Q87">
            <v>0</v>
          </cell>
        </row>
        <row r="88">
          <cell r="Q88">
            <v>0</v>
          </cell>
        </row>
        <row r="89">
          <cell r="Q89">
            <v>0</v>
          </cell>
        </row>
        <row r="90">
          <cell r="Q90">
            <v>0</v>
          </cell>
        </row>
        <row r="91">
          <cell r="Q91">
            <v>0</v>
          </cell>
        </row>
        <row r="92">
          <cell r="Q92">
            <v>0</v>
          </cell>
        </row>
        <row r="93">
          <cell r="Q93">
            <v>0</v>
          </cell>
        </row>
        <row r="94">
          <cell r="Q94">
            <v>0</v>
          </cell>
        </row>
        <row r="95">
          <cell r="Q95">
            <v>0</v>
          </cell>
        </row>
        <row r="96">
          <cell r="Q96">
            <v>0</v>
          </cell>
        </row>
        <row r="97">
          <cell r="Q97">
            <v>0</v>
          </cell>
        </row>
        <row r="98">
          <cell r="Q98">
            <v>0</v>
          </cell>
        </row>
        <row r="99">
          <cell r="Q99">
            <v>0</v>
          </cell>
        </row>
        <row r="100">
          <cell r="Q100">
            <v>0</v>
          </cell>
        </row>
        <row r="101">
          <cell r="Q101">
            <v>0</v>
          </cell>
        </row>
        <row r="102">
          <cell r="Q102">
            <v>0</v>
          </cell>
        </row>
        <row r="103">
          <cell r="Q103">
            <v>0</v>
          </cell>
        </row>
        <row r="104">
          <cell r="Q104">
            <v>0</v>
          </cell>
        </row>
        <row r="105">
          <cell r="Q105">
            <v>0</v>
          </cell>
        </row>
        <row r="106">
          <cell r="Q106">
            <v>0</v>
          </cell>
        </row>
        <row r="107">
          <cell r="Q107">
            <v>0</v>
          </cell>
        </row>
        <row r="108">
          <cell r="Q108">
            <v>0</v>
          </cell>
        </row>
        <row r="109">
          <cell r="Q109">
            <v>0</v>
          </cell>
        </row>
        <row r="110">
          <cell r="Q110">
            <v>0</v>
          </cell>
        </row>
        <row r="111">
          <cell r="Q111">
            <v>0</v>
          </cell>
        </row>
        <row r="112">
          <cell r="Q112">
            <v>0</v>
          </cell>
        </row>
        <row r="113">
          <cell r="Q113">
            <v>0</v>
          </cell>
        </row>
        <row r="114">
          <cell r="Q114">
            <v>0</v>
          </cell>
        </row>
        <row r="115">
          <cell r="Q115">
            <v>0</v>
          </cell>
        </row>
        <row r="116">
          <cell r="Q116">
            <v>0</v>
          </cell>
        </row>
        <row r="117">
          <cell r="Q117">
            <v>0</v>
          </cell>
        </row>
        <row r="118">
          <cell r="Q118">
            <v>0</v>
          </cell>
        </row>
        <row r="119">
          <cell r="Q119">
            <v>0</v>
          </cell>
        </row>
        <row r="120">
          <cell r="Q120">
            <v>0</v>
          </cell>
        </row>
        <row r="121">
          <cell r="Q121">
            <v>0</v>
          </cell>
        </row>
        <row r="122">
          <cell r="Q122">
            <v>0</v>
          </cell>
        </row>
        <row r="123">
          <cell r="Q123">
            <v>0</v>
          </cell>
        </row>
        <row r="124">
          <cell r="Q124">
            <v>0</v>
          </cell>
        </row>
        <row r="125">
          <cell r="Q125">
            <v>0</v>
          </cell>
        </row>
        <row r="126">
          <cell r="Q126">
            <v>0</v>
          </cell>
        </row>
        <row r="127">
          <cell r="Q127">
            <v>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销规划"/>
      <sheetName val="钻石产出"/>
      <sheetName val="寻宝铲产出"/>
      <sheetName val="金币产出"/>
      <sheetName val="奶酪产出"/>
      <sheetName val="技能强化石"/>
      <sheetName val="天赋点产出"/>
      <sheetName val="神器碎片"/>
      <sheetName val="圣物碎片"/>
      <sheetName val="狩猎任务"/>
      <sheetName val="奇遇商人"/>
      <sheetName val="宠物天赋"/>
      <sheetName val="掉落配置"/>
      <sheetName val="道具价值计算"/>
      <sheetName val="召唤商店"/>
      <sheetName val="任务配置"/>
      <sheetName val="日常任务"/>
      <sheetName val="普通关卡"/>
    </sheetNames>
    <sheetDataSet>
      <sheetData sheetId="0"/>
      <sheetData sheetId="1">
        <row r="28">
          <cell r="B28">
            <v>1</v>
          </cell>
          <cell r="C28">
            <v>300</v>
          </cell>
        </row>
        <row r="29">
          <cell r="B29">
            <v>2</v>
          </cell>
          <cell r="C29">
            <v>300</v>
          </cell>
        </row>
        <row r="30">
          <cell r="B30">
            <v>3</v>
          </cell>
          <cell r="C30">
            <v>300</v>
          </cell>
        </row>
        <row r="31">
          <cell r="B31">
            <v>4</v>
          </cell>
          <cell r="C31">
            <v>300</v>
          </cell>
        </row>
        <row r="32">
          <cell r="B32">
            <v>5</v>
          </cell>
          <cell r="C32">
            <v>310</v>
          </cell>
        </row>
        <row r="33">
          <cell r="B33">
            <v>6</v>
          </cell>
          <cell r="C33">
            <v>310</v>
          </cell>
        </row>
        <row r="34">
          <cell r="B34">
            <v>7</v>
          </cell>
          <cell r="C34">
            <v>310</v>
          </cell>
        </row>
        <row r="35">
          <cell r="B35">
            <v>8</v>
          </cell>
          <cell r="C35">
            <v>310</v>
          </cell>
        </row>
        <row r="36">
          <cell r="B36">
            <v>9</v>
          </cell>
          <cell r="C36">
            <v>320</v>
          </cell>
        </row>
        <row r="37">
          <cell r="B37">
            <v>10</v>
          </cell>
          <cell r="C37">
            <v>320</v>
          </cell>
        </row>
        <row r="38">
          <cell r="B38">
            <v>11</v>
          </cell>
          <cell r="C38">
            <v>320</v>
          </cell>
        </row>
        <row r="39">
          <cell r="B39">
            <v>12</v>
          </cell>
          <cell r="C39">
            <v>320</v>
          </cell>
        </row>
        <row r="40">
          <cell r="B40">
            <v>13</v>
          </cell>
          <cell r="C40">
            <v>330</v>
          </cell>
        </row>
        <row r="41">
          <cell r="B41">
            <v>14</v>
          </cell>
          <cell r="C41">
            <v>330</v>
          </cell>
        </row>
        <row r="42">
          <cell r="B42">
            <v>15</v>
          </cell>
          <cell r="C42">
            <v>330</v>
          </cell>
        </row>
        <row r="43">
          <cell r="B43">
            <v>16</v>
          </cell>
          <cell r="C43">
            <v>330</v>
          </cell>
        </row>
        <row r="44">
          <cell r="B44">
            <v>17</v>
          </cell>
          <cell r="C44">
            <v>340</v>
          </cell>
        </row>
        <row r="45">
          <cell r="B45">
            <v>18</v>
          </cell>
          <cell r="C45">
            <v>340</v>
          </cell>
        </row>
        <row r="46">
          <cell r="B46">
            <v>19</v>
          </cell>
          <cell r="C46">
            <v>340</v>
          </cell>
        </row>
        <row r="47">
          <cell r="B47">
            <v>20</v>
          </cell>
          <cell r="C47">
            <v>340</v>
          </cell>
        </row>
        <row r="48">
          <cell r="B48">
            <v>21</v>
          </cell>
          <cell r="C48">
            <v>350</v>
          </cell>
        </row>
        <row r="49">
          <cell r="B49">
            <v>22</v>
          </cell>
          <cell r="C49">
            <v>350</v>
          </cell>
        </row>
        <row r="50">
          <cell r="B50">
            <v>23</v>
          </cell>
          <cell r="C50">
            <v>350</v>
          </cell>
        </row>
        <row r="51">
          <cell r="B51">
            <v>24</v>
          </cell>
          <cell r="C51">
            <v>350</v>
          </cell>
        </row>
        <row r="52">
          <cell r="B52">
            <v>25</v>
          </cell>
          <cell r="C52">
            <v>360</v>
          </cell>
        </row>
        <row r="53">
          <cell r="B53">
            <v>26</v>
          </cell>
          <cell r="C53">
            <v>360</v>
          </cell>
        </row>
        <row r="54">
          <cell r="B54">
            <v>27</v>
          </cell>
          <cell r="C54">
            <v>360</v>
          </cell>
        </row>
        <row r="55">
          <cell r="B55">
            <v>28</v>
          </cell>
          <cell r="C55">
            <v>360</v>
          </cell>
        </row>
        <row r="56">
          <cell r="B56">
            <v>29</v>
          </cell>
          <cell r="C56">
            <v>370</v>
          </cell>
        </row>
        <row r="57">
          <cell r="B57">
            <v>30</v>
          </cell>
          <cell r="C57">
            <v>370</v>
          </cell>
        </row>
        <row r="58">
          <cell r="B58">
            <v>31</v>
          </cell>
          <cell r="C58">
            <v>370</v>
          </cell>
        </row>
        <row r="59">
          <cell r="B59">
            <v>32</v>
          </cell>
          <cell r="C59">
            <v>370</v>
          </cell>
        </row>
        <row r="60">
          <cell r="B60">
            <v>33</v>
          </cell>
          <cell r="C60">
            <v>380</v>
          </cell>
        </row>
        <row r="61">
          <cell r="B61">
            <v>34</v>
          </cell>
          <cell r="C61">
            <v>380</v>
          </cell>
        </row>
        <row r="62">
          <cell r="B62">
            <v>35</v>
          </cell>
          <cell r="C62">
            <v>380</v>
          </cell>
        </row>
        <row r="63">
          <cell r="B63">
            <v>36</v>
          </cell>
          <cell r="C63">
            <v>380</v>
          </cell>
        </row>
        <row r="64">
          <cell r="B64">
            <v>37</v>
          </cell>
          <cell r="C64">
            <v>390</v>
          </cell>
        </row>
        <row r="65">
          <cell r="B65">
            <v>38</v>
          </cell>
          <cell r="C65">
            <v>390</v>
          </cell>
        </row>
        <row r="66">
          <cell r="B66">
            <v>39</v>
          </cell>
          <cell r="C66">
            <v>390</v>
          </cell>
        </row>
        <row r="67">
          <cell r="B67">
            <v>40</v>
          </cell>
          <cell r="C67">
            <v>390</v>
          </cell>
        </row>
        <row r="68">
          <cell r="B68">
            <v>41</v>
          </cell>
          <cell r="C68">
            <v>400</v>
          </cell>
        </row>
        <row r="69">
          <cell r="B69">
            <v>42</v>
          </cell>
          <cell r="C69">
            <v>400</v>
          </cell>
        </row>
        <row r="70">
          <cell r="B70">
            <v>43</v>
          </cell>
          <cell r="C70">
            <v>400</v>
          </cell>
        </row>
        <row r="71">
          <cell r="B71">
            <v>44</v>
          </cell>
          <cell r="C71">
            <v>400</v>
          </cell>
        </row>
        <row r="72">
          <cell r="B72">
            <v>45</v>
          </cell>
          <cell r="C72">
            <v>410</v>
          </cell>
        </row>
        <row r="73">
          <cell r="B73">
            <v>46</v>
          </cell>
          <cell r="C73">
            <v>410</v>
          </cell>
        </row>
        <row r="74">
          <cell r="B74">
            <v>47</v>
          </cell>
          <cell r="C74">
            <v>410</v>
          </cell>
        </row>
        <row r="75">
          <cell r="B75">
            <v>48</v>
          </cell>
          <cell r="C75">
            <v>410</v>
          </cell>
        </row>
        <row r="76">
          <cell r="B76">
            <v>49</v>
          </cell>
          <cell r="C76">
            <v>420</v>
          </cell>
        </row>
        <row r="77">
          <cell r="B77">
            <v>50</v>
          </cell>
          <cell r="C77">
            <v>420</v>
          </cell>
        </row>
        <row r="78">
          <cell r="B78">
            <v>51</v>
          </cell>
          <cell r="C78">
            <v>420</v>
          </cell>
        </row>
        <row r="79">
          <cell r="B79">
            <v>52</v>
          </cell>
          <cell r="C79">
            <v>420</v>
          </cell>
        </row>
        <row r="80">
          <cell r="B80">
            <v>53</v>
          </cell>
          <cell r="C80">
            <v>430</v>
          </cell>
        </row>
        <row r="81">
          <cell r="B81">
            <v>54</v>
          </cell>
          <cell r="C81">
            <v>430</v>
          </cell>
        </row>
        <row r="82">
          <cell r="B82">
            <v>55</v>
          </cell>
          <cell r="C82">
            <v>430</v>
          </cell>
        </row>
        <row r="83">
          <cell r="B83">
            <v>56</v>
          </cell>
          <cell r="C83">
            <v>430</v>
          </cell>
        </row>
        <row r="84">
          <cell r="B84">
            <v>57</v>
          </cell>
          <cell r="C84">
            <v>440</v>
          </cell>
        </row>
        <row r="85">
          <cell r="B85">
            <v>58</v>
          </cell>
          <cell r="C85">
            <v>440</v>
          </cell>
        </row>
        <row r="86">
          <cell r="B86">
            <v>59</v>
          </cell>
          <cell r="C86">
            <v>440</v>
          </cell>
        </row>
        <row r="87">
          <cell r="B87">
            <v>60</v>
          </cell>
          <cell r="C87">
            <v>440</v>
          </cell>
        </row>
        <row r="88">
          <cell r="B88">
            <v>61</v>
          </cell>
          <cell r="C88">
            <v>450</v>
          </cell>
        </row>
        <row r="89">
          <cell r="B89">
            <v>62</v>
          </cell>
          <cell r="C89">
            <v>450</v>
          </cell>
        </row>
        <row r="90">
          <cell r="B90">
            <v>63</v>
          </cell>
          <cell r="C90">
            <v>450</v>
          </cell>
        </row>
        <row r="91">
          <cell r="B91">
            <v>64</v>
          </cell>
          <cell r="C91">
            <v>450</v>
          </cell>
        </row>
        <row r="92">
          <cell r="B92">
            <v>65</v>
          </cell>
          <cell r="C92">
            <v>460</v>
          </cell>
        </row>
        <row r="93">
          <cell r="B93">
            <v>66</v>
          </cell>
          <cell r="C93">
            <v>460</v>
          </cell>
        </row>
        <row r="94">
          <cell r="B94">
            <v>67</v>
          </cell>
          <cell r="C94">
            <v>460</v>
          </cell>
        </row>
        <row r="95">
          <cell r="B95">
            <v>68</v>
          </cell>
          <cell r="C95">
            <v>460</v>
          </cell>
        </row>
        <row r="96">
          <cell r="B96">
            <v>69</v>
          </cell>
          <cell r="C96">
            <v>470</v>
          </cell>
        </row>
        <row r="97">
          <cell r="B97">
            <v>70</v>
          </cell>
          <cell r="C97">
            <v>470</v>
          </cell>
        </row>
        <row r="98">
          <cell r="B98">
            <v>71</v>
          </cell>
          <cell r="C98">
            <v>470</v>
          </cell>
        </row>
        <row r="99">
          <cell r="B99">
            <v>72</v>
          </cell>
          <cell r="C99">
            <v>470</v>
          </cell>
        </row>
        <row r="100">
          <cell r="B100">
            <v>73</v>
          </cell>
          <cell r="C100">
            <v>480</v>
          </cell>
        </row>
        <row r="101">
          <cell r="B101">
            <v>74</v>
          </cell>
          <cell r="C101">
            <v>480</v>
          </cell>
        </row>
        <row r="102">
          <cell r="B102">
            <v>75</v>
          </cell>
          <cell r="C102">
            <v>480</v>
          </cell>
        </row>
        <row r="103">
          <cell r="B103">
            <v>76</v>
          </cell>
          <cell r="C103">
            <v>480</v>
          </cell>
        </row>
        <row r="104">
          <cell r="B104">
            <v>77</v>
          </cell>
          <cell r="C104">
            <v>490</v>
          </cell>
        </row>
        <row r="105">
          <cell r="B105">
            <v>78</v>
          </cell>
          <cell r="C105">
            <v>490</v>
          </cell>
        </row>
        <row r="106">
          <cell r="B106">
            <v>79</v>
          </cell>
          <cell r="C106">
            <v>490</v>
          </cell>
        </row>
        <row r="107">
          <cell r="B107">
            <v>80</v>
          </cell>
          <cell r="C107">
            <v>490</v>
          </cell>
        </row>
        <row r="108">
          <cell r="B108">
            <v>81</v>
          </cell>
          <cell r="C108">
            <v>500</v>
          </cell>
        </row>
        <row r="109">
          <cell r="B109">
            <v>82</v>
          </cell>
          <cell r="C109">
            <v>500</v>
          </cell>
        </row>
        <row r="110">
          <cell r="B110">
            <v>83</v>
          </cell>
          <cell r="C110">
            <v>500</v>
          </cell>
        </row>
        <row r="111">
          <cell r="B111">
            <v>84</v>
          </cell>
          <cell r="C111">
            <v>500</v>
          </cell>
        </row>
        <row r="112">
          <cell r="B112">
            <v>85</v>
          </cell>
          <cell r="C112">
            <v>510</v>
          </cell>
        </row>
        <row r="113">
          <cell r="B113">
            <v>86</v>
          </cell>
          <cell r="C113">
            <v>510</v>
          </cell>
        </row>
        <row r="114">
          <cell r="B114">
            <v>87</v>
          </cell>
          <cell r="C114">
            <v>510</v>
          </cell>
        </row>
        <row r="115">
          <cell r="B115">
            <v>88</v>
          </cell>
          <cell r="C115">
            <v>510</v>
          </cell>
        </row>
        <row r="116">
          <cell r="B116">
            <v>89</v>
          </cell>
          <cell r="C116">
            <v>520</v>
          </cell>
        </row>
        <row r="117">
          <cell r="B117">
            <v>90</v>
          </cell>
          <cell r="C117">
            <v>520</v>
          </cell>
        </row>
        <row r="118">
          <cell r="B118">
            <v>91</v>
          </cell>
          <cell r="C118">
            <v>520</v>
          </cell>
        </row>
        <row r="119">
          <cell r="B119">
            <v>92</v>
          </cell>
          <cell r="C119">
            <v>520</v>
          </cell>
        </row>
        <row r="120">
          <cell r="B120">
            <v>93</v>
          </cell>
          <cell r="C120">
            <v>530</v>
          </cell>
        </row>
        <row r="121">
          <cell r="B121">
            <v>94</v>
          </cell>
          <cell r="C121">
            <v>530</v>
          </cell>
        </row>
        <row r="122">
          <cell r="B122">
            <v>95</v>
          </cell>
          <cell r="C122">
            <v>530</v>
          </cell>
        </row>
        <row r="123">
          <cell r="B123">
            <v>96</v>
          </cell>
          <cell r="C123">
            <v>530</v>
          </cell>
        </row>
        <row r="124">
          <cell r="B124">
            <v>97</v>
          </cell>
          <cell r="C124">
            <v>540</v>
          </cell>
        </row>
        <row r="125">
          <cell r="B125">
            <v>98</v>
          </cell>
          <cell r="C125">
            <v>540</v>
          </cell>
        </row>
        <row r="126">
          <cell r="B126">
            <v>99</v>
          </cell>
          <cell r="C126">
            <v>540</v>
          </cell>
        </row>
        <row r="127">
          <cell r="B127">
            <v>100</v>
          </cell>
          <cell r="C127">
            <v>540</v>
          </cell>
        </row>
        <row r="128">
          <cell r="B128">
            <v>101</v>
          </cell>
          <cell r="C128">
            <v>550</v>
          </cell>
        </row>
        <row r="129">
          <cell r="B129">
            <v>102</v>
          </cell>
          <cell r="C129">
            <v>550</v>
          </cell>
        </row>
        <row r="130">
          <cell r="B130">
            <v>103</v>
          </cell>
          <cell r="C130">
            <v>550</v>
          </cell>
        </row>
        <row r="131">
          <cell r="B131">
            <v>104</v>
          </cell>
          <cell r="C131">
            <v>550</v>
          </cell>
        </row>
        <row r="132">
          <cell r="B132">
            <v>105</v>
          </cell>
          <cell r="C132">
            <v>560</v>
          </cell>
        </row>
        <row r="133">
          <cell r="B133">
            <v>106</v>
          </cell>
          <cell r="C133">
            <v>560</v>
          </cell>
        </row>
        <row r="134">
          <cell r="B134">
            <v>107</v>
          </cell>
          <cell r="C134">
            <v>560</v>
          </cell>
        </row>
        <row r="135">
          <cell r="B135">
            <v>108</v>
          </cell>
          <cell r="C135">
            <v>560</v>
          </cell>
        </row>
        <row r="136">
          <cell r="B136">
            <v>109</v>
          </cell>
          <cell r="C136">
            <v>570</v>
          </cell>
        </row>
        <row r="137">
          <cell r="B137">
            <v>110</v>
          </cell>
          <cell r="C137">
            <v>570</v>
          </cell>
        </row>
        <row r="138">
          <cell r="B138">
            <v>111</v>
          </cell>
          <cell r="C138">
            <v>570</v>
          </cell>
        </row>
        <row r="139">
          <cell r="B139">
            <v>112</v>
          </cell>
          <cell r="C139">
            <v>570</v>
          </cell>
        </row>
        <row r="140">
          <cell r="B140">
            <v>113</v>
          </cell>
          <cell r="C140">
            <v>580</v>
          </cell>
        </row>
        <row r="141">
          <cell r="B141">
            <v>114</v>
          </cell>
          <cell r="C141">
            <v>580</v>
          </cell>
        </row>
        <row r="142">
          <cell r="B142">
            <v>115</v>
          </cell>
          <cell r="C142">
            <v>580</v>
          </cell>
        </row>
        <row r="143">
          <cell r="B143">
            <v>116</v>
          </cell>
          <cell r="C143">
            <v>580</v>
          </cell>
        </row>
        <row r="144">
          <cell r="B144">
            <v>117</v>
          </cell>
          <cell r="C144">
            <v>590</v>
          </cell>
        </row>
        <row r="145">
          <cell r="B145">
            <v>118</v>
          </cell>
          <cell r="C145">
            <v>590</v>
          </cell>
        </row>
        <row r="146">
          <cell r="B146">
            <v>119</v>
          </cell>
          <cell r="C146">
            <v>590</v>
          </cell>
        </row>
        <row r="147">
          <cell r="B147">
            <v>120</v>
          </cell>
          <cell r="C147">
            <v>590</v>
          </cell>
        </row>
      </sheetData>
      <sheetData sheetId="2">
        <row r="24">
          <cell r="H24" t="str">
            <v>铸造锤副本</v>
          </cell>
          <cell r="I24" t="str">
            <v>产出数量</v>
          </cell>
        </row>
        <row r="25">
          <cell r="H25">
            <v>1</v>
          </cell>
          <cell r="I25">
            <v>8</v>
          </cell>
        </row>
        <row r="26">
          <cell r="H26">
            <v>2</v>
          </cell>
          <cell r="I26">
            <v>8</v>
          </cell>
        </row>
        <row r="27">
          <cell r="H27">
            <v>3</v>
          </cell>
          <cell r="I27">
            <v>8</v>
          </cell>
        </row>
        <row r="28">
          <cell r="H28">
            <v>4</v>
          </cell>
          <cell r="I28">
            <v>8</v>
          </cell>
        </row>
        <row r="29">
          <cell r="H29">
            <v>5</v>
          </cell>
          <cell r="I29">
            <v>9</v>
          </cell>
        </row>
        <row r="30">
          <cell r="H30">
            <v>6</v>
          </cell>
          <cell r="I30">
            <v>9</v>
          </cell>
        </row>
        <row r="31">
          <cell r="H31">
            <v>7</v>
          </cell>
          <cell r="I31">
            <v>9</v>
          </cell>
        </row>
        <row r="32">
          <cell r="H32">
            <v>8</v>
          </cell>
          <cell r="I32">
            <v>9</v>
          </cell>
        </row>
        <row r="33">
          <cell r="H33">
            <v>9</v>
          </cell>
          <cell r="I33">
            <v>10</v>
          </cell>
        </row>
        <row r="34">
          <cell r="H34">
            <v>10</v>
          </cell>
          <cell r="I34">
            <v>10</v>
          </cell>
        </row>
        <row r="35">
          <cell r="H35">
            <v>11</v>
          </cell>
          <cell r="I35">
            <v>10</v>
          </cell>
        </row>
        <row r="36">
          <cell r="H36">
            <v>12</v>
          </cell>
          <cell r="I36">
            <v>10</v>
          </cell>
        </row>
        <row r="37">
          <cell r="H37">
            <v>13</v>
          </cell>
          <cell r="I37">
            <v>11</v>
          </cell>
        </row>
        <row r="38">
          <cell r="H38">
            <v>14</v>
          </cell>
          <cell r="I38">
            <v>11</v>
          </cell>
        </row>
        <row r="39">
          <cell r="H39">
            <v>15</v>
          </cell>
          <cell r="I39">
            <v>11</v>
          </cell>
        </row>
        <row r="40">
          <cell r="H40">
            <v>16</v>
          </cell>
          <cell r="I40">
            <v>11</v>
          </cell>
        </row>
        <row r="41">
          <cell r="H41">
            <v>17</v>
          </cell>
          <cell r="I41">
            <v>12</v>
          </cell>
        </row>
        <row r="42">
          <cell r="H42">
            <v>18</v>
          </cell>
          <cell r="I42">
            <v>12</v>
          </cell>
        </row>
        <row r="43">
          <cell r="H43">
            <v>19</v>
          </cell>
          <cell r="I43">
            <v>12</v>
          </cell>
        </row>
        <row r="44">
          <cell r="H44">
            <v>20</v>
          </cell>
          <cell r="I44">
            <v>12</v>
          </cell>
        </row>
        <row r="45">
          <cell r="H45">
            <v>21</v>
          </cell>
          <cell r="I45">
            <v>13</v>
          </cell>
        </row>
        <row r="46">
          <cell r="H46">
            <v>22</v>
          </cell>
          <cell r="I46">
            <v>13</v>
          </cell>
        </row>
        <row r="47">
          <cell r="H47">
            <v>23</v>
          </cell>
          <cell r="I47">
            <v>13</v>
          </cell>
        </row>
        <row r="48">
          <cell r="H48">
            <v>24</v>
          </cell>
          <cell r="I48">
            <v>13</v>
          </cell>
        </row>
        <row r="49">
          <cell r="H49">
            <v>25</v>
          </cell>
          <cell r="I49">
            <v>14</v>
          </cell>
        </row>
        <row r="50">
          <cell r="H50">
            <v>26</v>
          </cell>
          <cell r="I50">
            <v>14</v>
          </cell>
        </row>
        <row r="51">
          <cell r="H51">
            <v>27</v>
          </cell>
          <cell r="I51">
            <v>14</v>
          </cell>
        </row>
        <row r="52">
          <cell r="H52">
            <v>28</v>
          </cell>
          <cell r="I52">
            <v>14</v>
          </cell>
        </row>
        <row r="53">
          <cell r="H53">
            <v>29</v>
          </cell>
          <cell r="I53">
            <v>15</v>
          </cell>
        </row>
        <row r="54">
          <cell r="H54">
            <v>30</v>
          </cell>
          <cell r="I54">
            <v>15</v>
          </cell>
        </row>
        <row r="55">
          <cell r="H55">
            <v>31</v>
          </cell>
          <cell r="I55">
            <v>15</v>
          </cell>
        </row>
        <row r="56">
          <cell r="H56">
            <v>32</v>
          </cell>
          <cell r="I56">
            <v>15</v>
          </cell>
        </row>
        <row r="57">
          <cell r="H57">
            <v>33</v>
          </cell>
          <cell r="I57">
            <v>16</v>
          </cell>
        </row>
        <row r="58">
          <cell r="H58">
            <v>34</v>
          </cell>
          <cell r="I58">
            <v>16</v>
          </cell>
        </row>
        <row r="59">
          <cell r="H59">
            <v>35</v>
          </cell>
          <cell r="I59">
            <v>16</v>
          </cell>
        </row>
        <row r="60">
          <cell r="H60">
            <v>36</v>
          </cell>
          <cell r="I60">
            <v>16</v>
          </cell>
        </row>
        <row r="61">
          <cell r="H61">
            <v>37</v>
          </cell>
          <cell r="I61">
            <v>17</v>
          </cell>
        </row>
        <row r="62">
          <cell r="H62">
            <v>38</v>
          </cell>
          <cell r="I62">
            <v>17</v>
          </cell>
        </row>
        <row r="63">
          <cell r="H63">
            <v>39</v>
          </cell>
          <cell r="I63">
            <v>17</v>
          </cell>
        </row>
        <row r="64">
          <cell r="H64">
            <v>40</v>
          </cell>
          <cell r="I64">
            <v>17</v>
          </cell>
        </row>
        <row r="65">
          <cell r="H65">
            <v>41</v>
          </cell>
          <cell r="I65">
            <v>18</v>
          </cell>
        </row>
        <row r="66">
          <cell r="H66">
            <v>42</v>
          </cell>
          <cell r="I66">
            <v>18</v>
          </cell>
        </row>
        <row r="67">
          <cell r="H67">
            <v>43</v>
          </cell>
          <cell r="I67">
            <v>18</v>
          </cell>
        </row>
        <row r="68">
          <cell r="H68">
            <v>44</v>
          </cell>
          <cell r="I68">
            <v>18</v>
          </cell>
        </row>
        <row r="69">
          <cell r="H69">
            <v>45</v>
          </cell>
          <cell r="I69">
            <v>19</v>
          </cell>
        </row>
        <row r="70">
          <cell r="H70">
            <v>46</v>
          </cell>
          <cell r="I70">
            <v>19</v>
          </cell>
        </row>
        <row r="71">
          <cell r="H71">
            <v>47</v>
          </cell>
          <cell r="I71">
            <v>19</v>
          </cell>
        </row>
        <row r="72">
          <cell r="H72">
            <v>48</v>
          </cell>
          <cell r="I72">
            <v>19</v>
          </cell>
        </row>
        <row r="73">
          <cell r="H73">
            <v>49</v>
          </cell>
          <cell r="I73">
            <v>20</v>
          </cell>
        </row>
        <row r="74">
          <cell r="H74">
            <v>50</v>
          </cell>
          <cell r="I74">
            <v>20</v>
          </cell>
        </row>
        <row r="75">
          <cell r="H75">
            <v>51</v>
          </cell>
          <cell r="I75">
            <v>20</v>
          </cell>
        </row>
        <row r="76">
          <cell r="H76">
            <v>52</v>
          </cell>
          <cell r="I76">
            <v>20</v>
          </cell>
        </row>
        <row r="77">
          <cell r="H77">
            <v>53</v>
          </cell>
          <cell r="I77">
            <v>21</v>
          </cell>
        </row>
        <row r="78">
          <cell r="H78">
            <v>54</v>
          </cell>
          <cell r="I78">
            <v>21</v>
          </cell>
        </row>
        <row r="79">
          <cell r="H79">
            <v>55</v>
          </cell>
          <cell r="I79">
            <v>21</v>
          </cell>
        </row>
        <row r="80">
          <cell r="H80">
            <v>56</v>
          </cell>
          <cell r="I80">
            <v>21</v>
          </cell>
        </row>
        <row r="81">
          <cell r="H81">
            <v>57</v>
          </cell>
          <cell r="I81">
            <v>22</v>
          </cell>
        </row>
        <row r="82">
          <cell r="H82">
            <v>58</v>
          </cell>
          <cell r="I82">
            <v>22</v>
          </cell>
        </row>
        <row r="83">
          <cell r="H83">
            <v>59</v>
          </cell>
          <cell r="I83">
            <v>22</v>
          </cell>
        </row>
        <row r="84">
          <cell r="H84">
            <v>60</v>
          </cell>
          <cell r="I84">
            <v>22</v>
          </cell>
        </row>
        <row r="85">
          <cell r="H85">
            <v>61</v>
          </cell>
          <cell r="I85">
            <v>23</v>
          </cell>
        </row>
        <row r="86">
          <cell r="H86">
            <v>62</v>
          </cell>
          <cell r="I86">
            <v>23</v>
          </cell>
        </row>
        <row r="87">
          <cell r="H87">
            <v>63</v>
          </cell>
          <cell r="I87">
            <v>23</v>
          </cell>
        </row>
        <row r="88">
          <cell r="H88">
            <v>64</v>
          </cell>
          <cell r="I88">
            <v>23</v>
          </cell>
        </row>
        <row r="89">
          <cell r="H89">
            <v>65</v>
          </cell>
          <cell r="I89">
            <v>24</v>
          </cell>
        </row>
        <row r="90">
          <cell r="H90">
            <v>66</v>
          </cell>
          <cell r="I90">
            <v>24</v>
          </cell>
        </row>
        <row r="91">
          <cell r="H91">
            <v>67</v>
          </cell>
          <cell r="I91">
            <v>24</v>
          </cell>
        </row>
        <row r="92">
          <cell r="H92">
            <v>68</v>
          </cell>
          <cell r="I92">
            <v>24</v>
          </cell>
        </row>
        <row r="93">
          <cell r="H93">
            <v>69</v>
          </cell>
          <cell r="I93">
            <v>25</v>
          </cell>
        </row>
        <row r="94">
          <cell r="H94">
            <v>70</v>
          </cell>
          <cell r="I94">
            <v>25</v>
          </cell>
        </row>
        <row r="95">
          <cell r="H95">
            <v>71</v>
          </cell>
          <cell r="I95">
            <v>25</v>
          </cell>
        </row>
        <row r="96">
          <cell r="H96">
            <v>72</v>
          </cell>
          <cell r="I96">
            <v>25</v>
          </cell>
        </row>
        <row r="97">
          <cell r="H97">
            <v>73</v>
          </cell>
          <cell r="I97">
            <v>26</v>
          </cell>
        </row>
        <row r="98">
          <cell r="H98">
            <v>74</v>
          </cell>
          <cell r="I98">
            <v>26</v>
          </cell>
        </row>
        <row r="99">
          <cell r="H99">
            <v>75</v>
          </cell>
          <cell r="I99">
            <v>26</v>
          </cell>
        </row>
        <row r="100">
          <cell r="H100">
            <v>76</v>
          </cell>
          <cell r="I100">
            <v>26</v>
          </cell>
        </row>
        <row r="101">
          <cell r="H101">
            <v>77</v>
          </cell>
          <cell r="I101">
            <v>27</v>
          </cell>
        </row>
        <row r="102">
          <cell r="H102">
            <v>78</v>
          </cell>
          <cell r="I102">
            <v>27</v>
          </cell>
        </row>
        <row r="103">
          <cell r="H103">
            <v>79</v>
          </cell>
          <cell r="I103">
            <v>27</v>
          </cell>
        </row>
        <row r="104">
          <cell r="H104">
            <v>80</v>
          </cell>
          <cell r="I104">
            <v>27</v>
          </cell>
        </row>
        <row r="105">
          <cell r="H105">
            <v>81</v>
          </cell>
          <cell r="I105">
            <v>28</v>
          </cell>
        </row>
        <row r="106">
          <cell r="H106">
            <v>82</v>
          </cell>
          <cell r="I106">
            <v>28</v>
          </cell>
        </row>
        <row r="107">
          <cell r="H107">
            <v>83</v>
          </cell>
          <cell r="I107">
            <v>28</v>
          </cell>
        </row>
        <row r="108">
          <cell r="H108">
            <v>84</v>
          </cell>
          <cell r="I108">
            <v>28</v>
          </cell>
        </row>
        <row r="109">
          <cell r="H109">
            <v>85</v>
          </cell>
          <cell r="I109">
            <v>29</v>
          </cell>
        </row>
        <row r="110">
          <cell r="H110">
            <v>86</v>
          </cell>
          <cell r="I110">
            <v>29</v>
          </cell>
        </row>
        <row r="111">
          <cell r="H111">
            <v>87</v>
          </cell>
          <cell r="I111">
            <v>29</v>
          </cell>
        </row>
        <row r="112">
          <cell r="H112">
            <v>88</v>
          </cell>
          <cell r="I112">
            <v>29</v>
          </cell>
        </row>
        <row r="113">
          <cell r="H113">
            <v>89</v>
          </cell>
          <cell r="I113">
            <v>30</v>
          </cell>
        </row>
        <row r="114">
          <cell r="H114">
            <v>90</v>
          </cell>
          <cell r="I114">
            <v>30</v>
          </cell>
        </row>
        <row r="115">
          <cell r="H115">
            <v>91</v>
          </cell>
          <cell r="I115">
            <v>30</v>
          </cell>
        </row>
        <row r="116">
          <cell r="H116">
            <v>92</v>
          </cell>
          <cell r="I116">
            <v>30</v>
          </cell>
        </row>
        <row r="117">
          <cell r="H117">
            <v>93</v>
          </cell>
          <cell r="I117">
            <v>31</v>
          </cell>
        </row>
        <row r="118">
          <cell r="H118">
            <v>94</v>
          </cell>
          <cell r="I118">
            <v>31</v>
          </cell>
        </row>
        <row r="119">
          <cell r="H119">
            <v>95</v>
          </cell>
          <cell r="I119">
            <v>31</v>
          </cell>
        </row>
        <row r="120">
          <cell r="H120">
            <v>96</v>
          </cell>
          <cell r="I120">
            <v>31</v>
          </cell>
        </row>
        <row r="121">
          <cell r="H121">
            <v>97</v>
          </cell>
          <cell r="I121">
            <v>32</v>
          </cell>
        </row>
        <row r="122">
          <cell r="H122">
            <v>98</v>
          </cell>
          <cell r="I122">
            <v>32</v>
          </cell>
        </row>
        <row r="123">
          <cell r="H123">
            <v>99</v>
          </cell>
          <cell r="I123">
            <v>32</v>
          </cell>
        </row>
        <row r="124">
          <cell r="H124">
            <v>100</v>
          </cell>
          <cell r="I124">
            <v>32</v>
          </cell>
        </row>
        <row r="125">
          <cell r="H125">
            <v>101</v>
          </cell>
          <cell r="I125">
            <v>33</v>
          </cell>
        </row>
        <row r="126">
          <cell r="H126">
            <v>102</v>
          </cell>
          <cell r="I126">
            <v>33</v>
          </cell>
        </row>
        <row r="127">
          <cell r="H127">
            <v>103</v>
          </cell>
          <cell r="I127">
            <v>33</v>
          </cell>
        </row>
        <row r="128">
          <cell r="H128">
            <v>104</v>
          </cell>
          <cell r="I128">
            <v>33</v>
          </cell>
        </row>
        <row r="129">
          <cell r="H129">
            <v>105</v>
          </cell>
          <cell r="I129">
            <v>34</v>
          </cell>
        </row>
        <row r="130">
          <cell r="H130">
            <v>106</v>
          </cell>
          <cell r="I130">
            <v>34</v>
          </cell>
        </row>
        <row r="131">
          <cell r="H131">
            <v>107</v>
          </cell>
          <cell r="I131">
            <v>34</v>
          </cell>
        </row>
        <row r="132">
          <cell r="H132">
            <v>108</v>
          </cell>
          <cell r="I132">
            <v>34</v>
          </cell>
        </row>
        <row r="133">
          <cell r="H133">
            <v>109</v>
          </cell>
          <cell r="I133">
            <v>35</v>
          </cell>
        </row>
        <row r="134">
          <cell r="H134">
            <v>110</v>
          </cell>
          <cell r="I134">
            <v>35</v>
          </cell>
        </row>
        <row r="135">
          <cell r="H135">
            <v>111</v>
          </cell>
          <cell r="I135">
            <v>35</v>
          </cell>
        </row>
        <row r="136">
          <cell r="H136">
            <v>112</v>
          </cell>
          <cell r="I136">
            <v>35</v>
          </cell>
        </row>
        <row r="137">
          <cell r="H137">
            <v>113</v>
          </cell>
          <cell r="I137">
            <v>36</v>
          </cell>
        </row>
        <row r="138">
          <cell r="H138">
            <v>114</v>
          </cell>
          <cell r="I138">
            <v>36</v>
          </cell>
        </row>
        <row r="139">
          <cell r="H139">
            <v>115</v>
          </cell>
          <cell r="I139">
            <v>36</v>
          </cell>
        </row>
        <row r="140">
          <cell r="H140">
            <v>116</v>
          </cell>
          <cell r="I140">
            <v>36</v>
          </cell>
        </row>
        <row r="141">
          <cell r="H141">
            <v>117</v>
          </cell>
          <cell r="I141">
            <v>37</v>
          </cell>
        </row>
        <row r="142">
          <cell r="H142">
            <v>118</v>
          </cell>
          <cell r="I142">
            <v>37</v>
          </cell>
        </row>
        <row r="143">
          <cell r="H143">
            <v>119</v>
          </cell>
          <cell r="I143">
            <v>37</v>
          </cell>
        </row>
        <row r="144">
          <cell r="H144">
            <v>120</v>
          </cell>
          <cell r="I144">
            <v>37</v>
          </cell>
        </row>
      </sheetData>
      <sheetData sheetId="3">
        <row r="37">
          <cell r="O37" t="str">
            <v>金币副本</v>
          </cell>
          <cell r="P37" t="str">
            <v>秘典等级</v>
          </cell>
          <cell r="Q37" t="str">
            <v>对应节点金币</v>
          </cell>
          <cell r="R37" t="str">
            <v>转化副本金币</v>
          </cell>
        </row>
        <row r="38">
          <cell r="O38">
            <v>1</v>
          </cell>
          <cell r="P38">
            <v>1</v>
          </cell>
          <cell r="Q38">
            <v>1136</v>
          </cell>
          <cell r="R38">
            <v>408960</v>
          </cell>
        </row>
        <row r="39">
          <cell r="O39">
            <v>2</v>
          </cell>
          <cell r="P39">
            <v>1</v>
          </cell>
          <cell r="Q39">
            <v>1230</v>
          </cell>
          <cell r="R39">
            <v>442800</v>
          </cell>
        </row>
        <row r="40">
          <cell r="O40">
            <v>3</v>
          </cell>
          <cell r="P40">
            <v>1</v>
          </cell>
          <cell r="Q40">
            <v>1282</v>
          </cell>
          <cell r="R40">
            <v>461520</v>
          </cell>
        </row>
        <row r="41">
          <cell r="O41">
            <v>4</v>
          </cell>
          <cell r="P41">
            <v>1</v>
          </cell>
          <cell r="Q41">
            <v>1282</v>
          </cell>
          <cell r="R41">
            <v>461520</v>
          </cell>
        </row>
        <row r="42">
          <cell r="O42">
            <v>5</v>
          </cell>
          <cell r="P42">
            <v>1</v>
          </cell>
          <cell r="Q42">
            <v>1292</v>
          </cell>
          <cell r="R42">
            <v>465120</v>
          </cell>
        </row>
        <row r="43">
          <cell r="O43">
            <v>6</v>
          </cell>
          <cell r="P43">
            <v>1</v>
          </cell>
          <cell r="Q43">
            <v>1317</v>
          </cell>
          <cell r="R43">
            <v>474120</v>
          </cell>
        </row>
        <row r="44">
          <cell r="O44">
            <v>7</v>
          </cell>
          <cell r="P44">
            <v>1</v>
          </cell>
          <cell r="Q44">
            <v>1317</v>
          </cell>
          <cell r="R44">
            <v>474120</v>
          </cell>
        </row>
        <row r="45">
          <cell r="O45">
            <v>8</v>
          </cell>
          <cell r="P45">
            <v>1</v>
          </cell>
          <cell r="Q45">
            <v>1317</v>
          </cell>
          <cell r="R45">
            <v>474120</v>
          </cell>
        </row>
        <row r="46">
          <cell r="O46">
            <v>9</v>
          </cell>
          <cell r="P46">
            <v>2</v>
          </cell>
          <cell r="Q46">
            <v>1994</v>
          </cell>
          <cell r="R46">
            <v>717840</v>
          </cell>
        </row>
        <row r="47">
          <cell r="O47">
            <v>10</v>
          </cell>
          <cell r="P47">
            <v>2</v>
          </cell>
          <cell r="Q47">
            <v>1994</v>
          </cell>
          <cell r="R47">
            <v>717840</v>
          </cell>
        </row>
        <row r="48">
          <cell r="O48">
            <v>11</v>
          </cell>
          <cell r="P48">
            <v>2</v>
          </cell>
          <cell r="Q48">
            <v>1994</v>
          </cell>
          <cell r="R48">
            <v>717840</v>
          </cell>
        </row>
        <row r="49">
          <cell r="O49">
            <v>12</v>
          </cell>
          <cell r="P49">
            <v>2</v>
          </cell>
          <cell r="Q49">
            <v>1994</v>
          </cell>
          <cell r="R49">
            <v>717840</v>
          </cell>
        </row>
        <row r="50">
          <cell r="O50">
            <v>13</v>
          </cell>
          <cell r="P50">
            <v>2</v>
          </cell>
          <cell r="Q50">
            <v>1994</v>
          </cell>
          <cell r="R50">
            <v>717840</v>
          </cell>
        </row>
        <row r="51">
          <cell r="O51">
            <v>14</v>
          </cell>
          <cell r="P51">
            <v>2</v>
          </cell>
          <cell r="Q51">
            <v>1994</v>
          </cell>
          <cell r="R51">
            <v>717840</v>
          </cell>
        </row>
        <row r="52">
          <cell r="O52">
            <v>15</v>
          </cell>
          <cell r="P52">
            <v>2</v>
          </cell>
          <cell r="Q52">
            <v>1994</v>
          </cell>
          <cell r="R52">
            <v>717840</v>
          </cell>
        </row>
        <row r="53">
          <cell r="O53">
            <v>16</v>
          </cell>
          <cell r="P53">
            <v>2</v>
          </cell>
          <cell r="Q53">
            <v>2057</v>
          </cell>
          <cell r="R53">
            <v>740520</v>
          </cell>
        </row>
        <row r="54">
          <cell r="O54">
            <v>17</v>
          </cell>
          <cell r="P54">
            <v>3</v>
          </cell>
          <cell r="Q54">
            <v>2765</v>
          </cell>
          <cell r="R54">
            <v>995400</v>
          </cell>
        </row>
        <row r="55">
          <cell r="O55">
            <v>18</v>
          </cell>
          <cell r="P55">
            <v>3</v>
          </cell>
          <cell r="Q55">
            <v>2859</v>
          </cell>
          <cell r="R55">
            <v>1029240</v>
          </cell>
        </row>
        <row r="56">
          <cell r="O56">
            <v>19</v>
          </cell>
          <cell r="P56">
            <v>3</v>
          </cell>
          <cell r="Q56">
            <v>2859</v>
          </cell>
          <cell r="R56">
            <v>1029240</v>
          </cell>
        </row>
        <row r="57">
          <cell r="O57">
            <v>20</v>
          </cell>
          <cell r="P57">
            <v>3</v>
          </cell>
          <cell r="Q57">
            <v>2869</v>
          </cell>
          <cell r="R57">
            <v>1032840</v>
          </cell>
        </row>
        <row r="58">
          <cell r="O58">
            <v>21</v>
          </cell>
          <cell r="P58">
            <v>3</v>
          </cell>
          <cell r="Q58">
            <v>2937</v>
          </cell>
          <cell r="R58">
            <v>1057320</v>
          </cell>
        </row>
        <row r="59">
          <cell r="O59">
            <v>22</v>
          </cell>
          <cell r="P59">
            <v>3</v>
          </cell>
          <cell r="Q59">
            <v>3058</v>
          </cell>
          <cell r="R59">
            <v>1100880</v>
          </cell>
        </row>
        <row r="60">
          <cell r="O60">
            <v>23</v>
          </cell>
          <cell r="P60">
            <v>3</v>
          </cell>
          <cell r="Q60">
            <v>3058</v>
          </cell>
          <cell r="R60">
            <v>1100880</v>
          </cell>
        </row>
        <row r="61">
          <cell r="O61">
            <v>24</v>
          </cell>
          <cell r="P61">
            <v>3</v>
          </cell>
          <cell r="Q61">
            <v>3069</v>
          </cell>
          <cell r="R61">
            <v>1104840</v>
          </cell>
        </row>
        <row r="62">
          <cell r="O62">
            <v>25</v>
          </cell>
          <cell r="P62">
            <v>4</v>
          </cell>
          <cell r="Q62">
            <v>4148</v>
          </cell>
          <cell r="R62">
            <v>1493280</v>
          </cell>
        </row>
        <row r="63">
          <cell r="O63">
            <v>26</v>
          </cell>
          <cell r="P63">
            <v>4</v>
          </cell>
          <cell r="Q63">
            <v>4148</v>
          </cell>
          <cell r="R63">
            <v>1493280</v>
          </cell>
        </row>
        <row r="64">
          <cell r="O64">
            <v>27</v>
          </cell>
          <cell r="P64">
            <v>4</v>
          </cell>
          <cell r="Q64">
            <v>4162</v>
          </cell>
          <cell r="R64">
            <v>1498320</v>
          </cell>
        </row>
        <row r="65">
          <cell r="O65">
            <v>28</v>
          </cell>
          <cell r="P65">
            <v>4</v>
          </cell>
          <cell r="Q65">
            <v>4162</v>
          </cell>
          <cell r="R65">
            <v>1498320</v>
          </cell>
        </row>
        <row r="66">
          <cell r="O66">
            <v>29</v>
          </cell>
          <cell r="P66">
            <v>4</v>
          </cell>
          <cell r="Q66">
            <v>4227</v>
          </cell>
          <cell r="R66">
            <v>1521720</v>
          </cell>
        </row>
        <row r="67">
          <cell r="O67">
            <v>30</v>
          </cell>
          <cell r="P67">
            <v>4</v>
          </cell>
          <cell r="Q67">
            <v>4227</v>
          </cell>
          <cell r="R67">
            <v>1521720</v>
          </cell>
        </row>
        <row r="68">
          <cell r="O68">
            <v>31</v>
          </cell>
          <cell r="P68">
            <v>4</v>
          </cell>
          <cell r="Q68">
            <v>4240</v>
          </cell>
          <cell r="R68">
            <v>1526400</v>
          </cell>
        </row>
        <row r="69">
          <cell r="O69">
            <v>32</v>
          </cell>
          <cell r="P69">
            <v>4</v>
          </cell>
          <cell r="Q69">
            <v>4240</v>
          </cell>
          <cell r="R69">
            <v>1526400</v>
          </cell>
        </row>
        <row r="70">
          <cell r="O70">
            <v>33</v>
          </cell>
          <cell r="P70">
            <v>5</v>
          </cell>
          <cell r="Q70">
            <v>5166</v>
          </cell>
          <cell r="R70">
            <v>1859760</v>
          </cell>
        </row>
        <row r="71">
          <cell r="O71">
            <v>34</v>
          </cell>
          <cell r="P71">
            <v>5</v>
          </cell>
          <cell r="Q71">
            <v>5166</v>
          </cell>
          <cell r="R71">
            <v>1859760</v>
          </cell>
        </row>
        <row r="72">
          <cell r="O72">
            <v>35</v>
          </cell>
          <cell r="P72">
            <v>5</v>
          </cell>
          <cell r="Q72">
            <v>5182</v>
          </cell>
          <cell r="R72">
            <v>1865520</v>
          </cell>
        </row>
        <row r="73">
          <cell r="O73">
            <v>36</v>
          </cell>
          <cell r="P73">
            <v>5</v>
          </cell>
          <cell r="Q73">
            <v>5182</v>
          </cell>
          <cell r="R73">
            <v>1865520</v>
          </cell>
        </row>
        <row r="74">
          <cell r="O74">
            <v>37</v>
          </cell>
          <cell r="P74">
            <v>5</v>
          </cell>
          <cell r="Q74">
            <v>5260</v>
          </cell>
          <cell r="R74">
            <v>1893600</v>
          </cell>
        </row>
        <row r="75">
          <cell r="O75">
            <v>38</v>
          </cell>
          <cell r="P75">
            <v>5</v>
          </cell>
          <cell r="Q75">
            <v>5260</v>
          </cell>
          <cell r="R75">
            <v>1893600</v>
          </cell>
        </row>
        <row r="76">
          <cell r="O76">
            <v>39</v>
          </cell>
          <cell r="P76">
            <v>5</v>
          </cell>
          <cell r="Q76">
            <v>5275</v>
          </cell>
          <cell r="R76">
            <v>1899000</v>
          </cell>
        </row>
        <row r="77">
          <cell r="O77">
            <v>40</v>
          </cell>
          <cell r="P77">
            <v>5</v>
          </cell>
          <cell r="Q77">
            <v>5275</v>
          </cell>
          <cell r="R77">
            <v>1899000</v>
          </cell>
        </row>
        <row r="78">
          <cell r="O78">
            <v>41</v>
          </cell>
          <cell r="P78">
            <v>6</v>
          </cell>
          <cell r="Q78">
            <v>6491</v>
          </cell>
          <cell r="R78">
            <v>2336760</v>
          </cell>
        </row>
        <row r="79">
          <cell r="O79">
            <v>42</v>
          </cell>
          <cell r="P79">
            <v>6</v>
          </cell>
          <cell r="Q79">
            <v>6491</v>
          </cell>
          <cell r="R79">
            <v>2336760</v>
          </cell>
        </row>
        <row r="80">
          <cell r="O80">
            <v>43</v>
          </cell>
          <cell r="P80">
            <v>6</v>
          </cell>
          <cell r="Q80">
            <v>6509</v>
          </cell>
          <cell r="R80">
            <v>2343240</v>
          </cell>
        </row>
        <row r="81">
          <cell r="O81">
            <v>44</v>
          </cell>
          <cell r="P81">
            <v>6</v>
          </cell>
          <cell r="Q81">
            <v>6509</v>
          </cell>
          <cell r="R81">
            <v>2343240</v>
          </cell>
        </row>
        <row r="82">
          <cell r="O82">
            <v>45</v>
          </cell>
          <cell r="P82">
            <v>6</v>
          </cell>
          <cell r="Q82">
            <v>6600</v>
          </cell>
          <cell r="R82">
            <v>2376000</v>
          </cell>
        </row>
        <row r="83">
          <cell r="O83">
            <v>46</v>
          </cell>
          <cell r="P83">
            <v>6</v>
          </cell>
          <cell r="Q83">
            <v>6600</v>
          </cell>
          <cell r="R83">
            <v>2376000</v>
          </cell>
        </row>
        <row r="84">
          <cell r="O84">
            <v>47</v>
          </cell>
          <cell r="P84">
            <v>6</v>
          </cell>
          <cell r="Q84">
            <v>6619</v>
          </cell>
          <cell r="R84">
            <v>2382840</v>
          </cell>
        </row>
        <row r="85">
          <cell r="O85">
            <v>48</v>
          </cell>
          <cell r="P85">
            <v>6</v>
          </cell>
          <cell r="Q85">
            <v>6619</v>
          </cell>
          <cell r="R85">
            <v>2382840</v>
          </cell>
        </row>
        <row r="86">
          <cell r="O86">
            <v>49</v>
          </cell>
          <cell r="P86">
            <v>6</v>
          </cell>
          <cell r="Q86">
            <v>6710</v>
          </cell>
          <cell r="R86">
            <v>2415600</v>
          </cell>
        </row>
        <row r="87">
          <cell r="O87">
            <v>50</v>
          </cell>
          <cell r="P87">
            <v>6</v>
          </cell>
          <cell r="Q87">
            <v>6710</v>
          </cell>
          <cell r="R87">
            <v>2415600</v>
          </cell>
        </row>
        <row r="88">
          <cell r="O88">
            <v>51</v>
          </cell>
          <cell r="P88">
            <v>6</v>
          </cell>
          <cell r="Q88">
            <v>6728</v>
          </cell>
          <cell r="R88">
            <v>2422080</v>
          </cell>
        </row>
        <row r="89">
          <cell r="O89">
            <v>52</v>
          </cell>
          <cell r="P89">
            <v>6</v>
          </cell>
          <cell r="Q89">
            <v>6728</v>
          </cell>
          <cell r="R89">
            <v>2422080</v>
          </cell>
        </row>
        <row r="90">
          <cell r="O90">
            <v>53</v>
          </cell>
          <cell r="P90">
            <v>7</v>
          </cell>
          <cell r="Q90">
            <v>8639</v>
          </cell>
          <cell r="R90">
            <v>3110040</v>
          </cell>
        </row>
        <row r="91">
          <cell r="O91">
            <v>54</v>
          </cell>
          <cell r="P91">
            <v>7</v>
          </cell>
          <cell r="Q91">
            <v>8639</v>
          </cell>
          <cell r="R91">
            <v>3110040</v>
          </cell>
        </row>
        <row r="92">
          <cell r="O92">
            <v>55</v>
          </cell>
          <cell r="P92">
            <v>7</v>
          </cell>
          <cell r="Q92">
            <v>8660</v>
          </cell>
          <cell r="R92">
            <v>3117600</v>
          </cell>
        </row>
        <row r="93">
          <cell r="O93">
            <v>56</v>
          </cell>
          <cell r="P93">
            <v>7</v>
          </cell>
          <cell r="Q93">
            <v>8660</v>
          </cell>
          <cell r="R93">
            <v>3117600</v>
          </cell>
        </row>
        <row r="94">
          <cell r="O94">
            <v>57</v>
          </cell>
          <cell r="P94">
            <v>7</v>
          </cell>
          <cell r="Q94">
            <v>8765</v>
          </cell>
          <cell r="R94">
            <v>3155400</v>
          </cell>
        </row>
        <row r="95">
          <cell r="O95">
            <v>58</v>
          </cell>
          <cell r="P95">
            <v>7</v>
          </cell>
          <cell r="Q95">
            <v>8765</v>
          </cell>
          <cell r="R95">
            <v>3155400</v>
          </cell>
        </row>
        <row r="96">
          <cell r="O96">
            <v>59</v>
          </cell>
          <cell r="P96">
            <v>7</v>
          </cell>
          <cell r="Q96">
            <v>8786</v>
          </cell>
          <cell r="R96">
            <v>3162960</v>
          </cell>
        </row>
        <row r="97">
          <cell r="O97">
            <v>60</v>
          </cell>
          <cell r="P97">
            <v>7</v>
          </cell>
          <cell r="Q97">
            <v>8786</v>
          </cell>
          <cell r="R97">
            <v>3162960</v>
          </cell>
        </row>
        <row r="98">
          <cell r="O98">
            <v>61</v>
          </cell>
          <cell r="P98">
            <v>7</v>
          </cell>
          <cell r="Q98">
            <v>9024</v>
          </cell>
          <cell r="R98">
            <v>3248640</v>
          </cell>
        </row>
        <row r="99">
          <cell r="O99">
            <v>62</v>
          </cell>
          <cell r="P99">
            <v>7</v>
          </cell>
          <cell r="Q99">
            <v>9024</v>
          </cell>
          <cell r="R99">
            <v>3248640</v>
          </cell>
        </row>
        <row r="100">
          <cell r="O100">
            <v>63</v>
          </cell>
          <cell r="P100">
            <v>7</v>
          </cell>
          <cell r="Q100">
            <v>9045</v>
          </cell>
          <cell r="R100">
            <v>3256200</v>
          </cell>
        </row>
        <row r="101">
          <cell r="O101">
            <v>64</v>
          </cell>
          <cell r="P101">
            <v>7</v>
          </cell>
          <cell r="Q101">
            <v>9045</v>
          </cell>
          <cell r="R101">
            <v>3256200</v>
          </cell>
        </row>
        <row r="102">
          <cell r="O102">
            <v>65</v>
          </cell>
          <cell r="P102">
            <v>8</v>
          </cell>
          <cell r="Q102">
            <v>10293</v>
          </cell>
          <cell r="R102">
            <v>3705480</v>
          </cell>
        </row>
        <row r="103">
          <cell r="O103">
            <v>66</v>
          </cell>
          <cell r="P103">
            <v>8</v>
          </cell>
          <cell r="Q103">
            <v>10293</v>
          </cell>
          <cell r="R103">
            <v>3705480</v>
          </cell>
        </row>
        <row r="104">
          <cell r="O104">
            <v>67</v>
          </cell>
          <cell r="P104">
            <v>8</v>
          </cell>
          <cell r="Q104">
            <v>10317</v>
          </cell>
          <cell r="R104">
            <v>3714120</v>
          </cell>
        </row>
        <row r="105">
          <cell r="O105">
            <v>68</v>
          </cell>
          <cell r="P105">
            <v>8</v>
          </cell>
          <cell r="Q105">
            <v>10317</v>
          </cell>
          <cell r="R105">
            <v>3714120</v>
          </cell>
        </row>
        <row r="106">
          <cell r="O106">
            <v>69</v>
          </cell>
          <cell r="P106">
            <v>8</v>
          </cell>
          <cell r="Q106">
            <v>10435</v>
          </cell>
          <cell r="R106">
            <v>3756600</v>
          </cell>
        </row>
        <row r="107">
          <cell r="O107">
            <v>70</v>
          </cell>
          <cell r="P107">
            <v>8</v>
          </cell>
          <cell r="Q107">
            <v>10435</v>
          </cell>
          <cell r="R107">
            <v>3756600</v>
          </cell>
        </row>
        <row r="108">
          <cell r="O108">
            <v>71</v>
          </cell>
          <cell r="P108">
            <v>8</v>
          </cell>
          <cell r="Q108">
            <v>10458</v>
          </cell>
          <cell r="R108">
            <v>3764880</v>
          </cell>
        </row>
        <row r="109">
          <cell r="O109">
            <v>72</v>
          </cell>
          <cell r="P109">
            <v>8</v>
          </cell>
          <cell r="Q109">
            <v>10458</v>
          </cell>
          <cell r="R109">
            <v>3764880</v>
          </cell>
        </row>
        <row r="110">
          <cell r="O110">
            <v>73</v>
          </cell>
          <cell r="P110">
            <v>8</v>
          </cell>
          <cell r="Q110">
            <v>10576</v>
          </cell>
          <cell r="R110">
            <v>3807360</v>
          </cell>
        </row>
        <row r="111">
          <cell r="O111">
            <v>74</v>
          </cell>
          <cell r="P111">
            <v>8</v>
          </cell>
          <cell r="Q111">
            <v>10576</v>
          </cell>
          <cell r="R111">
            <v>3807360</v>
          </cell>
        </row>
        <row r="112">
          <cell r="O112">
            <v>75</v>
          </cell>
          <cell r="P112">
            <v>8</v>
          </cell>
          <cell r="Q112">
            <v>10599</v>
          </cell>
          <cell r="R112">
            <v>3815640</v>
          </cell>
        </row>
        <row r="113">
          <cell r="O113">
            <v>76</v>
          </cell>
          <cell r="P113">
            <v>8</v>
          </cell>
          <cell r="Q113">
            <v>10599</v>
          </cell>
          <cell r="R113">
            <v>3815640</v>
          </cell>
        </row>
        <row r="114">
          <cell r="O114">
            <v>77</v>
          </cell>
          <cell r="P114">
            <v>9</v>
          </cell>
          <cell r="Q114">
            <v>11928</v>
          </cell>
          <cell r="R114">
            <v>4294080</v>
          </cell>
        </row>
        <row r="115">
          <cell r="O115">
            <v>78</v>
          </cell>
          <cell r="P115">
            <v>9</v>
          </cell>
          <cell r="Q115">
            <v>11928</v>
          </cell>
          <cell r="R115">
            <v>4294080</v>
          </cell>
        </row>
        <row r="116">
          <cell r="O116">
            <v>79</v>
          </cell>
          <cell r="P116">
            <v>9</v>
          </cell>
          <cell r="Q116">
            <v>11955</v>
          </cell>
          <cell r="R116">
            <v>4303800</v>
          </cell>
        </row>
        <row r="117">
          <cell r="O117">
            <v>80</v>
          </cell>
          <cell r="P117">
            <v>9</v>
          </cell>
          <cell r="Q117">
            <v>11955</v>
          </cell>
          <cell r="R117">
            <v>4303800</v>
          </cell>
        </row>
        <row r="118">
          <cell r="O118">
            <v>81</v>
          </cell>
          <cell r="P118">
            <v>9</v>
          </cell>
          <cell r="Q118">
            <v>12650</v>
          </cell>
          <cell r="R118">
            <v>4554000</v>
          </cell>
        </row>
        <row r="119">
          <cell r="O119">
            <v>82</v>
          </cell>
          <cell r="P119">
            <v>9</v>
          </cell>
          <cell r="Q119">
            <v>12650</v>
          </cell>
          <cell r="R119">
            <v>4554000</v>
          </cell>
        </row>
        <row r="120">
          <cell r="O120">
            <v>83</v>
          </cell>
          <cell r="P120">
            <v>9</v>
          </cell>
          <cell r="Q120">
            <v>12676</v>
          </cell>
          <cell r="R120">
            <v>4563360</v>
          </cell>
        </row>
        <row r="121">
          <cell r="O121">
            <v>84</v>
          </cell>
          <cell r="P121">
            <v>9</v>
          </cell>
          <cell r="Q121">
            <v>12676</v>
          </cell>
          <cell r="R121">
            <v>4563360</v>
          </cell>
        </row>
        <row r="122">
          <cell r="O122">
            <v>85</v>
          </cell>
          <cell r="P122">
            <v>9</v>
          </cell>
          <cell r="Q122">
            <v>12807</v>
          </cell>
          <cell r="R122">
            <v>4610520</v>
          </cell>
        </row>
        <row r="123">
          <cell r="O123">
            <v>86</v>
          </cell>
          <cell r="P123">
            <v>9</v>
          </cell>
          <cell r="Q123">
            <v>12807</v>
          </cell>
          <cell r="R123">
            <v>4610520</v>
          </cell>
        </row>
        <row r="124">
          <cell r="O124">
            <v>87</v>
          </cell>
          <cell r="P124">
            <v>9</v>
          </cell>
          <cell r="Q124">
            <v>12833</v>
          </cell>
          <cell r="R124">
            <v>4619880</v>
          </cell>
        </row>
        <row r="125">
          <cell r="O125">
            <v>88</v>
          </cell>
          <cell r="P125">
            <v>9</v>
          </cell>
          <cell r="Q125">
            <v>12833</v>
          </cell>
          <cell r="R125">
            <v>4619880</v>
          </cell>
        </row>
        <row r="126">
          <cell r="O126">
            <v>89</v>
          </cell>
          <cell r="P126">
            <v>10</v>
          </cell>
          <cell r="Q126">
            <v>16037</v>
          </cell>
          <cell r="R126">
            <v>5773320</v>
          </cell>
        </row>
        <row r="127">
          <cell r="O127">
            <v>90</v>
          </cell>
          <cell r="P127">
            <v>10</v>
          </cell>
          <cell r="Q127">
            <v>16037</v>
          </cell>
          <cell r="R127">
            <v>5773320</v>
          </cell>
        </row>
        <row r="128">
          <cell r="O128">
            <v>91</v>
          </cell>
          <cell r="P128">
            <v>10</v>
          </cell>
          <cell r="Q128">
            <v>16066</v>
          </cell>
          <cell r="R128">
            <v>5783760</v>
          </cell>
        </row>
        <row r="129">
          <cell r="O129">
            <v>92</v>
          </cell>
          <cell r="P129">
            <v>10</v>
          </cell>
          <cell r="Q129">
            <v>16066</v>
          </cell>
          <cell r="R129">
            <v>5783760</v>
          </cell>
        </row>
        <row r="130">
          <cell r="O130">
            <v>93</v>
          </cell>
          <cell r="P130">
            <v>10</v>
          </cell>
          <cell r="Q130">
            <v>16210</v>
          </cell>
          <cell r="R130">
            <v>5835600</v>
          </cell>
        </row>
        <row r="131">
          <cell r="O131">
            <v>94</v>
          </cell>
          <cell r="P131">
            <v>10</v>
          </cell>
          <cell r="Q131">
            <v>16210</v>
          </cell>
          <cell r="R131">
            <v>5835600</v>
          </cell>
        </row>
        <row r="132">
          <cell r="O132">
            <v>95</v>
          </cell>
          <cell r="P132">
            <v>10</v>
          </cell>
          <cell r="Q132">
            <v>16239</v>
          </cell>
          <cell r="R132">
            <v>5846040</v>
          </cell>
        </row>
        <row r="133">
          <cell r="O133">
            <v>96</v>
          </cell>
          <cell r="P133">
            <v>10</v>
          </cell>
          <cell r="Q133">
            <v>16239</v>
          </cell>
          <cell r="R133">
            <v>5846040</v>
          </cell>
        </row>
        <row r="134">
          <cell r="O134">
            <v>97</v>
          </cell>
          <cell r="P134">
            <v>10</v>
          </cell>
          <cell r="Q134">
            <v>16383</v>
          </cell>
          <cell r="R134">
            <v>5897880</v>
          </cell>
        </row>
        <row r="135">
          <cell r="O135">
            <v>98</v>
          </cell>
          <cell r="P135">
            <v>10</v>
          </cell>
          <cell r="Q135">
            <v>16383</v>
          </cell>
          <cell r="R135">
            <v>5897880</v>
          </cell>
        </row>
        <row r="136">
          <cell r="O136">
            <v>99</v>
          </cell>
          <cell r="P136">
            <v>10</v>
          </cell>
          <cell r="Q136">
            <v>16412</v>
          </cell>
          <cell r="R136">
            <v>5908320</v>
          </cell>
        </row>
        <row r="137">
          <cell r="O137">
            <v>100</v>
          </cell>
          <cell r="P137">
            <v>10</v>
          </cell>
          <cell r="Q137">
            <v>16412</v>
          </cell>
          <cell r="R137">
            <v>5908320</v>
          </cell>
        </row>
        <row r="138">
          <cell r="O138">
            <v>101</v>
          </cell>
          <cell r="P138">
            <v>11</v>
          </cell>
          <cell r="Q138">
            <v>18061</v>
          </cell>
          <cell r="R138">
            <v>6501960</v>
          </cell>
        </row>
        <row r="139">
          <cell r="O139">
            <v>102</v>
          </cell>
          <cell r="P139">
            <v>11</v>
          </cell>
          <cell r="Q139">
            <v>18061</v>
          </cell>
          <cell r="R139">
            <v>6501960</v>
          </cell>
        </row>
        <row r="140">
          <cell r="O140">
            <v>103</v>
          </cell>
          <cell r="P140">
            <v>11</v>
          </cell>
          <cell r="Q140">
            <v>18092</v>
          </cell>
          <cell r="R140">
            <v>6513120</v>
          </cell>
        </row>
        <row r="141">
          <cell r="O141">
            <v>104</v>
          </cell>
          <cell r="P141">
            <v>11</v>
          </cell>
          <cell r="Q141">
            <v>18092</v>
          </cell>
          <cell r="R141">
            <v>6513120</v>
          </cell>
        </row>
        <row r="142">
          <cell r="O142">
            <v>105</v>
          </cell>
          <cell r="P142">
            <v>11</v>
          </cell>
          <cell r="Q142">
            <v>18250</v>
          </cell>
          <cell r="R142">
            <v>6570000</v>
          </cell>
        </row>
        <row r="143">
          <cell r="O143">
            <v>106</v>
          </cell>
          <cell r="P143">
            <v>11</v>
          </cell>
          <cell r="Q143">
            <v>18250</v>
          </cell>
          <cell r="R143">
            <v>6570000</v>
          </cell>
        </row>
        <row r="144">
          <cell r="O144">
            <v>107</v>
          </cell>
          <cell r="P144">
            <v>11</v>
          </cell>
          <cell r="Q144">
            <v>18282</v>
          </cell>
          <cell r="R144">
            <v>6581520</v>
          </cell>
        </row>
        <row r="145">
          <cell r="O145">
            <v>108</v>
          </cell>
          <cell r="P145">
            <v>11</v>
          </cell>
          <cell r="Q145">
            <v>18282</v>
          </cell>
          <cell r="R145">
            <v>6581520</v>
          </cell>
        </row>
        <row r="146">
          <cell r="O146">
            <v>109</v>
          </cell>
          <cell r="P146">
            <v>11</v>
          </cell>
          <cell r="Q146">
            <v>18439</v>
          </cell>
          <cell r="R146">
            <v>6638040</v>
          </cell>
        </row>
        <row r="147">
          <cell r="O147">
            <v>110</v>
          </cell>
          <cell r="P147">
            <v>11</v>
          </cell>
          <cell r="Q147">
            <v>18439</v>
          </cell>
          <cell r="R147">
            <v>6638040</v>
          </cell>
        </row>
        <row r="148">
          <cell r="O148">
            <v>111</v>
          </cell>
          <cell r="P148">
            <v>11</v>
          </cell>
          <cell r="Q148">
            <v>18471</v>
          </cell>
          <cell r="R148">
            <v>6649560</v>
          </cell>
        </row>
        <row r="149">
          <cell r="O149">
            <v>112</v>
          </cell>
          <cell r="P149">
            <v>11</v>
          </cell>
          <cell r="Q149">
            <v>18471</v>
          </cell>
          <cell r="R149">
            <v>6649560</v>
          </cell>
        </row>
        <row r="150">
          <cell r="O150">
            <v>113</v>
          </cell>
          <cell r="P150">
            <v>12</v>
          </cell>
          <cell r="Q150">
            <v>22911</v>
          </cell>
          <cell r="R150">
            <v>8247960</v>
          </cell>
        </row>
        <row r="151">
          <cell r="O151">
            <v>114</v>
          </cell>
          <cell r="P151">
            <v>12</v>
          </cell>
          <cell r="Q151">
            <v>22911</v>
          </cell>
          <cell r="R151">
            <v>8247960</v>
          </cell>
        </row>
        <row r="152">
          <cell r="O152">
            <v>115</v>
          </cell>
          <cell r="P152">
            <v>12</v>
          </cell>
          <cell r="Q152">
            <v>22945</v>
          </cell>
          <cell r="R152">
            <v>8260200</v>
          </cell>
        </row>
        <row r="153">
          <cell r="O153">
            <v>116</v>
          </cell>
          <cell r="P153">
            <v>12</v>
          </cell>
          <cell r="Q153">
            <v>22945</v>
          </cell>
          <cell r="R153">
            <v>8260200</v>
          </cell>
        </row>
        <row r="154">
          <cell r="O154">
            <v>117</v>
          </cell>
          <cell r="P154">
            <v>12</v>
          </cell>
          <cell r="Q154">
            <v>23116</v>
          </cell>
          <cell r="R154">
            <v>8321760</v>
          </cell>
        </row>
        <row r="155">
          <cell r="O155">
            <v>118</v>
          </cell>
          <cell r="P155">
            <v>12</v>
          </cell>
          <cell r="Q155">
            <v>23116</v>
          </cell>
          <cell r="R155">
            <v>8321760</v>
          </cell>
        </row>
        <row r="156">
          <cell r="O156">
            <v>119</v>
          </cell>
          <cell r="P156">
            <v>12</v>
          </cell>
          <cell r="Q156">
            <v>23150</v>
          </cell>
          <cell r="R156">
            <v>8334000</v>
          </cell>
        </row>
        <row r="157">
          <cell r="O157">
            <v>120</v>
          </cell>
          <cell r="P157">
            <v>12</v>
          </cell>
          <cell r="Q157">
            <v>23150</v>
          </cell>
          <cell r="R157">
            <v>8334000</v>
          </cell>
        </row>
      </sheetData>
      <sheetData sheetId="4">
        <row r="18">
          <cell r="G18" t="str">
            <v>奶酪副本</v>
          </cell>
          <cell r="H18" t="str">
            <v>产出数量</v>
          </cell>
        </row>
        <row r="19">
          <cell r="G19">
            <v>1</v>
          </cell>
          <cell r="H19">
            <v>25</v>
          </cell>
        </row>
        <row r="20">
          <cell r="G20">
            <v>2</v>
          </cell>
          <cell r="H20">
            <v>25</v>
          </cell>
        </row>
        <row r="21">
          <cell r="G21">
            <v>3</v>
          </cell>
          <cell r="H21">
            <v>25</v>
          </cell>
        </row>
        <row r="22">
          <cell r="G22">
            <v>4</v>
          </cell>
          <cell r="H22">
            <v>25</v>
          </cell>
        </row>
        <row r="23">
          <cell r="G23">
            <v>5</v>
          </cell>
          <cell r="H23">
            <v>26</v>
          </cell>
        </row>
        <row r="24">
          <cell r="G24">
            <v>6</v>
          </cell>
          <cell r="H24">
            <v>26</v>
          </cell>
        </row>
        <row r="25">
          <cell r="G25">
            <v>7</v>
          </cell>
          <cell r="H25">
            <v>26</v>
          </cell>
        </row>
        <row r="26">
          <cell r="G26">
            <v>8</v>
          </cell>
          <cell r="H26">
            <v>26</v>
          </cell>
        </row>
        <row r="27">
          <cell r="G27">
            <v>9</v>
          </cell>
          <cell r="H27">
            <v>27</v>
          </cell>
        </row>
        <row r="28">
          <cell r="G28">
            <v>10</v>
          </cell>
          <cell r="H28">
            <v>27</v>
          </cell>
        </row>
        <row r="29">
          <cell r="G29">
            <v>11</v>
          </cell>
          <cell r="H29">
            <v>27</v>
          </cell>
        </row>
        <row r="30">
          <cell r="G30">
            <v>12</v>
          </cell>
          <cell r="H30">
            <v>27</v>
          </cell>
        </row>
        <row r="31">
          <cell r="G31">
            <v>13</v>
          </cell>
          <cell r="H31">
            <v>28</v>
          </cell>
        </row>
        <row r="32">
          <cell r="G32">
            <v>14</v>
          </cell>
          <cell r="H32">
            <v>28</v>
          </cell>
        </row>
        <row r="33">
          <cell r="G33">
            <v>15</v>
          </cell>
          <cell r="H33">
            <v>28</v>
          </cell>
        </row>
        <row r="34">
          <cell r="G34">
            <v>16</v>
          </cell>
          <cell r="H34">
            <v>28</v>
          </cell>
        </row>
        <row r="35">
          <cell r="G35">
            <v>17</v>
          </cell>
          <cell r="H35">
            <v>29</v>
          </cell>
        </row>
        <row r="36">
          <cell r="G36">
            <v>18</v>
          </cell>
          <cell r="H36">
            <v>29</v>
          </cell>
        </row>
        <row r="37">
          <cell r="G37">
            <v>19</v>
          </cell>
          <cell r="H37">
            <v>29</v>
          </cell>
        </row>
        <row r="38">
          <cell r="G38">
            <v>20</v>
          </cell>
          <cell r="H38">
            <v>29</v>
          </cell>
        </row>
        <row r="39">
          <cell r="G39">
            <v>21</v>
          </cell>
          <cell r="H39">
            <v>30</v>
          </cell>
        </row>
        <row r="40">
          <cell r="G40">
            <v>22</v>
          </cell>
          <cell r="H40">
            <v>30</v>
          </cell>
        </row>
        <row r="41">
          <cell r="G41">
            <v>23</v>
          </cell>
          <cell r="H41">
            <v>30</v>
          </cell>
        </row>
        <row r="42">
          <cell r="G42">
            <v>24</v>
          </cell>
          <cell r="H42">
            <v>30</v>
          </cell>
        </row>
        <row r="43">
          <cell r="G43">
            <v>25</v>
          </cell>
          <cell r="H43">
            <v>31</v>
          </cell>
        </row>
        <row r="44">
          <cell r="G44">
            <v>26</v>
          </cell>
          <cell r="H44">
            <v>31</v>
          </cell>
        </row>
        <row r="45">
          <cell r="G45">
            <v>27</v>
          </cell>
          <cell r="H45">
            <v>31</v>
          </cell>
        </row>
        <row r="46">
          <cell r="G46">
            <v>28</v>
          </cell>
          <cell r="H46">
            <v>31</v>
          </cell>
        </row>
        <row r="47">
          <cell r="G47">
            <v>29</v>
          </cell>
          <cell r="H47">
            <v>32</v>
          </cell>
        </row>
        <row r="48">
          <cell r="G48">
            <v>30</v>
          </cell>
          <cell r="H48">
            <v>32</v>
          </cell>
        </row>
        <row r="49">
          <cell r="G49">
            <v>31</v>
          </cell>
          <cell r="H49">
            <v>32</v>
          </cell>
        </row>
        <row r="50">
          <cell r="G50">
            <v>32</v>
          </cell>
          <cell r="H50">
            <v>32</v>
          </cell>
        </row>
        <row r="51">
          <cell r="G51">
            <v>33</v>
          </cell>
          <cell r="H51">
            <v>33</v>
          </cell>
        </row>
        <row r="52">
          <cell r="G52">
            <v>34</v>
          </cell>
          <cell r="H52">
            <v>33</v>
          </cell>
        </row>
        <row r="53">
          <cell r="G53">
            <v>35</v>
          </cell>
          <cell r="H53">
            <v>33</v>
          </cell>
        </row>
        <row r="54">
          <cell r="G54">
            <v>36</v>
          </cell>
          <cell r="H54">
            <v>33</v>
          </cell>
        </row>
        <row r="55">
          <cell r="G55">
            <v>37</v>
          </cell>
          <cell r="H55">
            <v>34</v>
          </cell>
        </row>
        <row r="56">
          <cell r="G56">
            <v>38</v>
          </cell>
          <cell r="H56">
            <v>34</v>
          </cell>
        </row>
        <row r="57">
          <cell r="G57">
            <v>39</v>
          </cell>
          <cell r="H57">
            <v>34</v>
          </cell>
        </row>
        <row r="58">
          <cell r="G58">
            <v>40</v>
          </cell>
          <cell r="H58">
            <v>34</v>
          </cell>
        </row>
        <row r="59">
          <cell r="G59">
            <v>41</v>
          </cell>
          <cell r="H59">
            <v>35</v>
          </cell>
        </row>
        <row r="60">
          <cell r="G60">
            <v>42</v>
          </cell>
          <cell r="H60">
            <v>35</v>
          </cell>
        </row>
        <row r="61">
          <cell r="G61">
            <v>43</v>
          </cell>
          <cell r="H61">
            <v>35</v>
          </cell>
        </row>
        <row r="62">
          <cell r="G62">
            <v>44</v>
          </cell>
          <cell r="H62">
            <v>35</v>
          </cell>
        </row>
        <row r="63">
          <cell r="G63">
            <v>45</v>
          </cell>
          <cell r="H63">
            <v>36</v>
          </cell>
        </row>
        <row r="64">
          <cell r="G64">
            <v>46</v>
          </cell>
          <cell r="H64">
            <v>36</v>
          </cell>
        </row>
        <row r="65">
          <cell r="G65">
            <v>47</v>
          </cell>
          <cell r="H65">
            <v>36</v>
          </cell>
        </row>
        <row r="66">
          <cell r="G66">
            <v>48</v>
          </cell>
          <cell r="H66">
            <v>36</v>
          </cell>
        </row>
        <row r="67">
          <cell r="G67">
            <v>49</v>
          </cell>
          <cell r="H67">
            <v>37</v>
          </cell>
        </row>
        <row r="68">
          <cell r="G68">
            <v>50</v>
          </cell>
          <cell r="H68">
            <v>37</v>
          </cell>
        </row>
        <row r="69">
          <cell r="G69">
            <v>51</v>
          </cell>
          <cell r="H69">
            <v>37</v>
          </cell>
        </row>
        <row r="70">
          <cell r="G70">
            <v>52</v>
          </cell>
          <cell r="H70">
            <v>37</v>
          </cell>
        </row>
        <row r="71">
          <cell r="G71">
            <v>53</v>
          </cell>
          <cell r="H71">
            <v>38</v>
          </cell>
        </row>
        <row r="72">
          <cell r="G72">
            <v>54</v>
          </cell>
          <cell r="H72">
            <v>38</v>
          </cell>
        </row>
        <row r="73">
          <cell r="G73">
            <v>55</v>
          </cell>
          <cell r="H73">
            <v>38</v>
          </cell>
        </row>
        <row r="74">
          <cell r="G74">
            <v>56</v>
          </cell>
          <cell r="H74">
            <v>38</v>
          </cell>
        </row>
        <row r="75">
          <cell r="G75">
            <v>57</v>
          </cell>
          <cell r="H75">
            <v>39</v>
          </cell>
        </row>
        <row r="76">
          <cell r="G76">
            <v>58</v>
          </cell>
          <cell r="H76">
            <v>39</v>
          </cell>
        </row>
        <row r="77">
          <cell r="G77">
            <v>59</v>
          </cell>
          <cell r="H77">
            <v>39</v>
          </cell>
        </row>
        <row r="78">
          <cell r="G78">
            <v>60</v>
          </cell>
          <cell r="H78">
            <v>39</v>
          </cell>
        </row>
        <row r="79">
          <cell r="G79">
            <v>61</v>
          </cell>
          <cell r="H79">
            <v>40</v>
          </cell>
        </row>
        <row r="80">
          <cell r="G80">
            <v>62</v>
          </cell>
          <cell r="H80">
            <v>40</v>
          </cell>
        </row>
        <row r="81">
          <cell r="G81">
            <v>63</v>
          </cell>
          <cell r="H81">
            <v>40</v>
          </cell>
        </row>
        <row r="82">
          <cell r="G82">
            <v>64</v>
          </cell>
          <cell r="H82">
            <v>40</v>
          </cell>
        </row>
        <row r="83">
          <cell r="G83">
            <v>65</v>
          </cell>
          <cell r="H83">
            <v>41</v>
          </cell>
        </row>
        <row r="84">
          <cell r="G84">
            <v>66</v>
          </cell>
          <cell r="H84">
            <v>41</v>
          </cell>
        </row>
        <row r="85">
          <cell r="G85">
            <v>67</v>
          </cell>
          <cell r="H85">
            <v>41</v>
          </cell>
        </row>
        <row r="86">
          <cell r="G86">
            <v>68</v>
          </cell>
          <cell r="H86">
            <v>41</v>
          </cell>
        </row>
        <row r="87">
          <cell r="G87">
            <v>69</v>
          </cell>
          <cell r="H87">
            <v>42</v>
          </cell>
        </row>
        <row r="88">
          <cell r="G88">
            <v>70</v>
          </cell>
          <cell r="H88">
            <v>42</v>
          </cell>
        </row>
        <row r="89">
          <cell r="G89">
            <v>71</v>
          </cell>
          <cell r="H89">
            <v>42</v>
          </cell>
        </row>
        <row r="90">
          <cell r="G90">
            <v>72</v>
          </cell>
          <cell r="H90">
            <v>42</v>
          </cell>
        </row>
        <row r="91">
          <cell r="G91">
            <v>73</v>
          </cell>
          <cell r="H91">
            <v>43</v>
          </cell>
        </row>
        <row r="92">
          <cell r="G92">
            <v>74</v>
          </cell>
          <cell r="H92">
            <v>43</v>
          </cell>
        </row>
        <row r="93">
          <cell r="G93">
            <v>75</v>
          </cell>
          <cell r="H93">
            <v>43</v>
          </cell>
        </row>
        <row r="94">
          <cell r="G94">
            <v>76</v>
          </cell>
          <cell r="H94">
            <v>43</v>
          </cell>
        </row>
        <row r="95">
          <cell r="G95">
            <v>77</v>
          </cell>
          <cell r="H95">
            <v>44</v>
          </cell>
        </row>
        <row r="96">
          <cell r="G96">
            <v>78</v>
          </cell>
          <cell r="H96">
            <v>44</v>
          </cell>
        </row>
        <row r="97">
          <cell r="G97">
            <v>79</v>
          </cell>
          <cell r="H97">
            <v>44</v>
          </cell>
        </row>
        <row r="98">
          <cell r="G98">
            <v>80</v>
          </cell>
          <cell r="H98">
            <v>44</v>
          </cell>
        </row>
        <row r="99">
          <cell r="G99">
            <v>81</v>
          </cell>
          <cell r="H99">
            <v>45</v>
          </cell>
        </row>
        <row r="100">
          <cell r="G100">
            <v>82</v>
          </cell>
          <cell r="H100">
            <v>45</v>
          </cell>
        </row>
        <row r="101">
          <cell r="G101">
            <v>83</v>
          </cell>
          <cell r="H101">
            <v>45</v>
          </cell>
        </row>
        <row r="102">
          <cell r="G102">
            <v>84</v>
          </cell>
          <cell r="H102">
            <v>45</v>
          </cell>
        </row>
        <row r="103">
          <cell r="G103">
            <v>85</v>
          </cell>
          <cell r="H103">
            <v>46</v>
          </cell>
        </row>
        <row r="104">
          <cell r="G104">
            <v>86</v>
          </cell>
          <cell r="H104">
            <v>46</v>
          </cell>
        </row>
        <row r="105">
          <cell r="G105">
            <v>87</v>
          </cell>
          <cell r="H105">
            <v>46</v>
          </cell>
        </row>
        <row r="106">
          <cell r="G106">
            <v>88</v>
          </cell>
          <cell r="H106">
            <v>46</v>
          </cell>
        </row>
        <row r="107">
          <cell r="G107">
            <v>89</v>
          </cell>
          <cell r="H107">
            <v>47</v>
          </cell>
        </row>
        <row r="108">
          <cell r="G108">
            <v>90</v>
          </cell>
          <cell r="H108">
            <v>47</v>
          </cell>
        </row>
        <row r="109">
          <cell r="G109">
            <v>91</v>
          </cell>
          <cell r="H109">
            <v>47</v>
          </cell>
        </row>
        <row r="110">
          <cell r="G110">
            <v>92</v>
          </cell>
          <cell r="H110">
            <v>47</v>
          </cell>
        </row>
        <row r="111">
          <cell r="G111">
            <v>93</v>
          </cell>
          <cell r="H111">
            <v>48</v>
          </cell>
        </row>
        <row r="112">
          <cell r="G112">
            <v>94</v>
          </cell>
          <cell r="H112">
            <v>48</v>
          </cell>
        </row>
        <row r="113">
          <cell r="G113">
            <v>95</v>
          </cell>
          <cell r="H113">
            <v>48</v>
          </cell>
        </row>
        <row r="114">
          <cell r="G114">
            <v>96</v>
          </cell>
          <cell r="H114">
            <v>48</v>
          </cell>
        </row>
        <row r="115">
          <cell r="G115">
            <v>97</v>
          </cell>
          <cell r="H115">
            <v>49</v>
          </cell>
        </row>
        <row r="116">
          <cell r="G116">
            <v>98</v>
          </cell>
          <cell r="H116">
            <v>49</v>
          </cell>
        </row>
        <row r="117">
          <cell r="G117">
            <v>99</v>
          </cell>
          <cell r="H117">
            <v>49</v>
          </cell>
        </row>
        <row r="118">
          <cell r="G118">
            <v>100</v>
          </cell>
          <cell r="H118">
            <v>49</v>
          </cell>
        </row>
        <row r="119">
          <cell r="G119">
            <v>101</v>
          </cell>
          <cell r="H119">
            <v>50</v>
          </cell>
        </row>
        <row r="120">
          <cell r="G120">
            <v>102</v>
          </cell>
          <cell r="H120">
            <v>50</v>
          </cell>
        </row>
        <row r="121">
          <cell r="G121">
            <v>103</v>
          </cell>
          <cell r="H121">
            <v>50</v>
          </cell>
        </row>
        <row r="122">
          <cell r="G122">
            <v>104</v>
          </cell>
          <cell r="H122">
            <v>50</v>
          </cell>
        </row>
        <row r="123">
          <cell r="G123">
            <v>105</v>
          </cell>
          <cell r="H123">
            <v>51</v>
          </cell>
        </row>
        <row r="124">
          <cell r="G124">
            <v>106</v>
          </cell>
          <cell r="H124">
            <v>51</v>
          </cell>
        </row>
        <row r="125">
          <cell r="G125">
            <v>107</v>
          </cell>
          <cell r="H125">
            <v>51</v>
          </cell>
        </row>
        <row r="126">
          <cell r="G126">
            <v>108</v>
          </cell>
          <cell r="H126">
            <v>51</v>
          </cell>
        </row>
        <row r="127">
          <cell r="G127">
            <v>109</v>
          </cell>
          <cell r="H127">
            <v>52</v>
          </cell>
        </row>
        <row r="128">
          <cell r="G128">
            <v>110</v>
          </cell>
          <cell r="H128">
            <v>52</v>
          </cell>
        </row>
        <row r="129">
          <cell r="G129">
            <v>111</v>
          </cell>
          <cell r="H129">
            <v>52</v>
          </cell>
        </row>
        <row r="130">
          <cell r="G130">
            <v>112</v>
          </cell>
          <cell r="H130">
            <v>52</v>
          </cell>
        </row>
        <row r="131">
          <cell r="G131">
            <v>113</v>
          </cell>
          <cell r="H131">
            <v>53</v>
          </cell>
        </row>
        <row r="132">
          <cell r="G132">
            <v>114</v>
          </cell>
          <cell r="H132">
            <v>53</v>
          </cell>
        </row>
        <row r="133">
          <cell r="G133">
            <v>115</v>
          </cell>
          <cell r="H133">
            <v>53</v>
          </cell>
        </row>
        <row r="134">
          <cell r="G134">
            <v>116</v>
          </cell>
          <cell r="H134">
            <v>53</v>
          </cell>
        </row>
        <row r="135">
          <cell r="G135">
            <v>117</v>
          </cell>
          <cell r="H135">
            <v>54</v>
          </cell>
        </row>
        <row r="136">
          <cell r="G136">
            <v>118</v>
          </cell>
          <cell r="H136">
            <v>54</v>
          </cell>
        </row>
        <row r="137">
          <cell r="G137">
            <v>119</v>
          </cell>
          <cell r="H137">
            <v>54</v>
          </cell>
        </row>
        <row r="138">
          <cell r="G138">
            <v>120</v>
          </cell>
          <cell r="H138">
            <v>54</v>
          </cell>
        </row>
      </sheetData>
      <sheetData sheetId="5">
        <row r="14">
          <cell r="L14">
            <v>1</v>
          </cell>
          <cell r="M14">
            <v>8</v>
          </cell>
        </row>
        <row r="15">
          <cell r="L15">
            <v>2</v>
          </cell>
          <cell r="M15">
            <v>8</v>
          </cell>
        </row>
        <row r="16">
          <cell r="L16">
            <v>3</v>
          </cell>
          <cell r="M16">
            <v>8</v>
          </cell>
        </row>
        <row r="17">
          <cell r="L17">
            <v>4</v>
          </cell>
          <cell r="M17">
            <v>8</v>
          </cell>
        </row>
        <row r="18">
          <cell r="L18">
            <v>5</v>
          </cell>
          <cell r="M18">
            <v>9</v>
          </cell>
        </row>
        <row r="19">
          <cell r="L19">
            <v>6</v>
          </cell>
          <cell r="M19">
            <v>9</v>
          </cell>
        </row>
        <row r="20">
          <cell r="L20">
            <v>7</v>
          </cell>
          <cell r="M20">
            <v>9</v>
          </cell>
        </row>
        <row r="21">
          <cell r="L21">
            <v>8</v>
          </cell>
          <cell r="M21">
            <v>9</v>
          </cell>
        </row>
        <row r="22">
          <cell r="L22">
            <v>9</v>
          </cell>
          <cell r="M22">
            <v>10</v>
          </cell>
        </row>
        <row r="23">
          <cell r="L23">
            <v>10</v>
          </cell>
          <cell r="M23">
            <v>10</v>
          </cell>
        </row>
        <row r="24">
          <cell r="L24">
            <v>11</v>
          </cell>
          <cell r="M24">
            <v>10</v>
          </cell>
        </row>
        <row r="25">
          <cell r="L25">
            <v>12</v>
          </cell>
          <cell r="M25">
            <v>10</v>
          </cell>
        </row>
        <row r="26">
          <cell r="L26">
            <v>13</v>
          </cell>
          <cell r="M26">
            <v>11</v>
          </cell>
        </row>
        <row r="27">
          <cell r="L27">
            <v>14</v>
          </cell>
          <cell r="M27">
            <v>11</v>
          </cell>
        </row>
        <row r="28">
          <cell r="L28">
            <v>15</v>
          </cell>
          <cell r="M28">
            <v>11</v>
          </cell>
        </row>
        <row r="29">
          <cell r="L29">
            <v>16</v>
          </cell>
          <cell r="M29">
            <v>11</v>
          </cell>
        </row>
        <row r="30">
          <cell r="L30">
            <v>17</v>
          </cell>
          <cell r="M30">
            <v>12</v>
          </cell>
        </row>
        <row r="31">
          <cell r="L31">
            <v>18</v>
          </cell>
          <cell r="M31">
            <v>12</v>
          </cell>
        </row>
        <row r="32">
          <cell r="L32">
            <v>19</v>
          </cell>
          <cell r="M32">
            <v>12</v>
          </cell>
        </row>
        <row r="33">
          <cell r="L33">
            <v>20</v>
          </cell>
          <cell r="M33">
            <v>12</v>
          </cell>
        </row>
        <row r="34">
          <cell r="L34">
            <v>21</v>
          </cell>
          <cell r="M34">
            <v>13</v>
          </cell>
        </row>
        <row r="35">
          <cell r="L35">
            <v>22</v>
          </cell>
          <cell r="M35">
            <v>13</v>
          </cell>
        </row>
        <row r="36">
          <cell r="L36">
            <v>23</v>
          </cell>
          <cell r="M36">
            <v>13</v>
          </cell>
        </row>
        <row r="37">
          <cell r="L37">
            <v>24</v>
          </cell>
          <cell r="M37">
            <v>13</v>
          </cell>
        </row>
        <row r="38">
          <cell r="L38">
            <v>25</v>
          </cell>
          <cell r="M38">
            <v>14</v>
          </cell>
        </row>
        <row r="39">
          <cell r="L39">
            <v>26</v>
          </cell>
          <cell r="M39">
            <v>14</v>
          </cell>
        </row>
        <row r="40">
          <cell r="L40">
            <v>27</v>
          </cell>
          <cell r="M40">
            <v>14</v>
          </cell>
        </row>
        <row r="41">
          <cell r="L41">
            <v>28</v>
          </cell>
          <cell r="M41">
            <v>14</v>
          </cell>
        </row>
        <row r="42">
          <cell r="L42">
            <v>29</v>
          </cell>
          <cell r="M42">
            <v>15</v>
          </cell>
        </row>
        <row r="43">
          <cell r="L43">
            <v>30</v>
          </cell>
          <cell r="M43">
            <v>15</v>
          </cell>
        </row>
        <row r="44">
          <cell r="L44">
            <v>31</v>
          </cell>
          <cell r="M44">
            <v>15</v>
          </cell>
        </row>
        <row r="45">
          <cell r="L45">
            <v>32</v>
          </cell>
          <cell r="M45">
            <v>15</v>
          </cell>
        </row>
        <row r="46">
          <cell r="L46">
            <v>33</v>
          </cell>
          <cell r="M46">
            <v>16</v>
          </cell>
        </row>
        <row r="47">
          <cell r="L47">
            <v>34</v>
          </cell>
          <cell r="M47">
            <v>16</v>
          </cell>
        </row>
        <row r="48">
          <cell r="L48">
            <v>35</v>
          </cell>
          <cell r="M48">
            <v>16</v>
          </cell>
        </row>
        <row r="49">
          <cell r="L49">
            <v>36</v>
          </cell>
          <cell r="M49">
            <v>16</v>
          </cell>
        </row>
        <row r="50">
          <cell r="L50">
            <v>37</v>
          </cell>
          <cell r="M50">
            <v>17</v>
          </cell>
        </row>
        <row r="51">
          <cell r="L51">
            <v>38</v>
          </cell>
          <cell r="M51">
            <v>17</v>
          </cell>
        </row>
        <row r="52">
          <cell r="L52">
            <v>39</v>
          </cell>
          <cell r="M52">
            <v>17</v>
          </cell>
        </row>
        <row r="53">
          <cell r="L53">
            <v>40</v>
          </cell>
          <cell r="M53">
            <v>17</v>
          </cell>
        </row>
        <row r="54">
          <cell r="L54">
            <v>41</v>
          </cell>
          <cell r="M54">
            <v>18</v>
          </cell>
        </row>
        <row r="55">
          <cell r="L55">
            <v>42</v>
          </cell>
          <cell r="M55">
            <v>18</v>
          </cell>
        </row>
        <row r="56">
          <cell r="L56">
            <v>43</v>
          </cell>
          <cell r="M56">
            <v>18</v>
          </cell>
        </row>
        <row r="57">
          <cell r="L57">
            <v>44</v>
          </cell>
          <cell r="M57">
            <v>18</v>
          </cell>
        </row>
        <row r="58">
          <cell r="L58">
            <v>45</v>
          </cell>
          <cell r="M58">
            <v>19</v>
          </cell>
        </row>
        <row r="59">
          <cell r="L59">
            <v>46</v>
          </cell>
          <cell r="M59">
            <v>19</v>
          </cell>
        </row>
        <row r="60">
          <cell r="L60">
            <v>47</v>
          </cell>
          <cell r="M60">
            <v>19</v>
          </cell>
        </row>
        <row r="61">
          <cell r="L61">
            <v>48</v>
          </cell>
          <cell r="M61">
            <v>19</v>
          </cell>
        </row>
        <row r="62">
          <cell r="L62">
            <v>49</v>
          </cell>
          <cell r="M62">
            <v>20</v>
          </cell>
        </row>
        <row r="63">
          <cell r="L63">
            <v>50</v>
          </cell>
          <cell r="M63">
            <v>20</v>
          </cell>
        </row>
        <row r="64">
          <cell r="L64">
            <v>51</v>
          </cell>
          <cell r="M64">
            <v>20</v>
          </cell>
        </row>
        <row r="65">
          <cell r="L65">
            <v>52</v>
          </cell>
          <cell r="M65">
            <v>20</v>
          </cell>
        </row>
        <row r="66">
          <cell r="L66">
            <v>53</v>
          </cell>
          <cell r="M66">
            <v>21</v>
          </cell>
        </row>
        <row r="67">
          <cell r="L67">
            <v>54</v>
          </cell>
          <cell r="M67">
            <v>21</v>
          </cell>
        </row>
        <row r="68">
          <cell r="L68">
            <v>55</v>
          </cell>
          <cell r="M68">
            <v>21</v>
          </cell>
        </row>
        <row r="69">
          <cell r="L69">
            <v>56</v>
          </cell>
          <cell r="M69">
            <v>21</v>
          </cell>
        </row>
        <row r="70">
          <cell r="L70">
            <v>57</v>
          </cell>
          <cell r="M70">
            <v>22</v>
          </cell>
        </row>
        <row r="71">
          <cell r="L71">
            <v>58</v>
          </cell>
          <cell r="M71">
            <v>22</v>
          </cell>
        </row>
        <row r="72">
          <cell r="L72">
            <v>59</v>
          </cell>
          <cell r="M72">
            <v>22</v>
          </cell>
        </row>
        <row r="73">
          <cell r="L73">
            <v>60</v>
          </cell>
          <cell r="M73">
            <v>22</v>
          </cell>
        </row>
        <row r="74">
          <cell r="L74">
            <v>61</v>
          </cell>
          <cell r="M74">
            <v>23</v>
          </cell>
        </row>
        <row r="75">
          <cell r="L75">
            <v>62</v>
          </cell>
          <cell r="M75">
            <v>23</v>
          </cell>
        </row>
        <row r="76">
          <cell r="L76">
            <v>63</v>
          </cell>
          <cell r="M76">
            <v>23</v>
          </cell>
        </row>
        <row r="77">
          <cell r="L77">
            <v>64</v>
          </cell>
          <cell r="M77">
            <v>23</v>
          </cell>
        </row>
        <row r="78">
          <cell r="L78">
            <v>65</v>
          </cell>
          <cell r="M78">
            <v>24</v>
          </cell>
        </row>
        <row r="79">
          <cell r="L79">
            <v>66</v>
          </cell>
          <cell r="M79">
            <v>24</v>
          </cell>
        </row>
        <row r="80">
          <cell r="L80">
            <v>67</v>
          </cell>
          <cell r="M80">
            <v>24</v>
          </cell>
        </row>
        <row r="81">
          <cell r="L81">
            <v>68</v>
          </cell>
          <cell r="M81">
            <v>24</v>
          </cell>
        </row>
        <row r="82">
          <cell r="L82">
            <v>69</v>
          </cell>
          <cell r="M82">
            <v>25</v>
          </cell>
        </row>
        <row r="83">
          <cell r="L83">
            <v>70</v>
          </cell>
          <cell r="M83">
            <v>25</v>
          </cell>
        </row>
        <row r="84">
          <cell r="L84">
            <v>71</v>
          </cell>
          <cell r="M84">
            <v>25</v>
          </cell>
        </row>
        <row r="85">
          <cell r="L85">
            <v>72</v>
          </cell>
          <cell r="M85">
            <v>25</v>
          </cell>
        </row>
        <row r="86">
          <cell r="L86">
            <v>73</v>
          </cell>
          <cell r="M86">
            <v>26</v>
          </cell>
        </row>
        <row r="87">
          <cell r="L87">
            <v>74</v>
          </cell>
          <cell r="M87">
            <v>26</v>
          </cell>
        </row>
        <row r="88">
          <cell r="L88">
            <v>75</v>
          </cell>
          <cell r="M88">
            <v>26</v>
          </cell>
        </row>
        <row r="89">
          <cell r="L89">
            <v>76</v>
          </cell>
          <cell r="M89">
            <v>26</v>
          </cell>
        </row>
        <row r="90">
          <cell r="L90">
            <v>77</v>
          </cell>
          <cell r="M90">
            <v>27</v>
          </cell>
        </row>
        <row r="91">
          <cell r="L91">
            <v>78</v>
          </cell>
          <cell r="M91">
            <v>27</v>
          </cell>
        </row>
        <row r="92">
          <cell r="L92">
            <v>79</v>
          </cell>
          <cell r="M92">
            <v>27</v>
          </cell>
        </row>
        <row r="93">
          <cell r="L93">
            <v>80</v>
          </cell>
          <cell r="M93">
            <v>27</v>
          </cell>
        </row>
        <row r="94">
          <cell r="L94">
            <v>81</v>
          </cell>
          <cell r="M94">
            <v>28</v>
          </cell>
        </row>
        <row r="95">
          <cell r="L95">
            <v>82</v>
          </cell>
          <cell r="M95">
            <v>28</v>
          </cell>
        </row>
        <row r="96">
          <cell r="L96">
            <v>83</v>
          </cell>
          <cell r="M96">
            <v>28</v>
          </cell>
        </row>
        <row r="97">
          <cell r="L97">
            <v>84</v>
          </cell>
          <cell r="M97">
            <v>28</v>
          </cell>
        </row>
        <row r="98">
          <cell r="L98">
            <v>85</v>
          </cell>
          <cell r="M98">
            <v>29</v>
          </cell>
        </row>
        <row r="99">
          <cell r="L99">
            <v>86</v>
          </cell>
          <cell r="M99">
            <v>29</v>
          </cell>
        </row>
        <row r="100">
          <cell r="L100">
            <v>87</v>
          </cell>
          <cell r="M100">
            <v>29</v>
          </cell>
        </row>
        <row r="101">
          <cell r="L101">
            <v>88</v>
          </cell>
          <cell r="M101">
            <v>29</v>
          </cell>
        </row>
        <row r="102">
          <cell r="L102">
            <v>89</v>
          </cell>
          <cell r="M102">
            <v>30</v>
          </cell>
        </row>
        <row r="103">
          <cell r="L103">
            <v>90</v>
          </cell>
          <cell r="M103">
            <v>30</v>
          </cell>
        </row>
        <row r="104">
          <cell r="L104">
            <v>91</v>
          </cell>
          <cell r="M104">
            <v>30</v>
          </cell>
        </row>
        <row r="105">
          <cell r="L105">
            <v>92</v>
          </cell>
          <cell r="M105">
            <v>30</v>
          </cell>
        </row>
        <row r="106">
          <cell r="L106">
            <v>93</v>
          </cell>
          <cell r="M106">
            <v>31</v>
          </cell>
        </row>
        <row r="107">
          <cell r="L107">
            <v>94</v>
          </cell>
          <cell r="M107">
            <v>31</v>
          </cell>
        </row>
        <row r="108">
          <cell r="L108">
            <v>95</v>
          </cell>
          <cell r="M108">
            <v>31</v>
          </cell>
        </row>
        <row r="109">
          <cell r="L109">
            <v>96</v>
          </cell>
          <cell r="M109">
            <v>31</v>
          </cell>
        </row>
        <row r="110">
          <cell r="L110">
            <v>97</v>
          </cell>
          <cell r="M110">
            <v>32</v>
          </cell>
        </row>
        <row r="111">
          <cell r="L111">
            <v>98</v>
          </cell>
          <cell r="M111">
            <v>32</v>
          </cell>
        </row>
        <row r="112">
          <cell r="L112">
            <v>99</v>
          </cell>
          <cell r="M112">
            <v>32</v>
          </cell>
        </row>
        <row r="113">
          <cell r="L113">
            <v>100</v>
          </cell>
          <cell r="M113">
            <v>32</v>
          </cell>
        </row>
        <row r="114">
          <cell r="L114">
            <v>101</v>
          </cell>
          <cell r="M114">
            <v>33</v>
          </cell>
        </row>
        <row r="115">
          <cell r="L115">
            <v>102</v>
          </cell>
          <cell r="M115">
            <v>33</v>
          </cell>
        </row>
        <row r="116">
          <cell r="L116">
            <v>103</v>
          </cell>
          <cell r="M116">
            <v>33</v>
          </cell>
        </row>
        <row r="117">
          <cell r="L117">
            <v>104</v>
          </cell>
          <cell r="M117">
            <v>33</v>
          </cell>
        </row>
        <row r="118">
          <cell r="L118">
            <v>105</v>
          </cell>
          <cell r="M118">
            <v>34</v>
          </cell>
        </row>
        <row r="119">
          <cell r="L119">
            <v>106</v>
          </cell>
          <cell r="M119">
            <v>34</v>
          </cell>
        </row>
        <row r="120">
          <cell r="L120">
            <v>107</v>
          </cell>
          <cell r="M120">
            <v>34</v>
          </cell>
        </row>
        <row r="121">
          <cell r="L121">
            <v>108</v>
          </cell>
          <cell r="M121">
            <v>34</v>
          </cell>
        </row>
        <row r="122">
          <cell r="L122">
            <v>109</v>
          </cell>
          <cell r="M122">
            <v>35</v>
          </cell>
        </row>
        <row r="123">
          <cell r="L123">
            <v>110</v>
          </cell>
          <cell r="M123">
            <v>35</v>
          </cell>
        </row>
        <row r="124">
          <cell r="L124">
            <v>111</v>
          </cell>
          <cell r="M124">
            <v>35</v>
          </cell>
        </row>
        <row r="125">
          <cell r="L125">
            <v>112</v>
          </cell>
          <cell r="M125">
            <v>35</v>
          </cell>
        </row>
        <row r="126">
          <cell r="L126">
            <v>113</v>
          </cell>
          <cell r="M126">
            <v>36</v>
          </cell>
        </row>
        <row r="127">
          <cell r="L127">
            <v>114</v>
          </cell>
          <cell r="M127">
            <v>36</v>
          </cell>
        </row>
        <row r="128">
          <cell r="L128">
            <v>115</v>
          </cell>
          <cell r="M128">
            <v>36</v>
          </cell>
        </row>
        <row r="129">
          <cell r="L129">
            <v>116</v>
          </cell>
          <cell r="M129">
            <v>36</v>
          </cell>
        </row>
        <row r="130">
          <cell r="L130">
            <v>117</v>
          </cell>
          <cell r="M130">
            <v>37</v>
          </cell>
        </row>
        <row r="131">
          <cell r="L131">
            <v>118</v>
          </cell>
          <cell r="M131">
            <v>37</v>
          </cell>
        </row>
        <row r="132">
          <cell r="L132">
            <v>119</v>
          </cell>
          <cell r="M132">
            <v>37</v>
          </cell>
        </row>
        <row r="133">
          <cell r="L133">
            <v>120</v>
          </cell>
          <cell r="M133">
            <v>37</v>
          </cell>
        </row>
      </sheetData>
      <sheetData sheetId="6">
        <row r="18">
          <cell r="G18" t="str">
            <v>英雄副本</v>
          </cell>
          <cell r="H18" t="str">
            <v>产出数量</v>
          </cell>
        </row>
        <row r="19">
          <cell r="G19">
            <v>1</v>
          </cell>
          <cell r="H19">
            <v>4</v>
          </cell>
        </row>
        <row r="20">
          <cell r="G20">
            <v>2</v>
          </cell>
          <cell r="H20">
            <v>4</v>
          </cell>
        </row>
        <row r="21">
          <cell r="G21">
            <v>3</v>
          </cell>
          <cell r="H21">
            <v>4</v>
          </cell>
        </row>
        <row r="22">
          <cell r="G22">
            <v>4</v>
          </cell>
          <cell r="H22">
            <v>4</v>
          </cell>
        </row>
        <row r="23">
          <cell r="G23">
            <v>5</v>
          </cell>
          <cell r="H23">
            <v>5</v>
          </cell>
        </row>
        <row r="24">
          <cell r="G24">
            <v>6</v>
          </cell>
          <cell r="H24">
            <v>5</v>
          </cell>
        </row>
        <row r="25">
          <cell r="G25">
            <v>7</v>
          </cell>
          <cell r="H25">
            <v>5</v>
          </cell>
        </row>
        <row r="26">
          <cell r="G26">
            <v>8</v>
          </cell>
          <cell r="H26">
            <v>5</v>
          </cell>
        </row>
        <row r="27">
          <cell r="G27">
            <v>9</v>
          </cell>
          <cell r="H27">
            <v>6</v>
          </cell>
        </row>
        <row r="28">
          <cell r="G28">
            <v>10</v>
          </cell>
          <cell r="H28">
            <v>6</v>
          </cell>
        </row>
        <row r="29">
          <cell r="G29">
            <v>11</v>
          </cell>
          <cell r="H29">
            <v>6</v>
          </cell>
        </row>
        <row r="30">
          <cell r="G30">
            <v>12</v>
          </cell>
          <cell r="H30">
            <v>6</v>
          </cell>
        </row>
        <row r="31">
          <cell r="G31">
            <v>13</v>
          </cell>
          <cell r="H31">
            <v>7</v>
          </cell>
        </row>
        <row r="32">
          <cell r="G32">
            <v>14</v>
          </cell>
          <cell r="H32">
            <v>7</v>
          </cell>
        </row>
        <row r="33">
          <cell r="G33">
            <v>15</v>
          </cell>
          <cell r="H33">
            <v>7</v>
          </cell>
        </row>
        <row r="34">
          <cell r="G34">
            <v>16</v>
          </cell>
          <cell r="H34">
            <v>7</v>
          </cell>
        </row>
        <row r="35">
          <cell r="G35">
            <v>17</v>
          </cell>
          <cell r="H35">
            <v>8</v>
          </cell>
        </row>
        <row r="36">
          <cell r="G36">
            <v>18</v>
          </cell>
          <cell r="H36">
            <v>8</v>
          </cell>
        </row>
        <row r="37">
          <cell r="G37">
            <v>19</v>
          </cell>
          <cell r="H37">
            <v>8</v>
          </cell>
        </row>
        <row r="38">
          <cell r="G38">
            <v>20</v>
          </cell>
          <cell r="H38">
            <v>8</v>
          </cell>
        </row>
        <row r="39">
          <cell r="G39">
            <v>21</v>
          </cell>
          <cell r="H39">
            <v>9</v>
          </cell>
        </row>
        <row r="40">
          <cell r="G40">
            <v>22</v>
          </cell>
          <cell r="H40">
            <v>9</v>
          </cell>
        </row>
        <row r="41">
          <cell r="G41">
            <v>23</v>
          </cell>
          <cell r="H41">
            <v>9</v>
          </cell>
        </row>
        <row r="42">
          <cell r="G42">
            <v>24</v>
          </cell>
          <cell r="H42">
            <v>9</v>
          </cell>
        </row>
        <row r="43">
          <cell r="G43">
            <v>25</v>
          </cell>
          <cell r="H43">
            <v>10</v>
          </cell>
        </row>
        <row r="44">
          <cell r="G44">
            <v>26</v>
          </cell>
          <cell r="H44">
            <v>10</v>
          </cell>
        </row>
        <row r="45">
          <cell r="G45">
            <v>27</v>
          </cell>
          <cell r="H45">
            <v>10</v>
          </cell>
        </row>
        <row r="46">
          <cell r="G46">
            <v>28</v>
          </cell>
          <cell r="H46">
            <v>10</v>
          </cell>
        </row>
        <row r="47">
          <cell r="G47">
            <v>29</v>
          </cell>
          <cell r="H47">
            <v>11</v>
          </cell>
        </row>
        <row r="48">
          <cell r="G48">
            <v>30</v>
          </cell>
          <cell r="H48">
            <v>11</v>
          </cell>
        </row>
        <row r="49">
          <cell r="G49">
            <v>31</v>
          </cell>
          <cell r="H49">
            <v>11</v>
          </cell>
        </row>
        <row r="50">
          <cell r="G50">
            <v>32</v>
          </cell>
          <cell r="H50">
            <v>11</v>
          </cell>
        </row>
        <row r="51">
          <cell r="G51">
            <v>33</v>
          </cell>
          <cell r="H51">
            <v>12</v>
          </cell>
        </row>
        <row r="52">
          <cell r="G52">
            <v>34</v>
          </cell>
          <cell r="H52">
            <v>12</v>
          </cell>
        </row>
        <row r="53">
          <cell r="G53">
            <v>35</v>
          </cell>
          <cell r="H53">
            <v>12</v>
          </cell>
        </row>
        <row r="54">
          <cell r="G54">
            <v>36</v>
          </cell>
          <cell r="H54">
            <v>12</v>
          </cell>
        </row>
        <row r="55">
          <cell r="G55">
            <v>37</v>
          </cell>
          <cell r="H55">
            <v>13</v>
          </cell>
        </row>
        <row r="56">
          <cell r="G56">
            <v>38</v>
          </cell>
          <cell r="H56">
            <v>13</v>
          </cell>
        </row>
        <row r="57">
          <cell r="G57">
            <v>39</v>
          </cell>
          <cell r="H57">
            <v>13</v>
          </cell>
        </row>
        <row r="58">
          <cell r="G58">
            <v>40</v>
          </cell>
          <cell r="H58">
            <v>13</v>
          </cell>
        </row>
        <row r="59">
          <cell r="G59">
            <v>41</v>
          </cell>
          <cell r="H59">
            <v>14</v>
          </cell>
        </row>
        <row r="60">
          <cell r="G60">
            <v>42</v>
          </cell>
          <cell r="H60">
            <v>14</v>
          </cell>
        </row>
        <row r="61">
          <cell r="G61">
            <v>43</v>
          </cell>
          <cell r="H61">
            <v>14</v>
          </cell>
        </row>
        <row r="62">
          <cell r="G62">
            <v>44</v>
          </cell>
          <cell r="H62">
            <v>14</v>
          </cell>
        </row>
        <row r="63">
          <cell r="G63">
            <v>45</v>
          </cell>
          <cell r="H63">
            <v>15</v>
          </cell>
        </row>
        <row r="64">
          <cell r="G64">
            <v>46</v>
          </cell>
          <cell r="H64">
            <v>15</v>
          </cell>
        </row>
        <row r="65">
          <cell r="G65">
            <v>47</v>
          </cell>
          <cell r="H65">
            <v>15</v>
          </cell>
        </row>
        <row r="66">
          <cell r="G66">
            <v>48</v>
          </cell>
          <cell r="H66">
            <v>15</v>
          </cell>
        </row>
        <row r="67">
          <cell r="G67">
            <v>49</v>
          </cell>
          <cell r="H67">
            <v>16</v>
          </cell>
        </row>
        <row r="68">
          <cell r="G68">
            <v>50</v>
          </cell>
          <cell r="H68">
            <v>16</v>
          </cell>
        </row>
        <row r="69">
          <cell r="G69">
            <v>51</v>
          </cell>
          <cell r="H69">
            <v>16</v>
          </cell>
        </row>
        <row r="70">
          <cell r="G70">
            <v>52</v>
          </cell>
          <cell r="H70">
            <v>16</v>
          </cell>
        </row>
        <row r="71">
          <cell r="G71">
            <v>53</v>
          </cell>
          <cell r="H71">
            <v>17</v>
          </cell>
        </row>
        <row r="72">
          <cell r="G72">
            <v>54</v>
          </cell>
          <cell r="H72">
            <v>17</v>
          </cell>
        </row>
        <row r="73">
          <cell r="G73">
            <v>55</v>
          </cell>
          <cell r="H73">
            <v>17</v>
          </cell>
        </row>
        <row r="74">
          <cell r="G74">
            <v>56</v>
          </cell>
          <cell r="H74">
            <v>17</v>
          </cell>
        </row>
        <row r="75">
          <cell r="G75">
            <v>57</v>
          </cell>
          <cell r="H75">
            <v>18</v>
          </cell>
        </row>
        <row r="76">
          <cell r="G76">
            <v>58</v>
          </cell>
          <cell r="H76">
            <v>18</v>
          </cell>
        </row>
        <row r="77">
          <cell r="G77">
            <v>59</v>
          </cell>
          <cell r="H77">
            <v>18</v>
          </cell>
        </row>
        <row r="78">
          <cell r="G78">
            <v>60</v>
          </cell>
          <cell r="H78">
            <v>18</v>
          </cell>
        </row>
        <row r="79">
          <cell r="G79">
            <v>61</v>
          </cell>
          <cell r="H79">
            <v>19</v>
          </cell>
        </row>
        <row r="80">
          <cell r="G80">
            <v>62</v>
          </cell>
          <cell r="H80">
            <v>19</v>
          </cell>
        </row>
        <row r="81">
          <cell r="G81">
            <v>63</v>
          </cell>
          <cell r="H81">
            <v>19</v>
          </cell>
        </row>
        <row r="82">
          <cell r="G82">
            <v>64</v>
          </cell>
          <cell r="H82">
            <v>19</v>
          </cell>
        </row>
        <row r="83">
          <cell r="G83">
            <v>65</v>
          </cell>
          <cell r="H83">
            <v>20</v>
          </cell>
        </row>
        <row r="84">
          <cell r="G84">
            <v>66</v>
          </cell>
          <cell r="H84">
            <v>20</v>
          </cell>
        </row>
        <row r="85">
          <cell r="G85">
            <v>67</v>
          </cell>
          <cell r="H85">
            <v>20</v>
          </cell>
        </row>
        <row r="86">
          <cell r="G86">
            <v>68</v>
          </cell>
          <cell r="H86">
            <v>20</v>
          </cell>
        </row>
        <row r="87">
          <cell r="G87">
            <v>69</v>
          </cell>
          <cell r="H87">
            <v>21</v>
          </cell>
        </row>
        <row r="88">
          <cell r="G88">
            <v>70</v>
          </cell>
          <cell r="H88">
            <v>21</v>
          </cell>
        </row>
        <row r="89">
          <cell r="G89">
            <v>71</v>
          </cell>
          <cell r="H89">
            <v>21</v>
          </cell>
        </row>
        <row r="90">
          <cell r="G90">
            <v>72</v>
          </cell>
          <cell r="H90">
            <v>21</v>
          </cell>
        </row>
        <row r="91">
          <cell r="G91">
            <v>73</v>
          </cell>
          <cell r="H91">
            <v>22</v>
          </cell>
        </row>
        <row r="92">
          <cell r="G92">
            <v>74</v>
          </cell>
          <cell r="H92">
            <v>22</v>
          </cell>
        </row>
        <row r="93">
          <cell r="G93">
            <v>75</v>
          </cell>
          <cell r="H93">
            <v>22</v>
          </cell>
        </row>
        <row r="94">
          <cell r="G94">
            <v>76</v>
          </cell>
          <cell r="H94">
            <v>22</v>
          </cell>
        </row>
        <row r="95">
          <cell r="G95">
            <v>77</v>
          </cell>
          <cell r="H95">
            <v>23</v>
          </cell>
        </row>
        <row r="96">
          <cell r="G96">
            <v>78</v>
          </cell>
          <cell r="H96">
            <v>23</v>
          </cell>
        </row>
        <row r="97">
          <cell r="G97">
            <v>79</v>
          </cell>
          <cell r="H97">
            <v>23</v>
          </cell>
        </row>
        <row r="98">
          <cell r="G98">
            <v>80</v>
          </cell>
          <cell r="H98">
            <v>23</v>
          </cell>
        </row>
        <row r="99">
          <cell r="G99">
            <v>81</v>
          </cell>
          <cell r="H99">
            <v>24</v>
          </cell>
        </row>
        <row r="100">
          <cell r="G100">
            <v>82</v>
          </cell>
          <cell r="H100">
            <v>24</v>
          </cell>
        </row>
        <row r="101">
          <cell r="G101">
            <v>83</v>
          </cell>
          <cell r="H101">
            <v>24</v>
          </cell>
        </row>
        <row r="102">
          <cell r="G102">
            <v>84</v>
          </cell>
          <cell r="H102">
            <v>24</v>
          </cell>
        </row>
        <row r="103">
          <cell r="G103">
            <v>85</v>
          </cell>
          <cell r="H103">
            <v>25</v>
          </cell>
        </row>
        <row r="104">
          <cell r="G104">
            <v>86</v>
          </cell>
          <cell r="H104">
            <v>25</v>
          </cell>
        </row>
        <row r="105">
          <cell r="G105">
            <v>87</v>
          </cell>
          <cell r="H105">
            <v>25</v>
          </cell>
        </row>
        <row r="106">
          <cell r="G106">
            <v>88</v>
          </cell>
          <cell r="H106">
            <v>25</v>
          </cell>
        </row>
        <row r="107">
          <cell r="G107">
            <v>89</v>
          </cell>
          <cell r="H107">
            <v>26</v>
          </cell>
        </row>
        <row r="108">
          <cell r="G108">
            <v>90</v>
          </cell>
          <cell r="H108">
            <v>26</v>
          </cell>
        </row>
        <row r="109">
          <cell r="G109">
            <v>91</v>
          </cell>
          <cell r="H109">
            <v>26</v>
          </cell>
        </row>
        <row r="110">
          <cell r="G110">
            <v>92</v>
          </cell>
          <cell r="H110">
            <v>26</v>
          </cell>
        </row>
        <row r="111">
          <cell r="G111">
            <v>93</v>
          </cell>
          <cell r="H111">
            <v>27</v>
          </cell>
        </row>
        <row r="112">
          <cell r="G112">
            <v>94</v>
          </cell>
          <cell r="H112">
            <v>27</v>
          </cell>
        </row>
        <row r="113">
          <cell r="G113">
            <v>95</v>
          </cell>
          <cell r="H113">
            <v>27</v>
          </cell>
        </row>
        <row r="114">
          <cell r="G114">
            <v>96</v>
          </cell>
          <cell r="H114">
            <v>27</v>
          </cell>
        </row>
        <row r="115">
          <cell r="G115">
            <v>97</v>
          </cell>
          <cell r="H115">
            <v>28</v>
          </cell>
        </row>
        <row r="116">
          <cell r="G116">
            <v>98</v>
          </cell>
          <cell r="H116">
            <v>28</v>
          </cell>
        </row>
        <row r="117">
          <cell r="G117">
            <v>99</v>
          </cell>
          <cell r="H117">
            <v>28</v>
          </cell>
        </row>
        <row r="118">
          <cell r="G118">
            <v>100</v>
          </cell>
          <cell r="H118">
            <v>28</v>
          </cell>
        </row>
        <row r="119">
          <cell r="G119">
            <v>101</v>
          </cell>
          <cell r="H119">
            <v>29</v>
          </cell>
        </row>
        <row r="120">
          <cell r="G120">
            <v>102</v>
          </cell>
          <cell r="H120">
            <v>29</v>
          </cell>
        </row>
        <row r="121">
          <cell r="G121">
            <v>103</v>
          </cell>
          <cell r="H121">
            <v>29</v>
          </cell>
        </row>
        <row r="122">
          <cell r="G122">
            <v>104</v>
          </cell>
          <cell r="H122">
            <v>29</v>
          </cell>
        </row>
        <row r="123">
          <cell r="G123">
            <v>105</v>
          </cell>
          <cell r="H123">
            <v>30</v>
          </cell>
        </row>
        <row r="124">
          <cell r="G124">
            <v>106</v>
          </cell>
          <cell r="H124">
            <v>30</v>
          </cell>
        </row>
        <row r="125">
          <cell r="G125">
            <v>107</v>
          </cell>
          <cell r="H125">
            <v>30</v>
          </cell>
        </row>
        <row r="126">
          <cell r="G126">
            <v>108</v>
          </cell>
          <cell r="H126">
            <v>30</v>
          </cell>
        </row>
        <row r="127">
          <cell r="G127">
            <v>109</v>
          </cell>
          <cell r="H127">
            <v>31</v>
          </cell>
        </row>
        <row r="128">
          <cell r="G128">
            <v>110</v>
          </cell>
          <cell r="H128">
            <v>31</v>
          </cell>
        </row>
        <row r="129">
          <cell r="G129">
            <v>111</v>
          </cell>
          <cell r="H129">
            <v>31</v>
          </cell>
        </row>
        <row r="130">
          <cell r="G130">
            <v>112</v>
          </cell>
          <cell r="H130">
            <v>31</v>
          </cell>
        </row>
        <row r="131">
          <cell r="G131">
            <v>113</v>
          </cell>
          <cell r="H131">
            <v>32</v>
          </cell>
        </row>
        <row r="132">
          <cell r="G132">
            <v>114</v>
          </cell>
          <cell r="H132">
            <v>32</v>
          </cell>
        </row>
        <row r="133">
          <cell r="G133">
            <v>115</v>
          </cell>
          <cell r="H133">
            <v>32</v>
          </cell>
        </row>
        <row r="134">
          <cell r="G134">
            <v>116</v>
          </cell>
          <cell r="H134">
            <v>32</v>
          </cell>
        </row>
        <row r="135">
          <cell r="G135">
            <v>117</v>
          </cell>
          <cell r="H135">
            <v>33</v>
          </cell>
        </row>
        <row r="136">
          <cell r="G136">
            <v>118</v>
          </cell>
          <cell r="H136">
            <v>33</v>
          </cell>
        </row>
        <row r="137">
          <cell r="G137">
            <v>119</v>
          </cell>
          <cell r="H137">
            <v>33</v>
          </cell>
        </row>
        <row r="138">
          <cell r="G138">
            <v>120</v>
          </cell>
          <cell r="H138">
            <v>33</v>
          </cell>
        </row>
      </sheetData>
      <sheetData sheetId="7">
        <row r="26">
          <cell r="H26">
            <v>1</v>
          </cell>
          <cell r="I26">
            <v>5</v>
          </cell>
        </row>
        <row r="27">
          <cell r="H27">
            <v>2</v>
          </cell>
          <cell r="I27">
            <v>5</v>
          </cell>
        </row>
        <row r="28">
          <cell r="H28">
            <v>3</v>
          </cell>
          <cell r="I28">
            <v>5</v>
          </cell>
        </row>
        <row r="29">
          <cell r="H29">
            <v>4</v>
          </cell>
          <cell r="I29">
            <v>5</v>
          </cell>
        </row>
        <row r="30">
          <cell r="H30">
            <v>5</v>
          </cell>
          <cell r="I30">
            <v>6</v>
          </cell>
        </row>
        <row r="31">
          <cell r="H31">
            <v>6</v>
          </cell>
          <cell r="I31">
            <v>6</v>
          </cell>
        </row>
        <row r="32">
          <cell r="H32">
            <v>7</v>
          </cell>
          <cell r="I32">
            <v>6</v>
          </cell>
        </row>
        <row r="33">
          <cell r="H33">
            <v>8</v>
          </cell>
          <cell r="I33">
            <v>6</v>
          </cell>
        </row>
        <row r="34">
          <cell r="H34">
            <v>9</v>
          </cell>
          <cell r="I34">
            <v>7</v>
          </cell>
        </row>
        <row r="35">
          <cell r="H35">
            <v>10</v>
          </cell>
          <cell r="I35">
            <v>7</v>
          </cell>
        </row>
        <row r="36">
          <cell r="H36">
            <v>11</v>
          </cell>
          <cell r="I36">
            <v>7</v>
          </cell>
        </row>
        <row r="37">
          <cell r="H37">
            <v>12</v>
          </cell>
          <cell r="I37">
            <v>7</v>
          </cell>
        </row>
        <row r="38">
          <cell r="H38">
            <v>13</v>
          </cell>
          <cell r="I38">
            <v>8</v>
          </cell>
        </row>
        <row r="39">
          <cell r="H39">
            <v>14</v>
          </cell>
          <cell r="I39">
            <v>8</v>
          </cell>
        </row>
        <row r="40">
          <cell r="H40">
            <v>15</v>
          </cell>
          <cell r="I40">
            <v>8</v>
          </cell>
        </row>
        <row r="41">
          <cell r="H41">
            <v>16</v>
          </cell>
          <cell r="I41">
            <v>8</v>
          </cell>
        </row>
        <row r="42">
          <cell r="H42">
            <v>17</v>
          </cell>
          <cell r="I42">
            <v>9</v>
          </cell>
        </row>
        <row r="43">
          <cell r="H43">
            <v>18</v>
          </cell>
          <cell r="I43">
            <v>9</v>
          </cell>
        </row>
        <row r="44">
          <cell r="H44">
            <v>19</v>
          </cell>
          <cell r="I44">
            <v>9</v>
          </cell>
        </row>
        <row r="45">
          <cell r="H45">
            <v>20</v>
          </cell>
          <cell r="I45">
            <v>9</v>
          </cell>
        </row>
        <row r="46">
          <cell r="H46">
            <v>21</v>
          </cell>
          <cell r="I46">
            <v>10</v>
          </cell>
        </row>
        <row r="47">
          <cell r="H47">
            <v>22</v>
          </cell>
          <cell r="I47">
            <v>10</v>
          </cell>
        </row>
        <row r="48">
          <cell r="H48">
            <v>23</v>
          </cell>
          <cell r="I48">
            <v>10</v>
          </cell>
        </row>
        <row r="49">
          <cell r="H49">
            <v>24</v>
          </cell>
          <cell r="I49">
            <v>10</v>
          </cell>
        </row>
        <row r="50">
          <cell r="H50">
            <v>25</v>
          </cell>
          <cell r="I50">
            <v>11</v>
          </cell>
        </row>
        <row r="51">
          <cell r="H51">
            <v>26</v>
          </cell>
          <cell r="I51">
            <v>11</v>
          </cell>
        </row>
        <row r="52">
          <cell r="H52">
            <v>27</v>
          </cell>
          <cell r="I52">
            <v>11</v>
          </cell>
        </row>
        <row r="53">
          <cell r="H53">
            <v>28</v>
          </cell>
          <cell r="I53">
            <v>11</v>
          </cell>
        </row>
        <row r="54">
          <cell r="H54">
            <v>29</v>
          </cell>
          <cell r="I54">
            <v>12</v>
          </cell>
        </row>
        <row r="55">
          <cell r="H55">
            <v>30</v>
          </cell>
          <cell r="I55">
            <v>12</v>
          </cell>
        </row>
        <row r="56">
          <cell r="H56">
            <v>31</v>
          </cell>
          <cell r="I56">
            <v>12</v>
          </cell>
        </row>
        <row r="57">
          <cell r="H57">
            <v>32</v>
          </cell>
          <cell r="I57">
            <v>12</v>
          </cell>
        </row>
        <row r="58">
          <cell r="H58">
            <v>33</v>
          </cell>
          <cell r="I58">
            <v>13</v>
          </cell>
        </row>
        <row r="59">
          <cell r="H59">
            <v>34</v>
          </cell>
          <cell r="I59">
            <v>13</v>
          </cell>
        </row>
        <row r="60">
          <cell r="H60">
            <v>35</v>
          </cell>
          <cell r="I60">
            <v>13</v>
          </cell>
        </row>
        <row r="61">
          <cell r="H61">
            <v>36</v>
          </cell>
          <cell r="I61">
            <v>13</v>
          </cell>
        </row>
        <row r="62">
          <cell r="H62">
            <v>37</v>
          </cell>
          <cell r="I62">
            <v>14</v>
          </cell>
        </row>
        <row r="63">
          <cell r="H63">
            <v>38</v>
          </cell>
          <cell r="I63">
            <v>14</v>
          </cell>
        </row>
        <row r="64">
          <cell r="H64">
            <v>39</v>
          </cell>
          <cell r="I64">
            <v>14</v>
          </cell>
        </row>
        <row r="65">
          <cell r="H65">
            <v>40</v>
          </cell>
          <cell r="I65">
            <v>14</v>
          </cell>
        </row>
        <row r="66">
          <cell r="H66">
            <v>41</v>
          </cell>
          <cell r="I66">
            <v>15</v>
          </cell>
        </row>
        <row r="67">
          <cell r="H67">
            <v>42</v>
          </cell>
          <cell r="I67">
            <v>15</v>
          </cell>
        </row>
        <row r="68">
          <cell r="H68">
            <v>43</v>
          </cell>
          <cell r="I68">
            <v>15</v>
          </cell>
        </row>
        <row r="69">
          <cell r="H69">
            <v>44</v>
          </cell>
          <cell r="I69">
            <v>15</v>
          </cell>
        </row>
        <row r="70">
          <cell r="H70">
            <v>45</v>
          </cell>
          <cell r="I70">
            <v>16</v>
          </cell>
        </row>
        <row r="71">
          <cell r="H71">
            <v>46</v>
          </cell>
          <cell r="I71">
            <v>16</v>
          </cell>
        </row>
        <row r="72">
          <cell r="H72">
            <v>47</v>
          </cell>
          <cell r="I72">
            <v>16</v>
          </cell>
        </row>
        <row r="73">
          <cell r="H73">
            <v>48</v>
          </cell>
          <cell r="I73">
            <v>16</v>
          </cell>
        </row>
        <row r="74">
          <cell r="H74">
            <v>49</v>
          </cell>
          <cell r="I74">
            <v>17</v>
          </cell>
        </row>
        <row r="75">
          <cell r="H75">
            <v>50</v>
          </cell>
          <cell r="I75">
            <v>17</v>
          </cell>
        </row>
        <row r="76">
          <cell r="H76">
            <v>51</v>
          </cell>
          <cell r="I76">
            <v>17</v>
          </cell>
        </row>
        <row r="77">
          <cell r="H77">
            <v>52</v>
          </cell>
          <cell r="I77">
            <v>17</v>
          </cell>
        </row>
        <row r="78">
          <cell r="H78">
            <v>53</v>
          </cell>
          <cell r="I78">
            <v>18</v>
          </cell>
        </row>
        <row r="79">
          <cell r="H79">
            <v>54</v>
          </cell>
          <cell r="I79">
            <v>18</v>
          </cell>
        </row>
        <row r="80">
          <cell r="H80">
            <v>55</v>
          </cell>
          <cell r="I80">
            <v>18</v>
          </cell>
        </row>
        <row r="81">
          <cell r="H81">
            <v>56</v>
          </cell>
          <cell r="I81">
            <v>18</v>
          </cell>
        </row>
        <row r="82">
          <cell r="H82">
            <v>57</v>
          </cell>
          <cell r="I82">
            <v>19</v>
          </cell>
        </row>
        <row r="83">
          <cell r="H83">
            <v>58</v>
          </cell>
          <cell r="I83">
            <v>19</v>
          </cell>
        </row>
        <row r="84">
          <cell r="H84">
            <v>59</v>
          </cell>
          <cell r="I84">
            <v>19</v>
          </cell>
        </row>
        <row r="85">
          <cell r="H85">
            <v>60</v>
          </cell>
          <cell r="I85">
            <v>19</v>
          </cell>
        </row>
        <row r="86">
          <cell r="H86">
            <v>61</v>
          </cell>
          <cell r="I86">
            <v>20</v>
          </cell>
        </row>
        <row r="87">
          <cell r="H87">
            <v>62</v>
          </cell>
          <cell r="I87">
            <v>20</v>
          </cell>
        </row>
        <row r="88">
          <cell r="H88">
            <v>63</v>
          </cell>
          <cell r="I88">
            <v>20</v>
          </cell>
        </row>
        <row r="89">
          <cell r="H89">
            <v>64</v>
          </cell>
          <cell r="I89">
            <v>20</v>
          </cell>
        </row>
        <row r="90">
          <cell r="H90">
            <v>65</v>
          </cell>
          <cell r="I90">
            <v>21</v>
          </cell>
        </row>
        <row r="91">
          <cell r="H91">
            <v>66</v>
          </cell>
          <cell r="I91">
            <v>21</v>
          </cell>
        </row>
        <row r="92">
          <cell r="H92">
            <v>67</v>
          </cell>
          <cell r="I92">
            <v>21</v>
          </cell>
        </row>
        <row r="93">
          <cell r="H93">
            <v>68</v>
          </cell>
          <cell r="I93">
            <v>21</v>
          </cell>
        </row>
        <row r="94">
          <cell r="H94">
            <v>69</v>
          </cell>
          <cell r="I94">
            <v>22</v>
          </cell>
        </row>
        <row r="95">
          <cell r="H95">
            <v>70</v>
          </cell>
          <cell r="I95">
            <v>22</v>
          </cell>
        </row>
        <row r="96">
          <cell r="H96">
            <v>71</v>
          </cell>
          <cell r="I96">
            <v>22</v>
          </cell>
        </row>
        <row r="97">
          <cell r="H97">
            <v>72</v>
          </cell>
          <cell r="I97">
            <v>22</v>
          </cell>
        </row>
        <row r="98">
          <cell r="H98">
            <v>73</v>
          </cell>
          <cell r="I98">
            <v>23</v>
          </cell>
        </row>
        <row r="99">
          <cell r="H99">
            <v>74</v>
          </cell>
          <cell r="I99">
            <v>23</v>
          </cell>
        </row>
        <row r="100">
          <cell r="H100">
            <v>75</v>
          </cell>
          <cell r="I100">
            <v>23</v>
          </cell>
        </row>
        <row r="101">
          <cell r="H101">
            <v>76</v>
          </cell>
          <cell r="I101">
            <v>23</v>
          </cell>
        </row>
        <row r="102">
          <cell r="H102">
            <v>77</v>
          </cell>
          <cell r="I102">
            <v>24</v>
          </cell>
        </row>
        <row r="103">
          <cell r="H103">
            <v>78</v>
          </cell>
          <cell r="I103">
            <v>24</v>
          </cell>
        </row>
        <row r="104">
          <cell r="H104">
            <v>79</v>
          </cell>
          <cell r="I104">
            <v>24</v>
          </cell>
        </row>
        <row r="105">
          <cell r="H105">
            <v>80</v>
          </cell>
          <cell r="I105">
            <v>24</v>
          </cell>
        </row>
        <row r="106">
          <cell r="H106">
            <v>81</v>
          </cell>
          <cell r="I106">
            <v>25</v>
          </cell>
        </row>
        <row r="107">
          <cell r="H107">
            <v>82</v>
          </cell>
          <cell r="I107">
            <v>25</v>
          </cell>
        </row>
        <row r="108">
          <cell r="H108">
            <v>83</v>
          </cell>
          <cell r="I108">
            <v>25</v>
          </cell>
        </row>
        <row r="109">
          <cell r="H109">
            <v>84</v>
          </cell>
          <cell r="I109">
            <v>25</v>
          </cell>
        </row>
        <row r="110">
          <cell r="H110">
            <v>85</v>
          </cell>
          <cell r="I110">
            <v>26</v>
          </cell>
        </row>
        <row r="111">
          <cell r="H111">
            <v>86</v>
          </cell>
          <cell r="I111">
            <v>26</v>
          </cell>
        </row>
        <row r="112">
          <cell r="H112">
            <v>87</v>
          </cell>
          <cell r="I112">
            <v>26</v>
          </cell>
        </row>
        <row r="113">
          <cell r="H113">
            <v>88</v>
          </cell>
          <cell r="I113">
            <v>26</v>
          </cell>
        </row>
        <row r="114">
          <cell r="H114">
            <v>89</v>
          </cell>
          <cell r="I114">
            <v>27</v>
          </cell>
        </row>
        <row r="115">
          <cell r="H115">
            <v>90</v>
          </cell>
          <cell r="I115">
            <v>27</v>
          </cell>
        </row>
        <row r="116">
          <cell r="H116">
            <v>91</v>
          </cell>
          <cell r="I116">
            <v>27</v>
          </cell>
        </row>
        <row r="117">
          <cell r="H117">
            <v>92</v>
          </cell>
          <cell r="I117">
            <v>27</v>
          </cell>
        </row>
        <row r="118">
          <cell r="H118">
            <v>93</v>
          </cell>
          <cell r="I118">
            <v>28</v>
          </cell>
        </row>
        <row r="119">
          <cell r="H119">
            <v>94</v>
          </cell>
          <cell r="I119">
            <v>28</v>
          </cell>
        </row>
        <row r="120">
          <cell r="H120">
            <v>95</v>
          </cell>
          <cell r="I120">
            <v>28</v>
          </cell>
        </row>
        <row r="121">
          <cell r="H121">
            <v>96</v>
          </cell>
          <cell r="I121">
            <v>28</v>
          </cell>
        </row>
        <row r="122">
          <cell r="H122">
            <v>97</v>
          </cell>
          <cell r="I122">
            <v>29</v>
          </cell>
        </row>
        <row r="123">
          <cell r="H123">
            <v>98</v>
          </cell>
          <cell r="I123">
            <v>29</v>
          </cell>
        </row>
        <row r="124">
          <cell r="H124">
            <v>99</v>
          </cell>
          <cell r="I124">
            <v>29</v>
          </cell>
        </row>
        <row r="125">
          <cell r="H125">
            <v>100</v>
          </cell>
          <cell r="I125">
            <v>29</v>
          </cell>
        </row>
        <row r="126">
          <cell r="H126">
            <v>101</v>
          </cell>
          <cell r="I126">
            <v>30</v>
          </cell>
        </row>
        <row r="127">
          <cell r="H127">
            <v>102</v>
          </cell>
          <cell r="I127">
            <v>30</v>
          </cell>
        </row>
        <row r="128">
          <cell r="H128">
            <v>103</v>
          </cell>
          <cell r="I128">
            <v>30</v>
          </cell>
        </row>
        <row r="129">
          <cell r="H129">
            <v>104</v>
          </cell>
          <cell r="I129">
            <v>30</v>
          </cell>
        </row>
        <row r="130">
          <cell r="H130">
            <v>105</v>
          </cell>
          <cell r="I130">
            <v>31</v>
          </cell>
        </row>
        <row r="131">
          <cell r="H131">
            <v>106</v>
          </cell>
          <cell r="I131">
            <v>31</v>
          </cell>
        </row>
        <row r="132">
          <cell r="H132">
            <v>107</v>
          </cell>
          <cell r="I132">
            <v>31</v>
          </cell>
        </row>
        <row r="133">
          <cell r="H133">
            <v>108</v>
          </cell>
          <cell r="I133">
            <v>31</v>
          </cell>
        </row>
        <row r="134">
          <cell r="H134">
            <v>109</v>
          </cell>
          <cell r="I134">
            <v>32</v>
          </cell>
        </row>
        <row r="135">
          <cell r="H135">
            <v>110</v>
          </cell>
          <cell r="I135">
            <v>32</v>
          </cell>
        </row>
        <row r="136">
          <cell r="H136">
            <v>111</v>
          </cell>
          <cell r="I136">
            <v>32</v>
          </cell>
        </row>
        <row r="137">
          <cell r="H137">
            <v>112</v>
          </cell>
          <cell r="I137">
            <v>32</v>
          </cell>
        </row>
        <row r="138">
          <cell r="H138">
            <v>113</v>
          </cell>
          <cell r="I138">
            <v>33</v>
          </cell>
        </row>
        <row r="139">
          <cell r="H139">
            <v>114</v>
          </cell>
          <cell r="I139">
            <v>33</v>
          </cell>
        </row>
        <row r="140">
          <cell r="H140">
            <v>115</v>
          </cell>
          <cell r="I140">
            <v>33</v>
          </cell>
        </row>
        <row r="141">
          <cell r="H141">
            <v>116</v>
          </cell>
          <cell r="I141">
            <v>33</v>
          </cell>
        </row>
        <row r="142">
          <cell r="H142">
            <v>117</v>
          </cell>
          <cell r="I142">
            <v>34</v>
          </cell>
        </row>
        <row r="143">
          <cell r="H143">
            <v>118</v>
          </cell>
          <cell r="I143">
            <v>34</v>
          </cell>
        </row>
        <row r="144">
          <cell r="H144">
            <v>119</v>
          </cell>
          <cell r="I144">
            <v>34</v>
          </cell>
        </row>
        <row r="145">
          <cell r="H145">
            <v>120</v>
          </cell>
          <cell r="I145">
            <v>34</v>
          </cell>
        </row>
      </sheetData>
      <sheetData sheetId="8">
        <row r="22">
          <cell r="F22">
            <v>1</v>
          </cell>
          <cell r="G22">
            <v>5</v>
          </cell>
        </row>
        <row r="23">
          <cell r="F23">
            <v>2</v>
          </cell>
          <cell r="G23">
            <v>5</v>
          </cell>
        </row>
        <row r="24">
          <cell r="F24">
            <v>3</v>
          </cell>
          <cell r="G24">
            <v>5</v>
          </cell>
        </row>
        <row r="25">
          <cell r="F25">
            <v>4</v>
          </cell>
          <cell r="G25">
            <v>5</v>
          </cell>
        </row>
        <row r="26">
          <cell r="F26">
            <v>5</v>
          </cell>
          <cell r="G26">
            <v>6</v>
          </cell>
        </row>
        <row r="27">
          <cell r="F27">
            <v>6</v>
          </cell>
          <cell r="G27">
            <v>6</v>
          </cell>
        </row>
        <row r="28">
          <cell r="F28">
            <v>7</v>
          </cell>
          <cell r="G28">
            <v>6</v>
          </cell>
        </row>
        <row r="29">
          <cell r="F29">
            <v>8</v>
          </cell>
          <cell r="G29">
            <v>6</v>
          </cell>
        </row>
        <row r="30">
          <cell r="F30">
            <v>9</v>
          </cell>
          <cell r="G30">
            <v>7</v>
          </cell>
        </row>
        <row r="31">
          <cell r="F31">
            <v>10</v>
          </cell>
          <cell r="G31">
            <v>7</v>
          </cell>
        </row>
        <row r="32">
          <cell r="F32">
            <v>11</v>
          </cell>
          <cell r="G32">
            <v>7</v>
          </cell>
        </row>
        <row r="33">
          <cell r="F33">
            <v>12</v>
          </cell>
          <cell r="G33">
            <v>7</v>
          </cell>
        </row>
        <row r="34">
          <cell r="F34">
            <v>13</v>
          </cell>
          <cell r="G34">
            <v>8</v>
          </cell>
        </row>
        <row r="35">
          <cell r="F35">
            <v>14</v>
          </cell>
          <cell r="G35">
            <v>8</v>
          </cell>
        </row>
        <row r="36">
          <cell r="F36">
            <v>15</v>
          </cell>
          <cell r="G36">
            <v>8</v>
          </cell>
        </row>
        <row r="37">
          <cell r="F37">
            <v>16</v>
          </cell>
          <cell r="G37">
            <v>8</v>
          </cell>
        </row>
        <row r="38">
          <cell r="F38">
            <v>17</v>
          </cell>
          <cell r="G38">
            <v>9</v>
          </cell>
        </row>
        <row r="39">
          <cell r="F39">
            <v>18</v>
          </cell>
          <cell r="G39">
            <v>9</v>
          </cell>
        </row>
        <row r="40">
          <cell r="F40">
            <v>19</v>
          </cell>
          <cell r="G40">
            <v>9</v>
          </cell>
        </row>
        <row r="41">
          <cell r="F41">
            <v>20</v>
          </cell>
          <cell r="G41">
            <v>9</v>
          </cell>
        </row>
        <row r="42">
          <cell r="F42">
            <v>21</v>
          </cell>
          <cell r="G42">
            <v>10</v>
          </cell>
        </row>
        <row r="43">
          <cell r="F43">
            <v>22</v>
          </cell>
          <cell r="G43">
            <v>10</v>
          </cell>
        </row>
        <row r="44">
          <cell r="F44">
            <v>23</v>
          </cell>
          <cell r="G44">
            <v>10</v>
          </cell>
        </row>
        <row r="45">
          <cell r="F45">
            <v>24</v>
          </cell>
          <cell r="G45">
            <v>10</v>
          </cell>
        </row>
        <row r="46">
          <cell r="F46">
            <v>25</v>
          </cell>
          <cell r="G46">
            <v>11</v>
          </cell>
        </row>
        <row r="47">
          <cell r="F47">
            <v>26</v>
          </cell>
          <cell r="G47">
            <v>11</v>
          </cell>
        </row>
        <row r="48">
          <cell r="F48">
            <v>27</v>
          </cell>
          <cell r="G48">
            <v>11</v>
          </cell>
        </row>
        <row r="49">
          <cell r="F49">
            <v>28</v>
          </cell>
          <cell r="G49">
            <v>11</v>
          </cell>
        </row>
        <row r="50">
          <cell r="F50">
            <v>29</v>
          </cell>
          <cell r="G50">
            <v>12</v>
          </cell>
        </row>
        <row r="51">
          <cell r="F51">
            <v>30</v>
          </cell>
          <cell r="G51">
            <v>12</v>
          </cell>
        </row>
        <row r="52">
          <cell r="F52">
            <v>31</v>
          </cell>
          <cell r="G52">
            <v>12</v>
          </cell>
        </row>
        <row r="53">
          <cell r="F53">
            <v>32</v>
          </cell>
          <cell r="G53">
            <v>12</v>
          </cell>
        </row>
        <row r="54">
          <cell r="F54">
            <v>33</v>
          </cell>
          <cell r="G54">
            <v>13</v>
          </cell>
        </row>
        <row r="55">
          <cell r="F55">
            <v>34</v>
          </cell>
          <cell r="G55">
            <v>13</v>
          </cell>
        </row>
        <row r="56">
          <cell r="F56">
            <v>35</v>
          </cell>
          <cell r="G56">
            <v>13</v>
          </cell>
        </row>
        <row r="57">
          <cell r="F57">
            <v>36</v>
          </cell>
          <cell r="G57">
            <v>13</v>
          </cell>
        </row>
        <row r="58">
          <cell r="F58">
            <v>37</v>
          </cell>
          <cell r="G58">
            <v>14</v>
          </cell>
        </row>
        <row r="59">
          <cell r="F59">
            <v>38</v>
          </cell>
          <cell r="G59">
            <v>14</v>
          </cell>
        </row>
        <row r="60">
          <cell r="F60">
            <v>39</v>
          </cell>
          <cell r="G60">
            <v>14</v>
          </cell>
        </row>
        <row r="61">
          <cell r="F61">
            <v>40</v>
          </cell>
          <cell r="G61">
            <v>14</v>
          </cell>
        </row>
        <row r="62">
          <cell r="F62">
            <v>41</v>
          </cell>
          <cell r="G62">
            <v>15</v>
          </cell>
        </row>
        <row r="63">
          <cell r="F63">
            <v>42</v>
          </cell>
          <cell r="G63">
            <v>15</v>
          </cell>
        </row>
        <row r="64">
          <cell r="F64">
            <v>43</v>
          </cell>
          <cell r="G64">
            <v>15</v>
          </cell>
        </row>
        <row r="65">
          <cell r="F65">
            <v>44</v>
          </cell>
          <cell r="G65">
            <v>15</v>
          </cell>
        </row>
        <row r="66">
          <cell r="F66">
            <v>45</v>
          </cell>
          <cell r="G66">
            <v>16</v>
          </cell>
        </row>
        <row r="67">
          <cell r="F67">
            <v>46</v>
          </cell>
          <cell r="G67">
            <v>16</v>
          </cell>
        </row>
        <row r="68">
          <cell r="F68">
            <v>47</v>
          </cell>
          <cell r="G68">
            <v>16</v>
          </cell>
        </row>
        <row r="69">
          <cell r="F69">
            <v>48</v>
          </cell>
          <cell r="G69">
            <v>16</v>
          </cell>
        </row>
        <row r="70">
          <cell r="F70">
            <v>49</v>
          </cell>
          <cell r="G70">
            <v>17</v>
          </cell>
        </row>
        <row r="71">
          <cell r="F71">
            <v>50</v>
          </cell>
          <cell r="G71">
            <v>17</v>
          </cell>
        </row>
        <row r="72">
          <cell r="F72">
            <v>51</v>
          </cell>
          <cell r="G72">
            <v>17</v>
          </cell>
        </row>
        <row r="73">
          <cell r="F73">
            <v>52</v>
          </cell>
          <cell r="G73">
            <v>17</v>
          </cell>
        </row>
        <row r="74">
          <cell r="F74">
            <v>53</v>
          </cell>
          <cell r="G74">
            <v>18</v>
          </cell>
        </row>
        <row r="75">
          <cell r="F75">
            <v>54</v>
          </cell>
          <cell r="G75">
            <v>18</v>
          </cell>
        </row>
        <row r="76">
          <cell r="F76">
            <v>55</v>
          </cell>
          <cell r="G76">
            <v>18</v>
          </cell>
        </row>
        <row r="77">
          <cell r="F77">
            <v>56</v>
          </cell>
          <cell r="G77">
            <v>18</v>
          </cell>
        </row>
        <row r="78">
          <cell r="F78">
            <v>57</v>
          </cell>
          <cell r="G78">
            <v>19</v>
          </cell>
        </row>
        <row r="79">
          <cell r="F79">
            <v>58</v>
          </cell>
          <cell r="G79">
            <v>19</v>
          </cell>
        </row>
        <row r="80">
          <cell r="F80">
            <v>59</v>
          </cell>
          <cell r="G80">
            <v>19</v>
          </cell>
        </row>
        <row r="81">
          <cell r="F81">
            <v>60</v>
          </cell>
          <cell r="G81">
            <v>19</v>
          </cell>
        </row>
        <row r="82">
          <cell r="F82">
            <v>61</v>
          </cell>
          <cell r="G82">
            <v>20</v>
          </cell>
        </row>
        <row r="83">
          <cell r="F83">
            <v>62</v>
          </cell>
          <cell r="G83">
            <v>20</v>
          </cell>
        </row>
        <row r="84">
          <cell r="F84">
            <v>63</v>
          </cell>
          <cell r="G84">
            <v>20</v>
          </cell>
        </row>
        <row r="85">
          <cell r="F85">
            <v>64</v>
          </cell>
          <cell r="G85">
            <v>20</v>
          </cell>
        </row>
        <row r="86">
          <cell r="F86">
            <v>65</v>
          </cell>
          <cell r="G86">
            <v>21</v>
          </cell>
        </row>
        <row r="87">
          <cell r="F87">
            <v>66</v>
          </cell>
          <cell r="G87">
            <v>21</v>
          </cell>
        </row>
        <row r="88">
          <cell r="F88">
            <v>67</v>
          </cell>
          <cell r="G88">
            <v>21</v>
          </cell>
        </row>
        <row r="89">
          <cell r="F89">
            <v>68</v>
          </cell>
          <cell r="G89">
            <v>21</v>
          </cell>
        </row>
        <row r="90">
          <cell r="F90">
            <v>69</v>
          </cell>
          <cell r="G90">
            <v>22</v>
          </cell>
        </row>
        <row r="91">
          <cell r="F91">
            <v>70</v>
          </cell>
          <cell r="G91">
            <v>22</v>
          </cell>
        </row>
        <row r="92">
          <cell r="F92">
            <v>71</v>
          </cell>
          <cell r="G92">
            <v>22</v>
          </cell>
        </row>
        <row r="93">
          <cell r="F93">
            <v>72</v>
          </cell>
          <cell r="G93">
            <v>22</v>
          </cell>
        </row>
        <row r="94">
          <cell r="F94">
            <v>73</v>
          </cell>
          <cell r="G94">
            <v>23</v>
          </cell>
        </row>
        <row r="95">
          <cell r="F95">
            <v>74</v>
          </cell>
          <cell r="G95">
            <v>23</v>
          </cell>
        </row>
        <row r="96">
          <cell r="F96">
            <v>75</v>
          </cell>
          <cell r="G96">
            <v>23</v>
          </cell>
        </row>
        <row r="97">
          <cell r="F97">
            <v>76</v>
          </cell>
          <cell r="G97">
            <v>23</v>
          </cell>
        </row>
        <row r="98">
          <cell r="F98">
            <v>77</v>
          </cell>
          <cell r="G98">
            <v>24</v>
          </cell>
        </row>
        <row r="99">
          <cell r="F99">
            <v>78</v>
          </cell>
          <cell r="G99">
            <v>24</v>
          </cell>
        </row>
        <row r="100">
          <cell r="F100">
            <v>79</v>
          </cell>
          <cell r="G100">
            <v>24</v>
          </cell>
        </row>
        <row r="101">
          <cell r="F101">
            <v>80</v>
          </cell>
          <cell r="G101">
            <v>24</v>
          </cell>
        </row>
        <row r="102">
          <cell r="F102">
            <v>81</v>
          </cell>
          <cell r="G102">
            <v>25</v>
          </cell>
        </row>
        <row r="103">
          <cell r="F103">
            <v>82</v>
          </cell>
          <cell r="G103">
            <v>25</v>
          </cell>
        </row>
        <row r="104">
          <cell r="F104">
            <v>83</v>
          </cell>
          <cell r="G104">
            <v>25</v>
          </cell>
        </row>
        <row r="105">
          <cell r="F105">
            <v>84</v>
          </cell>
          <cell r="G105">
            <v>25</v>
          </cell>
        </row>
        <row r="106">
          <cell r="F106">
            <v>85</v>
          </cell>
          <cell r="G106">
            <v>26</v>
          </cell>
        </row>
        <row r="107">
          <cell r="F107">
            <v>86</v>
          </cell>
          <cell r="G107">
            <v>26</v>
          </cell>
        </row>
        <row r="108">
          <cell r="F108">
            <v>87</v>
          </cell>
          <cell r="G108">
            <v>26</v>
          </cell>
        </row>
        <row r="109">
          <cell r="F109">
            <v>88</v>
          </cell>
          <cell r="G109">
            <v>26</v>
          </cell>
        </row>
        <row r="110">
          <cell r="F110">
            <v>89</v>
          </cell>
          <cell r="G110">
            <v>27</v>
          </cell>
        </row>
        <row r="111">
          <cell r="F111">
            <v>90</v>
          </cell>
          <cell r="G111">
            <v>27</v>
          </cell>
        </row>
        <row r="112">
          <cell r="F112">
            <v>91</v>
          </cell>
          <cell r="G112">
            <v>27</v>
          </cell>
        </row>
        <row r="113">
          <cell r="F113">
            <v>92</v>
          </cell>
          <cell r="G113">
            <v>27</v>
          </cell>
        </row>
        <row r="114">
          <cell r="F114">
            <v>93</v>
          </cell>
          <cell r="G114">
            <v>28</v>
          </cell>
        </row>
        <row r="115">
          <cell r="F115">
            <v>94</v>
          </cell>
          <cell r="G115">
            <v>28</v>
          </cell>
        </row>
        <row r="116">
          <cell r="F116">
            <v>95</v>
          </cell>
          <cell r="G116">
            <v>28</v>
          </cell>
        </row>
        <row r="117">
          <cell r="F117">
            <v>96</v>
          </cell>
          <cell r="G117">
            <v>28</v>
          </cell>
        </row>
        <row r="118">
          <cell r="F118">
            <v>97</v>
          </cell>
          <cell r="G118">
            <v>29</v>
          </cell>
        </row>
        <row r="119">
          <cell r="F119">
            <v>98</v>
          </cell>
          <cell r="G119">
            <v>29</v>
          </cell>
        </row>
        <row r="120">
          <cell r="F120">
            <v>99</v>
          </cell>
          <cell r="G120">
            <v>29</v>
          </cell>
        </row>
        <row r="121">
          <cell r="F121">
            <v>100</v>
          </cell>
          <cell r="G121">
            <v>29</v>
          </cell>
        </row>
        <row r="122">
          <cell r="F122">
            <v>101</v>
          </cell>
          <cell r="G122">
            <v>30</v>
          </cell>
        </row>
        <row r="123">
          <cell r="F123">
            <v>102</v>
          </cell>
          <cell r="G123">
            <v>30</v>
          </cell>
        </row>
        <row r="124">
          <cell r="F124">
            <v>103</v>
          </cell>
          <cell r="G124">
            <v>30</v>
          </cell>
        </row>
        <row r="125">
          <cell r="F125">
            <v>104</v>
          </cell>
          <cell r="G125">
            <v>30</v>
          </cell>
        </row>
        <row r="126">
          <cell r="F126">
            <v>105</v>
          </cell>
          <cell r="G126">
            <v>31</v>
          </cell>
        </row>
        <row r="127">
          <cell r="F127">
            <v>106</v>
          </cell>
          <cell r="G127">
            <v>31</v>
          </cell>
        </row>
        <row r="128">
          <cell r="F128">
            <v>107</v>
          </cell>
          <cell r="G128">
            <v>31</v>
          </cell>
        </row>
        <row r="129">
          <cell r="F129">
            <v>108</v>
          </cell>
          <cell r="G129">
            <v>31</v>
          </cell>
        </row>
        <row r="130">
          <cell r="F130">
            <v>109</v>
          </cell>
          <cell r="G130">
            <v>32</v>
          </cell>
        </row>
        <row r="131">
          <cell r="F131">
            <v>110</v>
          </cell>
          <cell r="G131">
            <v>32</v>
          </cell>
        </row>
        <row r="132">
          <cell r="F132">
            <v>111</v>
          </cell>
          <cell r="G132">
            <v>32</v>
          </cell>
        </row>
        <row r="133">
          <cell r="F133">
            <v>112</v>
          </cell>
          <cell r="G133">
            <v>32</v>
          </cell>
        </row>
        <row r="134">
          <cell r="F134">
            <v>113</v>
          </cell>
          <cell r="G134">
            <v>33</v>
          </cell>
        </row>
        <row r="135">
          <cell r="F135">
            <v>114</v>
          </cell>
          <cell r="G135">
            <v>33</v>
          </cell>
        </row>
        <row r="136">
          <cell r="F136">
            <v>115</v>
          </cell>
          <cell r="G136">
            <v>33</v>
          </cell>
        </row>
        <row r="137">
          <cell r="F137">
            <v>116</v>
          </cell>
          <cell r="G137">
            <v>33</v>
          </cell>
        </row>
        <row r="138">
          <cell r="F138">
            <v>117</v>
          </cell>
          <cell r="G138">
            <v>34</v>
          </cell>
        </row>
        <row r="139">
          <cell r="F139">
            <v>118</v>
          </cell>
          <cell r="G139">
            <v>34</v>
          </cell>
        </row>
        <row r="140">
          <cell r="F140">
            <v>119</v>
          </cell>
          <cell r="G140">
            <v>34</v>
          </cell>
        </row>
        <row r="141">
          <cell r="F141">
            <v>120</v>
          </cell>
          <cell r="G141">
            <v>34</v>
          </cell>
        </row>
      </sheetData>
      <sheetData sheetId="9"/>
      <sheetData sheetId="10"/>
      <sheetData sheetId="11">
        <row r="27">
          <cell r="F27"/>
          <cell r="G27"/>
          <cell r="R27"/>
          <cell r="S27"/>
        </row>
        <row r="28">
          <cell r="F28" t="str">
            <v>英雄副本</v>
          </cell>
          <cell r="G28" t="str">
            <v>产出数量</v>
          </cell>
          <cell r="R28" t="str">
            <v>英雄副本</v>
          </cell>
          <cell r="S28" t="str">
            <v>产出数量</v>
          </cell>
        </row>
        <row r="29">
          <cell r="F29">
            <v>1</v>
          </cell>
          <cell r="G29">
            <v>4</v>
          </cell>
          <cell r="R29">
            <v>1</v>
          </cell>
          <cell r="S29">
            <v>8</v>
          </cell>
        </row>
        <row r="30">
          <cell r="F30">
            <v>2</v>
          </cell>
          <cell r="G30">
            <v>4</v>
          </cell>
          <cell r="R30">
            <v>2</v>
          </cell>
          <cell r="S30">
            <v>8</v>
          </cell>
        </row>
        <row r="31">
          <cell r="F31">
            <v>3</v>
          </cell>
          <cell r="G31">
            <v>4</v>
          </cell>
          <cell r="R31">
            <v>3</v>
          </cell>
          <cell r="S31">
            <v>8</v>
          </cell>
        </row>
        <row r="32">
          <cell r="F32">
            <v>4</v>
          </cell>
          <cell r="G32">
            <v>4</v>
          </cell>
          <cell r="R32">
            <v>4</v>
          </cell>
          <cell r="S32">
            <v>8</v>
          </cell>
        </row>
        <row r="33">
          <cell r="F33">
            <v>5</v>
          </cell>
          <cell r="G33">
            <v>5</v>
          </cell>
          <cell r="R33">
            <v>5</v>
          </cell>
          <cell r="S33">
            <v>9</v>
          </cell>
        </row>
        <row r="34">
          <cell r="F34">
            <v>6</v>
          </cell>
          <cell r="G34">
            <v>5</v>
          </cell>
          <cell r="R34">
            <v>6</v>
          </cell>
          <cell r="S34">
            <v>9</v>
          </cell>
        </row>
        <row r="35">
          <cell r="F35">
            <v>7</v>
          </cell>
          <cell r="G35">
            <v>5</v>
          </cell>
          <cell r="R35">
            <v>7</v>
          </cell>
          <cell r="S35">
            <v>9</v>
          </cell>
        </row>
        <row r="36">
          <cell r="F36">
            <v>8</v>
          </cell>
          <cell r="G36">
            <v>5</v>
          </cell>
          <cell r="R36">
            <v>8</v>
          </cell>
          <cell r="S36">
            <v>9</v>
          </cell>
        </row>
        <row r="37">
          <cell r="F37">
            <v>9</v>
          </cell>
          <cell r="G37">
            <v>6</v>
          </cell>
          <cell r="R37">
            <v>9</v>
          </cell>
          <cell r="S37">
            <v>10</v>
          </cell>
        </row>
        <row r="38">
          <cell r="F38">
            <v>10</v>
          </cell>
          <cell r="G38">
            <v>6</v>
          </cell>
          <cell r="R38">
            <v>10</v>
          </cell>
          <cell r="S38">
            <v>10</v>
          </cell>
        </row>
        <row r="39">
          <cell r="F39">
            <v>11</v>
          </cell>
          <cell r="G39">
            <v>6</v>
          </cell>
          <cell r="R39">
            <v>11</v>
          </cell>
          <cell r="S39">
            <v>10</v>
          </cell>
        </row>
        <row r="40">
          <cell r="F40">
            <v>12</v>
          </cell>
          <cell r="G40">
            <v>6</v>
          </cell>
          <cell r="R40">
            <v>12</v>
          </cell>
          <cell r="S40">
            <v>10</v>
          </cell>
        </row>
        <row r="41">
          <cell r="F41">
            <v>13</v>
          </cell>
          <cell r="G41">
            <v>7</v>
          </cell>
          <cell r="R41">
            <v>13</v>
          </cell>
          <cell r="S41">
            <v>11</v>
          </cell>
        </row>
        <row r="42">
          <cell r="F42">
            <v>14</v>
          </cell>
          <cell r="G42">
            <v>7</v>
          </cell>
          <cell r="R42">
            <v>14</v>
          </cell>
          <cell r="S42">
            <v>11</v>
          </cell>
        </row>
        <row r="43">
          <cell r="F43">
            <v>15</v>
          </cell>
          <cell r="G43">
            <v>7</v>
          </cell>
          <cell r="R43">
            <v>15</v>
          </cell>
          <cell r="S43">
            <v>11</v>
          </cell>
        </row>
        <row r="44">
          <cell r="F44">
            <v>16</v>
          </cell>
          <cell r="G44">
            <v>7</v>
          </cell>
          <cell r="R44">
            <v>16</v>
          </cell>
          <cell r="S44">
            <v>11</v>
          </cell>
        </row>
        <row r="45">
          <cell r="F45">
            <v>17</v>
          </cell>
          <cell r="G45">
            <v>8</v>
          </cell>
          <cell r="R45">
            <v>17</v>
          </cell>
          <cell r="S45">
            <v>12</v>
          </cell>
        </row>
        <row r="46">
          <cell r="F46">
            <v>18</v>
          </cell>
          <cell r="G46">
            <v>8</v>
          </cell>
          <cell r="R46">
            <v>18</v>
          </cell>
          <cell r="S46">
            <v>12</v>
          </cell>
        </row>
        <row r="47">
          <cell r="F47">
            <v>19</v>
          </cell>
          <cell r="G47">
            <v>8</v>
          </cell>
          <cell r="R47">
            <v>19</v>
          </cell>
          <cell r="S47">
            <v>12</v>
          </cell>
        </row>
        <row r="48">
          <cell r="F48">
            <v>20</v>
          </cell>
          <cell r="G48">
            <v>8</v>
          </cell>
          <cell r="R48">
            <v>20</v>
          </cell>
          <cell r="S48">
            <v>12</v>
          </cell>
        </row>
        <row r="49">
          <cell r="F49">
            <v>21</v>
          </cell>
          <cell r="G49">
            <v>9</v>
          </cell>
          <cell r="R49">
            <v>21</v>
          </cell>
          <cell r="S49">
            <v>13</v>
          </cell>
        </row>
        <row r="50">
          <cell r="F50">
            <v>22</v>
          </cell>
          <cell r="G50">
            <v>9</v>
          </cell>
          <cell r="R50">
            <v>22</v>
          </cell>
          <cell r="S50">
            <v>13</v>
          </cell>
        </row>
        <row r="51">
          <cell r="F51">
            <v>23</v>
          </cell>
          <cell r="G51">
            <v>9</v>
          </cell>
          <cell r="R51">
            <v>23</v>
          </cell>
          <cell r="S51">
            <v>13</v>
          </cell>
        </row>
        <row r="52">
          <cell r="F52">
            <v>24</v>
          </cell>
          <cell r="G52">
            <v>9</v>
          </cell>
          <cell r="R52">
            <v>24</v>
          </cell>
          <cell r="S52">
            <v>13</v>
          </cell>
        </row>
        <row r="53">
          <cell r="F53">
            <v>25</v>
          </cell>
          <cell r="G53">
            <v>10</v>
          </cell>
          <cell r="R53">
            <v>25</v>
          </cell>
          <cell r="S53">
            <v>14</v>
          </cell>
        </row>
        <row r="54">
          <cell r="F54">
            <v>26</v>
          </cell>
          <cell r="G54">
            <v>10</v>
          </cell>
          <cell r="R54">
            <v>26</v>
          </cell>
          <cell r="S54">
            <v>14</v>
          </cell>
        </row>
        <row r="55">
          <cell r="F55">
            <v>27</v>
          </cell>
          <cell r="G55">
            <v>10</v>
          </cell>
          <cell r="R55">
            <v>27</v>
          </cell>
          <cell r="S55">
            <v>14</v>
          </cell>
        </row>
        <row r="56">
          <cell r="F56">
            <v>28</v>
          </cell>
          <cell r="G56">
            <v>10</v>
          </cell>
          <cell r="R56">
            <v>28</v>
          </cell>
          <cell r="S56">
            <v>14</v>
          </cell>
        </row>
        <row r="57">
          <cell r="F57">
            <v>29</v>
          </cell>
          <cell r="G57">
            <v>11</v>
          </cell>
          <cell r="R57">
            <v>29</v>
          </cell>
          <cell r="S57">
            <v>15</v>
          </cell>
        </row>
        <row r="58">
          <cell r="F58">
            <v>30</v>
          </cell>
          <cell r="G58">
            <v>11</v>
          </cell>
          <cell r="R58">
            <v>30</v>
          </cell>
          <cell r="S58">
            <v>15</v>
          </cell>
        </row>
        <row r="59">
          <cell r="F59">
            <v>31</v>
          </cell>
          <cell r="G59">
            <v>11</v>
          </cell>
          <cell r="R59">
            <v>31</v>
          </cell>
          <cell r="S59">
            <v>15</v>
          </cell>
        </row>
        <row r="60">
          <cell r="F60">
            <v>32</v>
          </cell>
          <cell r="G60">
            <v>11</v>
          </cell>
          <cell r="R60">
            <v>32</v>
          </cell>
          <cell r="S60">
            <v>15</v>
          </cell>
        </row>
        <row r="61">
          <cell r="F61">
            <v>33</v>
          </cell>
          <cell r="G61">
            <v>12</v>
          </cell>
          <cell r="R61">
            <v>33</v>
          </cell>
          <cell r="S61">
            <v>16</v>
          </cell>
        </row>
        <row r="62">
          <cell r="F62">
            <v>34</v>
          </cell>
          <cell r="G62">
            <v>12</v>
          </cell>
          <cell r="R62">
            <v>34</v>
          </cell>
          <cell r="S62">
            <v>16</v>
          </cell>
        </row>
        <row r="63">
          <cell r="F63">
            <v>35</v>
          </cell>
          <cell r="G63">
            <v>12</v>
          </cell>
          <cell r="R63">
            <v>35</v>
          </cell>
          <cell r="S63">
            <v>16</v>
          </cell>
        </row>
        <row r="64">
          <cell r="F64">
            <v>36</v>
          </cell>
          <cell r="G64">
            <v>12</v>
          </cell>
          <cell r="R64">
            <v>36</v>
          </cell>
          <cell r="S64">
            <v>16</v>
          </cell>
        </row>
        <row r="65">
          <cell r="F65">
            <v>37</v>
          </cell>
          <cell r="G65">
            <v>13</v>
          </cell>
          <cell r="R65">
            <v>37</v>
          </cell>
          <cell r="S65">
            <v>17</v>
          </cell>
        </row>
        <row r="66">
          <cell r="F66">
            <v>38</v>
          </cell>
          <cell r="G66">
            <v>13</v>
          </cell>
          <cell r="R66">
            <v>38</v>
          </cell>
          <cell r="S66">
            <v>17</v>
          </cell>
        </row>
        <row r="67">
          <cell r="F67">
            <v>39</v>
          </cell>
          <cell r="G67">
            <v>13</v>
          </cell>
          <cell r="R67">
            <v>39</v>
          </cell>
          <cell r="S67">
            <v>17</v>
          </cell>
        </row>
        <row r="68">
          <cell r="F68">
            <v>40</v>
          </cell>
          <cell r="G68">
            <v>13</v>
          </cell>
          <cell r="R68">
            <v>40</v>
          </cell>
          <cell r="S68">
            <v>17</v>
          </cell>
        </row>
        <row r="69">
          <cell r="F69">
            <v>41</v>
          </cell>
          <cell r="G69">
            <v>14</v>
          </cell>
          <cell r="R69">
            <v>41</v>
          </cell>
          <cell r="S69">
            <v>18</v>
          </cell>
        </row>
        <row r="70">
          <cell r="F70">
            <v>42</v>
          </cell>
          <cell r="G70">
            <v>14</v>
          </cell>
          <cell r="R70">
            <v>42</v>
          </cell>
          <cell r="S70">
            <v>18</v>
          </cell>
        </row>
        <row r="71">
          <cell r="F71">
            <v>43</v>
          </cell>
          <cell r="G71">
            <v>14</v>
          </cell>
          <cell r="R71">
            <v>43</v>
          </cell>
          <cell r="S71">
            <v>18</v>
          </cell>
        </row>
        <row r="72">
          <cell r="F72">
            <v>44</v>
          </cell>
          <cell r="G72">
            <v>14</v>
          </cell>
          <cell r="R72">
            <v>44</v>
          </cell>
          <cell r="S72">
            <v>18</v>
          </cell>
        </row>
        <row r="73">
          <cell r="F73">
            <v>45</v>
          </cell>
          <cell r="G73">
            <v>15</v>
          </cell>
          <cell r="R73">
            <v>45</v>
          </cell>
          <cell r="S73">
            <v>19</v>
          </cell>
        </row>
        <row r="74">
          <cell r="F74">
            <v>46</v>
          </cell>
          <cell r="G74">
            <v>15</v>
          </cell>
          <cell r="R74">
            <v>46</v>
          </cell>
          <cell r="S74">
            <v>19</v>
          </cell>
        </row>
        <row r="75">
          <cell r="F75">
            <v>47</v>
          </cell>
          <cell r="G75">
            <v>15</v>
          </cell>
          <cell r="R75">
            <v>47</v>
          </cell>
          <cell r="S75">
            <v>19</v>
          </cell>
        </row>
        <row r="76">
          <cell r="F76">
            <v>48</v>
          </cell>
          <cell r="G76">
            <v>15</v>
          </cell>
          <cell r="R76">
            <v>48</v>
          </cell>
          <cell r="S76">
            <v>19</v>
          </cell>
        </row>
        <row r="77">
          <cell r="F77">
            <v>49</v>
          </cell>
          <cell r="G77">
            <v>16</v>
          </cell>
          <cell r="R77">
            <v>49</v>
          </cell>
          <cell r="S77">
            <v>20</v>
          </cell>
        </row>
        <row r="78">
          <cell r="F78">
            <v>50</v>
          </cell>
          <cell r="G78">
            <v>16</v>
          </cell>
          <cell r="R78">
            <v>50</v>
          </cell>
          <cell r="S78">
            <v>20</v>
          </cell>
        </row>
        <row r="79">
          <cell r="F79">
            <v>51</v>
          </cell>
          <cell r="G79">
            <v>16</v>
          </cell>
          <cell r="R79">
            <v>51</v>
          </cell>
          <cell r="S79">
            <v>20</v>
          </cell>
        </row>
        <row r="80">
          <cell r="F80">
            <v>52</v>
          </cell>
          <cell r="G80">
            <v>16</v>
          </cell>
          <cell r="R80">
            <v>52</v>
          </cell>
          <cell r="S80">
            <v>20</v>
          </cell>
        </row>
        <row r="81">
          <cell r="F81">
            <v>53</v>
          </cell>
          <cell r="G81">
            <v>17</v>
          </cell>
          <cell r="R81">
            <v>53</v>
          </cell>
          <cell r="S81">
            <v>21</v>
          </cell>
        </row>
        <row r="82">
          <cell r="F82">
            <v>54</v>
          </cell>
          <cell r="G82">
            <v>17</v>
          </cell>
          <cell r="R82">
            <v>54</v>
          </cell>
          <cell r="S82">
            <v>21</v>
          </cell>
        </row>
        <row r="83">
          <cell r="F83">
            <v>55</v>
          </cell>
          <cell r="G83">
            <v>17</v>
          </cell>
          <cell r="R83">
            <v>55</v>
          </cell>
          <cell r="S83">
            <v>21</v>
          </cell>
        </row>
        <row r="84">
          <cell r="F84">
            <v>56</v>
          </cell>
          <cell r="G84">
            <v>17</v>
          </cell>
          <cell r="R84">
            <v>56</v>
          </cell>
          <cell r="S84">
            <v>21</v>
          </cell>
        </row>
        <row r="85">
          <cell r="F85">
            <v>57</v>
          </cell>
          <cell r="G85">
            <v>18</v>
          </cell>
          <cell r="R85">
            <v>57</v>
          </cell>
          <cell r="S85">
            <v>22</v>
          </cell>
        </row>
        <row r="86">
          <cell r="F86">
            <v>58</v>
          </cell>
          <cell r="G86">
            <v>18</v>
          </cell>
          <cell r="R86">
            <v>58</v>
          </cell>
          <cell r="S86">
            <v>22</v>
          </cell>
        </row>
        <row r="87">
          <cell r="F87">
            <v>59</v>
          </cell>
          <cell r="G87">
            <v>18</v>
          </cell>
          <cell r="R87">
            <v>59</v>
          </cell>
          <cell r="S87">
            <v>22</v>
          </cell>
        </row>
        <row r="88">
          <cell r="F88">
            <v>60</v>
          </cell>
          <cell r="G88">
            <v>18</v>
          </cell>
          <cell r="R88">
            <v>60</v>
          </cell>
          <cell r="S88">
            <v>22</v>
          </cell>
        </row>
        <row r="89">
          <cell r="F89">
            <v>61</v>
          </cell>
          <cell r="G89">
            <v>19</v>
          </cell>
          <cell r="R89">
            <v>61</v>
          </cell>
          <cell r="S89">
            <v>23</v>
          </cell>
        </row>
        <row r="90">
          <cell r="F90">
            <v>62</v>
          </cell>
          <cell r="G90">
            <v>19</v>
          </cell>
          <cell r="R90">
            <v>62</v>
          </cell>
          <cell r="S90">
            <v>23</v>
          </cell>
        </row>
        <row r="91">
          <cell r="F91">
            <v>63</v>
          </cell>
          <cell r="G91">
            <v>19</v>
          </cell>
          <cell r="R91">
            <v>63</v>
          </cell>
          <cell r="S91">
            <v>23</v>
          </cell>
        </row>
        <row r="92">
          <cell r="F92">
            <v>64</v>
          </cell>
          <cell r="G92">
            <v>19</v>
          </cell>
          <cell r="R92">
            <v>64</v>
          </cell>
          <cell r="S92">
            <v>23</v>
          </cell>
        </row>
        <row r="93">
          <cell r="F93">
            <v>65</v>
          </cell>
          <cell r="G93">
            <v>20</v>
          </cell>
          <cell r="R93">
            <v>65</v>
          </cell>
          <cell r="S93">
            <v>24</v>
          </cell>
        </row>
        <row r="94">
          <cell r="F94">
            <v>66</v>
          </cell>
          <cell r="G94">
            <v>20</v>
          </cell>
          <cell r="R94">
            <v>66</v>
          </cell>
          <cell r="S94">
            <v>24</v>
          </cell>
        </row>
        <row r="95">
          <cell r="F95">
            <v>67</v>
          </cell>
          <cell r="G95">
            <v>20</v>
          </cell>
          <cell r="R95">
            <v>67</v>
          </cell>
          <cell r="S95">
            <v>24</v>
          </cell>
        </row>
        <row r="96">
          <cell r="F96">
            <v>68</v>
          </cell>
          <cell r="G96">
            <v>20</v>
          </cell>
          <cell r="R96">
            <v>68</v>
          </cell>
          <cell r="S96">
            <v>24</v>
          </cell>
        </row>
        <row r="97">
          <cell r="F97">
            <v>69</v>
          </cell>
          <cell r="G97">
            <v>21</v>
          </cell>
          <cell r="R97">
            <v>69</v>
          </cell>
          <cell r="S97">
            <v>25</v>
          </cell>
        </row>
        <row r="98">
          <cell r="F98">
            <v>70</v>
          </cell>
          <cell r="G98">
            <v>21</v>
          </cell>
          <cell r="R98">
            <v>70</v>
          </cell>
          <cell r="S98">
            <v>25</v>
          </cell>
        </row>
        <row r="99">
          <cell r="F99">
            <v>71</v>
          </cell>
          <cell r="G99">
            <v>21</v>
          </cell>
          <cell r="R99">
            <v>71</v>
          </cell>
          <cell r="S99">
            <v>25</v>
          </cell>
        </row>
        <row r="100">
          <cell r="F100">
            <v>72</v>
          </cell>
          <cell r="G100">
            <v>21</v>
          </cell>
          <cell r="R100">
            <v>72</v>
          </cell>
          <cell r="S100">
            <v>25</v>
          </cell>
        </row>
        <row r="101">
          <cell r="F101">
            <v>73</v>
          </cell>
          <cell r="G101">
            <v>22</v>
          </cell>
          <cell r="R101">
            <v>73</v>
          </cell>
          <cell r="S101">
            <v>26</v>
          </cell>
        </row>
        <row r="102">
          <cell r="F102">
            <v>74</v>
          </cell>
          <cell r="G102">
            <v>22</v>
          </cell>
          <cell r="R102">
            <v>74</v>
          </cell>
          <cell r="S102">
            <v>26</v>
          </cell>
        </row>
        <row r="103">
          <cell r="F103">
            <v>75</v>
          </cell>
          <cell r="G103">
            <v>22</v>
          </cell>
          <cell r="R103">
            <v>75</v>
          </cell>
          <cell r="S103">
            <v>26</v>
          </cell>
        </row>
        <row r="104">
          <cell r="F104">
            <v>76</v>
          </cell>
          <cell r="G104">
            <v>22</v>
          </cell>
          <cell r="R104">
            <v>76</v>
          </cell>
          <cell r="S104">
            <v>26</v>
          </cell>
        </row>
        <row r="105">
          <cell r="F105">
            <v>77</v>
          </cell>
          <cell r="G105">
            <v>23</v>
          </cell>
          <cell r="R105">
            <v>77</v>
          </cell>
          <cell r="S105">
            <v>27</v>
          </cell>
        </row>
        <row r="106">
          <cell r="F106">
            <v>78</v>
          </cell>
          <cell r="G106">
            <v>23</v>
          </cell>
          <cell r="R106">
            <v>78</v>
          </cell>
          <cell r="S106">
            <v>27</v>
          </cell>
        </row>
        <row r="107">
          <cell r="F107">
            <v>79</v>
          </cell>
          <cell r="G107">
            <v>23</v>
          </cell>
          <cell r="R107">
            <v>79</v>
          </cell>
          <cell r="S107">
            <v>27</v>
          </cell>
        </row>
        <row r="108">
          <cell r="F108">
            <v>80</v>
          </cell>
          <cell r="G108">
            <v>23</v>
          </cell>
          <cell r="R108">
            <v>80</v>
          </cell>
          <cell r="S108">
            <v>27</v>
          </cell>
        </row>
        <row r="109">
          <cell r="F109">
            <v>81</v>
          </cell>
          <cell r="G109">
            <v>24</v>
          </cell>
          <cell r="R109">
            <v>81</v>
          </cell>
          <cell r="S109">
            <v>28</v>
          </cell>
        </row>
        <row r="110">
          <cell r="F110">
            <v>82</v>
          </cell>
          <cell r="G110">
            <v>24</v>
          </cell>
          <cell r="R110">
            <v>82</v>
          </cell>
          <cell r="S110">
            <v>28</v>
          </cell>
        </row>
        <row r="111">
          <cell r="F111">
            <v>83</v>
          </cell>
          <cell r="G111">
            <v>24</v>
          </cell>
          <cell r="R111">
            <v>83</v>
          </cell>
          <cell r="S111">
            <v>28</v>
          </cell>
        </row>
        <row r="112">
          <cell r="F112">
            <v>84</v>
          </cell>
          <cell r="G112">
            <v>24</v>
          </cell>
          <cell r="R112">
            <v>84</v>
          </cell>
          <cell r="S112">
            <v>28</v>
          </cell>
        </row>
        <row r="113">
          <cell r="F113">
            <v>85</v>
          </cell>
          <cell r="G113">
            <v>25</v>
          </cell>
          <cell r="R113">
            <v>85</v>
          </cell>
          <cell r="S113">
            <v>29</v>
          </cell>
        </row>
        <row r="114">
          <cell r="F114">
            <v>86</v>
          </cell>
          <cell r="G114">
            <v>25</v>
          </cell>
          <cell r="R114">
            <v>86</v>
          </cell>
          <cell r="S114">
            <v>29</v>
          </cell>
        </row>
        <row r="115">
          <cell r="F115">
            <v>87</v>
          </cell>
          <cell r="G115">
            <v>25</v>
          </cell>
          <cell r="R115">
            <v>87</v>
          </cell>
          <cell r="S115">
            <v>29</v>
          </cell>
        </row>
        <row r="116">
          <cell r="F116">
            <v>88</v>
          </cell>
          <cell r="G116">
            <v>25</v>
          </cell>
          <cell r="R116">
            <v>88</v>
          </cell>
          <cell r="S116">
            <v>29</v>
          </cell>
        </row>
        <row r="117">
          <cell r="F117">
            <v>89</v>
          </cell>
          <cell r="G117">
            <v>26</v>
          </cell>
          <cell r="R117">
            <v>89</v>
          </cell>
          <cell r="S117">
            <v>30</v>
          </cell>
        </row>
        <row r="118">
          <cell r="F118">
            <v>90</v>
          </cell>
          <cell r="G118">
            <v>26</v>
          </cell>
          <cell r="R118">
            <v>90</v>
          </cell>
          <cell r="S118">
            <v>30</v>
          </cell>
        </row>
        <row r="119">
          <cell r="F119">
            <v>91</v>
          </cell>
          <cell r="G119">
            <v>26</v>
          </cell>
          <cell r="R119">
            <v>91</v>
          </cell>
          <cell r="S119">
            <v>30</v>
          </cell>
        </row>
        <row r="120">
          <cell r="F120">
            <v>92</v>
          </cell>
          <cell r="G120">
            <v>26</v>
          </cell>
          <cell r="R120">
            <v>92</v>
          </cell>
          <cell r="S120">
            <v>30</v>
          </cell>
        </row>
        <row r="121">
          <cell r="F121">
            <v>93</v>
          </cell>
          <cell r="G121">
            <v>27</v>
          </cell>
          <cell r="R121">
            <v>93</v>
          </cell>
          <cell r="S121">
            <v>31</v>
          </cell>
        </row>
        <row r="122">
          <cell r="F122">
            <v>94</v>
          </cell>
          <cell r="G122">
            <v>27</v>
          </cell>
          <cell r="R122">
            <v>94</v>
          </cell>
          <cell r="S122">
            <v>31</v>
          </cell>
        </row>
        <row r="123">
          <cell r="F123">
            <v>95</v>
          </cell>
          <cell r="G123">
            <v>27</v>
          </cell>
          <cell r="R123">
            <v>95</v>
          </cell>
          <cell r="S123">
            <v>31</v>
          </cell>
        </row>
        <row r="124">
          <cell r="F124">
            <v>96</v>
          </cell>
          <cell r="G124">
            <v>27</v>
          </cell>
          <cell r="R124">
            <v>96</v>
          </cell>
          <cell r="S124">
            <v>31</v>
          </cell>
        </row>
        <row r="125">
          <cell r="F125">
            <v>97</v>
          </cell>
          <cell r="G125">
            <v>28</v>
          </cell>
          <cell r="R125">
            <v>97</v>
          </cell>
          <cell r="S125">
            <v>32</v>
          </cell>
        </row>
        <row r="126">
          <cell r="F126">
            <v>98</v>
          </cell>
          <cell r="G126">
            <v>28</v>
          </cell>
          <cell r="R126">
            <v>98</v>
          </cell>
          <cell r="S126">
            <v>32</v>
          </cell>
        </row>
        <row r="127">
          <cell r="F127">
            <v>99</v>
          </cell>
          <cell r="G127">
            <v>28</v>
          </cell>
          <cell r="R127">
            <v>99</v>
          </cell>
          <cell r="S127">
            <v>32</v>
          </cell>
        </row>
        <row r="128">
          <cell r="F128">
            <v>100</v>
          </cell>
          <cell r="G128">
            <v>28</v>
          </cell>
          <cell r="R128">
            <v>100</v>
          </cell>
          <cell r="S128">
            <v>32</v>
          </cell>
        </row>
        <row r="129">
          <cell r="F129">
            <v>101</v>
          </cell>
          <cell r="G129">
            <v>29</v>
          </cell>
          <cell r="R129">
            <v>101</v>
          </cell>
          <cell r="S129">
            <v>33</v>
          </cell>
        </row>
        <row r="130">
          <cell r="F130">
            <v>102</v>
          </cell>
          <cell r="G130">
            <v>29</v>
          </cell>
          <cell r="R130">
            <v>102</v>
          </cell>
          <cell r="S130">
            <v>33</v>
          </cell>
        </row>
        <row r="131">
          <cell r="F131">
            <v>103</v>
          </cell>
          <cell r="G131">
            <v>29</v>
          </cell>
          <cell r="R131">
            <v>103</v>
          </cell>
          <cell r="S131">
            <v>33</v>
          </cell>
        </row>
        <row r="132">
          <cell r="F132">
            <v>104</v>
          </cell>
          <cell r="G132">
            <v>29</v>
          </cell>
          <cell r="R132">
            <v>104</v>
          </cell>
          <cell r="S132">
            <v>33</v>
          </cell>
        </row>
        <row r="133">
          <cell r="F133">
            <v>105</v>
          </cell>
          <cell r="G133">
            <v>30</v>
          </cell>
          <cell r="R133">
            <v>105</v>
          </cell>
          <cell r="S133">
            <v>34</v>
          </cell>
        </row>
        <row r="134">
          <cell r="F134">
            <v>106</v>
          </cell>
          <cell r="G134">
            <v>30</v>
          </cell>
          <cell r="R134">
            <v>106</v>
          </cell>
          <cell r="S134">
            <v>34</v>
          </cell>
        </row>
        <row r="135">
          <cell r="F135">
            <v>107</v>
          </cell>
          <cell r="G135">
            <v>30</v>
          </cell>
          <cell r="R135">
            <v>107</v>
          </cell>
          <cell r="S135">
            <v>34</v>
          </cell>
        </row>
        <row r="136">
          <cell r="F136">
            <v>108</v>
          </cell>
          <cell r="G136">
            <v>30</v>
          </cell>
          <cell r="R136">
            <v>108</v>
          </cell>
          <cell r="S136">
            <v>34</v>
          </cell>
        </row>
        <row r="137">
          <cell r="F137">
            <v>109</v>
          </cell>
          <cell r="G137">
            <v>31</v>
          </cell>
          <cell r="R137">
            <v>109</v>
          </cell>
          <cell r="S137">
            <v>35</v>
          </cell>
        </row>
        <row r="138">
          <cell r="F138">
            <v>110</v>
          </cell>
          <cell r="G138">
            <v>31</v>
          </cell>
          <cell r="R138">
            <v>110</v>
          </cell>
          <cell r="S138">
            <v>35</v>
          </cell>
        </row>
        <row r="139">
          <cell r="F139">
            <v>111</v>
          </cell>
          <cell r="G139">
            <v>31</v>
          </cell>
          <cell r="R139">
            <v>111</v>
          </cell>
          <cell r="S139">
            <v>35</v>
          </cell>
        </row>
        <row r="140">
          <cell r="F140">
            <v>112</v>
          </cell>
          <cell r="G140">
            <v>31</v>
          </cell>
          <cell r="R140">
            <v>112</v>
          </cell>
          <cell r="S140">
            <v>35</v>
          </cell>
        </row>
        <row r="141">
          <cell r="F141">
            <v>113</v>
          </cell>
          <cell r="G141">
            <v>32</v>
          </cell>
          <cell r="R141">
            <v>113</v>
          </cell>
          <cell r="S141">
            <v>36</v>
          </cell>
        </row>
        <row r="142">
          <cell r="F142">
            <v>114</v>
          </cell>
          <cell r="G142">
            <v>32</v>
          </cell>
          <cell r="R142">
            <v>114</v>
          </cell>
          <cell r="S142">
            <v>36</v>
          </cell>
        </row>
        <row r="143">
          <cell r="F143">
            <v>115</v>
          </cell>
          <cell r="G143">
            <v>32</v>
          </cell>
          <cell r="R143">
            <v>115</v>
          </cell>
          <cell r="S143">
            <v>36</v>
          </cell>
        </row>
        <row r="144">
          <cell r="F144">
            <v>116</v>
          </cell>
          <cell r="G144">
            <v>32</v>
          </cell>
          <cell r="R144">
            <v>116</v>
          </cell>
          <cell r="S144">
            <v>36</v>
          </cell>
        </row>
        <row r="145">
          <cell r="F145">
            <v>117</v>
          </cell>
          <cell r="G145">
            <v>33</v>
          </cell>
          <cell r="R145">
            <v>117</v>
          </cell>
          <cell r="S145">
            <v>37</v>
          </cell>
        </row>
        <row r="146">
          <cell r="F146">
            <v>118</v>
          </cell>
          <cell r="G146">
            <v>33</v>
          </cell>
          <cell r="R146">
            <v>118</v>
          </cell>
          <cell r="S146">
            <v>37</v>
          </cell>
        </row>
        <row r="147">
          <cell r="F147">
            <v>119</v>
          </cell>
          <cell r="G147">
            <v>33</v>
          </cell>
          <cell r="R147">
            <v>119</v>
          </cell>
          <cell r="S147">
            <v>37</v>
          </cell>
        </row>
      </sheetData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845"/>
  <sheetViews>
    <sheetView tabSelected="1" topLeftCell="G1" workbookViewId="0">
      <pane ySplit="3" topLeftCell="A580" activePane="bottomLeft" state="frozen"/>
      <selection pane="bottomLeft" activeCell="S607" sqref="S607"/>
    </sheetView>
  </sheetViews>
  <sheetFormatPr defaultColWidth="10.625" defaultRowHeight="14.25" x14ac:dyDescent="0.2"/>
  <cols>
    <col min="1" max="1" width="8.5" style="12" customWidth="1"/>
    <col min="2" max="2" width="18.125" style="12" customWidth="1"/>
    <col min="3" max="3" width="29.125" style="12" customWidth="1"/>
    <col min="4" max="4" width="12.875" style="12" customWidth="1"/>
    <col min="5" max="5" width="8.625" style="12" customWidth="1"/>
    <col min="6" max="6" width="8.5" style="12" customWidth="1"/>
    <col min="7" max="7" width="12.75" style="12" customWidth="1"/>
    <col min="8" max="8" width="8.5" style="12" customWidth="1"/>
    <col min="9" max="9" width="13.125" style="12" customWidth="1"/>
    <col min="10" max="10" width="11.375" style="12" customWidth="1"/>
    <col min="11" max="13" width="13.125" style="12" customWidth="1"/>
    <col min="14" max="14" width="12.125" style="12" customWidth="1"/>
    <col min="15" max="15" width="10.5" style="12" customWidth="1"/>
    <col min="16" max="16" width="12" style="12" customWidth="1"/>
    <col min="17" max="17" width="13.125" style="12" customWidth="1"/>
    <col min="18" max="18" width="9.5" style="12" customWidth="1"/>
    <col min="19" max="19" width="8.5" style="12" customWidth="1"/>
    <col min="20" max="20" width="43.375" style="17" customWidth="1"/>
    <col min="21" max="21" width="9" style="17" customWidth="1"/>
    <col min="22" max="16384" width="10.625" style="12"/>
  </cols>
  <sheetData>
    <row r="1" spans="1:26" ht="34.5" x14ac:dyDescent="0.2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21" t="s">
        <v>8</v>
      </c>
      <c r="J1" s="21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18" t="s">
        <v>18</v>
      </c>
      <c r="T1" s="24" t="s">
        <v>19</v>
      </c>
      <c r="U1" s="24"/>
    </row>
    <row r="2" spans="1:26" ht="17.25" x14ac:dyDescent="0.25">
      <c r="A2" s="18" t="s">
        <v>20</v>
      </c>
      <c r="B2" s="18" t="s">
        <v>21</v>
      </c>
      <c r="C2" s="18" t="s">
        <v>21</v>
      </c>
      <c r="D2" s="18" t="s">
        <v>21</v>
      </c>
      <c r="E2" s="18" t="s">
        <v>20</v>
      </c>
      <c r="F2" s="18" t="s">
        <v>20</v>
      </c>
      <c r="G2" s="18" t="s">
        <v>22</v>
      </c>
      <c r="H2" s="19" t="s">
        <v>20</v>
      </c>
      <c r="I2" s="21" t="s">
        <v>20</v>
      </c>
      <c r="J2" s="21" t="s">
        <v>20</v>
      </c>
      <c r="K2" s="23" t="s">
        <v>21</v>
      </c>
      <c r="L2" s="23" t="s">
        <v>21</v>
      </c>
      <c r="M2" s="23" t="s">
        <v>21</v>
      </c>
      <c r="N2" s="23" t="s">
        <v>21</v>
      </c>
      <c r="O2" s="23" t="s">
        <v>21</v>
      </c>
      <c r="P2" s="23" t="s">
        <v>21</v>
      </c>
      <c r="Q2" s="20" t="s">
        <v>21</v>
      </c>
      <c r="R2" s="20" t="s">
        <v>21</v>
      </c>
      <c r="S2" s="18" t="s">
        <v>23</v>
      </c>
      <c r="T2" s="24" t="s">
        <v>21</v>
      </c>
      <c r="U2" s="24"/>
    </row>
    <row r="3" spans="1:26" ht="17.25" x14ac:dyDescent="0.2">
      <c r="A3" s="18" t="s">
        <v>24</v>
      </c>
      <c r="B3" s="18" t="s">
        <v>25</v>
      </c>
      <c r="C3" s="18" t="s">
        <v>26</v>
      </c>
      <c r="D3" s="18" t="s">
        <v>27</v>
      </c>
      <c r="E3" s="18" t="s">
        <v>28</v>
      </c>
      <c r="F3" s="18" t="s">
        <v>29</v>
      </c>
      <c r="G3" s="18" t="s">
        <v>30</v>
      </c>
      <c r="H3" s="19" t="s">
        <v>31</v>
      </c>
      <c r="I3" s="21" t="s">
        <v>32</v>
      </c>
      <c r="J3" s="21" t="s">
        <v>33</v>
      </c>
      <c r="K3" s="22" t="s">
        <v>34</v>
      </c>
      <c r="L3" s="22" t="s">
        <v>35</v>
      </c>
      <c r="M3" s="22" t="s">
        <v>36</v>
      </c>
      <c r="N3" s="22" t="s">
        <v>37</v>
      </c>
      <c r="O3" s="22" t="s">
        <v>38</v>
      </c>
      <c r="P3" s="22" t="s">
        <v>39</v>
      </c>
      <c r="Q3" s="21" t="s">
        <v>40</v>
      </c>
      <c r="R3" s="21" t="s">
        <v>41</v>
      </c>
      <c r="S3" s="18" t="s">
        <v>42</v>
      </c>
      <c r="T3" s="24" t="s">
        <v>43</v>
      </c>
      <c r="U3" s="24"/>
    </row>
    <row r="4" spans="1:26" ht="15.75" x14ac:dyDescent="0.25">
      <c r="A4" s="12">
        <v>10001</v>
      </c>
      <c r="B4" s="16" t="s">
        <v>44</v>
      </c>
      <c r="C4" t="s">
        <v>45</v>
      </c>
      <c r="D4" s="12">
        <v>1</v>
      </c>
      <c r="E4" s="12">
        <v>1</v>
      </c>
      <c r="F4" s="12">
        <v>1</v>
      </c>
      <c r="G4" s="20">
        <v>10055</v>
      </c>
      <c r="H4" s="20">
        <v>2</v>
      </c>
      <c r="I4" s="20">
        <v>0</v>
      </c>
      <c r="J4" s="20">
        <v>4</v>
      </c>
      <c r="K4" s="20">
        <v>2125</v>
      </c>
      <c r="L4" s="20">
        <v>2125</v>
      </c>
      <c r="M4" s="20">
        <v>2125</v>
      </c>
      <c r="N4" s="20">
        <v>0</v>
      </c>
      <c r="O4" s="20">
        <v>0</v>
      </c>
      <c r="P4" s="20">
        <v>0</v>
      </c>
      <c r="Q4" s="20">
        <v>18975</v>
      </c>
      <c r="R4" s="20">
        <f>[1]Sheet1!Q8</f>
        <v>0</v>
      </c>
      <c r="S4" s="12">
        <v>60</v>
      </c>
      <c r="T4" s="25" t="s">
        <v>46</v>
      </c>
      <c r="U4" s="25"/>
      <c r="V4" s="20"/>
      <c r="W4" s="20"/>
      <c r="X4" s="20"/>
      <c r="Z4" s="16"/>
    </row>
    <row r="5" spans="1:26" ht="15.75" x14ac:dyDescent="0.25">
      <c r="A5" s="12">
        <v>10002</v>
      </c>
      <c r="B5" s="16" t="s">
        <v>47</v>
      </c>
      <c r="C5" t="s">
        <v>45</v>
      </c>
      <c r="D5" s="12">
        <v>2</v>
      </c>
      <c r="E5" s="12">
        <v>1</v>
      </c>
      <c r="F5" s="12">
        <v>2</v>
      </c>
      <c r="G5" s="20">
        <v>10105</v>
      </c>
      <c r="H5" s="20">
        <v>1</v>
      </c>
      <c r="I5" s="20">
        <v>0</v>
      </c>
      <c r="J5" s="20">
        <v>4</v>
      </c>
      <c r="K5" s="20">
        <v>21420</v>
      </c>
      <c r="L5" s="20">
        <v>21420</v>
      </c>
      <c r="M5" s="20">
        <v>21420</v>
      </c>
      <c r="N5" s="20">
        <v>0</v>
      </c>
      <c r="O5" s="20">
        <v>0</v>
      </c>
      <c r="P5" s="20">
        <v>0</v>
      </c>
      <c r="Q5" s="20">
        <v>480400</v>
      </c>
      <c r="R5" s="20">
        <f>[1]Sheet1!Q9</f>
        <v>0</v>
      </c>
      <c r="S5" s="12">
        <v>60</v>
      </c>
      <c r="T5" s="25" t="s">
        <v>48</v>
      </c>
      <c r="U5" s="25"/>
      <c r="V5" s="20"/>
      <c r="W5" s="20"/>
      <c r="X5" s="20"/>
      <c r="Z5" s="16"/>
    </row>
    <row r="6" spans="1:26" ht="15.75" x14ac:dyDescent="0.25">
      <c r="A6" s="12">
        <v>10003</v>
      </c>
      <c r="B6" s="16" t="s">
        <v>49</v>
      </c>
      <c r="C6" t="s">
        <v>45</v>
      </c>
      <c r="D6" s="12">
        <v>3</v>
      </c>
      <c r="E6" s="12">
        <v>1</v>
      </c>
      <c r="F6" s="12">
        <v>3</v>
      </c>
      <c r="G6" s="20">
        <v>10155</v>
      </c>
      <c r="H6" s="20">
        <v>3</v>
      </c>
      <c r="I6" s="20">
        <v>0</v>
      </c>
      <c r="J6" s="20">
        <v>4</v>
      </c>
      <c r="K6" s="20">
        <v>96540</v>
      </c>
      <c r="L6" s="20">
        <v>96540</v>
      </c>
      <c r="M6" s="20">
        <v>96540</v>
      </c>
      <c r="N6" s="20">
        <v>0</v>
      </c>
      <c r="O6" s="20">
        <v>0</v>
      </c>
      <c r="P6" s="20">
        <v>0</v>
      </c>
      <c r="Q6" s="20">
        <v>7033975</v>
      </c>
      <c r="R6" s="20">
        <f>[1]Sheet1!Q10</f>
        <v>0</v>
      </c>
      <c r="S6" s="12">
        <v>60</v>
      </c>
      <c r="T6" s="25" t="s">
        <v>50</v>
      </c>
      <c r="U6" s="25"/>
      <c r="V6" s="20"/>
      <c r="W6" s="20"/>
      <c r="X6" s="20"/>
      <c r="Z6" s="16"/>
    </row>
    <row r="7" spans="1:26" ht="15.75" x14ac:dyDescent="0.25">
      <c r="A7" s="12">
        <v>10004</v>
      </c>
      <c r="B7" s="16" t="s">
        <v>51</v>
      </c>
      <c r="C7" t="s">
        <v>45</v>
      </c>
      <c r="D7" s="12">
        <v>4</v>
      </c>
      <c r="E7" s="12">
        <v>1</v>
      </c>
      <c r="F7" s="12">
        <v>4</v>
      </c>
      <c r="G7" s="20">
        <v>10205</v>
      </c>
      <c r="H7" s="20">
        <v>2</v>
      </c>
      <c r="I7" s="20">
        <v>0</v>
      </c>
      <c r="J7" s="20">
        <v>4</v>
      </c>
      <c r="K7" s="20">
        <v>208495</v>
      </c>
      <c r="L7" s="20">
        <v>208495</v>
      </c>
      <c r="M7" s="20">
        <v>208495</v>
      </c>
      <c r="N7" s="20">
        <v>0</v>
      </c>
      <c r="O7" s="20">
        <v>0</v>
      </c>
      <c r="P7" s="20">
        <v>0</v>
      </c>
      <c r="Q7" s="20">
        <v>27080900</v>
      </c>
      <c r="R7" s="20">
        <f>[1]Sheet1!Q11</f>
        <v>0</v>
      </c>
      <c r="S7" s="12">
        <v>60</v>
      </c>
      <c r="T7" s="25" t="s">
        <v>50</v>
      </c>
      <c r="U7" s="25"/>
      <c r="V7" s="20"/>
      <c r="W7" s="20"/>
      <c r="X7" s="20"/>
      <c r="Z7" s="16"/>
    </row>
    <row r="8" spans="1:26" ht="15.75" x14ac:dyDescent="0.25">
      <c r="A8" s="12">
        <v>10005</v>
      </c>
      <c r="B8" s="16" t="s">
        <v>52</v>
      </c>
      <c r="C8" t="s">
        <v>45</v>
      </c>
      <c r="D8" s="12">
        <v>5</v>
      </c>
      <c r="E8" s="12">
        <v>1</v>
      </c>
      <c r="F8" s="12">
        <v>5</v>
      </c>
      <c r="G8" s="20">
        <v>20055</v>
      </c>
      <c r="H8" s="20">
        <v>1</v>
      </c>
      <c r="I8" s="20">
        <v>2</v>
      </c>
      <c r="J8" s="20">
        <v>4</v>
      </c>
      <c r="K8" s="20">
        <v>685670</v>
      </c>
      <c r="L8" s="20">
        <v>685670</v>
      </c>
      <c r="M8" s="20">
        <v>685670</v>
      </c>
      <c r="N8" s="20">
        <v>0</v>
      </c>
      <c r="O8" s="20">
        <v>0</v>
      </c>
      <c r="P8" s="20">
        <v>0</v>
      </c>
      <c r="Q8" s="20">
        <v>495343500</v>
      </c>
      <c r="R8" s="20">
        <f>[1]Sheet1!Q12</f>
        <v>0</v>
      </c>
      <c r="S8" s="12">
        <v>60</v>
      </c>
      <c r="T8" s="25" t="s">
        <v>53</v>
      </c>
      <c r="U8" s="25"/>
      <c r="V8" s="20"/>
      <c r="W8" s="20"/>
      <c r="X8" s="20"/>
      <c r="Z8" s="16"/>
    </row>
    <row r="9" spans="1:26" ht="15.75" x14ac:dyDescent="0.25">
      <c r="A9" s="12">
        <v>10006</v>
      </c>
      <c r="B9" s="16" t="s">
        <v>54</v>
      </c>
      <c r="C9" t="s">
        <v>45</v>
      </c>
      <c r="D9" s="12">
        <v>6</v>
      </c>
      <c r="E9" s="12">
        <v>1</v>
      </c>
      <c r="F9" s="12">
        <v>6</v>
      </c>
      <c r="G9" s="20">
        <v>20105</v>
      </c>
      <c r="H9" s="20">
        <v>3</v>
      </c>
      <c r="I9" s="20">
        <v>2</v>
      </c>
      <c r="J9" s="20">
        <v>4</v>
      </c>
      <c r="K9" s="20">
        <v>1067940</v>
      </c>
      <c r="L9" s="20">
        <v>1067940</v>
      </c>
      <c r="M9" s="20">
        <v>1067940</v>
      </c>
      <c r="N9" s="20">
        <v>0</v>
      </c>
      <c r="O9" s="20">
        <v>0</v>
      </c>
      <c r="P9" s="20">
        <v>0</v>
      </c>
      <c r="Q9" s="20">
        <v>973025250</v>
      </c>
      <c r="R9" s="20">
        <f>[1]Sheet1!Q13</f>
        <v>0</v>
      </c>
      <c r="S9" s="12">
        <v>60</v>
      </c>
      <c r="T9" s="25" t="s">
        <v>53</v>
      </c>
      <c r="U9" s="25"/>
      <c r="V9" s="20"/>
      <c r="W9" s="20"/>
      <c r="X9" s="20"/>
      <c r="Z9" s="16"/>
    </row>
    <row r="10" spans="1:26" ht="15.75" x14ac:dyDescent="0.25">
      <c r="A10" s="12">
        <v>10007</v>
      </c>
      <c r="B10" s="16" t="s">
        <v>55</v>
      </c>
      <c r="C10" t="s">
        <v>45</v>
      </c>
      <c r="D10" s="12">
        <v>7</v>
      </c>
      <c r="E10" s="12">
        <v>1</v>
      </c>
      <c r="F10" s="12">
        <v>7</v>
      </c>
      <c r="G10" s="20">
        <v>20155</v>
      </c>
      <c r="H10" s="20">
        <v>2</v>
      </c>
      <c r="I10" s="20">
        <v>2</v>
      </c>
      <c r="J10" s="20">
        <v>4</v>
      </c>
      <c r="K10" s="20">
        <v>1574180</v>
      </c>
      <c r="L10" s="20">
        <v>1574180</v>
      </c>
      <c r="M10" s="20">
        <v>1574180</v>
      </c>
      <c r="N10" s="20">
        <v>0</v>
      </c>
      <c r="O10" s="20">
        <v>0</v>
      </c>
      <c r="P10" s="20">
        <v>0</v>
      </c>
      <c r="Q10" s="20">
        <v>2134528150</v>
      </c>
      <c r="R10" s="20">
        <f>[1]Sheet1!Q14</f>
        <v>0</v>
      </c>
      <c r="S10" s="12">
        <v>60</v>
      </c>
      <c r="T10" s="25" t="s">
        <v>53</v>
      </c>
      <c r="U10" s="25"/>
      <c r="V10" s="20"/>
      <c r="W10" s="20"/>
      <c r="X10" s="20"/>
      <c r="Z10" s="16"/>
    </row>
    <row r="11" spans="1:26" ht="15.75" x14ac:dyDescent="0.25">
      <c r="A11" s="12">
        <v>10008</v>
      </c>
      <c r="B11" s="16" t="s">
        <v>56</v>
      </c>
      <c r="C11" t="s">
        <v>45</v>
      </c>
      <c r="D11" s="12">
        <v>8</v>
      </c>
      <c r="E11" s="12">
        <v>1</v>
      </c>
      <c r="F11" s="12">
        <v>8</v>
      </c>
      <c r="G11" s="20">
        <v>20205</v>
      </c>
      <c r="H11" s="20">
        <v>1</v>
      </c>
      <c r="I11" s="20">
        <v>2</v>
      </c>
      <c r="J11" s="20">
        <v>4</v>
      </c>
      <c r="K11" s="20">
        <v>2244425</v>
      </c>
      <c r="L11" s="20">
        <v>2244425</v>
      </c>
      <c r="M11" s="20">
        <v>2244425</v>
      </c>
      <c r="N11" s="20">
        <v>0</v>
      </c>
      <c r="O11" s="20">
        <v>0</v>
      </c>
      <c r="P11" s="20">
        <v>0</v>
      </c>
      <c r="Q11" s="20">
        <v>4136039450</v>
      </c>
      <c r="R11" s="20">
        <f>[1]Sheet1!Q15</f>
        <v>0</v>
      </c>
      <c r="S11" s="12">
        <v>60</v>
      </c>
      <c r="T11" s="25" t="s">
        <v>53</v>
      </c>
      <c r="U11" s="25"/>
      <c r="V11" s="20"/>
      <c r="W11" s="20"/>
      <c r="X11" s="20"/>
      <c r="Z11" s="16"/>
    </row>
    <row r="12" spans="1:26" ht="15.75" x14ac:dyDescent="0.25">
      <c r="A12" s="12">
        <v>10009</v>
      </c>
      <c r="B12" s="16" t="s">
        <v>57</v>
      </c>
      <c r="C12" t="s">
        <v>45</v>
      </c>
      <c r="D12" s="12">
        <v>9</v>
      </c>
      <c r="E12" s="12">
        <v>1</v>
      </c>
      <c r="F12" s="12">
        <v>9</v>
      </c>
      <c r="G12" s="20">
        <v>30055</v>
      </c>
      <c r="H12" s="20">
        <v>3</v>
      </c>
      <c r="I12" s="20">
        <v>2</v>
      </c>
      <c r="J12" s="20">
        <v>4</v>
      </c>
      <c r="K12" s="20">
        <v>7392785</v>
      </c>
      <c r="L12" s="20">
        <v>7392785</v>
      </c>
      <c r="M12" s="20">
        <v>7392785</v>
      </c>
      <c r="N12" s="20">
        <v>0</v>
      </c>
      <c r="O12" s="20">
        <v>0</v>
      </c>
      <c r="P12" s="20">
        <v>0</v>
      </c>
      <c r="Q12" s="20">
        <v>17071043050</v>
      </c>
      <c r="R12" s="20">
        <f>[1]Sheet1!Q16</f>
        <v>0</v>
      </c>
      <c r="S12" s="12">
        <v>60</v>
      </c>
      <c r="T12" s="25" t="s">
        <v>58</v>
      </c>
      <c r="U12" s="25"/>
      <c r="V12" s="20"/>
      <c r="W12" s="20"/>
      <c r="X12" s="20"/>
      <c r="Z12" s="16"/>
    </row>
    <row r="13" spans="1:26" ht="15.75" x14ac:dyDescent="0.25">
      <c r="A13" s="12">
        <v>10010</v>
      </c>
      <c r="B13" s="16" t="s">
        <v>59</v>
      </c>
      <c r="C13" t="s">
        <v>45</v>
      </c>
      <c r="D13" s="12">
        <v>10</v>
      </c>
      <c r="E13" s="12">
        <v>1</v>
      </c>
      <c r="F13" s="12">
        <v>10</v>
      </c>
      <c r="G13" s="20">
        <v>30105</v>
      </c>
      <c r="H13" s="20">
        <v>2</v>
      </c>
      <c r="I13" s="20">
        <v>2</v>
      </c>
      <c r="J13" s="20">
        <v>4</v>
      </c>
      <c r="K13" s="20">
        <v>9690620</v>
      </c>
      <c r="L13" s="20">
        <v>9690620</v>
      </c>
      <c r="M13" s="20">
        <v>9690620</v>
      </c>
      <c r="N13" s="20">
        <v>0</v>
      </c>
      <c r="O13" s="20">
        <v>0</v>
      </c>
      <c r="P13" s="20">
        <v>0</v>
      </c>
      <c r="Q13" s="20">
        <v>32665383950</v>
      </c>
      <c r="R13" s="20">
        <f>[1]Sheet1!Q17</f>
        <v>0</v>
      </c>
      <c r="S13" s="12">
        <v>60</v>
      </c>
      <c r="T13" s="25" t="s">
        <v>58</v>
      </c>
      <c r="U13" s="25"/>
      <c r="V13" s="20"/>
      <c r="W13" s="20"/>
      <c r="X13" s="20"/>
      <c r="Z13" s="16"/>
    </row>
    <row r="14" spans="1:26" ht="15.75" x14ac:dyDescent="0.25">
      <c r="A14" s="12">
        <v>10011</v>
      </c>
      <c r="B14" s="16" t="s">
        <v>60</v>
      </c>
      <c r="C14" t="s">
        <v>45</v>
      </c>
      <c r="D14" s="12">
        <v>11</v>
      </c>
      <c r="E14" s="12">
        <v>1</v>
      </c>
      <c r="F14" s="12">
        <v>11</v>
      </c>
      <c r="G14" s="20">
        <v>30155</v>
      </c>
      <c r="H14" s="20">
        <v>1</v>
      </c>
      <c r="I14" s="20">
        <v>2</v>
      </c>
      <c r="J14" s="20">
        <v>4</v>
      </c>
      <c r="K14" s="20">
        <v>12472805</v>
      </c>
      <c r="L14" s="20">
        <v>12472805</v>
      </c>
      <c r="M14" s="20">
        <v>12472805</v>
      </c>
      <c r="N14" s="20">
        <v>0</v>
      </c>
      <c r="O14" s="20">
        <v>0</v>
      </c>
      <c r="P14" s="20">
        <v>0</v>
      </c>
      <c r="Q14" s="20">
        <v>56612113850</v>
      </c>
      <c r="R14" s="20">
        <f>[1]Sheet1!Q18</f>
        <v>0</v>
      </c>
      <c r="S14" s="12">
        <v>60</v>
      </c>
      <c r="T14" s="25" t="s">
        <v>58</v>
      </c>
      <c r="U14" s="25"/>
      <c r="V14" s="20"/>
      <c r="W14" s="20"/>
      <c r="X14" s="20"/>
      <c r="Z14" s="16"/>
    </row>
    <row r="15" spans="1:26" ht="15.75" x14ac:dyDescent="0.25">
      <c r="A15" s="12">
        <v>10012</v>
      </c>
      <c r="B15" s="16" t="s">
        <v>61</v>
      </c>
      <c r="C15" t="s">
        <v>45</v>
      </c>
      <c r="D15" s="12">
        <v>12</v>
      </c>
      <c r="E15" s="12">
        <v>1</v>
      </c>
      <c r="F15" s="12">
        <v>12</v>
      </c>
      <c r="G15" s="20">
        <v>30205</v>
      </c>
      <c r="H15" s="20">
        <v>3</v>
      </c>
      <c r="I15" s="20">
        <v>2</v>
      </c>
      <c r="J15" s="20">
        <v>4</v>
      </c>
      <c r="K15" s="20">
        <v>15756730</v>
      </c>
      <c r="L15" s="20">
        <v>15756730</v>
      </c>
      <c r="M15" s="20">
        <v>15756730</v>
      </c>
      <c r="N15" s="20">
        <v>0</v>
      </c>
      <c r="O15" s="20">
        <v>0</v>
      </c>
      <c r="P15" s="20">
        <v>0</v>
      </c>
      <c r="Q15" s="20">
        <v>90093679900</v>
      </c>
      <c r="R15" s="20">
        <f>[1]Sheet1!Q19</f>
        <v>0</v>
      </c>
      <c r="S15" s="12">
        <v>60</v>
      </c>
      <c r="T15" s="25" t="s">
        <v>58</v>
      </c>
      <c r="U15" s="25"/>
      <c r="V15" s="20"/>
      <c r="W15" s="20"/>
      <c r="X15" s="20"/>
      <c r="Z15" s="16"/>
    </row>
    <row r="16" spans="1:26" ht="15.75" x14ac:dyDescent="0.25">
      <c r="A16" s="12">
        <v>10013</v>
      </c>
      <c r="B16" s="16" t="s">
        <v>62</v>
      </c>
      <c r="C16" t="s">
        <v>45</v>
      </c>
      <c r="D16" s="12">
        <v>13</v>
      </c>
      <c r="E16" s="12">
        <v>1</v>
      </c>
      <c r="F16" s="12">
        <v>13</v>
      </c>
      <c r="G16" s="20">
        <v>40055</v>
      </c>
      <c r="H16" s="20">
        <v>2</v>
      </c>
      <c r="I16" s="20">
        <v>2</v>
      </c>
      <c r="J16" s="20">
        <v>4</v>
      </c>
      <c r="K16" s="20">
        <v>19639855</v>
      </c>
      <c r="L16" s="20">
        <v>19639855</v>
      </c>
      <c r="M16" s="20">
        <v>19639855</v>
      </c>
      <c r="N16" s="20">
        <v>0</v>
      </c>
      <c r="O16" s="20">
        <v>0</v>
      </c>
      <c r="P16" s="20">
        <v>0</v>
      </c>
      <c r="Q16" s="20">
        <v>144102587600</v>
      </c>
      <c r="R16" s="20">
        <f>[1]Sheet1!Q20</f>
        <v>0</v>
      </c>
      <c r="S16" s="12">
        <v>60</v>
      </c>
      <c r="T16" s="25" t="s">
        <v>58</v>
      </c>
      <c r="U16" s="25"/>
      <c r="V16" s="20"/>
      <c r="W16" s="20"/>
      <c r="X16" s="20"/>
      <c r="Z16" s="16"/>
    </row>
    <row r="17" spans="1:26" ht="15.75" x14ac:dyDescent="0.25">
      <c r="A17" s="12">
        <v>10014</v>
      </c>
      <c r="B17" s="16" t="s">
        <v>63</v>
      </c>
      <c r="C17" t="s">
        <v>45</v>
      </c>
      <c r="D17" s="12">
        <v>14</v>
      </c>
      <c r="E17" s="12">
        <v>1</v>
      </c>
      <c r="F17" s="12">
        <v>14</v>
      </c>
      <c r="G17" s="20">
        <v>40105</v>
      </c>
      <c r="H17" s="20">
        <v>1</v>
      </c>
      <c r="I17" s="20">
        <v>2</v>
      </c>
      <c r="J17" s="20">
        <v>4</v>
      </c>
      <c r="K17" s="20">
        <v>24205880</v>
      </c>
      <c r="L17" s="20">
        <v>24205880</v>
      </c>
      <c r="M17" s="20">
        <v>24205880</v>
      </c>
      <c r="N17" s="20">
        <v>0</v>
      </c>
      <c r="O17" s="20">
        <v>0</v>
      </c>
      <c r="P17" s="20">
        <v>0</v>
      </c>
      <c r="Q17" s="20">
        <v>220536880700</v>
      </c>
      <c r="R17" s="20">
        <f>[1]Sheet1!Q21</f>
        <v>0</v>
      </c>
      <c r="S17" s="12">
        <v>60</v>
      </c>
      <c r="T17" s="25" t="s">
        <v>58</v>
      </c>
      <c r="U17" s="25"/>
      <c r="V17" s="20"/>
      <c r="W17" s="20"/>
      <c r="X17" s="20"/>
      <c r="Z17" s="16"/>
    </row>
    <row r="18" spans="1:26" ht="15.75" x14ac:dyDescent="0.25">
      <c r="A18" s="12">
        <v>10015</v>
      </c>
      <c r="B18" s="16" t="s">
        <v>64</v>
      </c>
      <c r="C18" t="s">
        <v>45</v>
      </c>
      <c r="D18" s="12">
        <v>15</v>
      </c>
      <c r="E18" s="12">
        <v>1</v>
      </c>
      <c r="F18" s="12">
        <v>15</v>
      </c>
      <c r="G18" s="20">
        <v>40155</v>
      </c>
      <c r="H18" s="20">
        <v>3</v>
      </c>
      <c r="I18" s="20">
        <v>2</v>
      </c>
      <c r="J18" s="20">
        <v>4</v>
      </c>
      <c r="K18" s="20">
        <v>31164265</v>
      </c>
      <c r="L18" s="20">
        <v>31164265</v>
      </c>
      <c r="M18" s="20">
        <v>31164265</v>
      </c>
      <c r="N18" s="20">
        <v>0</v>
      </c>
      <c r="O18" s="20">
        <v>0</v>
      </c>
      <c r="P18" s="20">
        <v>0</v>
      </c>
      <c r="Q18" s="20">
        <v>389457399875</v>
      </c>
      <c r="R18" s="20">
        <f>[1]Sheet1!Q22</f>
        <v>0</v>
      </c>
      <c r="S18" s="12">
        <v>60</v>
      </c>
      <c r="T18" s="25" t="s">
        <v>65</v>
      </c>
      <c r="U18" s="25"/>
      <c r="V18" s="20"/>
      <c r="W18" s="20"/>
      <c r="X18" s="20"/>
      <c r="Z18" s="16"/>
    </row>
    <row r="19" spans="1:26" ht="15.75" x14ac:dyDescent="0.25">
      <c r="A19" s="12">
        <v>10016</v>
      </c>
      <c r="B19" s="16" t="s">
        <v>66</v>
      </c>
      <c r="C19" t="s">
        <v>45</v>
      </c>
      <c r="D19" s="12">
        <v>16</v>
      </c>
      <c r="E19" s="12">
        <v>1</v>
      </c>
      <c r="F19" s="12">
        <v>16</v>
      </c>
      <c r="G19" s="20">
        <v>40205</v>
      </c>
      <c r="H19" s="20">
        <v>2</v>
      </c>
      <c r="I19" s="20">
        <v>2</v>
      </c>
      <c r="J19" s="20">
        <v>4</v>
      </c>
      <c r="K19" s="20">
        <v>38620260</v>
      </c>
      <c r="L19" s="20">
        <v>38620260</v>
      </c>
      <c r="M19" s="20">
        <v>38620260</v>
      </c>
      <c r="N19" s="20">
        <v>0</v>
      </c>
      <c r="O19" s="20">
        <v>0</v>
      </c>
      <c r="P19" s="20">
        <v>0</v>
      </c>
      <c r="Q19" s="20">
        <v>654774441975</v>
      </c>
      <c r="R19" s="20">
        <f>[1]Sheet1!Q23</f>
        <v>0</v>
      </c>
      <c r="S19" s="12">
        <v>60</v>
      </c>
      <c r="T19" s="25" t="s">
        <v>65</v>
      </c>
      <c r="U19" s="25"/>
      <c r="V19" s="20"/>
      <c r="W19" s="20"/>
      <c r="X19" s="20"/>
      <c r="Z19" s="16"/>
    </row>
    <row r="20" spans="1:26" ht="15.75" x14ac:dyDescent="0.25">
      <c r="A20" s="12">
        <v>10017</v>
      </c>
      <c r="B20" s="16" t="s">
        <v>67</v>
      </c>
      <c r="C20" t="s">
        <v>45</v>
      </c>
      <c r="D20" s="12">
        <v>17</v>
      </c>
      <c r="E20" s="12">
        <v>1</v>
      </c>
      <c r="F20" s="12">
        <v>17</v>
      </c>
      <c r="G20" s="20">
        <v>50055</v>
      </c>
      <c r="H20" s="20">
        <v>1</v>
      </c>
      <c r="I20" s="20">
        <v>2</v>
      </c>
      <c r="J20" s="20">
        <v>4</v>
      </c>
      <c r="K20" s="20">
        <v>166514100</v>
      </c>
      <c r="L20" s="20">
        <v>166514100</v>
      </c>
      <c r="M20" s="20">
        <v>166514100</v>
      </c>
      <c r="N20" s="20">
        <v>0</v>
      </c>
      <c r="O20" s="20">
        <v>0</v>
      </c>
      <c r="P20" s="20">
        <v>0</v>
      </c>
      <c r="Q20" s="20">
        <v>57958370565525</v>
      </c>
      <c r="R20" s="20">
        <f>[1]Sheet1!Q24</f>
        <v>0</v>
      </c>
      <c r="S20" s="12">
        <v>60</v>
      </c>
      <c r="T20" s="25" t="s">
        <v>68</v>
      </c>
      <c r="U20" s="25"/>
      <c r="V20" s="20"/>
      <c r="W20" s="20"/>
      <c r="X20" s="20"/>
      <c r="Z20" s="16"/>
    </row>
    <row r="21" spans="1:26" ht="15.75" x14ac:dyDescent="0.25">
      <c r="A21" s="12">
        <v>10018</v>
      </c>
      <c r="B21" s="16" t="s">
        <v>69</v>
      </c>
      <c r="C21" t="s">
        <v>45</v>
      </c>
      <c r="D21" s="12">
        <v>18</v>
      </c>
      <c r="E21" s="12">
        <v>1</v>
      </c>
      <c r="F21" s="12">
        <v>18</v>
      </c>
      <c r="G21" s="20">
        <v>10045</v>
      </c>
      <c r="H21" s="20">
        <v>3</v>
      </c>
      <c r="I21" s="20">
        <v>2</v>
      </c>
      <c r="J21" s="20">
        <v>4</v>
      </c>
      <c r="K21" s="20">
        <v>200401195</v>
      </c>
      <c r="L21" s="20">
        <v>200401195</v>
      </c>
      <c r="M21" s="20">
        <v>200401195</v>
      </c>
      <c r="N21" s="20">
        <v>0</v>
      </c>
      <c r="O21" s="20">
        <v>0</v>
      </c>
      <c r="P21" s="20">
        <v>0</v>
      </c>
      <c r="Q21" s="20">
        <v>86635109542075</v>
      </c>
      <c r="R21" s="20">
        <f>[1]Sheet1!Q25</f>
        <v>0</v>
      </c>
      <c r="S21" s="12">
        <v>60</v>
      </c>
      <c r="T21" s="25" t="s">
        <v>68</v>
      </c>
      <c r="U21" s="25"/>
      <c r="V21" s="20"/>
      <c r="W21" s="20"/>
      <c r="X21" s="20"/>
      <c r="Z21" s="16"/>
    </row>
    <row r="22" spans="1:26" ht="15.75" x14ac:dyDescent="0.25">
      <c r="A22" s="12">
        <v>10019</v>
      </c>
      <c r="B22" s="16" t="s">
        <v>70</v>
      </c>
      <c r="C22" t="s">
        <v>45</v>
      </c>
      <c r="D22" s="12">
        <v>19</v>
      </c>
      <c r="E22" s="12">
        <v>1</v>
      </c>
      <c r="F22" s="12">
        <v>19</v>
      </c>
      <c r="G22" s="20">
        <v>10095</v>
      </c>
      <c r="H22" s="20">
        <v>2</v>
      </c>
      <c r="I22" s="20">
        <v>2</v>
      </c>
      <c r="J22" s="20">
        <v>4</v>
      </c>
      <c r="K22" s="20">
        <v>253221165</v>
      </c>
      <c r="L22" s="20">
        <v>253221165</v>
      </c>
      <c r="M22" s="20">
        <v>253221165</v>
      </c>
      <c r="N22" s="20">
        <v>0</v>
      </c>
      <c r="O22" s="20">
        <v>0</v>
      </c>
      <c r="P22" s="20">
        <v>0</v>
      </c>
      <c r="Q22" s="20">
        <v>152037195553375</v>
      </c>
      <c r="R22" s="20">
        <f>[1]Sheet1!Q26</f>
        <v>0</v>
      </c>
      <c r="S22" s="12">
        <v>60</v>
      </c>
      <c r="T22" s="25" t="s">
        <v>71</v>
      </c>
      <c r="U22" s="25"/>
      <c r="V22" s="20"/>
      <c r="W22" s="20"/>
      <c r="X22" s="20"/>
      <c r="Z22" s="16"/>
    </row>
    <row r="23" spans="1:26" ht="15.75" x14ac:dyDescent="0.25">
      <c r="A23" s="12">
        <v>10020</v>
      </c>
      <c r="B23" s="16" t="s">
        <v>72</v>
      </c>
      <c r="C23" t="s">
        <v>45</v>
      </c>
      <c r="D23" s="12">
        <v>20</v>
      </c>
      <c r="E23" s="12">
        <v>1</v>
      </c>
      <c r="F23" s="12">
        <v>20</v>
      </c>
      <c r="G23" s="20">
        <v>10145</v>
      </c>
      <c r="H23" s="20">
        <v>1</v>
      </c>
      <c r="I23" s="20">
        <v>2</v>
      </c>
      <c r="J23" s="20">
        <v>4</v>
      </c>
      <c r="K23" s="20">
        <v>300735140</v>
      </c>
      <c r="L23" s="20">
        <v>300735140</v>
      </c>
      <c r="M23" s="20">
        <v>300735140</v>
      </c>
      <c r="N23" s="20">
        <v>0</v>
      </c>
      <c r="O23" s="20">
        <v>0</v>
      </c>
      <c r="P23" s="20">
        <v>0</v>
      </c>
      <c r="Q23" s="20">
        <v>226843648238075</v>
      </c>
      <c r="R23" s="20">
        <f>[1]Sheet1!Q27</f>
        <v>0</v>
      </c>
      <c r="S23" s="12">
        <v>60</v>
      </c>
      <c r="T23" s="25" t="s">
        <v>71</v>
      </c>
      <c r="U23" s="25"/>
      <c r="V23" s="20"/>
      <c r="W23" s="20"/>
      <c r="X23" s="20"/>
      <c r="Z23" s="16"/>
    </row>
    <row r="24" spans="1:26" ht="15.75" x14ac:dyDescent="0.25">
      <c r="A24" s="12">
        <v>10021</v>
      </c>
      <c r="B24" s="16" t="s">
        <v>73</v>
      </c>
      <c r="C24" t="s">
        <v>45</v>
      </c>
      <c r="D24" s="12">
        <v>21</v>
      </c>
      <c r="E24" s="12">
        <v>1</v>
      </c>
      <c r="F24" s="12">
        <v>21</v>
      </c>
      <c r="G24" s="20">
        <v>10195</v>
      </c>
      <c r="H24" s="20">
        <v>3</v>
      </c>
      <c r="I24" s="20">
        <v>2</v>
      </c>
      <c r="J24" s="20">
        <v>4</v>
      </c>
      <c r="K24" s="20">
        <v>391089655</v>
      </c>
      <c r="L24" s="20">
        <v>391089655</v>
      </c>
      <c r="M24" s="20">
        <v>391089655</v>
      </c>
      <c r="N24" s="20">
        <v>0</v>
      </c>
      <c r="O24" s="20">
        <v>0</v>
      </c>
      <c r="P24" s="20">
        <v>0</v>
      </c>
      <c r="Q24" s="20">
        <v>618514479172800</v>
      </c>
      <c r="R24" s="20">
        <f>[1]Sheet1!Q28</f>
        <v>0</v>
      </c>
      <c r="S24" s="12">
        <v>60</v>
      </c>
      <c r="T24" s="25" t="s">
        <v>74</v>
      </c>
      <c r="U24" s="25"/>
      <c r="V24" s="20"/>
      <c r="W24" s="20"/>
      <c r="X24" s="20"/>
      <c r="Z24" s="16"/>
    </row>
    <row r="25" spans="1:26" ht="15.75" x14ac:dyDescent="0.25">
      <c r="A25" s="12">
        <v>10022</v>
      </c>
      <c r="B25" s="16" t="s">
        <v>75</v>
      </c>
      <c r="C25" t="s">
        <v>45</v>
      </c>
      <c r="D25" s="12">
        <v>22</v>
      </c>
      <c r="E25" s="12">
        <v>1</v>
      </c>
      <c r="F25" s="12">
        <v>22</v>
      </c>
      <c r="G25" s="20">
        <v>20045</v>
      </c>
      <c r="H25" s="20">
        <v>2</v>
      </c>
      <c r="I25" s="20">
        <v>2</v>
      </c>
      <c r="J25" s="20">
        <v>4</v>
      </c>
      <c r="K25" s="20">
        <v>451518515</v>
      </c>
      <c r="L25" s="20">
        <v>451518515</v>
      </c>
      <c r="M25" s="20">
        <v>451518515</v>
      </c>
      <c r="N25" s="20">
        <v>0</v>
      </c>
      <c r="O25" s="20">
        <v>0</v>
      </c>
      <c r="P25" s="20">
        <v>0</v>
      </c>
      <c r="Q25" s="20">
        <v>815227301527675</v>
      </c>
      <c r="R25" s="20">
        <f>[1]Sheet1!Q29</f>
        <v>0</v>
      </c>
      <c r="S25" s="12">
        <v>60</v>
      </c>
      <c r="T25" s="25" t="s">
        <v>74</v>
      </c>
      <c r="U25" s="25"/>
      <c r="V25" s="20"/>
      <c r="W25" s="20"/>
      <c r="X25" s="20"/>
      <c r="Z25" s="16"/>
    </row>
    <row r="26" spans="1:26" ht="15.75" x14ac:dyDescent="0.25">
      <c r="A26" s="12">
        <v>10023</v>
      </c>
      <c r="B26" s="16" t="s">
        <v>76</v>
      </c>
      <c r="C26" t="s">
        <v>45</v>
      </c>
      <c r="D26" s="12">
        <v>23</v>
      </c>
      <c r="E26" s="12">
        <v>1</v>
      </c>
      <c r="F26" s="12">
        <v>23</v>
      </c>
      <c r="G26" s="20">
        <v>20095</v>
      </c>
      <c r="H26" s="20">
        <v>1</v>
      </c>
      <c r="I26" s="20">
        <v>2</v>
      </c>
      <c r="J26" s="20">
        <v>4</v>
      </c>
      <c r="K26" s="20">
        <v>545358950</v>
      </c>
      <c r="L26" s="20">
        <v>545358950</v>
      </c>
      <c r="M26" s="20">
        <v>545358950</v>
      </c>
      <c r="N26" s="20">
        <v>0</v>
      </c>
      <c r="O26" s="20">
        <v>0</v>
      </c>
      <c r="P26" s="20">
        <v>0</v>
      </c>
      <c r="Q26" s="20">
        <v>1190168929539300</v>
      </c>
      <c r="R26" s="20">
        <f>[1]Sheet1!Q30</f>
        <v>0</v>
      </c>
      <c r="S26" s="12">
        <v>60</v>
      </c>
      <c r="T26" s="25" t="s">
        <v>77</v>
      </c>
      <c r="U26" s="25"/>
      <c r="V26" s="20"/>
      <c r="W26" s="20"/>
      <c r="X26" s="20"/>
      <c r="Z26" s="16"/>
    </row>
    <row r="27" spans="1:26" ht="15.75" x14ac:dyDescent="0.25">
      <c r="A27" s="12">
        <v>10024</v>
      </c>
      <c r="B27" s="16" t="s">
        <v>78</v>
      </c>
      <c r="C27" t="s">
        <v>45</v>
      </c>
      <c r="D27" s="12">
        <v>24</v>
      </c>
      <c r="E27" s="12">
        <v>1</v>
      </c>
      <c r="F27" s="12">
        <v>24</v>
      </c>
      <c r="G27" s="20">
        <v>20145</v>
      </c>
      <c r="H27" s="20">
        <v>3</v>
      </c>
      <c r="I27" s="20">
        <v>2</v>
      </c>
      <c r="J27" s="20">
        <v>4</v>
      </c>
      <c r="K27" s="20">
        <v>624877470</v>
      </c>
      <c r="L27" s="20">
        <v>624877470</v>
      </c>
      <c r="M27" s="20">
        <v>624877470</v>
      </c>
      <c r="N27" s="20">
        <v>0</v>
      </c>
      <c r="O27" s="20">
        <v>0</v>
      </c>
      <c r="P27" s="20">
        <v>0</v>
      </c>
      <c r="Q27" s="20">
        <v>1561202533964850</v>
      </c>
      <c r="R27" s="20">
        <f>[1]Sheet1!Q31</f>
        <v>0</v>
      </c>
      <c r="S27" s="12">
        <v>60</v>
      </c>
      <c r="T27" s="25" t="s">
        <v>77</v>
      </c>
      <c r="U27" s="25"/>
      <c r="V27" s="20"/>
      <c r="W27" s="20"/>
      <c r="X27" s="20"/>
      <c r="Z27" s="16"/>
    </row>
    <row r="28" spans="1:26" ht="15.75" x14ac:dyDescent="0.25">
      <c r="A28" s="12">
        <v>10025</v>
      </c>
      <c r="B28" s="16" t="s">
        <v>79</v>
      </c>
      <c r="C28" t="s">
        <v>45</v>
      </c>
      <c r="D28" s="12">
        <v>25</v>
      </c>
      <c r="E28" s="12">
        <v>1</v>
      </c>
      <c r="F28" s="12">
        <v>25</v>
      </c>
      <c r="G28" s="20">
        <v>20195</v>
      </c>
      <c r="H28" s="20">
        <v>2</v>
      </c>
      <c r="I28" s="20">
        <v>2</v>
      </c>
      <c r="J28" s="20">
        <v>4</v>
      </c>
      <c r="K28" s="20">
        <v>1169283855</v>
      </c>
      <c r="L28" s="20">
        <v>1169283855</v>
      </c>
      <c r="M28" s="20">
        <v>1169283855</v>
      </c>
      <c r="N28" s="20">
        <v>0</v>
      </c>
      <c r="O28" s="20">
        <v>0</v>
      </c>
      <c r="P28" s="20">
        <v>0</v>
      </c>
      <c r="Q28" s="20">
        <v>6571493659479170</v>
      </c>
      <c r="R28" s="20">
        <f>[1]Sheet1!Q32</f>
        <v>0</v>
      </c>
      <c r="S28" s="12">
        <v>60</v>
      </c>
      <c r="T28" s="25" t="s">
        <v>80</v>
      </c>
      <c r="U28" s="25"/>
      <c r="V28" s="20"/>
      <c r="W28" s="20"/>
      <c r="X28" s="20"/>
      <c r="Z28" s="16"/>
    </row>
    <row r="29" spans="1:26" ht="15.75" x14ac:dyDescent="0.25">
      <c r="A29" s="12">
        <v>10026</v>
      </c>
      <c r="B29" s="16" t="s">
        <v>81</v>
      </c>
      <c r="C29" t="s">
        <v>45</v>
      </c>
      <c r="D29" s="12">
        <v>26</v>
      </c>
      <c r="E29" s="12">
        <v>1</v>
      </c>
      <c r="F29" s="12">
        <v>26</v>
      </c>
      <c r="G29" s="20">
        <v>30045</v>
      </c>
      <c r="H29" s="20">
        <v>1</v>
      </c>
      <c r="I29" s="20">
        <v>2</v>
      </c>
      <c r="J29" s="20">
        <v>4</v>
      </c>
      <c r="K29" s="20">
        <v>1353713560</v>
      </c>
      <c r="L29" s="20">
        <v>1353713560</v>
      </c>
      <c r="M29" s="20">
        <v>1353713560</v>
      </c>
      <c r="N29" s="20">
        <v>0</v>
      </c>
      <c r="O29" s="20">
        <v>0</v>
      </c>
      <c r="P29" s="20">
        <v>0</v>
      </c>
      <c r="Q29" s="20">
        <v>8625060463698750</v>
      </c>
      <c r="R29" s="20">
        <f>[1]Sheet1!Q33</f>
        <v>0</v>
      </c>
      <c r="S29" s="12">
        <v>60</v>
      </c>
      <c r="T29" s="25" t="s">
        <v>80</v>
      </c>
      <c r="U29" s="25"/>
      <c r="V29" s="20"/>
      <c r="W29" s="20"/>
      <c r="X29" s="20"/>
      <c r="Z29" s="16"/>
    </row>
    <row r="30" spans="1:26" ht="15.75" x14ac:dyDescent="0.25">
      <c r="A30" s="12">
        <v>10027</v>
      </c>
      <c r="B30" s="16" t="s">
        <v>82</v>
      </c>
      <c r="C30" t="s">
        <v>45</v>
      </c>
      <c r="D30" s="12">
        <v>27</v>
      </c>
      <c r="E30" s="12">
        <v>1</v>
      </c>
      <c r="F30" s="12">
        <v>27</v>
      </c>
      <c r="G30" s="20">
        <v>30095</v>
      </c>
      <c r="H30" s="20">
        <v>3</v>
      </c>
      <c r="I30" s="20">
        <v>2</v>
      </c>
      <c r="J30" s="20">
        <v>4</v>
      </c>
      <c r="K30" s="20">
        <v>1609474560</v>
      </c>
      <c r="L30" s="20">
        <v>1609474560</v>
      </c>
      <c r="M30" s="20">
        <v>1609474560</v>
      </c>
      <c r="N30" s="20">
        <v>0</v>
      </c>
      <c r="O30" s="20">
        <v>0</v>
      </c>
      <c r="P30" s="20">
        <v>0</v>
      </c>
      <c r="Q30" s="20">
        <v>1.21748365012717E+16</v>
      </c>
      <c r="R30" s="20">
        <f>[1]Sheet1!Q34</f>
        <v>0</v>
      </c>
      <c r="S30" s="12">
        <v>60</v>
      </c>
      <c r="T30" s="25" t="s">
        <v>83</v>
      </c>
      <c r="U30" s="25"/>
      <c r="V30" s="20"/>
      <c r="W30" s="20"/>
      <c r="X30" s="20"/>
      <c r="Z30" s="16"/>
    </row>
    <row r="31" spans="1:26" ht="15.75" x14ac:dyDescent="0.25">
      <c r="A31" s="12">
        <v>10028</v>
      </c>
      <c r="B31" s="16" t="s">
        <v>84</v>
      </c>
      <c r="C31" t="s">
        <v>45</v>
      </c>
      <c r="D31" s="12">
        <v>28</v>
      </c>
      <c r="E31" s="12">
        <v>1</v>
      </c>
      <c r="F31" s="12">
        <v>28</v>
      </c>
      <c r="G31" s="20">
        <v>30145</v>
      </c>
      <c r="H31" s="20">
        <v>2</v>
      </c>
      <c r="I31" s="20">
        <v>2</v>
      </c>
      <c r="J31" s="20">
        <v>4</v>
      </c>
      <c r="K31" s="20">
        <v>1846695020</v>
      </c>
      <c r="L31" s="20">
        <v>1846695020</v>
      </c>
      <c r="M31" s="20">
        <v>1846695020</v>
      </c>
      <c r="N31" s="20">
        <v>0</v>
      </c>
      <c r="O31" s="20">
        <v>0</v>
      </c>
      <c r="P31" s="20">
        <v>0</v>
      </c>
      <c r="Q31" s="20">
        <v>1.59251562944154E+16</v>
      </c>
      <c r="R31" s="20">
        <f>[1]Sheet1!Q35</f>
        <v>0</v>
      </c>
      <c r="S31" s="12">
        <v>60</v>
      </c>
      <c r="T31" s="25" t="s">
        <v>83</v>
      </c>
      <c r="U31" s="25"/>
      <c r="V31" s="20"/>
      <c r="W31" s="20"/>
      <c r="X31" s="20"/>
      <c r="Z31" s="16"/>
    </row>
    <row r="32" spans="1:26" ht="15.75" x14ac:dyDescent="0.25">
      <c r="A32" s="12">
        <v>10029</v>
      </c>
      <c r="B32" s="16" t="s">
        <v>85</v>
      </c>
      <c r="C32" t="s">
        <v>45</v>
      </c>
      <c r="D32" s="12">
        <v>29</v>
      </c>
      <c r="E32" s="12">
        <v>1</v>
      </c>
      <c r="F32" s="12">
        <v>29</v>
      </c>
      <c r="G32" s="20">
        <v>30195</v>
      </c>
      <c r="H32" s="20">
        <v>1</v>
      </c>
      <c r="I32" s="20">
        <v>2</v>
      </c>
      <c r="J32" s="20">
        <v>4</v>
      </c>
      <c r="K32" s="20">
        <v>2355403275</v>
      </c>
      <c r="L32" s="20">
        <v>2355403275</v>
      </c>
      <c r="M32" s="20">
        <v>2355403275</v>
      </c>
      <c r="N32" s="20">
        <v>0</v>
      </c>
      <c r="O32" s="20">
        <v>0</v>
      </c>
      <c r="P32" s="20">
        <v>0</v>
      </c>
      <c r="Q32" s="20">
        <v>5.42932995511708E+16</v>
      </c>
      <c r="R32" s="20">
        <f>[1]Sheet1!Q36</f>
        <v>0</v>
      </c>
      <c r="S32" s="12">
        <v>60</v>
      </c>
      <c r="T32" s="25" t="s">
        <v>86</v>
      </c>
      <c r="U32" s="25"/>
      <c r="V32" s="20"/>
      <c r="W32" s="20"/>
      <c r="X32" s="20"/>
      <c r="Z32" s="16"/>
    </row>
    <row r="33" spans="1:26" ht="15.75" x14ac:dyDescent="0.25">
      <c r="A33" s="12">
        <v>10030</v>
      </c>
      <c r="B33" s="16" t="s">
        <v>87</v>
      </c>
      <c r="C33" t="s">
        <v>45</v>
      </c>
      <c r="D33" s="12">
        <v>30</v>
      </c>
      <c r="E33" s="12">
        <v>1</v>
      </c>
      <c r="F33" s="12">
        <v>30</v>
      </c>
      <c r="G33" s="20">
        <v>40045</v>
      </c>
      <c r="H33" s="20">
        <v>3</v>
      </c>
      <c r="I33" s="20">
        <v>2</v>
      </c>
      <c r="J33" s="20">
        <v>4</v>
      </c>
      <c r="K33" s="20">
        <v>2877535435</v>
      </c>
      <c r="L33" s="20">
        <v>2877535435</v>
      </c>
      <c r="M33" s="20">
        <v>2877535435</v>
      </c>
      <c r="N33" s="20">
        <v>0</v>
      </c>
      <c r="O33" s="20">
        <v>0</v>
      </c>
      <c r="P33" s="20">
        <v>0</v>
      </c>
      <c r="Q33" s="20">
        <v>8.4981450803142496E+16</v>
      </c>
      <c r="R33" s="20">
        <f>[1]Sheet1!Q37</f>
        <v>0</v>
      </c>
      <c r="S33" s="12">
        <v>60</v>
      </c>
      <c r="T33" s="25" t="s">
        <v>86</v>
      </c>
      <c r="U33" s="25"/>
      <c r="V33" s="20"/>
      <c r="W33" s="20"/>
      <c r="X33" s="20"/>
      <c r="Z33" s="16"/>
    </row>
    <row r="34" spans="1:26" ht="15.75" x14ac:dyDescent="0.25">
      <c r="A34" s="12">
        <v>10031</v>
      </c>
      <c r="B34" s="16" t="s">
        <v>88</v>
      </c>
      <c r="C34" t="s">
        <v>45</v>
      </c>
      <c r="D34" s="12">
        <v>31</v>
      </c>
      <c r="E34" s="12">
        <v>1</v>
      </c>
      <c r="F34" s="12">
        <v>31</v>
      </c>
      <c r="G34" s="20">
        <v>40095</v>
      </c>
      <c r="H34" s="20">
        <v>2</v>
      </c>
      <c r="I34" s="20">
        <v>2</v>
      </c>
      <c r="J34" s="20">
        <v>4</v>
      </c>
      <c r="K34" s="20">
        <v>3471246540</v>
      </c>
      <c r="L34" s="20">
        <v>3471246540</v>
      </c>
      <c r="M34" s="20">
        <v>3471246540</v>
      </c>
      <c r="N34" s="20">
        <v>0</v>
      </c>
      <c r="O34" s="20">
        <v>0</v>
      </c>
      <c r="P34" s="20">
        <v>0</v>
      </c>
      <c r="Q34" s="20">
        <v>1.2804243823414E+17</v>
      </c>
      <c r="R34" s="20">
        <f>[1]Sheet1!Q38</f>
        <v>0</v>
      </c>
      <c r="S34" s="12">
        <v>60</v>
      </c>
      <c r="T34" s="25" t="s">
        <v>89</v>
      </c>
      <c r="U34" s="25"/>
      <c r="V34" s="20"/>
      <c r="W34" s="20"/>
      <c r="X34" s="20"/>
      <c r="Z34" s="16"/>
    </row>
    <row r="35" spans="1:26" ht="15.75" x14ac:dyDescent="0.25">
      <c r="A35" s="12">
        <v>10032</v>
      </c>
      <c r="B35" s="16" t="s">
        <v>90</v>
      </c>
      <c r="C35" t="s">
        <v>45</v>
      </c>
      <c r="D35" s="12">
        <v>32</v>
      </c>
      <c r="E35" s="12">
        <v>1</v>
      </c>
      <c r="F35" s="12">
        <v>32</v>
      </c>
      <c r="G35" s="20">
        <v>40145</v>
      </c>
      <c r="H35" s="20">
        <v>1</v>
      </c>
      <c r="I35" s="20">
        <v>2</v>
      </c>
      <c r="J35" s="20">
        <v>4</v>
      </c>
      <c r="K35" s="20">
        <v>4070616465</v>
      </c>
      <c r="L35" s="20">
        <v>4070616465</v>
      </c>
      <c r="M35" s="20">
        <v>4070616465</v>
      </c>
      <c r="N35" s="20">
        <v>0</v>
      </c>
      <c r="O35" s="20">
        <v>0</v>
      </c>
      <c r="P35" s="20">
        <v>0</v>
      </c>
      <c r="Q35" s="20">
        <v>1.8553532413018202E+17</v>
      </c>
      <c r="R35" s="20">
        <f>[1]Sheet1!Q39</f>
        <v>0</v>
      </c>
      <c r="S35" s="12">
        <v>60</v>
      </c>
      <c r="T35" s="25" t="s">
        <v>89</v>
      </c>
      <c r="U35" s="25"/>
      <c r="V35" s="20"/>
      <c r="W35" s="20"/>
      <c r="X35" s="20"/>
      <c r="Z35" s="16"/>
    </row>
    <row r="36" spans="1:26" ht="15.75" x14ac:dyDescent="0.25">
      <c r="A36" s="12">
        <v>10033</v>
      </c>
      <c r="B36" s="16" t="s">
        <v>91</v>
      </c>
      <c r="C36" t="s">
        <v>45</v>
      </c>
      <c r="D36" s="12">
        <v>33</v>
      </c>
      <c r="E36" s="12">
        <v>1</v>
      </c>
      <c r="F36" s="12">
        <v>33</v>
      </c>
      <c r="G36" s="20">
        <v>40195</v>
      </c>
      <c r="H36" s="20">
        <v>3</v>
      </c>
      <c r="I36" s="20">
        <v>2</v>
      </c>
      <c r="J36" s="20">
        <v>4</v>
      </c>
      <c r="K36" s="20">
        <v>4947931560</v>
      </c>
      <c r="L36" s="20">
        <v>4947931560</v>
      </c>
      <c r="M36" s="20">
        <v>4947931560</v>
      </c>
      <c r="N36" s="20">
        <v>0</v>
      </c>
      <c r="O36" s="20">
        <v>0</v>
      </c>
      <c r="P36" s="20">
        <v>0</v>
      </c>
      <c r="Q36" s="20">
        <v>3.2261314513479002E+17</v>
      </c>
      <c r="R36" s="20">
        <f>[1]Sheet1!Q40</f>
        <v>0</v>
      </c>
      <c r="S36" s="12">
        <v>60</v>
      </c>
      <c r="T36" s="25" t="s">
        <v>92</v>
      </c>
      <c r="U36" s="25"/>
      <c r="V36" s="20"/>
      <c r="W36" s="20"/>
      <c r="X36" s="20"/>
      <c r="Z36" s="16"/>
    </row>
    <row r="37" spans="1:26" ht="15.75" x14ac:dyDescent="0.25">
      <c r="A37" s="12">
        <v>10034</v>
      </c>
      <c r="B37" s="16" t="s">
        <v>93</v>
      </c>
      <c r="C37" t="s">
        <v>45</v>
      </c>
      <c r="D37" s="12">
        <v>34</v>
      </c>
      <c r="E37" s="12">
        <v>1</v>
      </c>
      <c r="F37" s="12">
        <v>34</v>
      </c>
      <c r="G37" s="20">
        <v>50045</v>
      </c>
      <c r="H37" s="20">
        <v>2</v>
      </c>
      <c r="I37" s="20">
        <v>2</v>
      </c>
      <c r="J37" s="20">
        <v>4</v>
      </c>
      <c r="K37" s="20">
        <v>5657919940</v>
      </c>
      <c r="L37" s="20">
        <v>5657919940</v>
      </c>
      <c r="M37" s="20">
        <v>5657919940</v>
      </c>
      <c r="N37" s="20">
        <v>0</v>
      </c>
      <c r="O37" s="20">
        <v>0</v>
      </c>
      <c r="P37" s="20">
        <v>0</v>
      </c>
      <c r="Q37" s="20">
        <v>4.2750877848275501E+17</v>
      </c>
      <c r="R37" s="20">
        <f>[1]Sheet1!Q41</f>
        <v>0</v>
      </c>
      <c r="S37" s="12">
        <v>60</v>
      </c>
      <c r="T37" s="25" t="s">
        <v>92</v>
      </c>
      <c r="U37" s="25"/>
      <c r="V37" s="20"/>
      <c r="W37" s="20"/>
      <c r="X37" s="20"/>
      <c r="Z37" s="16"/>
    </row>
    <row r="38" spans="1:26" ht="15.75" x14ac:dyDescent="0.25">
      <c r="A38" s="12">
        <v>10035</v>
      </c>
      <c r="B38" s="16" t="s">
        <v>94</v>
      </c>
      <c r="C38" t="s">
        <v>45</v>
      </c>
      <c r="D38" s="12">
        <v>35</v>
      </c>
      <c r="E38" s="12">
        <v>1</v>
      </c>
      <c r="F38" s="12">
        <v>35</v>
      </c>
      <c r="G38" s="20">
        <v>10035</v>
      </c>
      <c r="H38" s="20">
        <v>1</v>
      </c>
      <c r="I38" s="20">
        <v>2</v>
      </c>
      <c r="J38" s="20">
        <v>4</v>
      </c>
      <c r="K38" s="20">
        <v>6742295590</v>
      </c>
      <c r="L38" s="20">
        <v>6742295590</v>
      </c>
      <c r="M38" s="20">
        <v>6742295590</v>
      </c>
      <c r="N38" s="20">
        <v>0</v>
      </c>
      <c r="O38" s="20">
        <v>0</v>
      </c>
      <c r="P38" s="20">
        <v>0</v>
      </c>
      <c r="Q38" s="20">
        <v>6.4115108048770995E+17</v>
      </c>
      <c r="R38" s="20">
        <f>[1]Sheet1!Q42</f>
        <v>0</v>
      </c>
      <c r="S38" s="12">
        <v>60</v>
      </c>
      <c r="T38" s="25" t="s">
        <v>95</v>
      </c>
      <c r="U38" s="25"/>
      <c r="V38" s="20"/>
      <c r="W38" s="20"/>
      <c r="X38" s="20"/>
      <c r="Z38" s="16"/>
    </row>
    <row r="39" spans="1:26" ht="15.75" x14ac:dyDescent="0.25">
      <c r="A39" s="12">
        <v>10036</v>
      </c>
      <c r="B39" s="16" t="s">
        <v>96</v>
      </c>
      <c r="C39" t="s">
        <v>45</v>
      </c>
      <c r="D39" s="12">
        <v>36</v>
      </c>
      <c r="E39" s="12">
        <v>1</v>
      </c>
      <c r="F39" s="12">
        <v>36</v>
      </c>
      <c r="G39" s="20">
        <v>10085</v>
      </c>
      <c r="H39" s="20">
        <v>3</v>
      </c>
      <c r="I39" s="20">
        <v>2</v>
      </c>
      <c r="J39" s="20">
        <v>4</v>
      </c>
      <c r="K39" s="20">
        <v>7813858040</v>
      </c>
      <c r="L39" s="20">
        <v>7813858040</v>
      </c>
      <c r="M39" s="20">
        <v>7813858040</v>
      </c>
      <c r="N39" s="20">
        <v>0</v>
      </c>
      <c r="O39" s="20">
        <v>0</v>
      </c>
      <c r="P39" s="20">
        <v>0</v>
      </c>
      <c r="Q39" s="20">
        <v>8.9984243497634995E+17</v>
      </c>
      <c r="R39" s="20">
        <f>[1]Sheet1!Q43</f>
        <v>0</v>
      </c>
      <c r="S39" s="12">
        <v>60</v>
      </c>
      <c r="T39" s="25" t="s">
        <v>95</v>
      </c>
      <c r="U39" s="25"/>
      <c r="V39" s="20"/>
      <c r="W39" s="20"/>
      <c r="X39" s="20"/>
      <c r="Z39" s="16"/>
    </row>
    <row r="40" spans="1:26" ht="15.75" x14ac:dyDescent="0.25">
      <c r="A40" s="12">
        <v>10037</v>
      </c>
      <c r="B40" s="16" t="s">
        <v>97</v>
      </c>
      <c r="C40" t="s">
        <v>45</v>
      </c>
      <c r="D40" s="12">
        <v>37</v>
      </c>
      <c r="E40" s="12">
        <v>1</v>
      </c>
      <c r="F40" s="12">
        <v>37</v>
      </c>
      <c r="G40" s="20">
        <v>10135</v>
      </c>
      <c r="H40" s="20">
        <v>2</v>
      </c>
      <c r="I40" s="20">
        <v>2</v>
      </c>
      <c r="J40" s="20">
        <v>5</v>
      </c>
      <c r="K40" s="20">
        <v>9022904075</v>
      </c>
      <c r="L40" s="20">
        <v>9022904075</v>
      </c>
      <c r="M40" s="20">
        <v>9022904075</v>
      </c>
      <c r="N40" s="20">
        <v>0</v>
      </c>
      <c r="O40" s="20">
        <v>0</v>
      </c>
      <c r="P40" s="20">
        <v>0</v>
      </c>
      <c r="Q40" s="20">
        <v>1.2748232271778401E+18</v>
      </c>
      <c r="R40" s="20">
        <f>[1]Sheet1!Q44</f>
        <v>0</v>
      </c>
      <c r="S40" s="12">
        <v>60</v>
      </c>
      <c r="T40" s="25" t="s">
        <v>98</v>
      </c>
      <c r="U40" s="25"/>
      <c r="V40" s="20"/>
      <c r="W40" s="20"/>
      <c r="X40" s="20"/>
      <c r="Z40" s="16"/>
    </row>
    <row r="41" spans="1:26" ht="15.75" x14ac:dyDescent="0.25">
      <c r="A41" s="12">
        <v>10038</v>
      </c>
      <c r="B41" s="16" t="s">
        <v>99</v>
      </c>
      <c r="C41" t="s">
        <v>45</v>
      </c>
      <c r="D41" s="12">
        <v>38</v>
      </c>
      <c r="E41" s="12">
        <v>1</v>
      </c>
      <c r="F41" s="12">
        <v>38</v>
      </c>
      <c r="G41" s="20">
        <v>10185</v>
      </c>
      <c r="H41" s="20">
        <v>1</v>
      </c>
      <c r="I41" s="20">
        <v>2</v>
      </c>
      <c r="J41" s="20">
        <v>5</v>
      </c>
      <c r="K41" s="20">
        <v>10357481865</v>
      </c>
      <c r="L41" s="20">
        <v>10357481865</v>
      </c>
      <c r="M41" s="20">
        <v>10357481865</v>
      </c>
      <c r="N41" s="20">
        <v>0</v>
      </c>
      <c r="O41" s="20">
        <v>0</v>
      </c>
      <c r="P41" s="20">
        <v>0</v>
      </c>
      <c r="Q41" s="20">
        <v>1.76085702278608E+18</v>
      </c>
      <c r="R41" s="20">
        <f>[1]Sheet1!Q45</f>
        <v>0</v>
      </c>
      <c r="S41" s="12">
        <v>60</v>
      </c>
      <c r="T41" s="25" t="s">
        <v>98</v>
      </c>
      <c r="U41" s="25"/>
      <c r="V41" s="20"/>
      <c r="W41" s="20"/>
      <c r="X41" s="20"/>
      <c r="Z41" s="16"/>
    </row>
    <row r="42" spans="1:26" ht="15.75" x14ac:dyDescent="0.25">
      <c r="A42" s="12">
        <v>10039</v>
      </c>
      <c r="B42" s="16" t="s">
        <v>100</v>
      </c>
      <c r="C42" t="s">
        <v>45</v>
      </c>
      <c r="D42" s="12">
        <v>39</v>
      </c>
      <c r="E42" s="12">
        <v>1</v>
      </c>
      <c r="F42" s="12">
        <v>39</v>
      </c>
      <c r="G42" s="20">
        <v>20035</v>
      </c>
      <c r="H42" s="20">
        <v>3</v>
      </c>
      <c r="I42" s="20">
        <v>2</v>
      </c>
      <c r="J42" s="20">
        <v>5</v>
      </c>
      <c r="K42" s="20">
        <v>12054912440</v>
      </c>
      <c r="L42" s="20">
        <v>12054912440</v>
      </c>
      <c r="M42" s="20">
        <v>12054912440</v>
      </c>
      <c r="N42" s="20">
        <v>0</v>
      </c>
      <c r="O42" s="20">
        <v>0</v>
      </c>
      <c r="P42" s="20">
        <v>0</v>
      </c>
      <c r="Q42" s="20">
        <v>2.5382198702505001E+18</v>
      </c>
      <c r="R42" s="20">
        <f>[1]Sheet1!Q46</f>
        <v>0</v>
      </c>
      <c r="S42" s="12">
        <v>60</v>
      </c>
      <c r="T42" s="25" t="s">
        <v>101</v>
      </c>
      <c r="U42" s="25"/>
      <c r="V42" s="20"/>
      <c r="W42" s="20"/>
      <c r="X42" s="20"/>
      <c r="Z42" s="16"/>
    </row>
    <row r="43" spans="1:26" ht="15.75" x14ac:dyDescent="0.25">
      <c r="A43" s="12">
        <v>10040</v>
      </c>
      <c r="B43" s="16" t="s">
        <v>102</v>
      </c>
      <c r="C43" t="s">
        <v>45</v>
      </c>
      <c r="D43" s="12">
        <v>40</v>
      </c>
      <c r="E43" s="12">
        <v>1</v>
      </c>
      <c r="F43" s="12">
        <v>40</v>
      </c>
      <c r="G43" s="20">
        <v>20085</v>
      </c>
      <c r="H43" s="20">
        <v>2</v>
      </c>
      <c r="I43" s="20">
        <v>2</v>
      </c>
      <c r="J43" s="20">
        <v>5</v>
      </c>
      <c r="K43" s="20">
        <v>13460310890</v>
      </c>
      <c r="L43" s="20">
        <v>13460310890</v>
      </c>
      <c r="M43" s="20">
        <v>13460310890</v>
      </c>
      <c r="N43" s="20">
        <v>0</v>
      </c>
      <c r="O43" s="20">
        <v>0</v>
      </c>
      <c r="P43" s="20">
        <v>0</v>
      </c>
      <c r="Q43" s="20">
        <v>3.2738742301717202E+18</v>
      </c>
      <c r="R43" s="20">
        <f>[1]Sheet1!Q47</f>
        <v>0</v>
      </c>
      <c r="S43" s="12">
        <v>60</v>
      </c>
      <c r="T43" s="25" t="s">
        <v>101</v>
      </c>
      <c r="U43" s="25"/>
      <c r="V43" s="20"/>
      <c r="W43" s="20"/>
      <c r="X43" s="20"/>
      <c r="Z43" s="16"/>
    </row>
    <row r="44" spans="1:26" ht="15.75" x14ac:dyDescent="0.25">
      <c r="A44" s="12">
        <v>10041</v>
      </c>
      <c r="B44" s="16" t="s">
        <v>103</v>
      </c>
      <c r="C44" t="s">
        <v>45</v>
      </c>
      <c r="D44" s="12">
        <v>41</v>
      </c>
      <c r="E44" s="12">
        <v>1</v>
      </c>
      <c r="F44" s="12">
        <v>41</v>
      </c>
      <c r="G44" s="20">
        <v>20135</v>
      </c>
      <c r="H44" s="20">
        <v>1</v>
      </c>
      <c r="I44" s="20">
        <v>2</v>
      </c>
      <c r="J44" s="20">
        <v>5</v>
      </c>
      <c r="K44" s="20">
        <v>32286211905</v>
      </c>
      <c r="L44" s="20">
        <v>32286211905</v>
      </c>
      <c r="M44" s="20">
        <v>32286211905</v>
      </c>
      <c r="N44" s="20">
        <v>0</v>
      </c>
      <c r="O44" s="20">
        <v>0</v>
      </c>
      <c r="P44" s="20">
        <v>0</v>
      </c>
      <c r="Q44" s="20">
        <v>3.58664099545122E+19</v>
      </c>
      <c r="R44" s="20">
        <f>[1]Sheet1!Q48</f>
        <v>0</v>
      </c>
      <c r="S44" s="12">
        <v>60</v>
      </c>
      <c r="T44" s="25" t="s">
        <v>104</v>
      </c>
      <c r="U44" s="25"/>
      <c r="V44" s="20"/>
      <c r="W44" s="20"/>
      <c r="X44" s="20"/>
      <c r="Z44" s="16"/>
    </row>
    <row r="45" spans="1:26" ht="15.75" x14ac:dyDescent="0.25">
      <c r="A45" s="12">
        <v>10042</v>
      </c>
      <c r="B45" s="16" t="s">
        <v>105</v>
      </c>
      <c r="C45" t="s">
        <v>45</v>
      </c>
      <c r="D45" s="12">
        <v>42</v>
      </c>
      <c r="E45" s="12">
        <v>1</v>
      </c>
      <c r="F45" s="12">
        <v>42</v>
      </c>
      <c r="G45" s="20">
        <v>20185</v>
      </c>
      <c r="H45" s="20">
        <v>3</v>
      </c>
      <c r="I45" s="20">
        <v>2</v>
      </c>
      <c r="J45" s="20">
        <v>5</v>
      </c>
      <c r="K45" s="20">
        <v>36210827115</v>
      </c>
      <c r="L45" s="20">
        <v>36210827115</v>
      </c>
      <c r="M45" s="20">
        <v>36210827115</v>
      </c>
      <c r="N45" s="20">
        <v>0</v>
      </c>
      <c r="O45" s="20">
        <v>0</v>
      </c>
      <c r="P45" s="20">
        <v>0</v>
      </c>
      <c r="Q45" s="20">
        <v>4.6745014187892703E+19</v>
      </c>
      <c r="R45" s="20">
        <f>[1]Sheet1!Q49</f>
        <v>0</v>
      </c>
      <c r="S45" s="12">
        <v>60</v>
      </c>
      <c r="T45" s="25" t="s">
        <v>104</v>
      </c>
      <c r="U45" s="25"/>
      <c r="V45" s="20"/>
      <c r="W45" s="20"/>
      <c r="X45" s="20"/>
      <c r="Z45" s="16"/>
    </row>
    <row r="46" spans="1:26" ht="15.75" x14ac:dyDescent="0.25">
      <c r="A46" s="12">
        <v>10043</v>
      </c>
      <c r="B46" s="16" t="s">
        <v>106</v>
      </c>
      <c r="C46" t="s">
        <v>45</v>
      </c>
      <c r="D46" s="12">
        <v>43</v>
      </c>
      <c r="E46" s="12">
        <v>1</v>
      </c>
      <c r="F46" s="12">
        <v>43</v>
      </c>
      <c r="G46" s="20">
        <v>30035</v>
      </c>
      <c r="H46" s="20">
        <v>2</v>
      </c>
      <c r="I46" s="20">
        <v>2</v>
      </c>
      <c r="J46" s="20">
        <v>5</v>
      </c>
      <c r="K46" s="20">
        <v>40524480255</v>
      </c>
      <c r="L46" s="20">
        <v>40524480255</v>
      </c>
      <c r="M46" s="20">
        <v>40524480255</v>
      </c>
      <c r="N46" s="20">
        <v>0</v>
      </c>
      <c r="O46" s="20">
        <v>0</v>
      </c>
      <c r="P46" s="20">
        <v>0</v>
      </c>
      <c r="Q46" s="20">
        <v>6.0115197558181503E+19</v>
      </c>
      <c r="R46" s="20">
        <f>[1]Sheet1!Q50</f>
        <v>0</v>
      </c>
      <c r="S46" s="12">
        <v>60</v>
      </c>
      <c r="T46" s="25" t="s">
        <v>107</v>
      </c>
      <c r="U46" s="25"/>
      <c r="V46" s="20"/>
      <c r="W46" s="20"/>
      <c r="X46" s="20"/>
      <c r="Z46" s="16"/>
    </row>
    <row r="47" spans="1:26" ht="15.75" x14ac:dyDescent="0.25">
      <c r="A47" s="12">
        <v>10044</v>
      </c>
      <c r="B47" s="16" t="s">
        <v>108</v>
      </c>
      <c r="C47" t="s">
        <v>45</v>
      </c>
      <c r="D47" s="12">
        <v>44</v>
      </c>
      <c r="E47" s="12">
        <v>1</v>
      </c>
      <c r="F47" s="12">
        <v>44</v>
      </c>
      <c r="G47" s="20">
        <v>30085</v>
      </c>
      <c r="H47" s="20">
        <v>1</v>
      </c>
      <c r="I47" s="20">
        <v>2</v>
      </c>
      <c r="J47" s="20">
        <v>5</v>
      </c>
      <c r="K47" s="20">
        <v>45192474355</v>
      </c>
      <c r="L47" s="20">
        <v>45192474355</v>
      </c>
      <c r="M47" s="20">
        <v>45192474355</v>
      </c>
      <c r="N47" s="20">
        <v>0</v>
      </c>
      <c r="O47" s="20">
        <v>0</v>
      </c>
      <c r="P47" s="20">
        <v>0</v>
      </c>
      <c r="Q47" s="20">
        <v>7.7888400343511499E+19</v>
      </c>
      <c r="R47" s="20">
        <f>[1]Sheet1!Q51</f>
        <v>0</v>
      </c>
      <c r="S47" s="12">
        <v>60</v>
      </c>
      <c r="T47" s="25" t="s">
        <v>107</v>
      </c>
      <c r="U47" s="25"/>
      <c r="V47" s="20"/>
      <c r="W47" s="20"/>
      <c r="X47" s="20"/>
      <c r="Z47" s="16"/>
    </row>
    <row r="48" spans="1:26" ht="15.75" x14ac:dyDescent="0.25">
      <c r="A48" s="12">
        <v>10045</v>
      </c>
      <c r="B48" s="16" t="s">
        <v>109</v>
      </c>
      <c r="C48" t="s">
        <v>45</v>
      </c>
      <c r="D48" s="12">
        <v>45</v>
      </c>
      <c r="E48" s="12">
        <v>1</v>
      </c>
      <c r="F48" s="12">
        <v>45</v>
      </c>
      <c r="G48" s="20">
        <v>30135</v>
      </c>
      <c r="H48" s="20">
        <v>3</v>
      </c>
      <c r="I48" s="20">
        <v>2</v>
      </c>
      <c r="J48" s="20">
        <v>5</v>
      </c>
      <c r="K48" s="20">
        <v>50974213845</v>
      </c>
      <c r="L48" s="20">
        <v>50974213845</v>
      </c>
      <c r="M48" s="20">
        <v>50974213845</v>
      </c>
      <c r="N48" s="20">
        <v>0</v>
      </c>
      <c r="O48" s="20">
        <v>0</v>
      </c>
      <c r="P48" s="20">
        <v>0</v>
      </c>
      <c r="Q48" s="20">
        <v>1.03932646043157E+20</v>
      </c>
      <c r="R48" s="20">
        <f>[1]Sheet1!Q52</f>
        <v>0</v>
      </c>
      <c r="S48" s="12">
        <v>60</v>
      </c>
      <c r="T48" s="25" t="s">
        <v>110</v>
      </c>
      <c r="U48" s="25"/>
      <c r="V48" s="20"/>
      <c r="W48" s="20"/>
      <c r="X48" s="20"/>
      <c r="Z48" s="16"/>
    </row>
    <row r="49" spans="1:26" ht="15.75" x14ac:dyDescent="0.25">
      <c r="A49" s="12">
        <v>10046</v>
      </c>
      <c r="B49" s="16" t="s">
        <v>111</v>
      </c>
      <c r="C49" t="s">
        <v>45</v>
      </c>
      <c r="D49" s="12">
        <v>46</v>
      </c>
      <c r="E49" s="12">
        <v>1</v>
      </c>
      <c r="F49" s="12">
        <v>46</v>
      </c>
      <c r="G49" s="20">
        <v>30185</v>
      </c>
      <c r="H49" s="20">
        <v>2</v>
      </c>
      <c r="I49" s="20">
        <v>2</v>
      </c>
      <c r="J49" s="20">
        <v>5</v>
      </c>
      <c r="K49" s="20">
        <v>57273255040</v>
      </c>
      <c r="L49" s="20">
        <v>57273255040</v>
      </c>
      <c r="M49" s="20">
        <v>57273255040</v>
      </c>
      <c r="N49" s="20">
        <v>0</v>
      </c>
      <c r="O49" s="20">
        <v>0</v>
      </c>
      <c r="P49" s="20">
        <v>0</v>
      </c>
      <c r="Q49" s="20">
        <v>1.3954245208691501E+20</v>
      </c>
      <c r="R49" s="20">
        <f>[1]Sheet1!Q53</f>
        <v>0</v>
      </c>
      <c r="S49" s="12">
        <v>60</v>
      </c>
      <c r="T49" s="25" t="s">
        <v>110</v>
      </c>
      <c r="U49" s="25"/>
      <c r="V49" s="20"/>
      <c r="W49" s="20"/>
      <c r="X49" s="20"/>
      <c r="Z49" s="16"/>
    </row>
    <row r="50" spans="1:26" ht="15.75" x14ac:dyDescent="0.25">
      <c r="A50" s="12">
        <v>10047</v>
      </c>
      <c r="B50" s="16" t="s">
        <v>112</v>
      </c>
      <c r="C50" t="s">
        <v>45</v>
      </c>
      <c r="D50" s="12">
        <v>47</v>
      </c>
      <c r="E50" s="12">
        <v>1</v>
      </c>
      <c r="F50" s="12">
        <v>47</v>
      </c>
      <c r="G50" s="20">
        <v>40035</v>
      </c>
      <c r="H50" s="20">
        <v>1</v>
      </c>
      <c r="I50" s="20">
        <v>2</v>
      </c>
      <c r="J50" s="20">
        <v>5</v>
      </c>
      <c r="K50" s="20">
        <v>64276150605</v>
      </c>
      <c r="L50" s="20">
        <v>64276150605</v>
      </c>
      <c r="M50" s="20">
        <v>64276150605</v>
      </c>
      <c r="N50" s="20">
        <v>0</v>
      </c>
      <c r="O50" s="20">
        <v>0</v>
      </c>
      <c r="P50" s="20">
        <v>0</v>
      </c>
      <c r="Q50" s="20">
        <v>1.84550037154706E+20</v>
      </c>
      <c r="R50" s="20">
        <f>[1]Sheet1!Q54</f>
        <v>0</v>
      </c>
      <c r="S50" s="12">
        <v>60</v>
      </c>
      <c r="T50" s="25" t="s">
        <v>113</v>
      </c>
      <c r="U50" s="25"/>
      <c r="V50" s="20"/>
      <c r="W50" s="20"/>
      <c r="X50" s="20"/>
      <c r="Z50" s="16"/>
    </row>
    <row r="51" spans="1:26" ht="15.75" x14ac:dyDescent="0.25">
      <c r="A51" s="12">
        <v>10048</v>
      </c>
      <c r="B51" s="16" t="s">
        <v>114</v>
      </c>
      <c r="C51" t="s">
        <v>45</v>
      </c>
      <c r="D51" s="12">
        <v>48</v>
      </c>
      <c r="E51" s="12">
        <v>1</v>
      </c>
      <c r="F51" s="12">
        <v>48</v>
      </c>
      <c r="G51" s="20">
        <v>40085</v>
      </c>
      <c r="H51" s="20">
        <v>3</v>
      </c>
      <c r="I51" s="20">
        <v>2</v>
      </c>
      <c r="J51" s="20">
        <v>5</v>
      </c>
      <c r="K51" s="20">
        <v>71872179505</v>
      </c>
      <c r="L51" s="20">
        <v>71872179505</v>
      </c>
      <c r="M51" s="20">
        <v>71872179505</v>
      </c>
      <c r="N51" s="20">
        <v>0</v>
      </c>
      <c r="O51" s="20">
        <v>0</v>
      </c>
      <c r="P51" s="20">
        <v>0</v>
      </c>
      <c r="Q51" s="20">
        <v>2.4520549723172199E+20</v>
      </c>
      <c r="R51" s="20">
        <f>[1]Sheet1!Q55</f>
        <v>0</v>
      </c>
      <c r="S51" s="12">
        <v>60</v>
      </c>
      <c r="T51" s="25" t="s">
        <v>113</v>
      </c>
      <c r="U51" s="25"/>
      <c r="V51" s="20"/>
      <c r="W51" s="20"/>
      <c r="X51" s="20"/>
      <c r="Z51" s="16"/>
    </row>
    <row r="52" spans="1:26" ht="15.75" x14ac:dyDescent="0.25">
      <c r="A52" s="12">
        <v>10049</v>
      </c>
      <c r="B52" s="16" t="s">
        <v>115</v>
      </c>
      <c r="C52" t="s">
        <v>45</v>
      </c>
      <c r="D52" s="12">
        <v>49</v>
      </c>
      <c r="E52" s="12">
        <v>1</v>
      </c>
      <c r="F52" s="12">
        <v>49</v>
      </c>
      <c r="G52" s="20">
        <v>40135</v>
      </c>
      <c r="H52" s="20">
        <v>2</v>
      </c>
      <c r="I52" s="20">
        <v>2</v>
      </c>
      <c r="J52" s="20">
        <v>5</v>
      </c>
      <c r="K52" s="20">
        <v>80659950855</v>
      </c>
      <c r="L52" s="20">
        <v>80659950855</v>
      </c>
      <c r="M52" s="20">
        <v>80659950855</v>
      </c>
      <c r="N52" s="20">
        <v>0</v>
      </c>
      <c r="O52" s="20">
        <v>0</v>
      </c>
      <c r="P52" s="20">
        <v>0</v>
      </c>
      <c r="Q52" s="20">
        <v>3.32194458119875E+20</v>
      </c>
      <c r="R52" s="20">
        <f>[1]Sheet1!Q56</f>
        <v>0</v>
      </c>
      <c r="S52" s="12">
        <v>60</v>
      </c>
      <c r="T52" s="25" t="s">
        <v>116</v>
      </c>
      <c r="U52" s="25"/>
      <c r="V52" s="20"/>
      <c r="W52" s="20"/>
      <c r="X52" s="20"/>
      <c r="Z52" s="16"/>
    </row>
    <row r="53" spans="1:26" ht="15.75" x14ac:dyDescent="0.25">
      <c r="A53" s="12">
        <v>10050</v>
      </c>
      <c r="B53" s="16" t="s">
        <v>117</v>
      </c>
      <c r="C53" t="s">
        <v>45</v>
      </c>
      <c r="D53" s="12">
        <v>50</v>
      </c>
      <c r="E53" s="12">
        <v>1</v>
      </c>
      <c r="F53" s="12">
        <v>50</v>
      </c>
      <c r="G53" s="20">
        <v>40185</v>
      </c>
      <c r="H53" s="20">
        <v>1</v>
      </c>
      <c r="I53" s="20">
        <v>2</v>
      </c>
      <c r="J53" s="20">
        <v>5</v>
      </c>
      <c r="K53" s="20">
        <v>89316558810</v>
      </c>
      <c r="L53" s="20">
        <v>89316558810</v>
      </c>
      <c r="M53" s="20">
        <v>89316558810</v>
      </c>
      <c r="N53" s="20">
        <v>0</v>
      </c>
      <c r="O53" s="20">
        <v>0</v>
      </c>
      <c r="P53" s="20">
        <v>0</v>
      </c>
      <c r="Q53" s="20">
        <v>4.3178479409735801E+20</v>
      </c>
      <c r="R53" s="20">
        <f>[1]Sheet1!Q57</f>
        <v>0</v>
      </c>
      <c r="S53" s="12">
        <v>60</v>
      </c>
      <c r="T53" s="25" t="s">
        <v>116</v>
      </c>
      <c r="U53" s="25"/>
      <c r="V53" s="20"/>
      <c r="W53" s="20"/>
      <c r="X53" s="20"/>
      <c r="Z53" s="16"/>
    </row>
    <row r="54" spans="1:26" ht="15.75" x14ac:dyDescent="0.25">
      <c r="A54" s="12">
        <v>10051</v>
      </c>
      <c r="B54" s="16" t="s">
        <v>118</v>
      </c>
      <c r="C54" t="s">
        <v>45</v>
      </c>
      <c r="D54" s="12">
        <v>51</v>
      </c>
      <c r="E54" s="12">
        <v>1</v>
      </c>
      <c r="F54" s="12">
        <v>51</v>
      </c>
      <c r="G54" s="20">
        <v>50035</v>
      </c>
      <c r="H54" s="20">
        <v>3</v>
      </c>
      <c r="I54" s="20">
        <v>2</v>
      </c>
      <c r="J54" s="20">
        <v>5</v>
      </c>
      <c r="K54" s="20">
        <v>99551542835</v>
      </c>
      <c r="L54" s="20">
        <v>99551542835</v>
      </c>
      <c r="M54" s="20">
        <v>99551542835</v>
      </c>
      <c r="N54" s="20">
        <v>0</v>
      </c>
      <c r="O54" s="20">
        <v>0</v>
      </c>
      <c r="P54" s="20">
        <v>0</v>
      </c>
      <c r="Q54" s="20">
        <v>5.62370147730003E+20</v>
      </c>
      <c r="R54" s="20">
        <f>[1]Sheet1!Q58</f>
        <v>0</v>
      </c>
      <c r="S54" s="12">
        <v>60</v>
      </c>
      <c r="T54" s="25" t="s">
        <v>119</v>
      </c>
      <c r="U54" s="25"/>
      <c r="V54" s="20"/>
      <c r="W54" s="20"/>
      <c r="X54" s="20"/>
      <c r="Z54" s="16"/>
    </row>
    <row r="55" spans="1:26" ht="15.75" x14ac:dyDescent="0.25">
      <c r="A55" s="12">
        <v>10052</v>
      </c>
      <c r="B55" s="16" t="s">
        <v>120</v>
      </c>
      <c r="C55" t="s">
        <v>45</v>
      </c>
      <c r="D55" s="12">
        <v>52</v>
      </c>
      <c r="E55" s="12">
        <v>1</v>
      </c>
      <c r="F55" s="12">
        <v>52</v>
      </c>
      <c r="G55" s="20">
        <v>10025</v>
      </c>
      <c r="H55" s="20">
        <v>2</v>
      </c>
      <c r="I55" s="20">
        <v>2</v>
      </c>
      <c r="J55" s="20">
        <v>5</v>
      </c>
      <c r="K55" s="20">
        <v>107660367945</v>
      </c>
      <c r="L55" s="20">
        <v>107660367945</v>
      </c>
      <c r="M55" s="20">
        <v>107660367945</v>
      </c>
      <c r="N55" s="20">
        <v>0</v>
      </c>
      <c r="O55" s="20">
        <v>0</v>
      </c>
      <c r="P55" s="20">
        <v>0</v>
      </c>
      <c r="Q55" s="20">
        <v>7.1164885106501196E+20</v>
      </c>
      <c r="R55" s="20">
        <f>[1]Sheet1!Q59</f>
        <v>0</v>
      </c>
      <c r="S55" s="12">
        <v>60</v>
      </c>
      <c r="T55" s="25" t="s">
        <v>119</v>
      </c>
      <c r="U55" s="25"/>
      <c r="V55" s="20"/>
      <c r="W55" s="20"/>
      <c r="X55" s="20"/>
      <c r="Z55" s="16"/>
    </row>
    <row r="56" spans="1:26" ht="15.75" x14ac:dyDescent="0.25">
      <c r="A56" s="12">
        <v>10053</v>
      </c>
      <c r="B56" s="16" t="s">
        <v>121</v>
      </c>
      <c r="C56" t="s">
        <v>45</v>
      </c>
      <c r="D56" s="12">
        <v>53</v>
      </c>
      <c r="E56" s="12">
        <v>1</v>
      </c>
      <c r="F56" s="12">
        <v>53</v>
      </c>
      <c r="G56" s="20">
        <v>10075</v>
      </c>
      <c r="H56" s="20">
        <v>1</v>
      </c>
      <c r="I56" s="20">
        <v>2</v>
      </c>
      <c r="J56" s="20">
        <v>5</v>
      </c>
      <c r="K56" s="20">
        <v>118277046610</v>
      </c>
      <c r="L56" s="20">
        <v>118277046610</v>
      </c>
      <c r="M56" s="20">
        <v>118277046610</v>
      </c>
      <c r="N56" s="20">
        <v>0</v>
      </c>
      <c r="O56" s="20">
        <v>0</v>
      </c>
      <c r="P56" s="20">
        <v>0</v>
      </c>
      <c r="Q56" s="20">
        <v>1.7524396436742501E+21</v>
      </c>
      <c r="R56" s="20">
        <f>[1]Sheet1!Q60</f>
        <v>0</v>
      </c>
      <c r="S56" s="12">
        <v>60</v>
      </c>
      <c r="T56" s="25" t="s">
        <v>122</v>
      </c>
      <c r="U56" s="25"/>
      <c r="V56" s="20"/>
      <c r="W56" s="20"/>
      <c r="X56" s="20"/>
      <c r="Z56" s="16"/>
    </row>
    <row r="57" spans="1:26" ht="15.75" x14ac:dyDescent="0.25">
      <c r="A57" s="12">
        <v>10054</v>
      </c>
      <c r="B57" s="16" t="s">
        <v>123</v>
      </c>
      <c r="C57" t="s">
        <v>45</v>
      </c>
      <c r="D57" s="12">
        <v>54</v>
      </c>
      <c r="E57" s="12">
        <v>1</v>
      </c>
      <c r="F57" s="12">
        <v>54</v>
      </c>
      <c r="G57" s="20">
        <v>10125</v>
      </c>
      <c r="H57" s="20">
        <v>3</v>
      </c>
      <c r="I57" s="20">
        <v>2</v>
      </c>
      <c r="J57" s="20">
        <v>5</v>
      </c>
      <c r="K57" s="20">
        <v>128666764360</v>
      </c>
      <c r="L57" s="20">
        <v>128666764360</v>
      </c>
      <c r="M57" s="20">
        <v>128666764360</v>
      </c>
      <c r="N57" s="20">
        <v>0</v>
      </c>
      <c r="O57" s="20">
        <v>0</v>
      </c>
      <c r="P57" s="20">
        <v>0</v>
      </c>
      <c r="Q57" s="20">
        <v>2.2101461747248299E+21</v>
      </c>
      <c r="R57" s="20">
        <f>[1]Sheet1!Q61</f>
        <v>0</v>
      </c>
      <c r="S57" s="12">
        <v>60</v>
      </c>
      <c r="T57" s="25" t="s">
        <v>122</v>
      </c>
      <c r="U57" s="25"/>
      <c r="V57" s="20"/>
      <c r="W57" s="20"/>
      <c r="X57" s="20"/>
      <c r="Z57" s="16"/>
    </row>
    <row r="58" spans="1:26" ht="15.75" x14ac:dyDescent="0.25">
      <c r="A58" s="12">
        <v>10055</v>
      </c>
      <c r="B58" s="16" t="s">
        <v>124</v>
      </c>
      <c r="C58" t="s">
        <v>45</v>
      </c>
      <c r="D58" s="12">
        <v>55</v>
      </c>
      <c r="E58" s="12">
        <v>1</v>
      </c>
      <c r="F58" s="12">
        <v>55</v>
      </c>
      <c r="G58" s="20">
        <v>10175</v>
      </c>
      <c r="H58" s="20">
        <v>2</v>
      </c>
      <c r="I58" s="20">
        <v>2</v>
      </c>
      <c r="J58" s="20">
        <v>5</v>
      </c>
      <c r="K58" s="20">
        <v>140718989180</v>
      </c>
      <c r="L58" s="20">
        <v>140718989180</v>
      </c>
      <c r="M58" s="20">
        <v>140718989180</v>
      </c>
      <c r="N58" s="20">
        <v>0</v>
      </c>
      <c r="O58" s="20">
        <v>0</v>
      </c>
      <c r="P58" s="20">
        <v>0</v>
      </c>
      <c r="Q58" s="20">
        <v>2.7898641802647998E+21</v>
      </c>
      <c r="R58" s="20">
        <f>[1]Sheet1!Q62</f>
        <v>0</v>
      </c>
      <c r="S58" s="12">
        <v>60</v>
      </c>
      <c r="T58" s="25" t="s">
        <v>125</v>
      </c>
      <c r="U58" s="25"/>
      <c r="V58" s="20"/>
      <c r="W58" s="20"/>
      <c r="X58" s="20"/>
      <c r="Z58" s="16"/>
    </row>
    <row r="59" spans="1:26" ht="15.75" x14ac:dyDescent="0.25">
      <c r="A59" s="12">
        <v>10056</v>
      </c>
      <c r="B59" s="16" t="s">
        <v>126</v>
      </c>
      <c r="C59" t="s">
        <v>45</v>
      </c>
      <c r="D59" s="12">
        <v>56</v>
      </c>
      <c r="E59" s="12">
        <v>1</v>
      </c>
      <c r="F59" s="12">
        <v>56</v>
      </c>
      <c r="G59" s="20">
        <v>20025</v>
      </c>
      <c r="H59" s="20">
        <v>1</v>
      </c>
      <c r="I59" s="20">
        <v>2</v>
      </c>
      <c r="J59" s="20">
        <v>5</v>
      </c>
      <c r="K59" s="20">
        <v>152475215170</v>
      </c>
      <c r="L59" s="20">
        <v>152475215170</v>
      </c>
      <c r="M59" s="20">
        <v>152475215170</v>
      </c>
      <c r="N59" s="20">
        <v>0</v>
      </c>
      <c r="O59" s="20">
        <v>0</v>
      </c>
      <c r="P59" s="20">
        <v>0</v>
      </c>
      <c r="Q59" s="20">
        <v>3.4925942661933999E+21</v>
      </c>
      <c r="R59" s="20">
        <f>[1]Sheet1!Q63</f>
        <v>0</v>
      </c>
      <c r="S59" s="12">
        <v>60</v>
      </c>
      <c r="T59" s="25" t="s">
        <v>125</v>
      </c>
      <c r="U59" s="25"/>
      <c r="V59" s="20"/>
      <c r="W59" s="20"/>
      <c r="X59" s="20"/>
      <c r="Z59" s="16"/>
    </row>
    <row r="60" spans="1:26" ht="15.75" x14ac:dyDescent="0.25">
      <c r="A60" s="12">
        <v>10057</v>
      </c>
      <c r="B60" s="16" t="s">
        <v>127</v>
      </c>
      <c r="C60" t="s">
        <v>45</v>
      </c>
      <c r="D60" s="12">
        <v>57</v>
      </c>
      <c r="E60" s="12">
        <v>1</v>
      </c>
      <c r="F60" s="12">
        <v>57</v>
      </c>
      <c r="G60" s="20">
        <v>20075</v>
      </c>
      <c r="H60" s="20">
        <v>3</v>
      </c>
      <c r="I60" s="20">
        <v>2</v>
      </c>
      <c r="J60" s="20">
        <v>5</v>
      </c>
      <c r="K60" s="20">
        <v>166757015875</v>
      </c>
      <c r="L60" s="20">
        <v>166757015875</v>
      </c>
      <c r="M60" s="20">
        <v>166757015875</v>
      </c>
      <c r="N60" s="20">
        <v>0</v>
      </c>
      <c r="O60" s="20">
        <v>0</v>
      </c>
      <c r="P60" s="20">
        <v>0</v>
      </c>
      <c r="Q60" s="20">
        <v>4.5149541879004702E+21</v>
      </c>
      <c r="R60" s="20">
        <f>[1]Sheet1!Q64</f>
        <v>0</v>
      </c>
      <c r="S60" s="12">
        <v>60</v>
      </c>
      <c r="T60" s="25" t="s">
        <v>128</v>
      </c>
      <c r="U60" s="25"/>
      <c r="V60" s="20"/>
      <c r="W60" s="20"/>
      <c r="X60" s="20"/>
      <c r="Z60" s="16"/>
    </row>
    <row r="61" spans="1:26" ht="15.75" x14ac:dyDescent="0.25">
      <c r="A61" s="12">
        <v>10058</v>
      </c>
      <c r="B61" s="16" t="s">
        <v>129</v>
      </c>
      <c r="C61" t="s">
        <v>45</v>
      </c>
      <c r="D61" s="12">
        <v>58</v>
      </c>
      <c r="E61" s="12">
        <v>1</v>
      </c>
      <c r="F61" s="12">
        <v>58</v>
      </c>
      <c r="G61" s="20">
        <v>20125</v>
      </c>
      <c r="H61" s="20">
        <v>2</v>
      </c>
      <c r="I61" s="20">
        <v>2</v>
      </c>
      <c r="J61" s="20">
        <v>5</v>
      </c>
      <c r="K61" s="20">
        <v>180087885525</v>
      </c>
      <c r="L61" s="20">
        <v>180087885525</v>
      </c>
      <c r="M61" s="20">
        <v>180087885525</v>
      </c>
      <c r="N61" s="20">
        <v>0</v>
      </c>
      <c r="O61" s="20">
        <v>0</v>
      </c>
      <c r="P61" s="20">
        <v>0</v>
      </c>
      <c r="Q61" s="20">
        <v>5.61440124078562E+21</v>
      </c>
      <c r="R61" s="20">
        <f>[1]Sheet1!Q65</f>
        <v>0</v>
      </c>
      <c r="S61" s="12">
        <v>60</v>
      </c>
      <c r="T61" s="25" t="s">
        <v>128</v>
      </c>
      <c r="U61" s="25"/>
      <c r="V61" s="20"/>
      <c r="W61" s="20"/>
      <c r="X61" s="20"/>
      <c r="Z61" s="16"/>
    </row>
    <row r="62" spans="1:26" ht="15.75" x14ac:dyDescent="0.25">
      <c r="A62" s="12">
        <v>10059</v>
      </c>
      <c r="B62" s="16" t="s">
        <v>130</v>
      </c>
      <c r="C62" t="s">
        <v>45</v>
      </c>
      <c r="D62" s="12">
        <v>59</v>
      </c>
      <c r="E62" s="12">
        <v>1</v>
      </c>
      <c r="F62" s="12">
        <v>59</v>
      </c>
      <c r="G62" s="20">
        <v>20175</v>
      </c>
      <c r="H62" s="20">
        <v>1</v>
      </c>
      <c r="I62" s="20">
        <v>2</v>
      </c>
      <c r="J62" s="20">
        <v>5</v>
      </c>
      <c r="K62" s="20">
        <v>195581306730</v>
      </c>
      <c r="L62" s="20">
        <v>195581306730</v>
      </c>
      <c r="M62" s="20">
        <v>195581306730</v>
      </c>
      <c r="N62" s="20">
        <v>0</v>
      </c>
      <c r="O62" s="20">
        <v>0</v>
      </c>
      <c r="P62" s="20">
        <v>0</v>
      </c>
      <c r="Q62" s="20">
        <v>7.0016471625807996E+21</v>
      </c>
      <c r="R62" s="20">
        <f>[1]Sheet1!Q66</f>
        <v>0</v>
      </c>
      <c r="S62" s="12">
        <v>60</v>
      </c>
      <c r="T62" s="25" t="s">
        <v>131</v>
      </c>
      <c r="U62" s="25"/>
      <c r="V62" s="20"/>
      <c r="W62" s="20"/>
      <c r="X62" s="20"/>
      <c r="Z62" s="16"/>
    </row>
    <row r="63" spans="1:26" ht="15.75" x14ac:dyDescent="0.25">
      <c r="A63" s="12">
        <v>10060</v>
      </c>
      <c r="B63" s="16" t="s">
        <v>132</v>
      </c>
      <c r="C63" t="s">
        <v>45</v>
      </c>
      <c r="D63" s="12">
        <v>60</v>
      </c>
      <c r="E63" s="12">
        <v>1</v>
      </c>
      <c r="F63" s="12">
        <v>60</v>
      </c>
      <c r="G63" s="20">
        <v>30025</v>
      </c>
      <c r="H63" s="20">
        <v>3</v>
      </c>
      <c r="I63" s="20">
        <v>2</v>
      </c>
      <c r="J63" s="20">
        <v>5</v>
      </c>
      <c r="K63" s="20">
        <v>210590038610</v>
      </c>
      <c r="L63" s="20">
        <v>210590038610</v>
      </c>
      <c r="M63" s="20">
        <v>210590038610</v>
      </c>
      <c r="N63" s="20">
        <v>0</v>
      </c>
      <c r="O63" s="20">
        <v>0</v>
      </c>
      <c r="P63" s="20">
        <v>0</v>
      </c>
      <c r="Q63" s="20">
        <v>8.6983560869698003E+21</v>
      </c>
      <c r="R63" s="20">
        <f>[1]Sheet1!Q67</f>
        <v>0</v>
      </c>
      <c r="S63" s="12">
        <v>60</v>
      </c>
      <c r="T63" s="25" t="s">
        <v>131</v>
      </c>
      <c r="U63" s="25"/>
      <c r="V63" s="20"/>
      <c r="W63" s="20"/>
      <c r="X63" s="20"/>
      <c r="Z63" s="16"/>
    </row>
    <row r="64" spans="1:26" ht="15.75" x14ac:dyDescent="0.25">
      <c r="A64" s="12">
        <v>10061</v>
      </c>
      <c r="B64" s="16" t="s">
        <v>133</v>
      </c>
      <c r="C64" t="s">
        <v>45</v>
      </c>
      <c r="D64" s="12">
        <v>61</v>
      </c>
      <c r="E64" s="12">
        <v>1</v>
      </c>
      <c r="F64" s="12">
        <v>61</v>
      </c>
      <c r="G64" s="20">
        <v>30075</v>
      </c>
      <c r="H64" s="20">
        <v>2</v>
      </c>
      <c r="I64" s="20">
        <v>2</v>
      </c>
      <c r="J64" s="20">
        <v>5</v>
      </c>
      <c r="K64" s="20">
        <v>380144579500</v>
      </c>
      <c r="L64" s="20">
        <v>380144579500</v>
      </c>
      <c r="M64" s="20">
        <v>380144579500</v>
      </c>
      <c r="N64" s="20">
        <v>0</v>
      </c>
      <c r="O64" s="20">
        <v>0</v>
      </c>
      <c r="P64" s="20">
        <v>0</v>
      </c>
      <c r="Q64" s="20">
        <v>3.4917056376026801E+22</v>
      </c>
      <c r="R64" s="20">
        <f>[1]Sheet1!Q68</f>
        <v>0</v>
      </c>
      <c r="S64" s="12">
        <v>60</v>
      </c>
      <c r="T64" s="25" t="s">
        <v>134</v>
      </c>
      <c r="U64" s="25"/>
      <c r="V64" s="20"/>
      <c r="W64" s="20"/>
      <c r="X64" s="20"/>
      <c r="Z64" s="16"/>
    </row>
    <row r="65" spans="1:26" ht="15.75" x14ac:dyDescent="0.25">
      <c r="A65" s="12">
        <v>10062</v>
      </c>
      <c r="B65" s="16" t="s">
        <v>135</v>
      </c>
      <c r="C65" t="s">
        <v>45</v>
      </c>
      <c r="D65" s="12">
        <v>62</v>
      </c>
      <c r="E65" s="12">
        <v>1</v>
      </c>
      <c r="F65" s="12">
        <v>62</v>
      </c>
      <c r="G65" s="20">
        <v>30125</v>
      </c>
      <c r="H65" s="20">
        <v>1</v>
      </c>
      <c r="I65" s="20">
        <v>2</v>
      </c>
      <c r="J65" s="20">
        <v>5</v>
      </c>
      <c r="K65" s="20">
        <v>406254291110</v>
      </c>
      <c r="L65" s="20">
        <v>406254291110</v>
      </c>
      <c r="M65" s="20">
        <v>406254291110</v>
      </c>
      <c r="N65" s="20">
        <v>0</v>
      </c>
      <c r="O65" s="20">
        <v>0</v>
      </c>
      <c r="P65" s="20">
        <v>0</v>
      </c>
      <c r="Q65" s="20">
        <v>4.2337243088893797E+22</v>
      </c>
      <c r="R65" s="20">
        <f>[1]Sheet1!Q69</f>
        <v>0</v>
      </c>
      <c r="S65" s="12">
        <v>60</v>
      </c>
      <c r="T65" s="25" t="s">
        <v>134</v>
      </c>
      <c r="U65" s="25"/>
      <c r="V65" s="20"/>
      <c r="W65" s="20"/>
      <c r="X65" s="20"/>
      <c r="Z65" s="16"/>
    </row>
    <row r="66" spans="1:26" ht="15.75" x14ac:dyDescent="0.25">
      <c r="A66" s="12">
        <v>10063</v>
      </c>
      <c r="B66" s="16" t="s">
        <v>136</v>
      </c>
      <c r="C66" t="s">
        <v>45</v>
      </c>
      <c r="D66" s="12">
        <v>63</v>
      </c>
      <c r="E66" s="12">
        <v>1</v>
      </c>
      <c r="F66" s="12">
        <v>63</v>
      </c>
      <c r="G66" s="20">
        <v>30175</v>
      </c>
      <c r="H66" s="20">
        <v>3</v>
      </c>
      <c r="I66" s="20">
        <v>2</v>
      </c>
      <c r="J66" s="20">
        <v>5</v>
      </c>
      <c r="K66" s="20">
        <v>436597890710</v>
      </c>
      <c r="L66" s="20">
        <v>436597890710</v>
      </c>
      <c r="M66" s="20">
        <v>436597890710</v>
      </c>
      <c r="N66" s="20">
        <v>0</v>
      </c>
      <c r="O66" s="20">
        <v>0</v>
      </c>
      <c r="P66" s="20">
        <v>0</v>
      </c>
      <c r="Q66" s="20">
        <v>5.1416847673219697E+22</v>
      </c>
      <c r="R66" s="20">
        <f>[1]Sheet1!Q70</f>
        <v>0</v>
      </c>
      <c r="S66" s="12">
        <v>60</v>
      </c>
      <c r="T66" s="25" t="s">
        <v>137</v>
      </c>
      <c r="U66" s="25"/>
      <c r="V66" s="20"/>
      <c r="W66" s="20"/>
      <c r="X66" s="20"/>
      <c r="Z66" s="16"/>
    </row>
    <row r="67" spans="1:26" ht="15.75" x14ac:dyDescent="0.25">
      <c r="A67" s="12">
        <v>10064</v>
      </c>
      <c r="B67" s="16" t="s">
        <v>138</v>
      </c>
      <c r="C67" t="s">
        <v>45</v>
      </c>
      <c r="D67" s="12">
        <v>64</v>
      </c>
      <c r="E67" s="12">
        <v>1</v>
      </c>
      <c r="F67" s="12">
        <v>64</v>
      </c>
      <c r="G67" s="20">
        <v>40025</v>
      </c>
      <c r="H67" s="20">
        <v>2</v>
      </c>
      <c r="I67" s="20">
        <v>2</v>
      </c>
      <c r="J67" s="20">
        <v>5</v>
      </c>
      <c r="K67" s="20">
        <v>465641810800</v>
      </c>
      <c r="L67" s="20">
        <v>465641810800</v>
      </c>
      <c r="M67" s="20">
        <v>465641810800</v>
      </c>
      <c r="N67" s="20">
        <v>0</v>
      </c>
      <c r="O67" s="20">
        <v>0</v>
      </c>
      <c r="P67" s="20">
        <v>0</v>
      </c>
      <c r="Q67" s="20">
        <v>6.2095043642641198E+22</v>
      </c>
      <c r="R67" s="20">
        <f>[1]Sheet1!Q71</f>
        <v>0</v>
      </c>
      <c r="S67" s="12">
        <v>60</v>
      </c>
      <c r="T67" s="25" t="s">
        <v>137</v>
      </c>
      <c r="U67" s="25"/>
      <c r="V67" s="20"/>
      <c r="W67" s="20"/>
      <c r="X67" s="20"/>
      <c r="Z67" s="16"/>
    </row>
    <row r="68" spans="1:26" ht="15.75" x14ac:dyDescent="0.25">
      <c r="A68" s="12">
        <v>10065</v>
      </c>
      <c r="B68" s="16" t="s">
        <v>139</v>
      </c>
      <c r="C68" t="s">
        <v>45</v>
      </c>
      <c r="D68" s="12">
        <v>65</v>
      </c>
      <c r="E68" s="12">
        <v>1</v>
      </c>
      <c r="F68" s="12">
        <v>65</v>
      </c>
      <c r="G68" s="20">
        <v>40075</v>
      </c>
      <c r="H68" s="20">
        <v>1</v>
      </c>
      <c r="I68" s="20">
        <v>2</v>
      </c>
      <c r="J68" s="20">
        <v>5</v>
      </c>
      <c r="K68" s="20">
        <v>547117431495</v>
      </c>
      <c r="L68" s="20">
        <v>547117431495</v>
      </c>
      <c r="M68" s="20">
        <v>547117431495</v>
      </c>
      <c r="N68" s="20">
        <v>0</v>
      </c>
      <c r="O68" s="20">
        <v>0</v>
      </c>
      <c r="P68" s="20">
        <v>0</v>
      </c>
      <c r="Q68" s="20">
        <v>7.8202588154703806E+22</v>
      </c>
      <c r="R68" s="20">
        <f>[1]Sheet1!Q72</f>
        <v>0</v>
      </c>
      <c r="S68" s="12">
        <v>60</v>
      </c>
      <c r="T68" s="25" t="s">
        <v>140</v>
      </c>
      <c r="U68" s="25"/>
      <c r="V68" s="20"/>
      <c r="W68" s="20"/>
      <c r="X68" s="20"/>
      <c r="Z68" s="16"/>
    </row>
    <row r="69" spans="1:26" ht="15.75" x14ac:dyDescent="0.25">
      <c r="A69" s="12">
        <v>10066</v>
      </c>
      <c r="B69" s="16" t="s">
        <v>141</v>
      </c>
      <c r="C69" t="s">
        <v>45</v>
      </c>
      <c r="D69" s="12">
        <v>66</v>
      </c>
      <c r="E69" s="12">
        <v>1</v>
      </c>
      <c r="F69" s="12">
        <v>66</v>
      </c>
      <c r="G69" s="20">
        <v>40125</v>
      </c>
      <c r="H69" s="20">
        <v>3</v>
      </c>
      <c r="I69" s="20">
        <v>2</v>
      </c>
      <c r="J69" s="20">
        <v>5</v>
      </c>
      <c r="K69" s="20">
        <v>582928054315</v>
      </c>
      <c r="L69" s="20">
        <v>582928054315</v>
      </c>
      <c r="M69" s="20">
        <v>582928054315</v>
      </c>
      <c r="N69" s="20">
        <v>0</v>
      </c>
      <c r="O69" s="20">
        <v>0</v>
      </c>
      <c r="P69" s="20">
        <v>0</v>
      </c>
      <c r="Q69" s="20">
        <v>9.42776497330198E+22</v>
      </c>
      <c r="R69" s="20">
        <f>[1]Sheet1!Q73</f>
        <v>0</v>
      </c>
      <c r="S69" s="12">
        <v>60</v>
      </c>
      <c r="T69" s="25" t="s">
        <v>140</v>
      </c>
      <c r="U69" s="25"/>
      <c r="V69" s="20"/>
      <c r="W69" s="20"/>
      <c r="X69" s="20"/>
      <c r="Z69" s="16"/>
    </row>
    <row r="70" spans="1:26" ht="15.75" x14ac:dyDescent="0.25">
      <c r="A70" s="12">
        <v>10067</v>
      </c>
      <c r="B70" s="16" t="s">
        <v>142</v>
      </c>
      <c r="C70" t="s">
        <v>45</v>
      </c>
      <c r="D70" s="12">
        <v>67</v>
      </c>
      <c r="E70" s="12">
        <v>1</v>
      </c>
      <c r="F70" s="12">
        <v>67</v>
      </c>
      <c r="G70" s="20">
        <v>40175</v>
      </c>
      <c r="H70" s="20">
        <v>2</v>
      </c>
      <c r="I70" s="20">
        <v>2</v>
      </c>
      <c r="J70" s="20">
        <v>5</v>
      </c>
      <c r="K70" s="20">
        <v>624574908810</v>
      </c>
      <c r="L70" s="20">
        <v>624574908810</v>
      </c>
      <c r="M70" s="20">
        <v>624574908810</v>
      </c>
      <c r="N70" s="20">
        <v>0</v>
      </c>
      <c r="O70" s="20">
        <v>0</v>
      </c>
      <c r="P70" s="20">
        <v>0</v>
      </c>
      <c r="Q70" s="20">
        <v>1.13882481298603E+23</v>
      </c>
      <c r="R70" s="20">
        <f>[1]Sheet1!Q74</f>
        <v>0</v>
      </c>
      <c r="S70" s="12">
        <v>60</v>
      </c>
      <c r="T70" s="25" t="s">
        <v>143</v>
      </c>
      <c r="U70" s="25"/>
      <c r="V70" s="20"/>
      <c r="W70" s="20"/>
      <c r="X70" s="20"/>
      <c r="Z70" s="16"/>
    </row>
    <row r="71" spans="1:26" ht="15.75" x14ac:dyDescent="0.25">
      <c r="A71" s="12">
        <v>10068</v>
      </c>
      <c r="B71" s="16" t="s">
        <v>144</v>
      </c>
      <c r="C71" t="s">
        <v>45</v>
      </c>
      <c r="D71" s="12">
        <v>68</v>
      </c>
      <c r="E71" s="12">
        <v>1</v>
      </c>
      <c r="F71" s="12">
        <v>68</v>
      </c>
      <c r="G71" s="20">
        <v>50025</v>
      </c>
      <c r="H71" s="20">
        <v>1</v>
      </c>
      <c r="I71" s="20">
        <v>2</v>
      </c>
      <c r="J71" s="20">
        <v>5</v>
      </c>
      <c r="K71" s="20">
        <v>664250592050</v>
      </c>
      <c r="L71" s="20">
        <v>664250592050</v>
      </c>
      <c r="M71" s="20">
        <v>664250592050</v>
      </c>
      <c r="N71" s="20">
        <v>0</v>
      </c>
      <c r="O71" s="20">
        <v>0</v>
      </c>
      <c r="P71" s="20">
        <v>0</v>
      </c>
      <c r="Q71" s="20">
        <v>1.3685466632864499E+23</v>
      </c>
      <c r="R71" s="20">
        <f>[1]Sheet1!Q75</f>
        <v>0</v>
      </c>
      <c r="S71" s="12">
        <v>60</v>
      </c>
      <c r="T71" s="25" t="s">
        <v>143</v>
      </c>
      <c r="U71" s="25"/>
      <c r="V71" s="20"/>
      <c r="W71" s="20"/>
      <c r="X71" s="20"/>
      <c r="Z71" s="16"/>
    </row>
    <row r="72" spans="1:26" ht="15.75" x14ac:dyDescent="0.25">
      <c r="A72" s="12">
        <v>10069</v>
      </c>
      <c r="B72" s="16" t="s">
        <v>145</v>
      </c>
      <c r="C72" t="s">
        <v>45</v>
      </c>
      <c r="D72" s="12">
        <v>69</v>
      </c>
      <c r="E72" s="12">
        <v>1</v>
      </c>
      <c r="F72" s="12">
        <v>69</v>
      </c>
      <c r="G72" s="20">
        <v>50075</v>
      </c>
      <c r="H72" s="20">
        <v>3</v>
      </c>
      <c r="I72" s="20">
        <v>2</v>
      </c>
      <c r="J72" s="20">
        <v>5</v>
      </c>
      <c r="K72" s="20">
        <v>710540723350</v>
      </c>
      <c r="L72" s="20">
        <v>710540723350</v>
      </c>
      <c r="M72" s="20">
        <v>710540723350</v>
      </c>
      <c r="N72" s="20">
        <v>0</v>
      </c>
      <c r="O72" s="20">
        <v>0</v>
      </c>
      <c r="P72" s="20">
        <v>0</v>
      </c>
      <c r="Q72" s="20">
        <v>1.64819605967886E+23</v>
      </c>
      <c r="R72" s="20">
        <f>[1]Sheet1!Q76</f>
        <v>0</v>
      </c>
      <c r="S72" s="12">
        <v>60</v>
      </c>
      <c r="T72" s="25" t="s">
        <v>146</v>
      </c>
      <c r="U72" s="25"/>
      <c r="V72" s="20"/>
      <c r="W72" s="20"/>
      <c r="X72" s="20"/>
      <c r="Z72" s="16"/>
    </row>
    <row r="73" spans="1:26" ht="15.75" x14ac:dyDescent="0.25">
      <c r="A73" s="12">
        <v>10070</v>
      </c>
      <c r="B73" s="16" t="s">
        <v>147</v>
      </c>
      <c r="C73" t="s">
        <v>45</v>
      </c>
      <c r="D73" s="12">
        <v>70</v>
      </c>
      <c r="E73" s="12">
        <v>1</v>
      </c>
      <c r="F73" s="12">
        <v>70</v>
      </c>
      <c r="G73" s="20">
        <v>10065</v>
      </c>
      <c r="H73" s="20">
        <v>2</v>
      </c>
      <c r="I73" s="20">
        <v>2</v>
      </c>
      <c r="J73" s="20">
        <v>5</v>
      </c>
      <c r="K73" s="20">
        <v>754588569150</v>
      </c>
      <c r="L73" s="20">
        <v>754588569150</v>
      </c>
      <c r="M73" s="20">
        <v>754588569150</v>
      </c>
      <c r="N73" s="20">
        <v>0</v>
      </c>
      <c r="O73" s="20">
        <v>0</v>
      </c>
      <c r="P73" s="20">
        <v>0</v>
      </c>
      <c r="Q73" s="20">
        <v>1.9741355213334801E+23</v>
      </c>
      <c r="R73" s="20">
        <f>[1]Sheet1!Q77</f>
        <v>0</v>
      </c>
      <c r="S73" s="12">
        <v>60</v>
      </c>
      <c r="T73" s="25" t="s">
        <v>146</v>
      </c>
      <c r="U73" s="25"/>
      <c r="V73" s="20"/>
      <c r="W73" s="20"/>
      <c r="X73" s="20"/>
      <c r="Z73" s="16"/>
    </row>
    <row r="74" spans="1:26" ht="15.75" x14ac:dyDescent="0.25">
      <c r="A74" s="12">
        <v>10071</v>
      </c>
      <c r="B74" s="16" t="s">
        <v>148</v>
      </c>
      <c r="C74" t="s">
        <v>45</v>
      </c>
      <c r="D74" s="12">
        <v>71</v>
      </c>
      <c r="E74" s="12">
        <v>1</v>
      </c>
      <c r="F74" s="12">
        <v>71</v>
      </c>
      <c r="G74" s="20">
        <v>10115</v>
      </c>
      <c r="H74" s="20">
        <v>1</v>
      </c>
      <c r="I74" s="20">
        <v>2</v>
      </c>
      <c r="J74" s="20">
        <v>5</v>
      </c>
      <c r="K74" s="20">
        <v>805881371825</v>
      </c>
      <c r="L74" s="20">
        <v>805881371825</v>
      </c>
      <c r="M74" s="20">
        <v>805881371825</v>
      </c>
      <c r="N74" s="20">
        <v>0</v>
      </c>
      <c r="O74" s="20">
        <v>0</v>
      </c>
      <c r="P74" s="20">
        <v>0</v>
      </c>
      <c r="Q74" s="20">
        <v>2.3700701263284499E+23</v>
      </c>
      <c r="R74" s="20">
        <f>[1]Sheet1!Q78</f>
        <v>0</v>
      </c>
      <c r="S74" s="12">
        <v>60</v>
      </c>
      <c r="T74" s="25" t="s">
        <v>149</v>
      </c>
      <c r="U74" s="25"/>
      <c r="V74" s="20"/>
      <c r="W74" s="20"/>
      <c r="X74" s="20"/>
      <c r="Z74" s="16"/>
    </row>
    <row r="75" spans="1:26" ht="15.75" x14ac:dyDescent="0.25">
      <c r="A75" s="12">
        <v>10072</v>
      </c>
      <c r="B75" s="16" t="s">
        <v>150</v>
      </c>
      <c r="C75" t="s">
        <v>45</v>
      </c>
      <c r="D75" s="12">
        <v>72</v>
      </c>
      <c r="E75" s="12">
        <v>1</v>
      </c>
      <c r="F75" s="12">
        <v>72</v>
      </c>
      <c r="G75" s="20">
        <v>10165</v>
      </c>
      <c r="H75" s="20">
        <v>3</v>
      </c>
      <c r="I75" s="20">
        <v>2</v>
      </c>
      <c r="J75" s="20">
        <v>5</v>
      </c>
      <c r="K75" s="20">
        <v>849349846460</v>
      </c>
      <c r="L75" s="20">
        <v>849349846460</v>
      </c>
      <c r="M75" s="20">
        <v>849349846460</v>
      </c>
      <c r="N75" s="20">
        <v>0</v>
      </c>
      <c r="O75" s="20">
        <v>0</v>
      </c>
      <c r="P75" s="20">
        <v>0</v>
      </c>
      <c r="Q75" s="20">
        <v>2.8020918789288E+23</v>
      </c>
      <c r="R75" s="20">
        <f>[1]Sheet1!Q79</f>
        <v>0</v>
      </c>
      <c r="S75" s="12">
        <v>60</v>
      </c>
      <c r="T75" s="25" t="s">
        <v>149</v>
      </c>
      <c r="U75" s="25"/>
      <c r="V75" s="20"/>
      <c r="W75" s="20"/>
      <c r="X75" s="20"/>
      <c r="Z75" s="16"/>
    </row>
    <row r="76" spans="1:26" ht="15.75" x14ac:dyDescent="0.25">
      <c r="A76" s="12">
        <v>10073</v>
      </c>
      <c r="B76" s="16" t="s">
        <v>151</v>
      </c>
      <c r="C76" t="s">
        <v>45</v>
      </c>
      <c r="D76" s="12">
        <v>73</v>
      </c>
      <c r="E76" s="12">
        <v>1</v>
      </c>
      <c r="F76" s="12">
        <v>73</v>
      </c>
      <c r="G76" s="20">
        <v>20015</v>
      </c>
      <c r="H76" s="20">
        <v>2</v>
      </c>
      <c r="I76" s="20">
        <v>2</v>
      </c>
      <c r="J76" s="20">
        <v>5</v>
      </c>
      <c r="K76" s="20">
        <v>904812627005</v>
      </c>
      <c r="L76" s="20">
        <v>904812627005</v>
      </c>
      <c r="M76" s="20">
        <v>904812627005</v>
      </c>
      <c r="N76" s="20">
        <v>0</v>
      </c>
      <c r="O76" s="20">
        <v>0</v>
      </c>
      <c r="P76" s="20">
        <v>0</v>
      </c>
      <c r="Q76" s="20">
        <v>3.4512116020382499E+23</v>
      </c>
      <c r="R76" s="20">
        <f>[1]Sheet1!Q80</f>
        <v>0</v>
      </c>
      <c r="S76" s="12">
        <v>60</v>
      </c>
      <c r="T76" s="25" t="s">
        <v>152</v>
      </c>
      <c r="U76" s="25"/>
      <c r="V76" s="20"/>
      <c r="W76" s="20"/>
      <c r="X76" s="20"/>
      <c r="Z76" s="16"/>
    </row>
    <row r="77" spans="1:26" ht="15.75" x14ac:dyDescent="0.25">
      <c r="A77" s="12">
        <v>10074</v>
      </c>
      <c r="B77" s="16" t="s">
        <v>153</v>
      </c>
      <c r="C77" t="s">
        <v>45</v>
      </c>
      <c r="D77" s="12">
        <v>74</v>
      </c>
      <c r="E77" s="12">
        <v>1</v>
      </c>
      <c r="F77" s="12">
        <v>74</v>
      </c>
      <c r="G77" s="20">
        <v>20065</v>
      </c>
      <c r="H77" s="20">
        <v>1</v>
      </c>
      <c r="I77" s="20">
        <v>2</v>
      </c>
      <c r="J77" s="20">
        <v>5</v>
      </c>
      <c r="K77" s="20">
        <v>952363500030</v>
      </c>
      <c r="L77" s="20">
        <v>952363500030</v>
      </c>
      <c r="M77" s="20">
        <v>952363500030</v>
      </c>
      <c r="N77" s="20">
        <v>0</v>
      </c>
      <c r="O77" s="20">
        <v>0</v>
      </c>
      <c r="P77" s="20">
        <v>0</v>
      </c>
      <c r="Q77" s="20">
        <v>4.0672903940712002E+23</v>
      </c>
      <c r="R77" s="20">
        <f>[1]Sheet1!Q81</f>
        <v>0</v>
      </c>
      <c r="S77" s="12">
        <v>60</v>
      </c>
      <c r="T77" s="25" t="s">
        <v>152</v>
      </c>
      <c r="U77" s="25"/>
      <c r="V77" s="20"/>
      <c r="W77" s="20"/>
      <c r="X77" s="20"/>
      <c r="Z77" s="16"/>
    </row>
    <row r="78" spans="1:26" ht="15.75" x14ac:dyDescent="0.25">
      <c r="A78" s="12">
        <v>10075</v>
      </c>
      <c r="B78" s="16" t="s">
        <v>154</v>
      </c>
      <c r="C78" t="s">
        <v>45</v>
      </c>
      <c r="D78" s="12">
        <v>75</v>
      </c>
      <c r="E78" s="12">
        <v>1</v>
      </c>
      <c r="F78" s="12">
        <v>75</v>
      </c>
      <c r="G78" s="20">
        <v>20115</v>
      </c>
      <c r="H78" s="20">
        <v>3</v>
      </c>
      <c r="I78" s="20">
        <v>2</v>
      </c>
      <c r="J78" s="20">
        <v>5</v>
      </c>
      <c r="K78" s="20">
        <v>1008111382920</v>
      </c>
      <c r="L78" s="20">
        <v>1008111382920</v>
      </c>
      <c r="M78" s="20">
        <v>1008111382920</v>
      </c>
      <c r="N78" s="20">
        <v>0</v>
      </c>
      <c r="O78" s="20">
        <v>0</v>
      </c>
      <c r="P78" s="20">
        <v>0</v>
      </c>
      <c r="Q78" s="20">
        <v>4.8075464821218798E+23</v>
      </c>
      <c r="R78" s="20">
        <f>[1]Sheet1!Q82</f>
        <v>0</v>
      </c>
      <c r="S78" s="12">
        <v>60</v>
      </c>
      <c r="T78" s="25" t="s">
        <v>155</v>
      </c>
      <c r="U78" s="25"/>
      <c r="V78" s="20"/>
      <c r="W78" s="20"/>
      <c r="X78" s="20"/>
      <c r="Z78" s="16"/>
    </row>
    <row r="79" spans="1:26" ht="15.75" x14ac:dyDescent="0.25">
      <c r="A79" s="12">
        <v>10076</v>
      </c>
      <c r="B79" s="16" t="s">
        <v>156</v>
      </c>
      <c r="C79" t="s">
        <v>45</v>
      </c>
      <c r="D79" s="12">
        <v>76</v>
      </c>
      <c r="E79" s="12">
        <v>1</v>
      </c>
      <c r="F79" s="12">
        <v>76</v>
      </c>
      <c r="G79" s="20">
        <v>20165</v>
      </c>
      <c r="H79" s="20">
        <v>2</v>
      </c>
      <c r="I79" s="20">
        <v>2</v>
      </c>
      <c r="J79" s="20">
        <v>5</v>
      </c>
      <c r="K79" s="20">
        <v>1059810100115</v>
      </c>
      <c r="L79" s="20">
        <v>1059810100115</v>
      </c>
      <c r="M79" s="20">
        <v>1059810100115</v>
      </c>
      <c r="N79" s="20">
        <v>0</v>
      </c>
      <c r="O79" s="20">
        <v>0</v>
      </c>
      <c r="P79" s="20">
        <v>0</v>
      </c>
      <c r="Q79" s="20">
        <v>5.65212178883448E+23</v>
      </c>
      <c r="R79" s="20">
        <f>[1]Sheet1!Q83</f>
        <v>0</v>
      </c>
      <c r="S79" s="12">
        <v>60</v>
      </c>
      <c r="T79" s="25" t="s">
        <v>155</v>
      </c>
      <c r="U79" s="25"/>
      <c r="V79" s="20"/>
      <c r="W79" s="20"/>
      <c r="X79" s="20"/>
      <c r="Z79" s="16"/>
    </row>
    <row r="80" spans="1:26" ht="15.75" x14ac:dyDescent="0.25">
      <c r="A80" s="12">
        <v>10077</v>
      </c>
      <c r="B80" s="16" t="s">
        <v>157</v>
      </c>
      <c r="C80" t="s">
        <v>45</v>
      </c>
      <c r="D80" s="12">
        <v>77</v>
      </c>
      <c r="E80" s="12">
        <v>1</v>
      </c>
      <c r="F80" s="12">
        <v>77</v>
      </c>
      <c r="G80" s="20">
        <v>30015</v>
      </c>
      <c r="H80" s="20">
        <v>1</v>
      </c>
      <c r="I80" s="20">
        <v>2</v>
      </c>
      <c r="J80" s="20">
        <v>6</v>
      </c>
      <c r="K80" s="20">
        <v>1134628706000</v>
      </c>
      <c r="L80" s="20">
        <v>1134628706000</v>
      </c>
      <c r="M80" s="20">
        <v>1134628706000</v>
      </c>
      <c r="N80" s="20">
        <v>0</v>
      </c>
      <c r="O80" s="20">
        <v>0</v>
      </c>
      <c r="P80" s="20">
        <v>0</v>
      </c>
      <c r="Q80" s="20">
        <v>7.8219779662600306E+23</v>
      </c>
      <c r="R80" s="20">
        <f>[1]Sheet1!Q84</f>
        <v>0</v>
      </c>
      <c r="S80" s="12">
        <v>60</v>
      </c>
      <c r="T80" s="25" t="s">
        <v>158</v>
      </c>
      <c r="U80" s="25"/>
      <c r="V80" s="20"/>
      <c r="W80" s="20"/>
      <c r="X80" s="20"/>
      <c r="Z80" s="16"/>
    </row>
    <row r="81" spans="1:26" ht="15.75" x14ac:dyDescent="0.25">
      <c r="A81" s="12">
        <v>10078</v>
      </c>
      <c r="B81" s="16" t="s">
        <v>159</v>
      </c>
      <c r="C81" t="s">
        <v>45</v>
      </c>
      <c r="D81" s="12">
        <v>78</v>
      </c>
      <c r="E81" s="12">
        <v>1</v>
      </c>
      <c r="F81" s="12">
        <v>78</v>
      </c>
      <c r="G81" s="20">
        <v>30065</v>
      </c>
      <c r="H81" s="20">
        <v>3</v>
      </c>
      <c r="I81" s="20">
        <v>2</v>
      </c>
      <c r="J81" s="20">
        <v>6</v>
      </c>
      <c r="K81" s="20">
        <v>1205945077255</v>
      </c>
      <c r="L81" s="20">
        <v>1205945077255</v>
      </c>
      <c r="M81" s="20">
        <v>1205945077255</v>
      </c>
      <c r="N81" s="20">
        <v>0</v>
      </c>
      <c r="O81" s="20">
        <v>0</v>
      </c>
      <c r="P81" s="20">
        <v>0</v>
      </c>
      <c r="Q81" s="20">
        <v>9.55255852469745E+23</v>
      </c>
      <c r="R81" s="20">
        <f>[1]Sheet1!Q85</f>
        <v>0</v>
      </c>
      <c r="S81" s="12">
        <v>60</v>
      </c>
      <c r="T81" s="25" t="s">
        <v>158</v>
      </c>
      <c r="U81" s="25"/>
      <c r="V81" s="20"/>
      <c r="W81" s="20"/>
      <c r="X81" s="20"/>
      <c r="Z81" s="16"/>
    </row>
    <row r="82" spans="1:26" ht="15.75" x14ac:dyDescent="0.25">
      <c r="A82" s="12">
        <v>10079</v>
      </c>
      <c r="B82" s="16" t="s">
        <v>160</v>
      </c>
      <c r="C82" t="s">
        <v>45</v>
      </c>
      <c r="D82" s="12">
        <v>79</v>
      </c>
      <c r="E82" s="12">
        <v>1</v>
      </c>
      <c r="F82" s="12">
        <v>79</v>
      </c>
      <c r="G82" s="20">
        <v>30115</v>
      </c>
      <c r="H82" s="20">
        <v>2</v>
      </c>
      <c r="I82" s="20">
        <v>2</v>
      </c>
      <c r="J82" s="20">
        <v>6</v>
      </c>
      <c r="K82" s="20">
        <v>1294309474850</v>
      </c>
      <c r="L82" s="20">
        <v>1294309474850</v>
      </c>
      <c r="M82" s="20">
        <v>1294309474850</v>
      </c>
      <c r="N82" s="20">
        <v>0</v>
      </c>
      <c r="O82" s="20">
        <v>0</v>
      </c>
      <c r="P82" s="20">
        <v>0</v>
      </c>
      <c r="Q82" s="20">
        <v>1.1914452634738601E+24</v>
      </c>
      <c r="R82" s="20">
        <f>[1]Sheet1!Q86</f>
        <v>0</v>
      </c>
      <c r="S82" s="12">
        <v>60</v>
      </c>
      <c r="T82" s="25" t="s">
        <v>161</v>
      </c>
      <c r="U82" s="25"/>
      <c r="V82" s="20"/>
      <c r="W82" s="20"/>
      <c r="X82" s="20"/>
      <c r="Z82" s="16"/>
    </row>
    <row r="83" spans="1:26" ht="15.75" x14ac:dyDescent="0.25">
      <c r="A83" s="12">
        <v>10080</v>
      </c>
      <c r="B83" s="16" t="s">
        <v>162</v>
      </c>
      <c r="C83" t="s">
        <v>45</v>
      </c>
      <c r="D83" s="12">
        <v>80</v>
      </c>
      <c r="E83" s="12">
        <v>1</v>
      </c>
      <c r="F83" s="12">
        <v>80</v>
      </c>
      <c r="G83" s="20">
        <v>30165</v>
      </c>
      <c r="H83" s="20">
        <v>1</v>
      </c>
      <c r="I83" s="20">
        <v>2</v>
      </c>
      <c r="J83" s="20">
        <v>6</v>
      </c>
      <c r="K83" s="20">
        <v>1372844889330</v>
      </c>
      <c r="L83" s="20">
        <v>1372844889330</v>
      </c>
      <c r="M83" s="20">
        <v>1372844889330</v>
      </c>
      <c r="N83" s="20">
        <v>0</v>
      </c>
      <c r="O83" s="20">
        <v>0</v>
      </c>
      <c r="P83" s="20">
        <v>0</v>
      </c>
      <c r="Q83" s="20">
        <v>1.4550930861503199E+24</v>
      </c>
      <c r="R83" s="20">
        <f>[1]Sheet1!Q87</f>
        <v>0</v>
      </c>
      <c r="S83" s="12">
        <v>60</v>
      </c>
      <c r="T83" s="25" t="s">
        <v>161</v>
      </c>
      <c r="U83" s="25"/>
      <c r="V83" s="20"/>
      <c r="W83" s="20"/>
      <c r="X83" s="20"/>
      <c r="Z83" s="16"/>
    </row>
    <row r="84" spans="1:26" ht="15.75" x14ac:dyDescent="0.25">
      <c r="A84" s="12">
        <v>10081</v>
      </c>
      <c r="B84" s="16" t="s">
        <v>163</v>
      </c>
      <c r="C84" t="s">
        <v>45</v>
      </c>
      <c r="D84" s="12">
        <v>81</v>
      </c>
      <c r="E84" s="12">
        <v>1</v>
      </c>
      <c r="F84" s="12">
        <v>81</v>
      </c>
      <c r="G84" s="20">
        <v>40015</v>
      </c>
      <c r="H84" s="20">
        <v>3</v>
      </c>
      <c r="I84" s="20">
        <v>2</v>
      </c>
      <c r="J84" s="20">
        <v>6</v>
      </c>
      <c r="K84" s="20">
        <v>2461957151705</v>
      </c>
      <c r="L84" s="20">
        <v>2461957151705</v>
      </c>
      <c r="M84" s="20">
        <v>2461957151705</v>
      </c>
      <c r="N84" s="20">
        <v>0</v>
      </c>
      <c r="O84" s="20">
        <v>0</v>
      </c>
      <c r="P84" s="20">
        <v>0</v>
      </c>
      <c r="Q84" s="20">
        <v>7.0714605345934501E+24</v>
      </c>
      <c r="R84" s="20">
        <f>[1]Sheet1!Q88</f>
        <v>0</v>
      </c>
      <c r="S84" s="12">
        <v>60</v>
      </c>
      <c r="T84" s="25" t="s">
        <v>164</v>
      </c>
      <c r="U84" s="25"/>
      <c r="V84" s="20"/>
      <c r="W84" s="20"/>
      <c r="X84" s="20"/>
      <c r="Z84" s="16"/>
    </row>
    <row r="85" spans="1:26" ht="15.75" x14ac:dyDescent="0.25">
      <c r="A85" s="12">
        <v>10082</v>
      </c>
      <c r="B85" s="16" t="s">
        <v>165</v>
      </c>
      <c r="C85" t="s">
        <v>45</v>
      </c>
      <c r="D85" s="12">
        <v>82</v>
      </c>
      <c r="E85" s="12">
        <v>1</v>
      </c>
      <c r="F85" s="12">
        <v>82</v>
      </c>
      <c r="G85" s="20">
        <v>40065</v>
      </c>
      <c r="H85" s="20">
        <v>2</v>
      </c>
      <c r="I85" s="20">
        <v>2</v>
      </c>
      <c r="J85" s="20">
        <v>6</v>
      </c>
      <c r="K85" s="20">
        <v>2588284473940</v>
      </c>
      <c r="L85" s="20">
        <v>2588284473940</v>
      </c>
      <c r="M85" s="20">
        <v>2588284473940</v>
      </c>
      <c r="N85" s="20">
        <v>0</v>
      </c>
      <c r="O85" s="20">
        <v>0</v>
      </c>
      <c r="P85" s="20">
        <v>0</v>
      </c>
      <c r="Q85" s="20">
        <v>8.3719565113977004E+24</v>
      </c>
      <c r="R85" s="20">
        <f>[1]Sheet1!Q89</f>
        <v>0</v>
      </c>
      <c r="S85" s="12">
        <v>60</v>
      </c>
      <c r="T85" s="25" t="s">
        <v>164</v>
      </c>
      <c r="U85" s="25"/>
      <c r="V85" s="20"/>
      <c r="W85" s="20"/>
      <c r="X85" s="20"/>
      <c r="Z85" s="16"/>
    </row>
    <row r="86" spans="1:26" ht="15.75" x14ac:dyDescent="0.25">
      <c r="A86" s="12">
        <v>10083</v>
      </c>
      <c r="B86" s="16" t="s">
        <v>166</v>
      </c>
      <c r="C86" t="s">
        <v>45</v>
      </c>
      <c r="D86" s="12">
        <v>83</v>
      </c>
      <c r="E86" s="12">
        <v>1</v>
      </c>
      <c r="F86" s="12">
        <v>83</v>
      </c>
      <c r="G86" s="20">
        <v>40115</v>
      </c>
      <c r="H86" s="20">
        <v>1</v>
      </c>
      <c r="I86" s="20">
        <v>2</v>
      </c>
      <c r="J86" s="20">
        <v>6</v>
      </c>
      <c r="K86" s="20">
        <v>2745613625505</v>
      </c>
      <c r="L86" s="20">
        <v>2745613625505</v>
      </c>
      <c r="M86" s="20">
        <v>2745613625505</v>
      </c>
      <c r="N86" s="20">
        <v>0</v>
      </c>
      <c r="O86" s="20">
        <v>0</v>
      </c>
      <c r="P86" s="20">
        <v>0</v>
      </c>
      <c r="Q86" s="20">
        <v>1.0080074778702601E+25</v>
      </c>
      <c r="R86" s="20">
        <f>[1]Sheet1!Q90</f>
        <v>0</v>
      </c>
      <c r="S86" s="12">
        <v>60</v>
      </c>
      <c r="T86" s="25" t="s">
        <v>167</v>
      </c>
      <c r="U86" s="25"/>
      <c r="V86" s="20"/>
      <c r="W86" s="20"/>
      <c r="X86" s="20"/>
      <c r="Z86" s="16"/>
    </row>
    <row r="87" spans="1:26" ht="15.75" x14ac:dyDescent="0.25">
      <c r="A87" s="12">
        <v>10084</v>
      </c>
      <c r="B87" s="16" t="s">
        <v>168</v>
      </c>
      <c r="C87" t="s">
        <v>45</v>
      </c>
      <c r="D87" s="12">
        <v>84</v>
      </c>
      <c r="E87" s="12">
        <v>1</v>
      </c>
      <c r="F87" s="12">
        <v>84</v>
      </c>
      <c r="G87" s="20">
        <v>40165</v>
      </c>
      <c r="H87" s="20">
        <v>3</v>
      </c>
      <c r="I87" s="20">
        <v>2</v>
      </c>
      <c r="J87" s="20">
        <v>6</v>
      </c>
      <c r="K87" s="20">
        <v>2882604907570</v>
      </c>
      <c r="L87" s="20">
        <v>2882604907570</v>
      </c>
      <c r="M87" s="20">
        <v>2882604907570</v>
      </c>
      <c r="N87" s="20">
        <v>0</v>
      </c>
      <c r="O87" s="20">
        <v>0</v>
      </c>
      <c r="P87" s="20">
        <v>0</v>
      </c>
      <c r="Q87" s="20">
        <v>1.1883311941363501E+25</v>
      </c>
      <c r="R87" s="20">
        <f>[1]Sheet1!Q91</f>
        <v>0</v>
      </c>
      <c r="S87" s="12">
        <v>60</v>
      </c>
      <c r="T87" s="25" t="s">
        <v>167</v>
      </c>
      <c r="U87" s="25"/>
      <c r="V87" s="20"/>
      <c r="W87" s="20"/>
      <c r="X87" s="20"/>
      <c r="Z87" s="16"/>
    </row>
    <row r="88" spans="1:26" ht="15.75" x14ac:dyDescent="0.25">
      <c r="A88" s="12">
        <v>10085</v>
      </c>
      <c r="B88" s="16" t="s">
        <v>169</v>
      </c>
      <c r="C88" t="s">
        <v>45</v>
      </c>
      <c r="D88" s="12">
        <v>85</v>
      </c>
      <c r="E88" s="12">
        <v>1</v>
      </c>
      <c r="F88" s="12">
        <v>85</v>
      </c>
      <c r="G88" s="20">
        <v>50015</v>
      </c>
      <c r="H88" s="20">
        <v>2</v>
      </c>
      <c r="I88" s="20">
        <v>2</v>
      </c>
      <c r="J88" s="20">
        <v>6</v>
      </c>
      <c r="K88" s="20">
        <v>3053641376600</v>
      </c>
      <c r="L88" s="20">
        <v>3053641376600</v>
      </c>
      <c r="M88" s="20">
        <v>3053641376600</v>
      </c>
      <c r="N88" s="20">
        <v>0</v>
      </c>
      <c r="O88" s="20">
        <v>0</v>
      </c>
      <c r="P88" s="20">
        <v>0</v>
      </c>
      <c r="Q88" s="20">
        <v>1.4252640047693299E+25</v>
      </c>
      <c r="R88" s="20">
        <f>[1]Sheet1!Q92</f>
        <v>0</v>
      </c>
      <c r="S88" s="12">
        <v>60</v>
      </c>
      <c r="T88" s="25" t="s">
        <v>170</v>
      </c>
      <c r="U88" s="25"/>
      <c r="V88" s="20"/>
      <c r="W88" s="20"/>
      <c r="X88" s="20"/>
      <c r="Z88" s="16"/>
    </row>
    <row r="89" spans="1:26" ht="15.75" x14ac:dyDescent="0.25">
      <c r="A89" s="12">
        <v>10086</v>
      </c>
      <c r="B89" s="16" t="s">
        <v>171</v>
      </c>
      <c r="C89" t="s">
        <v>45</v>
      </c>
      <c r="D89" s="12">
        <v>86</v>
      </c>
      <c r="E89" s="12">
        <v>1</v>
      </c>
      <c r="F89" s="12">
        <v>86</v>
      </c>
      <c r="G89" s="20">
        <v>50065</v>
      </c>
      <c r="H89" s="20">
        <v>1</v>
      </c>
      <c r="I89" s="20">
        <v>2</v>
      </c>
      <c r="J89" s="20">
        <v>6</v>
      </c>
      <c r="K89" s="20">
        <v>3202434456735</v>
      </c>
      <c r="L89" s="20">
        <v>3202434456735</v>
      </c>
      <c r="M89" s="20">
        <v>3202434456735</v>
      </c>
      <c r="N89" s="20">
        <v>0</v>
      </c>
      <c r="O89" s="20">
        <v>0</v>
      </c>
      <c r="P89" s="20">
        <v>0</v>
      </c>
      <c r="Q89" s="20">
        <v>1.6740516257197599E+25</v>
      </c>
      <c r="R89" s="20">
        <f>[1]Sheet1!Q93</f>
        <v>0</v>
      </c>
      <c r="S89" s="12">
        <v>60</v>
      </c>
      <c r="T89" s="25" t="s">
        <v>170</v>
      </c>
      <c r="U89" s="25"/>
      <c r="V89" s="20"/>
      <c r="W89" s="20"/>
      <c r="X89" s="20"/>
      <c r="Z89" s="16"/>
    </row>
    <row r="90" spans="1:26" ht="15.75" x14ac:dyDescent="0.25">
      <c r="A90" s="12">
        <v>10087</v>
      </c>
      <c r="B90" s="16" t="s">
        <v>172</v>
      </c>
      <c r="C90" t="s">
        <v>45</v>
      </c>
      <c r="D90" s="12">
        <v>87</v>
      </c>
      <c r="E90" s="12">
        <v>1</v>
      </c>
      <c r="F90" s="12">
        <v>87</v>
      </c>
      <c r="G90" s="20">
        <v>10055</v>
      </c>
      <c r="H90" s="20">
        <v>3</v>
      </c>
      <c r="I90" s="20">
        <v>2</v>
      </c>
      <c r="J90" s="20">
        <v>6</v>
      </c>
      <c r="K90" s="20">
        <v>3387794342615</v>
      </c>
      <c r="L90" s="20">
        <v>3387794342615</v>
      </c>
      <c r="M90" s="20">
        <v>3387794342615</v>
      </c>
      <c r="N90" s="20">
        <v>0</v>
      </c>
      <c r="O90" s="20">
        <v>0</v>
      </c>
      <c r="P90" s="20">
        <v>0</v>
      </c>
      <c r="Q90" s="20">
        <v>1.9998397804482501E+25</v>
      </c>
      <c r="R90" s="20">
        <f>[1]Sheet1!Q94</f>
        <v>0</v>
      </c>
      <c r="S90" s="12">
        <v>60</v>
      </c>
      <c r="T90" s="25" t="s">
        <v>173</v>
      </c>
      <c r="U90" s="25"/>
      <c r="V90" s="20"/>
      <c r="W90" s="20"/>
      <c r="X90" s="20"/>
      <c r="Z90" s="16"/>
    </row>
    <row r="91" spans="1:26" ht="15.75" x14ac:dyDescent="0.25">
      <c r="A91" s="12">
        <v>10088</v>
      </c>
      <c r="B91" s="16" t="s">
        <v>174</v>
      </c>
      <c r="C91" t="s">
        <v>45</v>
      </c>
      <c r="D91" s="12">
        <v>88</v>
      </c>
      <c r="E91" s="12">
        <v>1</v>
      </c>
      <c r="F91" s="12">
        <v>88</v>
      </c>
      <c r="G91" s="20">
        <v>10105</v>
      </c>
      <c r="H91" s="20">
        <v>2</v>
      </c>
      <c r="I91" s="20">
        <v>2</v>
      </c>
      <c r="J91" s="20">
        <v>6</v>
      </c>
      <c r="K91" s="20">
        <v>3548746057450</v>
      </c>
      <c r="L91" s="20">
        <v>3548746057450</v>
      </c>
      <c r="M91" s="20">
        <v>3548746057450</v>
      </c>
      <c r="N91" s="20">
        <v>0</v>
      </c>
      <c r="O91" s="20">
        <v>0</v>
      </c>
      <c r="P91" s="20">
        <v>0</v>
      </c>
      <c r="Q91" s="20">
        <v>2.3407992690310998E+25</v>
      </c>
      <c r="R91" s="20">
        <f>[1]Sheet1!Q95</f>
        <v>0</v>
      </c>
      <c r="S91" s="12">
        <v>60</v>
      </c>
      <c r="T91" s="25" t="s">
        <v>173</v>
      </c>
      <c r="U91" s="25"/>
      <c r="V91" s="20"/>
      <c r="W91" s="20"/>
      <c r="X91" s="20"/>
      <c r="Z91" s="16"/>
    </row>
    <row r="92" spans="1:26" ht="15.75" x14ac:dyDescent="0.25">
      <c r="A92" s="12">
        <v>10089</v>
      </c>
      <c r="B92" s="16" t="s">
        <v>175</v>
      </c>
      <c r="C92" t="s">
        <v>45</v>
      </c>
      <c r="D92" s="12">
        <v>89</v>
      </c>
      <c r="E92" s="12">
        <v>1</v>
      </c>
      <c r="F92" s="12">
        <v>89</v>
      </c>
      <c r="G92" s="20">
        <v>10155</v>
      </c>
      <c r="H92" s="20">
        <v>1</v>
      </c>
      <c r="I92" s="20">
        <v>2</v>
      </c>
      <c r="J92" s="20">
        <v>6</v>
      </c>
      <c r="K92" s="20">
        <v>3790743992825</v>
      </c>
      <c r="L92" s="20">
        <v>3790743992825</v>
      </c>
      <c r="M92" s="20">
        <v>3790743992825</v>
      </c>
      <c r="N92" s="20">
        <v>0</v>
      </c>
      <c r="O92" s="20">
        <v>0</v>
      </c>
      <c r="P92" s="20">
        <v>0</v>
      </c>
      <c r="Q92" s="20">
        <v>3.1759650506535298E+25</v>
      </c>
      <c r="R92" s="20">
        <f>[1]Sheet1!Q96</f>
        <v>0</v>
      </c>
      <c r="S92" s="12">
        <v>60</v>
      </c>
      <c r="T92" s="25" t="s">
        <v>176</v>
      </c>
      <c r="U92" s="25"/>
      <c r="V92" s="20"/>
      <c r="W92" s="20"/>
      <c r="X92" s="20"/>
      <c r="Z92" s="16"/>
    </row>
    <row r="93" spans="1:26" ht="15.75" x14ac:dyDescent="0.25">
      <c r="A93" s="12">
        <v>10090</v>
      </c>
      <c r="B93" s="16" t="s">
        <v>177</v>
      </c>
      <c r="C93" t="s">
        <v>45</v>
      </c>
      <c r="D93" s="12">
        <v>90</v>
      </c>
      <c r="E93" s="12">
        <v>1</v>
      </c>
      <c r="F93" s="12">
        <v>90</v>
      </c>
      <c r="G93" s="20">
        <v>10205</v>
      </c>
      <c r="H93" s="20">
        <v>3</v>
      </c>
      <c r="I93" s="20">
        <v>2</v>
      </c>
      <c r="J93" s="20">
        <v>6</v>
      </c>
      <c r="K93" s="20">
        <v>3977775902135</v>
      </c>
      <c r="L93" s="20">
        <v>3977775902135</v>
      </c>
      <c r="M93" s="20">
        <v>3977775902135</v>
      </c>
      <c r="N93" s="20">
        <v>0</v>
      </c>
      <c r="O93" s="20">
        <v>0</v>
      </c>
      <c r="P93" s="20">
        <v>0</v>
      </c>
      <c r="Q93" s="20">
        <v>3.7090901245188002E+25</v>
      </c>
      <c r="R93" s="20">
        <f>[1]Sheet1!Q97</f>
        <v>0</v>
      </c>
      <c r="S93" s="12">
        <v>60</v>
      </c>
      <c r="T93" s="25" t="s">
        <v>176</v>
      </c>
      <c r="U93" s="25"/>
      <c r="V93" s="20"/>
      <c r="W93" s="20"/>
      <c r="X93" s="20"/>
      <c r="Z93" s="16"/>
    </row>
    <row r="94" spans="1:26" ht="15.75" x14ac:dyDescent="0.25">
      <c r="A94" s="12">
        <v>10091</v>
      </c>
      <c r="B94" s="16" t="s">
        <v>178</v>
      </c>
      <c r="C94" t="s">
        <v>45</v>
      </c>
      <c r="D94" s="12">
        <v>91</v>
      </c>
      <c r="E94" s="12">
        <v>1</v>
      </c>
      <c r="F94" s="12">
        <v>91</v>
      </c>
      <c r="G94" s="20">
        <v>20055</v>
      </c>
      <c r="H94" s="20">
        <v>2</v>
      </c>
      <c r="I94" s="20">
        <v>2</v>
      </c>
      <c r="J94" s="20">
        <v>6</v>
      </c>
      <c r="K94" s="20">
        <v>4209031655790</v>
      </c>
      <c r="L94" s="20">
        <v>4209031655790</v>
      </c>
      <c r="M94" s="20">
        <v>4209031655790</v>
      </c>
      <c r="N94" s="20">
        <v>0</v>
      </c>
      <c r="O94" s="20">
        <v>0</v>
      </c>
      <c r="P94" s="20">
        <v>0</v>
      </c>
      <c r="Q94" s="20">
        <v>4.4010730798787202E+25</v>
      </c>
      <c r="R94" s="20">
        <f>[1]Sheet1!Q98</f>
        <v>0</v>
      </c>
      <c r="S94" s="12">
        <v>60</v>
      </c>
      <c r="T94" s="25" t="s">
        <v>179</v>
      </c>
      <c r="U94" s="25"/>
      <c r="V94" s="20"/>
      <c r="W94" s="20"/>
      <c r="X94" s="20"/>
      <c r="Z94" s="16"/>
    </row>
    <row r="95" spans="1:26" ht="15.75" x14ac:dyDescent="0.25">
      <c r="A95" s="12">
        <v>10092</v>
      </c>
      <c r="B95" s="16" t="s">
        <v>180</v>
      </c>
      <c r="C95" t="s">
        <v>45</v>
      </c>
      <c r="D95" s="12">
        <v>92</v>
      </c>
      <c r="E95" s="12">
        <v>1</v>
      </c>
      <c r="F95" s="12">
        <v>92</v>
      </c>
      <c r="G95" s="20">
        <v>20105</v>
      </c>
      <c r="H95" s="20">
        <v>1</v>
      </c>
      <c r="I95" s="20">
        <v>2</v>
      </c>
      <c r="J95" s="20">
        <v>6</v>
      </c>
      <c r="K95" s="20">
        <v>4390567734460</v>
      </c>
      <c r="L95" s="20">
        <v>4390567734460</v>
      </c>
      <c r="M95" s="20">
        <v>4390567734460</v>
      </c>
      <c r="N95" s="20">
        <v>0</v>
      </c>
      <c r="O95" s="20">
        <v>0</v>
      </c>
      <c r="P95" s="20">
        <v>0</v>
      </c>
      <c r="Q95" s="20">
        <v>5.1009316917705497E+25</v>
      </c>
      <c r="R95" s="20">
        <f>[1]Sheet1!Q99</f>
        <v>0</v>
      </c>
      <c r="S95" s="12">
        <v>60</v>
      </c>
      <c r="T95" s="25" t="s">
        <v>179</v>
      </c>
      <c r="U95" s="25"/>
      <c r="V95" s="20"/>
      <c r="W95" s="20"/>
      <c r="X95" s="20"/>
      <c r="Z95" s="16"/>
    </row>
    <row r="96" spans="1:26" ht="15.75" x14ac:dyDescent="0.25">
      <c r="A96" s="12">
        <v>10093</v>
      </c>
      <c r="B96" s="16" t="s">
        <v>181</v>
      </c>
      <c r="C96" t="s">
        <v>45</v>
      </c>
      <c r="D96" s="12">
        <v>93</v>
      </c>
      <c r="E96" s="12">
        <v>1</v>
      </c>
      <c r="F96" s="12">
        <v>93</v>
      </c>
      <c r="G96" s="20">
        <v>20155</v>
      </c>
      <c r="H96" s="20">
        <v>3</v>
      </c>
      <c r="I96" s="20">
        <v>2</v>
      </c>
      <c r="J96" s="20">
        <v>6</v>
      </c>
      <c r="K96" s="20">
        <v>4618858859285</v>
      </c>
      <c r="L96" s="20">
        <v>4618858859285</v>
      </c>
      <c r="M96" s="20">
        <v>4618858859285</v>
      </c>
      <c r="N96" s="20">
        <v>0</v>
      </c>
      <c r="O96" s="20">
        <v>0</v>
      </c>
      <c r="P96" s="20">
        <v>0</v>
      </c>
      <c r="Q96" s="20">
        <v>6.0064017512025198E+25</v>
      </c>
      <c r="R96" s="20">
        <f>[1]Sheet1!Q100</f>
        <v>0</v>
      </c>
      <c r="S96" s="12">
        <v>60</v>
      </c>
      <c r="T96" s="25" t="s">
        <v>182</v>
      </c>
      <c r="U96" s="25"/>
      <c r="V96" s="20"/>
      <c r="W96" s="20"/>
      <c r="X96" s="20"/>
      <c r="Z96" s="16"/>
    </row>
    <row r="97" spans="1:26" ht="15.75" x14ac:dyDescent="0.25">
      <c r="A97" s="12">
        <v>10094</v>
      </c>
      <c r="B97" s="16" t="s">
        <v>183</v>
      </c>
      <c r="C97" t="s">
        <v>45</v>
      </c>
      <c r="D97" s="12">
        <v>94</v>
      </c>
      <c r="E97" s="12">
        <v>1</v>
      </c>
      <c r="F97" s="12">
        <v>94</v>
      </c>
      <c r="G97" s="20">
        <v>20205</v>
      </c>
      <c r="H97" s="20">
        <v>2</v>
      </c>
      <c r="I97" s="20">
        <v>2</v>
      </c>
      <c r="J97" s="20">
        <v>6</v>
      </c>
      <c r="K97" s="20">
        <v>4814211024075</v>
      </c>
      <c r="L97" s="20">
        <v>4814211024075</v>
      </c>
      <c r="M97" s="20">
        <v>4814211024075</v>
      </c>
      <c r="N97" s="20">
        <v>0</v>
      </c>
      <c r="O97" s="20">
        <v>0</v>
      </c>
      <c r="P97" s="20">
        <v>0</v>
      </c>
      <c r="Q97" s="20">
        <v>6.9430962616219302E+25</v>
      </c>
      <c r="R97" s="20">
        <f>[1]Sheet1!Q101</f>
        <v>0</v>
      </c>
      <c r="S97" s="12">
        <v>60</v>
      </c>
      <c r="T97" s="25" t="s">
        <v>182</v>
      </c>
      <c r="U97" s="25"/>
      <c r="V97" s="20"/>
      <c r="W97" s="20"/>
      <c r="X97" s="20"/>
      <c r="Z97" s="16"/>
    </row>
    <row r="98" spans="1:26" ht="15.75" x14ac:dyDescent="0.25">
      <c r="A98" s="12">
        <v>10095</v>
      </c>
      <c r="B98" s="16" t="s">
        <v>184</v>
      </c>
      <c r="C98" t="s">
        <v>45</v>
      </c>
      <c r="D98" s="12">
        <v>95</v>
      </c>
      <c r="E98" s="12">
        <v>1</v>
      </c>
      <c r="F98" s="12">
        <v>95</v>
      </c>
      <c r="G98" s="20">
        <v>30055</v>
      </c>
      <c r="H98" s="20">
        <v>1</v>
      </c>
      <c r="I98" s="20">
        <v>2</v>
      </c>
      <c r="J98" s="20">
        <v>6</v>
      </c>
      <c r="K98" s="20">
        <v>5059325002640</v>
      </c>
      <c r="L98" s="20">
        <v>5059325002640</v>
      </c>
      <c r="M98" s="20">
        <v>5059325002640</v>
      </c>
      <c r="N98" s="20">
        <v>0</v>
      </c>
      <c r="O98" s="20">
        <v>0</v>
      </c>
      <c r="P98" s="20">
        <v>0</v>
      </c>
      <c r="Q98" s="20">
        <v>8.1531349980173196E+25</v>
      </c>
      <c r="R98" s="20">
        <f>[1]Sheet1!Q102</f>
        <v>0</v>
      </c>
      <c r="S98" s="12">
        <v>60</v>
      </c>
      <c r="T98" s="25" t="s">
        <v>185</v>
      </c>
      <c r="U98" s="25"/>
      <c r="V98" s="20"/>
      <c r="W98" s="20"/>
      <c r="X98" s="20"/>
      <c r="Z98" s="16"/>
    </row>
    <row r="99" spans="1:26" ht="15.75" x14ac:dyDescent="0.25">
      <c r="A99" s="12">
        <v>10096</v>
      </c>
      <c r="B99" s="16" t="s">
        <v>186</v>
      </c>
      <c r="C99" t="s">
        <v>45</v>
      </c>
      <c r="D99" s="12">
        <v>96</v>
      </c>
      <c r="E99" s="12">
        <v>1</v>
      </c>
      <c r="F99" s="12">
        <v>96</v>
      </c>
      <c r="G99" s="20">
        <v>30105</v>
      </c>
      <c r="H99" s="20">
        <v>3</v>
      </c>
      <c r="I99" s="20">
        <v>2</v>
      </c>
      <c r="J99" s="20">
        <v>6</v>
      </c>
      <c r="K99" s="20">
        <v>5268705194615</v>
      </c>
      <c r="L99" s="20">
        <v>5268705194615</v>
      </c>
      <c r="M99" s="20">
        <v>5268705194615</v>
      </c>
      <c r="N99" s="20">
        <v>0</v>
      </c>
      <c r="O99" s="20">
        <v>0</v>
      </c>
      <c r="P99" s="20">
        <v>0</v>
      </c>
      <c r="Q99" s="20">
        <v>9.4021305615157502E+25</v>
      </c>
      <c r="R99" s="20">
        <f>[1]Sheet1!Q103</f>
        <v>0</v>
      </c>
      <c r="S99" s="12">
        <v>60</v>
      </c>
      <c r="T99" s="25" t="s">
        <v>185</v>
      </c>
      <c r="U99" s="25"/>
      <c r="V99" s="20"/>
      <c r="W99" s="20"/>
      <c r="X99" s="20"/>
      <c r="Z99" s="16"/>
    </row>
    <row r="100" spans="1:26" ht="15.75" x14ac:dyDescent="0.25">
      <c r="A100" s="12">
        <v>10097</v>
      </c>
      <c r="B100" s="16" t="s">
        <v>187</v>
      </c>
      <c r="C100" t="s">
        <v>45</v>
      </c>
      <c r="D100" s="12">
        <v>97</v>
      </c>
      <c r="E100" s="12">
        <v>1</v>
      </c>
      <c r="F100" s="12">
        <v>97</v>
      </c>
      <c r="G100" s="20">
        <v>30155</v>
      </c>
      <c r="H100" s="20">
        <v>2</v>
      </c>
      <c r="I100" s="20">
        <v>2</v>
      </c>
      <c r="J100" s="20">
        <v>6</v>
      </c>
      <c r="K100" s="20">
        <v>5585255444475</v>
      </c>
      <c r="L100" s="20">
        <v>5585255444475</v>
      </c>
      <c r="M100" s="20">
        <v>5585255444475</v>
      </c>
      <c r="N100" s="20">
        <v>0</v>
      </c>
      <c r="O100" s="20">
        <v>0</v>
      </c>
      <c r="P100" s="20">
        <v>0</v>
      </c>
      <c r="Q100" s="20">
        <v>1.15686189664004E+26</v>
      </c>
      <c r="R100" s="20">
        <f>[1]Sheet1!Q104</f>
        <v>0</v>
      </c>
      <c r="S100" s="12">
        <v>60</v>
      </c>
      <c r="T100" s="25" t="s">
        <v>188</v>
      </c>
      <c r="U100" s="25"/>
      <c r="V100" s="20"/>
      <c r="W100" s="20"/>
      <c r="X100" s="20"/>
      <c r="Z100" s="16"/>
    </row>
    <row r="101" spans="1:26" ht="15.75" x14ac:dyDescent="0.25">
      <c r="A101" s="12">
        <v>10098</v>
      </c>
      <c r="B101" s="16" t="s">
        <v>189</v>
      </c>
      <c r="C101" t="s">
        <v>45</v>
      </c>
      <c r="D101" s="12">
        <v>98</v>
      </c>
      <c r="E101" s="12">
        <v>1</v>
      </c>
      <c r="F101" s="12">
        <v>98</v>
      </c>
      <c r="G101" s="20">
        <v>30205</v>
      </c>
      <c r="H101" s="20">
        <v>1</v>
      </c>
      <c r="I101" s="20">
        <v>2</v>
      </c>
      <c r="J101" s="20">
        <v>6</v>
      </c>
      <c r="K101" s="20">
        <v>5811142901955</v>
      </c>
      <c r="L101" s="20">
        <v>5811142901955</v>
      </c>
      <c r="M101" s="20">
        <v>5811142901955</v>
      </c>
      <c r="N101" s="20">
        <v>0</v>
      </c>
      <c r="O101" s="20">
        <v>0</v>
      </c>
      <c r="P101" s="20">
        <v>0</v>
      </c>
      <c r="Q101" s="20">
        <v>1.3301125377336599E+26</v>
      </c>
      <c r="R101" s="20">
        <f>[1]Sheet1!Q105</f>
        <v>0</v>
      </c>
      <c r="S101" s="12">
        <v>60</v>
      </c>
      <c r="T101" s="25" t="s">
        <v>188</v>
      </c>
      <c r="U101" s="25"/>
      <c r="V101" s="20"/>
      <c r="W101" s="20"/>
      <c r="X101" s="20"/>
      <c r="Z101" s="16"/>
    </row>
    <row r="102" spans="1:26" ht="15.75" x14ac:dyDescent="0.25">
      <c r="A102" s="12">
        <v>10099</v>
      </c>
      <c r="B102" s="16" t="s">
        <v>190</v>
      </c>
      <c r="C102" t="s">
        <v>45</v>
      </c>
      <c r="D102" s="12">
        <v>99</v>
      </c>
      <c r="E102" s="12">
        <v>1</v>
      </c>
      <c r="F102" s="12">
        <v>99</v>
      </c>
      <c r="G102" s="20">
        <v>40055</v>
      </c>
      <c r="H102" s="20">
        <v>3</v>
      </c>
      <c r="I102" s="20">
        <v>2</v>
      </c>
      <c r="J102" s="20">
        <v>6</v>
      </c>
      <c r="K102" s="20">
        <v>6094929519090</v>
      </c>
      <c r="L102" s="20">
        <v>6094929519090</v>
      </c>
      <c r="M102" s="20">
        <v>6094929519090</v>
      </c>
      <c r="N102" s="20">
        <v>0</v>
      </c>
      <c r="O102" s="20">
        <v>0</v>
      </c>
      <c r="P102" s="20">
        <v>0</v>
      </c>
      <c r="Q102" s="20">
        <v>1.55266789907417E+26</v>
      </c>
      <c r="R102" s="20">
        <f>[1]Sheet1!Q106</f>
        <v>0</v>
      </c>
      <c r="S102" s="12">
        <v>60</v>
      </c>
      <c r="T102" s="25" t="s">
        <v>191</v>
      </c>
      <c r="U102" s="25"/>
      <c r="V102" s="20"/>
      <c r="W102" s="20"/>
      <c r="X102" s="20"/>
      <c r="Z102" s="16"/>
    </row>
    <row r="103" spans="1:26" ht="15.75" x14ac:dyDescent="0.25">
      <c r="A103" s="12">
        <v>10100</v>
      </c>
      <c r="B103" s="16" t="s">
        <v>192</v>
      </c>
      <c r="C103" t="s">
        <v>45</v>
      </c>
      <c r="D103" s="12">
        <v>100</v>
      </c>
      <c r="E103" s="12">
        <v>1</v>
      </c>
      <c r="F103" s="12">
        <v>100</v>
      </c>
      <c r="G103" s="20">
        <v>40105</v>
      </c>
      <c r="H103" s="20">
        <v>2</v>
      </c>
      <c r="I103" s="20">
        <v>2</v>
      </c>
      <c r="J103" s="20">
        <v>6</v>
      </c>
      <c r="K103" s="20">
        <v>6336616535085</v>
      </c>
      <c r="L103" s="20">
        <v>6336616535085</v>
      </c>
      <c r="M103" s="20">
        <v>6336616535085</v>
      </c>
      <c r="N103" s="20">
        <v>0</v>
      </c>
      <c r="O103" s="20">
        <v>0</v>
      </c>
      <c r="P103" s="20">
        <v>0</v>
      </c>
      <c r="Q103" s="20">
        <v>1.7814326725985201E+26</v>
      </c>
      <c r="R103" s="20">
        <f>[1]Sheet1!Q107</f>
        <v>0</v>
      </c>
      <c r="S103" s="12">
        <v>60</v>
      </c>
      <c r="T103" s="25" t="s">
        <v>191</v>
      </c>
      <c r="U103" s="25"/>
      <c r="V103" s="20"/>
      <c r="W103" s="20"/>
      <c r="X103" s="20"/>
      <c r="Z103" s="16"/>
    </row>
    <row r="104" spans="1:26" ht="15.75" x14ac:dyDescent="0.25">
      <c r="A104" s="12">
        <v>10101</v>
      </c>
      <c r="B104" s="16" t="s">
        <v>193</v>
      </c>
      <c r="C104" t="s">
        <v>45</v>
      </c>
      <c r="D104" s="12">
        <v>101</v>
      </c>
      <c r="E104" s="12">
        <v>1</v>
      </c>
      <c r="F104" s="12">
        <v>101</v>
      </c>
      <c r="G104" s="20">
        <v>40155</v>
      </c>
      <c r="H104" s="20">
        <v>1</v>
      </c>
      <c r="I104" s="20">
        <v>2</v>
      </c>
      <c r="J104" s="20">
        <v>6</v>
      </c>
      <c r="K104" s="20">
        <v>7020838380415</v>
      </c>
      <c r="L104" s="20">
        <v>7020838380415</v>
      </c>
      <c r="M104" s="20">
        <v>7020838380415</v>
      </c>
      <c r="N104" s="20">
        <v>0</v>
      </c>
      <c r="O104" s="20">
        <v>0</v>
      </c>
      <c r="P104" s="20">
        <v>0</v>
      </c>
      <c r="Q104" s="20">
        <v>2.0920534762014999E+26</v>
      </c>
      <c r="R104" s="20">
        <f>[1]Sheet1!Q108</f>
        <v>0</v>
      </c>
      <c r="S104" s="12">
        <v>60</v>
      </c>
      <c r="T104" s="25" t="s">
        <v>194</v>
      </c>
      <c r="U104" s="25"/>
      <c r="V104" s="20"/>
      <c r="W104" s="20"/>
      <c r="X104" s="20"/>
      <c r="Z104" s="16"/>
    </row>
    <row r="105" spans="1:26" ht="15.75" x14ac:dyDescent="0.25">
      <c r="A105" s="12">
        <v>10102</v>
      </c>
      <c r="B105" s="16" t="s">
        <v>195</v>
      </c>
      <c r="C105" t="s">
        <v>45</v>
      </c>
      <c r="D105" s="12">
        <v>102</v>
      </c>
      <c r="E105" s="12">
        <v>1</v>
      </c>
      <c r="F105" s="12">
        <v>102</v>
      </c>
      <c r="G105" s="20">
        <v>40205</v>
      </c>
      <c r="H105" s="20">
        <v>3</v>
      </c>
      <c r="I105" s="20">
        <v>2</v>
      </c>
      <c r="J105" s="20">
        <v>6</v>
      </c>
      <c r="K105" s="20">
        <v>7287240847470</v>
      </c>
      <c r="L105" s="20">
        <v>7287240847470</v>
      </c>
      <c r="M105" s="20">
        <v>7287240847470</v>
      </c>
      <c r="N105" s="20">
        <v>0</v>
      </c>
      <c r="O105" s="20">
        <v>0</v>
      </c>
      <c r="P105" s="20">
        <v>0</v>
      </c>
      <c r="Q105" s="20">
        <v>2.3720052308028801E+26</v>
      </c>
      <c r="R105" s="20">
        <f>[1]Sheet1!Q109</f>
        <v>0</v>
      </c>
      <c r="S105" s="12">
        <v>60</v>
      </c>
      <c r="T105" s="25" t="s">
        <v>194</v>
      </c>
      <c r="U105" s="25"/>
      <c r="V105" s="20"/>
      <c r="W105" s="20"/>
      <c r="X105" s="20"/>
      <c r="Z105" s="16"/>
    </row>
    <row r="106" spans="1:26" ht="15.75" x14ac:dyDescent="0.25">
      <c r="A106" s="12">
        <v>10103</v>
      </c>
      <c r="B106" s="16" t="s">
        <v>196</v>
      </c>
      <c r="C106" t="s">
        <v>45</v>
      </c>
      <c r="D106" s="12">
        <v>103</v>
      </c>
      <c r="E106" s="12">
        <v>1</v>
      </c>
      <c r="F106" s="12">
        <v>103</v>
      </c>
      <c r="G106" s="20">
        <v>50055</v>
      </c>
      <c r="H106" s="20">
        <v>2</v>
      </c>
      <c r="I106" s="20">
        <v>2</v>
      </c>
      <c r="J106" s="20">
        <v>6</v>
      </c>
      <c r="K106" s="20">
        <v>5799404485480</v>
      </c>
      <c r="L106" s="20">
        <v>5799404485480</v>
      </c>
      <c r="M106" s="20">
        <v>5799404485480</v>
      </c>
      <c r="N106" s="20">
        <v>0</v>
      </c>
      <c r="O106" s="20">
        <v>0</v>
      </c>
      <c r="P106" s="20">
        <v>0</v>
      </c>
      <c r="Q106" s="20">
        <v>2.7227144073533001E+26</v>
      </c>
      <c r="R106" s="20">
        <f>[1]Sheet1!Q110</f>
        <v>0</v>
      </c>
      <c r="S106" s="12">
        <v>60</v>
      </c>
      <c r="T106" s="25" t="s">
        <v>197</v>
      </c>
      <c r="U106" s="25"/>
      <c r="V106" s="20"/>
      <c r="W106" s="20"/>
      <c r="X106" s="20"/>
      <c r="Z106" s="16"/>
    </row>
    <row r="107" spans="1:26" ht="15.75" x14ac:dyDescent="0.25">
      <c r="A107" s="12">
        <v>10104</v>
      </c>
      <c r="B107" s="16" t="s">
        <v>198</v>
      </c>
      <c r="C107" t="s">
        <v>45</v>
      </c>
      <c r="D107" s="12">
        <v>104</v>
      </c>
      <c r="E107" s="12">
        <v>1</v>
      </c>
      <c r="F107" s="12">
        <v>104</v>
      </c>
      <c r="G107" s="20">
        <v>10045</v>
      </c>
      <c r="H107" s="20">
        <v>1</v>
      </c>
      <c r="I107" s="20">
        <v>2</v>
      </c>
      <c r="J107" s="20">
        <v>6</v>
      </c>
      <c r="K107" s="20">
        <v>6018885713370</v>
      </c>
      <c r="L107" s="20">
        <v>6018885713370</v>
      </c>
      <c r="M107" s="20">
        <v>6018885713370</v>
      </c>
      <c r="N107" s="20">
        <v>0</v>
      </c>
      <c r="O107" s="20">
        <v>0</v>
      </c>
      <c r="P107" s="20">
        <v>0</v>
      </c>
      <c r="Q107" s="20">
        <v>3.0813781349454499E+26</v>
      </c>
      <c r="R107" s="20">
        <f>[1]Sheet1!Q111</f>
        <v>0</v>
      </c>
      <c r="S107" s="12">
        <v>60</v>
      </c>
      <c r="T107" s="25" t="s">
        <v>197</v>
      </c>
      <c r="U107" s="25"/>
      <c r="V107" s="20"/>
      <c r="W107" s="20"/>
      <c r="X107" s="20"/>
      <c r="Z107" s="16"/>
    </row>
    <row r="108" spans="1:26" ht="15.75" x14ac:dyDescent="0.25">
      <c r="A108" s="12">
        <v>10105</v>
      </c>
      <c r="B108" s="16" t="s">
        <v>199</v>
      </c>
      <c r="C108" t="s">
        <v>45</v>
      </c>
      <c r="D108" s="12">
        <v>105</v>
      </c>
      <c r="E108" s="12">
        <v>1</v>
      </c>
      <c r="F108" s="12">
        <v>105</v>
      </c>
      <c r="G108" s="20">
        <v>10095</v>
      </c>
      <c r="H108" s="20">
        <v>3</v>
      </c>
      <c r="I108" s="20">
        <v>2</v>
      </c>
      <c r="J108" s="20">
        <v>6</v>
      </c>
      <c r="K108" s="20">
        <v>6341101143930</v>
      </c>
      <c r="L108" s="20">
        <v>6341101143930</v>
      </c>
      <c r="M108" s="20">
        <v>6341101143930</v>
      </c>
      <c r="N108" s="20">
        <v>0</v>
      </c>
      <c r="O108" s="20">
        <v>0</v>
      </c>
      <c r="P108" s="20">
        <v>0</v>
      </c>
      <c r="Q108" s="20">
        <v>3.7276331404618E+26</v>
      </c>
      <c r="R108" s="20">
        <f>[1]Sheet1!Q112</f>
        <v>0</v>
      </c>
      <c r="S108" s="12">
        <v>60</v>
      </c>
      <c r="T108" s="25" t="s">
        <v>200</v>
      </c>
      <c r="U108" s="25"/>
      <c r="V108" s="20"/>
      <c r="W108" s="20"/>
      <c r="X108" s="20"/>
      <c r="Z108" s="16"/>
    </row>
    <row r="109" spans="1:26" ht="15.75" x14ac:dyDescent="0.25">
      <c r="A109" s="12">
        <v>10106</v>
      </c>
      <c r="B109" s="16" t="s">
        <v>201</v>
      </c>
      <c r="C109" t="s">
        <v>45</v>
      </c>
      <c r="D109" s="12">
        <v>106</v>
      </c>
      <c r="E109" s="12">
        <v>1</v>
      </c>
      <c r="F109" s="12">
        <v>106</v>
      </c>
      <c r="G109" s="20">
        <v>10145</v>
      </c>
      <c r="H109" s="20">
        <v>2</v>
      </c>
      <c r="I109" s="20">
        <v>2</v>
      </c>
      <c r="J109" s="20">
        <v>6</v>
      </c>
      <c r="K109" s="20">
        <v>6576408858185</v>
      </c>
      <c r="L109" s="20">
        <v>6576408858185</v>
      </c>
      <c r="M109" s="20">
        <v>6576408858185</v>
      </c>
      <c r="N109" s="20">
        <v>0</v>
      </c>
      <c r="O109" s="20">
        <v>0</v>
      </c>
      <c r="P109" s="20">
        <v>0</v>
      </c>
      <c r="Q109" s="20">
        <v>4.20841642240028E+26</v>
      </c>
      <c r="R109" s="20">
        <f>[1]Sheet1!Q113</f>
        <v>0</v>
      </c>
      <c r="S109" s="12">
        <v>60</v>
      </c>
      <c r="T109" s="25" t="s">
        <v>200</v>
      </c>
      <c r="U109" s="25"/>
      <c r="V109" s="20"/>
      <c r="W109" s="20"/>
      <c r="X109" s="20"/>
      <c r="Z109" s="16"/>
    </row>
    <row r="110" spans="1:26" ht="15.75" x14ac:dyDescent="0.25">
      <c r="A110" s="12">
        <v>10107</v>
      </c>
      <c r="B110" s="16" t="s">
        <v>202</v>
      </c>
      <c r="C110" t="s">
        <v>45</v>
      </c>
      <c r="D110" s="12">
        <v>107</v>
      </c>
      <c r="E110" s="12">
        <v>1</v>
      </c>
      <c r="F110" s="12">
        <v>107</v>
      </c>
      <c r="G110" s="20">
        <v>10195</v>
      </c>
      <c r="H110" s="20">
        <v>1</v>
      </c>
      <c r="I110" s="20">
        <v>2</v>
      </c>
      <c r="J110" s="20">
        <v>6</v>
      </c>
      <c r="K110" s="20">
        <v>6840833275900</v>
      </c>
      <c r="L110" s="20">
        <v>6840833275900</v>
      </c>
      <c r="M110" s="20">
        <v>6840833275900</v>
      </c>
      <c r="N110" s="20">
        <v>0</v>
      </c>
      <c r="O110" s="20">
        <v>0</v>
      </c>
      <c r="P110" s="20">
        <v>0</v>
      </c>
      <c r="Q110" s="20">
        <v>4.8083041634106298E+26</v>
      </c>
      <c r="R110" s="20">
        <f>[1]Sheet1!Q114</f>
        <v>0</v>
      </c>
      <c r="S110" s="12">
        <v>60</v>
      </c>
      <c r="T110" s="25" t="s">
        <v>203</v>
      </c>
      <c r="U110" s="25"/>
      <c r="V110" s="20"/>
      <c r="W110" s="20"/>
      <c r="X110" s="20"/>
      <c r="Z110" s="16"/>
    </row>
    <row r="111" spans="1:26" ht="15.75" x14ac:dyDescent="0.25">
      <c r="A111" s="12">
        <v>10108</v>
      </c>
      <c r="B111" s="16" t="s">
        <v>204</v>
      </c>
      <c r="C111" t="s">
        <v>45</v>
      </c>
      <c r="D111" s="12">
        <v>108</v>
      </c>
      <c r="E111" s="12">
        <v>1</v>
      </c>
      <c r="F111" s="12">
        <v>108</v>
      </c>
      <c r="G111" s="20">
        <v>20045</v>
      </c>
      <c r="H111" s="20">
        <v>3</v>
      </c>
      <c r="I111" s="20">
        <v>2</v>
      </c>
      <c r="J111" s="20">
        <v>6</v>
      </c>
      <c r="K111" s="20">
        <v>7090857446025</v>
      </c>
      <c r="L111" s="20">
        <v>7090857446025</v>
      </c>
      <c r="M111" s="20">
        <v>7090857446025</v>
      </c>
      <c r="N111" s="20">
        <v>0</v>
      </c>
      <c r="O111" s="20">
        <v>0</v>
      </c>
      <c r="P111" s="20">
        <v>0</v>
      </c>
      <c r="Q111" s="20">
        <v>5.4199435353420198E+26</v>
      </c>
      <c r="R111" s="20">
        <f>[1]Sheet1!Q115</f>
        <v>0</v>
      </c>
      <c r="S111" s="12">
        <v>60</v>
      </c>
      <c r="T111" s="25" t="s">
        <v>203</v>
      </c>
      <c r="U111" s="25"/>
      <c r="V111" s="20"/>
      <c r="W111" s="20"/>
      <c r="X111" s="20"/>
      <c r="Z111" s="16"/>
    </row>
    <row r="112" spans="1:26" ht="15.75" x14ac:dyDescent="0.25">
      <c r="A112" s="12">
        <v>10109</v>
      </c>
      <c r="B112" s="16" t="s">
        <v>205</v>
      </c>
      <c r="C112" t="s">
        <v>45</v>
      </c>
      <c r="D112" s="12">
        <v>109</v>
      </c>
      <c r="E112" s="12">
        <v>1</v>
      </c>
      <c r="F112" s="12">
        <v>109</v>
      </c>
      <c r="G112" s="20">
        <v>20095</v>
      </c>
      <c r="H112" s="20">
        <v>2</v>
      </c>
      <c r="I112" s="20">
        <v>2</v>
      </c>
      <c r="J112" s="20">
        <v>6</v>
      </c>
      <c r="K112" s="20">
        <v>7372649905835</v>
      </c>
      <c r="L112" s="20">
        <v>7372649905835</v>
      </c>
      <c r="M112" s="20">
        <v>7372649905835</v>
      </c>
      <c r="N112" s="20">
        <v>0</v>
      </c>
      <c r="O112" s="20">
        <v>0</v>
      </c>
      <c r="P112" s="20">
        <v>0</v>
      </c>
      <c r="Q112" s="20">
        <v>6.1817460828511497E+26</v>
      </c>
      <c r="R112" s="20">
        <f>[1]Sheet1!Q116</f>
        <v>0</v>
      </c>
      <c r="S112" s="12">
        <v>60</v>
      </c>
      <c r="T112" s="25" t="s">
        <v>206</v>
      </c>
      <c r="U112" s="25"/>
      <c r="V112" s="20"/>
      <c r="W112" s="20"/>
      <c r="X112" s="20"/>
      <c r="Z112" s="16"/>
    </row>
    <row r="113" spans="1:26" ht="15.75" x14ac:dyDescent="0.25">
      <c r="A113" s="12">
        <v>10110</v>
      </c>
      <c r="B113" s="16" t="s">
        <v>207</v>
      </c>
      <c r="C113" t="s">
        <v>45</v>
      </c>
      <c r="D113" s="12">
        <v>110</v>
      </c>
      <c r="E113" s="12">
        <v>1</v>
      </c>
      <c r="F113" s="12">
        <v>110</v>
      </c>
      <c r="G113" s="20">
        <v>20145</v>
      </c>
      <c r="H113" s="20">
        <v>1</v>
      </c>
      <c r="I113" s="20">
        <v>2</v>
      </c>
      <c r="J113" s="20">
        <v>6</v>
      </c>
      <c r="K113" s="20">
        <v>7639048870225</v>
      </c>
      <c r="L113" s="20">
        <v>7639048870225</v>
      </c>
      <c r="M113" s="20">
        <v>7639048870225</v>
      </c>
      <c r="N113" s="20">
        <v>0</v>
      </c>
      <c r="O113" s="20">
        <v>0</v>
      </c>
      <c r="P113" s="20">
        <v>0</v>
      </c>
      <c r="Q113" s="20">
        <v>6.9583585996201498E+26</v>
      </c>
      <c r="R113" s="20">
        <f>[1]Sheet1!Q117</f>
        <v>0</v>
      </c>
      <c r="S113" s="12">
        <v>60</v>
      </c>
      <c r="T113" s="25" t="s">
        <v>206</v>
      </c>
      <c r="U113" s="25"/>
      <c r="V113" s="20"/>
      <c r="W113" s="20"/>
      <c r="X113" s="20"/>
      <c r="Z113" s="16"/>
    </row>
    <row r="114" spans="1:26" ht="15.75" x14ac:dyDescent="0.25">
      <c r="A114" s="12">
        <v>10111</v>
      </c>
      <c r="B114" s="16" t="s">
        <v>208</v>
      </c>
      <c r="C114" t="s">
        <v>45</v>
      </c>
      <c r="D114" s="12">
        <v>111</v>
      </c>
      <c r="E114" s="12">
        <v>1</v>
      </c>
      <c r="F114" s="12">
        <v>111</v>
      </c>
      <c r="G114" s="20">
        <v>20195</v>
      </c>
      <c r="H114" s="20">
        <v>3</v>
      </c>
      <c r="I114" s="20">
        <v>2</v>
      </c>
      <c r="J114" s="20">
        <v>6</v>
      </c>
      <c r="K114" s="20">
        <v>7938387725105</v>
      </c>
      <c r="L114" s="20">
        <v>7938387725105</v>
      </c>
      <c r="M114" s="20">
        <v>7938387725105</v>
      </c>
      <c r="N114" s="20">
        <v>0</v>
      </c>
      <c r="O114" s="20">
        <v>0</v>
      </c>
      <c r="P114" s="20">
        <v>0</v>
      </c>
      <c r="Q114" s="20">
        <v>7.9233775288308293E+26</v>
      </c>
      <c r="R114" s="20">
        <f>[1]Sheet1!Q118</f>
        <v>0</v>
      </c>
      <c r="S114" s="12">
        <v>60</v>
      </c>
      <c r="T114" s="25" t="s">
        <v>209</v>
      </c>
      <c r="U114" s="25"/>
      <c r="V114" s="20"/>
      <c r="W114" s="20"/>
      <c r="X114" s="20"/>
      <c r="Z114" s="16"/>
    </row>
    <row r="115" spans="1:26" ht="15.75" x14ac:dyDescent="0.25">
      <c r="A115" s="12">
        <v>10112</v>
      </c>
      <c r="B115" s="16" t="s">
        <v>210</v>
      </c>
      <c r="C115" t="s">
        <v>45</v>
      </c>
      <c r="D115" s="12">
        <v>112</v>
      </c>
      <c r="E115" s="12">
        <v>1</v>
      </c>
      <c r="F115" s="12">
        <v>112</v>
      </c>
      <c r="G115" s="20">
        <v>30045</v>
      </c>
      <c r="H115" s="20">
        <v>2</v>
      </c>
      <c r="I115" s="20">
        <v>2</v>
      </c>
      <c r="J115" s="20">
        <v>6</v>
      </c>
      <c r="K115" s="20">
        <v>8221225274630</v>
      </c>
      <c r="L115" s="20">
        <v>8221225274630</v>
      </c>
      <c r="M115" s="20">
        <v>8221225274630</v>
      </c>
      <c r="N115" s="20">
        <v>0</v>
      </c>
      <c r="O115" s="20">
        <v>0</v>
      </c>
      <c r="P115" s="20">
        <v>0</v>
      </c>
      <c r="Q115" s="20">
        <v>8.9057893979743705E+26</v>
      </c>
      <c r="R115" s="20">
        <f>[1]Sheet1!Q119</f>
        <v>0</v>
      </c>
      <c r="S115" s="12">
        <v>60</v>
      </c>
      <c r="T115" s="25" t="s">
        <v>209</v>
      </c>
      <c r="U115" s="25"/>
      <c r="V115" s="20"/>
      <c r="W115" s="20"/>
      <c r="X115" s="20"/>
      <c r="Z115" s="16"/>
    </row>
    <row r="116" spans="1:26" ht="15.75" x14ac:dyDescent="0.25">
      <c r="A116" s="12">
        <v>10113</v>
      </c>
      <c r="B116" s="16" t="s">
        <v>211</v>
      </c>
      <c r="C116" t="s">
        <v>45</v>
      </c>
      <c r="D116" s="12">
        <v>113</v>
      </c>
      <c r="E116" s="12">
        <v>1</v>
      </c>
      <c r="F116" s="12">
        <v>113</v>
      </c>
      <c r="G116" s="20">
        <v>30095</v>
      </c>
      <c r="H116" s="20">
        <v>1</v>
      </c>
      <c r="I116" s="20">
        <v>2</v>
      </c>
      <c r="J116" s="20">
        <v>6</v>
      </c>
      <c r="K116" s="20">
        <v>8679849646845</v>
      </c>
      <c r="L116" s="20">
        <v>8679849646845</v>
      </c>
      <c r="M116" s="20">
        <v>8679849646845</v>
      </c>
      <c r="N116" s="20">
        <v>0</v>
      </c>
      <c r="O116" s="20">
        <v>0</v>
      </c>
      <c r="P116" s="20">
        <v>0</v>
      </c>
      <c r="Q116" s="20">
        <v>1.2088356875739901E+27</v>
      </c>
      <c r="R116" s="20">
        <f>[1]Sheet1!Q120</f>
        <v>0</v>
      </c>
      <c r="S116" s="12">
        <v>60</v>
      </c>
      <c r="T116" s="25" t="s">
        <v>212</v>
      </c>
      <c r="U116" s="25"/>
      <c r="V116" s="20"/>
      <c r="W116" s="20"/>
      <c r="X116" s="20"/>
      <c r="Z116" s="16"/>
    </row>
    <row r="117" spans="1:26" ht="15.75" x14ac:dyDescent="0.25">
      <c r="A117" s="12">
        <v>10114</v>
      </c>
      <c r="B117" s="16" t="s">
        <v>213</v>
      </c>
      <c r="C117" t="s">
        <v>45</v>
      </c>
      <c r="D117" s="12">
        <v>114</v>
      </c>
      <c r="E117" s="12">
        <v>1</v>
      </c>
      <c r="F117" s="12">
        <v>114</v>
      </c>
      <c r="G117" s="20">
        <v>30145</v>
      </c>
      <c r="H117" s="20">
        <v>3</v>
      </c>
      <c r="I117" s="20">
        <v>2</v>
      </c>
      <c r="J117" s="20">
        <v>6</v>
      </c>
      <c r="K117" s="20">
        <v>8995482646770</v>
      </c>
      <c r="L117" s="20">
        <v>8995482646770</v>
      </c>
      <c r="M117" s="20">
        <v>8995482646770</v>
      </c>
      <c r="N117" s="20">
        <v>0</v>
      </c>
      <c r="O117" s="20">
        <v>0</v>
      </c>
      <c r="P117" s="20">
        <v>0</v>
      </c>
      <c r="Q117" s="20">
        <v>1.3568644490080901E+27</v>
      </c>
      <c r="R117" s="20">
        <f>[1]Sheet1!Q121</f>
        <v>0</v>
      </c>
      <c r="S117" s="12">
        <v>60</v>
      </c>
      <c r="T117" s="25" t="s">
        <v>212</v>
      </c>
      <c r="U117" s="25"/>
      <c r="V117" s="20"/>
      <c r="W117" s="20"/>
      <c r="X117" s="20"/>
      <c r="Z117" s="16"/>
    </row>
    <row r="118" spans="1:26" ht="15.75" x14ac:dyDescent="0.25">
      <c r="A118" s="12">
        <v>10115</v>
      </c>
      <c r="B118" s="16" t="s">
        <v>214</v>
      </c>
      <c r="C118" t="s">
        <v>45</v>
      </c>
      <c r="D118" s="12">
        <v>115</v>
      </c>
      <c r="E118" s="12">
        <v>1</v>
      </c>
      <c r="F118" s="12">
        <v>115</v>
      </c>
      <c r="G118" s="20">
        <v>30195</v>
      </c>
      <c r="H118" s="20">
        <v>2</v>
      </c>
      <c r="I118" s="20">
        <v>2</v>
      </c>
      <c r="J118" s="20">
        <v>6</v>
      </c>
      <c r="K118" s="20">
        <v>9349156575210</v>
      </c>
      <c r="L118" s="20">
        <v>9349156575210</v>
      </c>
      <c r="M118" s="20">
        <v>9349156575210</v>
      </c>
      <c r="N118" s="20">
        <v>0</v>
      </c>
      <c r="O118" s="20">
        <v>0</v>
      </c>
      <c r="P118" s="20">
        <v>0</v>
      </c>
      <c r="Q118" s="20">
        <v>1.5400158152349601E+27</v>
      </c>
      <c r="R118" s="20">
        <f>[1]Sheet1!Q122</f>
        <v>0</v>
      </c>
      <c r="S118" s="12">
        <v>60</v>
      </c>
      <c r="T118" s="25" t="s">
        <v>215</v>
      </c>
      <c r="U118" s="25"/>
      <c r="V118" s="20"/>
      <c r="W118" s="20"/>
      <c r="X118" s="20"/>
      <c r="Z118" s="16"/>
    </row>
    <row r="119" spans="1:26" ht="15.75" x14ac:dyDescent="0.25">
      <c r="A119" s="12">
        <v>10116</v>
      </c>
      <c r="B119" s="16" t="s">
        <v>216</v>
      </c>
      <c r="C119" t="s">
        <v>45</v>
      </c>
      <c r="D119" s="12">
        <v>116</v>
      </c>
      <c r="E119" s="12">
        <v>1</v>
      </c>
      <c r="F119" s="12">
        <v>116</v>
      </c>
      <c r="G119" s="20">
        <v>40045</v>
      </c>
      <c r="H119" s="20">
        <v>1</v>
      </c>
      <c r="I119" s="20">
        <v>2</v>
      </c>
      <c r="J119" s="20">
        <v>6</v>
      </c>
      <c r="K119" s="20">
        <v>9684325906050</v>
      </c>
      <c r="L119" s="20">
        <v>9684325906050</v>
      </c>
      <c r="M119" s="20">
        <v>9684325906050</v>
      </c>
      <c r="N119" s="20">
        <v>0</v>
      </c>
      <c r="O119" s="20">
        <v>0</v>
      </c>
      <c r="P119" s="20">
        <v>0</v>
      </c>
      <c r="Q119" s="20">
        <v>1.72641385128131E+27</v>
      </c>
      <c r="R119" s="20">
        <f>[1]Sheet1!Q123</f>
        <v>0</v>
      </c>
      <c r="S119" s="12">
        <v>60</v>
      </c>
      <c r="T119" s="25" t="s">
        <v>215</v>
      </c>
      <c r="U119" s="25"/>
      <c r="V119" s="20"/>
      <c r="W119" s="20"/>
      <c r="X119" s="20"/>
      <c r="Z119" s="16"/>
    </row>
    <row r="120" spans="1:26" ht="15.75" x14ac:dyDescent="0.25">
      <c r="A120" s="12">
        <v>10117</v>
      </c>
      <c r="B120" s="16" t="s">
        <v>217</v>
      </c>
      <c r="C120" t="s">
        <v>45</v>
      </c>
      <c r="D120" s="12">
        <v>117</v>
      </c>
      <c r="E120" s="12">
        <v>1</v>
      </c>
      <c r="F120" s="12">
        <v>117</v>
      </c>
      <c r="G120" s="20">
        <v>40095</v>
      </c>
      <c r="H120" s="20">
        <v>3</v>
      </c>
      <c r="I120" s="20">
        <v>2</v>
      </c>
      <c r="J120" s="20">
        <v>6</v>
      </c>
      <c r="K120" s="20">
        <v>10061017902095</v>
      </c>
      <c r="L120" s="20">
        <v>10061017902095</v>
      </c>
      <c r="M120" s="20">
        <v>10061017902095</v>
      </c>
      <c r="N120" s="20">
        <v>0</v>
      </c>
      <c r="O120" s="20">
        <v>0</v>
      </c>
      <c r="P120" s="20">
        <v>0</v>
      </c>
      <c r="Q120" s="20">
        <v>1.9569867613705499E+27</v>
      </c>
      <c r="R120" s="20">
        <f>[1]Sheet1!Q124</f>
        <v>0</v>
      </c>
      <c r="S120" s="12">
        <v>60</v>
      </c>
      <c r="T120" s="25" t="s">
        <v>218</v>
      </c>
      <c r="U120" s="25"/>
      <c r="V120" s="20"/>
      <c r="W120" s="20"/>
      <c r="X120" s="20"/>
      <c r="Z120" s="16"/>
    </row>
    <row r="121" spans="1:26" ht="15.75" x14ac:dyDescent="0.25">
      <c r="A121" s="12">
        <v>10118</v>
      </c>
      <c r="B121" s="16" t="s">
        <v>219</v>
      </c>
      <c r="C121" t="s">
        <v>45</v>
      </c>
      <c r="D121" s="12">
        <v>118</v>
      </c>
      <c r="E121" s="12">
        <v>1</v>
      </c>
      <c r="F121" s="12">
        <v>118</v>
      </c>
      <c r="G121" s="20">
        <v>40145</v>
      </c>
      <c r="H121" s="20">
        <v>2</v>
      </c>
      <c r="I121" s="20">
        <v>2</v>
      </c>
      <c r="J121" s="20">
        <v>6</v>
      </c>
      <c r="K121" s="20">
        <v>10417853064515</v>
      </c>
      <c r="L121" s="20">
        <v>10417853064515</v>
      </c>
      <c r="M121" s="20">
        <v>10417853064515</v>
      </c>
      <c r="N121" s="20">
        <v>0</v>
      </c>
      <c r="O121" s="20">
        <v>0</v>
      </c>
      <c r="P121" s="20">
        <v>0</v>
      </c>
      <c r="Q121" s="20">
        <v>2.1913428769134401E+27</v>
      </c>
      <c r="R121" s="20">
        <f>[1]Sheet1!Q125</f>
        <v>0</v>
      </c>
      <c r="S121" s="12">
        <v>60</v>
      </c>
      <c r="T121" s="25" t="s">
        <v>218</v>
      </c>
      <c r="U121" s="25"/>
      <c r="V121" s="20"/>
      <c r="W121" s="20"/>
      <c r="X121" s="20"/>
      <c r="Z121" s="16"/>
    </row>
    <row r="122" spans="1:26" ht="15.75" x14ac:dyDescent="0.25">
      <c r="A122" s="12">
        <v>10119</v>
      </c>
      <c r="B122" s="16" t="s">
        <v>220</v>
      </c>
      <c r="C122" t="s">
        <v>45</v>
      </c>
      <c r="D122" s="12">
        <v>119</v>
      </c>
      <c r="E122" s="12">
        <v>1</v>
      </c>
      <c r="F122" s="12">
        <v>119</v>
      </c>
      <c r="G122" s="20">
        <v>40195</v>
      </c>
      <c r="H122" s="20">
        <v>1</v>
      </c>
      <c r="I122" s="20">
        <v>2</v>
      </c>
      <c r="J122" s="20">
        <v>6</v>
      </c>
      <c r="K122" s="20">
        <v>10817881818100</v>
      </c>
      <c r="L122" s="20">
        <v>10817881818100</v>
      </c>
      <c r="M122" s="20">
        <v>10817881818100</v>
      </c>
      <c r="N122" s="20">
        <v>0</v>
      </c>
      <c r="O122" s="20">
        <v>0</v>
      </c>
      <c r="P122" s="20">
        <v>0</v>
      </c>
      <c r="Q122" s="20">
        <v>2.4806156616865397E+27</v>
      </c>
      <c r="R122" s="20">
        <f>[1]Sheet1!Q126</f>
        <v>0</v>
      </c>
      <c r="S122" s="12">
        <v>60</v>
      </c>
      <c r="T122" s="25" t="s">
        <v>221</v>
      </c>
      <c r="U122" s="25"/>
      <c r="V122" s="20"/>
      <c r="W122" s="20"/>
      <c r="X122" s="20"/>
      <c r="Z122" s="16"/>
    </row>
    <row r="123" spans="1:26" ht="15.75" x14ac:dyDescent="0.25">
      <c r="A123" s="12">
        <v>10120</v>
      </c>
      <c r="B123" s="16" t="s">
        <v>222</v>
      </c>
      <c r="C123" t="s">
        <v>45</v>
      </c>
      <c r="D123" s="12">
        <v>120</v>
      </c>
      <c r="E123" s="12">
        <v>1</v>
      </c>
      <c r="F123" s="12">
        <v>120</v>
      </c>
      <c r="G123" s="20">
        <v>50045</v>
      </c>
      <c r="H123" s="20">
        <v>3</v>
      </c>
      <c r="I123" s="20">
        <v>2</v>
      </c>
      <c r="J123" s="20">
        <v>6</v>
      </c>
      <c r="K123" s="20">
        <v>11196545828205</v>
      </c>
      <c r="L123" s="20">
        <v>11196545828205</v>
      </c>
      <c r="M123" s="20">
        <v>11196545828205</v>
      </c>
      <c r="N123" s="20">
        <v>0</v>
      </c>
      <c r="O123" s="20">
        <v>0</v>
      </c>
      <c r="P123" s="20">
        <v>0</v>
      </c>
      <c r="Q123" s="20">
        <v>2.6968238110057798E+27</v>
      </c>
      <c r="R123" s="20">
        <f>[1]Sheet1!Q127</f>
        <v>0</v>
      </c>
      <c r="S123" s="12">
        <v>60</v>
      </c>
      <c r="T123" s="25" t="s">
        <v>221</v>
      </c>
      <c r="U123" s="25"/>
      <c r="V123" s="20"/>
      <c r="W123" s="20"/>
      <c r="X123" s="20"/>
      <c r="Z123" s="16"/>
    </row>
    <row r="124" spans="1:26" ht="15.75" x14ac:dyDescent="0.25">
      <c r="A124" s="12">
        <f t="shared" ref="A124:A187" si="0">A4+10000</f>
        <v>20001</v>
      </c>
      <c r="B124" s="16" t="s">
        <v>223</v>
      </c>
      <c r="C124" s="1" t="s">
        <v>224</v>
      </c>
      <c r="D124" s="12">
        <v>1</v>
      </c>
      <c r="E124" s="12">
        <v>2</v>
      </c>
      <c r="F124" s="12">
        <v>1</v>
      </c>
      <c r="G124" s="20">
        <v>10055</v>
      </c>
      <c r="H124" s="20">
        <v>2</v>
      </c>
      <c r="I124" s="20">
        <f>I4</f>
        <v>0</v>
      </c>
      <c r="J124" s="20">
        <f t="shared" ref="J124:Q124" si="1">J4</f>
        <v>4</v>
      </c>
      <c r="K124" s="20">
        <f t="shared" si="1"/>
        <v>2125</v>
      </c>
      <c r="L124" s="20">
        <f t="shared" si="1"/>
        <v>2125</v>
      </c>
      <c r="M124" s="20">
        <f t="shared" si="1"/>
        <v>2125</v>
      </c>
      <c r="N124" s="20">
        <f t="shared" si="1"/>
        <v>0</v>
      </c>
      <c r="O124" s="20">
        <f t="shared" si="1"/>
        <v>0</v>
      </c>
      <c r="P124" s="20">
        <f t="shared" si="1"/>
        <v>0</v>
      </c>
      <c r="Q124" s="20">
        <f t="shared" si="1"/>
        <v>18975</v>
      </c>
      <c r="R124" s="20">
        <v>0</v>
      </c>
      <c r="S124" s="12">
        <v>60</v>
      </c>
      <c r="T124" t="s">
        <v>225</v>
      </c>
      <c r="U124" s="26"/>
      <c r="V124" s="20"/>
      <c r="W124" s="20"/>
      <c r="X124" s="20"/>
    </row>
    <row r="125" spans="1:26" ht="15.75" x14ac:dyDescent="0.25">
      <c r="A125" s="12">
        <f t="shared" si="0"/>
        <v>20002</v>
      </c>
      <c r="B125" s="16" t="s">
        <v>226</v>
      </c>
      <c r="C125" s="1" t="s">
        <v>224</v>
      </c>
      <c r="D125" s="12">
        <v>2</v>
      </c>
      <c r="E125" s="12">
        <v>2</v>
      </c>
      <c r="F125" s="12">
        <v>2</v>
      </c>
      <c r="G125" s="20">
        <v>10105</v>
      </c>
      <c r="H125" s="20">
        <v>1</v>
      </c>
      <c r="I125" s="20">
        <f t="shared" ref="I125:Q125" si="2">I5</f>
        <v>0</v>
      </c>
      <c r="J125" s="20">
        <f t="shared" si="2"/>
        <v>4</v>
      </c>
      <c r="K125" s="20">
        <f t="shared" si="2"/>
        <v>21420</v>
      </c>
      <c r="L125" s="20">
        <f t="shared" si="2"/>
        <v>21420</v>
      </c>
      <c r="M125" s="20">
        <f t="shared" si="2"/>
        <v>21420</v>
      </c>
      <c r="N125" s="20">
        <f t="shared" si="2"/>
        <v>0</v>
      </c>
      <c r="O125" s="20">
        <f t="shared" si="2"/>
        <v>0</v>
      </c>
      <c r="P125" s="20">
        <f t="shared" si="2"/>
        <v>0</v>
      </c>
      <c r="Q125" s="20">
        <f t="shared" si="2"/>
        <v>480400</v>
      </c>
      <c r="R125" s="20">
        <v>0</v>
      </c>
      <c r="S125" s="12">
        <v>60</v>
      </c>
      <c r="T125" t="s">
        <v>225</v>
      </c>
      <c r="U125" s="26"/>
      <c r="V125" s="20"/>
      <c r="W125" s="20"/>
      <c r="X125" s="20"/>
    </row>
    <row r="126" spans="1:26" ht="15.75" x14ac:dyDescent="0.25">
      <c r="A126" s="12">
        <f t="shared" si="0"/>
        <v>20003</v>
      </c>
      <c r="B126" s="16" t="s">
        <v>227</v>
      </c>
      <c r="C126" s="1" t="s">
        <v>224</v>
      </c>
      <c r="D126" s="12">
        <v>3</v>
      </c>
      <c r="E126" s="12">
        <v>2</v>
      </c>
      <c r="F126" s="12">
        <v>3</v>
      </c>
      <c r="G126" s="20">
        <v>10155</v>
      </c>
      <c r="H126" s="20">
        <v>3</v>
      </c>
      <c r="I126" s="20">
        <f t="shared" ref="I126:Q126" si="3">I6</f>
        <v>0</v>
      </c>
      <c r="J126" s="20">
        <f t="shared" si="3"/>
        <v>4</v>
      </c>
      <c r="K126" s="20">
        <f t="shared" si="3"/>
        <v>96540</v>
      </c>
      <c r="L126" s="20">
        <f t="shared" si="3"/>
        <v>96540</v>
      </c>
      <c r="M126" s="20">
        <f t="shared" si="3"/>
        <v>96540</v>
      </c>
      <c r="N126" s="20">
        <f t="shared" si="3"/>
        <v>0</v>
      </c>
      <c r="O126" s="20">
        <f t="shared" si="3"/>
        <v>0</v>
      </c>
      <c r="P126" s="20">
        <f t="shared" si="3"/>
        <v>0</v>
      </c>
      <c r="Q126" s="20">
        <f t="shared" si="3"/>
        <v>7033975</v>
      </c>
      <c r="R126" s="20">
        <v>0</v>
      </c>
      <c r="S126" s="12">
        <v>60</v>
      </c>
      <c r="T126" t="s">
        <v>225</v>
      </c>
      <c r="U126" s="26"/>
      <c r="V126" s="20"/>
      <c r="W126" s="20"/>
      <c r="X126" s="20"/>
    </row>
    <row r="127" spans="1:26" ht="15.75" x14ac:dyDescent="0.25">
      <c r="A127" s="12">
        <f t="shared" si="0"/>
        <v>20004</v>
      </c>
      <c r="B127" s="16" t="s">
        <v>228</v>
      </c>
      <c r="C127" s="1" t="s">
        <v>224</v>
      </c>
      <c r="D127" s="12">
        <v>4</v>
      </c>
      <c r="E127" s="12">
        <v>2</v>
      </c>
      <c r="F127" s="12">
        <v>4</v>
      </c>
      <c r="G127" s="20">
        <v>10205</v>
      </c>
      <c r="H127" s="20">
        <v>2</v>
      </c>
      <c r="I127" s="20">
        <f t="shared" ref="I127:Q127" si="4">I7</f>
        <v>0</v>
      </c>
      <c r="J127" s="20">
        <f t="shared" si="4"/>
        <v>4</v>
      </c>
      <c r="K127" s="20">
        <f t="shared" si="4"/>
        <v>208495</v>
      </c>
      <c r="L127" s="20">
        <f t="shared" si="4"/>
        <v>208495</v>
      </c>
      <c r="M127" s="20">
        <f t="shared" si="4"/>
        <v>208495</v>
      </c>
      <c r="N127" s="20">
        <f t="shared" si="4"/>
        <v>0</v>
      </c>
      <c r="O127" s="20">
        <f t="shared" si="4"/>
        <v>0</v>
      </c>
      <c r="P127" s="20">
        <f t="shared" si="4"/>
        <v>0</v>
      </c>
      <c r="Q127" s="20">
        <f t="shared" si="4"/>
        <v>27080900</v>
      </c>
      <c r="R127" s="20">
        <v>0</v>
      </c>
      <c r="S127" s="12">
        <v>60</v>
      </c>
      <c r="T127" t="s">
        <v>225</v>
      </c>
      <c r="U127" s="26"/>
      <c r="V127" s="20"/>
      <c r="W127" s="20"/>
      <c r="X127" s="20"/>
    </row>
    <row r="128" spans="1:26" ht="15.75" x14ac:dyDescent="0.25">
      <c r="A128" s="12">
        <f t="shared" si="0"/>
        <v>20005</v>
      </c>
      <c r="B128" s="16" t="s">
        <v>229</v>
      </c>
      <c r="C128" s="1" t="s">
        <v>224</v>
      </c>
      <c r="D128" s="12">
        <v>5</v>
      </c>
      <c r="E128" s="12">
        <v>2</v>
      </c>
      <c r="F128" s="12">
        <v>5</v>
      </c>
      <c r="G128" s="20">
        <v>20055</v>
      </c>
      <c r="H128" s="20">
        <v>1</v>
      </c>
      <c r="I128" s="20">
        <f t="shared" ref="I128:Q128" si="5">I8</f>
        <v>2</v>
      </c>
      <c r="J128" s="20">
        <f t="shared" si="5"/>
        <v>4</v>
      </c>
      <c r="K128" s="20">
        <f t="shared" si="5"/>
        <v>685670</v>
      </c>
      <c r="L128" s="20">
        <f t="shared" si="5"/>
        <v>685670</v>
      </c>
      <c r="M128" s="20">
        <f t="shared" si="5"/>
        <v>685670</v>
      </c>
      <c r="N128" s="20">
        <f t="shared" si="5"/>
        <v>0</v>
      </c>
      <c r="O128" s="20">
        <f t="shared" si="5"/>
        <v>0</v>
      </c>
      <c r="P128" s="20">
        <f t="shared" si="5"/>
        <v>0</v>
      </c>
      <c r="Q128" s="20">
        <f t="shared" si="5"/>
        <v>495343500</v>
      </c>
      <c r="R128" s="20">
        <v>0</v>
      </c>
      <c r="S128" s="12">
        <v>60</v>
      </c>
      <c r="T128" t="s">
        <v>230</v>
      </c>
      <c r="U128" s="26"/>
      <c r="V128" s="20"/>
      <c r="W128" s="20"/>
      <c r="X128" s="20"/>
    </row>
    <row r="129" spans="1:24" ht="15.75" x14ac:dyDescent="0.25">
      <c r="A129" s="12">
        <f t="shared" si="0"/>
        <v>20006</v>
      </c>
      <c r="B129" s="16" t="s">
        <v>231</v>
      </c>
      <c r="C129" s="1" t="s">
        <v>224</v>
      </c>
      <c r="D129" s="12">
        <v>6</v>
      </c>
      <c r="E129" s="12">
        <v>2</v>
      </c>
      <c r="F129" s="12">
        <v>6</v>
      </c>
      <c r="G129" s="20">
        <v>20105</v>
      </c>
      <c r="H129" s="20">
        <v>3</v>
      </c>
      <c r="I129" s="20">
        <f t="shared" ref="I129:Q129" si="6">I9</f>
        <v>2</v>
      </c>
      <c r="J129" s="20">
        <f t="shared" si="6"/>
        <v>4</v>
      </c>
      <c r="K129" s="20">
        <f t="shared" si="6"/>
        <v>1067940</v>
      </c>
      <c r="L129" s="20">
        <f t="shared" si="6"/>
        <v>1067940</v>
      </c>
      <c r="M129" s="20">
        <f t="shared" si="6"/>
        <v>1067940</v>
      </c>
      <c r="N129" s="20">
        <f t="shared" si="6"/>
        <v>0</v>
      </c>
      <c r="O129" s="20">
        <f t="shared" si="6"/>
        <v>0</v>
      </c>
      <c r="P129" s="20">
        <f t="shared" si="6"/>
        <v>0</v>
      </c>
      <c r="Q129" s="20">
        <f t="shared" si="6"/>
        <v>973025250</v>
      </c>
      <c r="R129" s="20">
        <v>0</v>
      </c>
      <c r="S129" s="12">
        <v>60</v>
      </c>
      <c r="T129" t="s">
        <v>230</v>
      </c>
      <c r="U129" s="26"/>
      <c r="V129" s="20"/>
      <c r="W129" s="20"/>
      <c r="X129" s="20"/>
    </row>
    <row r="130" spans="1:24" ht="15.75" x14ac:dyDescent="0.25">
      <c r="A130" s="12">
        <f t="shared" si="0"/>
        <v>20007</v>
      </c>
      <c r="B130" s="16" t="s">
        <v>232</v>
      </c>
      <c r="C130" s="1" t="s">
        <v>224</v>
      </c>
      <c r="D130" s="12">
        <v>7</v>
      </c>
      <c r="E130" s="12">
        <v>2</v>
      </c>
      <c r="F130" s="12">
        <v>7</v>
      </c>
      <c r="G130" s="20">
        <v>20155</v>
      </c>
      <c r="H130" s="20">
        <v>2</v>
      </c>
      <c r="I130" s="20">
        <f t="shared" ref="I130:Q130" si="7">I10</f>
        <v>2</v>
      </c>
      <c r="J130" s="20">
        <f t="shared" si="7"/>
        <v>4</v>
      </c>
      <c r="K130" s="20">
        <f t="shared" si="7"/>
        <v>1574180</v>
      </c>
      <c r="L130" s="20">
        <f t="shared" si="7"/>
        <v>1574180</v>
      </c>
      <c r="M130" s="20">
        <f t="shared" si="7"/>
        <v>1574180</v>
      </c>
      <c r="N130" s="20">
        <f t="shared" si="7"/>
        <v>0</v>
      </c>
      <c r="O130" s="20">
        <f t="shared" si="7"/>
        <v>0</v>
      </c>
      <c r="P130" s="20">
        <f t="shared" si="7"/>
        <v>0</v>
      </c>
      <c r="Q130" s="20">
        <f t="shared" si="7"/>
        <v>2134528150</v>
      </c>
      <c r="R130" s="20">
        <v>0</v>
      </c>
      <c r="S130" s="12">
        <v>60</v>
      </c>
      <c r="T130" t="s">
        <v>230</v>
      </c>
      <c r="U130" s="26"/>
      <c r="V130" s="20"/>
      <c r="W130" s="20"/>
      <c r="X130" s="20"/>
    </row>
    <row r="131" spans="1:24" ht="15.75" x14ac:dyDescent="0.25">
      <c r="A131" s="12">
        <f t="shared" si="0"/>
        <v>20008</v>
      </c>
      <c r="B131" s="16" t="s">
        <v>233</v>
      </c>
      <c r="C131" s="1" t="s">
        <v>224</v>
      </c>
      <c r="D131" s="12">
        <v>8</v>
      </c>
      <c r="E131" s="12">
        <v>2</v>
      </c>
      <c r="F131" s="12">
        <v>8</v>
      </c>
      <c r="G131" s="20">
        <v>20205</v>
      </c>
      <c r="H131" s="20">
        <v>1</v>
      </c>
      <c r="I131" s="20">
        <f t="shared" ref="I131:Q131" si="8">I11</f>
        <v>2</v>
      </c>
      <c r="J131" s="20">
        <f t="shared" si="8"/>
        <v>4</v>
      </c>
      <c r="K131" s="20">
        <f t="shared" si="8"/>
        <v>2244425</v>
      </c>
      <c r="L131" s="20">
        <f t="shared" si="8"/>
        <v>2244425</v>
      </c>
      <c r="M131" s="20">
        <f t="shared" si="8"/>
        <v>2244425</v>
      </c>
      <c r="N131" s="20">
        <f t="shared" si="8"/>
        <v>0</v>
      </c>
      <c r="O131" s="20">
        <f t="shared" si="8"/>
        <v>0</v>
      </c>
      <c r="P131" s="20">
        <f t="shared" si="8"/>
        <v>0</v>
      </c>
      <c r="Q131" s="20">
        <f t="shared" si="8"/>
        <v>4136039450</v>
      </c>
      <c r="R131" s="20">
        <v>0</v>
      </c>
      <c r="S131" s="12">
        <v>60</v>
      </c>
      <c r="T131" t="s">
        <v>230</v>
      </c>
      <c r="U131" s="26"/>
      <c r="V131" s="20"/>
      <c r="W131" s="20"/>
      <c r="X131" s="20"/>
    </row>
    <row r="132" spans="1:24" ht="15.75" x14ac:dyDescent="0.25">
      <c r="A132" s="12">
        <f t="shared" si="0"/>
        <v>20009</v>
      </c>
      <c r="B132" s="16" t="s">
        <v>234</v>
      </c>
      <c r="C132" s="1" t="s">
        <v>224</v>
      </c>
      <c r="D132" s="12">
        <v>9</v>
      </c>
      <c r="E132" s="12">
        <v>2</v>
      </c>
      <c r="F132" s="12">
        <v>9</v>
      </c>
      <c r="G132" s="20">
        <v>30055</v>
      </c>
      <c r="H132" s="20">
        <v>3</v>
      </c>
      <c r="I132" s="20">
        <f t="shared" ref="I132:Q132" si="9">I12</f>
        <v>2</v>
      </c>
      <c r="J132" s="20">
        <f t="shared" si="9"/>
        <v>4</v>
      </c>
      <c r="K132" s="20">
        <f t="shared" si="9"/>
        <v>7392785</v>
      </c>
      <c r="L132" s="20">
        <f t="shared" si="9"/>
        <v>7392785</v>
      </c>
      <c r="M132" s="20">
        <f t="shared" si="9"/>
        <v>7392785</v>
      </c>
      <c r="N132" s="20">
        <f t="shared" si="9"/>
        <v>0</v>
      </c>
      <c r="O132" s="20">
        <f t="shared" si="9"/>
        <v>0</v>
      </c>
      <c r="P132" s="20">
        <f t="shared" si="9"/>
        <v>0</v>
      </c>
      <c r="Q132" s="20">
        <f t="shared" si="9"/>
        <v>17071043050</v>
      </c>
      <c r="R132" s="20">
        <v>0</v>
      </c>
      <c r="S132" s="12">
        <v>60</v>
      </c>
      <c r="T132" t="s">
        <v>235</v>
      </c>
      <c r="U132" s="26"/>
      <c r="V132" s="20"/>
      <c r="W132" s="20"/>
      <c r="X132" s="20"/>
    </row>
    <row r="133" spans="1:24" ht="15.75" x14ac:dyDescent="0.25">
      <c r="A133" s="12">
        <f t="shared" si="0"/>
        <v>20010</v>
      </c>
      <c r="B133" s="16" t="s">
        <v>236</v>
      </c>
      <c r="C133" s="1" t="s">
        <v>224</v>
      </c>
      <c r="D133" s="12">
        <v>10</v>
      </c>
      <c r="E133" s="12">
        <v>2</v>
      </c>
      <c r="F133" s="12">
        <v>10</v>
      </c>
      <c r="G133" s="20">
        <v>30105</v>
      </c>
      <c r="H133" s="20">
        <v>2</v>
      </c>
      <c r="I133" s="20">
        <f t="shared" ref="I133:Q133" si="10">I13</f>
        <v>2</v>
      </c>
      <c r="J133" s="20">
        <f t="shared" si="10"/>
        <v>4</v>
      </c>
      <c r="K133" s="20">
        <f t="shared" si="10"/>
        <v>9690620</v>
      </c>
      <c r="L133" s="20">
        <f t="shared" si="10"/>
        <v>9690620</v>
      </c>
      <c r="M133" s="20">
        <f t="shared" si="10"/>
        <v>9690620</v>
      </c>
      <c r="N133" s="20">
        <f t="shared" si="10"/>
        <v>0</v>
      </c>
      <c r="O133" s="20">
        <f t="shared" si="10"/>
        <v>0</v>
      </c>
      <c r="P133" s="20">
        <f t="shared" si="10"/>
        <v>0</v>
      </c>
      <c r="Q133" s="20">
        <f t="shared" si="10"/>
        <v>32665383950</v>
      </c>
      <c r="R133" s="20">
        <v>0</v>
      </c>
      <c r="S133" s="12">
        <v>60</v>
      </c>
      <c r="T133" t="s">
        <v>235</v>
      </c>
      <c r="U133" s="26"/>
      <c r="V133" s="20"/>
      <c r="W133" s="20"/>
      <c r="X133" s="20"/>
    </row>
    <row r="134" spans="1:24" ht="15.75" x14ac:dyDescent="0.25">
      <c r="A134" s="12">
        <f t="shared" si="0"/>
        <v>20011</v>
      </c>
      <c r="B134" s="16" t="s">
        <v>237</v>
      </c>
      <c r="C134" s="1" t="s">
        <v>224</v>
      </c>
      <c r="D134" s="12">
        <v>11</v>
      </c>
      <c r="E134" s="12">
        <v>2</v>
      </c>
      <c r="F134" s="12">
        <v>11</v>
      </c>
      <c r="G134" s="20">
        <v>30155</v>
      </c>
      <c r="H134" s="20">
        <v>1</v>
      </c>
      <c r="I134" s="20">
        <f t="shared" ref="I134:Q134" si="11">I14</f>
        <v>2</v>
      </c>
      <c r="J134" s="20">
        <f t="shared" si="11"/>
        <v>4</v>
      </c>
      <c r="K134" s="20">
        <f t="shared" si="11"/>
        <v>12472805</v>
      </c>
      <c r="L134" s="20">
        <f t="shared" si="11"/>
        <v>12472805</v>
      </c>
      <c r="M134" s="20">
        <f t="shared" si="11"/>
        <v>12472805</v>
      </c>
      <c r="N134" s="20">
        <f t="shared" si="11"/>
        <v>0</v>
      </c>
      <c r="O134" s="20">
        <f t="shared" si="11"/>
        <v>0</v>
      </c>
      <c r="P134" s="20">
        <f t="shared" si="11"/>
        <v>0</v>
      </c>
      <c r="Q134" s="20">
        <f t="shared" si="11"/>
        <v>56612113850</v>
      </c>
      <c r="R134" s="20">
        <v>0</v>
      </c>
      <c r="S134" s="12">
        <v>60</v>
      </c>
      <c r="T134" t="s">
        <v>235</v>
      </c>
      <c r="U134" s="26"/>
      <c r="V134" s="20"/>
      <c r="W134" s="20"/>
      <c r="X134" s="20"/>
    </row>
    <row r="135" spans="1:24" ht="15.75" x14ac:dyDescent="0.25">
      <c r="A135" s="12">
        <f t="shared" si="0"/>
        <v>20012</v>
      </c>
      <c r="B135" s="16" t="s">
        <v>238</v>
      </c>
      <c r="C135" s="1" t="s">
        <v>224</v>
      </c>
      <c r="D135" s="12">
        <v>12</v>
      </c>
      <c r="E135" s="12">
        <v>2</v>
      </c>
      <c r="F135" s="12">
        <v>12</v>
      </c>
      <c r="G135" s="20">
        <v>30205</v>
      </c>
      <c r="H135" s="20">
        <v>3</v>
      </c>
      <c r="I135" s="20">
        <f t="shared" ref="I135:Q135" si="12">I15</f>
        <v>2</v>
      </c>
      <c r="J135" s="20">
        <f t="shared" si="12"/>
        <v>4</v>
      </c>
      <c r="K135" s="20">
        <f t="shared" si="12"/>
        <v>15756730</v>
      </c>
      <c r="L135" s="20">
        <f t="shared" si="12"/>
        <v>15756730</v>
      </c>
      <c r="M135" s="20">
        <f t="shared" si="12"/>
        <v>15756730</v>
      </c>
      <c r="N135" s="20">
        <f t="shared" si="12"/>
        <v>0</v>
      </c>
      <c r="O135" s="20">
        <f t="shared" si="12"/>
        <v>0</v>
      </c>
      <c r="P135" s="20">
        <f t="shared" si="12"/>
        <v>0</v>
      </c>
      <c r="Q135" s="20">
        <f t="shared" si="12"/>
        <v>90093679900</v>
      </c>
      <c r="R135" s="20">
        <v>0</v>
      </c>
      <c r="S135" s="12">
        <v>60</v>
      </c>
      <c r="T135" t="s">
        <v>235</v>
      </c>
      <c r="U135" s="26"/>
      <c r="V135" s="20"/>
      <c r="W135" s="20"/>
      <c r="X135" s="20"/>
    </row>
    <row r="136" spans="1:24" ht="15.75" x14ac:dyDescent="0.25">
      <c r="A136" s="12">
        <f t="shared" si="0"/>
        <v>20013</v>
      </c>
      <c r="B136" s="16" t="s">
        <v>239</v>
      </c>
      <c r="C136" s="1" t="s">
        <v>224</v>
      </c>
      <c r="D136" s="12">
        <v>13</v>
      </c>
      <c r="E136" s="12">
        <v>2</v>
      </c>
      <c r="F136" s="12">
        <v>13</v>
      </c>
      <c r="G136" s="20">
        <v>40055</v>
      </c>
      <c r="H136" s="20">
        <v>2</v>
      </c>
      <c r="I136" s="20">
        <f t="shared" ref="I136:Q136" si="13">I16</f>
        <v>2</v>
      </c>
      <c r="J136" s="20">
        <f t="shared" si="13"/>
        <v>4</v>
      </c>
      <c r="K136" s="20">
        <f t="shared" si="13"/>
        <v>19639855</v>
      </c>
      <c r="L136" s="20">
        <f t="shared" si="13"/>
        <v>19639855</v>
      </c>
      <c r="M136" s="20">
        <f t="shared" si="13"/>
        <v>19639855</v>
      </c>
      <c r="N136" s="20">
        <f t="shared" si="13"/>
        <v>0</v>
      </c>
      <c r="O136" s="20">
        <f t="shared" si="13"/>
        <v>0</v>
      </c>
      <c r="P136" s="20">
        <f t="shared" si="13"/>
        <v>0</v>
      </c>
      <c r="Q136" s="20">
        <f t="shared" si="13"/>
        <v>144102587600</v>
      </c>
      <c r="R136" s="20">
        <v>0</v>
      </c>
      <c r="S136" s="12">
        <v>60</v>
      </c>
      <c r="T136" t="s">
        <v>240</v>
      </c>
      <c r="U136" s="26"/>
      <c r="V136" s="20"/>
      <c r="W136" s="20"/>
      <c r="X136" s="20"/>
    </row>
    <row r="137" spans="1:24" ht="15.75" x14ac:dyDescent="0.25">
      <c r="A137" s="12">
        <f t="shared" si="0"/>
        <v>20014</v>
      </c>
      <c r="B137" s="16" t="s">
        <v>241</v>
      </c>
      <c r="C137" s="1" t="s">
        <v>224</v>
      </c>
      <c r="D137" s="12">
        <v>14</v>
      </c>
      <c r="E137" s="12">
        <v>2</v>
      </c>
      <c r="F137" s="12">
        <v>14</v>
      </c>
      <c r="G137" s="20">
        <v>40105</v>
      </c>
      <c r="H137" s="20">
        <v>1</v>
      </c>
      <c r="I137" s="20">
        <f t="shared" ref="I137:Q137" si="14">I17</f>
        <v>2</v>
      </c>
      <c r="J137" s="20">
        <f t="shared" si="14"/>
        <v>4</v>
      </c>
      <c r="K137" s="20">
        <f t="shared" si="14"/>
        <v>24205880</v>
      </c>
      <c r="L137" s="20">
        <f t="shared" si="14"/>
        <v>24205880</v>
      </c>
      <c r="M137" s="20">
        <f t="shared" si="14"/>
        <v>24205880</v>
      </c>
      <c r="N137" s="20">
        <f t="shared" si="14"/>
        <v>0</v>
      </c>
      <c r="O137" s="20">
        <f t="shared" si="14"/>
        <v>0</v>
      </c>
      <c r="P137" s="20">
        <f t="shared" si="14"/>
        <v>0</v>
      </c>
      <c r="Q137" s="20">
        <f t="shared" si="14"/>
        <v>220536880700</v>
      </c>
      <c r="R137" s="20">
        <v>0</v>
      </c>
      <c r="S137" s="12">
        <v>60</v>
      </c>
      <c r="T137" t="s">
        <v>240</v>
      </c>
      <c r="U137" s="26"/>
      <c r="V137" s="20"/>
      <c r="W137" s="20"/>
      <c r="X137" s="20"/>
    </row>
    <row r="138" spans="1:24" ht="15.75" x14ac:dyDescent="0.25">
      <c r="A138" s="12">
        <f t="shared" si="0"/>
        <v>20015</v>
      </c>
      <c r="B138" s="16" t="s">
        <v>242</v>
      </c>
      <c r="C138" s="1" t="s">
        <v>224</v>
      </c>
      <c r="D138" s="12">
        <v>15</v>
      </c>
      <c r="E138" s="12">
        <v>2</v>
      </c>
      <c r="F138" s="12">
        <v>15</v>
      </c>
      <c r="G138" s="20">
        <v>40155</v>
      </c>
      <c r="H138" s="20">
        <v>3</v>
      </c>
      <c r="I138" s="20">
        <f t="shared" ref="I138:Q138" si="15">I18</f>
        <v>2</v>
      </c>
      <c r="J138" s="20">
        <f t="shared" si="15"/>
        <v>4</v>
      </c>
      <c r="K138" s="20">
        <f t="shared" si="15"/>
        <v>31164265</v>
      </c>
      <c r="L138" s="20">
        <f t="shared" si="15"/>
        <v>31164265</v>
      </c>
      <c r="M138" s="20">
        <f t="shared" si="15"/>
        <v>31164265</v>
      </c>
      <c r="N138" s="20">
        <f t="shared" si="15"/>
        <v>0</v>
      </c>
      <c r="O138" s="20">
        <f t="shared" si="15"/>
        <v>0</v>
      </c>
      <c r="P138" s="20">
        <f t="shared" si="15"/>
        <v>0</v>
      </c>
      <c r="Q138" s="20">
        <f t="shared" si="15"/>
        <v>389457399875</v>
      </c>
      <c r="R138" s="20">
        <v>0</v>
      </c>
      <c r="S138" s="12">
        <v>60</v>
      </c>
      <c r="T138" t="s">
        <v>240</v>
      </c>
      <c r="U138" s="26"/>
      <c r="V138" s="20"/>
      <c r="W138" s="20"/>
      <c r="X138" s="20"/>
    </row>
    <row r="139" spans="1:24" ht="15.75" x14ac:dyDescent="0.25">
      <c r="A139" s="12">
        <f t="shared" si="0"/>
        <v>20016</v>
      </c>
      <c r="B139" s="16" t="s">
        <v>243</v>
      </c>
      <c r="C139" s="1" t="s">
        <v>224</v>
      </c>
      <c r="D139" s="12">
        <v>16</v>
      </c>
      <c r="E139" s="12">
        <v>2</v>
      </c>
      <c r="F139" s="12">
        <v>16</v>
      </c>
      <c r="G139" s="20">
        <v>40205</v>
      </c>
      <c r="H139" s="20">
        <v>2</v>
      </c>
      <c r="I139" s="20">
        <f t="shared" ref="I139:Q139" si="16">I19</f>
        <v>2</v>
      </c>
      <c r="J139" s="20">
        <f t="shared" si="16"/>
        <v>4</v>
      </c>
      <c r="K139" s="20">
        <f t="shared" si="16"/>
        <v>38620260</v>
      </c>
      <c r="L139" s="20">
        <f t="shared" si="16"/>
        <v>38620260</v>
      </c>
      <c r="M139" s="20">
        <f t="shared" si="16"/>
        <v>38620260</v>
      </c>
      <c r="N139" s="20">
        <f t="shared" si="16"/>
        <v>0</v>
      </c>
      <c r="O139" s="20">
        <f t="shared" si="16"/>
        <v>0</v>
      </c>
      <c r="P139" s="20">
        <f t="shared" si="16"/>
        <v>0</v>
      </c>
      <c r="Q139" s="20">
        <f t="shared" si="16"/>
        <v>654774441975</v>
      </c>
      <c r="R139" s="20">
        <v>0</v>
      </c>
      <c r="S139" s="12">
        <v>60</v>
      </c>
      <c r="T139" t="s">
        <v>240</v>
      </c>
      <c r="U139" s="26"/>
      <c r="V139" s="20"/>
      <c r="W139" s="20"/>
      <c r="X139" s="20"/>
    </row>
    <row r="140" spans="1:24" ht="15.75" x14ac:dyDescent="0.25">
      <c r="A140" s="12">
        <f t="shared" si="0"/>
        <v>20017</v>
      </c>
      <c r="B140" s="16" t="s">
        <v>244</v>
      </c>
      <c r="C140" s="1" t="s">
        <v>224</v>
      </c>
      <c r="D140" s="12">
        <v>17</v>
      </c>
      <c r="E140" s="12">
        <v>2</v>
      </c>
      <c r="F140" s="12">
        <v>17</v>
      </c>
      <c r="G140" s="20">
        <v>50055</v>
      </c>
      <c r="H140" s="20">
        <v>1</v>
      </c>
      <c r="I140" s="20">
        <f t="shared" ref="I140:Q140" si="17">I20</f>
        <v>2</v>
      </c>
      <c r="J140" s="20">
        <f t="shared" si="17"/>
        <v>4</v>
      </c>
      <c r="K140" s="20">
        <f t="shared" si="17"/>
        <v>166514100</v>
      </c>
      <c r="L140" s="20">
        <f t="shared" si="17"/>
        <v>166514100</v>
      </c>
      <c r="M140" s="20">
        <f t="shared" si="17"/>
        <v>166514100</v>
      </c>
      <c r="N140" s="20">
        <f t="shared" si="17"/>
        <v>0</v>
      </c>
      <c r="O140" s="20">
        <f t="shared" si="17"/>
        <v>0</v>
      </c>
      <c r="P140" s="20">
        <f t="shared" si="17"/>
        <v>0</v>
      </c>
      <c r="Q140" s="20">
        <f t="shared" si="17"/>
        <v>57958370565525</v>
      </c>
      <c r="R140" s="20">
        <v>0</v>
      </c>
      <c r="S140" s="12">
        <v>60</v>
      </c>
      <c r="T140" t="s">
        <v>245</v>
      </c>
      <c r="U140" s="26"/>
      <c r="V140" s="20"/>
      <c r="W140" s="20"/>
      <c r="X140" s="20"/>
    </row>
    <row r="141" spans="1:24" ht="15.75" x14ac:dyDescent="0.25">
      <c r="A141" s="12">
        <f t="shared" si="0"/>
        <v>20018</v>
      </c>
      <c r="B141" s="16" t="s">
        <v>246</v>
      </c>
      <c r="C141" s="1" t="s">
        <v>224</v>
      </c>
      <c r="D141" s="12">
        <v>18</v>
      </c>
      <c r="E141" s="12">
        <v>2</v>
      </c>
      <c r="F141" s="12">
        <v>18</v>
      </c>
      <c r="G141" s="20">
        <v>10045</v>
      </c>
      <c r="H141" s="20">
        <v>3</v>
      </c>
      <c r="I141" s="20">
        <f t="shared" ref="I141:Q141" si="18">I21</f>
        <v>2</v>
      </c>
      <c r="J141" s="20">
        <f t="shared" si="18"/>
        <v>4</v>
      </c>
      <c r="K141" s="20">
        <f t="shared" si="18"/>
        <v>200401195</v>
      </c>
      <c r="L141" s="20">
        <f t="shared" si="18"/>
        <v>200401195</v>
      </c>
      <c r="M141" s="20">
        <f t="shared" si="18"/>
        <v>200401195</v>
      </c>
      <c r="N141" s="20">
        <f t="shared" si="18"/>
        <v>0</v>
      </c>
      <c r="O141" s="20">
        <f t="shared" si="18"/>
        <v>0</v>
      </c>
      <c r="P141" s="20">
        <f t="shared" si="18"/>
        <v>0</v>
      </c>
      <c r="Q141" s="20">
        <f t="shared" si="18"/>
        <v>86635109542075</v>
      </c>
      <c r="R141" s="20">
        <v>0</v>
      </c>
      <c r="S141" s="12">
        <v>60</v>
      </c>
      <c r="T141" t="s">
        <v>245</v>
      </c>
      <c r="U141" s="26"/>
      <c r="V141" s="20"/>
      <c r="W141" s="20"/>
      <c r="X141" s="20"/>
    </row>
    <row r="142" spans="1:24" ht="15.75" x14ac:dyDescent="0.25">
      <c r="A142" s="12">
        <f t="shared" si="0"/>
        <v>20019</v>
      </c>
      <c r="B142" s="16" t="s">
        <v>247</v>
      </c>
      <c r="C142" s="1" t="s">
        <v>224</v>
      </c>
      <c r="D142" s="12">
        <v>19</v>
      </c>
      <c r="E142" s="12">
        <v>2</v>
      </c>
      <c r="F142" s="12">
        <v>19</v>
      </c>
      <c r="G142" s="20">
        <v>10095</v>
      </c>
      <c r="H142" s="20">
        <v>2</v>
      </c>
      <c r="I142" s="20">
        <f t="shared" ref="I142:Q142" si="19">I22</f>
        <v>2</v>
      </c>
      <c r="J142" s="20">
        <f t="shared" si="19"/>
        <v>4</v>
      </c>
      <c r="K142" s="20">
        <f t="shared" si="19"/>
        <v>253221165</v>
      </c>
      <c r="L142" s="20">
        <f t="shared" si="19"/>
        <v>253221165</v>
      </c>
      <c r="M142" s="20">
        <f t="shared" si="19"/>
        <v>253221165</v>
      </c>
      <c r="N142" s="20">
        <f t="shared" si="19"/>
        <v>0</v>
      </c>
      <c r="O142" s="20">
        <f t="shared" si="19"/>
        <v>0</v>
      </c>
      <c r="P142" s="20">
        <f t="shared" si="19"/>
        <v>0</v>
      </c>
      <c r="Q142" s="20">
        <f t="shared" si="19"/>
        <v>152037195553375</v>
      </c>
      <c r="R142" s="20">
        <v>0</v>
      </c>
      <c r="S142" s="12">
        <v>60</v>
      </c>
      <c r="T142" t="s">
        <v>245</v>
      </c>
      <c r="U142" s="26"/>
      <c r="V142" s="20"/>
      <c r="W142" s="20"/>
      <c r="X142" s="20"/>
    </row>
    <row r="143" spans="1:24" ht="15.75" x14ac:dyDescent="0.25">
      <c r="A143" s="12">
        <f t="shared" si="0"/>
        <v>20020</v>
      </c>
      <c r="B143" s="16" t="s">
        <v>248</v>
      </c>
      <c r="C143" s="1" t="s">
        <v>224</v>
      </c>
      <c r="D143" s="12">
        <v>20</v>
      </c>
      <c r="E143" s="12">
        <v>2</v>
      </c>
      <c r="F143" s="12">
        <v>20</v>
      </c>
      <c r="G143" s="20">
        <v>10145</v>
      </c>
      <c r="H143" s="20">
        <v>1</v>
      </c>
      <c r="I143" s="20">
        <f t="shared" ref="I143:Q143" si="20">I23</f>
        <v>2</v>
      </c>
      <c r="J143" s="20">
        <f t="shared" si="20"/>
        <v>4</v>
      </c>
      <c r="K143" s="20">
        <f t="shared" si="20"/>
        <v>300735140</v>
      </c>
      <c r="L143" s="20">
        <f t="shared" si="20"/>
        <v>300735140</v>
      </c>
      <c r="M143" s="20">
        <f t="shared" si="20"/>
        <v>300735140</v>
      </c>
      <c r="N143" s="20">
        <f t="shared" si="20"/>
        <v>0</v>
      </c>
      <c r="O143" s="20">
        <f t="shared" si="20"/>
        <v>0</v>
      </c>
      <c r="P143" s="20">
        <f t="shared" si="20"/>
        <v>0</v>
      </c>
      <c r="Q143" s="20">
        <f t="shared" si="20"/>
        <v>226843648238075</v>
      </c>
      <c r="R143" s="20">
        <v>0</v>
      </c>
      <c r="S143" s="12">
        <v>60</v>
      </c>
      <c r="T143" t="s">
        <v>245</v>
      </c>
      <c r="U143" s="26"/>
      <c r="V143" s="20"/>
      <c r="W143" s="20"/>
      <c r="X143" s="20"/>
    </row>
    <row r="144" spans="1:24" ht="15.75" x14ac:dyDescent="0.25">
      <c r="A144" s="12">
        <f t="shared" si="0"/>
        <v>20021</v>
      </c>
      <c r="B144" s="16" t="s">
        <v>249</v>
      </c>
      <c r="C144" s="1" t="s">
        <v>224</v>
      </c>
      <c r="D144" s="12">
        <v>21</v>
      </c>
      <c r="E144" s="12">
        <v>2</v>
      </c>
      <c r="F144" s="12">
        <v>21</v>
      </c>
      <c r="G144" s="20">
        <v>10195</v>
      </c>
      <c r="H144" s="20">
        <v>3</v>
      </c>
      <c r="I144" s="20">
        <f t="shared" ref="I144:Q144" si="21">I24</f>
        <v>2</v>
      </c>
      <c r="J144" s="20">
        <f t="shared" si="21"/>
        <v>4</v>
      </c>
      <c r="K144" s="20">
        <f t="shared" si="21"/>
        <v>391089655</v>
      </c>
      <c r="L144" s="20">
        <f t="shared" si="21"/>
        <v>391089655</v>
      </c>
      <c r="M144" s="20">
        <f t="shared" si="21"/>
        <v>391089655</v>
      </c>
      <c r="N144" s="20">
        <f t="shared" si="21"/>
        <v>0</v>
      </c>
      <c r="O144" s="20">
        <f t="shared" si="21"/>
        <v>0</v>
      </c>
      <c r="P144" s="20">
        <f t="shared" si="21"/>
        <v>0</v>
      </c>
      <c r="Q144" s="20">
        <f t="shared" si="21"/>
        <v>618514479172800</v>
      </c>
      <c r="R144" s="20">
        <v>0</v>
      </c>
      <c r="S144" s="12">
        <v>60</v>
      </c>
      <c r="T144" t="s">
        <v>250</v>
      </c>
      <c r="U144" s="26"/>
      <c r="V144" s="20"/>
      <c r="W144" s="20"/>
      <c r="X144" s="20"/>
    </row>
    <row r="145" spans="1:24" ht="15.75" x14ac:dyDescent="0.25">
      <c r="A145" s="12">
        <f t="shared" si="0"/>
        <v>20022</v>
      </c>
      <c r="B145" s="16" t="s">
        <v>251</v>
      </c>
      <c r="C145" s="1" t="s">
        <v>224</v>
      </c>
      <c r="D145" s="12">
        <v>22</v>
      </c>
      <c r="E145" s="12">
        <v>2</v>
      </c>
      <c r="F145" s="12">
        <v>22</v>
      </c>
      <c r="G145" s="20">
        <v>20045</v>
      </c>
      <c r="H145" s="20">
        <v>2</v>
      </c>
      <c r="I145" s="20">
        <f t="shared" ref="I145:Q145" si="22">I25</f>
        <v>2</v>
      </c>
      <c r="J145" s="20">
        <f t="shared" si="22"/>
        <v>4</v>
      </c>
      <c r="K145" s="20">
        <f t="shared" si="22"/>
        <v>451518515</v>
      </c>
      <c r="L145" s="20">
        <f t="shared" si="22"/>
        <v>451518515</v>
      </c>
      <c r="M145" s="20">
        <f t="shared" si="22"/>
        <v>451518515</v>
      </c>
      <c r="N145" s="20">
        <f t="shared" si="22"/>
        <v>0</v>
      </c>
      <c r="O145" s="20">
        <f t="shared" si="22"/>
        <v>0</v>
      </c>
      <c r="P145" s="20">
        <f t="shared" si="22"/>
        <v>0</v>
      </c>
      <c r="Q145" s="20">
        <f t="shared" si="22"/>
        <v>815227301527675</v>
      </c>
      <c r="R145" s="20">
        <v>0</v>
      </c>
      <c r="S145" s="12">
        <v>60</v>
      </c>
      <c r="T145" t="s">
        <v>250</v>
      </c>
      <c r="U145" s="26"/>
      <c r="V145" s="20"/>
      <c r="W145" s="20"/>
      <c r="X145" s="20"/>
    </row>
    <row r="146" spans="1:24" ht="15.75" x14ac:dyDescent="0.25">
      <c r="A146" s="12">
        <f t="shared" si="0"/>
        <v>20023</v>
      </c>
      <c r="B146" s="16" t="s">
        <v>252</v>
      </c>
      <c r="C146" s="1" t="s">
        <v>224</v>
      </c>
      <c r="D146" s="12">
        <v>23</v>
      </c>
      <c r="E146" s="12">
        <v>2</v>
      </c>
      <c r="F146" s="12">
        <v>23</v>
      </c>
      <c r="G146" s="20">
        <v>20095</v>
      </c>
      <c r="H146" s="20">
        <v>1</v>
      </c>
      <c r="I146" s="20">
        <f t="shared" ref="I146:Q146" si="23">I26</f>
        <v>2</v>
      </c>
      <c r="J146" s="20">
        <f t="shared" si="23"/>
        <v>4</v>
      </c>
      <c r="K146" s="20">
        <f t="shared" si="23"/>
        <v>545358950</v>
      </c>
      <c r="L146" s="20">
        <f t="shared" si="23"/>
        <v>545358950</v>
      </c>
      <c r="M146" s="20">
        <f t="shared" si="23"/>
        <v>545358950</v>
      </c>
      <c r="N146" s="20">
        <f t="shared" si="23"/>
        <v>0</v>
      </c>
      <c r="O146" s="20">
        <f t="shared" si="23"/>
        <v>0</v>
      </c>
      <c r="P146" s="20">
        <f t="shared" si="23"/>
        <v>0</v>
      </c>
      <c r="Q146" s="20">
        <f t="shared" si="23"/>
        <v>1190168929539300</v>
      </c>
      <c r="R146" s="20">
        <v>0</v>
      </c>
      <c r="S146" s="12">
        <v>60</v>
      </c>
      <c r="T146" t="s">
        <v>250</v>
      </c>
      <c r="U146" s="26"/>
      <c r="V146" s="20"/>
      <c r="W146" s="20"/>
      <c r="X146" s="20"/>
    </row>
    <row r="147" spans="1:24" ht="15.75" x14ac:dyDescent="0.25">
      <c r="A147" s="12">
        <f t="shared" si="0"/>
        <v>20024</v>
      </c>
      <c r="B147" s="16" t="s">
        <v>253</v>
      </c>
      <c r="C147" s="1" t="s">
        <v>224</v>
      </c>
      <c r="D147" s="12">
        <v>24</v>
      </c>
      <c r="E147" s="12">
        <v>2</v>
      </c>
      <c r="F147" s="12">
        <v>24</v>
      </c>
      <c r="G147" s="20">
        <v>20145</v>
      </c>
      <c r="H147" s="20">
        <v>3</v>
      </c>
      <c r="I147" s="20">
        <f t="shared" ref="I147:Q147" si="24">I27</f>
        <v>2</v>
      </c>
      <c r="J147" s="20">
        <f t="shared" si="24"/>
        <v>4</v>
      </c>
      <c r="K147" s="20">
        <f t="shared" si="24"/>
        <v>624877470</v>
      </c>
      <c r="L147" s="20">
        <f t="shared" si="24"/>
        <v>624877470</v>
      </c>
      <c r="M147" s="20">
        <f t="shared" si="24"/>
        <v>624877470</v>
      </c>
      <c r="N147" s="20">
        <f t="shared" si="24"/>
        <v>0</v>
      </c>
      <c r="O147" s="20">
        <f t="shared" si="24"/>
        <v>0</v>
      </c>
      <c r="P147" s="20">
        <f t="shared" si="24"/>
        <v>0</v>
      </c>
      <c r="Q147" s="20">
        <f t="shared" si="24"/>
        <v>1561202533964850</v>
      </c>
      <c r="R147" s="20">
        <v>0</v>
      </c>
      <c r="S147" s="12">
        <v>60</v>
      </c>
      <c r="T147" t="s">
        <v>250</v>
      </c>
      <c r="U147" s="26"/>
      <c r="V147" s="20"/>
      <c r="W147" s="20"/>
      <c r="X147" s="20"/>
    </row>
    <row r="148" spans="1:24" ht="15.75" x14ac:dyDescent="0.25">
      <c r="A148" s="12">
        <f t="shared" si="0"/>
        <v>20025</v>
      </c>
      <c r="B148" s="16" t="s">
        <v>254</v>
      </c>
      <c r="C148" s="1" t="s">
        <v>224</v>
      </c>
      <c r="D148" s="12">
        <v>25</v>
      </c>
      <c r="E148" s="12">
        <v>2</v>
      </c>
      <c r="F148" s="12">
        <v>25</v>
      </c>
      <c r="G148" s="20">
        <v>20195</v>
      </c>
      <c r="H148" s="20">
        <v>2</v>
      </c>
      <c r="I148" s="20">
        <f t="shared" ref="I148:Q148" si="25">I28</f>
        <v>2</v>
      </c>
      <c r="J148" s="20">
        <f t="shared" si="25"/>
        <v>4</v>
      </c>
      <c r="K148" s="20">
        <f t="shared" si="25"/>
        <v>1169283855</v>
      </c>
      <c r="L148" s="20">
        <f t="shared" si="25"/>
        <v>1169283855</v>
      </c>
      <c r="M148" s="20">
        <f t="shared" si="25"/>
        <v>1169283855</v>
      </c>
      <c r="N148" s="20">
        <f t="shared" si="25"/>
        <v>0</v>
      </c>
      <c r="O148" s="20">
        <f t="shared" si="25"/>
        <v>0</v>
      </c>
      <c r="P148" s="20">
        <f t="shared" si="25"/>
        <v>0</v>
      </c>
      <c r="Q148" s="20">
        <f t="shared" si="25"/>
        <v>6571493659479170</v>
      </c>
      <c r="R148" s="20">
        <v>0</v>
      </c>
      <c r="S148" s="12">
        <v>60</v>
      </c>
      <c r="T148" t="s">
        <v>255</v>
      </c>
      <c r="U148" s="26"/>
      <c r="V148" s="20"/>
      <c r="W148" s="20"/>
      <c r="X148" s="20"/>
    </row>
    <row r="149" spans="1:24" ht="15.75" x14ac:dyDescent="0.25">
      <c r="A149" s="12">
        <f t="shared" si="0"/>
        <v>20026</v>
      </c>
      <c r="B149" s="16" t="s">
        <v>256</v>
      </c>
      <c r="C149" s="1" t="s">
        <v>224</v>
      </c>
      <c r="D149" s="12">
        <v>26</v>
      </c>
      <c r="E149" s="12">
        <v>2</v>
      </c>
      <c r="F149" s="12">
        <v>26</v>
      </c>
      <c r="G149" s="20">
        <v>30045</v>
      </c>
      <c r="H149" s="20">
        <v>1</v>
      </c>
      <c r="I149" s="20">
        <f t="shared" ref="I149:Q149" si="26">I29</f>
        <v>2</v>
      </c>
      <c r="J149" s="20">
        <f t="shared" si="26"/>
        <v>4</v>
      </c>
      <c r="K149" s="20">
        <f t="shared" si="26"/>
        <v>1353713560</v>
      </c>
      <c r="L149" s="20">
        <f t="shared" si="26"/>
        <v>1353713560</v>
      </c>
      <c r="M149" s="20">
        <f t="shared" si="26"/>
        <v>1353713560</v>
      </c>
      <c r="N149" s="20">
        <f t="shared" si="26"/>
        <v>0</v>
      </c>
      <c r="O149" s="20">
        <f t="shared" si="26"/>
        <v>0</v>
      </c>
      <c r="P149" s="20">
        <f t="shared" si="26"/>
        <v>0</v>
      </c>
      <c r="Q149" s="20">
        <f t="shared" si="26"/>
        <v>8625060463698750</v>
      </c>
      <c r="R149" s="20">
        <v>0</v>
      </c>
      <c r="S149" s="12">
        <v>60</v>
      </c>
      <c r="T149" t="s">
        <v>255</v>
      </c>
      <c r="U149" s="26"/>
      <c r="V149" s="20"/>
      <c r="W149" s="20"/>
      <c r="X149" s="20"/>
    </row>
    <row r="150" spans="1:24" ht="15.75" x14ac:dyDescent="0.25">
      <c r="A150" s="12">
        <f t="shared" si="0"/>
        <v>20027</v>
      </c>
      <c r="B150" s="16" t="s">
        <v>257</v>
      </c>
      <c r="C150" s="1" t="s">
        <v>224</v>
      </c>
      <c r="D150" s="12">
        <v>27</v>
      </c>
      <c r="E150" s="12">
        <v>2</v>
      </c>
      <c r="F150" s="12">
        <v>27</v>
      </c>
      <c r="G150" s="20">
        <v>30095</v>
      </c>
      <c r="H150" s="20">
        <v>3</v>
      </c>
      <c r="I150" s="20">
        <f t="shared" ref="I150:Q150" si="27">I30</f>
        <v>2</v>
      </c>
      <c r="J150" s="20">
        <f t="shared" si="27"/>
        <v>4</v>
      </c>
      <c r="K150" s="20">
        <f t="shared" si="27"/>
        <v>1609474560</v>
      </c>
      <c r="L150" s="20">
        <f t="shared" si="27"/>
        <v>1609474560</v>
      </c>
      <c r="M150" s="20">
        <f t="shared" si="27"/>
        <v>1609474560</v>
      </c>
      <c r="N150" s="20">
        <f t="shared" si="27"/>
        <v>0</v>
      </c>
      <c r="O150" s="20">
        <f t="shared" si="27"/>
        <v>0</v>
      </c>
      <c r="P150" s="20">
        <f t="shared" si="27"/>
        <v>0</v>
      </c>
      <c r="Q150" s="20">
        <f t="shared" si="27"/>
        <v>1.21748365012717E+16</v>
      </c>
      <c r="R150" s="20">
        <v>0</v>
      </c>
      <c r="S150" s="12">
        <v>60</v>
      </c>
      <c r="T150" t="s">
        <v>255</v>
      </c>
      <c r="U150" s="26"/>
      <c r="V150" s="20"/>
      <c r="W150" s="20"/>
      <c r="X150" s="20"/>
    </row>
    <row r="151" spans="1:24" ht="15.75" x14ac:dyDescent="0.25">
      <c r="A151" s="12">
        <f t="shared" si="0"/>
        <v>20028</v>
      </c>
      <c r="B151" s="16" t="s">
        <v>258</v>
      </c>
      <c r="C151" s="1" t="s">
        <v>224</v>
      </c>
      <c r="D151" s="12">
        <v>28</v>
      </c>
      <c r="E151" s="12">
        <v>2</v>
      </c>
      <c r="F151" s="12">
        <v>28</v>
      </c>
      <c r="G151" s="20">
        <v>30145</v>
      </c>
      <c r="H151" s="20">
        <v>2</v>
      </c>
      <c r="I151" s="20">
        <f t="shared" ref="I151:Q151" si="28">I31</f>
        <v>2</v>
      </c>
      <c r="J151" s="20">
        <f t="shared" si="28"/>
        <v>4</v>
      </c>
      <c r="K151" s="20">
        <f t="shared" si="28"/>
        <v>1846695020</v>
      </c>
      <c r="L151" s="20">
        <f t="shared" si="28"/>
        <v>1846695020</v>
      </c>
      <c r="M151" s="20">
        <f t="shared" si="28"/>
        <v>1846695020</v>
      </c>
      <c r="N151" s="20">
        <f t="shared" si="28"/>
        <v>0</v>
      </c>
      <c r="O151" s="20">
        <f t="shared" si="28"/>
        <v>0</v>
      </c>
      <c r="P151" s="20">
        <f t="shared" si="28"/>
        <v>0</v>
      </c>
      <c r="Q151" s="20">
        <f t="shared" si="28"/>
        <v>1.59251562944154E+16</v>
      </c>
      <c r="R151" s="20">
        <v>0</v>
      </c>
      <c r="S151" s="12">
        <v>60</v>
      </c>
      <c r="T151" t="s">
        <v>255</v>
      </c>
      <c r="U151" s="26"/>
      <c r="V151" s="20"/>
      <c r="W151" s="20"/>
      <c r="X151" s="20"/>
    </row>
    <row r="152" spans="1:24" ht="15.75" x14ac:dyDescent="0.25">
      <c r="A152" s="12">
        <f t="shared" si="0"/>
        <v>20029</v>
      </c>
      <c r="B152" s="16" t="s">
        <v>259</v>
      </c>
      <c r="C152" s="1" t="s">
        <v>224</v>
      </c>
      <c r="D152" s="12">
        <v>29</v>
      </c>
      <c r="E152" s="12">
        <v>2</v>
      </c>
      <c r="F152" s="12">
        <v>29</v>
      </c>
      <c r="G152" s="20">
        <v>30195</v>
      </c>
      <c r="H152" s="20">
        <v>1</v>
      </c>
      <c r="I152" s="20">
        <f t="shared" ref="I152:Q152" si="29">I32</f>
        <v>2</v>
      </c>
      <c r="J152" s="20">
        <f t="shared" si="29"/>
        <v>4</v>
      </c>
      <c r="K152" s="20">
        <f t="shared" si="29"/>
        <v>2355403275</v>
      </c>
      <c r="L152" s="20">
        <f t="shared" si="29"/>
        <v>2355403275</v>
      </c>
      <c r="M152" s="20">
        <f t="shared" si="29"/>
        <v>2355403275</v>
      </c>
      <c r="N152" s="20">
        <f t="shared" si="29"/>
        <v>0</v>
      </c>
      <c r="O152" s="20">
        <f t="shared" si="29"/>
        <v>0</v>
      </c>
      <c r="P152" s="20">
        <f t="shared" si="29"/>
        <v>0</v>
      </c>
      <c r="Q152" s="20">
        <f t="shared" si="29"/>
        <v>5.42932995511708E+16</v>
      </c>
      <c r="R152" s="20">
        <v>0</v>
      </c>
      <c r="S152" s="12">
        <v>60</v>
      </c>
      <c r="T152" t="s">
        <v>260</v>
      </c>
      <c r="U152" s="26"/>
      <c r="V152" s="20"/>
      <c r="W152" s="20"/>
      <c r="X152" s="20"/>
    </row>
    <row r="153" spans="1:24" ht="15.75" x14ac:dyDescent="0.25">
      <c r="A153" s="12">
        <f t="shared" si="0"/>
        <v>20030</v>
      </c>
      <c r="B153" s="16" t="s">
        <v>261</v>
      </c>
      <c r="C153" s="1" t="s">
        <v>224</v>
      </c>
      <c r="D153" s="12">
        <v>30</v>
      </c>
      <c r="E153" s="12">
        <v>2</v>
      </c>
      <c r="F153" s="12">
        <v>30</v>
      </c>
      <c r="G153" s="20">
        <v>40045</v>
      </c>
      <c r="H153" s="20">
        <v>3</v>
      </c>
      <c r="I153" s="20">
        <f t="shared" ref="I153:Q153" si="30">I33</f>
        <v>2</v>
      </c>
      <c r="J153" s="20">
        <f t="shared" si="30"/>
        <v>4</v>
      </c>
      <c r="K153" s="20">
        <f t="shared" si="30"/>
        <v>2877535435</v>
      </c>
      <c r="L153" s="20">
        <f t="shared" si="30"/>
        <v>2877535435</v>
      </c>
      <c r="M153" s="20">
        <f t="shared" si="30"/>
        <v>2877535435</v>
      </c>
      <c r="N153" s="20">
        <f t="shared" si="30"/>
        <v>0</v>
      </c>
      <c r="O153" s="20">
        <f t="shared" si="30"/>
        <v>0</v>
      </c>
      <c r="P153" s="20">
        <f t="shared" si="30"/>
        <v>0</v>
      </c>
      <c r="Q153" s="20">
        <f t="shared" si="30"/>
        <v>8.4981450803142496E+16</v>
      </c>
      <c r="R153" s="20">
        <v>0</v>
      </c>
      <c r="S153" s="12">
        <v>60</v>
      </c>
      <c r="T153" t="s">
        <v>260</v>
      </c>
      <c r="U153" s="26"/>
      <c r="V153" s="20"/>
      <c r="W153" s="20"/>
      <c r="X153" s="20"/>
    </row>
    <row r="154" spans="1:24" ht="15.75" x14ac:dyDescent="0.25">
      <c r="A154" s="12">
        <f t="shared" si="0"/>
        <v>20031</v>
      </c>
      <c r="B154" s="16" t="s">
        <v>262</v>
      </c>
      <c r="C154" s="1" t="s">
        <v>224</v>
      </c>
      <c r="D154" s="12">
        <v>31</v>
      </c>
      <c r="E154" s="12">
        <v>2</v>
      </c>
      <c r="F154" s="12">
        <v>31</v>
      </c>
      <c r="G154" s="20">
        <v>40095</v>
      </c>
      <c r="H154" s="20">
        <v>2</v>
      </c>
      <c r="I154" s="20">
        <f t="shared" ref="I154:Q154" si="31">I34</f>
        <v>2</v>
      </c>
      <c r="J154" s="20">
        <f t="shared" si="31"/>
        <v>4</v>
      </c>
      <c r="K154" s="20">
        <f t="shared" si="31"/>
        <v>3471246540</v>
      </c>
      <c r="L154" s="20">
        <f t="shared" si="31"/>
        <v>3471246540</v>
      </c>
      <c r="M154" s="20">
        <f t="shared" si="31"/>
        <v>3471246540</v>
      </c>
      <c r="N154" s="20">
        <f t="shared" si="31"/>
        <v>0</v>
      </c>
      <c r="O154" s="20">
        <f t="shared" si="31"/>
        <v>0</v>
      </c>
      <c r="P154" s="20">
        <f t="shared" si="31"/>
        <v>0</v>
      </c>
      <c r="Q154" s="20">
        <f t="shared" si="31"/>
        <v>1.2804243823414E+17</v>
      </c>
      <c r="R154" s="20">
        <v>0</v>
      </c>
      <c r="S154" s="12">
        <v>60</v>
      </c>
      <c r="T154" t="s">
        <v>260</v>
      </c>
      <c r="U154" s="26"/>
      <c r="V154" s="20"/>
      <c r="W154" s="20"/>
      <c r="X154" s="20"/>
    </row>
    <row r="155" spans="1:24" ht="15.75" x14ac:dyDescent="0.25">
      <c r="A155" s="12">
        <f t="shared" si="0"/>
        <v>20032</v>
      </c>
      <c r="B155" s="16" t="s">
        <v>263</v>
      </c>
      <c r="C155" s="1" t="s">
        <v>224</v>
      </c>
      <c r="D155" s="12">
        <v>32</v>
      </c>
      <c r="E155" s="12">
        <v>2</v>
      </c>
      <c r="F155" s="12">
        <v>32</v>
      </c>
      <c r="G155" s="20">
        <v>40145</v>
      </c>
      <c r="H155" s="20">
        <v>1</v>
      </c>
      <c r="I155" s="20">
        <f t="shared" ref="I155:Q155" si="32">I35</f>
        <v>2</v>
      </c>
      <c r="J155" s="20">
        <f t="shared" si="32"/>
        <v>4</v>
      </c>
      <c r="K155" s="20">
        <f t="shared" si="32"/>
        <v>4070616465</v>
      </c>
      <c r="L155" s="20">
        <f t="shared" si="32"/>
        <v>4070616465</v>
      </c>
      <c r="M155" s="20">
        <f t="shared" si="32"/>
        <v>4070616465</v>
      </c>
      <c r="N155" s="20">
        <f t="shared" si="32"/>
        <v>0</v>
      </c>
      <c r="O155" s="20">
        <f t="shared" si="32"/>
        <v>0</v>
      </c>
      <c r="P155" s="20">
        <f t="shared" si="32"/>
        <v>0</v>
      </c>
      <c r="Q155" s="20">
        <f t="shared" si="32"/>
        <v>1.8553532413018202E+17</v>
      </c>
      <c r="R155" s="20">
        <v>0</v>
      </c>
      <c r="S155" s="12">
        <v>60</v>
      </c>
      <c r="T155" t="s">
        <v>260</v>
      </c>
      <c r="U155" s="26"/>
      <c r="V155" s="20"/>
      <c r="W155" s="20"/>
      <c r="X155" s="20"/>
    </row>
    <row r="156" spans="1:24" ht="15.75" x14ac:dyDescent="0.25">
      <c r="A156" s="12">
        <f t="shared" si="0"/>
        <v>20033</v>
      </c>
      <c r="B156" s="16" t="s">
        <v>264</v>
      </c>
      <c r="C156" s="1" t="s">
        <v>224</v>
      </c>
      <c r="D156" s="12">
        <v>33</v>
      </c>
      <c r="E156" s="12">
        <v>2</v>
      </c>
      <c r="F156" s="12">
        <v>33</v>
      </c>
      <c r="G156" s="20">
        <v>40195</v>
      </c>
      <c r="H156" s="20">
        <v>3</v>
      </c>
      <c r="I156" s="20">
        <f t="shared" ref="I156:Q156" si="33">I36</f>
        <v>2</v>
      </c>
      <c r="J156" s="20">
        <f t="shared" si="33"/>
        <v>4</v>
      </c>
      <c r="K156" s="20">
        <f t="shared" si="33"/>
        <v>4947931560</v>
      </c>
      <c r="L156" s="20">
        <f t="shared" si="33"/>
        <v>4947931560</v>
      </c>
      <c r="M156" s="20">
        <f t="shared" si="33"/>
        <v>4947931560</v>
      </c>
      <c r="N156" s="20">
        <f t="shared" si="33"/>
        <v>0</v>
      </c>
      <c r="O156" s="20">
        <f t="shared" si="33"/>
        <v>0</v>
      </c>
      <c r="P156" s="20">
        <f t="shared" si="33"/>
        <v>0</v>
      </c>
      <c r="Q156" s="20">
        <f t="shared" si="33"/>
        <v>3.2261314513479002E+17</v>
      </c>
      <c r="R156" s="20">
        <v>0</v>
      </c>
      <c r="S156" s="12">
        <v>60</v>
      </c>
      <c r="T156" t="s">
        <v>265</v>
      </c>
      <c r="U156" s="26"/>
      <c r="V156" s="20"/>
      <c r="W156" s="20"/>
      <c r="X156" s="20"/>
    </row>
    <row r="157" spans="1:24" ht="15.75" x14ac:dyDescent="0.25">
      <c r="A157" s="12">
        <f t="shared" si="0"/>
        <v>20034</v>
      </c>
      <c r="B157" s="16" t="s">
        <v>266</v>
      </c>
      <c r="C157" s="1" t="s">
        <v>224</v>
      </c>
      <c r="D157" s="12">
        <v>34</v>
      </c>
      <c r="E157" s="12">
        <v>2</v>
      </c>
      <c r="F157" s="12">
        <v>34</v>
      </c>
      <c r="G157" s="20">
        <v>50045</v>
      </c>
      <c r="H157" s="20">
        <v>2</v>
      </c>
      <c r="I157" s="20">
        <f t="shared" ref="I157:Q157" si="34">I37</f>
        <v>2</v>
      </c>
      <c r="J157" s="20">
        <f t="shared" si="34"/>
        <v>4</v>
      </c>
      <c r="K157" s="20">
        <f t="shared" si="34"/>
        <v>5657919940</v>
      </c>
      <c r="L157" s="20">
        <f t="shared" si="34"/>
        <v>5657919940</v>
      </c>
      <c r="M157" s="20">
        <f t="shared" si="34"/>
        <v>5657919940</v>
      </c>
      <c r="N157" s="20">
        <f t="shared" si="34"/>
        <v>0</v>
      </c>
      <c r="O157" s="20">
        <f t="shared" si="34"/>
        <v>0</v>
      </c>
      <c r="P157" s="20">
        <f t="shared" si="34"/>
        <v>0</v>
      </c>
      <c r="Q157" s="20">
        <f t="shared" si="34"/>
        <v>4.2750877848275501E+17</v>
      </c>
      <c r="R157" s="20">
        <v>0</v>
      </c>
      <c r="S157" s="12">
        <v>60</v>
      </c>
      <c r="T157" t="s">
        <v>265</v>
      </c>
      <c r="U157" s="26"/>
      <c r="V157" s="20"/>
      <c r="W157" s="20"/>
      <c r="X157" s="20"/>
    </row>
    <row r="158" spans="1:24" ht="15.75" x14ac:dyDescent="0.25">
      <c r="A158" s="12">
        <f t="shared" si="0"/>
        <v>20035</v>
      </c>
      <c r="B158" s="16" t="s">
        <v>267</v>
      </c>
      <c r="C158" s="1" t="s">
        <v>224</v>
      </c>
      <c r="D158" s="12">
        <v>35</v>
      </c>
      <c r="E158" s="12">
        <v>2</v>
      </c>
      <c r="F158" s="12">
        <v>35</v>
      </c>
      <c r="G158" s="20">
        <v>10035</v>
      </c>
      <c r="H158" s="20">
        <v>1</v>
      </c>
      <c r="I158" s="20">
        <f t="shared" ref="I158:Q158" si="35">I38</f>
        <v>2</v>
      </c>
      <c r="J158" s="20">
        <f t="shared" si="35"/>
        <v>4</v>
      </c>
      <c r="K158" s="20">
        <f t="shared" si="35"/>
        <v>6742295590</v>
      </c>
      <c r="L158" s="20">
        <f t="shared" si="35"/>
        <v>6742295590</v>
      </c>
      <c r="M158" s="20">
        <f t="shared" si="35"/>
        <v>6742295590</v>
      </c>
      <c r="N158" s="20">
        <f t="shared" si="35"/>
        <v>0</v>
      </c>
      <c r="O158" s="20">
        <f t="shared" si="35"/>
        <v>0</v>
      </c>
      <c r="P158" s="20">
        <f t="shared" si="35"/>
        <v>0</v>
      </c>
      <c r="Q158" s="20">
        <f t="shared" si="35"/>
        <v>6.4115108048770995E+17</v>
      </c>
      <c r="R158" s="20">
        <v>0</v>
      </c>
      <c r="S158" s="12">
        <v>60</v>
      </c>
      <c r="T158" t="s">
        <v>265</v>
      </c>
      <c r="U158" s="26"/>
      <c r="V158" s="20"/>
      <c r="W158" s="20"/>
      <c r="X158" s="20"/>
    </row>
    <row r="159" spans="1:24" ht="15.75" x14ac:dyDescent="0.25">
      <c r="A159" s="12">
        <f t="shared" si="0"/>
        <v>20036</v>
      </c>
      <c r="B159" s="16" t="s">
        <v>268</v>
      </c>
      <c r="C159" s="1" t="s">
        <v>224</v>
      </c>
      <c r="D159" s="12">
        <v>36</v>
      </c>
      <c r="E159" s="12">
        <v>2</v>
      </c>
      <c r="F159" s="12">
        <v>36</v>
      </c>
      <c r="G159" s="20">
        <v>10085</v>
      </c>
      <c r="H159" s="20">
        <v>3</v>
      </c>
      <c r="I159" s="20">
        <f t="shared" ref="I159:Q159" si="36">I39</f>
        <v>2</v>
      </c>
      <c r="J159" s="20">
        <f t="shared" si="36"/>
        <v>4</v>
      </c>
      <c r="K159" s="20">
        <f t="shared" si="36"/>
        <v>7813858040</v>
      </c>
      <c r="L159" s="20">
        <f t="shared" si="36"/>
        <v>7813858040</v>
      </c>
      <c r="M159" s="20">
        <f t="shared" si="36"/>
        <v>7813858040</v>
      </c>
      <c r="N159" s="20">
        <f t="shared" si="36"/>
        <v>0</v>
      </c>
      <c r="O159" s="20">
        <f t="shared" si="36"/>
        <v>0</v>
      </c>
      <c r="P159" s="20">
        <f t="shared" si="36"/>
        <v>0</v>
      </c>
      <c r="Q159" s="20">
        <f t="shared" si="36"/>
        <v>8.9984243497634995E+17</v>
      </c>
      <c r="R159" s="20">
        <v>0</v>
      </c>
      <c r="S159" s="12">
        <v>60</v>
      </c>
      <c r="T159" t="s">
        <v>265</v>
      </c>
      <c r="U159" s="26"/>
      <c r="V159" s="20"/>
      <c r="W159" s="20"/>
      <c r="X159" s="20"/>
    </row>
    <row r="160" spans="1:24" ht="15.75" x14ac:dyDescent="0.25">
      <c r="A160" s="12">
        <f t="shared" si="0"/>
        <v>20037</v>
      </c>
      <c r="B160" s="16" t="s">
        <v>269</v>
      </c>
      <c r="C160" s="1" t="s">
        <v>224</v>
      </c>
      <c r="D160" s="12">
        <v>37</v>
      </c>
      <c r="E160" s="12">
        <v>2</v>
      </c>
      <c r="F160" s="12">
        <v>37</v>
      </c>
      <c r="G160" s="20">
        <v>10135</v>
      </c>
      <c r="H160" s="20">
        <v>2</v>
      </c>
      <c r="I160" s="20">
        <f t="shared" ref="I160:Q160" si="37">I40</f>
        <v>2</v>
      </c>
      <c r="J160" s="20">
        <f t="shared" si="37"/>
        <v>5</v>
      </c>
      <c r="K160" s="20">
        <f t="shared" si="37"/>
        <v>9022904075</v>
      </c>
      <c r="L160" s="20">
        <f t="shared" si="37"/>
        <v>9022904075</v>
      </c>
      <c r="M160" s="20">
        <f t="shared" si="37"/>
        <v>9022904075</v>
      </c>
      <c r="N160" s="20">
        <f t="shared" si="37"/>
        <v>0</v>
      </c>
      <c r="O160" s="20">
        <f t="shared" si="37"/>
        <v>0</v>
      </c>
      <c r="P160" s="20">
        <f t="shared" si="37"/>
        <v>0</v>
      </c>
      <c r="Q160" s="20">
        <f t="shared" si="37"/>
        <v>1.2748232271778401E+18</v>
      </c>
      <c r="R160" s="20">
        <v>0</v>
      </c>
      <c r="S160" s="12">
        <v>60</v>
      </c>
      <c r="T160" t="s">
        <v>270</v>
      </c>
      <c r="U160" s="26"/>
      <c r="V160" s="20"/>
      <c r="W160" s="20"/>
      <c r="X160" s="20"/>
    </row>
    <row r="161" spans="1:24" ht="15.75" x14ac:dyDescent="0.25">
      <c r="A161" s="12">
        <f t="shared" si="0"/>
        <v>20038</v>
      </c>
      <c r="B161" s="16" t="s">
        <v>271</v>
      </c>
      <c r="C161" s="1" t="s">
        <v>224</v>
      </c>
      <c r="D161" s="12">
        <v>38</v>
      </c>
      <c r="E161" s="12">
        <v>2</v>
      </c>
      <c r="F161" s="12">
        <v>38</v>
      </c>
      <c r="G161" s="20">
        <v>10185</v>
      </c>
      <c r="H161" s="20">
        <v>1</v>
      </c>
      <c r="I161" s="20">
        <f t="shared" ref="I161:Q161" si="38">I41</f>
        <v>2</v>
      </c>
      <c r="J161" s="20">
        <f t="shared" si="38"/>
        <v>5</v>
      </c>
      <c r="K161" s="20">
        <f t="shared" si="38"/>
        <v>10357481865</v>
      </c>
      <c r="L161" s="20">
        <f t="shared" si="38"/>
        <v>10357481865</v>
      </c>
      <c r="M161" s="20">
        <f t="shared" si="38"/>
        <v>10357481865</v>
      </c>
      <c r="N161" s="20">
        <f t="shared" si="38"/>
        <v>0</v>
      </c>
      <c r="O161" s="20">
        <f t="shared" si="38"/>
        <v>0</v>
      </c>
      <c r="P161" s="20">
        <f t="shared" si="38"/>
        <v>0</v>
      </c>
      <c r="Q161" s="20">
        <f t="shared" si="38"/>
        <v>1.76085702278608E+18</v>
      </c>
      <c r="R161" s="20">
        <v>0</v>
      </c>
      <c r="S161" s="12">
        <v>60</v>
      </c>
      <c r="T161" t="s">
        <v>270</v>
      </c>
      <c r="U161" s="26"/>
      <c r="V161" s="20"/>
      <c r="W161" s="20"/>
      <c r="X161" s="20"/>
    </row>
    <row r="162" spans="1:24" ht="15.75" x14ac:dyDescent="0.25">
      <c r="A162" s="12">
        <f t="shared" si="0"/>
        <v>20039</v>
      </c>
      <c r="B162" s="16" t="s">
        <v>272</v>
      </c>
      <c r="C162" s="1" t="s">
        <v>224</v>
      </c>
      <c r="D162" s="12">
        <v>39</v>
      </c>
      <c r="E162" s="12">
        <v>2</v>
      </c>
      <c r="F162" s="12">
        <v>39</v>
      </c>
      <c r="G162" s="20">
        <v>20035</v>
      </c>
      <c r="H162" s="20">
        <v>3</v>
      </c>
      <c r="I162" s="20">
        <f t="shared" ref="I162:Q162" si="39">I42</f>
        <v>2</v>
      </c>
      <c r="J162" s="20">
        <f t="shared" si="39"/>
        <v>5</v>
      </c>
      <c r="K162" s="20">
        <f t="shared" si="39"/>
        <v>12054912440</v>
      </c>
      <c r="L162" s="20">
        <f t="shared" si="39"/>
        <v>12054912440</v>
      </c>
      <c r="M162" s="20">
        <f t="shared" si="39"/>
        <v>12054912440</v>
      </c>
      <c r="N162" s="20">
        <f t="shared" si="39"/>
        <v>0</v>
      </c>
      <c r="O162" s="20">
        <f t="shared" si="39"/>
        <v>0</v>
      </c>
      <c r="P162" s="20">
        <f t="shared" si="39"/>
        <v>0</v>
      </c>
      <c r="Q162" s="20">
        <f t="shared" si="39"/>
        <v>2.5382198702505001E+18</v>
      </c>
      <c r="R162" s="20">
        <v>0</v>
      </c>
      <c r="S162" s="12">
        <v>60</v>
      </c>
      <c r="T162" t="s">
        <v>270</v>
      </c>
      <c r="U162" s="26"/>
      <c r="V162" s="20"/>
      <c r="W162" s="20"/>
      <c r="X162" s="20"/>
    </row>
    <row r="163" spans="1:24" ht="15.75" x14ac:dyDescent="0.25">
      <c r="A163" s="12">
        <f t="shared" si="0"/>
        <v>20040</v>
      </c>
      <c r="B163" s="16" t="s">
        <v>273</v>
      </c>
      <c r="C163" s="1" t="s">
        <v>224</v>
      </c>
      <c r="D163" s="12">
        <v>40</v>
      </c>
      <c r="E163" s="12">
        <v>2</v>
      </c>
      <c r="F163" s="12">
        <v>40</v>
      </c>
      <c r="G163" s="20">
        <v>20085</v>
      </c>
      <c r="H163" s="20">
        <v>2</v>
      </c>
      <c r="I163" s="20">
        <f t="shared" ref="I163:Q163" si="40">I43</f>
        <v>2</v>
      </c>
      <c r="J163" s="20">
        <f t="shared" si="40"/>
        <v>5</v>
      </c>
      <c r="K163" s="20">
        <f t="shared" si="40"/>
        <v>13460310890</v>
      </c>
      <c r="L163" s="20">
        <f t="shared" si="40"/>
        <v>13460310890</v>
      </c>
      <c r="M163" s="20">
        <f t="shared" si="40"/>
        <v>13460310890</v>
      </c>
      <c r="N163" s="20">
        <f t="shared" si="40"/>
        <v>0</v>
      </c>
      <c r="O163" s="20">
        <f t="shared" si="40"/>
        <v>0</v>
      </c>
      <c r="P163" s="20">
        <f t="shared" si="40"/>
        <v>0</v>
      </c>
      <c r="Q163" s="20">
        <f t="shared" si="40"/>
        <v>3.2738742301717202E+18</v>
      </c>
      <c r="R163" s="20">
        <v>0</v>
      </c>
      <c r="S163" s="12">
        <v>60</v>
      </c>
      <c r="T163" t="s">
        <v>270</v>
      </c>
      <c r="U163" s="26"/>
      <c r="V163" s="20"/>
      <c r="W163" s="20"/>
      <c r="X163" s="20"/>
    </row>
    <row r="164" spans="1:24" ht="15.75" x14ac:dyDescent="0.25">
      <c r="A164" s="12">
        <f t="shared" si="0"/>
        <v>20041</v>
      </c>
      <c r="B164" s="16" t="s">
        <v>274</v>
      </c>
      <c r="C164" s="1" t="s">
        <v>224</v>
      </c>
      <c r="D164" s="12">
        <v>41</v>
      </c>
      <c r="E164" s="12">
        <v>2</v>
      </c>
      <c r="F164" s="12">
        <v>41</v>
      </c>
      <c r="G164" s="20">
        <v>20135</v>
      </c>
      <c r="H164" s="20">
        <v>1</v>
      </c>
      <c r="I164" s="20">
        <f t="shared" ref="I164:Q164" si="41">I44</f>
        <v>2</v>
      </c>
      <c r="J164" s="20">
        <f t="shared" si="41"/>
        <v>5</v>
      </c>
      <c r="K164" s="20">
        <f t="shared" si="41"/>
        <v>32286211905</v>
      </c>
      <c r="L164" s="20">
        <f t="shared" si="41"/>
        <v>32286211905</v>
      </c>
      <c r="M164" s="20">
        <f t="shared" si="41"/>
        <v>32286211905</v>
      </c>
      <c r="N164" s="20">
        <f t="shared" si="41"/>
        <v>0</v>
      </c>
      <c r="O164" s="20">
        <f t="shared" si="41"/>
        <v>0</v>
      </c>
      <c r="P164" s="20">
        <f t="shared" si="41"/>
        <v>0</v>
      </c>
      <c r="Q164" s="20">
        <f t="shared" si="41"/>
        <v>3.58664099545122E+19</v>
      </c>
      <c r="R164" s="20">
        <v>0</v>
      </c>
      <c r="S164" s="12">
        <v>60</v>
      </c>
      <c r="T164" t="s">
        <v>275</v>
      </c>
      <c r="U164" s="26"/>
      <c r="V164" s="20"/>
      <c r="W164" s="20"/>
      <c r="X164" s="20"/>
    </row>
    <row r="165" spans="1:24" ht="15.75" x14ac:dyDescent="0.25">
      <c r="A165" s="12">
        <f t="shared" si="0"/>
        <v>20042</v>
      </c>
      <c r="B165" s="16" t="s">
        <v>276</v>
      </c>
      <c r="C165" s="1" t="s">
        <v>224</v>
      </c>
      <c r="D165" s="12">
        <v>42</v>
      </c>
      <c r="E165" s="12">
        <v>2</v>
      </c>
      <c r="F165" s="12">
        <v>42</v>
      </c>
      <c r="G165" s="20">
        <v>20185</v>
      </c>
      <c r="H165" s="20">
        <v>3</v>
      </c>
      <c r="I165" s="20">
        <f t="shared" ref="I165:Q165" si="42">I45</f>
        <v>2</v>
      </c>
      <c r="J165" s="20">
        <f t="shared" si="42"/>
        <v>5</v>
      </c>
      <c r="K165" s="20">
        <f t="shared" si="42"/>
        <v>36210827115</v>
      </c>
      <c r="L165" s="20">
        <f t="shared" si="42"/>
        <v>36210827115</v>
      </c>
      <c r="M165" s="20">
        <f t="shared" si="42"/>
        <v>36210827115</v>
      </c>
      <c r="N165" s="20">
        <f t="shared" si="42"/>
        <v>0</v>
      </c>
      <c r="O165" s="20">
        <f t="shared" si="42"/>
        <v>0</v>
      </c>
      <c r="P165" s="20">
        <f t="shared" si="42"/>
        <v>0</v>
      </c>
      <c r="Q165" s="20">
        <f t="shared" si="42"/>
        <v>4.6745014187892703E+19</v>
      </c>
      <c r="R165" s="20">
        <v>0</v>
      </c>
      <c r="S165" s="12">
        <v>60</v>
      </c>
      <c r="T165" t="s">
        <v>275</v>
      </c>
      <c r="U165" s="26"/>
      <c r="V165" s="20"/>
      <c r="W165" s="20"/>
      <c r="X165" s="20"/>
    </row>
    <row r="166" spans="1:24" ht="15.75" x14ac:dyDescent="0.25">
      <c r="A166" s="12">
        <f t="shared" si="0"/>
        <v>20043</v>
      </c>
      <c r="B166" s="16" t="s">
        <v>277</v>
      </c>
      <c r="C166" s="1" t="s">
        <v>224</v>
      </c>
      <c r="D166" s="12">
        <v>43</v>
      </c>
      <c r="E166" s="12">
        <v>2</v>
      </c>
      <c r="F166" s="12">
        <v>43</v>
      </c>
      <c r="G166" s="20">
        <v>30035</v>
      </c>
      <c r="H166" s="20">
        <v>2</v>
      </c>
      <c r="I166" s="20">
        <f t="shared" ref="I166:Q166" si="43">I46</f>
        <v>2</v>
      </c>
      <c r="J166" s="20">
        <f t="shared" si="43"/>
        <v>5</v>
      </c>
      <c r="K166" s="20">
        <f t="shared" si="43"/>
        <v>40524480255</v>
      </c>
      <c r="L166" s="20">
        <f t="shared" si="43"/>
        <v>40524480255</v>
      </c>
      <c r="M166" s="20">
        <f t="shared" si="43"/>
        <v>40524480255</v>
      </c>
      <c r="N166" s="20">
        <f t="shared" si="43"/>
        <v>0</v>
      </c>
      <c r="O166" s="20">
        <f t="shared" si="43"/>
        <v>0</v>
      </c>
      <c r="P166" s="20">
        <f t="shared" si="43"/>
        <v>0</v>
      </c>
      <c r="Q166" s="20">
        <f t="shared" si="43"/>
        <v>6.0115197558181503E+19</v>
      </c>
      <c r="R166" s="20">
        <v>0</v>
      </c>
      <c r="S166" s="12">
        <v>60</v>
      </c>
      <c r="T166" t="s">
        <v>275</v>
      </c>
      <c r="U166" s="26"/>
      <c r="V166" s="20"/>
      <c r="W166" s="20"/>
      <c r="X166" s="20"/>
    </row>
    <row r="167" spans="1:24" ht="15.75" x14ac:dyDescent="0.25">
      <c r="A167" s="12">
        <f t="shared" si="0"/>
        <v>20044</v>
      </c>
      <c r="B167" s="16" t="s">
        <v>278</v>
      </c>
      <c r="C167" s="1" t="s">
        <v>224</v>
      </c>
      <c r="D167" s="12">
        <v>44</v>
      </c>
      <c r="E167" s="12">
        <v>2</v>
      </c>
      <c r="F167" s="12">
        <v>44</v>
      </c>
      <c r="G167" s="20">
        <v>30085</v>
      </c>
      <c r="H167" s="20">
        <v>1</v>
      </c>
      <c r="I167" s="20">
        <f t="shared" ref="I167:Q167" si="44">I47</f>
        <v>2</v>
      </c>
      <c r="J167" s="20">
        <f t="shared" si="44"/>
        <v>5</v>
      </c>
      <c r="K167" s="20">
        <f t="shared" si="44"/>
        <v>45192474355</v>
      </c>
      <c r="L167" s="20">
        <f t="shared" si="44"/>
        <v>45192474355</v>
      </c>
      <c r="M167" s="20">
        <f t="shared" si="44"/>
        <v>45192474355</v>
      </c>
      <c r="N167" s="20">
        <f t="shared" si="44"/>
        <v>0</v>
      </c>
      <c r="O167" s="20">
        <f t="shared" si="44"/>
        <v>0</v>
      </c>
      <c r="P167" s="20">
        <f t="shared" si="44"/>
        <v>0</v>
      </c>
      <c r="Q167" s="20">
        <f t="shared" si="44"/>
        <v>7.7888400343511499E+19</v>
      </c>
      <c r="R167" s="20">
        <v>0</v>
      </c>
      <c r="S167" s="12">
        <v>60</v>
      </c>
      <c r="T167" t="s">
        <v>275</v>
      </c>
      <c r="U167" s="26"/>
      <c r="V167" s="20"/>
      <c r="W167" s="20"/>
      <c r="X167" s="20"/>
    </row>
    <row r="168" spans="1:24" ht="15.75" x14ac:dyDescent="0.25">
      <c r="A168" s="12">
        <f t="shared" si="0"/>
        <v>20045</v>
      </c>
      <c r="B168" s="16" t="s">
        <v>279</v>
      </c>
      <c r="C168" s="1" t="s">
        <v>224</v>
      </c>
      <c r="D168" s="12">
        <v>45</v>
      </c>
      <c r="E168" s="12">
        <v>2</v>
      </c>
      <c r="F168" s="12">
        <v>45</v>
      </c>
      <c r="G168" s="20">
        <v>30135</v>
      </c>
      <c r="H168" s="20">
        <v>3</v>
      </c>
      <c r="I168" s="20">
        <f t="shared" ref="I168:Q168" si="45">I48</f>
        <v>2</v>
      </c>
      <c r="J168" s="20">
        <f t="shared" si="45"/>
        <v>5</v>
      </c>
      <c r="K168" s="20">
        <f t="shared" si="45"/>
        <v>50974213845</v>
      </c>
      <c r="L168" s="20">
        <f t="shared" si="45"/>
        <v>50974213845</v>
      </c>
      <c r="M168" s="20">
        <f t="shared" si="45"/>
        <v>50974213845</v>
      </c>
      <c r="N168" s="20">
        <f t="shared" si="45"/>
        <v>0</v>
      </c>
      <c r="O168" s="20">
        <f t="shared" si="45"/>
        <v>0</v>
      </c>
      <c r="P168" s="20">
        <f t="shared" si="45"/>
        <v>0</v>
      </c>
      <c r="Q168" s="20">
        <f t="shared" si="45"/>
        <v>1.03932646043157E+20</v>
      </c>
      <c r="R168" s="20">
        <v>0</v>
      </c>
      <c r="S168" s="12">
        <v>60</v>
      </c>
      <c r="T168" t="s">
        <v>280</v>
      </c>
      <c r="U168" s="26"/>
      <c r="V168" s="20"/>
      <c r="W168" s="20"/>
      <c r="X168" s="20"/>
    </row>
    <row r="169" spans="1:24" ht="15.75" x14ac:dyDescent="0.25">
      <c r="A169" s="12">
        <f t="shared" si="0"/>
        <v>20046</v>
      </c>
      <c r="B169" s="16" t="s">
        <v>281</v>
      </c>
      <c r="C169" s="1" t="s">
        <v>224</v>
      </c>
      <c r="D169" s="12">
        <v>46</v>
      </c>
      <c r="E169" s="12">
        <v>2</v>
      </c>
      <c r="F169" s="12">
        <v>46</v>
      </c>
      <c r="G169" s="20">
        <v>30185</v>
      </c>
      <c r="H169" s="20">
        <v>2</v>
      </c>
      <c r="I169" s="20">
        <f t="shared" ref="I169:Q169" si="46">I49</f>
        <v>2</v>
      </c>
      <c r="J169" s="20">
        <f t="shared" si="46"/>
        <v>5</v>
      </c>
      <c r="K169" s="20">
        <f t="shared" si="46"/>
        <v>57273255040</v>
      </c>
      <c r="L169" s="20">
        <f t="shared" si="46"/>
        <v>57273255040</v>
      </c>
      <c r="M169" s="20">
        <f t="shared" si="46"/>
        <v>57273255040</v>
      </c>
      <c r="N169" s="20">
        <f t="shared" si="46"/>
        <v>0</v>
      </c>
      <c r="O169" s="20">
        <f t="shared" si="46"/>
        <v>0</v>
      </c>
      <c r="P169" s="20">
        <f t="shared" si="46"/>
        <v>0</v>
      </c>
      <c r="Q169" s="20">
        <f t="shared" si="46"/>
        <v>1.3954245208691501E+20</v>
      </c>
      <c r="R169" s="20">
        <v>0</v>
      </c>
      <c r="S169" s="12">
        <v>60</v>
      </c>
      <c r="T169" t="s">
        <v>280</v>
      </c>
      <c r="U169" s="26"/>
      <c r="V169" s="20"/>
      <c r="W169" s="20"/>
      <c r="X169" s="20"/>
    </row>
    <row r="170" spans="1:24" ht="15.75" x14ac:dyDescent="0.25">
      <c r="A170" s="12">
        <f t="shared" si="0"/>
        <v>20047</v>
      </c>
      <c r="B170" s="16" t="s">
        <v>282</v>
      </c>
      <c r="C170" s="1" t="s">
        <v>224</v>
      </c>
      <c r="D170" s="12">
        <v>47</v>
      </c>
      <c r="E170" s="12">
        <v>2</v>
      </c>
      <c r="F170" s="12">
        <v>47</v>
      </c>
      <c r="G170" s="20">
        <v>40035</v>
      </c>
      <c r="H170" s="20">
        <v>1</v>
      </c>
      <c r="I170" s="20">
        <f t="shared" ref="I170:Q170" si="47">I50</f>
        <v>2</v>
      </c>
      <c r="J170" s="20">
        <f t="shared" si="47"/>
        <v>5</v>
      </c>
      <c r="K170" s="20">
        <f t="shared" si="47"/>
        <v>64276150605</v>
      </c>
      <c r="L170" s="20">
        <f t="shared" si="47"/>
        <v>64276150605</v>
      </c>
      <c r="M170" s="20">
        <f t="shared" si="47"/>
        <v>64276150605</v>
      </c>
      <c r="N170" s="20">
        <f t="shared" si="47"/>
        <v>0</v>
      </c>
      <c r="O170" s="20">
        <f t="shared" si="47"/>
        <v>0</v>
      </c>
      <c r="P170" s="20">
        <f t="shared" si="47"/>
        <v>0</v>
      </c>
      <c r="Q170" s="20">
        <f t="shared" si="47"/>
        <v>1.84550037154706E+20</v>
      </c>
      <c r="R170" s="20">
        <v>0</v>
      </c>
      <c r="S170" s="12">
        <v>60</v>
      </c>
      <c r="T170" t="s">
        <v>280</v>
      </c>
      <c r="U170" s="26"/>
      <c r="V170" s="20"/>
      <c r="W170" s="20"/>
      <c r="X170" s="20"/>
    </row>
    <row r="171" spans="1:24" ht="15.75" x14ac:dyDescent="0.25">
      <c r="A171" s="12">
        <f t="shared" si="0"/>
        <v>20048</v>
      </c>
      <c r="B171" s="16" t="s">
        <v>283</v>
      </c>
      <c r="C171" s="1" t="s">
        <v>224</v>
      </c>
      <c r="D171" s="12">
        <v>48</v>
      </c>
      <c r="E171" s="12">
        <v>2</v>
      </c>
      <c r="F171" s="12">
        <v>48</v>
      </c>
      <c r="G171" s="20">
        <v>40085</v>
      </c>
      <c r="H171" s="20">
        <v>3</v>
      </c>
      <c r="I171" s="20">
        <f t="shared" ref="I171:Q171" si="48">I51</f>
        <v>2</v>
      </c>
      <c r="J171" s="20">
        <f t="shared" si="48"/>
        <v>5</v>
      </c>
      <c r="K171" s="20">
        <f t="shared" si="48"/>
        <v>71872179505</v>
      </c>
      <c r="L171" s="20">
        <f t="shared" si="48"/>
        <v>71872179505</v>
      </c>
      <c r="M171" s="20">
        <f t="shared" si="48"/>
        <v>71872179505</v>
      </c>
      <c r="N171" s="20">
        <f t="shared" si="48"/>
        <v>0</v>
      </c>
      <c r="O171" s="20">
        <f t="shared" si="48"/>
        <v>0</v>
      </c>
      <c r="P171" s="20">
        <f t="shared" si="48"/>
        <v>0</v>
      </c>
      <c r="Q171" s="20">
        <f t="shared" si="48"/>
        <v>2.4520549723172199E+20</v>
      </c>
      <c r="R171" s="20">
        <v>0</v>
      </c>
      <c r="S171" s="12">
        <v>60</v>
      </c>
      <c r="T171" t="s">
        <v>280</v>
      </c>
      <c r="U171" s="26"/>
      <c r="V171" s="20"/>
      <c r="W171" s="20"/>
      <c r="X171" s="20"/>
    </row>
    <row r="172" spans="1:24" ht="15.75" x14ac:dyDescent="0.25">
      <c r="A172" s="12">
        <f t="shared" si="0"/>
        <v>20049</v>
      </c>
      <c r="B172" s="16" t="s">
        <v>284</v>
      </c>
      <c r="C172" s="1" t="s">
        <v>224</v>
      </c>
      <c r="D172" s="12">
        <v>49</v>
      </c>
      <c r="E172" s="12">
        <v>2</v>
      </c>
      <c r="F172" s="12">
        <v>49</v>
      </c>
      <c r="G172" s="20">
        <v>40135</v>
      </c>
      <c r="H172" s="20">
        <v>2</v>
      </c>
      <c r="I172" s="20">
        <f t="shared" ref="I172:Q172" si="49">I52</f>
        <v>2</v>
      </c>
      <c r="J172" s="20">
        <f t="shared" si="49"/>
        <v>5</v>
      </c>
      <c r="K172" s="20">
        <f t="shared" si="49"/>
        <v>80659950855</v>
      </c>
      <c r="L172" s="20">
        <f t="shared" si="49"/>
        <v>80659950855</v>
      </c>
      <c r="M172" s="20">
        <f t="shared" si="49"/>
        <v>80659950855</v>
      </c>
      <c r="N172" s="20">
        <f t="shared" si="49"/>
        <v>0</v>
      </c>
      <c r="O172" s="20">
        <f t="shared" si="49"/>
        <v>0</v>
      </c>
      <c r="P172" s="20">
        <f t="shared" si="49"/>
        <v>0</v>
      </c>
      <c r="Q172" s="20">
        <f t="shared" si="49"/>
        <v>3.32194458119875E+20</v>
      </c>
      <c r="R172" s="20">
        <v>0</v>
      </c>
      <c r="S172" s="12">
        <v>60</v>
      </c>
      <c r="T172" t="s">
        <v>285</v>
      </c>
      <c r="U172" s="26"/>
      <c r="V172" s="20"/>
      <c r="W172" s="20"/>
      <c r="X172" s="20"/>
    </row>
    <row r="173" spans="1:24" ht="15.75" x14ac:dyDescent="0.25">
      <c r="A173" s="12">
        <f t="shared" si="0"/>
        <v>20050</v>
      </c>
      <c r="B173" s="16" t="s">
        <v>286</v>
      </c>
      <c r="C173" s="1" t="s">
        <v>224</v>
      </c>
      <c r="D173" s="12">
        <v>50</v>
      </c>
      <c r="E173" s="12">
        <v>2</v>
      </c>
      <c r="F173" s="12">
        <v>50</v>
      </c>
      <c r="G173" s="20">
        <v>40185</v>
      </c>
      <c r="H173" s="20">
        <v>1</v>
      </c>
      <c r="I173" s="20">
        <f t="shared" ref="I173:Q173" si="50">I53</f>
        <v>2</v>
      </c>
      <c r="J173" s="20">
        <f t="shared" si="50"/>
        <v>5</v>
      </c>
      <c r="K173" s="20">
        <f t="shared" si="50"/>
        <v>89316558810</v>
      </c>
      <c r="L173" s="20">
        <f t="shared" si="50"/>
        <v>89316558810</v>
      </c>
      <c r="M173" s="20">
        <f t="shared" si="50"/>
        <v>89316558810</v>
      </c>
      <c r="N173" s="20">
        <f t="shared" si="50"/>
        <v>0</v>
      </c>
      <c r="O173" s="20">
        <f t="shared" si="50"/>
        <v>0</v>
      </c>
      <c r="P173" s="20">
        <f t="shared" si="50"/>
        <v>0</v>
      </c>
      <c r="Q173" s="20">
        <f t="shared" si="50"/>
        <v>4.3178479409735801E+20</v>
      </c>
      <c r="R173" s="20">
        <v>0</v>
      </c>
      <c r="S173" s="12">
        <v>60</v>
      </c>
      <c r="T173" t="s">
        <v>285</v>
      </c>
      <c r="U173" s="26"/>
      <c r="V173" s="20"/>
      <c r="W173" s="20"/>
      <c r="X173" s="20"/>
    </row>
    <row r="174" spans="1:24" ht="15.75" x14ac:dyDescent="0.25">
      <c r="A174" s="12">
        <f t="shared" si="0"/>
        <v>20051</v>
      </c>
      <c r="B174" s="16" t="s">
        <v>287</v>
      </c>
      <c r="C174" s="1" t="s">
        <v>224</v>
      </c>
      <c r="D174" s="12">
        <v>51</v>
      </c>
      <c r="E174" s="12">
        <v>2</v>
      </c>
      <c r="F174" s="12">
        <v>51</v>
      </c>
      <c r="G174" s="20">
        <v>50035</v>
      </c>
      <c r="H174" s="20">
        <v>3</v>
      </c>
      <c r="I174" s="20">
        <f t="shared" ref="I174:Q174" si="51">I54</f>
        <v>2</v>
      </c>
      <c r="J174" s="20">
        <f t="shared" si="51"/>
        <v>5</v>
      </c>
      <c r="K174" s="20">
        <f t="shared" si="51"/>
        <v>99551542835</v>
      </c>
      <c r="L174" s="20">
        <f t="shared" si="51"/>
        <v>99551542835</v>
      </c>
      <c r="M174" s="20">
        <f t="shared" si="51"/>
        <v>99551542835</v>
      </c>
      <c r="N174" s="20">
        <f t="shared" si="51"/>
        <v>0</v>
      </c>
      <c r="O174" s="20">
        <f t="shared" si="51"/>
        <v>0</v>
      </c>
      <c r="P174" s="20">
        <f t="shared" si="51"/>
        <v>0</v>
      </c>
      <c r="Q174" s="20">
        <f t="shared" si="51"/>
        <v>5.62370147730003E+20</v>
      </c>
      <c r="R174" s="20">
        <v>0</v>
      </c>
      <c r="S174" s="12">
        <v>60</v>
      </c>
      <c r="T174" t="s">
        <v>285</v>
      </c>
      <c r="U174" s="26"/>
      <c r="V174" s="20"/>
      <c r="W174" s="20"/>
      <c r="X174" s="20"/>
    </row>
    <row r="175" spans="1:24" ht="15.75" x14ac:dyDescent="0.25">
      <c r="A175" s="12">
        <f t="shared" si="0"/>
        <v>20052</v>
      </c>
      <c r="B175" s="16" t="s">
        <v>288</v>
      </c>
      <c r="C175" s="1" t="s">
        <v>224</v>
      </c>
      <c r="D175" s="12">
        <v>52</v>
      </c>
      <c r="E175" s="12">
        <v>2</v>
      </c>
      <c r="F175" s="12">
        <v>52</v>
      </c>
      <c r="G175" s="20">
        <v>10025</v>
      </c>
      <c r="H175" s="20">
        <v>2</v>
      </c>
      <c r="I175" s="20">
        <f t="shared" ref="I175:Q175" si="52">I55</f>
        <v>2</v>
      </c>
      <c r="J175" s="20">
        <f t="shared" si="52"/>
        <v>5</v>
      </c>
      <c r="K175" s="20">
        <f t="shared" si="52"/>
        <v>107660367945</v>
      </c>
      <c r="L175" s="20">
        <f t="shared" si="52"/>
        <v>107660367945</v>
      </c>
      <c r="M175" s="20">
        <f t="shared" si="52"/>
        <v>107660367945</v>
      </c>
      <c r="N175" s="20">
        <f t="shared" si="52"/>
        <v>0</v>
      </c>
      <c r="O175" s="20">
        <f t="shared" si="52"/>
        <v>0</v>
      </c>
      <c r="P175" s="20">
        <f t="shared" si="52"/>
        <v>0</v>
      </c>
      <c r="Q175" s="20">
        <f t="shared" si="52"/>
        <v>7.1164885106501196E+20</v>
      </c>
      <c r="R175" s="20">
        <v>0</v>
      </c>
      <c r="S175" s="12">
        <v>60</v>
      </c>
      <c r="T175" t="s">
        <v>285</v>
      </c>
      <c r="U175" s="26"/>
      <c r="V175" s="20"/>
      <c r="W175" s="20"/>
      <c r="X175" s="20"/>
    </row>
    <row r="176" spans="1:24" ht="15.75" x14ac:dyDescent="0.25">
      <c r="A176" s="12">
        <f t="shared" si="0"/>
        <v>20053</v>
      </c>
      <c r="B176" s="16" t="s">
        <v>289</v>
      </c>
      <c r="C176" s="1" t="s">
        <v>224</v>
      </c>
      <c r="D176" s="12">
        <v>53</v>
      </c>
      <c r="E176" s="12">
        <v>2</v>
      </c>
      <c r="F176" s="12">
        <v>53</v>
      </c>
      <c r="G176" s="20">
        <v>10075</v>
      </c>
      <c r="H176" s="20">
        <v>1</v>
      </c>
      <c r="I176" s="20">
        <f t="shared" ref="I176:Q176" si="53">I56</f>
        <v>2</v>
      </c>
      <c r="J176" s="20">
        <f t="shared" si="53"/>
        <v>5</v>
      </c>
      <c r="K176" s="20">
        <f t="shared" si="53"/>
        <v>118277046610</v>
      </c>
      <c r="L176" s="20">
        <f t="shared" si="53"/>
        <v>118277046610</v>
      </c>
      <c r="M176" s="20">
        <f t="shared" si="53"/>
        <v>118277046610</v>
      </c>
      <c r="N176" s="20">
        <f t="shared" si="53"/>
        <v>0</v>
      </c>
      <c r="O176" s="20">
        <f t="shared" si="53"/>
        <v>0</v>
      </c>
      <c r="P176" s="20">
        <f t="shared" si="53"/>
        <v>0</v>
      </c>
      <c r="Q176" s="20">
        <f t="shared" si="53"/>
        <v>1.7524396436742501E+21</v>
      </c>
      <c r="R176" s="20">
        <v>0</v>
      </c>
      <c r="S176" s="12">
        <v>60</v>
      </c>
      <c r="T176" t="s">
        <v>290</v>
      </c>
      <c r="U176" s="26"/>
      <c r="V176" s="20"/>
      <c r="W176" s="20"/>
      <c r="X176" s="20"/>
    </row>
    <row r="177" spans="1:24" ht="15.75" x14ac:dyDescent="0.25">
      <c r="A177" s="12">
        <f t="shared" si="0"/>
        <v>20054</v>
      </c>
      <c r="B177" s="16" t="s">
        <v>291</v>
      </c>
      <c r="C177" s="1" t="s">
        <v>224</v>
      </c>
      <c r="D177" s="12">
        <v>54</v>
      </c>
      <c r="E177" s="12">
        <v>2</v>
      </c>
      <c r="F177" s="12">
        <v>54</v>
      </c>
      <c r="G177" s="20">
        <v>10125</v>
      </c>
      <c r="H177" s="20">
        <v>3</v>
      </c>
      <c r="I177" s="20">
        <f t="shared" ref="I177:Q177" si="54">I57</f>
        <v>2</v>
      </c>
      <c r="J177" s="20">
        <f t="shared" si="54"/>
        <v>5</v>
      </c>
      <c r="K177" s="20">
        <f t="shared" si="54"/>
        <v>128666764360</v>
      </c>
      <c r="L177" s="20">
        <f t="shared" si="54"/>
        <v>128666764360</v>
      </c>
      <c r="M177" s="20">
        <f t="shared" si="54"/>
        <v>128666764360</v>
      </c>
      <c r="N177" s="20">
        <f t="shared" si="54"/>
        <v>0</v>
      </c>
      <c r="O177" s="20">
        <f t="shared" si="54"/>
        <v>0</v>
      </c>
      <c r="P177" s="20">
        <f t="shared" si="54"/>
        <v>0</v>
      </c>
      <c r="Q177" s="20">
        <f t="shared" si="54"/>
        <v>2.2101461747248299E+21</v>
      </c>
      <c r="R177" s="20">
        <v>0</v>
      </c>
      <c r="S177" s="12">
        <v>60</v>
      </c>
      <c r="T177" t="s">
        <v>290</v>
      </c>
      <c r="U177" s="26"/>
      <c r="V177" s="20"/>
      <c r="W177" s="20"/>
      <c r="X177" s="20"/>
    </row>
    <row r="178" spans="1:24" ht="15.75" x14ac:dyDescent="0.25">
      <c r="A178" s="12">
        <f t="shared" si="0"/>
        <v>20055</v>
      </c>
      <c r="B178" s="16" t="s">
        <v>292</v>
      </c>
      <c r="C178" s="1" t="s">
        <v>224</v>
      </c>
      <c r="D178" s="12">
        <v>55</v>
      </c>
      <c r="E178" s="12">
        <v>2</v>
      </c>
      <c r="F178" s="12">
        <v>55</v>
      </c>
      <c r="G178" s="20">
        <v>10175</v>
      </c>
      <c r="H178" s="20">
        <v>2</v>
      </c>
      <c r="I178" s="20">
        <f t="shared" ref="I178:Q178" si="55">I58</f>
        <v>2</v>
      </c>
      <c r="J178" s="20">
        <f t="shared" si="55"/>
        <v>5</v>
      </c>
      <c r="K178" s="20">
        <f t="shared" si="55"/>
        <v>140718989180</v>
      </c>
      <c r="L178" s="20">
        <f t="shared" si="55"/>
        <v>140718989180</v>
      </c>
      <c r="M178" s="20">
        <f t="shared" si="55"/>
        <v>140718989180</v>
      </c>
      <c r="N178" s="20">
        <f t="shared" si="55"/>
        <v>0</v>
      </c>
      <c r="O178" s="20">
        <f t="shared" si="55"/>
        <v>0</v>
      </c>
      <c r="P178" s="20">
        <f t="shared" si="55"/>
        <v>0</v>
      </c>
      <c r="Q178" s="20">
        <f t="shared" si="55"/>
        <v>2.7898641802647998E+21</v>
      </c>
      <c r="R178" s="20">
        <v>0</v>
      </c>
      <c r="S178" s="12">
        <v>60</v>
      </c>
      <c r="T178" t="s">
        <v>290</v>
      </c>
      <c r="U178" s="26"/>
      <c r="V178" s="20"/>
      <c r="W178" s="20"/>
      <c r="X178" s="20"/>
    </row>
    <row r="179" spans="1:24" ht="15.75" x14ac:dyDescent="0.25">
      <c r="A179" s="12">
        <f t="shared" si="0"/>
        <v>20056</v>
      </c>
      <c r="B179" s="16" t="s">
        <v>293</v>
      </c>
      <c r="C179" s="1" t="s">
        <v>224</v>
      </c>
      <c r="D179" s="12">
        <v>56</v>
      </c>
      <c r="E179" s="12">
        <v>2</v>
      </c>
      <c r="F179" s="12">
        <v>56</v>
      </c>
      <c r="G179" s="20">
        <v>20025</v>
      </c>
      <c r="H179" s="20">
        <v>1</v>
      </c>
      <c r="I179" s="20">
        <f t="shared" ref="I179:Q179" si="56">I59</f>
        <v>2</v>
      </c>
      <c r="J179" s="20">
        <f t="shared" si="56"/>
        <v>5</v>
      </c>
      <c r="K179" s="20">
        <f t="shared" si="56"/>
        <v>152475215170</v>
      </c>
      <c r="L179" s="20">
        <f t="shared" si="56"/>
        <v>152475215170</v>
      </c>
      <c r="M179" s="20">
        <f t="shared" si="56"/>
        <v>152475215170</v>
      </c>
      <c r="N179" s="20">
        <f t="shared" si="56"/>
        <v>0</v>
      </c>
      <c r="O179" s="20">
        <f t="shared" si="56"/>
        <v>0</v>
      </c>
      <c r="P179" s="20">
        <f t="shared" si="56"/>
        <v>0</v>
      </c>
      <c r="Q179" s="20">
        <f t="shared" si="56"/>
        <v>3.4925942661933999E+21</v>
      </c>
      <c r="R179" s="20">
        <v>0</v>
      </c>
      <c r="S179" s="12">
        <v>60</v>
      </c>
      <c r="T179" t="s">
        <v>290</v>
      </c>
      <c r="U179" s="26"/>
      <c r="V179" s="20"/>
      <c r="W179" s="20"/>
      <c r="X179" s="20"/>
    </row>
    <row r="180" spans="1:24" ht="15.75" x14ac:dyDescent="0.25">
      <c r="A180" s="12">
        <f t="shared" si="0"/>
        <v>20057</v>
      </c>
      <c r="B180" s="16" t="s">
        <v>294</v>
      </c>
      <c r="C180" s="1" t="s">
        <v>224</v>
      </c>
      <c r="D180" s="12">
        <v>57</v>
      </c>
      <c r="E180" s="12">
        <v>2</v>
      </c>
      <c r="F180" s="12">
        <v>57</v>
      </c>
      <c r="G180" s="20">
        <v>20075</v>
      </c>
      <c r="H180" s="20">
        <v>3</v>
      </c>
      <c r="I180" s="20">
        <f t="shared" ref="I180:Q180" si="57">I60</f>
        <v>2</v>
      </c>
      <c r="J180" s="20">
        <f t="shared" si="57"/>
        <v>5</v>
      </c>
      <c r="K180" s="20">
        <f t="shared" si="57"/>
        <v>166757015875</v>
      </c>
      <c r="L180" s="20">
        <f t="shared" si="57"/>
        <v>166757015875</v>
      </c>
      <c r="M180" s="20">
        <f t="shared" si="57"/>
        <v>166757015875</v>
      </c>
      <c r="N180" s="20">
        <f t="shared" si="57"/>
        <v>0</v>
      </c>
      <c r="O180" s="20">
        <f t="shared" si="57"/>
        <v>0</v>
      </c>
      <c r="P180" s="20">
        <f t="shared" si="57"/>
        <v>0</v>
      </c>
      <c r="Q180" s="20">
        <f t="shared" si="57"/>
        <v>4.5149541879004702E+21</v>
      </c>
      <c r="R180" s="20">
        <v>0</v>
      </c>
      <c r="S180" s="12">
        <v>60</v>
      </c>
      <c r="T180" t="s">
        <v>295</v>
      </c>
      <c r="U180" s="26"/>
      <c r="V180" s="20"/>
      <c r="W180" s="20"/>
      <c r="X180" s="20"/>
    </row>
    <row r="181" spans="1:24" ht="15.75" x14ac:dyDescent="0.25">
      <c r="A181" s="12">
        <f t="shared" si="0"/>
        <v>20058</v>
      </c>
      <c r="B181" s="16" t="s">
        <v>296</v>
      </c>
      <c r="C181" s="1" t="s">
        <v>224</v>
      </c>
      <c r="D181" s="12">
        <v>58</v>
      </c>
      <c r="E181" s="12">
        <v>2</v>
      </c>
      <c r="F181" s="12">
        <v>58</v>
      </c>
      <c r="G181" s="20">
        <v>20125</v>
      </c>
      <c r="H181" s="20">
        <v>2</v>
      </c>
      <c r="I181" s="20">
        <f t="shared" ref="I181:Q181" si="58">I61</f>
        <v>2</v>
      </c>
      <c r="J181" s="20">
        <f t="shared" si="58"/>
        <v>5</v>
      </c>
      <c r="K181" s="20">
        <f t="shared" si="58"/>
        <v>180087885525</v>
      </c>
      <c r="L181" s="20">
        <f t="shared" si="58"/>
        <v>180087885525</v>
      </c>
      <c r="M181" s="20">
        <f t="shared" si="58"/>
        <v>180087885525</v>
      </c>
      <c r="N181" s="20">
        <f t="shared" si="58"/>
        <v>0</v>
      </c>
      <c r="O181" s="20">
        <f t="shared" si="58"/>
        <v>0</v>
      </c>
      <c r="P181" s="20">
        <f t="shared" si="58"/>
        <v>0</v>
      </c>
      <c r="Q181" s="20">
        <f t="shared" si="58"/>
        <v>5.61440124078562E+21</v>
      </c>
      <c r="R181" s="20">
        <v>0</v>
      </c>
      <c r="S181" s="12">
        <v>60</v>
      </c>
      <c r="T181" t="s">
        <v>295</v>
      </c>
      <c r="U181" s="26"/>
      <c r="V181" s="20"/>
      <c r="W181" s="20"/>
      <c r="X181" s="20"/>
    </row>
    <row r="182" spans="1:24" ht="15.75" x14ac:dyDescent="0.25">
      <c r="A182" s="12">
        <f t="shared" si="0"/>
        <v>20059</v>
      </c>
      <c r="B182" s="16" t="s">
        <v>297</v>
      </c>
      <c r="C182" s="1" t="s">
        <v>224</v>
      </c>
      <c r="D182" s="12">
        <v>59</v>
      </c>
      <c r="E182" s="12">
        <v>2</v>
      </c>
      <c r="F182" s="12">
        <v>59</v>
      </c>
      <c r="G182" s="20">
        <v>20175</v>
      </c>
      <c r="H182" s="20">
        <v>1</v>
      </c>
      <c r="I182" s="20">
        <f t="shared" ref="I182:Q182" si="59">I62</f>
        <v>2</v>
      </c>
      <c r="J182" s="20">
        <f t="shared" si="59"/>
        <v>5</v>
      </c>
      <c r="K182" s="20">
        <f t="shared" si="59"/>
        <v>195581306730</v>
      </c>
      <c r="L182" s="20">
        <f t="shared" si="59"/>
        <v>195581306730</v>
      </c>
      <c r="M182" s="20">
        <f t="shared" si="59"/>
        <v>195581306730</v>
      </c>
      <c r="N182" s="20">
        <f t="shared" si="59"/>
        <v>0</v>
      </c>
      <c r="O182" s="20">
        <f t="shared" si="59"/>
        <v>0</v>
      </c>
      <c r="P182" s="20">
        <f t="shared" si="59"/>
        <v>0</v>
      </c>
      <c r="Q182" s="20">
        <f t="shared" si="59"/>
        <v>7.0016471625807996E+21</v>
      </c>
      <c r="R182" s="20">
        <v>0</v>
      </c>
      <c r="S182" s="12">
        <v>60</v>
      </c>
      <c r="T182" t="s">
        <v>295</v>
      </c>
      <c r="U182" s="26"/>
      <c r="V182" s="20"/>
      <c r="W182" s="20"/>
      <c r="X182" s="20"/>
    </row>
    <row r="183" spans="1:24" ht="15.75" x14ac:dyDescent="0.25">
      <c r="A183" s="12">
        <f t="shared" si="0"/>
        <v>20060</v>
      </c>
      <c r="B183" s="16" t="s">
        <v>298</v>
      </c>
      <c r="C183" s="1" t="s">
        <v>224</v>
      </c>
      <c r="D183" s="12">
        <v>60</v>
      </c>
      <c r="E183" s="12">
        <v>2</v>
      </c>
      <c r="F183" s="12">
        <v>60</v>
      </c>
      <c r="G183" s="20">
        <v>30025</v>
      </c>
      <c r="H183" s="20">
        <v>3</v>
      </c>
      <c r="I183" s="20">
        <f t="shared" ref="I183:Q183" si="60">I63</f>
        <v>2</v>
      </c>
      <c r="J183" s="20">
        <f t="shared" si="60"/>
        <v>5</v>
      </c>
      <c r="K183" s="20">
        <f t="shared" si="60"/>
        <v>210590038610</v>
      </c>
      <c r="L183" s="20">
        <f t="shared" si="60"/>
        <v>210590038610</v>
      </c>
      <c r="M183" s="20">
        <f t="shared" si="60"/>
        <v>210590038610</v>
      </c>
      <c r="N183" s="20">
        <f t="shared" si="60"/>
        <v>0</v>
      </c>
      <c r="O183" s="20">
        <f t="shared" si="60"/>
        <v>0</v>
      </c>
      <c r="P183" s="20">
        <f t="shared" si="60"/>
        <v>0</v>
      </c>
      <c r="Q183" s="20">
        <f t="shared" si="60"/>
        <v>8.6983560869698003E+21</v>
      </c>
      <c r="R183" s="20">
        <v>0</v>
      </c>
      <c r="S183" s="12">
        <v>60</v>
      </c>
      <c r="T183" t="s">
        <v>295</v>
      </c>
      <c r="U183" s="26"/>
      <c r="V183" s="20"/>
      <c r="W183" s="20"/>
      <c r="X183" s="20"/>
    </row>
    <row r="184" spans="1:24" ht="15.75" x14ac:dyDescent="0.25">
      <c r="A184" s="12">
        <f t="shared" si="0"/>
        <v>20061</v>
      </c>
      <c r="B184" s="16" t="s">
        <v>299</v>
      </c>
      <c r="C184" s="1" t="s">
        <v>224</v>
      </c>
      <c r="D184" s="12">
        <v>61</v>
      </c>
      <c r="E184" s="12">
        <v>2</v>
      </c>
      <c r="F184" s="12">
        <v>61</v>
      </c>
      <c r="G184" s="20">
        <v>30075</v>
      </c>
      <c r="H184" s="20">
        <v>2</v>
      </c>
      <c r="I184" s="20">
        <f t="shared" ref="I184:Q184" si="61">I64</f>
        <v>2</v>
      </c>
      <c r="J184" s="20">
        <f t="shared" si="61"/>
        <v>5</v>
      </c>
      <c r="K184" s="20">
        <f t="shared" si="61"/>
        <v>380144579500</v>
      </c>
      <c r="L184" s="20">
        <f t="shared" si="61"/>
        <v>380144579500</v>
      </c>
      <c r="M184" s="20">
        <f t="shared" si="61"/>
        <v>380144579500</v>
      </c>
      <c r="N184" s="20">
        <f t="shared" si="61"/>
        <v>0</v>
      </c>
      <c r="O184" s="20">
        <f t="shared" si="61"/>
        <v>0</v>
      </c>
      <c r="P184" s="20">
        <f t="shared" si="61"/>
        <v>0</v>
      </c>
      <c r="Q184" s="20">
        <f t="shared" si="61"/>
        <v>3.4917056376026801E+22</v>
      </c>
      <c r="R184" s="20">
        <v>0</v>
      </c>
      <c r="S184" s="12">
        <v>60</v>
      </c>
      <c r="T184" t="s">
        <v>300</v>
      </c>
      <c r="U184" s="26"/>
      <c r="V184" s="20"/>
      <c r="W184" s="20"/>
      <c r="X184" s="20"/>
    </row>
    <row r="185" spans="1:24" ht="15.75" x14ac:dyDescent="0.25">
      <c r="A185" s="12">
        <f t="shared" si="0"/>
        <v>20062</v>
      </c>
      <c r="B185" s="16" t="s">
        <v>301</v>
      </c>
      <c r="C185" s="1" t="s">
        <v>224</v>
      </c>
      <c r="D185" s="12">
        <v>62</v>
      </c>
      <c r="E185" s="12">
        <v>2</v>
      </c>
      <c r="F185" s="12">
        <v>62</v>
      </c>
      <c r="G185" s="20">
        <v>30125</v>
      </c>
      <c r="H185" s="20">
        <v>1</v>
      </c>
      <c r="I185" s="20">
        <f t="shared" ref="I185:Q185" si="62">I65</f>
        <v>2</v>
      </c>
      <c r="J185" s="20">
        <f t="shared" si="62"/>
        <v>5</v>
      </c>
      <c r="K185" s="20">
        <f t="shared" si="62"/>
        <v>406254291110</v>
      </c>
      <c r="L185" s="20">
        <f t="shared" si="62"/>
        <v>406254291110</v>
      </c>
      <c r="M185" s="20">
        <f t="shared" si="62"/>
        <v>406254291110</v>
      </c>
      <c r="N185" s="20">
        <f t="shared" si="62"/>
        <v>0</v>
      </c>
      <c r="O185" s="20">
        <f t="shared" si="62"/>
        <v>0</v>
      </c>
      <c r="P185" s="20">
        <f t="shared" si="62"/>
        <v>0</v>
      </c>
      <c r="Q185" s="20">
        <f t="shared" si="62"/>
        <v>4.2337243088893797E+22</v>
      </c>
      <c r="R185" s="20">
        <v>0</v>
      </c>
      <c r="S185" s="12">
        <v>60</v>
      </c>
      <c r="T185" t="s">
        <v>300</v>
      </c>
      <c r="U185" s="26"/>
      <c r="V185" s="20"/>
      <c r="W185" s="20"/>
      <c r="X185" s="20"/>
    </row>
    <row r="186" spans="1:24" ht="15.75" x14ac:dyDescent="0.25">
      <c r="A186" s="12">
        <f t="shared" si="0"/>
        <v>20063</v>
      </c>
      <c r="B186" s="16" t="s">
        <v>302</v>
      </c>
      <c r="C186" s="1" t="s">
        <v>224</v>
      </c>
      <c r="D186" s="12">
        <v>63</v>
      </c>
      <c r="E186" s="12">
        <v>2</v>
      </c>
      <c r="F186" s="12">
        <v>63</v>
      </c>
      <c r="G186" s="20">
        <v>30175</v>
      </c>
      <c r="H186" s="20">
        <v>3</v>
      </c>
      <c r="I186" s="20">
        <f t="shared" ref="I186:Q186" si="63">I66</f>
        <v>2</v>
      </c>
      <c r="J186" s="20">
        <f t="shared" si="63"/>
        <v>5</v>
      </c>
      <c r="K186" s="20">
        <f t="shared" si="63"/>
        <v>436597890710</v>
      </c>
      <c r="L186" s="20">
        <f t="shared" si="63"/>
        <v>436597890710</v>
      </c>
      <c r="M186" s="20">
        <f t="shared" si="63"/>
        <v>436597890710</v>
      </c>
      <c r="N186" s="20">
        <f t="shared" si="63"/>
        <v>0</v>
      </c>
      <c r="O186" s="20">
        <f t="shared" si="63"/>
        <v>0</v>
      </c>
      <c r="P186" s="20">
        <f t="shared" si="63"/>
        <v>0</v>
      </c>
      <c r="Q186" s="20">
        <f t="shared" si="63"/>
        <v>5.1416847673219697E+22</v>
      </c>
      <c r="R186" s="20">
        <v>0</v>
      </c>
      <c r="S186" s="12">
        <v>60</v>
      </c>
      <c r="T186" t="s">
        <v>300</v>
      </c>
      <c r="U186" s="26"/>
      <c r="V186" s="20"/>
      <c r="W186" s="20"/>
      <c r="X186" s="20"/>
    </row>
    <row r="187" spans="1:24" ht="15.75" x14ac:dyDescent="0.25">
      <c r="A187" s="12">
        <f t="shared" si="0"/>
        <v>20064</v>
      </c>
      <c r="B187" s="16" t="s">
        <v>303</v>
      </c>
      <c r="C187" s="1" t="s">
        <v>224</v>
      </c>
      <c r="D187" s="12">
        <v>64</v>
      </c>
      <c r="E187" s="12">
        <v>2</v>
      </c>
      <c r="F187" s="12">
        <v>64</v>
      </c>
      <c r="G187" s="20">
        <v>40025</v>
      </c>
      <c r="H187" s="20">
        <v>2</v>
      </c>
      <c r="I187" s="20">
        <f t="shared" ref="I187:Q187" si="64">I67</f>
        <v>2</v>
      </c>
      <c r="J187" s="20">
        <f t="shared" si="64"/>
        <v>5</v>
      </c>
      <c r="K187" s="20">
        <f t="shared" si="64"/>
        <v>465641810800</v>
      </c>
      <c r="L187" s="20">
        <f t="shared" si="64"/>
        <v>465641810800</v>
      </c>
      <c r="M187" s="20">
        <f t="shared" si="64"/>
        <v>465641810800</v>
      </c>
      <c r="N187" s="20">
        <f t="shared" si="64"/>
        <v>0</v>
      </c>
      <c r="O187" s="20">
        <f t="shared" si="64"/>
        <v>0</v>
      </c>
      <c r="P187" s="20">
        <f t="shared" si="64"/>
        <v>0</v>
      </c>
      <c r="Q187" s="20">
        <f t="shared" si="64"/>
        <v>6.2095043642641198E+22</v>
      </c>
      <c r="R187" s="20">
        <v>0</v>
      </c>
      <c r="S187" s="12">
        <v>60</v>
      </c>
      <c r="T187" t="s">
        <v>300</v>
      </c>
      <c r="U187" s="26"/>
      <c r="V187" s="20"/>
      <c r="W187" s="20"/>
      <c r="X187" s="20"/>
    </row>
    <row r="188" spans="1:24" ht="15.75" x14ac:dyDescent="0.25">
      <c r="A188" s="12">
        <f t="shared" ref="A188:A243" si="65">A68+10000</f>
        <v>20065</v>
      </c>
      <c r="B188" s="16" t="s">
        <v>304</v>
      </c>
      <c r="C188" s="1" t="s">
        <v>224</v>
      </c>
      <c r="D188" s="12">
        <v>65</v>
      </c>
      <c r="E188" s="12">
        <v>2</v>
      </c>
      <c r="F188" s="12">
        <v>65</v>
      </c>
      <c r="G188" s="20">
        <v>40075</v>
      </c>
      <c r="H188" s="20">
        <v>1</v>
      </c>
      <c r="I188" s="20">
        <f t="shared" ref="I188:Q188" si="66">I68</f>
        <v>2</v>
      </c>
      <c r="J188" s="20">
        <f t="shared" si="66"/>
        <v>5</v>
      </c>
      <c r="K188" s="20">
        <f t="shared" si="66"/>
        <v>547117431495</v>
      </c>
      <c r="L188" s="20">
        <f t="shared" si="66"/>
        <v>547117431495</v>
      </c>
      <c r="M188" s="20">
        <f t="shared" si="66"/>
        <v>547117431495</v>
      </c>
      <c r="N188" s="20">
        <f t="shared" si="66"/>
        <v>0</v>
      </c>
      <c r="O188" s="20">
        <f t="shared" si="66"/>
        <v>0</v>
      </c>
      <c r="P188" s="20">
        <f t="shared" si="66"/>
        <v>0</v>
      </c>
      <c r="Q188" s="20">
        <f t="shared" si="66"/>
        <v>7.8202588154703806E+22</v>
      </c>
      <c r="R188" s="20">
        <v>0</v>
      </c>
      <c r="S188" s="12">
        <v>60</v>
      </c>
      <c r="T188" t="s">
        <v>305</v>
      </c>
      <c r="U188" s="26"/>
      <c r="V188" s="20"/>
      <c r="W188" s="20"/>
      <c r="X188" s="20"/>
    </row>
    <row r="189" spans="1:24" ht="15.75" x14ac:dyDescent="0.25">
      <c r="A189" s="12">
        <f t="shared" si="65"/>
        <v>20066</v>
      </c>
      <c r="B189" s="16" t="s">
        <v>306</v>
      </c>
      <c r="C189" s="1" t="s">
        <v>224</v>
      </c>
      <c r="D189" s="12">
        <v>66</v>
      </c>
      <c r="E189" s="12">
        <v>2</v>
      </c>
      <c r="F189" s="12">
        <v>66</v>
      </c>
      <c r="G189" s="20">
        <v>40125</v>
      </c>
      <c r="H189" s="20">
        <v>3</v>
      </c>
      <c r="I189" s="20">
        <f t="shared" ref="I189:Q189" si="67">I69</f>
        <v>2</v>
      </c>
      <c r="J189" s="20">
        <f t="shared" si="67"/>
        <v>5</v>
      </c>
      <c r="K189" s="20">
        <f t="shared" si="67"/>
        <v>582928054315</v>
      </c>
      <c r="L189" s="20">
        <f t="shared" si="67"/>
        <v>582928054315</v>
      </c>
      <c r="M189" s="20">
        <f t="shared" si="67"/>
        <v>582928054315</v>
      </c>
      <c r="N189" s="20">
        <f t="shared" si="67"/>
        <v>0</v>
      </c>
      <c r="O189" s="20">
        <f t="shared" si="67"/>
        <v>0</v>
      </c>
      <c r="P189" s="20">
        <f t="shared" si="67"/>
        <v>0</v>
      </c>
      <c r="Q189" s="20">
        <f t="shared" si="67"/>
        <v>9.42776497330198E+22</v>
      </c>
      <c r="R189" s="20">
        <v>0</v>
      </c>
      <c r="S189" s="12">
        <v>60</v>
      </c>
      <c r="T189" t="s">
        <v>305</v>
      </c>
      <c r="U189" s="26"/>
      <c r="V189" s="20"/>
      <c r="W189" s="20"/>
      <c r="X189" s="20"/>
    </row>
    <row r="190" spans="1:24" ht="15.75" x14ac:dyDescent="0.25">
      <c r="A190" s="12">
        <f t="shared" si="65"/>
        <v>20067</v>
      </c>
      <c r="B190" s="16" t="s">
        <v>307</v>
      </c>
      <c r="C190" s="1" t="s">
        <v>224</v>
      </c>
      <c r="D190" s="12">
        <v>67</v>
      </c>
      <c r="E190" s="12">
        <v>2</v>
      </c>
      <c r="F190" s="12">
        <v>67</v>
      </c>
      <c r="G190" s="20">
        <v>40175</v>
      </c>
      <c r="H190" s="20">
        <v>2</v>
      </c>
      <c r="I190" s="20">
        <f t="shared" ref="I190:Q190" si="68">I70</f>
        <v>2</v>
      </c>
      <c r="J190" s="20">
        <f t="shared" si="68"/>
        <v>5</v>
      </c>
      <c r="K190" s="20">
        <f t="shared" si="68"/>
        <v>624574908810</v>
      </c>
      <c r="L190" s="20">
        <f t="shared" si="68"/>
        <v>624574908810</v>
      </c>
      <c r="M190" s="20">
        <f t="shared" si="68"/>
        <v>624574908810</v>
      </c>
      <c r="N190" s="20">
        <f t="shared" si="68"/>
        <v>0</v>
      </c>
      <c r="O190" s="20">
        <f t="shared" si="68"/>
        <v>0</v>
      </c>
      <c r="P190" s="20">
        <f t="shared" si="68"/>
        <v>0</v>
      </c>
      <c r="Q190" s="20">
        <f t="shared" si="68"/>
        <v>1.13882481298603E+23</v>
      </c>
      <c r="R190" s="20">
        <v>0</v>
      </c>
      <c r="S190" s="12">
        <v>60</v>
      </c>
      <c r="T190" t="s">
        <v>305</v>
      </c>
      <c r="U190" s="26"/>
      <c r="V190" s="20"/>
      <c r="W190" s="20"/>
      <c r="X190" s="20"/>
    </row>
    <row r="191" spans="1:24" ht="15.75" x14ac:dyDescent="0.25">
      <c r="A191" s="12">
        <f t="shared" si="65"/>
        <v>20068</v>
      </c>
      <c r="B191" s="16" t="s">
        <v>308</v>
      </c>
      <c r="C191" s="1" t="s">
        <v>224</v>
      </c>
      <c r="D191" s="12">
        <v>68</v>
      </c>
      <c r="E191" s="12">
        <v>2</v>
      </c>
      <c r="F191" s="12">
        <v>68</v>
      </c>
      <c r="G191" s="20">
        <v>50025</v>
      </c>
      <c r="H191" s="20">
        <v>1</v>
      </c>
      <c r="I191" s="20">
        <f t="shared" ref="I191:Q191" si="69">I71</f>
        <v>2</v>
      </c>
      <c r="J191" s="20">
        <f t="shared" si="69"/>
        <v>5</v>
      </c>
      <c r="K191" s="20">
        <f t="shared" si="69"/>
        <v>664250592050</v>
      </c>
      <c r="L191" s="20">
        <f t="shared" si="69"/>
        <v>664250592050</v>
      </c>
      <c r="M191" s="20">
        <f t="shared" si="69"/>
        <v>664250592050</v>
      </c>
      <c r="N191" s="20">
        <f t="shared" si="69"/>
        <v>0</v>
      </c>
      <c r="O191" s="20">
        <f t="shared" si="69"/>
        <v>0</v>
      </c>
      <c r="P191" s="20">
        <f t="shared" si="69"/>
        <v>0</v>
      </c>
      <c r="Q191" s="20">
        <f t="shared" si="69"/>
        <v>1.3685466632864499E+23</v>
      </c>
      <c r="R191" s="20">
        <v>0</v>
      </c>
      <c r="S191" s="12">
        <v>60</v>
      </c>
      <c r="T191" t="s">
        <v>305</v>
      </c>
      <c r="U191" s="26"/>
      <c r="V191" s="20"/>
      <c r="W191" s="20"/>
      <c r="X191" s="20"/>
    </row>
    <row r="192" spans="1:24" ht="15.75" x14ac:dyDescent="0.25">
      <c r="A192" s="12">
        <f t="shared" si="65"/>
        <v>20069</v>
      </c>
      <c r="B192" s="16" t="s">
        <v>309</v>
      </c>
      <c r="C192" s="1" t="s">
        <v>224</v>
      </c>
      <c r="D192" s="12">
        <v>69</v>
      </c>
      <c r="E192" s="12">
        <v>2</v>
      </c>
      <c r="F192" s="12">
        <v>69</v>
      </c>
      <c r="G192" s="20">
        <v>50075</v>
      </c>
      <c r="H192" s="20">
        <v>3</v>
      </c>
      <c r="I192" s="20">
        <f t="shared" ref="I192:Q192" si="70">I72</f>
        <v>2</v>
      </c>
      <c r="J192" s="20">
        <f t="shared" si="70"/>
        <v>5</v>
      </c>
      <c r="K192" s="20">
        <f t="shared" si="70"/>
        <v>710540723350</v>
      </c>
      <c r="L192" s="20">
        <f t="shared" si="70"/>
        <v>710540723350</v>
      </c>
      <c r="M192" s="20">
        <f t="shared" si="70"/>
        <v>710540723350</v>
      </c>
      <c r="N192" s="20">
        <f t="shared" si="70"/>
        <v>0</v>
      </c>
      <c r="O192" s="20">
        <f t="shared" si="70"/>
        <v>0</v>
      </c>
      <c r="P192" s="20">
        <f t="shared" si="70"/>
        <v>0</v>
      </c>
      <c r="Q192" s="20">
        <f t="shared" si="70"/>
        <v>1.64819605967886E+23</v>
      </c>
      <c r="R192" s="20">
        <v>0</v>
      </c>
      <c r="S192" s="12">
        <v>60</v>
      </c>
      <c r="T192" t="s">
        <v>310</v>
      </c>
      <c r="U192" s="26"/>
      <c r="V192" s="20"/>
      <c r="W192" s="20"/>
      <c r="X192" s="20"/>
    </row>
    <row r="193" spans="1:24" ht="15.75" x14ac:dyDescent="0.25">
      <c r="A193" s="12">
        <f t="shared" si="65"/>
        <v>20070</v>
      </c>
      <c r="B193" s="16" t="s">
        <v>311</v>
      </c>
      <c r="C193" s="1" t="s">
        <v>224</v>
      </c>
      <c r="D193" s="12">
        <v>70</v>
      </c>
      <c r="E193" s="12">
        <v>2</v>
      </c>
      <c r="F193" s="12">
        <v>70</v>
      </c>
      <c r="G193" s="20">
        <v>10065</v>
      </c>
      <c r="H193" s="20">
        <v>2</v>
      </c>
      <c r="I193" s="20">
        <f t="shared" ref="I193:Q193" si="71">I73</f>
        <v>2</v>
      </c>
      <c r="J193" s="20">
        <f t="shared" si="71"/>
        <v>5</v>
      </c>
      <c r="K193" s="20">
        <f t="shared" si="71"/>
        <v>754588569150</v>
      </c>
      <c r="L193" s="20">
        <f t="shared" si="71"/>
        <v>754588569150</v>
      </c>
      <c r="M193" s="20">
        <f t="shared" si="71"/>
        <v>754588569150</v>
      </c>
      <c r="N193" s="20">
        <f t="shared" si="71"/>
        <v>0</v>
      </c>
      <c r="O193" s="20">
        <f t="shared" si="71"/>
        <v>0</v>
      </c>
      <c r="P193" s="20">
        <f t="shared" si="71"/>
        <v>0</v>
      </c>
      <c r="Q193" s="20">
        <f t="shared" si="71"/>
        <v>1.9741355213334801E+23</v>
      </c>
      <c r="R193" s="20">
        <v>0</v>
      </c>
      <c r="S193" s="12">
        <v>60</v>
      </c>
      <c r="T193" t="s">
        <v>310</v>
      </c>
      <c r="U193" s="26"/>
      <c r="V193" s="20"/>
      <c r="W193" s="20"/>
      <c r="X193" s="20"/>
    </row>
    <row r="194" spans="1:24" ht="15.75" x14ac:dyDescent="0.25">
      <c r="A194" s="12">
        <f t="shared" si="65"/>
        <v>20071</v>
      </c>
      <c r="B194" s="16" t="s">
        <v>312</v>
      </c>
      <c r="C194" s="1" t="s">
        <v>224</v>
      </c>
      <c r="D194" s="12">
        <v>71</v>
      </c>
      <c r="E194" s="12">
        <v>2</v>
      </c>
      <c r="F194" s="12">
        <v>71</v>
      </c>
      <c r="G194" s="20">
        <v>10115</v>
      </c>
      <c r="H194" s="20">
        <v>1</v>
      </c>
      <c r="I194" s="20">
        <f t="shared" ref="I194:Q194" si="72">I74</f>
        <v>2</v>
      </c>
      <c r="J194" s="20">
        <f t="shared" si="72"/>
        <v>5</v>
      </c>
      <c r="K194" s="20">
        <f t="shared" si="72"/>
        <v>805881371825</v>
      </c>
      <c r="L194" s="20">
        <f t="shared" si="72"/>
        <v>805881371825</v>
      </c>
      <c r="M194" s="20">
        <f t="shared" si="72"/>
        <v>805881371825</v>
      </c>
      <c r="N194" s="20">
        <f t="shared" si="72"/>
        <v>0</v>
      </c>
      <c r="O194" s="20">
        <f t="shared" si="72"/>
        <v>0</v>
      </c>
      <c r="P194" s="20">
        <f t="shared" si="72"/>
        <v>0</v>
      </c>
      <c r="Q194" s="20">
        <f t="shared" si="72"/>
        <v>2.3700701263284499E+23</v>
      </c>
      <c r="R194" s="20">
        <v>0</v>
      </c>
      <c r="S194" s="12">
        <v>60</v>
      </c>
      <c r="T194" t="s">
        <v>310</v>
      </c>
      <c r="U194" s="26"/>
      <c r="V194" s="20"/>
      <c r="W194" s="20"/>
      <c r="X194" s="20"/>
    </row>
    <row r="195" spans="1:24" ht="15.75" x14ac:dyDescent="0.25">
      <c r="A195" s="12">
        <f t="shared" si="65"/>
        <v>20072</v>
      </c>
      <c r="B195" s="16" t="s">
        <v>313</v>
      </c>
      <c r="C195" s="1" t="s">
        <v>224</v>
      </c>
      <c r="D195" s="12">
        <v>72</v>
      </c>
      <c r="E195" s="12">
        <v>2</v>
      </c>
      <c r="F195" s="12">
        <v>72</v>
      </c>
      <c r="G195" s="20">
        <v>10165</v>
      </c>
      <c r="H195" s="20">
        <v>3</v>
      </c>
      <c r="I195" s="20">
        <f t="shared" ref="I195:Q195" si="73">I75</f>
        <v>2</v>
      </c>
      <c r="J195" s="20">
        <f t="shared" si="73"/>
        <v>5</v>
      </c>
      <c r="K195" s="20">
        <f t="shared" si="73"/>
        <v>849349846460</v>
      </c>
      <c r="L195" s="20">
        <f t="shared" si="73"/>
        <v>849349846460</v>
      </c>
      <c r="M195" s="20">
        <f t="shared" si="73"/>
        <v>849349846460</v>
      </c>
      <c r="N195" s="20">
        <f t="shared" si="73"/>
        <v>0</v>
      </c>
      <c r="O195" s="20">
        <f t="shared" si="73"/>
        <v>0</v>
      </c>
      <c r="P195" s="20">
        <f t="shared" si="73"/>
        <v>0</v>
      </c>
      <c r="Q195" s="20">
        <f t="shared" si="73"/>
        <v>2.8020918789288E+23</v>
      </c>
      <c r="R195" s="20">
        <v>0</v>
      </c>
      <c r="S195" s="12">
        <v>60</v>
      </c>
      <c r="T195" t="s">
        <v>310</v>
      </c>
      <c r="U195" s="26"/>
      <c r="V195" s="20"/>
      <c r="W195" s="20"/>
      <c r="X195" s="20"/>
    </row>
    <row r="196" spans="1:24" ht="15.75" x14ac:dyDescent="0.25">
      <c r="A196" s="12">
        <f t="shared" si="65"/>
        <v>20073</v>
      </c>
      <c r="B196" s="16" t="s">
        <v>314</v>
      </c>
      <c r="C196" s="1" t="s">
        <v>224</v>
      </c>
      <c r="D196" s="12">
        <v>73</v>
      </c>
      <c r="E196" s="12">
        <v>2</v>
      </c>
      <c r="F196" s="12">
        <v>73</v>
      </c>
      <c r="G196" s="20">
        <v>20015</v>
      </c>
      <c r="H196" s="20">
        <v>2</v>
      </c>
      <c r="I196" s="20">
        <f t="shared" ref="I196:Q196" si="74">I76</f>
        <v>2</v>
      </c>
      <c r="J196" s="20">
        <f t="shared" si="74"/>
        <v>5</v>
      </c>
      <c r="K196" s="20">
        <f t="shared" si="74"/>
        <v>904812627005</v>
      </c>
      <c r="L196" s="20">
        <f t="shared" si="74"/>
        <v>904812627005</v>
      </c>
      <c r="M196" s="20">
        <f t="shared" si="74"/>
        <v>904812627005</v>
      </c>
      <c r="N196" s="20">
        <f t="shared" si="74"/>
        <v>0</v>
      </c>
      <c r="O196" s="20">
        <f t="shared" si="74"/>
        <v>0</v>
      </c>
      <c r="P196" s="20">
        <f t="shared" si="74"/>
        <v>0</v>
      </c>
      <c r="Q196" s="20">
        <f t="shared" si="74"/>
        <v>3.4512116020382499E+23</v>
      </c>
      <c r="R196" s="20">
        <v>0</v>
      </c>
      <c r="S196" s="12">
        <v>60</v>
      </c>
      <c r="T196" t="s">
        <v>315</v>
      </c>
      <c r="U196" s="26"/>
      <c r="V196" s="20"/>
      <c r="W196" s="20"/>
      <c r="X196" s="20"/>
    </row>
    <row r="197" spans="1:24" ht="15.75" x14ac:dyDescent="0.25">
      <c r="A197" s="12">
        <f t="shared" si="65"/>
        <v>20074</v>
      </c>
      <c r="B197" s="16" t="s">
        <v>316</v>
      </c>
      <c r="C197" s="1" t="s">
        <v>224</v>
      </c>
      <c r="D197" s="12">
        <v>74</v>
      </c>
      <c r="E197" s="12">
        <v>2</v>
      </c>
      <c r="F197" s="12">
        <v>74</v>
      </c>
      <c r="G197" s="20">
        <v>20065</v>
      </c>
      <c r="H197" s="20">
        <v>1</v>
      </c>
      <c r="I197" s="20">
        <f t="shared" ref="I197:Q197" si="75">I77</f>
        <v>2</v>
      </c>
      <c r="J197" s="20">
        <f t="shared" si="75"/>
        <v>5</v>
      </c>
      <c r="K197" s="20">
        <f t="shared" si="75"/>
        <v>952363500030</v>
      </c>
      <c r="L197" s="20">
        <f t="shared" si="75"/>
        <v>952363500030</v>
      </c>
      <c r="M197" s="20">
        <f t="shared" si="75"/>
        <v>952363500030</v>
      </c>
      <c r="N197" s="20">
        <f t="shared" si="75"/>
        <v>0</v>
      </c>
      <c r="O197" s="20">
        <f t="shared" si="75"/>
        <v>0</v>
      </c>
      <c r="P197" s="20">
        <f t="shared" si="75"/>
        <v>0</v>
      </c>
      <c r="Q197" s="20">
        <f t="shared" si="75"/>
        <v>4.0672903940712002E+23</v>
      </c>
      <c r="R197" s="20">
        <v>0</v>
      </c>
      <c r="S197" s="12">
        <v>60</v>
      </c>
      <c r="T197" t="s">
        <v>315</v>
      </c>
      <c r="U197" s="26"/>
      <c r="V197" s="20"/>
      <c r="W197" s="20"/>
      <c r="X197" s="20"/>
    </row>
    <row r="198" spans="1:24" ht="15.75" x14ac:dyDescent="0.25">
      <c r="A198" s="12">
        <f t="shared" si="65"/>
        <v>20075</v>
      </c>
      <c r="B198" s="16" t="s">
        <v>317</v>
      </c>
      <c r="C198" s="1" t="s">
        <v>224</v>
      </c>
      <c r="D198" s="12">
        <v>75</v>
      </c>
      <c r="E198" s="12">
        <v>2</v>
      </c>
      <c r="F198" s="12">
        <v>75</v>
      </c>
      <c r="G198" s="20">
        <v>20115</v>
      </c>
      <c r="H198" s="20">
        <v>3</v>
      </c>
      <c r="I198" s="20">
        <f t="shared" ref="I198:Q198" si="76">I78</f>
        <v>2</v>
      </c>
      <c r="J198" s="20">
        <f t="shared" si="76"/>
        <v>5</v>
      </c>
      <c r="K198" s="20">
        <f t="shared" si="76"/>
        <v>1008111382920</v>
      </c>
      <c r="L198" s="20">
        <f t="shared" si="76"/>
        <v>1008111382920</v>
      </c>
      <c r="M198" s="20">
        <f t="shared" si="76"/>
        <v>1008111382920</v>
      </c>
      <c r="N198" s="20">
        <f t="shared" si="76"/>
        <v>0</v>
      </c>
      <c r="O198" s="20">
        <f t="shared" si="76"/>
        <v>0</v>
      </c>
      <c r="P198" s="20">
        <f t="shared" si="76"/>
        <v>0</v>
      </c>
      <c r="Q198" s="20">
        <f t="shared" si="76"/>
        <v>4.8075464821218798E+23</v>
      </c>
      <c r="R198" s="20">
        <v>0</v>
      </c>
      <c r="S198" s="12">
        <v>60</v>
      </c>
      <c r="T198" t="s">
        <v>315</v>
      </c>
      <c r="U198" s="26"/>
      <c r="V198" s="20"/>
      <c r="W198" s="20"/>
      <c r="X198" s="20"/>
    </row>
    <row r="199" spans="1:24" ht="15.75" x14ac:dyDescent="0.25">
      <c r="A199" s="12">
        <f t="shared" si="65"/>
        <v>20076</v>
      </c>
      <c r="B199" s="16" t="s">
        <v>318</v>
      </c>
      <c r="C199" s="1" t="s">
        <v>224</v>
      </c>
      <c r="D199" s="12">
        <v>76</v>
      </c>
      <c r="E199" s="12">
        <v>2</v>
      </c>
      <c r="F199" s="12">
        <v>76</v>
      </c>
      <c r="G199" s="20">
        <v>20165</v>
      </c>
      <c r="H199" s="20">
        <v>2</v>
      </c>
      <c r="I199" s="20">
        <f t="shared" ref="I199:Q199" si="77">I79</f>
        <v>2</v>
      </c>
      <c r="J199" s="20">
        <f t="shared" si="77"/>
        <v>5</v>
      </c>
      <c r="K199" s="20">
        <f t="shared" si="77"/>
        <v>1059810100115</v>
      </c>
      <c r="L199" s="20">
        <f t="shared" si="77"/>
        <v>1059810100115</v>
      </c>
      <c r="M199" s="20">
        <f t="shared" si="77"/>
        <v>1059810100115</v>
      </c>
      <c r="N199" s="20">
        <f t="shared" si="77"/>
        <v>0</v>
      </c>
      <c r="O199" s="20">
        <f t="shared" si="77"/>
        <v>0</v>
      </c>
      <c r="P199" s="20">
        <f t="shared" si="77"/>
        <v>0</v>
      </c>
      <c r="Q199" s="20">
        <f t="shared" si="77"/>
        <v>5.65212178883448E+23</v>
      </c>
      <c r="R199" s="20">
        <v>0</v>
      </c>
      <c r="S199" s="12">
        <v>60</v>
      </c>
      <c r="T199" t="s">
        <v>315</v>
      </c>
      <c r="U199" s="26"/>
      <c r="V199" s="20"/>
      <c r="W199" s="20"/>
      <c r="X199" s="20"/>
    </row>
    <row r="200" spans="1:24" ht="15.75" x14ac:dyDescent="0.25">
      <c r="A200" s="12">
        <f t="shared" si="65"/>
        <v>20077</v>
      </c>
      <c r="B200" s="16" t="s">
        <v>319</v>
      </c>
      <c r="C200" s="1" t="s">
        <v>224</v>
      </c>
      <c r="D200" s="12">
        <v>77</v>
      </c>
      <c r="E200" s="12">
        <v>2</v>
      </c>
      <c r="F200" s="12">
        <v>77</v>
      </c>
      <c r="G200" s="20">
        <v>30015</v>
      </c>
      <c r="H200" s="20">
        <v>1</v>
      </c>
      <c r="I200" s="20">
        <f t="shared" ref="I200:Q200" si="78">I80</f>
        <v>2</v>
      </c>
      <c r="J200" s="20">
        <f t="shared" si="78"/>
        <v>6</v>
      </c>
      <c r="K200" s="20">
        <f t="shared" si="78"/>
        <v>1134628706000</v>
      </c>
      <c r="L200" s="20">
        <f t="shared" si="78"/>
        <v>1134628706000</v>
      </c>
      <c r="M200" s="20">
        <f t="shared" si="78"/>
        <v>1134628706000</v>
      </c>
      <c r="N200" s="20">
        <f t="shared" si="78"/>
        <v>0</v>
      </c>
      <c r="O200" s="20">
        <f t="shared" si="78"/>
        <v>0</v>
      </c>
      <c r="P200" s="20">
        <f t="shared" si="78"/>
        <v>0</v>
      </c>
      <c r="Q200" s="20">
        <f t="shared" si="78"/>
        <v>7.8219779662600306E+23</v>
      </c>
      <c r="R200" s="20">
        <v>0</v>
      </c>
      <c r="S200" s="12">
        <v>60</v>
      </c>
      <c r="T200" t="s">
        <v>320</v>
      </c>
      <c r="U200" s="26"/>
      <c r="V200" s="20"/>
      <c r="W200" s="20"/>
      <c r="X200" s="20"/>
    </row>
    <row r="201" spans="1:24" ht="15.75" x14ac:dyDescent="0.25">
      <c r="A201" s="12">
        <f t="shared" si="65"/>
        <v>20078</v>
      </c>
      <c r="B201" s="16" t="s">
        <v>321</v>
      </c>
      <c r="C201" s="1" t="s">
        <v>224</v>
      </c>
      <c r="D201" s="12">
        <v>78</v>
      </c>
      <c r="E201" s="12">
        <v>2</v>
      </c>
      <c r="F201" s="12">
        <v>78</v>
      </c>
      <c r="G201" s="20">
        <v>30065</v>
      </c>
      <c r="H201" s="20">
        <v>3</v>
      </c>
      <c r="I201" s="20">
        <f t="shared" ref="I201:Q201" si="79">I81</f>
        <v>2</v>
      </c>
      <c r="J201" s="20">
        <f t="shared" si="79"/>
        <v>6</v>
      </c>
      <c r="K201" s="20">
        <f t="shared" si="79"/>
        <v>1205945077255</v>
      </c>
      <c r="L201" s="20">
        <f t="shared" si="79"/>
        <v>1205945077255</v>
      </c>
      <c r="M201" s="20">
        <f t="shared" si="79"/>
        <v>1205945077255</v>
      </c>
      <c r="N201" s="20">
        <f t="shared" si="79"/>
        <v>0</v>
      </c>
      <c r="O201" s="20">
        <f t="shared" si="79"/>
        <v>0</v>
      </c>
      <c r="P201" s="20">
        <f t="shared" si="79"/>
        <v>0</v>
      </c>
      <c r="Q201" s="20">
        <f t="shared" si="79"/>
        <v>9.55255852469745E+23</v>
      </c>
      <c r="R201" s="20">
        <v>0</v>
      </c>
      <c r="S201" s="12">
        <v>60</v>
      </c>
      <c r="T201" t="s">
        <v>320</v>
      </c>
      <c r="U201" s="26"/>
      <c r="V201" s="20"/>
      <c r="W201" s="20"/>
      <c r="X201" s="20"/>
    </row>
    <row r="202" spans="1:24" ht="15.75" x14ac:dyDescent="0.25">
      <c r="A202" s="12">
        <f t="shared" si="65"/>
        <v>20079</v>
      </c>
      <c r="B202" s="16" t="s">
        <v>322</v>
      </c>
      <c r="C202" s="1" t="s">
        <v>224</v>
      </c>
      <c r="D202" s="12">
        <v>79</v>
      </c>
      <c r="E202" s="12">
        <v>2</v>
      </c>
      <c r="F202" s="12">
        <v>79</v>
      </c>
      <c r="G202" s="20">
        <v>30115</v>
      </c>
      <c r="H202" s="20">
        <v>2</v>
      </c>
      <c r="I202" s="20">
        <f t="shared" ref="I202:Q202" si="80">I82</f>
        <v>2</v>
      </c>
      <c r="J202" s="20">
        <f t="shared" si="80"/>
        <v>6</v>
      </c>
      <c r="K202" s="20">
        <f t="shared" si="80"/>
        <v>1294309474850</v>
      </c>
      <c r="L202" s="20">
        <f t="shared" si="80"/>
        <v>1294309474850</v>
      </c>
      <c r="M202" s="20">
        <f t="shared" si="80"/>
        <v>1294309474850</v>
      </c>
      <c r="N202" s="20">
        <f t="shared" si="80"/>
        <v>0</v>
      </c>
      <c r="O202" s="20">
        <f t="shared" si="80"/>
        <v>0</v>
      </c>
      <c r="P202" s="20">
        <f t="shared" si="80"/>
        <v>0</v>
      </c>
      <c r="Q202" s="20">
        <f t="shared" si="80"/>
        <v>1.1914452634738601E+24</v>
      </c>
      <c r="R202" s="20">
        <v>0</v>
      </c>
      <c r="S202" s="12">
        <v>60</v>
      </c>
      <c r="T202" t="s">
        <v>320</v>
      </c>
      <c r="U202" s="26"/>
      <c r="V202" s="20"/>
      <c r="W202" s="20"/>
      <c r="X202" s="20"/>
    </row>
    <row r="203" spans="1:24" ht="15.75" x14ac:dyDescent="0.25">
      <c r="A203" s="12">
        <f t="shared" si="65"/>
        <v>20080</v>
      </c>
      <c r="B203" s="16" t="s">
        <v>323</v>
      </c>
      <c r="C203" s="1" t="s">
        <v>224</v>
      </c>
      <c r="D203" s="12">
        <v>80</v>
      </c>
      <c r="E203" s="12">
        <v>2</v>
      </c>
      <c r="F203" s="12">
        <v>80</v>
      </c>
      <c r="G203" s="20">
        <v>30165</v>
      </c>
      <c r="H203" s="20">
        <v>1</v>
      </c>
      <c r="I203" s="20">
        <f t="shared" ref="I203:Q203" si="81">I83</f>
        <v>2</v>
      </c>
      <c r="J203" s="20">
        <f t="shared" si="81"/>
        <v>6</v>
      </c>
      <c r="K203" s="20">
        <f t="shared" si="81"/>
        <v>1372844889330</v>
      </c>
      <c r="L203" s="20">
        <f t="shared" si="81"/>
        <v>1372844889330</v>
      </c>
      <c r="M203" s="20">
        <f t="shared" si="81"/>
        <v>1372844889330</v>
      </c>
      <c r="N203" s="20">
        <f t="shared" si="81"/>
        <v>0</v>
      </c>
      <c r="O203" s="20">
        <f t="shared" si="81"/>
        <v>0</v>
      </c>
      <c r="P203" s="20">
        <f t="shared" si="81"/>
        <v>0</v>
      </c>
      <c r="Q203" s="20">
        <f t="shared" si="81"/>
        <v>1.4550930861503199E+24</v>
      </c>
      <c r="R203" s="20">
        <v>0</v>
      </c>
      <c r="S203" s="12">
        <v>60</v>
      </c>
      <c r="T203" t="s">
        <v>320</v>
      </c>
      <c r="U203" s="26"/>
      <c r="V203" s="20"/>
      <c r="W203" s="20"/>
      <c r="X203" s="20"/>
    </row>
    <row r="204" spans="1:24" ht="15.75" x14ac:dyDescent="0.25">
      <c r="A204" s="12">
        <f t="shared" si="65"/>
        <v>20081</v>
      </c>
      <c r="B204" s="16" t="s">
        <v>324</v>
      </c>
      <c r="C204" s="1" t="s">
        <v>224</v>
      </c>
      <c r="D204" s="12">
        <v>81</v>
      </c>
      <c r="E204" s="12">
        <v>2</v>
      </c>
      <c r="F204" s="12">
        <v>81</v>
      </c>
      <c r="G204" s="20">
        <v>40015</v>
      </c>
      <c r="H204" s="20">
        <v>3</v>
      </c>
      <c r="I204" s="20">
        <f t="shared" ref="I204:Q204" si="82">I84</f>
        <v>2</v>
      </c>
      <c r="J204" s="20">
        <f t="shared" si="82"/>
        <v>6</v>
      </c>
      <c r="K204" s="20">
        <f t="shared" si="82"/>
        <v>2461957151705</v>
      </c>
      <c r="L204" s="20">
        <f t="shared" si="82"/>
        <v>2461957151705</v>
      </c>
      <c r="M204" s="20">
        <f t="shared" si="82"/>
        <v>2461957151705</v>
      </c>
      <c r="N204" s="20">
        <f t="shared" si="82"/>
        <v>0</v>
      </c>
      <c r="O204" s="20">
        <f t="shared" si="82"/>
        <v>0</v>
      </c>
      <c r="P204" s="20">
        <f t="shared" si="82"/>
        <v>0</v>
      </c>
      <c r="Q204" s="20">
        <f t="shared" si="82"/>
        <v>7.0714605345934501E+24</v>
      </c>
      <c r="R204" s="20">
        <v>0</v>
      </c>
      <c r="S204" s="12">
        <v>60</v>
      </c>
      <c r="T204" t="s">
        <v>325</v>
      </c>
      <c r="U204" s="26"/>
      <c r="V204" s="20"/>
      <c r="W204" s="20"/>
      <c r="X204" s="20"/>
    </row>
    <row r="205" spans="1:24" ht="15.75" x14ac:dyDescent="0.25">
      <c r="A205" s="12">
        <f t="shared" si="65"/>
        <v>20082</v>
      </c>
      <c r="B205" s="16" t="s">
        <v>326</v>
      </c>
      <c r="C205" s="1" t="s">
        <v>224</v>
      </c>
      <c r="D205" s="12">
        <v>82</v>
      </c>
      <c r="E205" s="12">
        <v>2</v>
      </c>
      <c r="F205" s="12">
        <v>82</v>
      </c>
      <c r="G205" s="20">
        <v>40065</v>
      </c>
      <c r="H205" s="20">
        <v>2</v>
      </c>
      <c r="I205" s="20">
        <f t="shared" ref="I205:Q205" si="83">I85</f>
        <v>2</v>
      </c>
      <c r="J205" s="20">
        <f t="shared" si="83"/>
        <v>6</v>
      </c>
      <c r="K205" s="20">
        <f t="shared" si="83"/>
        <v>2588284473940</v>
      </c>
      <c r="L205" s="20">
        <f t="shared" si="83"/>
        <v>2588284473940</v>
      </c>
      <c r="M205" s="20">
        <f t="shared" si="83"/>
        <v>2588284473940</v>
      </c>
      <c r="N205" s="20">
        <f t="shared" si="83"/>
        <v>0</v>
      </c>
      <c r="O205" s="20">
        <f t="shared" si="83"/>
        <v>0</v>
      </c>
      <c r="P205" s="20">
        <f t="shared" si="83"/>
        <v>0</v>
      </c>
      <c r="Q205" s="20">
        <f t="shared" si="83"/>
        <v>8.3719565113977004E+24</v>
      </c>
      <c r="R205" s="20">
        <v>0</v>
      </c>
      <c r="S205" s="12">
        <v>60</v>
      </c>
      <c r="T205" t="s">
        <v>325</v>
      </c>
      <c r="U205" s="26"/>
      <c r="V205" s="20"/>
      <c r="W205" s="20"/>
      <c r="X205" s="20"/>
    </row>
    <row r="206" spans="1:24" ht="15.75" x14ac:dyDescent="0.25">
      <c r="A206" s="12">
        <f t="shared" si="65"/>
        <v>20083</v>
      </c>
      <c r="B206" s="16" t="s">
        <v>327</v>
      </c>
      <c r="C206" s="1" t="s">
        <v>224</v>
      </c>
      <c r="D206" s="12">
        <v>83</v>
      </c>
      <c r="E206" s="12">
        <v>2</v>
      </c>
      <c r="F206" s="12">
        <v>83</v>
      </c>
      <c r="G206" s="20">
        <v>40115</v>
      </c>
      <c r="H206" s="20">
        <v>1</v>
      </c>
      <c r="I206" s="20">
        <f t="shared" ref="I206:Q206" si="84">I86</f>
        <v>2</v>
      </c>
      <c r="J206" s="20">
        <f t="shared" si="84"/>
        <v>6</v>
      </c>
      <c r="K206" s="20">
        <f t="shared" si="84"/>
        <v>2745613625505</v>
      </c>
      <c r="L206" s="20">
        <f t="shared" si="84"/>
        <v>2745613625505</v>
      </c>
      <c r="M206" s="20">
        <f t="shared" si="84"/>
        <v>2745613625505</v>
      </c>
      <c r="N206" s="20">
        <f t="shared" si="84"/>
        <v>0</v>
      </c>
      <c r="O206" s="20">
        <f t="shared" si="84"/>
        <v>0</v>
      </c>
      <c r="P206" s="20">
        <f t="shared" si="84"/>
        <v>0</v>
      </c>
      <c r="Q206" s="20">
        <f t="shared" si="84"/>
        <v>1.0080074778702601E+25</v>
      </c>
      <c r="R206" s="20">
        <v>0</v>
      </c>
      <c r="S206" s="12">
        <v>60</v>
      </c>
      <c r="T206" t="s">
        <v>325</v>
      </c>
      <c r="U206" s="26"/>
      <c r="V206" s="20"/>
      <c r="W206" s="20"/>
      <c r="X206" s="20"/>
    </row>
    <row r="207" spans="1:24" ht="15.75" x14ac:dyDescent="0.25">
      <c r="A207" s="12">
        <f t="shared" si="65"/>
        <v>20084</v>
      </c>
      <c r="B207" s="16" t="s">
        <v>328</v>
      </c>
      <c r="C207" s="1" t="s">
        <v>224</v>
      </c>
      <c r="D207" s="12">
        <v>84</v>
      </c>
      <c r="E207" s="12">
        <v>2</v>
      </c>
      <c r="F207" s="12">
        <v>84</v>
      </c>
      <c r="G207" s="20">
        <v>40165</v>
      </c>
      <c r="H207" s="20">
        <v>3</v>
      </c>
      <c r="I207" s="20">
        <f t="shared" ref="I207:Q207" si="85">I87</f>
        <v>2</v>
      </c>
      <c r="J207" s="20">
        <f t="shared" si="85"/>
        <v>6</v>
      </c>
      <c r="K207" s="20">
        <f t="shared" si="85"/>
        <v>2882604907570</v>
      </c>
      <c r="L207" s="20">
        <f t="shared" si="85"/>
        <v>2882604907570</v>
      </c>
      <c r="M207" s="20">
        <f t="shared" si="85"/>
        <v>2882604907570</v>
      </c>
      <c r="N207" s="20">
        <f t="shared" si="85"/>
        <v>0</v>
      </c>
      <c r="O207" s="20">
        <f t="shared" si="85"/>
        <v>0</v>
      </c>
      <c r="P207" s="20">
        <f t="shared" si="85"/>
        <v>0</v>
      </c>
      <c r="Q207" s="20">
        <f t="shared" si="85"/>
        <v>1.1883311941363501E+25</v>
      </c>
      <c r="R207" s="20">
        <v>0</v>
      </c>
      <c r="S207" s="12">
        <v>60</v>
      </c>
      <c r="T207" t="s">
        <v>325</v>
      </c>
      <c r="U207" s="26"/>
      <c r="V207" s="20"/>
      <c r="W207" s="20"/>
      <c r="X207" s="20"/>
    </row>
    <row r="208" spans="1:24" ht="15.75" x14ac:dyDescent="0.25">
      <c r="A208" s="12">
        <f t="shared" si="65"/>
        <v>20085</v>
      </c>
      <c r="B208" s="16" t="s">
        <v>329</v>
      </c>
      <c r="C208" s="1" t="s">
        <v>224</v>
      </c>
      <c r="D208" s="12">
        <v>85</v>
      </c>
      <c r="E208" s="12">
        <v>2</v>
      </c>
      <c r="F208" s="12">
        <v>85</v>
      </c>
      <c r="G208" s="20">
        <v>50015</v>
      </c>
      <c r="H208" s="20">
        <v>2</v>
      </c>
      <c r="I208" s="20">
        <f t="shared" ref="I208:Q208" si="86">I88</f>
        <v>2</v>
      </c>
      <c r="J208" s="20">
        <f t="shared" si="86"/>
        <v>6</v>
      </c>
      <c r="K208" s="20">
        <f t="shared" si="86"/>
        <v>3053641376600</v>
      </c>
      <c r="L208" s="20">
        <f t="shared" si="86"/>
        <v>3053641376600</v>
      </c>
      <c r="M208" s="20">
        <f t="shared" si="86"/>
        <v>3053641376600</v>
      </c>
      <c r="N208" s="20">
        <f t="shared" si="86"/>
        <v>0</v>
      </c>
      <c r="O208" s="20">
        <f t="shared" si="86"/>
        <v>0</v>
      </c>
      <c r="P208" s="20">
        <f t="shared" si="86"/>
        <v>0</v>
      </c>
      <c r="Q208" s="20">
        <f t="shared" si="86"/>
        <v>1.4252640047693299E+25</v>
      </c>
      <c r="R208" s="20">
        <v>0</v>
      </c>
      <c r="S208" s="12">
        <v>60</v>
      </c>
      <c r="T208" t="s">
        <v>330</v>
      </c>
      <c r="U208" s="26"/>
      <c r="V208" s="20"/>
      <c r="W208" s="20"/>
      <c r="X208" s="20"/>
    </row>
    <row r="209" spans="1:24" ht="15.75" x14ac:dyDescent="0.25">
      <c r="A209" s="12">
        <f t="shared" si="65"/>
        <v>20086</v>
      </c>
      <c r="B209" s="16" t="s">
        <v>331</v>
      </c>
      <c r="C209" s="1" t="s">
        <v>224</v>
      </c>
      <c r="D209" s="12">
        <v>86</v>
      </c>
      <c r="E209" s="12">
        <v>2</v>
      </c>
      <c r="F209" s="12">
        <v>86</v>
      </c>
      <c r="G209" s="20">
        <v>50065</v>
      </c>
      <c r="H209" s="20">
        <v>1</v>
      </c>
      <c r="I209" s="20">
        <f t="shared" ref="I209:Q209" si="87">I89</f>
        <v>2</v>
      </c>
      <c r="J209" s="20">
        <f t="shared" si="87"/>
        <v>6</v>
      </c>
      <c r="K209" s="20">
        <f t="shared" si="87"/>
        <v>3202434456735</v>
      </c>
      <c r="L209" s="20">
        <f t="shared" si="87"/>
        <v>3202434456735</v>
      </c>
      <c r="M209" s="20">
        <f t="shared" si="87"/>
        <v>3202434456735</v>
      </c>
      <c r="N209" s="20">
        <f t="shared" si="87"/>
        <v>0</v>
      </c>
      <c r="O209" s="20">
        <f t="shared" si="87"/>
        <v>0</v>
      </c>
      <c r="P209" s="20">
        <f t="shared" si="87"/>
        <v>0</v>
      </c>
      <c r="Q209" s="20">
        <f t="shared" si="87"/>
        <v>1.6740516257197599E+25</v>
      </c>
      <c r="R209" s="20">
        <v>0</v>
      </c>
      <c r="S209" s="12">
        <v>60</v>
      </c>
      <c r="T209" t="s">
        <v>330</v>
      </c>
      <c r="U209" s="26"/>
      <c r="V209" s="20"/>
      <c r="W209" s="20"/>
      <c r="X209" s="20"/>
    </row>
    <row r="210" spans="1:24" ht="15.75" x14ac:dyDescent="0.25">
      <c r="A210" s="12">
        <f t="shared" si="65"/>
        <v>20087</v>
      </c>
      <c r="B210" s="16" t="s">
        <v>332</v>
      </c>
      <c r="C210" s="1" t="s">
        <v>224</v>
      </c>
      <c r="D210" s="12">
        <v>87</v>
      </c>
      <c r="E210" s="12">
        <v>2</v>
      </c>
      <c r="F210" s="12">
        <v>87</v>
      </c>
      <c r="G210" s="20">
        <v>10055</v>
      </c>
      <c r="H210" s="20">
        <v>3</v>
      </c>
      <c r="I210" s="20">
        <f t="shared" ref="I210:Q210" si="88">I90</f>
        <v>2</v>
      </c>
      <c r="J210" s="20">
        <f t="shared" si="88"/>
        <v>6</v>
      </c>
      <c r="K210" s="20">
        <f t="shared" si="88"/>
        <v>3387794342615</v>
      </c>
      <c r="L210" s="20">
        <f t="shared" si="88"/>
        <v>3387794342615</v>
      </c>
      <c r="M210" s="20">
        <f t="shared" si="88"/>
        <v>3387794342615</v>
      </c>
      <c r="N210" s="20">
        <f t="shared" si="88"/>
        <v>0</v>
      </c>
      <c r="O210" s="20">
        <f t="shared" si="88"/>
        <v>0</v>
      </c>
      <c r="P210" s="20">
        <f t="shared" si="88"/>
        <v>0</v>
      </c>
      <c r="Q210" s="20">
        <f t="shared" si="88"/>
        <v>1.9998397804482501E+25</v>
      </c>
      <c r="R210" s="20">
        <v>0</v>
      </c>
      <c r="S210" s="12">
        <v>60</v>
      </c>
      <c r="T210" t="s">
        <v>330</v>
      </c>
      <c r="U210" s="26"/>
      <c r="V210" s="20"/>
      <c r="W210" s="20"/>
      <c r="X210" s="20"/>
    </row>
    <row r="211" spans="1:24" ht="15.75" x14ac:dyDescent="0.25">
      <c r="A211" s="12">
        <f t="shared" si="65"/>
        <v>20088</v>
      </c>
      <c r="B211" s="16" t="s">
        <v>333</v>
      </c>
      <c r="C211" s="1" t="s">
        <v>224</v>
      </c>
      <c r="D211" s="12">
        <v>88</v>
      </c>
      <c r="E211" s="12">
        <v>2</v>
      </c>
      <c r="F211" s="12">
        <v>88</v>
      </c>
      <c r="G211" s="20">
        <v>10105</v>
      </c>
      <c r="H211" s="20">
        <v>2</v>
      </c>
      <c r="I211" s="20">
        <f t="shared" ref="I211:Q211" si="89">I91</f>
        <v>2</v>
      </c>
      <c r="J211" s="20">
        <f t="shared" si="89"/>
        <v>6</v>
      </c>
      <c r="K211" s="20">
        <f t="shared" si="89"/>
        <v>3548746057450</v>
      </c>
      <c r="L211" s="20">
        <f t="shared" si="89"/>
        <v>3548746057450</v>
      </c>
      <c r="M211" s="20">
        <f t="shared" si="89"/>
        <v>3548746057450</v>
      </c>
      <c r="N211" s="20">
        <f t="shared" si="89"/>
        <v>0</v>
      </c>
      <c r="O211" s="20">
        <f t="shared" si="89"/>
        <v>0</v>
      </c>
      <c r="P211" s="20">
        <f t="shared" si="89"/>
        <v>0</v>
      </c>
      <c r="Q211" s="20">
        <f t="shared" si="89"/>
        <v>2.3407992690310998E+25</v>
      </c>
      <c r="R211" s="20">
        <v>0</v>
      </c>
      <c r="S211" s="12">
        <v>60</v>
      </c>
      <c r="T211" t="s">
        <v>330</v>
      </c>
      <c r="U211" s="26"/>
      <c r="V211" s="20"/>
      <c r="W211" s="20"/>
      <c r="X211" s="20"/>
    </row>
    <row r="212" spans="1:24" ht="15.75" x14ac:dyDescent="0.25">
      <c r="A212" s="12">
        <f t="shared" si="65"/>
        <v>20089</v>
      </c>
      <c r="B212" s="16" t="s">
        <v>334</v>
      </c>
      <c r="C212" s="1" t="s">
        <v>224</v>
      </c>
      <c r="D212" s="12">
        <v>89</v>
      </c>
      <c r="E212" s="12">
        <v>2</v>
      </c>
      <c r="F212" s="12">
        <v>89</v>
      </c>
      <c r="G212" s="20">
        <v>10155</v>
      </c>
      <c r="H212" s="20">
        <v>1</v>
      </c>
      <c r="I212" s="20">
        <f t="shared" ref="I212:Q212" si="90">I92</f>
        <v>2</v>
      </c>
      <c r="J212" s="20">
        <f t="shared" si="90"/>
        <v>6</v>
      </c>
      <c r="K212" s="20">
        <f t="shared" si="90"/>
        <v>3790743992825</v>
      </c>
      <c r="L212" s="20">
        <f t="shared" si="90"/>
        <v>3790743992825</v>
      </c>
      <c r="M212" s="20">
        <f t="shared" si="90"/>
        <v>3790743992825</v>
      </c>
      <c r="N212" s="20">
        <f t="shared" si="90"/>
        <v>0</v>
      </c>
      <c r="O212" s="20">
        <f t="shared" si="90"/>
        <v>0</v>
      </c>
      <c r="P212" s="20">
        <f t="shared" si="90"/>
        <v>0</v>
      </c>
      <c r="Q212" s="20">
        <f t="shared" si="90"/>
        <v>3.1759650506535298E+25</v>
      </c>
      <c r="R212" s="20">
        <v>0</v>
      </c>
      <c r="S212" s="12">
        <v>60</v>
      </c>
      <c r="T212" t="s">
        <v>335</v>
      </c>
      <c r="U212" s="26"/>
      <c r="V212" s="20"/>
      <c r="W212" s="20"/>
      <c r="X212" s="20"/>
    </row>
    <row r="213" spans="1:24" ht="15.75" x14ac:dyDescent="0.25">
      <c r="A213" s="12">
        <f t="shared" si="65"/>
        <v>20090</v>
      </c>
      <c r="B213" s="16" t="s">
        <v>336</v>
      </c>
      <c r="C213" s="1" t="s">
        <v>224</v>
      </c>
      <c r="D213" s="12">
        <v>90</v>
      </c>
      <c r="E213" s="12">
        <v>2</v>
      </c>
      <c r="F213" s="12">
        <v>90</v>
      </c>
      <c r="G213" s="20">
        <v>10205</v>
      </c>
      <c r="H213" s="20">
        <v>3</v>
      </c>
      <c r="I213" s="20">
        <f t="shared" ref="I213:Q213" si="91">I93</f>
        <v>2</v>
      </c>
      <c r="J213" s="20">
        <f t="shared" si="91"/>
        <v>6</v>
      </c>
      <c r="K213" s="20">
        <f t="shared" si="91"/>
        <v>3977775902135</v>
      </c>
      <c r="L213" s="20">
        <f t="shared" si="91"/>
        <v>3977775902135</v>
      </c>
      <c r="M213" s="20">
        <f t="shared" si="91"/>
        <v>3977775902135</v>
      </c>
      <c r="N213" s="20">
        <f t="shared" si="91"/>
        <v>0</v>
      </c>
      <c r="O213" s="20">
        <f t="shared" si="91"/>
        <v>0</v>
      </c>
      <c r="P213" s="20">
        <f t="shared" si="91"/>
        <v>0</v>
      </c>
      <c r="Q213" s="20">
        <f t="shared" si="91"/>
        <v>3.7090901245188002E+25</v>
      </c>
      <c r="R213" s="20">
        <v>0</v>
      </c>
      <c r="S213" s="12">
        <v>60</v>
      </c>
      <c r="T213" t="s">
        <v>335</v>
      </c>
      <c r="U213" s="26"/>
      <c r="V213" s="20"/>
      <c r="W213" s="20"/>
      <c r="X213" s="20"/>
    </row>
    <row r="214" spans="1:24" ht="15.75" x14ac:dyDescent="0.25">
      <c r="A214" s="12">
        <f t="shared" si="65"/>
        <v>20091</v>
      </c>
      <c r="B214" s="16" t="s">
        <v>337</v>
      </c>
      <c r="C214" s="1" t="s">
        <v>224</v>
      </c>
      <c r="D214" s="12">
        <v>91</v>
      </c>
      <c r="E214" s="12">
        <v>2</v>
      </c>
      <c r="F214" s="12">
        <v>91</v>
      </c>
      <c r="G214" s="20">
        <v>20055</v>
      </c>
      <c r="H214" s="20">
        <v>2</v>
      </c>
      <c r="I214" s="20">
        <f t="shared" ref="I214:Q214" si="92">I94</f>
        <v>2</v>
      </c>
      <c r="J214" s="20">
        <f t="shared" si="92"/>
        <v>6</v>
      </c>
      <c r="K214" s="20">
        <f t="shared" si="92"/>
        <v>4209031655790</v>
      </c>
      <c r="L214" s="20">
        <f t="shared" si="92"/>
        <v>4209031655790</v>
      </c>
      <c r="M214" s="20">
        <f t="shared" si="92"/>
        <v>4209031655790</v>
      </c>
      <c r="N214" s="20">
        <f t="shared" si="92"/>
        <v>0</v>
      </c>
      <c r="O214" s="20">
        <f t="shared" si="92"/>
        <v>0</v>
      </c>
      <c r="P214" s="20">
        <f t="shared" si="92"/>
        <v>0</v>
      </c>
      <c r="Q214" s="20">
        <f t="shared" si="92"/>
        <v>4.4010730798787202E+25</v>
      </c>
      <c r="R214" s="20">
        <v>0</v>
      </c>
      <c r="S214" s="12">
        <v>60</v>
      </c>
      <c r="T214" t="s">
        <v>335</v>
      </c>
      <c r="U214" s="26"/>
      <c r="V214" s="20"/>
      <c r="W214" s="20"/>
      <c r="X214" s="20"/>
    </row>
    <row r="215" spans="1:24" ht="15.75" x14ac:dyDescent="0.25">
      <c r="A215" s="12">
        <f t="shared" si="65"/>
        <v>20092</v>
      </c>
      <c r="B215" s="16" t="s">
        <v>338</v>
      </c>
      <c r="C215" s="1" t="s">
        <v>224</v>
      </c>
      <c r="D215" s="12">
        <v>92</v>
      </c>
      <c r="E215" s="12">
        <v>2</v>
      </c>
      <c r="F215" s="12">
        <v>92</v>
      </c>
      <c r="G215" s="20">
        <v>20105</v>
      </c>
      <c r="H215" s="20">
        <v>1</v>
      </c>
      <c r="I215" s="20">
        <f t="shared" ref="I215:Q215" si="93">I95</f>
        <v>2</v>
      </c>
      <c r="J215" s="20">
        <f t="shared" si="93"/>
        <v>6</v>
      </c>
      <c r="K215" s="20">
        <f t="shared" si="93"/>
        <v>4390567734460</v>
      </c>
      <c r="L215" s="20">
        <f t="shared" si="93"/>
        <v>4390567734460</v>
      </c>
      <c r="M215" s="20">
        <f t="shared" si="93"/>
        <v>4390567734460</v>
      </c>
      <c r="N215" s="20">
        <f t="shared" si="93"/>
        <v>0</v>
      </c>
      <c r="O215" s="20">
        <f t="shared" si="93"/>
        <v>0</v>
      </c>
      <c r="P215" s="20">
        <f t="shared" si="93"/>
        <v>0</v>
      </c>
      <c r="Q215" s="20">
        <f t="shared" si="93"/>
        <v>5.1009316917705497E+25</v>
      </c>
      <c r="R215" s="20">
        <v>0</v>
      </c>
      <c r="S215" s="12">
        <v>60</v>
      </c>
      <c r="T215" t="s">
        <v>335</v>
      </c>
      <c r="U215" s="26"/>
      <c r="V215" s="20"/>
      <c r="W215" s="20"/>
      <c r="X215" s="20"/>
    </row>
    <row r="216" spans="1:24" ht="15.75" x14ac:dyDescent="0.25">
      <c r="A216" s="12">
        <f t="shared" si="65"/>
        <v>20093</v>
      </c>
      <c r="B216" s="16" t="s">
        <v>339</v>
      </c>
      <c r="C216" s="1" t="s">
        <v>224</v>
      </c>
      <c r="D216" s="12">
        <v>93</v>
      </c>
      <c r="E216" s="12">
        <v>2</v>
      </c>
      <c r="F216" s="12">
        <v>93</v>
      </c>
      <c r="G216" s="20">
        <v>20155</v>
      </c>
      <c r="H216" s="20">
        <v>3</v>
      </c>
      <c r="I216" s="20">
        <f t="shared" ref="I216:Q216" si="94">I96</f>
        <v>2</v>
      </c>
      <c r="J216" s="20">
        <f t="shared" si="94"/>
        <v>6</v>
      </c>
      <c r="K216" s="20">
        <f t="shared" si="94"/>
        <v>4618858859285</v>
      </c>
      <c r="L216" s="20">
        <f t="shared" si="94"/>
        <v>4618858859285</v>
      </c>
      <c r="M216" s="20">
        <f t="shared" si="94"/>
        <v>4618858859285</v>
      </c>
      <c r="N216" s="20">
        <f t="shared" si="94"/>
        <v>0</v>
      </c>
      <c r="O216" s="20">
        <f t="shared" si="94"/>
        <v>0</v>
      </c>
      <c r="P216" s="20">
        <f t="shared" si="94"/>
        <v>0</v>
      </c>
      <c r="Q216" s="20">
        <f t="shared" si="94"/>
        <v>6.0064017512025198E+25</v>
      </c>
      <c r="R216" s="20">
        <v>0</v>
      </c>
      <c r="S216" s="12">
        <v>60</v>
      </c>
      <c r="T216" t="s">
        <v>340</v>
      </c>
      <c r="U216" s="26"/>
      <c r="V216" s="20"/>
      <c r="W216" s="20"/>
      <c r="X216" s="20"/>
    </row>
    <row r="217" spans="1:24" ht="15.75" x14ac:dyDescent="0.25">
      <c r="A217" s="12">
        <f t="shared" si="65"/>
        <v>20094</v>
      </c>
      <c r="B217" s="16" t="s">
        <v>341</v>
      </c>
      <c r="C217" s="1" t="s">
        <v>224</v>
      </c>
      <c r="D217" s="12">
        <v>94</v>
      </c>
      <c r="E217" s="12">
        <v>2</v>
      </c>
      <c r="F217" s="12">
        <v>94</v>
      </c>
      <c r="G217" s="20">
        <v>20205</v>
      </c>
      <c r="H217" s="20">
        <v>2</v>
      </c>
      <c r="I217" s="20">
        <f t="shared" ref="I217:Q217" si="95">I97</f>
        <v>2</v>
      </c>
      <c r="J217" s="20">
        <f t="shared" si="95"/>
        <v>6</v>
      </c>
      <c r="K217" s="20">
        <f t="shared" si="95"/>
        <v>4814211024075</v>
      </c>
      <c r="L217" s="20">
        <f t="shared" si="95"/>
        <v>4814211024075</v>
      </c>
      <c r="M217" s="20">
        <f t="shared" si="95"/>
        <v>4814211024075</v>
      </c>
      <c r="N217" s="20">
        <f t="shared" si="95"/>
        <v>0</v>
      </c>
      <c r="O217" s="20">
        <f t="shared" si="95"/>
        <v>0</v>
      </c>
      <c r="P217" s="20">
        <f t="shared" si="95"/>
        <v>0</v>
      </c>
      <c r="Q217" s="20">
        <f t="shared" si="95"/>
        <v>6.9430962616219302E+25</v>
      </c>
      <c r="R217" s="20">
        <v>0</v>
      </c>
      <c r="S217" s="12">
        <v>60</v>
      </c>
      <c r="T217" t="s">
        <v>340</v>
      </c>
      <c r="U217" s="26"/>
      <c r="V217" s="20"/>
      <c r="W217" s="20"/>
      <c r="X217" s="20"/>
    </row>
    <row r="218" spans="1:24" ht="15.75" x14ac:dyDescent="0.25">
      <c r="A218" s="12">
        <f t="shared" si="65"/>
        <v>20095</v>
      </c>
      <c r="B218" s="16" t="s">
        <v>342</v>
      </c>
      <c r="C218" s="1" t="s">
        <v>224</v>
      </c>
      <c r="D218" s="12">
        <v>95</v>
      </c>
      <c r="E218" s="12">
        <v>2</v>
      </c>
      <c r="F218" s="12">
        <v>95</v>
      </c>
      <c r="G218" s="20">
        <v>30055</v>
      </c>
      <c r="H218" s="20">
        <v>1</v>
      </c>
      <c r="I218" s="20">
        <f t="shared" ref="I218:Q218" si="96">I98</f>
        <v>2</v>
      </c>
      <c r="J218" s="20">
        <f t="shared" si="96"/>
        <v>6</v>
      </c>
      <c r="K218" s="20">
        <f t="shared" si="96"/>
        <v>5059325002640</v>
      </c>
      <c r="L218" s="20">
        <f t="shared" si="96"/>
        <v>5059325002640</v>
      </c>
      <c r="M218" s="20">
        <f t="shared" si="96"/>
        <v>5059325002640</v>
      </c>
      <c r="N218" s="20">
        <f t="shared" si="96"/>
        <v>0</v>
      </c>
      <c r="O218" s="20">
        <f t="shared" si="96"/>
        <v>0</v>
      </c>
      <c r="P218" s="20">
        <f t="shared" si="96"/>
        <v>0</v>
      </c>
      <c r="Q218" s="20">
        <f t="shared" si="96"/>
        <v>8.1531349980173196E+25</v>
      </c>
      <c r="R218" s="20">
        <v>0</v>
      </c>
      <c r="S218" s="12">
        <v>60</v>
      </c>
      <c r="T218" t="s">
        <v>340</v>
      </c>
      <c r="U218" s="26"/>
      <c r="V218" s="20"/>
      <c r="W218" s="20"/>
      <c r="X218" s="20"/>
    </row>
    <row r="219" spans="1:24" ht="15.75" x14ac:dyDescent="0.25">
      <c r="A219" s="12">
        <f t="shared" si="65"/>
        <v>20096</v>
      </c>
      <c r="B219" s="16" t="s">
        <v>343</v>
      </c>
      <c r="C219" s="1" t="s">
        <v>224</v>
      </c>
      <c r="D219" s="12">
        <v>96</v>
      </c>
      <c r="E219" s="12">
        <v>2</v>
      </c>
      <c r="F219" s="12">
        <v>96</v>
      </c>
      <c r="G219" s="20">
        <v>30105</v>
      </c>
      <c r="H219" s="20">
        <v>3</v>
      </c>
      <c r="I219" s="20">
        <f t="shared" ref="I219:Q219" si="97">I99</f>
        <v>2</v>
      </c>
      <c r="J219" s="20">
        <f t="shared" si="97"/>
        <v>6</v>
      </c>
      <c r="K219" s="20">
        <f t="shared" si="97"/>
        <v>5268705194615</v>
      </c>
      <c r="L219" s="20">
        <f t="shared" si="97"/>
        <v>5268705194615</v>
      </c>
      <c r="M219" s="20">
        <f t="shared" si="97"/>
        <v>5268705194615</v>
      </c>
      <c r="N219" s="20">
        <f t="shared" si="97"/>
        <v>0</v>
      </c>
      <c r="O219" s="20">
        <f t="shared" si="97"/>
        <v>0</v>
      </c>
      <c r="P219" s="20">
        <f t="shared" si="97"/>
        <v>0</v>
      </c>
      <c r="Q219" s="20">
        <f t="shared" si="97"/>
        <v>9.4021305615157502E+25</v>
      </c>
      <c r="R219" s="20">
        <v>0</v>
      </c>
      <c r="S219" s="12">
        <v>60</v>
      </c>
      <c r="T219" t="s">
        <v>340</v>
      </c>
      <c r="U219" s="26"/>
      <c r="V219" s="20"/>
      <c r="W219" s="20"/>
      <c r="X219" s="20"/>
    </row>
    <row r="220" spans="1:24" ht="15.75" x14ac:dyDescent="0.25">
      <c r="A220" s="12">
        <f t="shared" si="65"/>
        <v>20097</v>
      </c>
      <c r="B220" s="16" t="s">
        <v>344</v>
      </c>
      <c r="C220" s="1" t="s">
        <v>224</v>
      </c>
      <c r="D220" s="12">
        <v>97</v>
      </c>
      <c r="E220" s="12">
        <v>2</v>
      </c>
      <c r="F220" s="12">
        <v>97</v>
      </c>
      <c r="G220" s="20">
        <v>30155</v>
      </c>
      <c r="H220" s="20">
        <v>2</v>
      </c>
      <c r="I220" s="20">
        <f t="shared" ref="I220:Q220" si="98">I100</f>
        <v>2</v>
      </c>
      <c r="J220" s="20">
        <f t="shared" si="98"/>
        <v>6</v>
      </c>
      <c r="K220" s="20">
        <f t="shared" si="98"/>
        <v>5585255444475</v>
      </c>
      <c r="L220" s="20">
        <f t="shared" si="98"/>
        <v>5585255444475</v>
      </c>
      <c r="M220" s="20">
        <f t="shared" si="98"/>
        <v>5585255444475</v>
      </c>
      <c r="N220" s="20">
        <f t="shared" si="98"/>
        <v>0</v>
      </c>
      <c r="O220" s="20">
        <f t="shared" si="98"/>
        <v>0</v>
      </c>
      <c r="P220" s="20">
        <f t="shared" si="98"/>
        <v>0</v>
      </c>
      <c r="Q220" s="20">
        <f t="shared" si="98"/>
        <v>1.15686189664004E+26</v>
      </c>
      <c r="R220" s="20">
        <v>0</v>
      </c>
      <c r="S220" s="12">
        <v>60</v>
      </c>
      <c r="T220" t="s">
        <v>345</v>
      </c>
      <c r="U220" s="26"/>
      <c r="V220" s="20"/>
      <c r="W220" s="20"/>
      <c r="X220" s="20"/>
    </row>
    <row r="221" spans="1:24" ht="15.75" x14ac:dyDescent="0.25">
      <c r="A221" s="12">
        <f t="shared" si="65"/>
        <v>20098</v>
      </c>
      <c r="B221" s="16" t="s">
        <v>346</v>
      </c>
      <c r="C221" s="1" t="s">
        <v>224</v>
      </c>
      <c r="D221" s="12">
        <v>98</v>
      </c>
      <c r="E221" s="12">
        <v>2</v>
      </c>
      <c r="F221" s="12">
        <v>98</v>
      </c>
      <c r="G221" s="20">
        <v>30205</v>
      </c>
      <c r="H221" s="20">
        <v>1</v>
      </c>
      <c r="I221" s="20">
        <f t="shared" ref="I221:Q221" si="99">I101</f>
        <v>2</v>
      </c>
      <c r="J221" s="20">
        <f t="shared" si="99"/>
        <v>6</v>
      </c>
      <c r="K221" s="20">
        <f t="shared" si="99"/>
        <v>5811142901955</v>
      </c>
      <c r="L221" s="20">
        <f t="shared" si="99"/>
        <v>5811142901955</v>
      </c>
      <c r="M221" s="20">
        <f t="shared" si="99"/>
        <v>5811142901955</v>
      </c>
      <c r="N221" s="20">
        <f t="shared" si="99"/>
        <v>0</v>
      </c>
      <c r="O221" s="20">
        <f t="shared" si="99"/>
        <v>0</v>
      </c>
      <c r="P221" s="20">
        <f t="shared" si="99"/>
        <v>0</v>
      </c>
      <c r="Q221" s="20">
        <f t="shared" si="99"/>
        <v>1.3301125377336599E+26</v>
      </c>
      <c r="R221" s="20">
        <v>0</v>
      </c>
      <c r="S221" s="12">
        <v>60</v>
      </c>
      <c r="T221" t="s">
        <v>345</v>
      </c>
      <c r="U221" s="26"/>
      <c r="V221" s="20"/>
      <c r="W221" s="20"/>
      <c r="X221" s="20"/>
    </row>
    <row r="222" spans="1:24" ht="15.75" x14ac:dyDescent="0.25">
      <c r="A222" s="12">
        <f t="shared" si="65"/>
        <v>20099</v>
      </c>
      <c r="B222" s="16" t="s">
        <v>347</v>
      </c>
      <c r="C222" s="1" t="s">
        <v>224</v>
      </c>
      <c r="D222" s="12">
        <v>99</v>
      </c>
      <c r="E222" s="12">
        <v>2</v>
      </c>
      <c r="F222" s="12">
        <v>99</v>
      </c>
      <c r="G222" s="20">
        <v>40055</v>
      </c>
      <c r="H222" s="20">
        <v>3</v>
      </c>
      <c r="I222" s="20">
        <f t="shared" ref="I222:Q222" si="100">I102</f>
        <v>2</v>
      </c>
      <c r="J222" s="20">
        <f t="shared" si="100"/>
        <v>6</v>
      </c>
      <c r="K222" s="20">
        <f t="shared" si="100"/>
        <v>6094929519090</v>
      </c>
      <c r="L222" s="20">
        <f t="shared" si="100"/>
        <v>6094929519090</v>
      </c>
      <c r="M222" s="20">
        <f t="shared" si="100"/>
        <v>6094929519090</v>
      </c>
      <c r="N222" s="20">
        <f t="shared" si="100"/>
        <v>0</v>
      </c>
      <c r="O222" s="20">
        <f t="shared" si="100"/>
        <v>0</v>
      </c>
      <c r="P222" s="20">
        <f t="shared" si="100"/>
        <v>0</v>
      </c>
      <c r="Q222" s="20">
        <f t="shared" si="100"/>
        <v>1.55266789907417E+26</v>
      </c>
      <c r="R222" s="20">
        <v>0</v>
      </c>
      <c r="S222" s="12">
        <v>60</v>
      </c>
      <c r="T222" t="s">
        <v>345</v>
      </c>
      <c r="U222" s="26"/>
      <c r="V222" s="20"/>
      <c r="W222" s="20"/>
      <c r="X222" s="20"/>
    </row>
    <row r="223" spans="1:24" ht="15.75" x14ac:dyDescent="0.25">
      <c r="A223" s="12">
        <f t="shared" si="65"/>
        <v>20100</v>
      </c>
      <c r="B223" s="16" t="s">
        <v>348</v>
      </c>
      <c r="C223" s="1" t="s">
        <v>224</v>
      </c>
      <c r="D223" s="12">
        <v>100</v>
      </c>
      <c r="E223" s="12">
        <v>2</v>
      </c>
      <c r="F223" s="12">
        <v>100</v>
      </c>
      <c r="G223" s="20">
        <v>40105</v>
      </c>
      <c r="H223" s="20">
        <v>2</v>
      </c>
      <c r="I223" s="20">
        <f t="shared" ref="I223:Q223" si="101">I103</f>
        <v>2</v>
      </c>
      <c r="J223" s="20">
        <f t="shared" si="101"/>
        <v>6</v>
      </c>
      <c r="K223" s="20">
        <f t="shared" si="101"/>
        <v>6336616535085</v>
      </c>
      <c r="L223" s="20">
        <f t="shared" si="101"/>
        <v>6336616535085</v>
      </c>
      <c r="M223" s="20">
        <f t="shared" si="101"/>
        <v>6336616535085</v>
      </c>
      <c r="N223" s="20">
        <f t="shared" si="101"/>
        <v>0</v>
      </c>
      <c r="O223" s="20">
        <f t="shared" si="101"/>
        <v>0</v>
      </c>
      <c r="P223" s="20">
        <f t="shared" si="101"/>
        <v>0</v>
      </c>
      <c r="Q223" s="20">
        <f t="shared" si="101"/>
        <v>1.7814326725985201E+26</v>
      </c>
      <c r="R223" s="20">
        <v>0</v>
      </c>
      <c r="S223" s="12">
        <v>60</v>
      </c>
      <c r="T223" t="s">
        <v>345</v>
      </c>
      <c r="U223" s="26"/>
      <c r="V223" s="20"/>
      <c r="W223" s="20"/>
      <c r="X223" s="20"/>
    </row>
    <row r="224" spans="1:24" ht="15.75" x14ac:dyDescent="0.25">
      <c r="A224" s="12">
        <f t="shared" si="65"/>
        <v>20101</v>
      </c>
      <c r="B224" s="16" t="s">
        <v>349</v>
      </c>
      <c r="C224" s="1" t="s">
        <v>224</v>
      </c>
      <c r="D224" s="12">
        <v>101</v>
      </c>
      <c r="E224" s="12">
        <v>2</v>
      </c>
      <c r="F224" s="12">
        <v>101</v>
      </c>
      <c r="G224" s="20">
        <v>40155</v>
      </c>
      <c r="H224" s="20">
        <v>1</v>
      </c>
      <c r="I224" s="20">
        <f t="shared" ref="I224:Q224" si="102">I104</f>
        <v>2</v>
      </c>
      <c r="J224" s="20">
        <f t="shared" si="102"/>
        <v>6</v>
      </c>
      <c r="K224" s="20">
        <f t="shared" si="102"/>
        <v>7020838380415</v>
      </c>
      <c r="L224" s="20">
        <f t="shared" si="102"/>
        <v>7020838380415</v>
      </c>
      <c r="M224" s="20">
        <f t="shared" si="102"/>
        <v>7020838380415</v>
      </c>
      <c r="N224" s="20">
        <f t="shared" si="102"/>
        <v>0</v>
      </c>
      <c r="O224" s="20">
        <f t="shared" si="102"/>
        <v>0</v>
      </c>
      <c r="P224" s="20">
        <f t="shared" si="102"/>
        <v>0</v>
      </c>
      <c r="Q224" s="20">
        <f t="shared" si="102"/>
        <v>2.0920534762014999E+26</v>
      </c>
      <c r="R224" s="20">
        <v>0</v>
      </c>
      <c r="S224" s="12">
        <v>60</v>
      </c>
      <c r="T224" t="s">
        <v>350</v>
      </c>
      <c r="U224" s="26"/>
      <c r="V224" s="20"/>
      <c r="W224" s="20"/>
      <c r="X224" s="20"/>
    </row>
    <row r="225" spans="1:24" ht="15.75" x14ac:dyDescent="0.25">
      <c r="A225" s="12">
        <f t="shared" si="65"/>
        <v>20102</v>
      </c>
      <c r="B225" s="16" t="s">
        <v>351</v>
      </c>
      <c r="C225" s="1" t="s">
        <v>224</v>
      </c>
      <c r="D225" s="12">
        <v>102</v>
      </c>
      <c r="E225" s="12">
        <v>2</v>
      </c>
      <c r="F225" s="12">
        <v>102</v>
      </c>
      <c r="G225" s="20">
        <v>40205</v>
      </c>
      <c r="H225" s="20">
        <v>3</v>
      </c>
      <c r="I225" s="20">
        <f t="shared" ref="I225:Q225" si="103">I105</f>
        <v>2</v>
      </c>
      <c r="J225" s="20">
        <f t="shared" si="103"/>
        <v>6</v>
      </c>
      <c r="K225" s="20">
        <f t="shared" si="103"/>
        <v>7287240847470</v>
      </c>
      <c r="L225" s="20">
        <f t="shared" si="103"/>
        <v>7287240847470</v>
      </c>
      <c r="M225" s="20">
        <f t="shared" si="103"/>
        <v>7287240847470</v>
      </c>
      <c r="N225" s="20">
        <f t="shared" si="103"/>
        <v>0</v>
      </c>
      <c r="O225" s="20">
        <f t="shared" si="103"/>
        <v>0</v>
      </c>
      <c r="P225" s="20">
        <f t="shared" si="103"/>
        <v>0</v>
      </c>
      <c r="Q225" s="20">
        <f t="shared" si="103"/>
        <v>2.3720052308028801E+26</v>
      </c>
      <c r="R225" s="20">
        <v>0</v>
      </c>
      <c r="S225" s="12">
        <v>60</v>
      </c>
      <c r="T225" t="s">
        <v>350</v>
      </c>
      <c r="U225" s="26"/>
      <c r="V225" s="20"/>
      <c r="W225" s="20"/>
      <c r="X225" s="20"/>
    </row>
    <row r="226" spans="1:24" ht="15.75" x14ac:dyDescent="0.25">
      <c r="A226" s="12">
        <f t="shared" si="65"/>
        <v>20103</v>
      </c>
      <c r="B226" s="16" t="s">
        <v>352</v>
      </c>
      <c r="C226" s="1" t="s">
        <v>224</v>
      </c>
      <c r="D226" s="12">
        <v>103</v>
      </c>
      <c r="E226" s="12">
        <v>2</v>
      </c>
      <c r="F226" s="12">
        <v>103</v>
      </c>
      <c r="G226" s="20">
        <v>50055</v>
      </c>
      <c r="H226" s="20">
        <v>2</v>
      </c>
      <c r="I226" s="20">
        <f t="shared" ref="I226:Q226" si="104">I106</f>
        <v>2</v>
      </c>
      <c r="J226" s="20">
        <f t="shared" si="104"/>
        <v>6</v>
      </c>
      <c r="K226" s="20">
        <f t="shared" si="104"/>
        <v>5799404485480</v>
      </c>
      <c r="L226" s="20">
        <f t="shared" si="104"/>
        <v>5799404485480</v>
      </c>
      <c r="M226" s="20">
        <f t="shared" si="104"/>
        <v>5799404485480</v>
      </c>
      <c r="N226" s="20">
        <f t="shared" si="104"/>
        <v>0</v>
      </c>
      <c r="O226" s="20">
        <f t="shared" si="104"/>
        <v>0</v>
      </c>
      <c r="P226" s="20">
        <f t="shared" si="104"/>
        <v>0</v>
      </c>
      <c r="Q226" s="20">
        <f t="shared" si="104"/>
        <v>2.7227144073533001E+26</v>
      </c>
      <c r="R226" s="20">
        <v>0</v>
      </c>
      <c r="S226" s="12">
        <v>60</v>
      </c>
      <c r="T226" t="s">
        <v>350</v>
      </c>
      <c r="U226" s="26"/>
      <c r="V226" s="20"/>
      <c r="W226" s="20"/>
      <c r="X226" s="20"/>
    </row>
    <row r="227" spans="1:24" ht="15.75" x14ac:dyDescent="0.25">
      <c r="A227" s="12">
        <f t="shared" si="65"/>
        <v>20104</v>
      </c>
      <c r="B227" s="16" t="s">
        <v>353</v>
      </c>
      <c r="C227" s="1" t="s">
        <v>224</v>
      </c>
      <c r="D227" s="12">
        <v>104</v>
      </c>
      <c r="E227" s="12">
        <v>2</v>
      </c>
      <c r="F227" s="12">
        <v>104</v>
      </c>
      <c r="G227" s="20">
        <v>10045</v>
      </c>
      <c r="H227" s="20">
        <v>1</v>
      </c>
      <c r="I227" s="20">
        <f t="shared" ref="I227:Q227" si="105">I107</f>
        <v>2</v>
      </c>
      <c r="J227" s="20">
        <f t="shared" si="105"/>
        <v>6</v>
      </c>
      <c r="K227" s="20">
        <f t="shared" si="105"/>
        <v>6018885713370</v>
      </c>
      <c r="L227" s="20">
        <f t="shared" si="105"/>
        <v>6018885713370</v>
      </c>
      <c r="M227" s="20">
        <f t="shared" si="105"/>
        <v>6018885713370</v>
      </c>
      <c r="N227" s="20">
        <f t="shared" si="105"/>
        <v>0</v>
      </c>
      <c r="O227" s="20">
        <f t="shared" si="105"/>
        <v>0</v>
      </c>
      <c r="P227" s="20">
        <f t="shared" si="105"/>
        <v>0</v>
      </c>
      <c r="Q227" s="20">
        <f t="shared" si="105"/>
        <v>3.0813781349454499E+26</v>
      </c>
      <c r="R227" s="20">
        <v>0</v>
      </c>
      <c r="S227" s="12">
        <v>60</v>
      </c>
      <c r="T227" t="s">
        <v>350</v>
      </c>
      <c r="U227" s="26"/>
      <c r="V227" s="20"/>
      <c r="W227" s="20"/>
      <c r="X227" s="20"/>
    </row>
    <row r="228" spans="1:24" ht="15.75" x14ac:dyDescent="0.25">
      <c r="A228" s="12">
        <f t="shared" si="65"/>
        <v>20105</v>
      </c>
      <c r="B228" s="16" t="s">
        <v>354</v>
      </c>
      <c r="C228" s="1" t="s">
        <v>224</v>
      </c>
      <c r="D228" s="12">
        <v>105</v>
      </c>
      <c r="E228" s="12">
        <v>2</v>
      </c>
      <c r="F228" s="12">
        <v>105</v>
      </c>
      <c r="G228" s="20">
        <v>10095</v>
      </c>
      <c r="H228" s="20">
        <v>3</v>
      </c>
      <c r="I228" s="20">
        <f t="shared" ref="I228:Q228" si="106">I108</f>
        <v>2</v>
      </c>
      <c r="J228" s="20">
        <f t="shared" si="106"/>
        <v>6</v>
      </c>
      <c r="K228" s="20">
        <f t="shared" si="106"/>
        <v>6341101143930</v>
      </c>
      <c r="L228" s="20">
        <f t="shared" si="106"/>
        <v>6341101143930</v>
      </c>
      <c r="M228" s="20">
        <f t="shared" si="106"/>
        <v>6341101143930</v>
      </c>
      <c r="N228" s="20">
        <f t="shared" si="106"/>
        <v>0</v>
      </c>
      <c r="O228" s="20">
        <f t="shared" si="106"/>
        <v>0</v>
      </c>
      <c r="P228" s="20">
        <f t="shared" si="106"/>
        <v>0</v>
      </c>
      <c r="Q228" s="20">
        <f t="shared" si="106"/>
        <v>3.7276331404618E+26</v>
      </c>
      <c r="R228" s="20">
        <v>0</v>
      </c>
      <c r="S228" s="12">
        <v>60</v>
      </c>
      <c r="T228" t="s">
        <v>355</v>
      </c>
      <c r="U228" s="26"/>
      <c r="V228" s="20"/>
      <c r="W228" s="20"/>
      <c r="X228" s="20"/>
    </row>
    <row r="229" spans="1:24" ht="15.75" x14ac:dyDescent="0.25">
      <c r="A229" s="12">
        <f t="shared" si="65"/>
        <v>20106</v>
      </c>
      <c r="B229" s="16" t="s">
        <v>356</v>
      </c>
      <c r="C229" s="1" t="s">
        <v>224</v>
      </c>
      <c r="D229" s="12">
        <v>106</v>
      </c>
      <c r="E229" s="12">
        <v>2</v>
      </c>
      <c r="F229" s="12">
        <v>106</v>
      </c>
      <c r="G229" s="20">
        <v>10145</v>
      </c>
      <c r="H229" s="20">
        <v>2</v>
      </c>
      <c r="I229" s="20">
        <f t="shared" ref="I229:Q229" si="107">I109</f>
        <v>2</v>
      </c>
      <c r="J229" s="20">
        <f t="shared" si="107"/>
        <v>6</v>
      </c>
      <c r="K229" s="20">
        <f t="shared" si="107"/>
        <v>6576408858185</v>
      </c>
      <c r="L229" s="20">
        <f t="shared" si="107"/>
        <v>6576408858185</v>
      </c>
      <c r="M229" s="20">
        <f t="shared" si="107"/>
        <v>6576408858185</v>
      </c>
      <c r="N229" s="20">
        <f t="shared" si="107"/>
        <v>0</v>
      </c>
      <c r="O229" s="20">
        <f t="shared" si="107"/>
        <v>0</v>
      </c>
      <c r="P229" s="20">
        <f t="shared" si="107"/>
        <v>0</v>
      </c>
      <c r="Q229" s="20">
        <f t="shared" si="107"/>
        <v>4.20841642240028E+26</v>
      </c>
      <c r="R229" s="20">
        <v>0</v>
      </c>
      <c r="S229" s="12">
        <v>60</v>
      </c>
      <c r="T229" t="s">
        <v>355</v>
      </c>
      <c r="U229" s="26"/>
      <c r="V229" s="20"/>
      <c r="W229" s="20"/>
      <c r="X229" s="20"/>
    </row>
    <row r="230" spans="1:24" ht="15.75" x14ac:dyDescent="0.25">
      <c r="A230" s="12">
        <f t="shared" si="65"/>
        <v>20107</v>
      </c>
      <c r="B230" s="16" t="s">
        <v>357</v>
      </c>
      <c r="C230" s="1" t="s">
        <v>224</v>
      </c>
      <c r="D230" s="12">
        <v>107</v>
      </c>
      <c r="E230" s="12">
        <v>2</v>
      </c>
      <c r="F230" s="12">
        <v>107</v>
      </c>
      <c r="G230" s="20">
        <v>10195</v>
      </c>
      <c r="H230" s="20">
        <v>1</v>
      </c>
      <c r="I230" s="20">
        <f t="shared" ref="I230:Q230" si="108">I110</f>
        <v>2</v>
      </c>
      <c r="J230" s="20">
        <f t="shared" si="108"/>
        <v>6</v>
      </c>
      <c r="K230" s="20">
        <f t="shared" si="108"/>
        <v>6840833275900</v>
      </c>
      <c r="L230" s="20">
        <f t="shared" si="108"/>
        <v>6840833275900</v>
      </c>
      <c r="M230" s="20">
        <f t="shared" si="108"/>
        <v>6840833275900</v>
      </c>
      <c r="N230" s="20">
        <f t="shared" si="108"/>
        <v>0</v>
      </c>
      <c r="O230" s="20">
        <f t="shared" si="108"/>
        <v>0</v>
      </c>
      <c r="P230" s="20">
        <f t="shared" si="108"/>
        <v>0</v>
      </c>
      <c r="Q230" s="20">
        <f t="shared" si="108"/>
        <v>4.8083041634106298E+26</v>
      </c>
      <c r="R230" s="20">
        <v>0</v>
      </c>
      <c r="S230" s="12">
        <v>60</v>
      </c>
      <c r="T230" t="s">
        <v>355</v>
      </c>
      <c r="U230" s="26"/>
      <c r="V230" s="20"/>
      <c r="W230" s="20"/>
      <c r="X230" s="20"/>
    </row>
    <row r="231" spans="1:24" ht="15.75" x14ac:dyDescent="0.25">
      <c r="A231" s="12">
        <f t="shared" si="65"/>
        <v>20108</v>
      </c>
      <c r="B231" s="16" t="s">
        <v>358</v>
      </c>
      <c r="C231" s="1" t="s">
        <v>224</v>
      </c>
      <c r="D231" s="12">
        <v>108</v>
      </c>
      <c r="E231" s="12">
        <v>2</v>
      </c>
      <c r="F231" s="12">
        <v>108</v>
      </c>
      <c r="G231" s="20">
        <v>20045</v>
      </c>
      <c r="H231" s="20">
        <v>3</v>
      </c>
      <c r="I231" s="20">
        <f t="shared" ref="I231:Q231" si="109">I111</f>
        <v>2</v>
      </c>
      <c r="J231" s="20">
        <f t="shared" si="109"/>
        <v>6</v>
      </c>
      <c r="K231" s="20">
        <f t="shared" si="109"/>
        <v>7090857446025</v>
      </c>
      <c r="L231" s="20">
        <f t="shared" si="109"/>
        <v>7090857446025</v>
      </c>
      <c r="M231" s="20">
        <f t="shared" si="109"/>
        <v>7090857446025</v>
      </c>
      <c r="N231" s="20">
        <f t="shared" si="109"/>
        <v>0</v>
      </c>
      <c r="O231" s="20">
        <f t="shared" si="109"/>
        <v>0</v>
      </c>
      <c r="P231" s="20">
        <f t="shared" si="109"/>
        <v>0</v>
      </c>
      <c r="Q231" s="20">
        <f t="shared" si="109"/>
        <v>5.4199435353420198E+26</v>
      </c>
      <c r="R231" s="20">
        <v>0</v>
      </c>
      <c r="S231" s="12">
        <v>60</v>
      </c>
      <c r="T231" t="s">
        <v>355</v>
      </c>
      <c r="U231" s="26"/>
      <c r="V231" s="20"/>
      <c r="W231" s="20"/>
      <c r="X231" s="20"/>
    </row>
    <row r="232" spans="1:24" ht="15.75" x14ac:dyDescent="0.25">
      <c r="A232" s="12">
        <f t="shared" si="65"/>
        <v>20109</v>
      </c>
      <c r="B232" s="16" t="s">
        <v>359</v>
      </c>
      <c r="C232" s="1" t="s">
        <v>224</v>
      </c>
      <c r="D232" s="12">
        <v>109</v>
      </c>
      <c r="E232" s="12">
        <v>2</v>
      </c>
      <c r="F232" s="12">
        <v>109</v>
      </c>
      <c r="G232" s="20">
        <v>20095</v>
      </c>
      <c r="H232" s="20">
        <v>2</v>
      </c>
      <c r="I232" s="20">
        <f t="shared" ref="I232:Q232" si="110">I112</f>
        <v>2</v>
      </c>
      <c r="J232" s="20">
        <f t="shared" si="110"/>
        <v>6</v>
      </c>
      <c r="K232" s="20">
        <f t="shared" si="110"/>
        <v>7372649905835</v>
      </c>
      <c r="L232" s="20">
        <f t="shared" si="110"/>
        <v>7372649905835</v>
      </c>
      <c r="M232" s="20">
        <f t="shared" si="110"/>
        <v>7372649905835</v>
      </c>
      <c r="N232" s="20">
        <f t="shared" si="110"/>
        <v>0</v>
      </c>
      <c r="O232" s="20">
        <f t="shared" si="110"/>
        <v>0</v>
      </c>
      <c r="P232" s="20">
        <f t="shared" si="110"/>
        <v>0</v>
      </c>
      <c r="Q232" s="20">
        <f t="shared" si="110"/>
        <v>6.1817460828511497E+26</v>
      </c>
      <c r="R232" s="20">
        <v>0</v>
      </c>
      <c r="S232" s="12">
        <v>60</v>
      </c>
      <c r="T232" t="s">
        <v>360</v>
      </c>
      <c r="U232" s="26"/>
      <c r="V232" s="20"/>
      <c r="W232" s="20"/>
      <c r="X232" s="20"/>
    </row>
    <row r="233" spans="1:24" ht="15.75" x14ac:dyDescent="0.25">
      <c r="A233" s="12">
        <f t="shared" si="65"/>
        <v>20110</v>
      </c>
      <c r="B233" s="16" t="s">
        <v>361</v>
      </c>
      <c r="C233" s="1" t="s">
        <v>224</v>
      </c>
      <c r="D233" s="12">
        <v>110</v>
      </c>
      <c r="E233" s="12">
        <v>2</v>
      </c>
      <c r="F233" s="12">
        <v>110</v>
      </c>
      <c r="G233" s="20">
        <v>20145</v>
      </c>
      <c r="H233" s="20">
        <v>1</v>
      </c>
      <c r="I233" s="20">
        <f t="shared" ref="I233:Q233" si="111">I113</f>
        <v>2</v>
      </c>
      <c r="J233" s="20">
        <f t="shared" si="111"/>
        <v>6</v>
      </c>
      <c r="K233" s="20">
        <f t="shared" si="111"/>
        <v>7639048870225</v>
      </c>
      <c r="L233" s="20">
        <f t="shared" si="111"/>
        <v>7639048870225</v>
      </c>
      <c r="M233" s="20">
        <f t="shared" si="111"/>
        <v>7639048870225</v>
      </c>
      <c r="N233" s="20">
        <f t="shared" si="111"/>
        <v>0</v>
      </c>
      <c r="O233" s="20">
        <f t="shared" si="111"/>
        <v>0</v>
      </c>
      <c r="P233" s="20">
        <f t="shared" si="111"/>
        <v>0</v>
      </c>
      <c r="Q233" s="20">
        <f t="shared" si="111"/>
        <v>6.9583585996201498E+26</v>
      </c>
      <c r="R233" s="20">
        <v>0</v>
      </c>
      <c r="S233" s="12">
        <v>60</v>
      </c>
      <c r="T233" t="s">
        <v>360</v>
      </c>
      <c r="U233" s="26"/>
      <c r="V233" s="20"/>
      <c r="W233" s="20"/>
      <c r="X233" s="20"/>
    </row>
    <row r="234" spans="1:24" ht="15.75" x14ac:dyDescent="0.25">
      <c r="A234" s="12">
        <f t="shared" si="65"/>
        <v>20111</v>
      </c>
      <c r="B234" s="16" t="s">
        <v>362</v>
      </c>
      <c r="C234" s="1" t="s">
        <v>224</v>
      </c>
      <c r="D234" s="12">
        <v>111</v>
      </c>
      <c r="E234" s="12">
        <v>2</v>
      </c>
      <c r="F234" s="12">
        <v>111</v>
      </c>
      <c r="G234" s="20">
        <v>20195</v>
      </c>
      <c r="H234" s="20">
        <v>3</v>
      </c>
      <c r="I234" s="20">
        <f t="shared" ref="I234:Q234" si="112">I114</f>
        <v>2</v>
      </c>
      <c r="J234" s="20">
        <f t="shared" si="112"/>
        <v>6</v>
      </c>
      <c r="K234" s="20">
        <f t="shared" si="112"/>
        <v>7938387725105</v>
      </c>
      <c r="L234" s="20">
        <f t="shared" si="112"/>
        <v>7938387725105</v>
      </c>
      <c r="M234" s="20">
        <f t="shared" si="112"/>
        <v>7938387725105</v>
      </c>
      <c r="N234" s="20">
        <f t="shared" si="112"/>
        <v>0</v>
      </c>
      <c r="O234" s="20">
        <f t="shared" si="112"/>
        <v>0</v>
      </c>
      <c r="P234" s="20">
        <f t="shared" si="112"/>
        <v>0</v>
      </c>
      <c r="Q234" s="20">
        <f t="shared" si="112"/>
        <v>7.9233775288308293E+26</v>
      </c>
      <c r="R234" s="20">
        <v>0</v>
      </c>
      <c r="S234" s="12">
        <v>60</v>
      </c>
      <c r="T234" t="s">
        <v>360</v>
      </c>
      <c r="U234" s="26"/>
      <c r="V234" s="20"/>
      <c r="W234" s="20"/>
      <c r="X234" s="20"/>
    </row>
    <row r="235" spans="1:24" ht="15.75" x14ac:dyDescent="0.25">
      <c r="A235" s="12">
        <f t="shared" si="65"/>
        <v>20112</v>
      </c>
      <c r="B235" s="16" t="s">
        <v>363</v>
      </c>
      <c r="C235" s="1" t="s">
        <v>224</v>
      </c>
      <c r="D235" s="12">
        <v>112</v>
      </c>
      <c r="E235" s="12">
        <v>2</v>
      </c>
      <c r="F235" s="12">
        <v>112</v>
      </c>
      <c r="G235" s="20">
        <v>30045</v>
      </c>
      <c r="H235" s="20">
        <v>2</v>
      </c>
      <c r="I235" s="20">
        <f t="shared" ref="I235:Q235" si="113">I115</f>
        <v>2</v>
      </c>
      <c r="J235" s="20">
        <f t="shared" si="113"/>
        <v>6</v>
      </c>
      <c r="K235" s="20">
        <f t="shared" si="113"/>
        <v>8221225274630</v>
      </c>
      <c r="L235" s="20">
        <f t="shared" si="113"/>
        <v>8221225274630</v>
      </c>
      <c r="M235" s="20">
        <f t="shared" si="113"/>
        <v>8221225274630</v>
      </c>
      <c r="N235" s="20">
        <f t="shared" si="113"/>
        <v>0</v>
      </c>
      <c r="O235" s="20">
        <f t="shared" si="113"/>
        <v>0</v>
      </c>
      <c r="P235" s="20">
        <f t="shared" si="113"/>
        <v>0</v>
      </c>
      <c r="Q235" s="20">
        <f t="shared" si="113"/>
        <v>8.9057893979743705E+26</v>
      </c>
      <c r="R235" s="20">
        <v>0</v>
      </c>
      <c r="S235" s="12">
        <v>60</v>
      </c>
      <c r="T235" t="s">
        <v>360</v>
      </c>
      <c r="U235" s="26"/>
      <c r="V235" s="20"/>
      <c r="W235" s="20"/>
      <c r="X235" s="20"/>
    </row>
    <row r="236" spans="1:24" ht="15.75" x14ac:dyDescent="0.25">
      <c r="A236" s="12">
        <f t="shared" si="65"/>
        <v>20113</v>
      </c>
      <c r="B236" s="16" t="s">
        <v>364</v>
      </c>
      <c r="C236" s="1" t="s">
        <v>224</v>
      </c>
      <c r="D236" s="12">
        <v>113</v>
      </c>
      <c r="E236" s="12">
        <v>2</v>
      </c>
      <c r="F236" s="12">
        <v>113</v>
      </c>
      <c r="G236" s="20">
        <v>30095</v>
      </c>
      <c r="H236" s="20">
        <v>1</v>
      </c>
      <c r="I236" s="20">
        <f t="shared" ref="I236:Q236" si="114">I116</f>
        <v>2</v>
      </c>
      <c r="J236" s="20">
        <f t="shared" si="114"/>
        <v>6</v>
      </c>
      <c r="K236" s="20">
        <f t="shared" si="114"/>
        <v>8679849646845</v>
      </c>
      <c r="L236" s="20">
        <f t="shared" si="114"/>
        <v>8679849646845</v>
      </c>
      <c r="M236" s="20">
        <f t="shared" si="114"/>
        <v>8679849646845</v>
      </c>
      <c r="N236" s="20">
        <f t="shared" si="114"/>
        <v>0</v>
      </c>
      <c r="O236" s="20">
        <f t="shared" si="114"/>
        <v>0</v>
      </c>
      <c r="P236" s="20">
        <f t="shared" si="114"/>
        <v>0</v>
      </c>
      <c r="Q236" s="20">
        <f t="shared" si="114"/>
        <v>1.2088356875739901E+27</v>
      </c>
      <c r="R236" s="20">
        <v>0</v>
      </c>
      <c r="S236" s="12">
        <v>60</v>
      </c>
      <c r="T236" t="s">
        <v>365</v>
      </c>
      <c r="U236" s="26"/>
      <c r="V236" s="20"/>
      <c r="W236" s="20"/>
      <c r="X236" s="20"/>
    </row>
    <row r="237" spans="1:24" ht="15.75" x14ac:dyDescent="0.25">
      <c r="A237" s="12">
        <f t="shared" si="65"/>
        <v>20114</v>
      </c>
      <c r="B237" s="16" t="s">
        <v>366</v>
      </c>
      <c r="C237" s="1" t="s">
        <v>224</v>
      </c>
      <c r="D237" s="12">
        <v>114</v>
      </c>
      <c r="E237" s="12">
        <v>2</v>
      </c>
      <c r="F237" s="12">
        <v>114</v>
      </c>
      <c r="G237" s="20">
        <v>30145</v>
      </c>
      <c r="H237" s="20">
        <v>3</v>
      </c>
      <c r="I237" s="20">
        <f t="shared" ref="I237:Q237" si="115">I117</f>
        <v>2</v>
      </c>
      <c r="J237" s="20">
        <f t="shared" si="115"/>
        <v>6</v>
      </c>
      <c r="K237" s="20">
        <f t="shared" si="115"/>
        <v>8995482646770</v>
      </c>
      <c r="L237" s="20">
        <f t="shared" si="115"/>
        <v>8995482646770</v>
      </c>
      <c r="M237" s="20">
        <f t="shared" si="115"/>
        <v>8995482646770</v>
      </c>
      <c r="N237" s="20">
        <f t="shared" si="115"/>
        <v>0</v>
      </c>
      <c r="O237" s="20">
        <f t="shared" si="115"/>
        <v>0</v>
      </c>
      <c r="P237" s="20">
        <f t="shared" si="115"/>
        <v>0</v>
      </c>
      <c r="Q237" s="20">
        <f t="shared" si="115"/>
        <v>1.3568644490080901E+27</v>
      </c>
      <c r="R237" s="20">
        <v>0</v>
      </c>
      <c r="S237" s="12">
        <v>60</v>
      </c>
      <c r="T237" t="s">
        <v>365</v>
      </c>
      <c r="U237" s="26"/>
      <c r="V237" s="20"/>
      <c r="W237" s="20"/>
      <c r="X237" s="20"/>
    </row>
    <row r="238" spans="1:24" ht="15.75" x14ac:dyDescent="0.25">
      <c r="A238" s="12">
        <f t="shared" si="65"/>
        <v>20115</v>
      </c>
      <c r="B238" s="16" t="s">
        <v>367</v>
      </c>
      <c r="C238" s="1" t="s">
        <v>224</v>
      </c>
      <c r="D238" s="12">
        <v>115</v>
      </c>
      <c r="E238" s="12">
        <v>2</v>
      </c>
      <c r="F238" s="12">
        <v>115</v>
      </c>
      <c r="G238" s="20">
        <v>30195</v>
      </c>
      <c r="H238" s="20">
        <v>2</v>
      </c>
      <c r="I238" s="20">
        <f t="shared" ref="I238:Q238" si="116">I118</f>
        <v>2</v>
      </c>
      <c r="J238" s="20">
        <f t="shared" si="116"/>
        <v>6</v>
      </c>
      <c r="K238" s="20">
        <f t="shared" si="116"/>
        <v>9349156575210</v>
      </c>
      <c r="L238" s="20">
        <f t="shared" si="116"/>
        <v>9349156575210</v>
      </c>
      <c r="M238" s="20">
        <f t="shared" si="116"/>
        <v>9349156575210</v>
      </c>
      <c r="N238" s="20">
        <f t="shared" si="116"/>
        <v>0</v>
      </c>
      <c r="O238" s="20">
        <f t="shared" si="116"/>
        <v>0</v>
      </c>
      <c r="P238" s="20">
        <f t="shared" si="116"/>
        <v>0</v>
      </c>
      <c r="Q238" s="20">
        <f t="shared" si="116"/>
        <v>1.5400158152349601E+27</v>
      </c>
      <c r="R238" s="20">
        <v>0</v>
      </c>
      <c r="S238" s="12">
        <v>60</v>
      </c>
      <c r="T238" t="s">
        <v>365</v>
      </c>
      <c r="U238" s="26"/>
      <c r="V238" s="20"/>
      <c r="W238" s="20"/>
      <c r="X238" s="20"/>
    </row>
    <row r="239" spans="1:24" ht="15.75" x14ac:dyDescent="0.25">
      <c r="A239" s="12">
        <f t="shared" si="65"/>
        <v>20116</v>
      </c>
      <c r="B239" s="16" t="s">
        <v>368</v>
      </c>
      <c r="C239" s="1" t="s">
        <v>224</v>
      </c>
      <c r="D239" s="12">
        <v>116</v>
      </c>
      <c r="E239" s="12">
        <v>2</v>
      </c>
      <c r="F239" s="12">
        <v>116</v>
      </c>
      <c r="G239" s="20">
        <v>40045</v>
      </c>
      <c r="H239" s="20">
        <v>1</v>
      </c>
      <c r="I239" s="20">
        <f t="shared" ref="I239:Q239" si="117">I119</f>
        <v>2</v>
      </c>
      <c r="J239" s="20">
        <f t="shared" si="117"/>
        <v>6</v>
      </c>
      <c r="K239" s="20">
        <f t="shared" si="117"/>
        <v>9684325906050</v>
      </c>
      <c r="L239" s="20">
        <f t="shared" si="117"/>
        <v>9684325906050</v>
      </c>
      <c r="M239" s="20">
        <f t="shared" si="117"/>
        <v>9684325906050</v>
      </c>
      <c r="N239" s="20">
        <f t="shared" si="117"/>
        <v>0</v>
      </c>
      <c r="O239" s="20">
        <f t="shared" si="117"/>
        <v>0</v>
      </c>
      <c r="P239" s="20">
        <f t="shared" si="117"/>
        <v>0</v>
      </c>
      <c r="Q239" s="20">
        <f t="shared" si="117"/>
        <v>1.72641385128131E+27</v>
      </c>
      <c r="R239" s="20">
        <v>0</v>
      </c>
      <c r="S239" s="12">
        <v>60</v>
      </c>
      <c r="T239" t="s">
        <v>365</v>
      </c>
      <c r="U239" s="26"/>
      <c r="V239" s="20"/>
      <c r="W239" s="20"/>
      <c r="X239" s="20"/>
    </row>
    <row r="240" spans="1:24" ht="15.75" x14ac:dyDescent="0.25">
      <c r="A240" s="12">
        <f t="shared" si="65"/>
        <v>20117</v>
      </c>
      <c r="B240" s="16" t="s">
        <v>369</v>
      </c>
      <c r="C240" s="1" t="s">
        <v>224</v>
      </c>
      <c r="D240" s="12">
        <v>117</v>
      </c>
      <c r="E240" s="12">
        <v>2</v>
      </c>
      <c r="F240" s="12">
        <v>117</v>
      </c>
      <c r="G240" s="20">
        <v>40095</v>
      </c>
      <c r="H240" s="20">
        <v>3</v>
      </c>
      <c r="I240" s="20">
        <f t="shared" ref="I240:Q240" si="118">I120</f>
        <v>2</v>
      </c>
      <c r="J240" s="20">
        <f t="shared" si="118"/>
        <v>6</v>
      </c>
      <c r="K240" s="20">
        <f t="shared" si="118"/>
        <v>10061017902095</v>
      </c>
      <c r="L240" s="20">
        <f t="shared" si="118"/>
        <v>10061017902095</v>
      </c>
      <c r="M240" s="20">
        <f t="shared" si="118"/>
        <v>10061017902095</v>
      </c>
      <c r="N240" s="20">
        <f t="shared" si="118"/>
        <v>0</v>
      </c>
      <c r="O240" s="20">
        <f t="shared" si="118"/>
        <v>0</v>
      </c>
      <c r="P240" s="20">
        <f t="shared" si="118"/>
        <v>0</v>
      </c>
      <c r="Q240" s="20">
        <f t="shared" si="118"/>
        <v>1.9569867613705499E+27</v>
      </c>
      <c r="R240" s="20">
        <v>0</v>
      </c>
      <c r="S240" s="12">
        <v>60</v>
      </c>
      <c r="T240" t="s">
        <v>370</v>
      </c>
      <c r="U240" s="26"/>
      <c r="V240" s="20"/>
      <c r="W240" s="20"/>
      <c r="X240" s="20"/>
    </row>
    <row r="241" spans="1:24" ht="15.75" x14ac:dyDescent="0.25">
      <c r="A241" s="12">
        <f t="shared" si="65"/>
        <v>20118</v>
      </c>
      <c r="B241" s="16" t="s">
        <v>371</v>
      </c>
      <c r="C241" s="1" t="s">
        <v>224</v>
      </c>
      <c r="D241" s="12">
        <v>118</v>
      </c>
      <c r="E241" s="12">
        <v>2</v>
      </c>
      <c r="F241" s="12">
        <v>118</v>
      </c>
      <c r="G241" s="20">
        <v>40145</v>
      </c>
      <c r="H241" s="20">
        <v>2</v>
      </c>
      <c r="I241" s="20">
        <f t="shared" ref="I241:Q241" si="119">I121</f>
        <v>2</v>
      </c>
      <c r="J241" s="20">
        <f t="shared" si="119"/>
        <v>6</v>
      </c>
      <c r="K241" s="20">
        <f t="shared" si="119"/>
        <v>10417853064515</v>
      </c>
      <c r="L241" s="20">
        <f t="shared" si="119"/>
        <v>10417853064515</v>
      </c>
      <c r="M241" s="20">
        <f t="shared" si="119"/>
        <v>10417853064515</v>
      </c>
      <c r="N241" s="20">
        <f t="shared" si="119"/>
        <v>0</v>
      </c>
      <c r="O241" s="20">
        <f t="shared" si="119"/>
        <v>0</v>
      </c>
      <c r="P241" s="20">
        <f t="shared" si="119"/>
        <v>0</v>
      </c>
      <c r="Q241" s="20">
        <f t="shared" si="119"/>
        <v>2.1913428769134401E+27</v>
      </c>
      <c r="R241" s="20">
        <v>0</v>
      </c>
      <c r="S241" s="12">
        <v>60</v>
      </c>
      <c r="T241" t="s">
        <v>370</v>
      </c>
      <c r="U241" s="26"/>
      <c r="V241" s="20"/>
      <c r="W241" s="20"/>
      <c r="X241" s="20"/>
    </row>
    <row r="242" spans="1:24" ht="15.75" x14ac:dyDescent="0.25">
      <c r="A242" s="12">
        <f t="shared" si="65"/>
        <v>20119</v>
      </c>
      <c r="B242" s="16" t="s">
        <v>372</v>
      </c>
      <c r="C242" s="1" t="s">
        <v>224</v>
      </c>
      <c r="D242" s="12">
        <v>119</v>
      </c>
      <c r="E242" s="12">
        <v>2</v>
      </c>
      <c r="F242" s="12">
        <v>119</v>
      </c>
      <c r="G242" s="20">
        <v>40195</v>
      </c>
      <c r="H242" s="20">
        <v>1</v>
      </c>
      <c r="I242" s="20">
        <f t="shared" ref="I242:Q242" si="120">I122</f>
        <v>2</v>
      </c>
      <c r="J242" s="20">
        <f t="shared" si="120"/>
        <v>6</v>
      </c>
      <c r="K242" s="20">
        <f t="shared" si="120"/>
        <v>10817881818100</v>
      </c>
      <c r="L242" s="20">
        <f t="shared" si="120"/>
        <v>10817881818100</v>
      </c>
      <c r="M242" s="20">
        <f t="shared" si="120"/>
        <v>10817881818100</v>
      </c>
      <c r="N242" s="20">
        <f t="shared" si="120"/>
        <v>0</v>
      </c>
      <c r="O242" s="20">
        <f t="shared" si="120"/>
        <v>0</v>
      </c>
      <c r="P242" s="20">
        <f t="shared" si="120"/>
        <v>0</v>
      </c>
      <c r="Q242" s="20">
        <f t="shared" si="120"/>
        <v>2.4806156616865397E+27</v>
      </c>
      <c r="R242" s="20">
        <v>0</v>
      </c>
      <c r="S242" s="12">
        <v>60</v>
      </c>
      <c r="T242" t="s">
        <v>370</v>
      </c>
      <c r="U242" s="26"/>
      <c r="V242" s="20"/>
      <c r="W242" s="20"/>
      <c r="X242" s="20"/>
    </row>
    <row r="243" spans="1:24" ht="15.75" x14ac:dyDescent="0.25">
      <c r="A243" s="12">
        <f t="shared" si="65"/>
        <v>20120</v>
      </c>
      <c r="B243" s="16" t="s">
        <v>373</v>
      </c>
      <c r="C243" s="1" t="s">
        <v>224</v>
      </c>
      <c r="D243" s="12">
        <v>120</v>
      </c>
      <c r="E243" s="12">
        <v>2</v>
      </c>
      <c r="F243" s="12">
        <v>120</v>
      </c>
      <c r="G243" s="20">
        <v>50045</v>
      </c>
      <c r="H243" s="20">
        <v>3</v>
      </c>
      <c r="I243" s="20">
        <f t="shared" ref="I243:Q243" si="121">I123</f>
        <v>2</v>
      </c>
      <c r="J243" s="20">
        <f t="shared" si="121"/>
        <v>6</v>
      </c>
      <c r="K243" s="20">
        <f t="shared" si="121"/>
        <v>11196545828205</v>
      </c>
      <c r="L243" s="20">
        <f t="shared" si="121"/>
        <v>11196545828205</v>
      </c>
      <c r="M243" s="20">
        <f t="shared" si="121"/>
        <v>11196545828205</v>
      </c>
      <c r="N243" s="20">
        <f t="shared" si="121"/>
        <v>0</v>
      </c>
      <c r="O243" s="20">
        <f t="shared" si="121"/>
        <v>0</v>
      </c>
      <c r="P243" s="20">
        <f t="shared" si="121"/>
        <v>0</v>
      </c>
      <c r="Q243" s="20">
        <f t="shared" si="121"/>
        <v>2.6968238110057798E+27</v>
      </c>
      <c r="R243" s="20">
        <v>0</v>
      </c>
      <c r="S243" s="12">
        <v>60</v>
      </c>
      <c r="T243" t="s">
        <v>370</v>
      </c>
      <c r="U243" s="26"/>
      <c r="V243" s="20"/>
      <c r="W243" s="20"/>
      <c r="X243" s="20"/>
    </row>
    <row r="244" spans="1:24" ht="15.75" x14ac:dyDescent="0.25">
      <c r="A244" s="12">
        <f t="shared" ref="A244" si="122">A124+10000</f>
        <v>30001</v>
      </c>
      <c r="B244" s="27" t="s">
        <v>374</v>
      </c>
      <c r="C244" s="1" t="s">
        <v>375</v>
      </c>
      <c r="D244" s="12">
        <v>1</v>
      </c>
      <c r="E244" s="12">
        <v>3</v>
      </c>
      <c r="F244" s="12">
        <v>1</v>
      </c>
      <c r="G244" s="12">
        <v>10055</v>
      </c>
      <c r="H244" s="12">
        <v>2</v>
      </c>
      <c r="I244" s="20">
        <f>I124</f>
        <v>0</v>
      </c>
      <c r="J244" s="20">
        <f t="shared" ref="J244:Q244" si="123">J124</f>
        <v>4</v>
      </c>
      <c r="K244" s="20">
        <f t="shared" si="123"/>
        <v>2125</v>
      </c>
      <c r="L244" s="20">
        <f t="shared" si="123"/>
        <v>2125</v>
      </c>
      <c r="M244" s="20">
        <f t="shared" si="123"/>
        <v>2125</v>
      </c>
      <c r="N244" s="20">
        <f t="shared" si="123"/>
        <v>0</v>
      </c>
      <c r="O244" s="20">
        <f t="shared" si="123"/>
        <v>0</v>
      </c>
      <c r="P244" s="20">
        <f t="shared" si="123"/>
        <v>0</v>
      </c>
      <c r="Q244" s="20">
        <f t="shared" si="123"/>
        <v>18975</v>
      </c>
      <c r="R244" s="20">
        <v>0</v>
      </c>
      <c r="S244" s="12">
        <v>60</v>
      </c>
      <c r="T244" s="32" t="s">
        <v>376</v>
      </c>
      <c r="U244" s="26"/>
      <c r="W244" s="27"/>
      <c r="X244" s="27"/>
    </row>
    <row r="245" spans="1:24" ht="15.75" x14ac:dyDescent="0.25">
      <c r="A245" s="12">
        <f t="shared" ref="A245:A308" si="124">A125+10000</f>
        <v>30002</v>
      </c>
      <c r="B245" s="27" t="s">
        <v>377</v>
      </c>
      <c r="C245" s="1" t="s">
        <v>375</v>
      </c>
      <c r="D245" s="12">
        <v>2</v>
      </c>
      <c r="E245" s="12">
        <v>3</v>
      </c>
      <c r="F245" s="12">
        <v>2</v>
      </c>
      <c r="G245" s="12">
        <v>10105</v>
      </c>
      <c r="H245" s="12">
        <v>1</v>
      </c>
      <c r="I245" s="20">
        <f t="shared" ref="I245:Q245" si="125">I125</f>
        <v>0</v>
      </c>
      <c r="J245" s="20">
        <f t="shared" si="125"/>
        <v>4</v>
      </c>
      <c r="K245" s="20">
        <f t="shared" si="125"/>
        <v>21420</v>
      </c>
      <c r="L245" s="20">
        <f t="shared" si="125"/>
        <v>21420</v>
      </c>
      <c r="M245" s="20">
        <f t="shared" si="125"/>
        <v>21420</v>
      </c>
      <c r="N245" s="20">
        <f t="shared" si="125"/>
        <v>0</v>
      </c>
      <c r="O245" s="20">
        <f t="shared" si="125"/>
        <v>0</v>
      </c>
      <c r="P245" s="20">
        <f t="shared" si="125"/>
        <v>0</v>
      </c>
      <c r="Q245" s="20">
        <f t="shared" si="125"/>
        <v>480400</v>
      </c>
      <c r="R245" s="20">
        <v>0</v>
      </c>
      <c r="S245" s="12">
        <v>60</v>
      </c>
      <c r="T245" s="32" t="s">
        <v>376</v>
      </c>
      <c r="U245" s="26"/>
      <c r="W245" s="27"/>
      <c r="X245" s="27"/>
    </row>
    <row r="246" spans="1:24" ht="15.75" x14ac:dyDescent="0.25">
      <c r="A246" s="12">
        <f t="shared" si="124"/>
        <v>30003</v>
      </c>
      <c r="B246" s="27" t="s">
        <v>378</v>
      </c>
      <c r="C246" s="1" t="s">
        <v>375</v>
      </c>
      <c r="D246" s="12">
        <v>3</v>
      </c>
      <c r="E246" s="12">
        <v>3</v>
      </c>
      <c r="F246" s="12">
        <v>3</v>
      </c>
      <c r="G246" s="12">
        <v>10155</v>
      </c>
      <c r="H246" s="12">
        <v>3</v>
      </c>
      <c r="I246" s="20">
        <f t="shared" ref="I246:Q246" si="126">I126</f>
        <v>0</v>
      </c>
      <c r="J246" s="20">
        <f t="shared" si="126"/>
        <v>4</v>
      </c>
      <c r="K246" s="20">
        <f t="shared" si="126"/>
        <v>96540</v>
      </c>
      <c r="L246" s="20">
        <f t="shared" si="126"/>
        <v>96540</v>
      </c>
      <c r="M246" s="20">
        <f t="shared" si="126"/>
        <v>96540</v>
      </c>
      <c r="N246" s="20">
        <f t="shared" si="126"/>
        <v>0</v>
      </c>
      <c r="O246" s="20">
        <f t="shared" si="126"/>
        <v>0</v>
      </c>
      <c r="P246" s="20">
        <f t="shared" si="126"/>
        <v>0</v>
      </c>
      <c r="Q246" s="20">
        <f t="shared" si="126"/>
        <v>7033975</v>
      </c>
      <c r="R246" s="20">
        <v>0</v>
      </c>
      <c r="S246" s="12">
        <v>60</v>
      </c>
      <c r="T246" s="32" t="s">
        <v>376</v>
      </c>
      <c r="U246" s="26"/>
      <c r="W246" s="27"/>
      <c r="X246" s="27"/>
    </row>
    <row r="247" spans="1:24" ht="15.75" x14ac:dyDescent="0.25">
      <c r="A247" s="12">
        <f t="shared" si="124"/>
        <v>30004</v>
      </c>
      <c r="B247" s="27" t="s">
        <v>379</v>
      </c>
      <c r="C247" s="1" t="s">
        <v>375</v>
      </c>
      <c r="D247" s="12">
        <v>4</v>
      </c>
      <c r="E247" s="12">
        <v>3</v>
      </c>
      <c r="F247" s="12">
        <v>4</v>
      </c>
      <c r="G247" s="12">
        <v>10205</v>
      </c>
      <c r="H247" s="12">
        <v>2</v>
      </c>
      <c r="I247" s="20">
        <f>I127</f>
        <v>0</v>
      </c>
      <c r="J247" s="20">
        <f t="shared" ref="J247:Q247" si="127">J127</f>
        <v>4</v>
      </c>
      <c r="K247" s="20">
        <f t="shared" si="127"/>
        <v>208495</v>
      </c>
      <c r="L247" s="20">
        <f t="shared" si="127"/>
        <v>208495</v>
      </c>
      <c r="M247" s="20">
        <f t="shared" si="127"/>
        <v>208495</v>
      </c>
      <c r="N247" s="20">
        <f t="shared" si="127"/>
        <v>0</v>
      </c>
      <c r="O247" s="20">
        <f t="shared" si="127"/>
        <v>0</v>
      </c>
      <c r="P247" s="20">
        <f t="shared" si="127"/>
        <v>0</v>
      </c>
      <c r="Q247" s="20">
        <f t="shared" si="127"/>
        <v>27080900</v>
      </c>
      <c r="R247" s="20">
        <v>0</v>
      </c>
      <c r="S247" s="12">
        <v>60</v>
      </c>
      <c r="T247" s="32" t="s">
        <v>376</v>
      </c>
      <c r="U247" s="26"/>
      <c r="W247" s="27"/>
      <c r="X247" s="27"/>
    </row>
    <row r="248" spans="1:24" ht="15.75" x14ac:dyDescent="0.25">
      <c r="A248" s="12">
        <f t="shared" si="124"/>
        <v>30005</v>
      </c>
      <c r="B248" s="27" t="s">
        <v>380</v>
      </c>
      <c r="C248" s="1" t="s">
        <v>375</v>
      </c>
      <c r="D248" s="12">
        <v>5</v>
      </c>
      <c r="E248" s="12">
        <v>3</v>
      </c>
      <c r="F248" s="12">
        <v>5</v>
      </c>
      <c r="G248" s="12">
        <v>20055</v>
      </c>
      <c r="H248" s="12">
        <v>1</v>
      </c>
      <c r="I248" s="20">
        <f t="shared" ref="I248:Q248" si="128">I128</f>
        <v>2</v>
      </c>
      <c r="J248" s="20">
        <f t="shared" si="128"/>
        <v>4</v>
      </c>
      <c r="K248" s="20">
        <f t="shared" si="128"/>
        <v>685670</v>
      </c>
      <c r="L248" s="20">
        <f t="shared" si="128"/>
        <v>685670</v>
      </c>
      <c r="M248" s="20">
        <f t="shared" si="128"/>
        <v>685670</v>
      </c>
      <c r="N248" s="20">
        <f t="shared" si="128"/>
        <v>0</v>
      </c>
      <c r="O248" s="20">
        <f t="shared" si="128"/>
        <v>0</v>
      </c>
      <c r="P248" s="20">
        <f t="shared" si="128"/>
        <v>0</v>
      </c>
      <c r="Q248" s="20">
        <f t="shared" si="128"/>
        <v>495343500</v>
      </c>
      <c r="R248" s="20">
        <v>0</v>
      </c>
      <c r="S248" s="12">
        <v>60</v>
      </c>
      <c r="T248" s="32" t="s">
        <v>381</v>
      </c>
      <c r="U248" s="26"/>
      <c r="W248" s="27"/>
      <c r="X248" s="27"/>
    </row>
    <row r="249" spans="1:24" ht="15.75" x14ac:dyDescent="0.25">
      <c r="A249" s="12">
        <f t="shared" si="124"/>
        <v>30006</v>
      </c>
      <c r="B249" s="27" t="s">
        <v>382</v>
      </c>
      <c r="C249" s="1" t="s">
        <v>375</v>
      </c>
      <c r="D249" s="12">
        <v>6</v>
      </c>
      <c r="E249" s="12">
        <v>3</v>
      </c>
      <c r="F249" s="12">
        <v>6</v>
      </c>
      <c r="G249" s="12">
        <v>20105</v>
      </c>
      <c r="H249" s="12">
        <v>3</v>
      </c>
      <c r="I249" s="20">
        <f t="shared" ref="I249:Q249" si="129">I129</f>
        <v>2</v>
      </c>
      <c r="J249" s="20">
        <f t="shared" si="129"/>
        <v>4</v>
      </c>
      <c r="K249" s="20">
        <f t="shared" si="129"/>
        <v>1067940</v>
      </c>
      <c r="L249" s="20">
        <f t="shared" si="129"/>
        <v>1067940</v>
      </c>
      <c r="M249" s="20">
        <f t="shared" si="129"/>
        <v>1067940</v>
      </c>
      <c r="N249" s="20">
        <f t="shared" si="129"/>
        <v>0</v>
      </c>
      <c r="O249" s="20">
        <f t="shared" si="129"/>
        <v>0</v>
      </c>
      <c r="P249" s="20">
        <f t="shared" si="129"/>
        <v>0</v>
      </c>
      <c r="Q249" s="20">
        <f t="shared" si="129"/>
        <v>973025250</v>
      </c>
      <c r="R249" s="20">
        <v>0</v>
      </c>
      <c r="S249" s="12">
        <v>60</v>
      </c>
      <c r="T249" s="32" t="s">
        <v>381</v>
      </c>
      <c r="U249" s="26"/>
      <c r="W249" s="27"/>
      <c r="X249" s="27"/>
    </row>
    <row r="250" spans="1:24" ht="15.75" x14ac:dyDescent="0.25">
      <c r="A250" s="12">
        <f t="shared" si="124"/>
        <v>30007</v>
      </c>
      <c r="B250" s="27" t="s">
        <v>383</v>
      </c>
      <c r="C250" s="1" t="s">
        <v>375</v>
      </c>
      <c r="D250" s="12">
        <v>7</v>
      </c>
      <c r="E250" s="12">
        <v>3</v>
      </c>
      <c r="F250" s="12">
        <v>7</v>
      </c>
      <c r="G250" s="12">
        <v>20155</v>
      </c>
      <c r="H250" s="12">
        <v>2</v>
      </c>
      <c r="I250" s="20">
        <f t="shared" ref="I250:Q250" si="130">I130</f>
        <v>2</v>
      </c>
      <c r="J250" s="20">
        <f t="shared" si="130"/>
        <v>4</v>
      </c>
      <c r="K250" s="20">
        <f t="shared" si="130"/>
        <v>1574180</v>
      </c>
      <c r="L250" s="20">
        <f t="shared" si="130"/>
        <v>1574180</v>
      </c>
      <c r="M250" s="20">
        <f t="shared" si="130"/>
        <v>1574180</v>
      </c>
      <c r="N250" s="20">
        <f t="shared" si="130"/>
        <v>0</v>
      </c>
      <c r="O250" s="20">
        <f t="shared" si="130"/>
        <v>0</v>
      </c>
      <c r="P250" s="20">
        <f t="shared" si="130"/>
        <v>0</v>
      </c>
      <c r="Q250" s="20">
        <f t="shared" si="130"/>
        <v>2134528150</v>
      </c>
      <c r="R250" s="20">
        <v>0</v>
      </c>
      <c r="S250" s="12">
        <v>60</v>
      </c>
      <c r="T250" s="32" t="s">
        <v>381</v>
      </c>
      <c r="U250" s="26"/>
      <c r="W250" s="27"/>
      <c r="X250" s="27"/>
    </row>
    <row r="251" spans="1:24" ht="15.75" x14ac:dyDescent="0.25">
      <c r="A251" s="12">
        <f t="shared" si="124"/>
        <v>30008</v>
      </c>
      <c r="B251" s="27" t="s">
        <v>384</v>
      </c>
      <c r="C251" s="1" t="s">
        <v>375</v>
      </c>
      <c r="D251" s="12">
        <v>8</v>
      </c>
      <c r="E251" s="12">
        <v>3</v>
      </c>
      <c r="F251" s="12">
        <v>8</v>
      </c>
      <c r="G251" s="12">
        <v>20205</v>
      </c>
      <c r="H251" s="12">
        <v>1</v>
      </c>
      <c r="I251" s="20">
        <f t="shared" ref="I251:Q251" si="131">I131</f>
        <v>2</v>
      </c>
      <c r="J251" s="20">
        <f t="shared" si="131"/>
        <v>4</v>
      </c>
      <c r="K251" s="20">
        <f t="shared" si="131"/>
        <v>2244425</v>
      </c>
      <c r="L251" s="20">
        <f t="shared" si="131"/>
        <v>2244425</v>
      </c>
      <c r="M251" s="20">
        <f t="shared" si="131"/>
        <v>2244425</v>
      </c>
      <c r="N251" s="20">
        <f t="shared" si="131"/>
        <v>0</v>
      </c>
      <c r="O251" s="20">
        <f t="shared" si="131"/>
        <v>0</v>
      </c>
      <c r="P251" s="20">
        <f t="shared" si="131"/>
        <v>0</v>
      </c>
      <c r="Q251" s="20">
        <f t="shared" si="131"/>
        <v>4136039450</v>
      </c>
      <c r="R251" s="20">
        <v>0</v>
      </c>
      <c r="S251" s="12">
        <v>60</v>
      </c>
      <c r="T251" s="32" t="s">
        <v>381</v>
      </c>
      <c r="U251" s="26"/>
      <c r="W251" s="27"/>
      <c r="X251" s="27"/>
    </row>
    <row r="252" spans="1:24" ht="15.75" x14ac:dyDescent="0.25">
      <c r="A252" s="12">
        <f t="shared" si="124"/>
        <v>30009</v>
      </c>
      <c r="B252" s="27" t="s">
        <v>385</v>
      </c>
      <c r="C252" s="1" t="s">
        <v>375</v>
      </c>
      <c r="D252" s="12">
        <v>9</v>
      </c>
      <c r="E252" s="12">
        <v>3</v>
      </c>
      <c r="F252" s="12">
        <v>9</v>
      </c>
      <c r="G252" s="12">
        <v>30055</v>
      </c>
      <c r="H252" s="12">
        <v>3</v>
      </c>
      <c r="I252" s="20">
        <f t="shared" ref="I252:Q252" si="132">I132</f>
        <v>2</v>
      </c>
      <c r="J252" s="20">
        <f t="shared" si="132"/>
        <v>4</v>
      </c>
      <c r="K252" s="20">
        <f t="shared" si="132"/>
        <v>7392785</v>
      </c>
      <c r="L252" s="20">
        <f t="shared" si="132"/>
        <v>7392785</v>
      </c>
      <c r="M252" s="20">
        <f t="shared" si="132"/>
        <v>7392785</v>
      </c>
      <c r="N252" s="20">
        <f t="shared" si="132"/>
        <v>0</v>
      </c>
      <c r="O252" s="20">
        <f t="shared" si="132"/>
        <v>0</v>
      </c>
      <c r="P252" s="20">
        <f t="shared" si="132"/>
        <v>0</v>
      </c>
      <c r="Q252" s="20">
        <f t="shared" si="132"/>
        <v>17071043050</v>
      </c>
      <c r="R252" s="20">
        <v>0</v>
      </c>
      <c r="S252" s="12">
        <v>60</v>
      </c>
      <c r="T252" s="32" t="s">
        <v>386</v>
      </c>
      <c r="U252" s="26"/>
      <c r="W252" s="27"/>
      <c r="X252" s="27"/>
    </row>
    <row r="253" spans="1:24" ht="15.75" x14ac:dyDescent="0.25">
      <c r="A253" s="12">
        <f t="shared" si="124"/>
        <v>30010</v>
      </c>
      <c r="B253" s="27" t="s">
        <v>387</v>
      </c>
      <c r="C253" s="1" t="s">
        <v>375</v>
      </c>
      <c r="D253" s="12">
        <v>10</v>
      </c>
      <c r="E253" s="12">
        <v>3</v>
      </c>
      <c r="F253" s="12">
        <v>10</v>
      </c>
      <c r="G253" s="12">
        <v>30105</v>
      </c>
      <c r="H253" s="12">
        <v>2</v>
      </c>
      <c r="I253" s="20">
        <f t="shared" ref="I253:Q253" si="133">I133</f>
        <v>2</v>
      </c>
      <c r="J253" s="20">
        <f t="shared" si="133"/>
        <v>4</v>
      </c>
      <c r="K253" s="20">
        <f t="shared" si="133"/>
        <v>9690620</v>
      </c>
      <c r="L253" s="20">
        <f t="shared" si="133"/>
        <v>9690620</v>
      </c>
      <c r="M253" s="20">
        <f t="shared" si="133"/>
        <v>9690620</v>
      </c>
      <c r="N253" s="20">
        <f t="shared" si="133"/>
        <v>0</v>
      </c>
      <c r="O253" s="20">
        <f t="shared" si="133"/>
        <v>0</v>
      </c>
      <c r="P253" s="20">
        <f t="shared" si="133"/>
        <v>0</v>
      </c>
      <c r="Q253" s="20">
        <f t="shared" si="133"/>
        <v>32665383950</v>
      </c>
      <c r="R253" s="20">
        <v>0</v>
      </c>
      <c r="S253" s="12">
        <v>60</v>
      </c>
      <c r="T253" s="32" t="s">
        <v>386</v>
      </c>
      <c r="U253" s="26"/>
      <c r="W253" s="27"/>
      <c r="X253" s="27"/>
    </row>
    <row r="254" spans="1:24" ht="15.75" x14ac:dyDescent="0.25">
      <c r="A254" s="12">
        <f t="shared" si="124"/>
        <v>30011</v>
      </c>
      <c r="B254" s="27" t="s">
        <v>388</v>
      </c>
      <c r="C254" s="1" t="s">
        <v>375</v>
      </c>
      <c r="D254" s="12">
        <v>11</v>
      </c>
      <c r="E254" s="12">
        <v>3</v>
      </c>
      <c r="F254" s="12">
        <v>11</v>
      </c>
      <c r="G254" s="12">
        <v>30155</v>
      </c>
      <c r="H254" s="12">
        <v>1</v>
      </c>
      <c r="I254" s="20">
        <f t="shared" ref="I254:Q254" si="134">I134</f>
        <v>2</v>
      </c>
      <c r="J254" s="20">
        <f t="shared" si="134"/>
        <v>4</v>
      </c>
      <c r="K254" s="20">
        <f t="shared" si="134"/>
        <v>12472805</v>
      </c>
      <c r="L254" s="20">
        <f t="shared" si="134"/>
        <v>12472805</v>
      </c>
      <c r="M254" s="20">
        <f t="shared" si="134"/>
        <v>12472805</v>
      </c>
      <c r="N254" s="20">
        <f t="shared" si="134"/>
        <v>0</v>
      </c>
      <c r="O254" s="20">
        <f t="shared" si="134"/>
        <v>0</v>
      </c>
      <c r="P254" s="20">
        <f t="shared" si="134"/>
        <v>0</v>
      </c>
      <c r="Q254" s="20">
        <f t="shared" si="134"/>
        <v>56612113850</v>
      </c>
      <c r="R254" s="20">
        <v>0</v>
      </c>
      <c r="S254" s="12">
        <v>60</v>
      </c>
      <c r="T254" s="32" t="s">
        <v>386</v>
      </c>
      <c r="U254" s="26"/>
      <c r="W254" s="27"/>
      <c r="X254" s="27"/>
    </row>
    <row r="255" spans="1:24" ht="15.75" x14ac:dyDescent="0.25">
      <c r="A255" s="12">
        <f t="shared" si="124"/>
        <v>30012</v>
      </c>
      <c r="B255" s="27" t="s">
        <v>389</v>
      </c>
      <c r="C255" s="1" t="s">
        <v>375</v>
      </c>
      <c r="D255" s="12">
        <v>12</v>
      </c>
      <c r="E255" s="12">
        <v>3</v>
      </c>
      <c r="F255" s="12">
        <v>12</v>
      </c>
      <c r="G255" s="12">
        <v>30205</v>
      </c>
      <c r="H255" s="12">
        <v>3</v>
      </c>
      <c r="I255" s="20">
        <f t="shared" ref="I255:Q255" si="135">I135</f>
        <v>2</v>
      </c>
      <c r="J255" s="20">
        <f t="shared" si="135"/>
        <v>4</v>
      </c>
      <c r="K255" s="20">
        <f t="shared" si="135"/>
        <v>15756730</v>
      </c>
      <c r="L255" s="20">
        <f t="shared" si="135"/>
        <v>15756730</v>
      </c>
      <c r="M255" s="20">
        <f t="shared" si="135"/>
        <v>15756730</v>
      </c>
      <c r="N255" s="20">
        <f t="shared" si="135"/>
        <v>0</v>
      </c>
      <c r="O255" s="20">
        <f t="shared" si="135"/>
        <v>0</v>
      </c>
      <c r="P255" s="20">
        <f t="shared" si="135"/>
        <v>0</v>
      </c>
      <c r="Q255" s="20">
        <f t="shared" si="135"/>
        <v>90093679900</v>
      </c>
      <c r="R255" s="20">
        <v>0</v>
      </c>
      <c r="S255" s="12">
        <v>60</v>
      </c>
      <c r="T255" s="32" t="s">
        <v>386</v>
      </c>
      <c r="U255" s="26"/>
      <c r="W255" s="27"/>
      <c r="X255" s="27"/>
    </row>
    <row r="256" spans="1:24" ht="15.75" x14ac:dyDescent="0.25">
      <c r="A256" s="12">
        <f t="shared" si="124"/>
        <v>30013</v>
      </c>
      <c r="B256" s="27" t="s">
        <v>390</v>
      </c>
      <c r="C256" s="1" t="s">
        <v>375</v>
      </c>
      <c r="D256" s="12">
        <v>13</v>
      </c>
      <c r="E256" s="12">
        <v>3</v>
      </c>
      <c r="F256" s="12">
        <v>13</v>
      </c>
      <c r="G256" s="12">
        <v>40055</v>
      </c>
      <c r="H256" s="12">
        <v>2</v>
      </c>
      <c r="I256" s="20">
        <f t="shared" ref="I256:Q256" si="136">I136</f>
        <v>2</v>
      </c>
      <c r="J256" s="20">
        <f t="shared" si="136"/>
        <v>4</v>
      </c>
      <c r="K256" s="20">
        <f t="shared" si="136"/>
        <v>19639855</v>
      </c>
      <c r="L256" s="20">
        <f t="shared" si="136"/>
        <v>19639855</v>
      </c>
      <c r="M256" s="20">
        <f t="shared" si="136"/>
        <v>19639855</v>
      </c>
      <c r="N256" s="20">
        <f t="shared" si="136"/>
        <v>0</v>
      </c>
      <c r="O256" s="20">
        <f t="shared" si="136"/>
        <v>0</v>
      </c>
      <c r="P256" s="20">
        <f t="shared" si="136"/>
        <v>0</v>
      </c>
      <c r="Q256" s="20">
        <f t="shared" si="136"/>
        <v>144102587600</v>
      </c>
      <c r="R256" s="20">
        <v>0</v>
      </c>
      <c r="S256" s="12">
        <v>60</v>
      </c>
      <c r="T256" s="32" t="s">
        <v>391</v>
      </c>
      <c r="U256" s="26"/>
      <c r="W256" s="27"/>
      <c r="X256" s="27"/>
    </row>
    <row r="257" spans="1:24" ht="15.75" x14ac:dyDescent="0.25">
      <c r="A257" s="12">
        <f t="shared" si="124"/>
        <v>30014</v>
      </c>
      <c r="B257" s="27" t="s">
        <v>392</v>
      </c>
      <c r="C257" s="1" t="s">
        <v>375</v>
      </c>
      <c r="D257" s="12">
        <v>14</v>
      </c>
      <c r="E257" s="12">
        <v>3</v>
      </c>
      <c r="F257" s="12">
        <v>14</v>
      </c>
      <c r="G257" s="12">
        <v>40105</v>
      </c>
      <c r="H257" s="12">
        <v>1</v>
      </c>
      <c r="I257" s="20">
        <f t="shared" ref="I257:Q257" si="137">I137</f>
        <v>2</v>
      </c>
      <c r="J257" s="20">
        <f t="shared" si="137"/>
        <v>4</v>
      </c>
      <c r="K257" s="20">
        <f t="shared" si="137"/>
        <v>24205880</v>
      </c>
      <c r="L257" s="20">
        <f t="shared" si="137"/>
        <v>24205880</v>
      </c>
      <c r="M257" s="20">
        <f t="shared" si="137"/>
        <v>24205880</v>
      </c>
      <c r="N257" s="20">
        <f t="shared" si="137"/>
        <v>0</v>
      </c>
      <c r="O257" s="20">
        <f t="shared" si="137"/>
        <v>0</v>
      </c>
      <c r="P257" s="20">
        <f t="shared" si="137"/>
        <v>0</v>
      </c>
      <c r="Q257" s="20">
        <f t="shared" si="137"/>
        <v>220536880700</v>
      </c>
      <c r="R257" s="20">
        <v>0</v>
      </c>
      <c r="S257" s="12">
        <v>60</v>
      </c>
      <c r="T257" s="32" t="s">
        <v>391</v>
      </c>
      <c r="U257" s="26"/>
      <c r="W257" s="27"/>
      <c r="X257" s="27"/>
    </row>
    <row r="258" spans="1:24" ht="15.75" x14ac:dyDescent="0.25">
      <c r="A258" s="12">
        <f t="shared" si="124"/>
        <v>30015</v>
      </c>
      <c r="B258" s="27" t="s">
        <v>393</v>
      </c>
      <c r="C258" s="1" t="s">
        <v>375</v>
      </c>
      <c r="D258" s="12">
        <v>15</v>
      </c>
      <c r="E258" s="12">
        <v>3</v>
      </c>
      <c r="F258" s="12">
        <v>15</v>
      </c>
      <c r="G258" s="12">
        <v>40155</v>
      </c>
      <c r="H258" s="12">
        <v>3</v>
      </c>
      <c r="I258" s="20">
        <f t="shared" ref="I258:Q258" si="138">I138</f>
        <v>2</v>
      </c>
      <c r="J258" s="20">
        <f t="shared" si="138"/>
        <v>4</v>
      </c>
      <c r="K258" s="20">
        <f t="shared" si="138"/>
        <v>31164265</v>
      </c>
      <c r="L258" s="20">
        <f t="shared" si="138"/>
        <v>31164265</v>
      </c>
      <c r="M258" s="20">
        <f t="shared" si="138"/>
        <v>31164265</v>
      </c>
      <c r="N258" s="20">
        <f t="shared" si="138"/>
        <v>0</v>
      </c>
      <c r="O258" s="20">
        <f t="shared" si="138"/>
        <v>0</v>
      </c>
      <c r="P258" s="20">
        <f t="shared" si="138"/>
        <v>0</v>
      </c>
      <c r="Q258" s="20">
        <f t="shared" si="138"/>
        <v>389457399875</v>
      </c>
      <c r="R258" s="20">
        <v>0</v>
      </c>
      <c r="S258" s="12">
        <v>60</v>
      </c>
      <c r="T258" s="32" t="s">
        <v>391</v>
      </c>
      <c r="U258" s="26"/>
      <c r="W258" s="27"/>
      <c r="X258" s="27"/>
    </row>
    <row r="259" spans="1:24" ht="15.75" x14ac:dyDescent="0.25">
      <c r="A259" s="12">
        <f t="shared" si="124"/>
        <v>30016</v>
      </c>
      <c r="B259" s="27" t="s">
        <v>394</v>
      </c>
      <c r="C259" s="1" t="s">
        <v>375</v>
      </c>
      <c r="D259" s="12">
        <v>16</v>
      </c>
      <c r="E259" s="12">
        <v>3</v>
      </c>
      <c r="F259" s="12">
        <v>16</v>
      </c>
      <c r="G259" s="12">
        <v>40205</v>
      </c>
      <c r="H259" s="12">
        <v>2</v>
      </c>
      <c r="I259" s="20">
        <f t="shared" ref="I259:Q259" si="139">I139</f>
        <v>2</v>
      </c>
      <c r="J259" s="20">
        <f t="shared" si="139"/>
        <v>4</v>
      </c>
      <c r="K259" s="20">
        <f t="shared" si="139"/>
        <v>38620260</v>
      </c>
      <c r="L259" s="20">
        <f t="shared" si="139"/>
        <v>38620260</v>
      </c>
      <c r="M259" s="20">
        <f t="shared" si="139"/>
        <v>38620260</v>
      </c>
      <c r="N259" s="20">
        <f t="shared" si="139"/>
        <v>0</v>
      </c>
      <c r="O259" s="20">
        <f t="shared" si="139"/>
        <v>0</v>
      </c>
      <c r="P259" s="20">
        <f t="shared" si="139"/>
        <v>0</v>
      </c>
      <c r="Q259" s="20">
        <f t="shared" si="139"/>
        <v>654774441975</v>
      </c>
      <c r="R259" s="20">
        <v>0</v>
      </c>
      <c r="S259" s="12">
        <v>60</v>
      </c>
      <c r="T259" s="32" t="s">
        <v>391</v>
      </c>
      <c r="U259" s="26"/>
      <c r="W259" s="27"/>
      <c r="X259" s="27"/>
    </row>
    <row r="260" spans="1:24" ht="15.75" x14ac:dyDescent="0.25">
      <c r="A260" s="12">
        <f t="shared" si="124"/>
        <v>30017</v>
      </c>
      <c r="B260" s="27" t="s">
        <v>395</v>
      </c>
      <c r="C260" s="1" t="s">
        <v>375</v>
      </c>
      <c r="D260" s="12">
        <v>17</v>
      </c>
      <c r="E260" s="12">
        <v>3</v>
      </c>
      <c r="F260" s="12">
        <v>17</v>
      </c>
      <c r="G260" s="12">
        <v>50055</v>
      </c>
      <c r="H260" s="12">
        <v>1</v>
      </c>
      <c r="I260" s="20">
        <f t="shared" ref="I260:Q260" si="140">I140</f>
        <v>2</v>
      </c>
      <c r="J260" s="20">
        <f t="shared" si="140"/>
        <v>4</v>
      </c>
      <c r="K260" s="20">
        <f t="shared" si="140"/>
        <v>166514100</v>
      </c>
      <c r="L260" s="20">
        <f t="shared" si="140"/>
        <v>166514100</v>
      </c>
      <c r="M260" s="20">
        <f t="shared" si="140"/>
        <v>166514100</v>
      </c>
      <c r="N260" s="20">
        <f t="shared" si="140"/>
        <v>0</v>
      </c>
      <c r="O260" s="20">
        <f t="shared" si="140"/>
        <v>0</v>
      </c>
      <c r="P260" s="20">
        <f t="shared" si="140"/>
        <v>0</v>
      </c>
      <c r="Q260" s="20">
        <f t="shared" si="140"/>
        <v>57958370565525</v>
      </c>
      <c r="R260" s="20">
        <v>0</v>
      </c>
      <c r="S260" s="12">
        <v>60</v>
      </c>
      <c r="T260" s="32" t="s">
        <v>396</v>
      </c>
      <c r="U260" s="26"/>
      <c r="W260" s="27"/>
      <c r="X260" s="27"/>
    </row>
    <row r="261" spans="1:24" ht="15.75" x14ac:dyDescent="0.25">
      <c r="A261" s="12">
        <f t="shared" si="124"/>
        <v>30018</v>
      </c>
      <c r="B261" s="27" t="s">
        <v>397</v>
      </c>
      <c r="C261" s="1" t="s">
        <v>375</v>
      </c>
      <c r="D261" s="12">
        <v>18</v>
      </c>
      <c r="E261" s="12">
        <v>3</v>
      </c>
      <c r="F261" s="12">
        <v>18</v>
      </c>
      <c r="G261" s="12">
        <v>10045</v>
      </c>
      <c r="H261" s="12">
        <v>3</v>
      </c>
      <c r="I261" s="20">
        <f t="shared" ref="I261:Q261" si="141">I141</f>
        <v>2</v>
      </c>
      <c r="J261" s="20">
        <f t="shared" si="141"/>
        <v>4</v>
      </c>
      <c r="K261" s="20">
        <f t="shared" si="141"/>
        <v>200401195</v>
      </c>
      <c r="L261" s="20">
        <f t="shared" si="141"/>
        <v>200401195</v>
      </c>
      <c r="M261" s="20">
        <f t="shared" si="141"/>
        <v>200401195</v>
      </c>
      <c r="N261" s="20">
        <f t="shared" si="141"/>
        <v>0</v>
      </c>
      <c r="O261" s="20">
        <f t="shared" si="141"/>
        <v>0</v>
      </c>
      <c r="P261" s="20">
        <f t="shared" si="141"/>
        <v>0</v>
      </c>
      <c r="Q261" s="20">
        <f t="shared" si="141"/>
        <v>86635109542075</v>
      </c>
      <c r="R261" s="20">
        <v>0</v>
      </c>
      <c r="S261" s="12">
        <v>60</v>
      </c>
      <c r="T261" s="32" t="s">
        <v>396</v>
      </c>
      <c r="U261" s="26"/>
      <c r="W261" s="27"/>
      <c r="X261" s="27"/>
    </row>
    <row r="262" spans="1:24" ht="15.75" x14ac:dyDescent="0.25">
      <c r="A262" s="12">
        <f t="shared" si="124"/>
        <v>30019</v>
      </c>
      <c r="B262" s="27" t="s">
        <v>398</v>
      </c>
      <c r="C262" s="1" t="s">
        <v>375</v>
      </c>
      <c r="D262" s="12">
        <v>19</v>
      </c>
      <c r="E262" s="12">
        <v>3</v>
      </c>
      <c r="F262" s="12">
        <v>19</v>
      </c>
      <c r="G262" s="12">
        <v>10095</v>
      </c>
      <c r="H262" s="12">
        <v>2</v>
      </c>
      <c r="I262" s="20">
        <f t="shared" ref="I262:Q262" si="142">I142</f>
        <v>2</v>
      </c>
      <c r="J262" s="20">
        <f t="shared" si="142"/>
        <v>4</v>
      </c>
      <c r="K262" s="20">
        <f t="shared" si="142"/>
        <v>253221165</v>
      </c>
      <c r="L262" s="20">
        <f t="shared" si="142"/>
        <v>253221165</v>
      </c>
      <c r="M262" s="20">
        <f t="shared" si="142"/>
        <v>253221165</v>
      </c>
      <c r="N262" s="20">
        <f t="shared" si="142"/>
        <v>0</v>
      </c>
      <c r="O262" s="20">
        <f t="shared" si="142"/>
        <v>0</v>
      </c>
      <c r="P262" s="20">
        <f t="shared" si="142"/>
        <v>0</v>
      </c>
      <c r="Q262" s="20">
        <f t="shared" si="142"/>
        <v>152037195553375</v>
      </c>
      <c r="R262" s="20">
        <v>0</v>
      </c>
      <c r="S262" s="12">
        <v>60</v>
      </c>
      <c r="T262" s="32" t="s">
        <v>396</v>
      </c>
      <c r="U262" s="26"/>
      <c r="W262" s="27"/>
      <c r="X262" s="27"/>
    </row>
    <row r="263" spans="1:24" ht="15.75" x14ac:dyDescent="0.25">
      <c r="A263" s="12">
        <f t="shared" si="124"/>
        <v>30020</v>
      </c>
      <c r="B263" s="27" t="s">
        <v>399</v>
      </c>
      <c r="C263" s="1" t="s">
        <v>375</v>
      </c>
      <c r="D263" s="12">
        <v>20</v>
      </c>
      <c r="E263" s="12">
        <v>3</v>
      </c>
      <c r="F263" s="12">
        <v>20</v>
      </c>
      <c r="G263" s="12">
        <v>10145</v>
      </c>
      <c r="H263" s="12">
        <v>1</v>
      </c>
      <c r="I263" s="20">
        <f t="shared" ref="I263:Q263" si="143">I143</f>
        <v>2</v>
      </c>
      <c r="J263" s="20">
        <f t="shared" si="143"/>
        <v>4</v>
      </c>
      <c r="K263" s="20">
        <f t="shared" si="143"/>
        <v>300735140</v>
      </c>
      <c r="L263" s="20">
        <f t="shared" si="143"/>
        <v>300735140</v>
      </c>
      <c r="M263" s="20">
        <f t="shared" si="143"/>
        <v>300735140</v>
      </c>
      <c r="N263" s="20">
        <f t="shared" si="143"/>
        <v>0</v>
      </c>
      <c r="O263" s="20">
        <f t="shared" si="143"/>
        <v>0</v>
      </c>
      <c r="P263" s="20">
        <f t="shared" si="143"/>
        <v>0</v>
      </c>
      <c r="Q263" s="20">
        <f t="shared" si="143"/>
        <v>226843648238075</v>
      </c>
      <c r="R263" s="20">
        <v>0</v>
      </c>
      <c r="S263" s="12">
        <v>60</v>
      </c>
      <c r="T263" s="32" t="s">
        <v>396</v>
      </c>
      <c r="U263" s="26"/>
      <c r="W263" s="27"/>
      <c r="X263" s="27"/>
    </row>
    <row r="264" spans="1:24" ht="15.75" x14ac:dyDescent="0.25">
      <c r="A264" s="12">
        <f t="shared" si="124"/>
        <v>30021</v>
      </c>
      <c r="B264" s="27" t="s">
        <v>400</v>
      </c>
      <c r="C264" s="1" t="s">
        <v>375</v>
      </c>
      <c r="D264" s="12">
        <v>21</v>
      </c>
      <c r="E264" s="12">
        <v>3</v>
      </c>
      <c r="F264" s="12">
        <v>21</v>
      </c>
      <c r="G264" s="12">
        <v>10195</v>
      </c>
      <c r="H264" s="12">
        <v>3</v>
      </c>
      <c r="I264" s="20">
        <f t="shared" ref="I264:Q264" si="144">I144</f>
        <v>2</v>
      </c>
      <c r="J264" s="20">
        <f t="shared" si="144"/>
        <v>4</v>
      </c>
      <c r="K264" s="20">
        <f t="shared" si="144"/>
        <v>391089655</v>
      </c>
      <c r="L264" s="20">
        <f t="shared" si="144"/>
        <v>391089655</v>
      </c>
      <c r="M264" s="20">
        <f t="shared" si="144"/>
        <v>391089655</v>
      </c>
      <c r="N264" s="20">
        <f t="shared" si="144"/>
        <v>0</v>
      </c>
      <c r="O264" s="20">
        <f t="shared" si="144"/>
        <v>0</v>
      </c>
      <c r="P264" s="20">
        <f t="shared" si="144"/>
        <v>0</v>
      </c>
      <c r="Q264" s="20">
        <f t="shared" si="144"/>
        <v>618514479172800</v>
      </c>
      <c r="R264" s="20">
        <v>0</v>
      </c>
      <c r="S264" s="12">
        <v>60</v>
      </c>
      <c r="T264" s="32" t="s">
        <v>401</v>
      </c>
      <c r="U264" s="26"/>
      <c r="W264" s="27"/>
      <c r="X264" s="27"/>
    </row>
    <row r="265" spans="1:24" ht="15.75" x14ac:dyDescent="0.25">
      <c r="A265" s="12">
        <f t="shared" si="124"/>
        <v>30022</v>
      </c>
      <c r="B265" s="27" t="s">
        <v>402</v>
      </c>
      <c r="C265" s="1" t="s">
        <v>375</v>
      </c>
      <c r="D265" s="12">
        <v>22</v>
      </c>
      <c r="E265" s="12">
        <v>3</v>
      </c>
      <c r="F265" s="12">
        <v>22</v>
      </c>
      <c r="G265" s="12">
        <v>20045</v>
      </c>
      <c r="H265" s="12">
        <v>2</v>
      </c>
      <c r="I265" s="20">
        <f t="shared" ref="I265:Q265" si="145">I145</f>
        <v>2</v>
      </c>
      <c r="J265" s="20">
        <f t="shared" si="145"/>
        <v>4</v>
      </c>
      <c r="K265" s="20">
        <f t="shared" si="145"/>
        <v>451518515</v>
      </c>
      <c r="L265" s="20">
        <f t="shared" si="145"/>
        <v>451518515</v>
      </c>
      <c r="M265" s="20">
        <f t="shared" si="145"/>
        <v>451518515</v>
      </c>
      <c r="N265" s="20">
        <f t="shared" si="145"/>
        <v>0</v>
      </c>
      <c r="O265" s="20">
        <f t="shared" si="145"/>
        <v>0</v>
      </c>
      <c r="P265" s="20">
        <f t="shared" si="145"/>
        <v>0</v>
      </c>
      <c r="Q265" s="20">
        <f t="shared" si="145"/>
        <v>815227301527675</v>
      </c>
      <c r="R265" s="20">
        <v>0</v>
      </c>
      <c r="S265" s="12">
        <v>60</v>
      </c>
      <c r="T265" s="32" t="s">
        <v>401</v>
      </c>
      <c r="U265" s="26"/>
      <c r="W265" s="27"/>
      <c r="X265" s="27"/>
    </row>
    <row r="266" spans="1:24" ht="15.75" x14ac:dyDescent="0.25">
      <c r="A266" s="12">
        <f t="shared" si="124"/>
        <v>30023</v>
      </c>
      <c r="B266" s="27" t="s">
        <v>403</v>
      </c>
      <c r="C266" s="1" t="s">
        <v>375</v>
      </c>
      <c r="D266" s="12">
        <v>23</v>
      </c>
      <c r="E266" s="12">
        <v>3</v>
      </c>
      <c r="F266" s="12">
        <v>23</v>
      </c>
      <c r="G266" s="12">
        <v>20095</v>
      </c>
      <c r="H266" s="12">
        <v>1</v>
      </c>
      <c r="I266" s="20">
        <f t="shared" ref="I266:Q266" si="146">I146</f>
        <v>2</v>
      </c>
      <c r="J266" s="20">
        <f t="shared" si="146"/>
        <v>4</v>
      </c>
      <c r="K266" s="20">
        <f t="shared" si="146"/>
        <v>545358950</v>
      </c>
      <c r="L266" s="20">
        <f t="shared" si="146"/>
        <v>545358950</v>
      </c>
      <c r="M266" s="20">
        <f t="shared" si="146"/>
        <v>545358950</v>
      </c>
      <c r="N266" s="20">
        <f t="shared" si="146"/>
        <v>0</v>
      </c>
      <c r="O266" s="20">
        <f t="shared" si="146"/>
        <v>0</v>
      </c>
      <c r="P266" s="20">
        <f t="shared" si="146"/>
        <v>0</v>
      </c>
      <c r="Q266" s="20">
        <f t="shared" si="146"/>
        <v>1190168929539300</v>
      </c>
      <c r="R266" s="20">
        <v>0</v>
      </c>
      <c r="S266" s="12">
        <v>60</v>
      </c>
      <c r="T266" s="32" t="s">
        <v>401</v>
      </c>
      <c r="U266" s="26"/>
      <c r="W266" s="27"/>
      <c r="X266" s="27"/>
    </row>
    <row r="267" spans="1:24" ht="15.75" x14ac:dyDescent="0.25">
      <c r="A267" s="12">
        <f t="shared" si="124"/>
        <v>30024</v>
      </c>
      <c r="B267" s="27" t="s">
        <v>404</v>
      </c>
      <c r="C267" s="1" t="s">
        <v>375</v>
      </c>
      <c r="D267" s="12">
        <v>24</v>
      </c>
      <c r="E267" s="12">
        <v>3</v>
      </c>
      <c r="F267" s="12">
        <v>24</v>
      </c>
      <c r="G267" s="12">
        <v>20145</v>
      </c>
      <c r="H267" s="12">
        <v>3</v>
      </c>
      <c r="I267" s="20">
        <f t="shared" ref="I267:Q267" si="147">I147</f>
        <v>2</v>
      </c>
      <c r="J267" s="20">
        <f t="shared" si="147"/>
        <v>4</v>
      </c>
      <c r="K267" s="20">
        <f t="shared" si="147"/>
        <v>624877470</v>
      </c>
      <c r="L267" s="20">
        <f t="shared" si="147"/>
        <v>624877470</v>
      </c>
      <c r="M267" s="20">
        <f t="shared" si="147"/>
        <v>624877470</v>
      </c>
      <c r="N267" s="20">
        <f t="shared" si="147"/>
        <v>0</v>
      </c>
      <c r="O267" s="20">
        <f t="shared" si="147"/>
        <v>0</v>
      </c>
      <c r="P267" s="20">
        <f t="shared" si="147"/>
        <v>0</v>
      </c>
      <c r="Q267" s="20">
        <f t="shared" si="147"/>
        <v>1561202533964850</v>
      </c>
      <c r="R267" s="20">
        <v>0</v>
      </c>
      <c r="S267" s="12">
        <v>60</v>
      </c>
      <c r="T267" s="32" t="s">
        <v>401</v>
      </c>
      <c r="U267" s="26"/>
      <c r="W267" s="27"/>
      <c r="X267" s="27"/>
    </row>
    <row r="268" spans="1:24" ht="15.75" x14ac:dyDescent="0.25">
      <c r="A268" s="12">
        <f t="shared" si="124"/>
        <v>30025</v>
      </c>
      <c r="B268" s="27" t="s">
        <v>405</v>
      </c>
      <c r="C268" s="1" t="s">
        <v>375</v>
      </c>
      <c r="D268" s="12">
        <v>25</v>
      </c>
      <c r="E268" s="12">
        <v>3</v>
      </c>
      <c r="F268" s="12">
        <v>25</v>
      </c>
      <c r="G268" s="12">
        <v>20195</v>
      </c>
      <c r="H268" s="12">
        <v>2</v>
      </c>
      <c r="I268" s="20">
        <f t="shared" ref="I268:Q268" si="148">I148</f>
        <v>2</v>
      </c>
      <c r="J268" s="20">
        <f t="shared" si="148"/>
        <v>4</v>
      </c>
      <c r="K268" s="20">
        <f t="shared" si="148"/>
        <v>1169283855</v>
      </c>
      <c r="L268" s="20">
        <f t="shared" si="148"/>
        <v>1169283855</v>
      </c>
      <c r="M268" s="20">
        <f t="shared" si="148"/>
        <v>1169283855</v>
      </c>
      <c r="N268" s="20">
        <f t="shared" si="148"/>
        <v>0</v>
      </c>
      <c r="O268" s="20">
        <f t="shared" si="148"/>
        <v>0</v>
      </c>
      <c r="P268" s="20">
        <f t="shared" si="148"/>
        <v>0</v>
      </c>
      <c r="Q268" s="20">
        <f t="shared" si="148"/>
        <v>6571493659479170</v>
      </c>
      <c r="R268" s="20">
        <v>0</v>
      </c>
      <c r="S268" s="12">
        <v>60</v>
      </c>
      <c r="T268" s="32" t="s">
        <v>406</v>
      </c>
      <c r="U268" s="26"/>
      <c r="W268" s="27"/>
      <c r="X268" s="27"/>
    </row>
    <row r="269" spans="1:24" ht="15.75" x14ac:dyDescent="0.25">
      <c r="A269" s="12">
        <f t="shared" si="124"/>
        <v>30026</v>
      </c>
      <c r="B269" s="27" t="s">
        <v>407</v>
      </c>
      <c r="C269" s="1" t="s">
        <v>375</v>
      </c>
      <c r="D269" s="12">
        <v>26</v>
      </c>
      <c r="E269" s="12">
        <v>3</v>
      </c>
      <c r="F269" s="12">
        <v>26</v>
      </c>
      <c r="G269" s="12">
        <v>30045</v>
      </c>
      <c r="H269" s="12">
        <v>1</v>
      </c>
      <c r="I269" s="20">
        <f t="shared" ref="I269:Q269" si="149">I149</f>
        <v>2</v>
      </c>
      <c r="J269" s="20">
        <f t="shared" si="149"/>
        <v>4</v>
      </c>
      <c r="K269" s="20">
        <f t="shared" si="149"/>
        <v>1353713560</v>
      </c>
      <c r="L269" s="20">
        <f t="shared" si="149"/>
        <v>1353713560</v>
      </c>
      <c r="M269" s="20">
        <f t="shared" si="149"/>
        <v>1353713560</v>
      </c>
      <c r="N269" s="20">
        <f t="shared" si="149"/>
        <v>0</v>
      </c>
      <c r="O269" s="20">
        <f t="shared" si="149"/>
        <v>0</v>
      </c>
      <c r="P269" s="20">
        <f t="shared" si="149"/>
        <v>0</v>
      </c>
      <c r="Q269" s="20">
        <f t="shared" si="149"/>
        <v>8625060463698750</v>
      </c>
      <c r="R269" s="20">
        <v>0</v>
      </c>
      <c r="S269" s="12">
        <v>60</v>
      </c>
      <c r="T269" s="32" t="s">
        <v>406</v>
      </c>
      <c r="U269" s="26"/>
      <c r="W269" s="27"/>
      <c r="X269" s="27"/>
    </row>
    <row r="270" spans="1:24" ht="15.75" x14ac:dyDescent="0.25">
      <c r="A270" s="12">
        <f t="shared" si="124"/>
        <v>30027</v>
      </c>
      <c r="B270" s="27" t="s">
        <v>408</v>
      </c>
      <c r="C270" s="1" t="s">
        <v>375</v>
      </c>
      <c r="D270" s="12">
        <v>27</v>
      </c>
      <c r="E270" s="12">
        <v>3</v>
      </c>
      <c r="F270" s="12">
        <v>27</v>
      </c>
      <c r="G270" s="12">
        <v>30095</v>
      </c>
      <c r="H270" s="12">
        <v>3</v>
      </c>
      <c r="I270" s="20">
        <f t="shared" ref="I270:Q270" si="150">I150</f>
        <v>2</v>
      </c>
      <c r="J270" s="20">
        <f t="shared" si="150"/>
        <v>4</v>
      </c>
      <c r="K270" s="20">
        <f t="shared" si="150"/>
        <v>1609474560</v>
      </c>
      <c r="L270" s="20">
        <f t="shared" si="150"/>
        <v>1609474560</v>
      </c>
      <c r="M270" s="20">
        <f t="shared" si="150"/>
        <v>1609474560</v>
      </c>
      <c r="N270" s="20">
        <f t="shared" si="150"/>
        <v>0</v>
      </c>
      <c r="O270" s="20">
        <f t="shared" si="150"/>
        <v>0</v>
      </c>
      <c r="P270" s="20">
        <f t="shared" si="150"/>
        <v>0</v>
      </c>
      <c r="Q270" s="20">
        <f t="shared" si="150"/>
        <v>1.21748365012717E+16</v>
      </c>
      <c r="R270" s="20">
        <v>0</v>
      </c>
      <c r="S270" s="12">
        <v>60</v>
      </c>
      <c r="T270" s="32" t="s">
        <v>406</v>
      </c>
      <c r="U270" s="26"/>
      <c r="W270" s="27"/>
      <c r="X270" s="27"/>
    </row>
    <row r="271" spans="1:24" ht="15.75" x14ac:dyDescent="0.25">
      <c r="A271" s="12">
        <f t="shared" si="124"/>
        <v>30028</v>
      </c>
      <c r="B271" s="27" t="s">
        <v>409</v>
      </c>
      <c r="C271" s="1" t="s">
        <v>375</v>
      </c>
      <c r="D271" s="12">
        <v>28</v>
      </c>
      <c r="E271" s="12">
        <v>3</v>
      </c>
      <c r="F271" s="12">
        <v>28</v>
      </c>
      <c r="G271" s="12">
        <v>30145</v>
      </c>
      <c r="H271" s="12">
        <v>2</v>
      </c>
      <c r="I271" s="20">
        <f t="shared" ref="I271:Q271" si="151">I151</f>
        <v>2</v>
      </c>
      <c r="J271" s="20">
        <f t="shared" si="151"/>
        <v>4</v>
      </c>
      <c r="K271" s="20">
        <f t="shared" si="151"/>
        <v>1846695020</v>
      </c>
      <c r="L271" s="20">
        <f t="shared" si="151"/>
        <v>1846695020</v>
      </c>
      <c r="M271" s="20">
        <f t="shared" si="151"/>
        <v>1846695020</v>
      </c>
      <c r="N271" s="20">
        <f t="shared" si="151"/>
        <v>0</v>
      </c>
      <c r="O271" s="20">
        <f t="shared" si="151"/>
        <v>0</v>
      </c>
      <c r="P271" s="20">
        <f t="shared" si="151"/>
        <v>0</v>
      </c>
      <c r="Q271" s="20">
        <f t="shared" si="151"/>
        <v>1.59251562944154E+16</v>
      </c>
      <c r="R271" s="20">
        <v>0</v>
      </c>
      <c r="S271" s="12">
        <v>60</v>
      </c>
      <c r="T271" s="32" t="s">
        <v>406</v>
      </c>
      <c r="U271" s="26"/>
      <c r="W271" s="27"/>
      <c r="X271" s="27"/>
    </row>
    <row r="272" spans="1:24" ht="15.75" x14ac:dyDescent="0.25">
      <c r="A272" s="12">
        <f t="shared" si="124"/>
        <v>30029</v>
      </c>
      <c r="B272" s="27" t="s">
        <v>410</v>
      </c>
      <c r="C272" s="1" t="s">
        <v>375</v>
      </c>
      <c r="D272" s="12">
        <v>29</v>
      </c>
      <c r="E272" s="12">
        <v>3</v>
      </c>
      <c r="F272" s="12">
        <v>29</v>
      </c>
      <c r="G272" s="12">
        <v>30195</v>
      </c>
      <c r="H272" s="12">
        <v>1</v>
      </c>
      <c r="I272" s="20">
        <f t="shared" ref="I272:Q272" si="152">I152</f>
        <v>2</v>
      </c>
      <c r="J272" s="20">
        <f t="shared" si="152"/>
        <v>4</v>
      </c>
      <c r="K272" s="20">
        <f t="shared" si="152"/>
        <v>2355403275</v>
      </c>
      <c r="L272" s="20">
        <f t="shared" si="152"/>
        <v>2355403275</v>
      </c>
      <c r="M272" s="20">
        <f t="shared" si="152"/>
        <v>2355403275</v>
      </c>
      <c r="N272" s="20">
        <f t="shared" si="152"/>
        <v>0</v>
      </c>
      <c r="O272" s="20">
        <f t="shared" si="152"/>
        <v>0</v>
      </c>
      <c r="P272" s="20">
        <f t="shared" si="152"/>
        <v>0</v>
      </c>
      <c r="Q272" s="20">
        <f t="shared" si="152"/>
        <v>5.42932995511708E+16</v>
      </c>
      <c r="R272" s="20">
        <v>0</v>
      </c>
      <c r="S272" s="12">
        <v>60</v>
      </c>
      <c r="T272" s="32" t="s">
        <v>411</v>
      </c>
      <c r="U272" s="26"/>
      <c r="W272" s="27"/>
      <c r="X272" s="27"/>
    </row>
    <row r="273" spans="1:24" ht="15.75" x14ac:dyDescent="0.25">
      <c r="A273" s="12">
        <f t="shared" si="124"/>
        <v>30030</v>
      </c>
      <c r="B273" s="27" t="s">
        <v>412</v>
      </c>
      <c r="C273" s="1" t="s">
        <v>375</v>
      </c>
      <c r="D273" s="12">
        <v>30</v>
      </c>
      <c r="E273" s="12">
        <v>3</v>
      </c>
      <c r="F273" s="12">
        <v>30</v>
      </c>
      <c r="G273" s="12">
        <v>40045</v>
      </c>
      <c r="H273" s="12">
        <v>3</v>
      </c>
      <c r="I273" s="20">
        <f t="shared" ref="I273:Q273" si="153">I153</f>
        <v>2</v>
      </c>
      <c r="J273" s="20">
        <f t="shared" si="153"/>
        <v>4</v>
      </c>
      <c r="K273" s="20">
        <f t="shared" si="153"/>
        <v>2877535435</v>
      </c>
      <c r="L273" s="20">
        <f t="shared" si="153"/>
        <v>2877535435</v>
      </c>
      <c r="M273" s="20">
        <f t="shared" si="153"/>
        <v>2877535435</v>
      </c>
      <c r="N273" s="20">
        <f t="shared" si="153"/>
        <v>0</v>
      </c>
      <c r="O273" s="20">
        <f t="shared" si="153"/>
        <v>0</v>
      </c>
      <c r="P273" s="20">
        <f t="shared" si="153"/>
        <v>0</v>
      </c>
      <c r="Q273" s="20">
        <f t="shared" si="153"/>
        <v>8.4981450803142496E+16</v>
      </c>
      <c r="R273" s="20">
        <v>0</v>
      </c>
      <c r="S273" s="12">
        <v>60</v>
      </c>
      <c r="T273" s="32" t="s">
        <v>411</v>
      </c>
      <c r="U273" s="26"/>
      <c r="W273" s="27"/>
      <c r="X273" s="27"/>
    </row>
    <row r="274" spans="1:24" ht="15.75" x14ac:dyDescent="0.25">
      <c r="A274" s="12">
        <f t="shared" si="124"/>
        <v>30031</v>
      </c>
      <c r="B274" s="27" t="s">
        <v>413</v>
      </c>
      <c r="C274" s="1" t="s">
        <v>375</v>
      </c>
      <c r="D274" s="12">
        <v>31</v>
      </c>
      <c r="E274" s="12">
        <v>3</v>
      </c>
      <c r="F274" s="12">
        <v>31</v>
      </c>
      <c r="G274" s="12">
        <v>40095</v>
      </c>
      <c r="H274" s="12">
        <v>2</v>
      </c>
      <c r="I274" s="20">
        <f t="shared" ref="I274:Q274" si="154">I154</f>
        <v>2</v>
      </c>
      <c r="J274" s="20">
        <f t="shared" si="154"/>
        <v>4</v>
      </c>
      <c r="K274" s="20">
        <f t="shared" si="154"/>
        <v>3471246540</v>
      </c>
      <c r="L274" s="20">
        <f t="shared" si="154"/>
        <v>3471246540</v>
      </c>
      <c r="M274" s="20">
        <f t="shared" si="154"/>
        <v>3471246540</v>
      </c>
      <c r="N274" s="20">
        <f t="shared" si="154"/>
        <v>0</v>
      </c>
      <c r="O274" s="20">
        <f t="shared" si="154"/>
        <v>0</v>
      </c>
      <c r="P274" s="20">
        <f t="shared" si="154"/>
        <v>0</v>
      </c>
      <c r="Q274" s="20">
        <f t="shared" si="154"/>
        <v>1.2804243823414E+17</v>
      </c>
      <c r="R274" s="20">
        <v>0</v>
      </c>
      <c r="S274" s="12">
        <v>60</v>
      </c>
      <c r="T274" s="32" t="s">
        <v>411</v>
      </c>
      <c r="U274" s="26"/>
      <c r="W274" s="27"/>
      <c r="X274" s="27"/>
    </row>
    <row r="275" spans="1:24" ht="15.75" x14ac:dyDescent="0.25">
      <c r="A275" s="12">
        <f t="shared" si="124"/>
        <v>30032</v>
      </c>
      <c r="B275" s="27" t="s">
        <v>414</v>
      </c>
      <c r="C275" s="1" t="s">
        <v>375</v>
      </c>
      <c r="D275" s="12">
        <v>32</v>
      </c>
      <c r="E275" s="12">
        <v>3</v>
      </c>
      <c r="F275" s="12">
        <v>32</v>
      </c>
      <c r="G275" s="12">
        <v>40145</v>
      </c>
      <c r="H275" s="12">
        <v>1</v>
      </c>
      <c r="I275" s="20">
        <f t="shared" ref="I275:Q275" si="155">I155</f>
        <v>2</v>
      </c>
      <c r="J275" s="20">
        <f t="shared" si="155"/>
        <v>4</v>
      </c>
      <c r="K275" s="20">
        <f t="shared" si="155"/>
        <v>4070616465</v>
      </c>
      <c r="L275" s="20">
        <f t="shared" si="155"/>
        <v>4070616465</v>
      </c>
      <c r="M275" s="20">
        <f t="shared" si="155"/>
        <v>4070616465</v>
      </c>
      <c r="N275" s="20">
        <f t="shared" si="155"/>
        <v>0</v>
      </c>
      <c r="O275" s="20">
        <f t="shared" si="155"/>
        <v>0</v>
      </c>
      <c r="P275" s="20">
        <f t="shared" si="155"/>
        <v>0</v>
      </c>
      <c r="Q275" s="20">
        <f t="shared" si="155"/>
        <v>1.8553532413018202E+17</v>
      </c>
      <c r="R275" s="20">
        <v>0</v>
      </c>
      <c r="S275" s="12">
        <v>60</v>
      </c>
      <c r="T275" s="32" t="s">
        <v>411</v>
      </c>
      <c r="U275" s="26"/>
      <c r="W275" s="27"/>
      <c r="X275" s="27"/>
    </row>
    <row r="276" spans="1:24" ht="15.75" x14ac:dyDescent="0.25">
      <c r="A276" s="12">
        <f t="shared" si="124"/>
        <v>30033</v>
      </c>
      <c r="B276" s="27" t="s">
        <v>415</v>
      </c>
      <c r="C276" s="1" t="s">
        <v>375</v>
      </c>
      <c r="D276" s="12">
        <v>33</v>
      </c>
      <c r="E276" s="12">
        <v>3</v>
      </c>
      <c r="F276" s="12">
        <v>33</v>
      </c>
      <c r="G276" s="12">
        <v>40195</v>
      </c>
      <c r="H276" s="12">
        <v>3</v>
      </c>
      <c r="I276" s="20">
        <f t="shared" ref="I276:Q276" si="156">I156</f>
        <v>2</v>
      </c>
      <c r="J276" s="20">
        <f t="shared" si="156"/>
        <v>4</v>
      </c>
      <c r="K276" s="20">
        <f t="shared" si="156"/>
        <v>4947931560</v>
      </c>
      <c r="L276" s="20">
        <f t="shared" si="156"/>
        <v>4947931560</v>
      </c>
      <c r="M276" s="20">
        <f t="shared" si="156"/>
        <v>4947931560</v>
      </c>
      <c r="N276" s="20">
        <f t="shared" si="156"/>
        <v>0</v>
      </c>
      <c r="O276" s="20">
        <f t="shared" si="156"/>
        <v>0</v>
      </c>
      <c r="P276" s="20">
        <f t="shared" si="156"/>
        <v>0</v>
      </c>
      <c r="Q276" s="20">
        <f t="shared" si="156"/>
        <v>3.2261314513479002E+17</v>
      </c>
      <c r="R276" s="20">
        <v>0</v>
      </c>
      <c r="S276" s="12">
        <v>60</v>
      </c>
      <c r="T276" s="32" t="s">
        <v>416</v>
      </c>
      <c r="U276" s="26"/>
      <c r="W276" s="27"/>
      <c r="X276" s="27"/>
    </row>
    <row r="277" spans="1:24" ht="15.75" x14ac:dyDescent="0.25">
      <c r="A277" s="12">
        <f t="shared" si="124"/>
        <v>30034</v>
      </c>
      <c r="B277" s="27" t="s">
        <v>417</v>
      </c>
      <c r="C277" s="1" t="s">
        <v>375</v>
      </c>
      <c r="D277" s="12">
        <v>34</v>
      </c>
      <c r="E277" s="12">
        <v>3</v>
      </c>
      <c r="F277" s="12">
        <v>34</v>
      </c>
      <c r="G277" s="12">
        <v>50045</v>
      </c>
      <c r="H277" s="12">
        <v>2</v>
      </c>
      <c r="I277" s="20">
        <f t="shared" ref="I277:Q277" si="157">I157</f>
        <v>2</v>
      </c>
      <c r="J277" s="20">
        <f t="shared" si="157"/>
        <v>4</v>
      </c>
      <c r="K277" s="20">
        <f t="shared" si="157"/>
        <v>5657919940</v>
      </c>
      <c r="L277" s="20">
        <f t="shared" si="157"/>
        <v>5657919940</v>
      </c>
      <c r="M277" s="20">
        <f t="shared" si="157"/>
        <v>5657919940</v>
      </c>
      <c r="N277" s="20">
        <f t="shared" si="157"/>
        <v>0</v>
      </c>
      <c r="O277" s="20">
        <f t="shared" si="157"/>
        <v>0</v>
      </c>
      <c r="P277" s="20">
        <f t="shared" si="157"/>
        <v>0</v>
      </c>
      <c r="Q277" s="20">
        <f t="shared" si="157"/>
        <v>4.2750877848275501E+17</v>
      </c>
      <c r="R277" s="20">
        <v>0</v>
      </c>
      <c r="S277" s="12">
        <v>60</v>
      </c>
      <c r="T277" s="32" t="s">
        <v>416</v>
      </c>
      <c r="U277" s="26"/>
      <c r="W277" s="27"/>
      <c r="X277" s="27"/>
    </row>
    <row r="278" spans="1:24" ht="15.75" x14ac:dyDescent="0.25">
      <c r="A278" s="12">
        <f t="shared" si="124"/>
        <v>30035</v>
      </c>
      <c r="B278" s="27" t="s">
        <v>418</v>
      </c>
      <c r="C278" s="1" t="s">
        <v>375</v>
      </c>
      <c r="D278" s="12">
        <v>35</v>
      </c>
      <c r="E278" s="12">
        <v>3</v>
      </c>
      <c r="F278" s="12">
        <v>35</v>
      </c>
      <c r="G278" s="12">
        <v>10035</v>
      </c>
      <c r="H278" s="12">
        <v>1</v>
      </c>
      <c r="I278" s="20">
        <f t="shared" ref="I278:Q278" si="158">I158</f>
        <v>2</v>
      </c>
      <c r="J278" s="20">
        <f t="shared" si="158"/>
        <v>4</v>
      </c>
      <c r="K278" s="20">
        <f t="shared" si="158"/>
        <v>6742295590</v>
      </c>
      <c r="L278" s="20">
        <f t="shared" si="158"/>
        <v>6742295590</v>
      </c>
      <c r="M278" s="20">
        <f t="shared" si="158"/>
        <v>6742295590</v>
      </c>
      <c r="N278" s="20">
        <f t="shared" si="158"/>
        <v>0</v>
      </c>
      <c r="O278" s="20">
        <f t="shared" si="158"/>
        <v>0</v>
      </c>
      <c r="P278" s="20">
        <f t="shared" si="158"/>
        <v>0</v>
      </c>
      <c r="Q278" s="20">
        <f t="shared" si="158"/>
        <v>6.4115108048770995E+17</v>
      </c>
      <c r="R278" s="20">
        <v>0</v>
      </c>
      <c r="S278" s="12">
        <v>60</v>
      </c>
      <c r="T278" s="32" t="s">
        <v>416</v>
      </c>
      <c r="U278" s="26"/>
      <c r="W278" s="27"/>
      <c r="X278" s="27"/>
    </row>
    <row r="279" spans="1:24" ht="15.75" x14ac:dyDescent="0.25">
      <c r="A279" s="12">
        <f t="shared" si="124"/>
        <v>30036</v>
      </c>
      <c r="B279" s="27" t="s">
        <v>419</v>
      </c>
      <c r="C279" s="1" t="s">
        <v>375</v>
      </c>
      <c r="D279" s="12">
        <v>36</v>
      </c>
      <c r="E279" s="12">
        <v>3</v>
      </c>
      <c r="F279" s="12">
        <v>36</v>
      </c>
      <c r="G279" s="12">
        <v>10085</v>
      </c>
      <c r="H279" s="12">
        <v>3</v>
      </c>
      <c r="I279" s="20">
        <f t="shared" ref="I279:Q279" si="159">I159</f>
        <v>2</v>
      </c>
      <c r="J279" s="20">
        <f t="shared" si="159"/>
        <v>4</v>
      </c>
      <c r="K279" s="20">
        <f t="shared" si="159"/>
        <v>7813858040</v>
      </c>
      <c r="L279" s="20">
        <f t="shared" si="159"/>
        <v>7813858040</v>
      </c>
      <c r="M279" s="20">
        <f t="shared" si="159"/>
        <v>7813858040</v>
      </c>
      <c r="N279" s="20">
        <f t="shared" si="159"/>
        <v>0</v>
      </c>
      <c r="O279" s="20">
        <f t="shared" si="159"/>
        <v>0</v>
      </c>
      <c r="P279" s="20">
        <f t="shared" si="159"/>
        <v>0</v>
      </c>
      <c r="Q279" s="20">
        <f t="shared" si="159"/>
        <v>8.9984243497634995E+17</v>
      </c>
      <c r="R279" s="20">
        <v>0</v>
      </c>
      <c r="S279" s="12">
        <v>60</v>
      </c>
      <c r="T279" s="32" t="s">
        <v>416</v>
      </c>
      <c r="U279" s="26"/>
      <c r="W279" s="27"/>
      <c r="X279" s="27"/>
    </row>
    <row r="280" spans="1:24" ht="15.75" x14ac:dyDescent="0.25">
      <c r="A280" s="12">
        <f t="shared" si="124"/>
        <v>30037</v>
      </c>
      <c r="B280" s="27" t="s">
        <v>420</v>
      </c>
      <c r="C280" s="1" t="s">
        <v>375</v>
      </c>
      <c r="D280" s="12">
        <v>37</v>
      </c>
      <c r="E280" s="12">
        <v>3</v>
      </c>
      <c r="F280" s="12">
        <v>37</v>
      </c>
      <c r="G280" s="12">
        <v>10135</v>
      </c>
      <c r="H280" s="12">
        <v>2</v>
      </c>
      <c r="I280" s="20">
        <f t="shared" ref="I280:Q280" si="160">I160</f>
        <v>2</v>
      </c>
      <c r="J280" s="20">
        <f t="shared" si="160"/>
        <v>5</v>
      </c>
      <c r="K280" s="20">
        <f t="shared" si="160"/>
        <v>9022904075</v>
      </c>
      <c r="L280" s="20">
        <f t="shared" si="160"/>
        <v>9022904075</v>
      </c>
      <c r="M280" s="20">
        <f t="shared" si="160"/>
        <v>9022904075</v>
      </c>
      <c r="N280" s="20">
        <f t="shared" si="160"/>
        <v>0</v>
      </c>
      <c r="O280" s="20">
        <f t="shared" si="160"/>
        <v>0</v>
      </c>
      <c r="P280" s="20">
        <f t="shared" si="160"/>
        <v>0</v>
      </c>
      <c r="Q280" s="20">
        <f t="shared" si="160"/>
        <v>1.2748232271778401E+18</v>
      </c>
      <c r="R280" s="20">
        <v>0</v>
      </c>
      <c r="S280" s="12">
        <v>60</v>
      </c>
      <c r="T280" s="32" t="s">
        <v>421</v>
      </c>
      <c r="U280" s="26"/>
      <c r="W280" s="27"/>
      <c r="X280" s="27"/>
    </row>
    <row r="281" spans="1:24" ht="15.75" x14ac:dyDescent="0.25">
      <c r="A281" s="12">
        <f t="shared" si="124"/>
        <v>30038</v>
      </c>
      <c r="B281" s="27" t="s">
        <v>422</v>
      </c>
      <c r="C281" s="1" t="s">
        <v>375</v>
      </c>
      <c r="D281" s="12">
        <v>38</v>
      </c>
      <c r="E281" s="12">
        <v>3</v>
      </c>
      <c r="F281" s="12">
        <v>38</v>
      </c>
      <c r="G281" s="12">
        <v>10185</v>
      </c>
      <c r="H281" s="12">
        <v>1</v>
      </c>
      <c r="I281" s="20">
        <f t="shared" ref="I281:Q281" si="161">I161</f>
        <v>2</v>
      </c>
      <c r="J281" s="20">
        <f t="shared" si="161"/>
        <v>5</v>
      </c>
      <c r="K281" s="20">
        <f t="shared" si="161"/>
        <v>10357481865</v>
      </c>
      <c r="L281" s="20">
        <f t="shared" si="161"/>
        <v>10357481865</v>
      </c>
      <c r="M281" s="20">
        <f t="shared" si="161"/>
        <v>10357481865</v>
      </c>
      <c r="N281" s="20">
        <f t="shared" si="161"/>
        <v>0</v>
      </c>
      <c r="O281" s="20">
        <f t="shared" si="161"/>
        <v>0</v>
      </c>
      <c r="P281" s="20">
        <f t="shared" si="161"/>
        <v>0</v>
      </c>
      <c r="Q281" s="20">
        <f t="shared" si="161"/>
        <v>1.76085702278608E+18</v>
      </c>
      <c r="R281" s="20">
        <v>0</v>
      </c>
      <c r="S281" s="12">
        <v>60</v>
      </c>
      <c r="T281" s="32" t="s">
        <v>421</v>
      </c>
      <c r="U281" s="26"/>
      <c r="W281" s="27"/>
      <c r="X281" s="27"/>
    </row>
    <row r="282" spans="1:24" ht="15.75" x14ac:dyDescent="0.25">
      <c r="A282" s="12">
        <f t="shared" si="124"/>
        <v>30039</v>
      </c>
      <c r="B282" s="27" t="s">
        <v>423</v>
      </c>
      <c r="C282" s="1" t="s">
        <v>375</v>
      </c>
      <c r="D282" s="12">
        <v>39</v>
      </c>
      <c r="E282" s="12">
        <v>3</v>
      </c>
      <c r="F282" s="12">
        <v>39</v>
      </c>
      <c r="G282" s="12">
        <v>20035</v>
      </c>
      <c r="H282" s="12">
        <v>3</v>
      </c>
      <c r="I282" s="20">
        <f t="shared" ref="I282:Q282" si="162">I162</f>
        <v>2</v>
      </c>
      <c r="J282" s="20">
        <f t="shared" si="162"/>
        <v>5</v>
      </c>
      <c r="K282" s="20">
        <f t="shared" si="162"/>
        <v>12054912440</v>
      </c>
      <c r="L282" s="20">
        <f t="shared" si="162"/>
        <v>12054912440</v>
      </c>
      <c r="M282" s="20">
        <f t="shared" si="162"/>
        <v>12054912440</v>
      </c>
      <c r="N282" s="20">
        <f t="shared" si="162"/>
        <v>0</v>
      </c>
      <c r="O282" s="20">
        <f t="shared" si="162"/>
        <v>0</v>
      </c>
      <c r="P282" s="20">
        <f t="shared" si="162"/>
        <v>0</v>
      </c>
      <c r="Q282" s="20">
        <f t="shared" si="162"/>
        <v>2.5382198702505001E+18</v>
      </c>
      <c r="R282" s="20">
        <v>0</v>
      </c>
      <c r="S282" s="12">
        <v>60</v>
      </c>
      <c r="T282" s="32" t="s">
        <v>421</v>
      </c>
      <c r="U282" s="26"/>
      <c r="W282" s="27"/>
      <c r="X282" s="27"/>
    </row>
    <row r="283" spans="1:24" ht="15.75" x14ac:dyDescent="0.25">
      <c r="A283" s="12">
        <f t="shared" si="124"/>
        <v>30040</v>
      </c>
      <c r="B283" s="27" t="s">
        <v>424</v>
      </c>
      <c r="C283" s="1" t="s">
        <v>375</v>
      </c>
      <c r="D283" s="12">
        <v>40</v>
      </c>
      <c r="E283" s="12">
        <v>3</v>
      </c>
      <c r="F283" s="12">
        <v>40</v>
      </c>
      <c r="G283" s="12">
        <v>20085</v>
      </c>
      <c r="H283" s="12">
        <v>2</v>
      </c>
      <c r="I283" s="20">
        <f t="shared" ref="I283:Q283" si="163">I163</f>
        <v>2</v>
      </c>
      <c r="J283" s="20">
        <f t="shared" si="163"/>
        <v>5</v>
      </c>
      <c r="K283" s="20">
        <f t="shared" si="163"/>
        <v>13460310890</v>
      </c>
      <c r="L283" s="20">
        <f t="shared" si="163"/>
        <v>13460310890</v>
      </c>
      <c r="M283" s="20">
        <f t="shared" si="163"/>
        <v>13460310890</v>
      </c>
      <c r="N283" s="20">
        <f t="shared" si="163"/>
        <v>0</v>
      </c>
      <c r="O283" s="20">
        <f t="shared" si="163"/>
        <v>0</v>
      </c>
      <c r="P283" s="20">
        <f t="shared" si="163"/>
        <v>0</v>
      </c>
      <c r="Q283" s="20">
        <f t="shared" si="163"/>
        <v>3.2738742301717202E+18</v>
      </c>
      <c r="R283" s="20">
        <v>0</v>
      </c>
      <c r="S283" s="12">
        <v>60</v>
      </c>
      <c r="T283" s="32" t="s">
        <v>421</v>
      </c>
      <c r="U283" s="26"/>
      <c r="W283" s="27"/>
      <c r="X283" s="27"/>
    </row>
    <row r="284" spans="1:24" ht="15.75" x14ac:dyDescent="0.25">
      <c r="A284" s="12">
        <f t="shared" si="124"/>
        <v>30041</v>
      </c>
      <c r="B284" s="27" t="s">
        <v>425</v>
      </c>
      <c r="C284" s="1" t="s">
        <v>375</v>
      </c>
      <c r="D284" s="12">
        <v>41</v>
      </c>
      <c r="E284" s="12">
        <v>3</v>
      </c>
      <c r="F284" s="12">
        <v>41</v>
      </c>
      <c r="G284" s="12">
        <v>20135</v>
      </c>
      <c r="H284" s="12">
        <v>1</v>
      </c>
      <c r="I284" s="20">
        <f t="shared" ref="I284:Q284" si="164">I164</f>
        <v>2</v>
      </c>
      <c r="J284" s="20">
        <f t="shared" si="164"/>
        <v>5</v>
      </c>
      <c r="K284" s="20">
        <f t="shared" si="164"/>
        <v>32286211905</v>
      </c>
      <c r="L284" s="20">
        <f t="shared" si="164"/>
        <v>32286211905</v>
      </c>
      <c r="M284" s="20">
        <f t="shared" si="164"/>
        <v>32286211905</v>
      </c>
      <c r="N284" s="20">
        <f t="shared" si="164"/>
        <v>0</v>
      </c>
      <c r="O284" s="20">
        <f t="shared" si="164"/>
        <v>0</v>
      </c>
      <c r="P284" s="20">
        <f t="shared" si="164"/>
        <v>0</v>
      </c>
      <c r="Q284" s="20">
        <f t="shared" si="164"/>
        <v>3.58664099545122E+19</v>
      </c>
      <c r="R284" s="20">
        <v>0</v>
      </c>
      <c r="S284" s="12">
        <v>60</v>
      </c>
      <c r="T284" s="32" t="s">
        <v>426</v>
      </c>
      <c r="U284" s="26"/>
      <c r="W284" s="27"/>
      <c r="X284" s="27"/>
    </row>
    <row r="285" spans="1:24" ht="15.75" x14ac:dyDescent="0.25">
      <c r="A285" s="12">
        <f t="shared" si="124"/>
        <v>30042</v>
      </c>
      <c r="B285" s="27" t="s">
        <v>427</v>
      </c>
      <c r="C285" s="1" t="s">
        <v>375</v>
      </c>
      <c r="D285" s="12">
        <v>42</v>
      </c>
      <c r="E285" s="12">
        <v>3</v>
      </c>
      <c r="F285" s="12">
        <v>42</v>
      </c>
      <c r="G285" s="12">
        <v>20185</v>
      </c>
      <c r="H285" s="12">
        <v>3</v>
      </c>
      <c r="I285" s="20">
        <f t="shared" ref="I285:Q285" si="165">I165</f>
        <v>2</v>
      </c>
      <c r="J285" s="20">
        <f t="shared" si="165"/>
        <v>5</v>
      </c>
      <c r="K285" s="20">
        <f t="shared" si="165"/>
        <v>36210827115</v>
      </c>
      <c r="L285" s="20">
        <f t="shared" si="165"/>
        <v>36210827115</v>
      </c>
      <c r="M285" s="20">
        <f t="shared" si="165"/>
        <v>36210827115</v>
      </c>
      <c r="N285" s="20">
        <f t="shared" si="165"/>
        <v>0</v>
      </c>
      <c r="O285" s="20">
        <f t="shared" si="165"/>
        <v>0</v>
      </c>
      <c r="P285" s="20">
        <f t="shared" si="165"/>
        <v>0</v>
      </c>
      <c r="Q285" s="20">
        <f t="shared" si="165"/>
        <v>4.6745014187892703E+19</v>
      </c>
      <c r="R285" s="20">
        <v>0</v>
      </c>
      <c r="S285" s="12">
        <v>60</v>
      </c>
      <c r="T285" s="32" t="s">
        <v>426</v>
      </c>
      <c r="U285" s="26"/>
      <c r="W285" s="27"/>
      <c r="X285" s="27"/>
    </row>
    <row r="286" spans="1:24" ht="15.75" x14ac:dyDescent="0.25">
      <c r="A286" s="12">
        <f t="shared" si="124"/>
        <v>30043</v>
      </c>
      <c r="B286" s="27" t="s">
        <v>428</v>
      </c>
      <c r="C286" s="1" t="s">
        <v>375</v>
      </c>
      <c r="D286" s="12">
        <v>43</v>
      </c>
      <c r="E286" s="12">
        <v>3</v>
      </c>
      <c r="F286" s="12">
        <v>43</v>
      </c>
      <c r="G286" s="12">
        <v>30035</v>
      </c>
      <c r="H286" s="12">
        <v>2</v>
      </c>
      <c r="I286" s="20">
        <f t="shared" ref="I286:Q286" si="166">I166</f>
        <v>2</v>
      </c>
      <c r="J286" s="20">
        <f t="shared" si="166"/>
        <v>5</v>
      </c>
      <c r="K286" s="20">
        <f t="shared" si="166"/>
        <v>40524480255</v>
      </c>
      <c r="L286" s="20">
        <f t="shared" si="166"/>
        <v>40524480255</v>
      </c>
      <c r="M286" s="20">
        <f t="shared" si="166"/>
        <v>40524480255</v>
      </c>
      <c r="N286" s="20">
        <f t="shared" si="166"/>
        <v>0</v>
      </c>
      <c r="O286" s="20">
        <f t="shared" si="166"/>
        <v>0</v>
      </c>
      <c r="P286" s="20">
        <f t="shared" si="166"/>
        <v>0</v>
      </c>
      <c r="Q286" s="20">
        <f t="shared" si="166"/>
        <v>6.0115197558181503E+19</v>
      </c>
      <c r="R286" s="20">
        <v>0</v>
      </c>
      <c r="S286" s="12">
        <v>60</v>
      </c>
      <c r="T286" s="32" t="s">
        <v>426</v>
      </c>
      <c r="U286" s="26"/>
      <c r="W286" s="27"/>
      <c r="X286" s="27"/>
    </row>
    <row r="287" spans="1:24" ht="15.75" x14ac:dyDescent="0.25">
      <c r="A287" s="12">
        <f t="shared" si="124"/>
        <v>30044</v>
      </c>
      <c r="B287" s="27" t="s">
        <v>429</v>
      </c>
      <c r="C287" s="1" t="s">
        <v>375</v>
      </c>
      <c r="D287" s="12">
        <v>44</v>
      </c>
      <c r="E287" s="12">
        <v>3</v>
      </c>
      <c r="F287" s="12">
        <v>44</v>
      </c>
      <c r="G287" s="12">
        <v>30085</v>
      </c>
      <c r="H287" s="12">
        <v>1</v>
      </c>
      <c r="I287" s="20">
        <f t="shared" ref="I287:Q287" si="167">I167</f>
        <v>2</v>
      </c>
      <c r="J287" s="20">
        <f t="shared" si="167"/>
        <v>5</v>
      </c>
      <c r="K287" s="20">
        <f t="shared" si="167"/>
        <v>45192474355</v>
      </c>
      <c r="L287" s="20">
        <f t="shared" si="167"/>
        <v>45192474355</v>
      </c>
      <c r="M287" s="20">
        <f t="shared" si="167"/>
        <v>45192474355</v>
      </c>
      <c r="N287" s="20">
        <f t="shared" si="167"/>
        <v>0</v>
      </c>
      <c r="O287" s="20">
        <f t="shared" si="167"/>
        <v>0</v>
      </c>
      <c r="P287" s="20">
        <f t="shared" si="167"/>
        <v>0</v>
      </c>
      <c r="Q287" s="20">
        <f t="shared" si="167"/>
        <v>7.7888400343511499E+19</v>
      </c>
      <c r="R287" s="20">
        <v>0</v>
      </c>
      <c r="S287" s="12">
        <v>60</v>
      </c>
      <c r="T287" s="32" t="s">
        <v>426</v>
      </c>
      <c r="U287" s="26"/>
      <c r="W287" s="27"/>
      <c r="X287" s="27"/>
    </row>
    <row r="288" spans="1:24" ht="15.75" x14ac:dyDescent="0.25">
      <c r="A288" s="12">
        <f t="shared" si="124"/>
        <v>30045</v>
      </c>
      <c r="B288" s="27" t="s">
        <v>430</v>
      </c>
      <c r="C288" s="1" t="s">
        <v>375</v>
      </c>
      <c r="D288" s="12">
        <v>45</v>
      </c>
      <c r="E288" s="12">
        <v>3</v>
      </c>
      <c r="F288" s="12">
        <v>45</v>
      </c>
      <c r="G288" s="12">
        <v>30135</v>
      </c>
      <c r="H288" s="12">
        <v>3</v>
      </c>
      <c r="I288" s="20">
        <f t="shared" ref="I288:Q288" si="168">I168</f>
        <v>2</v>
      </c>
      <c r="J288" s="20">
        <f t="shared" si="168"/>
        <v>5</v>
      </c>
      <c r="K288" s="20">
        <f t="shared" si="168"/>
        <v>50974213845</v>
      </c>
      <c r="L288" s="20">
        <f t="shared" si="168"/>
        <v>50974213845</v>
      </c>
      <c r="M288" s="20">
        <f t="shared" si="168"/>
        <v>50974213845</v>
      </c>
      <c r="N288" s="20">
        <f t="shared" si="168"/>
        <v>0</v>
      </c>
      <c r="O288" s="20">
        <f t="shared" si="168"/>
        <v>0</v>
      </c>
      <c r="P288" s="20">
        <f t="shared" si="168"/>
        <v>0</v>
      </c>
      <c r="Q288" s="20">
        <f t="shared" si="168"/>
        <v>1.03932646043157E+20</v>
      </c>
      <c r="R288" s="20">
        <v>0</v>
      </c>
      <c r="S288" s="12">
        <v>60</v>
      </c>
      <c r="T288" s="32" t="s">
        <v>431</v>
      </c>
      <c r="U288" s="26"/>
      <c r="W288" s="27"/>
      <c r="X288" s="27"/>
    </row>
    <row r="289" spans="1:24" ht="15.75" x14ac:dyDescent="0.25">
      <c r="A289" s="12">
        <f t="shared" si="124"/>
        <v>30046</v>
      </c>
      <c r="B289" s="27" t="s">
        <v>432</v>
      </c>
      <c r="C289" s="1" t="s">
        <v>375</v>
      </c>
      <c r="D289" s="12">
        <v>46</v>
      </c>
      <c r="E289" s="12">
        <v>3</v>
      </c>
      <c r="F289" s="12">
        <v>46</v>
      </c>
      <c r="G289" s="12">
        <v>30185</v>
      </c>
      <c r="H289" s="12">
        <v>2</v>
      </c>
      <c r="I289" s="20">
        <f t="shared" ref="I289:Q289" si="169">I169</f>
        <v>2</v>
      </c>
      <c r="J289" s="20">
        <f t="shared" si="169"/>
        <v>5</v>
      </c>
      <c r="K289" s="20">
        <f t="shared" si="169"/>
        <v>57273255040</v>
      </c>
      <c r="L289" s="20">
        <f t="shared" si="169"/>
        <v>57273255040</v>
      </c>
      <c r="M289" s="20">
        <f t="shared" si="169"/>
        <v>57273255040</v>
      </c>
      <c r="N289" s="20">
        <f t="shared" si="169"/>
        <v>0</v>
      </c>
      <c r="O289" s="20">
        <f t="shared" si="169"/>
        <v>0</v>
      </c>
      <c r="P289" s="20">
        <f t="shared" si="169"/>
        <v>0</v>
      </c>
      <c r="Q289" s="20">
        <f t="shared" si="169"/>
        <v>1.3954245208691501E+20</v>
      </c>
      <c r="R289" s="20">
        <v>0</v>
      </c>
      <c r="S289" s="12">
        <v>60</v>
      </c>
      <c r="T289" s="32" t="s">
        <v>431</v>
      </c>
      <c r="U289" s="26"/>
      <c r="W289" s="27"/>
      <c r="X289" s="27"/>
    </row>
    <row r="290" spans="1:24" ht="15.75" x14ac:dyDescent="0.25">
      <c r="A290" s="12">
        <f t="shared" si="124"/>
        <v>30047</v>
      </c>
      <c r="B290" s="27" t="s">
        <v>433</v>
      </c>
      <c r="C290" s="1" t="s">
        <v>375</v>
      </c>
      <c r="D290" s="12">
        <v>47</v>
      </c>
      <c r="E290" s="12">
        <v>3</v>
      </c>
      <c r="F290" s="12">
        <v>47</v>
      </c>
      <c r="G290" s="12">
        <v>40035</v>
      </c>
      <c r="H290" s="12">
        <v>1</v>
      </c>
      <c r="I290" s="20">
        <f t="shared" ref="I290:Q290" si="170">I170</f>
        <v>2</v>
      </c>
      <c r="J290" s="20">
        <f t="shared" si="170"/>
        <v>5</v>
      </c>
      <c r="K290" s="20">
        <f t="shared" si="170"/>
        <v>64276150605</v>
      </c>
      <c r="L290" s="20">
        <f t="shared" si="170"/>
        <v>64276150605</v>
      </c>
      <c r="M290" s="20">
        <f t="shared" si="170"/>
        <v>64276150605</v>
      </c>
      <c r="N290" s="20">
        <f t="shared" si="170"/>
        <v>0</v>
      </c>
      <c r="O290" s="20">
        <f t="shared" si="170"/>
        <v>0</v>
      </c>
      <c r="P290" s="20">
        <f t="shared" si="170"/>
        <v>0</v>
      </c>
      <c r="Q290" s="20">
        <f t="shared" si="170"/>
        <v>1.84550037154706E+20</v>
      </c>
      <c r="R290" s="20">
        <v>0</v>
      </c>
      <c r="S290" s="12">
        <v>60</v>
      </c>
      <c r="T290" s="32" t="s">
        <v>431</v>
      </c>
      <c r="U290" s="26"/>
      <c r="W290" s="27"/>
      <c r="X290" s="27"/>
    </row>
    <row r="291" spans="1:24" ht="15.75" x14ac:dyDescent="0.25">
      <c r="A291" s="12">
        <f t="shared" si="124"/>
        <v>30048</v>
      </c>
      <c r="B291" s="27" t="s">
        <v>434</v>
      </c>
      <c r="C291" s="1" t="s">
        <v>375</v>
      </c>
      <c r="D291" s="12">
        <v>48</v>
      </c>
      <c r="E291" s="12">
        <v>3</v>
      </c>
      <c r="F291" s="12">
        <v>48</v>
      </c>
      <c r="G291" s="12">
        <v>40085</v>
      </c>
      <c r="H291" s="12">
        <v>3</v>
      </c>
      <c r="I291" s="20">
        <f t="shared" ref="I291:Q291" si="171">I171</f>
        <v>2</v>
      </c>
      <c r="J291" s="20">
        <f t="shared" si="171"/>
        <v>5</v>
      </c>
      <c r="K291" s="20">
        <f t="shared" si="171"/>
        <v>71872179505</v>
      </c>
      <c r="L291" s="20">
        <f t="shared" si="171"/>
        <v>71872179505</v>
      </c>
      <c r="M291" s="20">
        <f t="shared" si="171"/>
        <v>71872179505</v>
      </c>
      <c r="N291" s="20">
        <f t="shared" si="171"/>
        <v>0</v>
      </c>
      <c r="O291" s="20">
        <f t="shared" si="171"/>
        <v>0</v>
      </c>
      <c r="P291" s="20">
        <f t="shared" si="171"/>
        <v>0</v>
      </c>
      <c r="Q291" s="20">
        <f t="shared" si="171"/>
        <v>2.4520549723172199E+20</v>
      </c>
      <c r="R291" s="20">
        <v>0</v>
      </c>
      <c r="S291" s="12">
        <v>60</v>
      </c>
      <c r="T291" s="32" t="s">
        <v>431</v>
      </c>
      <c r="U291" s="26"/>
      <c r="W291" s="27"/>
      <c r="X291" s="27"/>
    </row>
    <row r="292" spans="1:24" ht="15.75" x14ac:dyDescent="0.25">
      <c r="A292" s="12">
        <f t="shared" si="124"/>
        <v>30049</v>
      </c>
      <c r="B292" s="27" t="s">
        <v>435</v>
      </c>
      <c r="C292" s="1" t="s">
        <v>375</v>
      </c>
      <c r="D292" s="12">
        <v>49</v>
      </c>
      <c r="E292" s="12">
        <v>3</v>
      </c>
      <c r="F292" s="12">
        <v>49</v>
      </c>
      <c r="G292" s="12">
        <v>40135</v>
      </c>
      <c r="H292" s="12">
        <v>2</v>
      </c>
      <c r="I292" s="20">
        <f t="shared" ref="I292:Q292" si="172">I172</f>
        <v>2</v>
      </c>
      <c r="J292" s="20">
        <f t="shared" si="172"/>
        <v>5</v>
      </c>
      <c r="K292" s="20">
        <f t="shared" si="172"/>
        <v>80659950855</v>
      </c>
      <c r="L292" s="20">
        <f t="shared" si="172"/>
        <v>80659950855</v>
      </c>
      <c r="M292" s="20">
        <f t="shared" si="172"/>
        <v>80659950855</v>
      </c>
      <c r="N292" s="20">
        <f t="shared" si="172"/>
        <v>0</v>
      </c>
      <c r="O292" s="20">
        <f t="shared" si="172"/>
        <v>0</v>
      </c>
      <c r="P292" s="20">
        <f t="shared" si="172"/>
        <v>0</v>
      </c>
      <c r="Q292" s="20">
        <f t="shared" si="172"/>
        <v>3.32194458119875E+20</v>
      </c>
      <c r="R292" s="20">
        <v>0</v>
      </c>
      <c r="S292" s="12">
        <v>60</v>
      </c>
      <c r="T292" s="32" t="s">
        <v>436</v>
      </c>
      <c r="U292" s="26"/>
      <c r="W292" s="27"/>
      <c r="X292" s="27"/>
    </row>
    <row r="293" spans="1:24" ht="15.75" x14ac:dyDescent="0.25">
      <c r="A293" s="12">
        <f t="shared" si="124"/>
        <v>30050</v>
      </c>
      <c r="B293" s="27" t="s">
        <v>437</v>
      </c>
      <c r="C293" s="1" t="s">
        <v>375</v>
      </c>
      <c r="D293" s="12">
        <v>50</v>
      </c>
      <c r="E293" s="12">
        <v>3</v>
      </c>
      <c r="F293" s="12">
        <v>50</v>
      </c>
      <c r="G293" s="12">
        <v>40185</v>
      </c>
      <c r="H293" s="12">
        <v>1</v>
      </c>
      <c r="I293" s="20">
        <f t="shared" ref="I293:Q293" si="173">I173</f>
        <v>2</v>
      </c>
      <c r="J293" s="20">
        <f t="shared" si="173"/>
        <v>5</v>
      </c>
      <c r="K293" s="20">
        <f t="shared" si="173"/>
        <v>89316558810</v>
      </c>
      <c r="L293" s="20">
        <f t="shared" si="173"/>
        <v>89316558810</v>
      </c>
      <c r="M293" s="20">
        <f t="shared" si="173"/>
        <v>89316558810</v>
      </c>
      <c r="N293" s="20">
        <f t="shared" si="173"/>
        <v>0</v>
      </c>
      <c r="O293" s="20">
        <f t="shared" si="173"/>
        <v>0</v>
      </c>
      <c r="P293" s="20">
        <f t="shared" si="173"/>
        <v>0</v>
      </c>
      <c r="Q293" s="20">
        <f t="shared" si="173"/>
        <v>4.3178479409735801E+20</v>
      </c>
      <c r="R293" s="20">
        <v>0</v>
      </c>
      <c r="S293" s="12">
        <v>60</v>
      </c>
      <c r="T293" s="32" t="s">
        <v>436</v>
      </c>
      <c r="U293" s="26"/>
      <c r="W293" s="27"/>
      <c r="X293" s="27"/>
    </row>
    <row r="294" spans="1:24" ht="15.75" x14ac:dyDescent="0.25">
      <c r="A294" s="12">
        <f t="shared" si="124"/>
        <v>30051</v>
      </c>
      <c r="B294" s="27" t="s">
        <v>438</v>
      </c>
      <c r="C294" s="1" t="s">
        <v>375</v>
      </c>
      <c r="D294" s="12">
        <v>51</v>
      </c>
      <c r="E294" s="12">
        <v>3</v>
      </c>
      <c r="F294" s="12">
        <v>51</v>
      </c>
      <c r="G294" s="12">
        <v>50035</v>
      </c>
      <c r="H294" s="12">
        <v>3</v>
      </c>
      <c r="I294" s="20">
        <f t="shared" ref="I294:Q294" si="174">I174</f>
        <v>2</v>
      </c>
      <c r="J294" s="20">
        <f t="shared" si="174"/>
        <v>5</v>
      </c>
      <c r="K294" s="20">
        <f t="shared" si="174"/>
        <v>99551542835</v>
      </c>
      <c r="L294" s="20">
        <f t="shared" si="174"/>
        <v>99551542835</v>
      </c>
      <c r="M294" s="20">
        <f t="shared" si="174"/>
        <v>99551542835</v>
      </c>
      <c r="N294" s="20">
        <f t="shared" si="174"/>
        <v>0</v>
      </c>
      <c r="O294" s="20">
        <f t="shared" si="174"/>
        <v>0</v>
      </c>
      <c r="P294" s="20">
        <f t="shared" si="174"/>
        <v>0</v>
      </c>
      <c r="Q294" s="20">
        <f t="shared" si="174"/>
        <v>5.62370147730003E+20</v>
      </c>
      <c r="R294" s="20">
        <v>0</v>
      </c>
      <c r="S294" s="12">
        <v>60</v>
      </c>
      <c r="T294" s="32" t="s">
        <v>436</v>
      </c>
      <c r="U294" s="26"/>
      <c r="W294" s="27"/>
      <c r="X294" s="27"/>
    </row>
    <row r="295" spans="1:24" ht="15.75" x14ac:dyDescent="0.25">
      <c r="A295" s="12">
        <f t="shared" si="124"/>
        <v>30052</v>
      </c>
      <c r="B295" s="27" t="s">
        <v>439</v>
      </c>
      <c r="C295" s="1" t="s">
        <v>375</v>
      </c>
      <c r="D295" s="12">
        <v>52</v>
      </c>
      <c r="E295" s="12">
        <v>3</v>
      </c>
      <c r="F295" s="12">
        <v>52</v>
      </c>
      <c r="G295" s="12">
        <v>10025</v>
      </c>
      <c r="H295" s="12">
        <v>2</v>
      </c>
      <c r="I295" s="20">
        <f t="shared" ref="I295:Q295" si="175">I175</f>
        <v>2</v>
      </c>
      <c r="J295" s="20">
        <f t="shared" si="175"/>
        <v>5</v>
      </c>
      <c r="K295" s="20">
        <f t="shared" si="175"/>
        <v>107660367945</v>
      </c>
      <c r="L295" s="20">
        <f t="shared" si="175"/>
        <v>107660367945</v>
      </c>
      <c r="M295" s="20">
        <f t="shared" si="175"/>
        <v>107660367945</v>
      </c>
      <c r="N295" s="20">
        <f t="shared" si="175"/>
        <v>0</v>
      </c>
      <c r="O295" s="20">
        <f t="shared" si="175"/>
        <v>0</v>
      </c>
      <c r="P295" s="20">
        <f t="shared" si="175"/>
        <v>0</v>
      </c>
      <c r="Q295" s="20">
        <f t="shared" si="175"/>
        <v>7.1164885106501196E+20</v>
      </c>
      <c r="R295" s="20">
        <v>0</v>
      </c>
      <c r="S295" s="12">
        <v>60</v>
      </c>
      <c r="T295" s="32" t="s">
        <v>436</v>
      </c>
      <c r="U295" s="26"/>
      <c r="W295" s="27"/>
      <c r="X295" s="27"/>
    </row>
    <row r="296" spans="1:24" ht="15.75" x14ac:dyDescent="0.25">
      <c r="A296" s="12">
        <f t="shared" si="124"/>
        <v>30053</v>
      </c>
      <c r="B296" s="27" t="s">
        <v>440</v>
      </c>
      <c r="C296" s="1" t="s">
        <v>375</v>
      </c>
      <c r="D296" s="12">
        <v>53</v>
      </c>
      <c r="E296" s="12">
        <v>3</v>
      </c>
      <c r="F296" s="12">
        <v>53</v>
      </c>
      <c r="G296" s="12">
        <v>10075</v>
      </c>
      <c r="H296" s="12">
        <v>1</v>
      </c>
      <c r="I296" s="20">
        <f t="shared" ref="I296:Q296" si="176">I176</f>
        <v>2</v>
      </c>
      <c r="J296" s="20">
        <f t="shared" si="176"/>
        <v>5</v>
      </c>
      <c r="K296" s="20">
        <f t="shared" si="176"/>
        <v>118277046610</v>
      </c>
      <c r="L296" s="20">
        <f t="shared" si="176"/>
        <v>118277046610</v>
      </c>
      <c r="M296" s="20">
        <f t="shared" si="176"/>
        <v>118277046610</v>
      </c>
      <c r="N296" s="20">
        <f t="shared" si="176"/>
        <v>0</v>
      </c>
      <c r="O296" s="20">
        <f t="shared" si="176"/>
        <v>0</v>
      </c>
      <c r="P296" s="20">
        <f t="shared" si="176"/>
        <v>0</v>
      </c>
      <c r="Q296" s="20">
        <f t="shared" si="176"/>
        <v>1.7524396436742501E+21</v>
      </c>
      <c r="R296" s="20">
        <v>0</v>
      </c>
      <c r="S296" s="12">
        <v>60</v>
      </c>
      <c r="T296" s="32" t="s">
        <v>441</v>
      </c>
      <c r="U296" s="26"/>
      <c r="W296" s="27"/>
      <c r="X296" s="27"/>
    </row>
    <row r="297" spans="1:24" ht="15.75" x14ac:dyDescent="0.25">
      <c r="A297" s="12">
        <f t="shared" si="124"/>
        <v>30054</v>
      </c>
      <c r="B297" s="27" t="s">
        <v>442</v>
      </c>
      <c r="C297" s="1" t="s">
        <v>375</v>
      </c>
      <c r="D297" s="12">
        <v>54</v>
      </c>
      <c r="E297" s="12">
        <v>3</v>
      </c>
      <c r="F297" s="12">
        <v>54</v>
      </c>
      <c r="G297" s="12">
        <v>10125</v>
      </c>
      <c r="H297" s="12">
        <v>3</v>
      </c>
      <c r="I297" s="20">
        <f t="shared" ref="I297:Q297" si="177">I177</f>
        <v>2</v>
      </c>
      <c r="J297" s="20">
        <f t="shared" si="177"/>
        <v>5</v>
      </c>
      <c r="K297" s="20">
        <f t="shared" si="177"/>
        <v>128666764360</v>
      </c>
      <c r="L297" s="20">
        <f t="shared" si="177"/>
        <v>128666764360</v>
      </c>
      <c r="M297" s="20">
        <f t="shared" si="177"/>
        <v>128666764360</v>
      </c>
      <c r="N297" s="20">
        <f t="shared" si="177"/>
        <v>0</v>
      </c>
      <c r="O297" s="20">
        <f t="shared" si="177"/>
        <v>0</v>
      </c>
      <c r="P297" s="20">
        <f t="shared" si="177"/>
        <v>0</v>
      </c>
      <c r="Q297" s="20">
        <f t="shared" si="177"/>
        <v>2.2101461747248299E+21</v>
      </c>
      <c r="R297" s="20">
        <v>0</v>
      </c>
      <c r="S297" s="12">
        <v>60</v>
      </c>
      <c r="T297" s="32" t="s">
        <v>441</v>
      </c>
      <c r="U297" s="26"/>
      <c r="W297" s="27"/>
      <c r="X297" s="27"/>
    </row>
    <row r="298" spans="1:24" ht="15.75" x14ac:dyDescent="0.25">
      <c r="A298" s="12">
        <f t="shared" si="124"/>
        <v>30055</v>
      </c>
      <c r="B298" s="27" t="s">
        <v>443</v>
      </c>
      <c r="C298" s="1" t="s">
        <v>375</v>
      </c>
      <c r="D298" s="12">
        <v>55</v>
      </c>
      <c r="E298" s="12">
        <v>3</v>
      </c>
      <c r="F298" s="12">
        <v>55</v>
      </c>
      <c r="G298" s="12">
        <v>10175</v>
      </c>
      <c r="H298" s="12">
        <v>2</v>
      </c>
      <c r="I298" s="20">
        <f t="shared" ref="I298:Q298" si="178">I178</f>
        <v>2</v>
      </c>
      <c r="J298" s="20">
        <f t="shared" si="178"/>
        <v>5</v>
      </c>
      <c r="K298" s="20">
        <f t="shared" si="178"/>
        <v>140718989180</v>
      </c>
      <c r="L298" s="20">
        <f t="shared" si="178"/>
        <v>140718989180</v>
      </c>
      <c r="M298" s="20">
        <f t="shared" si="178"/>
        <v>140718989180</v>
      </c>
      <c r="N298" s="20">
        <f t="shared" si="178"/>
        <v>0</v>
      </c>
      <c r="O298" s="20">
        <f t="shared" si="178"/>
        <v>0</v>
      </c>
      <c r="P298" s="20">
        <f t="shared" si="178"/>
        <v>0</v>
      </c>
      <c r="Q298" s="20">
        <f t="shared" si="178"/>
        <v>2.7898641802647998E+21</v>
      </c>
      <c r="R298" s="20">
        <v>0</v>
      </c>
      <c r="S298" s="12">
        <v>60</v>
      </c>
      <c r="T298" s="32" t="s">
        <v>441</v>
      </c>
      <c r="U298" s="26"/>
      <c r="W298" s="27"/>
      <c r="X298" s="27"/>
    </row>
    <row r="299" spans="1:24" ht="15.75" x14ac:dyDescent="0.25">
      <c r="A299" s="12">
        <f t="shared" si="124"/>
        <v>30056</v>
      </c>
      <c r="B299" s="27" t="s">
        <v>444</v>
      </c>
      <c r="C299" s="1" t="s">
        <v>375</v>
      </c>
      <c r="D299" s="12">
        <v>56</v>
      </c>
      <c r="E299" s="12">
        <v>3</v>
      </c>
      <c r="F299" s="12">
        <v>56</v>
      </c>
      <c r="G299" s="12">
        <v>20025</v>
      </c>
      <c r="H299" s="12">
        <v>1</v>
      </c>
      <c r="I299" s="20">
        <f t="shared" ref="I299:Q299" si="179">I179</f>
        <v>2</v>
      </c>
      <c r="J299" s="20">
        <f t="shared" si="179"/>
        <v>5</v>
      </c>
      <c r="K299" s="20">
        <f t="shared" si="179"/>
        <v>152475215170</v>
      </c>
      <c r="L299" s="20">
        <f t="shared" si="179"/>
        <v>152475215170</v>
      </c>
      <c r="M299" s="20">
        <f t="shared" si="179"/>
        <v>152475215170</v>
      </c>
      <c r="N299" s="20">
        <f t="shared" si="179"/>
        <v>0</v>
      </c>
      <c r="O299" s="20">
        <f t="shared" si="179"/>
        <v>0</v>
      </c>
      <c r="P299" s="20">
        <f t="shared" si="179"/>
        <v>0</v>
      </c>
      <c r="Q299" s="20">
        <f t="shared" si="179"/>
        <v>3.4925942661933999E+21</v>
      </c>
      <c r="R299" s="20">
        <v>0</v>
      </c>
      <c r="S299" s="12">
        <v>60</v>
      </c>
      <c r="T299" s="32" t="s">
        <v>441</v>
      </c>
      <c r="U299" s="26"/>
      <c r="W299" s="27"/>
      <c r="X299" s="27"/>
    </row>
    <row r="300" spans="1:24" ht="15.75" x14ac:dyDescent="0.25">
      <c r="A300" s="12">
        <f t="shared" si="124"/>
        <v>30057</v>
      </c>
      <c r="B300" s="27" t="s">
        <v>445</v>
      </c>
      <c r="C300" s="1" t="s">
        <v>375</v>
      </c>
      <c r="D300" s="12">
        <v>57</v>
      </c>
      <c r="E300" s="12">
        <v>3</v>
      </c>
      <c r="F300" s="12">
        <v>57</v>
      </c>
      <c r="G300" s="12">
        <v>20075</v>
      </c>
      <c r="H300" s="12">
        <v>3</v>
      </c>
      <c r="I300" s="20">
        <f t="shared" ref="I300:Q300" si="180">I180</f>
        <v>2</v>
      </c>
      <c r="J300" s="20">
        <f t="shared" si="180"/>
        <v>5</v>
      </c>
      <c r="K300" s="20">
        <f t="shared" si="180"/>
        <v>166757015875</v>
      </c>
      <c r="L300" s="20">
        <f t="shared" si="180"/>
        <v>166757015875</v>
      </c>
      <c r="M300" s="20">
        <f t="shared" si="180"/>
        <v>166757015875</v>
      </c>
      <c r="N300" s="20">
        <f t="shared" si="180"/>
        <v>0</v>
      </c>
      <c r="O300" s="20">
        <f t="shared" si="180"/>
        <v>0</v>
      </c>
      <c r="P300" s="20">
        <f t="shared" si="180"/>
        <v>0</v>
      </c>
      <c r="Q300" s="20">
        <f t="shared" si="180"/>
        <v>4.5149541879004702E+21</v>
      </c>
      <c r="R300" s="20">
        <v>0</v>
      </c>
      <c r="S300" s="12">
        <v>60</v>
      </c>
      <c r="T300" s="32" t="s">
        <v>446</v>
      </c>
      <c r="U300" s="26"/>
      <c r="W300" s="27"/>
      <c r="X300" s="27"/>
    </row>
    <row r="301" spans="1:24" ht="15.75" x14ac:dyDescent="0.25">
      <c r="A301" s="12">
        <f t="shared" si="124"/>
        <v>30058</v>
      </c>
      <c r="B301" s="27" t="s">
        <v>447</v>
      </c>
      <c r="C301" s="1" t="s">
        <v>375</v>
      </c>
      <c r="D301" s="12">
        <v>58</v>
      </c>
      <c r="E301" s="12">
        <v>3</v>
      </c>
      <c r="F301" s="12">
        <v>58</v>
      </c>
      <c r="G301" s="12">
        <v>20125</v>
      </c>
      <c r="H301" s="12">
        <v>2</v>
      </c>
      <c r="I301" s="20">
        <f t="shared" ref="I301:Q301" si="181">I181</f>
        <v>2</v>
      </c>
      <c r="J301" s="20">
        <f t="shared" si="181"/>
        <v>5</v>
      </c>
      <c r="K301" s="20">
        <f t="shared" si="181"/>
        <v>180087885525</v>
      </c>
      <c r="L301" s="20">
        <f t="shared" si="181"/>
        <v>180087885525</v>
      </c>
      <c r="M301" s="20">
        <f t="shared" si="181"/>
        <v>180087885525</v>
      </c>
      <c r="N301" s="20">
        <f t="shared" si="181"/>
        <v>0</v>
      </c>
      <c r="O301" s="20">
        <f t="shared" si="181"/>
        <v>0</v>
      </c>
      <c r="P301" s="20">
        <f t="shared" si="181"/>
        <v>0</v>
      </c>
      <c r="Q301" s="20">
        <f t="shared" si="181"/>
        <v>5.61440124078562E+21</v>
      </c>
      <c r="R301" s="20">
        <v>0</v>
      </c>
      <c r="S301" s="12">
        <v>60</v>
      </c>
      <c r="T301" s="32" t="s">
        <v>446</v>
      </c>
      <c r="U301" s="26"/>
      <c r="W301" s="27"/>
      <c r="X301" s="27"/>
    </row>
    <row r="302" spans="1:24" ht="15.75" x14ac:dyDescent="0.25">
      <c r="A302" s="12">
        <f t="shared" si="124"/>
        <v>30059</v>
      </c>
      <c r="B302" s="27" t="s">
        <v>448</v>
      </c>
      <c r="C302" s="1" t="s">
        <v>375</v>
      </c>
      <c r="D302" s="12">
        <v>59</v>
      </c>
      <c r="E302" s="12">
        <v>3</v>
      </c>
      <c r="F302" s="12">
        <v>59</v>
      </c>
      <c r="G302" s="12">
        <v>20175</v>
      </c>
      <c r="H302" s="12">
        <v>1</v>
      </c>
      <c r="I302" s="20">
        <f t="shared" ref="I302:Q302" si="182">I182</f>
        <v>2</v>
      </c>
      <c r="J302" s="20">
        <f t="shared" si="182"/>
        <v>5</v>
      </c>
      <c r="K302" s="20">
        <f t="shared" si="182"/>
        <v>195581306730</v>
      </c>
      <c r="L302" s="20">
        <f t="shared" si="182"/>
        <v>195581306730</v>
      </c>
      <c r="M302" s="20">
        <f t="shared" si="182"/>
        <v>195581306730</v>
      </c>
      <c r="N302" s="20">
        <f t="shared" si="182"/>
        <v>0</v>
      </c>
      <c r="O302" s="20">
        <f t="shared" si="182"/>
        <v>0</v>
      </c>
      <c r="P302" s="20">
        <f t="shared" si="182"/>
        <v>0</v>
      </c>
      <c r="Q302" s="20">
        <f t="shared" si="182"/>
        <v>7.0016471625807996E+21</v>
      </c>
      <c r="R302" s="20">
        <v>0</v>
      </c>
      <c r="S302" s="12">
        <v>60</v>
      </c>
      <c r="T302" s="32" t="s">
        <v>446</v>
      </c>
      <c r="U302" s="26"/>
      <c r="W302" s="27"/>
      <c r="X302" s="27"/>
    </row>
    <row r="303" spans="1:24" ht="15.75" x14ac:dyDescent="0.25">
      <c r="A303" s="12">
        <f t="shared" si="124"/>
        <v>30060</v>
      </c>
      <c r="B303" s="27" t="s">
        <v>449</v>
      </c>
      <c r="C303" s="1" t="s">
        <v>375</v>
      </c>
      <c r="D303" s="12">
        <v>60</v>
      </c>
      <c r="E303" s="12">
        <v>3</v>
      </c>
      <c r="F303" s="12">
        <v>60</v>
      </c>
      <c r="G303" s="12">
        <v>30025</v>
      </c>
      <c r="H303" s="12">
        <v>3</v>
      </c>
      <c r="I303" s="20">
        <f t="shared" ref="I303:Q303" si="183">I183</f>
        <v>2</v>
      </c>
      <c r="J303" s="20">
        <f t="shared" si="183"/>
        <v>5</v>
      </c>
      <c r="K303" s="20">
        <f t="shared" si="183"/>
        <v>210590038610</v>
      </c>
      <c r="L303" s="20">
        <f t="shared" si="183"/>
        <v>210590038610</v>
      </c>
      <c r="M303" s="20">
        <f t="shared" si="183"/>
        <v>210590038610</v>
      </c>
      <c r="N303" s="20">
        <f t="shared" si="183"/>
        <v>0</v>
      </c>
      <c r="O303" s="20">
        <f t="shared" si="183"/>
        <v>0</v>
      </c>
      <c r="P303" s="20">
        <f t="shared" si="183"/>
        <v>0</v>
      </c>
      <c r="Q303" s="20">
        <f t="shared" si="183"/>
        <v>8.6983560869698003E+21</v>
      </c>
      <c r="R303" s="20">
        <v>0</v>
      </c>
      <c r="S303" s="12">
        <v>60</v>
      </c>
      <c r="T303" s="32" t="s">
        <v>446</v>
      </c>
      <c r="U303" s="26"/>
      <c r="W303" s="27"/>
      <c r="X303" s="27"/>
    </row>
    <row r="304" spans="1:24" ht="15.75" x14ac:dyDescent="0.25">
      <c r="A304" s="12">
        <f t="shared" si="124"/>
        <v>30061</v>
      </c>
      <c r="B304" s="27" t="s">
        <v>450</v>
      </c>
      <c r="C304" s="1" t="s">
        <v>375</v>
      </c>
      <c r="D304" s="12">
        <v>61</v>
      </c>
      <c r="E304" s="12">
        <v>3</v>
      </c>
      <c r="F304" s="12">
        <v>61</v>
      </c>
      <c r="G304" s="12">
        <v>30075</v>
      </c>
      <c r="H304" s="12">
        <v>2</v>
      </c>
      <c r="I304" s="20">
        <f t="shared" ref="I304:Q304" si="184">I184</f>
        <v>2</v>
      </c>
      <c r="J304" s="20">
        <f t="shared" si="184"/>
        <v>5</v>
      </c>
      <c r="K304" s="20">
        <f t="shared" si="184"/>
        <v>380144579500</v>
      </c>
      <c r="L304" s="20">
        <f t="shared" si="184"/>
        <v>380144579500</v>
      </c>
      <c r="M304" s="20">
        <f t="shared" si="184"/>
        <v>380144579500</v>
      </c>
      <c r="N304" s="20">
        <f t="shared" si="184"/>
        <v>0</v>
      </c>
      <c r="O304" s="20">
        <f t="shared" si="184"/>
        <v>0</v>
      </c>
      <c r="P304" s="20">
        <f t="shared" si="184"/>
        <v>0</v>
      </c>
      <c r="Q304" s="20">
        <f t="shared" si="184"/>
        <v>3.4917056376026801E+22</v>
      </c>
      <c r="R304" s="20">
        <v>0</v>
      </c>
      <c r="S304" s="12">
        <v>60</v>
      </c>
      <c r="T304" s="32" t="s">
        <v>451</v>
      </c>
      <c r="U304" s="26"/>
      <c r="W304" s="27"/>
      <c r="X304" s="27"/>
    </row>
    <row r="305" spans="1:24" ht="15.75" x14ac:dyDescent="0.25">
      <c r="A305" s="12">
        <f t="shared" si="124"/>
        <v>30062</v>
      </c>
      <c r="B305" s="27" t="s">
        <v>452</v>
      </c>
      <c r="C305" s="1" t="s">
        <v>375</v>
      </c>
      <c r="D305" s="12">
        <v>62</v>
      </c>
      <c r="E305" s="12">
        <v>3</v>
      </c>
      <c r="F305" s="12">
        <v>62</v>
      </c>
      <c r="G305" s="12">
        <v>30125</v>
      </c>
      <c r="H305" s="12">
        <v>1</v>
      </c>
      <c r="I305" s="20">
        <f t="shared" ref="I305:Q305" si="185">I185</f>
        <v>2</v>
      </c>
      <c r="J305" s="20">
        <f t="shared" si="185"/>
        <v>5</v>
      </c>
      <c r="K305" s="20">
        <f t="shared" si="185"/>
        <v>406254291110</v>
      </c>
      <c r="L305" s="20">
        <f t="shared" si="185"/>
        <v>406254291110</v>
      </c>
      <c r="M305" s="20">
        <f t="shared" si="185"/>
        <v>406254291110</v>
      </c>
      <c r="N305" s="20">
        <f t="shared" si="185"/>
        <v>0</v>
      </c>
      <c r="O305" s="20">
        <f t="shared" si="185"/>
        <v>0</v>
      </c>
      <c r="P305" s="20">
        <f t="shared" si="185"/>
        <v>0</v>
      </c>
      <c r="Q305" s="20">
        <f t="shared" si="185"/>
        <v>4.2337243088893797E+22</v>
      </c>
      <c r="R305" s="20">
        <v>0</v>
      </c>
      <c r="S305" s="12">
        <v>60</v>
      </c>
      <c r="T305" s="32" t="s">
        <v>451</v>
      </c>
      <c r="U305" s="26"/>
      <c r="W305" s="27"/>
      <c r="X305" s="27"/>
    </row>
    <row r="306" spans="1:24" ht="15.75" x14ac:dyDescent="0.25">
      <c r="A306" s="12">
        <f t="shared" si="124"/>
        <v>30063</v>
      </c>
      <c r="B306" s="27" t="s">
        <v>453</v>
      </c>
      <c r="C306" s="1" t="s">
        <v>375</v>
      </c>
      <c r="D306" s="12">
        <v>63</v>
      </c>
      <c r="E306" s="12">
        <v>3</v>
      </c>
      <c r="F306" s="12">
        <v>63</v>
      </c>
      <c r="G306" s="12">
        <v>30175</v>
      </c>
      <c r="H306" s="12">
        <v>3</v>
      </c>
      <c r="I306" s="20">
        <f t="shared" ref="I306:Q306" si="186">I186</f>
        <v>2</v>
      </c>
      <c r="J306" s="20">
        <f t="shared" si="186"/>
        <v>5</v>
      </c>
      <c r="K306" s="20">
        <f t="shared" si="186"/>
        <v>436597890710</v>
      </c>
      <c r="L306" s="20">
        <f t="shared" si="186"/>
        <v>436597890710</v>
      </c>
      <c r="M306" s="20">
        <f t="shared" si="186"/>
        <v>436597890710</v>
      </c>
      <c r="N306" s="20">
        <f t="shared" si="186"/>
        <v>0</v>
      </c>
      <c r="O306" s="20">
        <f t="shared" si="186"/>
        <v>0</v>
      </c>
      <c r="P306" s="20">
        <f t="shared" si="186"/>
        <v>0</v>
      </c>
      <c r="Q306" s="20">
        <f t="shared" si="186"/>
        <v>5.1416847673219697E+22</v>
      </c>
      <c r="R306" s="20">
        <v>0</v>
      </c>
      <c r="S306" s="12">
        <v>60</v>
      </c>
      <c r="T306" s="32" t="s">
        <v>451</v>
      </c>
      <c r="U306" s="26"/>
      <c r="W306" s="27"/>
      <c r="X306" s="27"/>
    </row>
    <row r="307" spans="1:24" ht="15.75" x14ac:dyDescent="0.25">
      <c r="A307" s="12">
        <f t="shared" si="124"/>
        <v>30064</v>
      </c>
      <c r="B307" s="27" t="s">
        <v>454</v>
      </c>
      <c r="C307" s="1" t="s">
        <v>375</v>
      </c>
      <c r="D307" s="12">
        <v>64</v>
      </c>
      <c r="E307" s="12">
        <v>3</v>
      </c>
      <c r="F307" s="12">
        <v>64</v>
      </c>
      <c r="G307" s="12">
        <v>40025</v>
      </c>
      <c r="H307" s="12">
        <v>2</v>
      </c>
      <c r="I307" s="20">
        <f t="shared" ref="I307:Q307" si="187">I187</f>
        <v>2</v>
      </c>
      <c r="J307" s="20">
        <f t="shared" si="187"/>
        <v>5</v>
      </c>
      <c r="K307" s="20">
        <f t="shared" si="187"/>
        <v>465641810800</v>
      </c>
      <c r="L307" s="20">
        <f t="shared" si="187"/>
        <v>465641810800</v>
      </c>
      <c r="M307" s="20">
        <f t="shared" si="187"/>
        <v>465641810800</v>
      </c>
      <c r="N307" s="20">
        <f t="shared" si="187"/>
        <v>0</v>
      </c>
      <c r="O307" s="20">
        <f t="shared" si="187"/>
        <v>0</v>
      </c>
      <c r="P307" s="20">
        <f t="shared" si="187"/>
        <v>0</v>
      </c>
      <c r="Q307" s="20">
        <f t="shared" si="187"/>
        <v>6.2095043642641198E+22</v>
      </c>
      <c r="R307" s="20">
        <v>0</v>
      </c>
      <c r="S307" s="12">
        <v>60</v>
      </c>
      <c r="T307" s="32" t="s">
        <v>451</v>
      </c>
      <c r="U307" s="26"/>
      <c r="W307" s="27"/>
      <c r="X307" s="27"/>
    </row>
    <row r="308" spans="1:24" ht="15.75" x14ac:dyDescent="0.25">
      <c r="A308" s="12">
        <f t="shared" si="124"/>
        <v>30065</v>
      </c>
      <c r="B308" s="27" t="s">
        <v>455</v>
      </c>
      <c r="C308" s="1" t="s">
        <v>375</v>
      </c>
      <c r="D308" s="12">
        <v>65</v>
      </c>
      <c r="E308" s="12">
        <v>3</v>
      </c>
      <c r="F308" s="12">
        <v>65</v>
      </c>
      <c r="G308" s="12">
        <v>40075</v>
      </c>
      <c r="H308" s="12">
        <v>1</v>
      </c>
      <c r="I308" s="20">
        <f t="shared" ref="I308:Q308" si="188">I188</f>
        <v>2</v>
      </c>
      <c r="J308" s="20">
        <f t="shared" si="188"/>
        <v>5</v>
      </c>
      <c r="K308" s="20">
        <f t="shared" si="188"/>
        <v>547117431495</v>
      </c>
      <c r="L308" s="20">
        <f t="shared" si="188"/>
        <v>547117431495</v>
      </c>
      <c r="M308" s="20">
        <f t="shared" si="188"/>
        <v>547117431495</v>
      </c>
      <c r="N308" s="20">
        <f t="shared" si="188"/>
        <v>0</v>
      </c>
      <c r="O308" s="20">
        <f t="shared" si="188"/>
        <v>0</v>
      </c>
      <c r="P308" s="20">
        <f t="shared" si="188"/>
        <v>0</v>
      </c>
      <c r="Q308" s="20">
        <f t="shared" si="188"/>
        <v>7.8202588154703806E+22</v>
      </c>
      <c r="R308" s="20">
        <v>0</v>
      </c>
      <c r="S308" s="12">
        <v>60</v>
      </c>
      <c r="T308" s="32" t="s">
        <v>456</v>
      </c>
      <c r="U308" s="26"/>
      <c r="W308" s="27"/>
      <c r="X308" s="27"/>
    </row>
    <row r="309" spans="1:24" ht="15.75" x14ac:dyDescent="0.25">
      <c r="A309" s="12">
        <f t="shared" ref="A309:A363" si="189">A189+10000</f>
        <v>30066</v>
      </c>
      <c r="B309" s="27" t="s">
        <v>457</v>
      </c>
      <c r="C309" s="1" t="s">
        <v>375</v>
      </c>
      <c r="D309" s="12">
        <v>66</v>
      </c>
      <c r="E309" s="12">
        <v>3</v>
      </c>
      <c r="F309" s="12">
        <v>66</v>
      </c>
      <c r="G309" s="12">
        <v>40125</v>
      </c>
      <c r="H309" s="12">
        <v>3</v>
      </c>
      <c r="I309" s="20">
        <f t="shared" ref="I309:Q309" si="190">I189</f>
        <v>2</v>
      </c>
      <c r="J309" s="20">
        <f t="shared" si="190"/>
        <v>5</v>
      </c>
      <c r="K309" s="20">
        <f t="shared" si="190"/>
        <v>582928054315</v>
      </c>
      <c r="L309" s="20">
        <f t="shared" si="190"/>
        <v>582928054315</v>
      </c>
      <c r="M309" s="20">
        <f t="shared" si="190"/>
        <v>582928054315</v>
      </c>
      <c r="N309" s="20">
        <f t="shared" si="190"/>
        <v>0</v>
      </c>
      <c r="O309" s="20">
        <f t="shared" si="190"/>
        <v>0</v>
      </c>
      <c r="P309" s="20">
        <f t="shared" si="190"/>
        <v>0</v>
      </c>
      <c r="Q309" s="20">
        <f t="shared" si="190"/>
        <v>9.42776497330198E+22</v>
      </c>
      <c r="R309" s="20">
        <v>0</v>
      </c>
      <c r="S309" s="12">
        <v>60</v>
      </c>
      <c r="T309" s="32" t="s">
        <v>456</v>
      </c>
      <c r="U309" s="26"/>
      <c r="W309" s="27"/>
      <c r="X309" s="27"/>
    </row>
    <row r="310" spans="1:24" ht="15.75" x14ac:dyDescent="0.25">
      <c r="A310" s="12">
        <f t="shared" si="189"/>
        <v>30067</v>
      </c>
      <c r="B310" s="27" t="s">
        <v>458</v>
      </c>
      <c r="C310" s="1" t="s">
        <v>375</v>
      </c>
      <c r="D310" s="12">
        <v>67</v>
      </c>
      <c r="E310" s="12">
        <v>3</v>
      </c>
      <c r="F310" s="12">
        <v>67</v>
      </c>
      <c r="G310" s="12">
        <v>40175</v>
      </c>
      <c r="H310" s="12">
        <v>2</v>
      </c>
      <c r="I310" s="20">
        <f t="shared" ref="I310:Q310" si="191">I190</f>
        <v>2</v>
      </c>
      <c r="J310" s="20">
        <f t="shared" si="191"/>
        <v>5</v>
      </c>
      <c r="K310" s="20">
        <f t="shared" si="191"/>
        <v>624574908810</v>
      </c>
      <c r="L310" s="20">
        <f t="shared" si="191"/>
        <v>624574908810</v>
      </c>
      <c r="M310" s="20">
        <f t="shared" si="191"/>
        <v>624574908810</v>
      </c>
      <c r="N310" s="20">
        <f t="shared" si="191"/>
        <v>0</v>
      </c>
      <c r="O310" s="20">
        <f t="shared" si="191"/>
        <v>0</v>
      </c>
      <c r="P310" s="20">
        <f t="shared" si="191"/>
        <v>0</v>
      </c>
      <c r="Q310" s="20">
        <f t="shared" si="191"/>
        <v>1.13882481298603E+23</v>
      </c>
      <c r="R310" s="20">
        <v>0</v>
      </c>
      <c r="S310" s="12">
        <v>60</v>
      </c>
      <c r="T310" s="32" t="s">
        <v>456</v>
      </c>
      <c r="U310" s="26"/>
      <c r="W310" s="27"/>
      <c r="X310" s="27"/>
    </row>
    <row r="311" spans="1:24" ht="15.75" x14ac:dyDescent="0.25">
      <c r="A311" s="12">
        <f t="shared" si="189"/>
        <v>30068</v>
      </c>
      <c r="B311" s="27" t="s">
        <v>459</v>
      </c>
      <c r="C311" s="1" t="s">
        <v>375</v>
      </c>
      <c r="D311" s="12">
        <v>68</v>
      </c>
      <c r="E311" s="12">
        <v>3</v>
      </c>
      <c r="F311" s="12">
        <v>68</v>
      </c>
      <c r="G311" s="12">
        <v>50025</v>
      </c>
      <c r="H311" s="12">
        <v>1</v>
      </c>
      <c r="I311" s="20">
        <f t="shared" ref="I311:Q311" si="192">I191</f>
        <v>2</v>
      </c>
      <c r="J311" s="20">
        <f t="shared" si="192"/>
        <v>5</v>
      </c>
      <c r="K311" s="20">
        <f t="shared" si="192"/>
        <v>664250592050</v>
      </c>
      <c r="L311" s="20">
        <f t="shared" si="192"/>
        <v>664250592050</v>
      </c>
      <c r="M311" s="20">
        <f t="shared" si="192"/>
        <v>664250592050</v>
      </c>
      <c r="N311" s="20">
        <f t="shared" si="192"/>
        <v>0</v>
      </c>
      <c r="O311" s="20">
        <f t="shared" si="192"/>
        <v>0</v>
      </c>
      <c r="P311" s="20">
        <f t="shared" si="192"/>
        <v>0</v>
      </c>
      <c r="Q311" s="20">
        <f t="shared" si="192"/>
        <v>1.3685466632864499E+23</v>
      </c>
      <c r="R311" s="20">
        <v>0</v>
      </c>
      <c r="S311" s="12">
        <v>60</v>
      </c>
      <c r="T311" s="32" t="s">
        <v>456</v>
      </c>
      <c r="U311" s="26"/>
      <c r="W311" s="27"/>
      <c r="X311" s="27"/>
    </row>
    <row r="312" spans="1:24" ht="15.75" x14ac:dyDescent="0.25">
      <c r="A312" s="12">
        <f t="shared" si="189"/>
        <v>30069</v>
      </c>
      <c r="B312" s="27" t="s">
        <v>460</v>
      </c>
      <c r="C312" s="1" t="s">
        <v>375</v>
      </c>
      <c r="D312" s="12">
        <v>69</v>
      </c>
      <c r="E312" s="12">
        <v>3</v>
      </c>
      <c r="F312" s="12">
        <v>69</v>
      </c>
      <c r="G312" s="12">
        <v>50075</v>
      </c>
      <c r="H312" s="12">
        <v>3</v>
      </c>
      <c r="I312" s="20">
        <f t="shared" ref="I312:Q312" si="193">I192</f>
        <v>2</v>
      </c>
      <c r="J312" s="20">
        <f t="shared" si="193"/>
        <v>5</v>
      </c>
      <c r="K312" s="20">
        <f t="shared" si="193"/>
        <v>710540723350</v>
      </c>
      <c r="L312" s="20">
        <f t="shared" si="193"/>
        <v>710540723350</v>
      </c>
      <c r="M312" s="20">
        <f t="shared" si="193"/>
        <v>710540723350</v>
      </c>
      <c r="N312" s="20">
        <f t="shared" si="193"/>
        <v>0</v>
      </c>
      <c r="O312" s="20">
        <f t="shared" si="193"/>
        <v>0</v>
      </c>
      <c r="P312" s="20">
        <f t="shared" si="193"/>
        <v>0</v>
      </c>
      <c r="Q312" s="20">
        <f t="shared" si="193"/>
        <v>1.64819605967886E+23</v>
      </c>
      <c r="R312" s="20">
        <v>0</v>
      </c>
      <c r="S312" s="12">
        <v>60</v>
      </c>
      <c r="T312" s="32" t="s">
        <v>461</v>
      </c>
      <c r="U312" s="26"/>
      <c r="W312" s="27"/>
      <c r="X312" s="27"/>
    </row>
    <row r="313" spans="1:24" ht="15.75" x14ac:dyDescent="0.25">
      <c r="A313" s="12">
        <f t="shared" si="189"/>
        <v>30070</v>
      </c>
      <c r="B313" s="27" t="s">
        <v>462</v>
      </c>
      <c r="C313" s="1" t="s">
        <v>375</v>
      </c>
      <c r="D313" s="12">
        <v>70</v>
      </c>
      <c r="E313" s="12">
        <v>3</v>
      </c>
      <c r="F313" s="12">
        <v>70</v>
      </c>
      <c r="G313" s="12">
        <v>10065</v>
      </c>
      <c r="H313" s="12">
        <v>2</v>
      </c>
      <c r="I313" s="20">
        <f t="shared" ref="I313:Q313" si="194">I193</f>
        <v>2</v>
      </c>
      <c r="J313" s="20">
        <f t="shared" si="194"/>
        <v>5</v>
      </c>
      <c r="K313" s="20">
        <f t="shared" si="194"/>
        <v>754588569150</v>
      </c>
      <c r="L313" s="20">
        <f t="shared" si="194"/>
        <v>754588569150</v>
      </c>
      <c r="M313" s="20">
        <f t="shared" si="194"/>
        <v>754588569150</v>
      </c>
      <c r="N313" s="20">
        <f t="shared" si="194"/>
        <v>0</v>
      </c>
      <c r="O313" s="20">
        <f t="shared" si="194"/>
        <v>0</v>
      </c>
      <c r="P313" s="20">
        <f t="shared" si="194"/>
        <v>0</v>
      </c>
      <c r="Q313" s="20">
        <f t="shared" si="194"/>
        <v>1.9741355213334801E+23</v>
      </c>
      <c r="R313" s="20">
        <v>0</v>
      </c>
      <c r="S313" s="12">
        <v>60</v>
      </c>
      <c r="T313" s="32" t="s">
        <v>461</v>
      </c>
      <c r="U313" s="26"/>
      <c r="W313" s="27"/>
      <c r="X313" s="27"/>
    </row>
    <row r="314" spans="1:24" ht="15.75" x14ac:dyDescent="0.25">
      <c r="A314" s="12">
        <f t="shared" si="189"/>
        <v>30071</v>
      </c>
      <c r="B314" s="27" t="s">
        <v>463</v>
      </c>
      <c r="C314" s="1" t="s">
        <v>375</v>
      </c>
      <c r="D314" s="12">
        <v>71</v>
      </c>
      <c r="E314" s="12">
        <v>3</v>
      </c>
      <c r="F314" s="12">
        <v>71</v>
      </c>
      <c r="G314" s="12">
        <v>10115</v>
      </c>
      <c r="H314" s="12">
        <v>1</v>
      </c>
      <c r="I314" s="20">
        <f t="shared" ref="I314:Q314" si="195">I194</f>
        <v>2</v>
      </c>
      <c r="J314" s="20">
        <f t="shared" si="195"/>
        <v>5</v>
      </c>
      <c r="K314" s="20">
        <f t="shared" si="195"/>
        <v>805881371825</v>
      </c>
      <c r="L314" s="20">
        <f t="shared" si="195"/>
        <v>805881371825</v>
      </c>
      <c r="M314" s="20">
        <f t="shared" si="195"/>
        <v>805881371825</v>
      </c>
      <c r="N314" s="20">
        <f t="shared" si="195"/>
        <v>0</v>
      </c>
      <c r="O314" s="20">
        <f t="shared" si="195"/>
        <v>0</v>
      </c>
      <c r="P314" s="20">
        <f t="shared" si="195"/>
        <v>0</v>
      </c>
      <c r="Q314" s="20">
        <f t="shared" si="195"/>
        <v>2.3700701263284499E+23</v>
      </c>
      <c r="R314" s="20">
        <v>0</v>
      </c>
      <c r="S314" s="12">
        <v>60</v>
      </c>
      <c r="T314" s="32" t="s">
        <v>461</v>
      </c>
      <c r="U314" s="26"/>
      <c r="W314" s="27"/>
      <c r="X314" s="27"/>
    </row>
    <row r="315" spans="1:24" ht="15.75" x14ac:dyDescent="0.25">
      <c r="A315" s="12">
        <f t="shared" si="189"/>
        <v>30072</v>
      </c>
      <c r="B315" s="27" t="s">
        <v>464</v>
      </c>
      <c r="C315" s="1" t="s">
        <v>375</v>
      </c>
      <c r="D315" s="12">
        <v>72</v>
      </c>
      <c r="E315" s="12">
        <v>3</v>
      </c>
      <c r="F315" s="12">
        <v>72</v>
      </c>
      <c r="G315" s="12">
        <v>10165</v>
      </c>
      <c r="H315" s="12">
        <v>3</v>
      </c>
      <c r="I315" s="20">
        <f t="shared" ref="I315:Q315" si="196">I195</f>
        <v>2</v>
      </c>
      <c r="J315" s="20">
        <f t="shared" si="196"/>
        <v>5</v>
      </c>
      <c r="K315" s="20">
        <f t="shared" si="196"/>
        <v>849349846460</v>
      </c>
      <c r="L315" s="20">
        <f t="shared" si="196"/>
        <v>849349846460</v>
      </c>
      <c r="M315" s="20">
        <f t="shared" si="196"/>
        <v>849349846460</v>
      </c>
      <c r="N315" s="20">
        <f t="shared" si="196"/>
        <v>0</v>
      </c>
      <c r="O315" s="20">
        <f t="shared" si="196"/>
        <v>0</v>
      </c>
      <c r="P315" s="20">
        <f t="shared" si="196"/>
        <v>0</v>
      </c>
      <c r="Q315" s="20">
        <f t="shared" si="196"/>
        <v>2.8020918789288E+23</v>
      </c>
      <c r="R315" s="20">
        <v>0</v>
      </c>
      <c r="S315" s="12">
        <v>60</v>
      </c>
      <c r="T315" s="32" t="s">
        <v>461</v>
      </c>
      <c r="U315" s="26"/>
      <c r="W315" s="27"/>
      <c r="X315" s="27"/>
    </row>
    <row r="316" spans="1:24" ht="15.75" x14ac:dyDescent="0.25">
      <c r="A316" s="12">
        <f t="shared" si="189"/>
        <v>30073</v>
      </c>
      <c r="B316" s="27" t="s">
        <v>465</v>
      </c>
      <c r="C316" s="1" t="s">
        <v>375</v>
      </c>
      <c r="D316" s="12">
        <v>73</v>
      </c>
      <c r="E316" s="12">
        <v>3</v>
      </c>
      <c r="F316" s="12">
        <v>73</v>
      </c>
      <c r="G316" s="12">
        <v>20015</v>
      </c>
      <c r="H316" s="12">
        <v>2</v>
      </c>
      <c r="I316" s="20">
        <f t="shared" ref="I316:Q316" si="197">I196</f>
        <v>2</v>
      </c>
      <c r="J316" s="20">
        <f t="shared" si="197"/>
        <v>5</v>
      </c>
      <c r="K316" s="20">
        <f t="shared" si="197"/>
        <v>904812627005</v>
      </c>
      <c r="L316" s="20">
        <f t="shared" si="197"/>
        <v>904812627005</v>
      </c>
      <c r="M316" s="20">
        <f t="shared" si="197"/>
        <v>904812627005</v>
      </c>
      <c r="N316" s="20">
        <f t="shared" si="197"/>
        <v>0</v>
      </c>
      <c r="O316" s="20">
        <f t="shared" si="197"/>
        <v>0</v>
      </c>
      <c r="P316" s="20">
        <f t="shared" si="197"/>
        <v>0</v>
      </c>
      <c r="Q316" s="20">
        <f t="shared" si="197"/>
        <v>3.4512116020382499E+23</v>
      </c>
      <c r="R316" s="20">
        <v>0</v>
      </c>
      <c r="S316" s="12">
        <v>60</v>
      </c>
      <c r="T316" s="32" t="s">
        <v>466</v>
      </c>
      <c r="U316" s="26"/>
      <c r="W316" s="27"/>
      <c r="X316" s="27"/>
    </row>
    <row r="317" spans="1:24" ht="15.75" x14ac:dyDescent="0.25">
      <c r="A317" s="12">
        <f t="shared" si="189"/>
        <v>30074</v>
      </c>
      <c r="B317" s="27" t="s">
        <v>467</v>
      </c>
      <c r="C317" s="1" t="s">
        <v>375</v>
      </c>
      <c r="D317" s="12">
        <v>74</v>
      </c>
      <c r="E317" s="12">
        <v>3</v>
      </c>
      <c r="F317" s="12">
        <v>74</v>
      </c>
      <c r="G317" s="12">
        <v>20065</v>
      </c>
      <c r="H317" s="12">
        <v>1</v>
      </c>
      <c r="I317" s="20">
        <f t="shared" ref="I317:Q317" si="198">I197</f>
        <v>2</v>
      </c>
      <c r="J317" s="20">
        <f t="shared" si="198"/>
        <v>5</v>
      </c>
      <c r="K317" s="20">
        <f t="shared" si="198"/>
        <v>952363500030</v>
      </c>
      <c r="L317" s="20">
        <f t="shared" si="198"/>
        <v>952363500030</v>
      </c>
      <c r="M317" s="20">
        <f t="shared" si="198"/>
        <v>952363500030</v>
      </c>
      <c r="N317" s="20">
        <f t="shared" si="198"/>
        <v>0</v>
      </c>
      <c r="O317" s="20">
        <f t="shared" si="198"/>
        <v>0</v>
      </c>
      <c r="P317" s="20">
        <f t="shared" si="198"/>
        <v>0</v>
      </c>
      <c r="Q317" s="20">
        <f t="shared" si="198"/>
        <v>4.0672903940712002E+23</v>
      </c>
      <c r="R317" s="20">
        <v>0</v>
      </c>
      <c r="S317" s="12">
        <v>60</v>
      </c>
      <c r="T317" s="32" t="s">
        <v>466</v>
      </c>
      <c r="U317" s="26"/>
      <c r="W317" s="27"/>
      <c r="X317" s="27"/>
    </row>
    <row r="318" spans="1:24" ht="15.75" x14ac:dyDescent="0.25">
      <c r="A318" s="12">
        <f t="shared" si="189"/>
        <v>30075</v>
      </c>
      <c r="B318" s="27" t="s">
        <v>468</v>
      </c>
      <c r="C318" s="1" t="s">
        <v>375</v>
      </c>
      <c r="D318" s="12">
        <v>75</v>
      </c>
      <c r="E318" s="12">
        <v>3</v>
      </c>
      <c r="F318" s="12">
        <v>75</v>
      </c>
      <c r="G318" s="12">
        <v>20115</v>
      </c>
      <c r="H318" s="12">
        <v>3</v>
      </c>
      <c r="I318" s="20">
        <f t="shared" ref="I318:Q318" si="199">I198</f>
        <v>2</v>
      </c>
      <c r="J318" s="20">
        <f t="shared" si="199"/>
        <v>5</v>
      </c>
      <c r="K318" s="20">
        <f t="shared" si="199"/>
        <v>1008111382920</v>
      </c>
      <c r="L318" s="20">
        <f t="shared" si="199"/>
        <v>1008111382920</v>
      </c>
      <c r="M318" s="20">
        <f t="shared" si="199"/>
        <v>1008111382920</v>
      </c>
      <c r="N318" s="20">
        <f t="shared" si="199"/>
        <v>0</v>
      </c>
      <c r="O318" s="20">
        <f t="shared" si="199"/>
        <v>0</v>
      </c>
      <c r="P318" s="20">
        <f t="shared" si="199"/>
        <v>0</v>
      </c>
      <c r="Q318" s="20">
        <f t="shared" si="199"/>
        <v>4.8075464821218798E+23</v>
      </c>
      <c r="R318" s="20">
        <v>0</v>
      </c>
      <c r="S318" s="12">
        <v>60</v>
      </c>
      <c r="T318" s="32" t="s">
        <v>466</v>
      </c>
      <c r="U318" s="26"/>
      <c r="W318" s="27"/>
      <c r="X318" s="27"/>
    </row>
    <row r="319" spans="1:24" ht="15.75" x14ac:dyDescent="0.25">
      <c r="A319" s="12">
        <f t="shared" si="189"/>
        <v>30076</v>
      </c>
      <c r="B319" s="27" t="s">
        <v>469</v>
      </c>
      <c r="C319" s="1" t="s">
        <v>375</v>
      </c>
      <c r="D319" s="12">
        <v>76</v>
      </c>
      <c r="E319" s="12">
        <v>3</v>
      </c>
      <c r="F319" s="12">
        <v>76</v>
      </c>
      <c r="G319" s="12">
        <v>20165</v>
      </c>
      <c r="H319" s="12">
        <v>2</v>
      </c>
      <c r="I319" s="20">
        <f t="shared" ref="I319:Q319" si="200">I199</f>
        <v>2</v>
      </c>
      <c r="J319" s="20">
        <f t="shared" si="200"/>
        <v>5</v>
      </c>
      <c r="K319" s="20">
        <f t="shared" si="200"/>
        <v>1059810100115</v>
      </c>
      <c r="L319" s="20">
        <f t="shared" si="200"/>
        <v>1059810100115</v>
      </c>
      <c r="M319" s="20">
        <f t="shared" si="200"/>
        <v>1059810100115</v>
      </c>
      <c r="N319" s="20">
        <f t="shared" si="200"/>
        <v>0</v>
      </c>
      <c r="O319" s="20">
        <f t="shared" si="200"/>
        <v>0</v>
      </c>
      <c r="P319" s="20">
        <f t="shared" si="200"/>
        <v>0</v>
      </c>
      <c r="Q319" s="20">
        <f t="shared" si="200"/>
        <v>5.65212178883448E+23</v>
      </c>
      <c r="R319" s="20">
        <v>0</v>
      </c>
      <c r="S319" s="12">
        <v>60</v>
      </c>
      <c r="T319" s="32" t="s">
        <v>466</v>
      </c>
      <c r="U319" s="26"/>
      <c r="W319" s="27"/>
      <c r="X319" s="27"/>
    </row>
    <row r="320" spans="1:24" ht="15.75" x14ac:dyDescent="0.25">
      <c r="A320" s="12">
        <f t="shared" si="189"/>
        <v>30077</v>
      </c>
      <c r="B320" s="27" t="s">
        <v>470</v>
      </c>
      <c r="C320" s="1" t="s">
        <v>375</v>
      </c>
      <c r="D320" s="12">
        <v>77</v>
      </c>
      <c r="E320" s="12">
        <v>3</v>
      </c>
      <c r="F320" s="12">
        <v>77</v>
      </c>
      <c r="G320" s="12">
        <v>30015</v>
      </c>
      <c r="H320" s="12">
        <v>1</v>
      </c>
      <c r="I320" s="20">
        <f t="shared" ref="I320:Q320" si="201">I200</f>
        <v>2</v>
      </c>
      <c r="J320" s="20">
        <f t="shared" si="201"/>
        <v>6</v>
      </c>
      <c r="K320" s="20">
        <f t="shared" si="201"/>
        <v>1134628706000</v>
      </c>
      <c r="L320" s="20">
        <f t="shared" si="201"/>
        <v>1134628706000</v>
      </c>
      <c r="M320" s="20">
        <f t="shared" si="201"/>
        <v>1134628706000</v>
      </c>
      <c r="N320" s="20">
        <f t="shared" si="201"/>
        <v>0</v>
      </c>
      <c r="O320" s="20">
        <f t="shared" si="201"/>
        <v>0</v>
      </c>
      <c r="P320" s="20">
        <f t="shared" si="201"/>
        <v>0</v>
      </c>
      <c r="Q320" s="20">
        <f t="shared" si="201"/>
        <v>7.8219779662600306E+23</v>
      </c>
      <c r="R320" s="20">
        <v>0</v>
      </c>
      <c r="S320" s="12">
        <v>60</v>
      </c>
      <c r="T320" s="32" t="s">
        <v>471</v>
      </c>
      <c r="U320" s="26"/>
      <c r="W320" s="27"/>
      <c r="X320" s="27"/>
    </row>
    <row r="321" spans="1:24" ht="15.75" x14ac:dyDescent="0.25">
      <c r="A321" s="12">
        <f t="shared" si="189"/>
        <v>30078</v>
      </c>
      <c r="B321" s="27" t="s">
        <v>472</v>
      </c>
      <c r="C321" s="1" t="s">
        <v>375</v>
      </c>
      <c r="D321" s="12">
        <v>78</v>
      </c>
      <c r="E321" s="12">
        <v>3</v>
      </c>
      <c r="F321" s="12">
        <v>78</v>
      </c>
      <c r="G321" s="12">
        <v>30065</v>
      </c>
      <c r="H321" s="12">
        <v>3</v>
      </c>
      <c r="I321" s="20">
        <f t="shared" ref="I321:Q321" si="202">I201</f>
        <v>2</v>
      </c>
      <c r="J321" s="20">
        <f t="shared" si="202"/>
        <v>6</v>
      </c>
      <c r="K321" s="20">
        <f t="shared" si="202"/>
        <v>1205945077255</v>
      </c>
      <c r="L321" s="20">
        <f t="shared" si="202"/>
        <v>1205945077255</v>
      </c>
      <c r="M321" s="20">
        <f t="shared" si="202"/>
        <v>1205945077255</v>
      </c>
      <c r="N321" s="20">
        <f t="shared" si="202"/>
        <v>0</v>
      </c>
      <c r="O321" s="20">
        <f t="shared" si="202"/>
        <v>0</v>
      </c>
      <c r="P321" s="20">
        <f t="shared" si="202"/>
        <v>0</v>
      </c>
      <c r="Q321" s="20">
        <f t="shared" si="202"/>
        <v>9.55255852469745E+23</v>
      </c>
      <c r="R321" s="20">
        <v>0</v>
      </c>
      <c r="S321" s="12">
        <v>60</v>
      </c>
      <c r="T321" s="32" t="s">
        <v>471</v>
      </c>
      <c r="U321" s="26"/>
      <c r="W321" s="27"/>
      <c r="X321" s="27"/>
    </row>
    <row r="322" spans="1:24" ht="15.75" x14ac:dyDescent="0.25">
      <c r="A322" s="12">
        <f t="shared" si="189"/>
        <v>30079</v>
      </c>
      <c r="B322" s="27" t="s">
        <v>473</v>
      </c>
      <c r="C322" s="1" t="s">
        <v>375</v>
      </c>
      <c r="D322" s="12">
        <v>79</v>
      </c>
      <c r="E322" s="12">
        <v>3</v>
      </c>
      <c r="F322" s="12">
        <v>79</v>
      </c>
      <c r="G322" s="12">
        <v>30115</v>
      </c>
      <c r="H322" s="12">
        <v>2</v>
      </c>
      <c r="I322" s="20">
        <f t="shared" ref="I322:Q322" si="203">I202</f>
        <v>2</v>
      </c>
      <c r="J322" s="20">
        <f t="shared" si="203"/>
        <v>6</v>
      </c>
      <c r="K322" s="20">
        <f t="shared" si="203"/>
        <v>1294309474850</v>
      </c>
      <c r="L322" s="20">
        <f t="shared" si="203"/>
        <v>1294309474850</v>
      </c>
      <c r="M322" s="20">
        <f t="shared" si="203"/>
        <v>1294309474850</v>
      </c>
      <c r="N322" s="20">
        <f t="shared" si="203"/>
        <v>0</v>
      </c>
      <c r="O322" s="20">
        <f t="shared" si="203"/>
        <v>0</v>
      </c>
      <c r="P322" s="20">
        <f t="shared" si="203"/>
        <v>0</v>
      </c>
      <c r="Q322" s="20">
        <f t="shared" si="203"/>
        <v>1.1914452634738601E+24</v>
      </c>
      <c r="R322" s="20">
        <v>0</v>
      </c>
      <c r="S322" s="12">
        <v>60</v>
      </c>
      <c r="T322" s="32" t="s">
        <v>471</v>
      </c>
      <c r="U322" s="26"/>
      <c r="W322" s="27"/>
      <c r="X322" s="27"/>
    </row>
    <row r="323" spans="1:24" ht="15.75" x14ac:dyDescent="0.25">
      <c r="A323" s="12">
        <f t="shared" si="189"/>
        <v>30080</v>
      </c>
      <c r="B323" s="27" t="s">
        <v>474</v>
      </c>
      <c r="C323" s="1" t="s">
        <v>375</v>
      </c>
      <c r="D323" s="12">
        <v>80</v>
      </c>
      <c r="E323" s="12">
        <v>3</v>
      </c>
      <c r="F323" s="12">
        <v>80</v>
      </c>
      <c r="G323" s="12">
        <v>30165</v>
      </c>
      <c r="H323" s="12">
        <v>1</v>
      </c>
      <c r="I323" s="20">
        <f t="shared" ref="I323:Q323" si="204">I203</f>
        <v>2</v>
      </c>
      <c r="J323" s="20">
        <f t="shared" si="204"/>
        <v>6</v>
      </c>
      <c r="K323" s="20">
        <f t="shared" si="204"/>
        <v>1372844889330</v>
      </c>
      <c r="L323" s="20">
        <f t="shared" si="204"/>
        <v>1372844889330</v>
      </c>
      <c r="M323" s="20">
        <f t="shared" si="204"/>
        <v>1372844889330</v>
      </c>
      <c r="N323" s="20">
        <f t="shared" si="204"/>
        <v>0</v>
      </c>
      <c r="O323" s="20">
        <f t="shared" si="204"/>
        <v>0</v>
      </c>
      <c r="P323" s="20">
        <f t="shared" si="204"/>
        <v>0</v>
      </c>
      <c r="Q323" s="20">
        <f t="shared" si="204"/>
        <v>1.4550930861503199E+24</v>
      </c>
      <c r="R323" s="20">
        <v>0</v>
      </c>
      <c r="S323" s="12">
        <v>60</v>
      </c>
      <c r="T323" s="32" t="s">
        <v>471</v>
      </c>
      <c r="U323" s="26"/>
      <c r="W323" s="27"/>
      <c r="X323" s="27"/>
    </row>
    <row r="324" spans="1:24" ht="15.75" x14ac:dyDescent="0.25">
      <c r="A324" s="12">
        <f t="shared" si="189"/>
        <v>30081</v>
      </c>
      <c r="B324" s="27" t="s">
        <v>475</v>
      </c>
      <c r="C324" s="1" t="s">
        <v>375</v>
      </c>
      <c r="D324" s="12">
        <v>81</v>
      </c>
      <c r="E324" s="12">
        <v>3</v>
      </c>
      <c r="F324" s="12">
        <v>81</v>
      </c>
      <c r="G324" s="12">
        <v>40015</v>
      </c>
      <c r="H324" s="12">
        <v>3</v>
      </c>
      <c r="I324" s="20">
        <f t="shared" ref="I324:Q324" si="205">I204</f>
        <v>2</v>
      </c>
      <c r="J324" s="20">
        <f t="shared" si="205"/>
        <v>6</v>
      </c>
      <c r="K324" s="20">
        <f t="shared" si="205"/>
        <v>2461957151705</v>
      </c>
      <c r="L324" s="20">
        <f t="shared" si="205"/>
        <v>2461957151705</v>
      </c>
      <c r="M324" s="20">
        <f t="shared" si="205"/>
        <v>2461957151705</v>
      </c>
      <c r="N324" s="20">
        <f t="shared" si="205"/>
        <v>0</v>
      </c>
      <c r="O324" s="20">
        <f t="shared" si="205"/>
        <v>0</v>
      </c>
      <c r="P324" s="20">
        <f t="shared" si="205"/>
        <v>0</v>
      </c>
      <c r="Q324" s="20">
        <f t="shared" si="205"/>
        <v>7.0714605345934501E+24</v>
      </c>
      <c r="R324" s="20">
        <v>0</v>
      </c>
      <c r="S324" s="12">
        <v>60</v>
      </c>
      <c r="T324" s="32" t="s">
        <v>476</v>
      </c>
      <c r="U324" s="26"/>
      <c r="W324" s="27"/>
      <c r="X324" s="27"/>
    </row>
    <row r="325" spans="1:24" ht="15.75" x14ac:dyDescent="0.25">
      <c r="A325" s="12">
        <f t="shared" si="189"/>
        <v>30082</v>
      </c>
      <c r="B325" s="27" t="s">
        <v>477</v>
      </c>
      <c r="C325" s="1" t="s">
        <v>375</v>
      </c>
      <c r="D325" s="12">
        <v>82</v>
      </c>
      <c r="E325" s="12">
        <v>3</v>
      </c>
      <c r="F325" s="12">
        <v>82</v>
      </c>
      <c r="G325" s="12">
        <v>40065</v>
      </c>
      <c r="H325" s="12">
        <v>2</v>
      </c>
      <c r="I325" s="20">
        <f t="shared" ref="I325:Q325" si="206">I205</f>
        <v>2</v>
      </c>
      <c r="J325" s="20">
        <f t="shared" si="206"/>
        <v>6</v>
      </c>
      <c r="K325" s="20">
        <f t="shared" si="206"/>
        <v>2588284473940</v>
      </c>
      <c r="L325" s="20">
        <f t="shared" si="206"/>
        <v>2588284473940</v>
      </c>
      <c r="M325" s="20">
        <f t="shared" si="206"/>
        <v>2588284473940</v>
      </c>
      <c r="N325" s="20">
        <f t="shared" si="206"/>
        <v>0</v>
      </c>
      <c r="O325" s="20">
        <f t="shared" si="206"/>
        <v>0</v>
      </c>
      <c r="P325" s="20">
        <f t="shared" si="206"/>
        <v>0</v>
      </c>
      <c r="Q325" s="20">
        <f t="shared" si="206"/>
        <v>8.3719565113977004E+24</v>
      </c>
      <c r="R325" s="20">
        <v>0</v>
      </c>
      <c r="S325" s="12">
        <v>60</v>
      </c>
      <c r="T325" s="32" t="s">
        <v>476</v>
      </c>
      <c r="U325" s="26"/>
      <c r="W325" s="27"/>
      <c r="X325" s="27"/>
    </row>
    <row r="326" spans="1:24" ht="15.75" x14ac:dyDescent="0.25">
      <c r="A326" s="12">
        <f t="shared" si="189"/>
        <v>30083</v>
      </c>
      <c r="B326" s="27" t="s">
        <v>478</v>
      </c>
      <c r="C326" s="1" t="s">
        <v>375</v>
      </c>
      <c r="D326" s="12">
        <v>83</v>
      </c>
      <c r="E326" s="12">
        <v>3</v>
      </c>
      <c r="F326" s="12">
        <v>83</v>
      </c>
      <c r="G326" s="12">
        <v>40115</v>
      </c>
      <c r="H326" s="12">
        <v>1</v>
      </c>
      <c r="I326" s="20">
        <f t="shared" ref="I326:Q326" si="207">I206</f>
        <v>2</v>
      </c>
      <c r="J326" s="20">
        <f t="shared" si="207"/>
        <v>6</v>
      </c>
      <c r="K326" s="20">
        <f t="shared" si="207"/>
        <v>2745613625505</v>
      </c>
      <c r="L326" s="20">
        <f t="shared" si="207"/>
        <v>2745613625505</v>
      </c>
      <c r="M326" s="20">
        <f t="shared" si="207"/>
        <v>2745613625505</v>
      </c>
      <c r="N326" s="20">
        <f t="shared" si="207"/>
        <v>0</v>
      </c>
      <c r="O326" s="20">
        <f t="shared" si="207"/>
        <v>0</v>
      </c>
      <c r="P326" s="20">
        <f t="shared" si="207"/>
        <v>0</v>
      </c>
      <c r="Q326" s="20">
        <f t="shared" si="207"/>
        <v>1.0080074778702601E+25</v>
      </c>
      <c r="R326" s="20">
        <v>0</v>
      </c>
      <c r="S326" s="12">
        <v>60</v>
      </c>
      <c r="T326" s="32" t="s">
        <v>476</v>
      </c>
      <c r="U326" s="26"/>
      <c r="W326" s="27"/>
      <c r="X326" s="27"/>
    </row>
    <row r="327" spans="1:24" ht="15.75" x14ac:dyDescent="0.25">
      <c r="A327" s="12">
        <f t="shared" si="189"/>
        <v>30084</v>
      </c>
      <c r="B327" s="27" t="s">
        <v>479</v>
      </c>
      <c r="C327" s="1" t="s">
        <v>375</v>
      </c>
      <c r="D327" s="12">
        <v>84</v>
      </c>
      <c r="E327" s="12">
        <v>3</v>
      </c>
      <c r="F327" s="12">
        <v>84</v>
      </c>
      <c r="G327" s="12">
        <v>40165</v>
      </c>
      <c r="H327" s="12">
        <v>3</v>
      </c>
      <c r="I327" s="20">
        <f t="shared" ref="I327:Q327" si="208">I207</f>
        <v>2</v>
      </c>
      <c r="J327" s="20">
        <f t="shared" si="208"/>
        <v>6</v>
      </c>
      <c r="K327" s="20">
        <f t="shared" si="208"/>
        <v>2882604907570</v>
      </c>
      <c r="L327" s="20">
        <f t="shared" si="208"/>
        <v>2882604907570</v>
      </c>
      <c r="M327" s="20">
        <f t="shared" si="208"/>
        <v>2882604907570</v>
      </c>
      <c r="N327" s="20">
        <f t="shared" si="208"/>
        <v>0</v>
      </c>
      <c r="O327" s="20">
        <f t="shared" si="208"/>
        <v>0</v>
      </c>
      <c r="P327" s="20">
        <f t="shared" si="208"/>
        <v>0</v>
      </c>
      <c r="Q327" s="20">
        <f t="shared" si="208"/>
        <v>1.1883311941363501E+25</v>
      </c>
      <c r="R327" s="20">
        <v>0</v>
      </c>
      <c r="S327" s="12">
        <v>60</v>
      </c>
      <c r="T327" s="32" t="s">
        <v>476</v>
      </c>
      <c r="U327" s="26"/>
      <c r="W327" s="27"/>
      <c r="X327" s="27"/>
    </row>
    <row r="328" spans="1:24" ht="15.75" x14ac:dyDescent="0.25">
      <c r="A328" s="12">
        <f t="shared" si="189"/>
        <v>30085</v>
      </c>
      <c r="B328" s="27" t="s">
        <v>480</v>
      </c>
      <c r="C328" s="1" t="s">
        <v>375</v>
      </c>
      <c r="D328" s="12">
        <v>85</v>
      </c>
      <c r="E328" s="12">
        <v>3</v>
      </c>
      <c r="F328" s="12">
        <v>85</v>
      </c>
      <c r="G328" s="12">
        <v>50015</v>
      </c>
      <c r="H328" s="12">
        <v>2</v>
      </c>
      <c r="I328" s="20">
        <f t="shared" ref="I328:Q328" si="209">I208</f>
        <v>2</v>
      </c>
      <c r="J328" s="20">
        <f t="shared" si="209"/>
        <v>6</v>
      </c>
      <c r="K328" s="20">
        <f t="shared" si="209"/>
        <v>3053641376600</v>
      </c>
      <c r="L328" s="20">
        <f t="shared" si="209"/>
        <v>3053641376600</v>
      </c>
      <c r="M328" s="20">
        <f t="shared" si="209"/>
        <v>3053641376600</v>
      </c>
      <c r="N328" s="20">
        <f t="shared" si="209"/>
        <v>0</v>
      </c>
      <c r="O328" s="20">
        <f t="shared" si="209"/>
        <v>0</v>
      </c>
      <c r="P328" s="20">
        <f t="shared" si="209"/>
        <v>0</v>
      </c>
      <c r="Q328" s="20">
        <f t="shared" si="209"/>
        <v>1.4252640047693299E+25</v>
      </c>
      <c r="R328" s="20">
        <v>0</v>
      </c>
      <c r="S328" s="12">
        <v>60</v>
      </c>
      <c r="T328" s="32" t="s">
        <v>481</v>
      </c>
      <c r="U328" s="26"/>
      <c r="W328" s="27"/>
      <c r="X328" s="27"/>
    </row>
    <row r="329" spans="1:24" ht="15.75" x14ac:dyDescent="0.25">
      <c r="A329" s="12">
        <f t="shared" si="189"/>
        <v>30086</v>
      </c>
      <c r="B329" s="27" t="s">
        <v>482</v>
      </c>
      <c r="C329" s="1" t="s">
        <v>375</v>
      </c>
      <c r="D329" s="12">
        <v>86</v>
      </c>
      <c r="E329" s="12">
        <v>3</v>
      </c>
      <c r="F329" s="12">
        <v>86</v>
      </c>
      <c r="G329" s="12">
        <v>50065</v>
      </c>
      <c r="H329" s="12">
        <v>1</v>
      </c>
      <c r="I329" s="20">
        <f t="shared" ref="I329:Q329" si="210">I209</f>
        <v>2</v>
      </c>
      <c r="J329" s="20">
        <f t="shared" si="210"/>
        <v>6</v>
      </c>
      <c r="K329" s="20">
        <f t="shared" si="210"/>
        <v>3202434456735</v>
      </c>
      <c r="L329" s="20">
        <f t="shared" si="210"/>
        <v>3202434456735</v>
      </c>
      <c r="M329" s="20">
        <f t="shared" si="210"/>
        <v>3202434456735</v>
      </c>
      <c r="N329" s="20">
        <f t="shared" si="210"/>
        <v>0</v>
      </c>
      <c r="O329" s="20">
        <f t="shared" si="210"/>
        <v>0</v>
      </c>
      <c r="P329" s="20">
        <f t="shared" si="210"/>
        <v>0</v>
      </c>
      <c r="Q329" s="20">
        <f t="shared" si="210"/>
        <v>1.6740516257197599E+25</v>
      </c>
      <c r="R329" s="20">
        <v>0</v>
      </c>
      <c r="S329" s="12">
        <v>60</v>
      </c>
      <c r="T329" s="32" t="s">
        <v>481</v>
      </c>
      <c r="U329" s="26"/>
      <c r="W329" s="27"/>
      <c r="X329" s="27"/>
    </row>
    <row r="330" spans="1:24" ht="15.75" x14ac:dyDescent="0.25">
      <c r="A330" s="12">
        <f t="shared" si="189"/>
        <v>30087</v>
      </c>
      <c r="B330" s="27" t="s">
        <v>483</v>
      </c>
      <c r="C330" s="1" t="s">
        <v>375</v>
      </c>
      <c r="D330" s="12">
        <v>87</v>
      </c>
      <c r="E330" s="12">
        <v>3</v>
      </c>
      <c r="F330" s="12">
        <v>87</v>
      </c>
      <c r="G330" s="12">
        <v>10055</v>
      </c>
      <c r="H330" s="12">
        <v>3</v>
      </c>
      <c r="I330" s="20">
        <f t="shared" ref="I330:Q330" si="211">I210</f>
        <v>2</v>
      </c>
      <c r="J330" s="20">
        <f t="shared" si="211"/>
        <v>6</v>
      </c>
      <c r="K330" s="20">
        <f t="shared" si="211"/>
        <v>3387794342615</v>
      </c>
      <c r="L330" s="20">
        <f t="shared" si="211"/>
        <v>3387794342615</v>
      </c>
      <c r="M330" s="20">
        <f t="shared" si="211"/>
        <v>3387794342615</v>
      </c>
      <c r="N330" s="20">
        <f t="shared" si="211"/>
        <v>0</v>
      </c>
      <c r="O330" s="20">
        <f t="shared" si="211"/>
        <v>0</v>
      </c>
      <c r="P330" s="20">
        <f t="shared" si="211"/>
        <v>0</v>
      </c>
      <c r="Q330" s="20">
        <f t="shared" si="211"/>
        <v>1.9998397804482501E+25</v>
      </c>
      <c r="R330" s="20">
        <v>0</v>
      </c>
      <c r="S330" s="12">
        <v>60</v>
      </c>
      <c r="T330" s="32" t="s">
        <v>481</v>
      </c>
      <c r="U330" s="26"/>
      <c r="W330" s="27"/>
      <c r="X330" s="27"/>
    </row>
    <row r="331" spans="1:24" ht="15.75" x14ac:dyDescent="0.25">
      <c r="A331" s="12">
        <f t="shared" si="189"/>
        <v>30088</v>
      </c>
      <c r="B331" s="27" t="s">
        <v>484</v>
      </c>
      <c r="C331" s="1" t="s">
        <v>375</v>
      </c>
      <c r="D331" s="12">
        <v>88</v>
      </c>
      <c r="E331" s="12">
        <v>3</v>
      </c>
      <c r="F331" s="12">
        <v>88</v>
      </c>
      <c r="G331" s="12">
        <v>10105</v>
      </c>
      <c r="H331" s="12">
        <v>2</v>
      </c>
      <c r="I331" s="20">
        <f t="shared" ref="I331:Q331" si="212">I211</f>
        <v>2</v>
      </c>
      <c r="J331" s="20">
        <f t="shared" si="212"/>
        <v>6</v>
      </c>
      <c r="K331" s="20">
        <f t="shared" si="212"/>
        <v>3548746057450</v>
      </c>
      <c r="L331" s="20">
        <f t="shared" si="212"/>
        <v>3548746057450</v>
      </c>
      <c r="M331" s="20">
        <f t="shared" si="212"/>
        <v>3548746057450</v>
      </c>
      <c r="N331" s="20">
        <f t="shared" si="212"/>
        <v>0</v>
      </c>
      <c r="O331" s="20">
        <f t="shared" si="212"/>
        <v>0</v>
      </c>
      <c r="P331" s="20">
        <f t="shared" si="212"/>
        <v>0</v>
      </c>
      <c r="Q331" s="20">
        <f t="shared" si="212"/>
        <v>2.3407992690310998E+25</v>
      </c>
      <c r="R331" s="20">
        <v>0</v>
      </c>
      <c r="S331" s="12">
        <v>60</v>
      </c>
      <c r="T331" s="32" t="s">
        <v>481</v>
      </c>
      <c r="U331" s="26"/>
      <c r="W331" s="27"/>
      <c r="X331" s="27"/>
    </row>
    <row r="332" spans="1:24" ht="15.75" x14ac:dyDescent="0.25">
      <c r="A332" s="12">
        <f t="shared" si="189"/>
        <v>30089</v>
      </c>
      <c r="B332" s="27" t="s">
        <v>485</v>
      </c>
      <c r="C332" s="1" t="s">
        <v>375</v>
      </c>
      <c r="D332" s="12">
        <v>89</v>
      </c>
      <c r="E332" s="12">
        <v>3</v>
      </c>
      <c r="F332" s="12">
        <v>89</v>
      </c>
      <c r="G332" s="12">
        <v>10155</v>
      </c>
      <c r="H332" s="12">
        <v>1</v>
      </c>
      <c r="I332" s="20">
        <f t="shared" ref="I332:Q332" si="213">I212</f>
        <v>2</v>
      </c>
      <c r="J332" s="20">
        <f t="shared" si="213"/>
        <v>6</v>
      </c>
      <c r="K332" s="20">
        <f t="shared" si="213"/>
        <v>3790743992825</v>
      </c>
      <c r="L332" s="20">
        <f t="shared" si="213"/>
        <v>3790743992825</v>
      </c>
      <c r="M332" s="20">
        <f t="shared" si="213"/>
        <v>3790743992825</v>
      </c>
      <c r="N332" s="20">
        <f t="shared" si="213"/>
        <v>0</v>
      </c>
      <c r="O332" s="20">
        <f t="shared" si="213"/>
        <v>0</v>
      </c>
      <c r="P332" s="20">
        <f t="shared" si="213"/>
        <v>0</v>
      </c>
      <c r="Q332" s="20">
        <f t="shared" si="213"/>
        <v>3.1759650506535298E+25</v>
      </c>
      <c r="R332" s="20">
        <v>0</v>
      </c>
      <c r="S332" s="12">
        <v>60</v>
      </c>
      <c r="T332" s="32" t="s">
        <v>486</v>
      </c>
      <c r="U332" s="26"/>
      <c r="W332" s="27"/>
      <c r="X332" s="27"/>
    </row>
    <row r="333" spans="1:24" ht="15.75" x14ac:dyDescent="0.25">
      <c r="A333" s="12">
        <f t="shared" si="189"/>
        <v>30090</v>
      </c>
      <c r="B333" s="27" t="s">
        <v>487</v>
      </c>
      <c r="C333" s="1" t="s">
        <v>375</v>
      </c>
      <c r="D333" s="12">
        <v>90</v>
      </c>
      <c r="E333" s="12">
        <v>3</v>
      </c>
      <c r="F333" s="12">
        <v>90</v>
      </c>
      <c r="G333" s="12">
        <v>10205</v>
      </c>
      <c r="H333" s="12">
        <v>3</v>
      </c>
      <c r="I333" s="20">
        <f t="shared" ref="I333:Q333" si="214">I213</f>
        <v>2</v>
      </c>
      <c r="J333" s="20">
        <f t="shared" si="214"/>
        <v>6</v>
      </c>
      <c r="K333" s="20">
        <f t="shared" si="214"/>
        <v>3977775902135</v>
      </c>
      <c r="L333" s="20">
        <f t="shared" si="214"/>
        <v>3977775902135</v>
      </c>
      <c r="M333" s="20">
        <f t="shared" si="214"/>
        <v>3977775902135</v>
      </c>
      <c r="N333" s="20">
        <f t="shared" si="214"/>
        <v>0</v>
      </c>
      <c r="O333" s="20">
        <f t="shared" si="214"/>
        <v>0</v>
      </c>
      <c r="P333" s="20">
        <f t="shared" si="214"/>
        <v>0</v>
      </c>
      <c r="Q333" s="20">
        <f t="shared" si="214"/>
        <v>3.7090901245188002E+25</v>
      </c>
      <c r="R333" s="20">
        <v>0</v>
      </c>
      <c r="S333" s="12">
        <v>60</v>
      </c>
      <c r="T333" s="32" t="s">
        <v>486</v>
      </c>
      <c r="U333" s="26"/>
      <c r="W333" s="27"/>
      <c r="X333" s="27"/>
    </row>
    <row r="334" spans="1:24" ht="15.75" x14ac:dyDescent="0.25">
      <c r="A334" s="12">
        <f t="shared" si="189"/>
        <v>30091</v>
      </c>
      <c r="B334" s="27" t="s">
        <v>488</v>
      </c>
      <c r="C334" s="1" t="s">
        <v>375</v>
      </c>
      <c r="D334" s="12">
        <v>91</v>
      </c>
      <c r="E334" s="12">
        <v>3</v>
      </c>
      <c r="F334" s="12">
        <v>91</v>
      </c>
      <c r="G334" s="12">
        <v>20055</v>
      </c>
      <c r="H334" s="12">
        <v>2</v>
      </c>
      <c r="I334" s="20">
        <f t="shared" ref="I334:Q334" si="215">I214</f>
        <v>2</v>
      </c>
      <c r="J334" s="20">
        <f t="shared" si="215"/>
        <v>6</v>
      </c>
      <c r="K334" s="20">
        <f t="shared" si="215"/>
        <v>4209031655790</v>
      </c>
      <c r="L334" s="20">
        <f t="shared" si="215"/>
        <v>4209031655790</v>
      </c>
      <c r="M334" s="20">
        <f t="shared" si="215"/>
        <v>4209031655790</v>
      </c>
      <c r="N334" s="20">
        <f t="shared" si="215"/>
        <v>0</v>
      </c>
      <c r="O334" s="20">
        <f t="shared" si="215"/>
        <v>0</v>
      </c>
      <c r="P334" s="20">
        <f t="shared" si="215"/>
        <v>0</v>
      </c>
      <c r="Q334" s="20">
        <f t="shared" si="215"/>
        <v>4.4010730798787202E+25</v>
      </c>
      <c r="R334" s="20">
        <v>0</v>
      </c>
      <c r="S334" s="12">
        <v>60</v>
      </c>
      <c r="T334" s="32" t="s">
        <v>486</v>
      </c>
      <c r="U334" s="26"/>
      <c r="W334" s="27"/>
      <c r="X334" s="27"/>
    </row>
    <row r="335" spans="1:24" ht="15.75" x14ac:dyDescent="0.25">
      <c r="A335" s="12">
        <f t="shared" si="189"/>
        <v>30092</v>
      </c>
      <c r="B335" s="27" t="s">
        <v>489</v>
      </c>
      <c r="C335" s="1" t="s">
        <v>375</v>
      </c>
      <c r="D335" s="12">
        <v>92</v>
      </c>
      <c r="E335" s="12">
        <v>3</v>
      </c>
      <c r="F335" s="12">
        <v>92</v>
      </c>
      <c r="G335" s="12">
        <v>20105</v>
      </c>
      <c r="H335" s="12">
        <v>1</v>
      </c>
      <c r="I335" s="20">
        <f t="shared" ref="I335:Q335" si="216">I215</f>
        <v>2</v>
      </c>
      <c r="J335" s="20">
        <f t="shared" si="216"/>
        <v>6</v>
      </c>
      <c r="K335" s="20">
        <f t="shared" si="216"/>
        <v>4390567734460</v>
      </c>
      <c r="L335" s="20">
        <f t="shared" si="216"/>
        <v>4390567734460</v>
      </c>
      <c r="M335" s="20">
        <f t="shared" si="216"/>
        <v>4390567734460</v>
      </c>
      <c r="N335" s="20">
        <f t="shared" si="216"/>
        <v>0</v>
      </c>
      <c r="O335" s="20">
        <f t="shared" si="216"/>
        <v>0</v>
      </c>
      <c r="P335" s="20">
        <f t="shared" si="216"/>
        <v>0</v>
      </c>
      <c r="Q335" s="20">
        <f t="shared" si="216"/>
        <v>5.1009316917705497E+25</v>
      </c>
      <c r="R335" s="20">
        <v>0</v>
      </c>
      <c r="S335" s="12">
        <v>60</v>
      </c>
      <c r="T335" s="32" t="s">
        <v>486</v>
      </c>
      <c r="U335" s="26"/>
      <c r="W335" s="27"/>
      <c r="X335" s="27"/>
    </row>
    <row r="336" spans="1:24" ht="15.75" x14ac:dyDescent="0.25">
      <c r="A336" s="12">
        <f t="shared" si="189"/>
        <v>30093</v>
      </c>
      <c r="B336" s="27" t="s">
        <v>490</v>
      </c>
      <c r="C336" s="1" t="s">
        <v>375</v>
      </c>
      <c r="D336" s="12">
        <v>93</v>
      </c>
      <c r="E336" s="12">
        <v>3</v>
      </c>
      <c r="F336" s="12">
        <v>93</v>
      </c>
      <c r="G336" s="12">
        <v>20155</v>
      </c>
      <c r="H336" s="12">
        <v>3</v>
      </c>
      <c r="I336" s="20">
        <f t="shared" ref="I336:Q336" si="217">I216</f>
        <v>2</v>
      </c>
      <c r="J336" s="20">
        <f t="shared" si="217"/>
        <v>6</v>
      </c>
      <c r="K336" s="20">
        <f t="shared" si="217"/>
        <v>4618858859285</v>
      </c>
      <c r="L336" s="20">
        <f t="shared" si="217"/>
        <v>4618858859285</v>
      </c>
      <c r="M336" s="20">
        <f t="shared" si="217"/>
        <v>4618858859285</v>
      </c>
      <c r="N336" s="20">
        <f t="shared" si="217"/>
        <v>0</v>
      </c>
      <c r="O336" s="20">
        <f t="shared" si="217"/>
        <v>0</v>
      </c>
      <c r="P336" s="20">
        <f t="shared" si="217"/>
        <v>0</v>
      </c>
      <c r="Q336" s="20">
        <f t="shared" si="217"/>
        <v>6.0064017512025198E+25</v>
      </c>
      <c r="R336" s="20">
        <v>0</v>
      </c>
      <c r="S336" s="12">
        <v>60</v>
      </c>
      <c r="T336" s="32" t="s">
        <v>491</v>
      </c>
      <c r="U336" s="26"/>
      <c r="W336" s="27"/>
      <c r="X336" s="27"/>
    </row>
    <row r="337" spans="1:24" ht="15.75" x14ac:dyDescent="0.25">
      <c r="A337" s="12">
        <f t="shared" si="189"/>
        <v>30094</v>
      </c>
      <c r="B337" s="27" t="s">
        <v>492</v>
      </c>
      <c r="C337" s="1" t="s">
        <v>375</v>
      </c>
      <c r="D337" s="12">
        <v>94</v>
      </c>
      <c r="E337" s="12">
        <v>3</v>
      </c>
      <c r="F337" s="12">
        <v>94</v>
      </c>
      <c r="G337" s="12">
        <v>20205</v>
      </c>
      <c r="H337" s="12">
        <v>2</v>
      </c>
      <c r="I337" s="20">
        <f t="shared" ref="I337:Q337" si="218">I217</f>
        <v>2</v>
      </c>
      <c r="J337" s="20">
        <f t="shared" si="218"/>
        <v>6</v>
      </c>
      <c r="K337" s="20">
        <f t="shared" si="218"/>
        <v>4814211024075</v>
      </c>
      <c r="L337" s="20">
        <f t="shared" si="218"/>
        <v>4814211024075</v>
      </c>
      <c r="M337" s="20">
        <f t="shared" si="218"/>
        <v>4814211024075</v>
      </c>
      <c r="N337" s="20">
        <f t="shared" si="218"/>
        <v>0</v>
      </c>
      <c r="O337" s="20">
        <f t="shared" si="218"/>
        <v>0</v>
      </c>
      <c r="P337" s="20">
        <f t="shared" si="218"/>
        <v>0</v>
      </c>
      <c r="Q337" s="20">
        <f t="shared" si="218"/>
        <v>6.9430962616219302E+25</v>
      </c>
      <c r="R337" s="20">
        <v>0</v>
      </c>
      <c r="S337" s="12">
        <v>60</v>
      </c>
      <c r="T337" s="32" t="s">
        <v>491</v>
      </c>
      <c r="U337" s="26"/>
      <c r="W337" s="27"/>
      <c r="X337" s="27"/>
    </row>
    <row r="338" spans="1:24" ht="15.75" x14ac:dyDescent="0.25">
      <c r="A338" s="12">
        <f t="shared" si="189"/>
        <v>30095</v>
      </c>
      <c r="B338" s="27" t="s">
        <v>493</v>
      </c>
      <c r="C338" s="1" t="s">
        <v>375</v>
      </c>
      <c r="D338" s="12">
        <v>95</v>
      </c>
      <c r="E338" s="12">
        <v>3</v>
      </c>
      <c r="F338" s="12">
        <v>95</v>
      </c>
      <c r="G338" s="12">
        <v>30055</v>
      </c>
      <c r="H338" s="12">
        <v>1</v>
      </c>
      <c r="I338" s="20">
        <f t="shared" ref="I338:Q338" si="219">I218</f>
        <v>2</v>
      </c>
      <c r="J338" s="20">
        <f t="shared" si="219"/>
        <v>6</v>
      </c>
      <c r="K338" s="20">
        <f t="shared" si="219"/>
        <v>5059325002640</v>
      </c>
      <c r="L338" s="20">
        <f t="shared" si="219"/>
        <v>5059325002640</v>
      </c>
      <c r="M338" s="20">
        <f t="shared" si="219"/>
        <v>5059325002640</v>
      </c>
      <c r="N338" s="20">
        <f t="shared" si="219"/>
        <v>0</v>
      </c>
      <c r="O338" s="20">
        <f t="shared" si="219"/>
        <v>0</v>
      </c>
      <c r="P338" s="20">
        <f t="shared" si="219"/>
        <v>0</v>
      </c>
      <c r="Q338" s="20">
        <f t="shared" si="219"/>
        <v>8.1531349980173196E+25</v>
      </c>
      <c r="R338" s="20">
        <v>0</v>
      </c>
      <c r="S338" s="12">
        <v>60</v>
      </c>
      <c r="T338" s="32" t="s">
        <v>491</v>
      </c>
      <c r="U338" s="26"/>
      <c r="W338" s="27"/>
      <c r="X338" s="27"/>
    </row>
    <row r="339" spans="1:24" ht="15.75" x14ac:dyDescent="0.25">
      <c r="A339" s="12">
        <f t="shared" si="189"/>
        <v>30096</v>
      </c>
      <c r="B339" s="27" t="s">
        <v>494</v>
      </c>
      <c r="C339" s="1" t="s">
        <v>375</v>
      </c>
      <c r="D339" s="12">
        <v>96</v>
      </c>
      <c r="E339" s="12">
        <v>3</v>
      </c>
      <c r="F339" s="12">
        <v>96</v>
      </c>
      <c r="G339" s="12">
        <v>30105</v>
      </c>
      <c r="H339" s="12">
        <v>3</v>
      </c>
      <c r="I339" s="20">
        <f t="shared" ref="I339:Q339" si="220">I219</f>
        <v>2</v>
      </c>
      <c r="J339" s="20">
        <f t="shared" si="220"/>
        <v>6</v>
      </c>
      <c r="K339" s="20">
        <f t="shared" si="220"/>
        <v>5268705194615</v>
      </c>
      <c r="L339" s="20">
        <f t="shared" si="220"/>
        <v>5268705194615</v>
      </c>
      <c r="M339" s="20">
        <f t="shared" si="220"/>
        <v>5268705194615</v>
      </c>
      <c r="N339" s="20">
        <f t="shared" si="220"/>
        <v>0</v>
      </c>
      <c r="O339" s="20">
        <f t="shared" si="220"/>
        <v>0</v>
      </c>
      <c r="P339" s="20">
        <f t="shared" si="220"/>
        <v>0</v>
      </c>
      <c r="Q339" s="20">
        <f t="shared" si="220"/>
        <v>9.4021305615157502E+25</v>
      </c>
      <c r="R339" s="20">
        <v>0</v>
      </c>
      <c r="S339" s="12">
        <v>60</v>
      </c>
      <c r="T339" s="32" t="s">
        <v>491</v>
      </c>
      <c r="U339" s="26"/>
      <c r="W339" s="27"/>
      <c r="X339" s="27"/>
    </row>
    <row r="340" spans="1:24" ht="15.75" x14ac:dyDescent="0.25">
      <c r="A340" s="12">
        <f t="shared" si="189"/>
        <v>30097</v>
      </c>
      <c r="B340" s="27" t="s">
        <v>495</v>
      </c>
      <c r="C340" s="1" t="s">
        <v>375</v>
      </c>
      <c r="D340" s="12">
        <v>97</v>
      </c>
      <c r="E340" s="12">
        <v>3</v>
      </c>
      <c r="F340" s="12">
        <v>97</v>
      </c>
      <c r="G340" s="12">
        <v>30155</v>
      </c>
      <c r="H340" s="12">
        <v>2</v>
      </c>
      <c r="I340" s="20">
        <f t="shared" ref="I340:Q340" si="221">I220</f>
        <v>2</v>
      </c>
      <c r="J340" s="20">
        <f t="shared" si="221"/>
        <v>6</v>
      </c>
      <c r="K340" s="20">
        <f t="shared" si="221"/>
        <v>5585255444475</v>
      </c>
      <c r="L340" s="20">
        <f t="shared" si="221"/>
        <v>5585255444475</v>
      </c>
      <c r="M340" s="20">
        <f t="shared" si="221"/>
        <v>5585255444475</v>
      </c>
      <c r="N340" s="20">
        <f t="shared" si="221"/>
        <v>0</v>
      </c>
      <c r="O340" s="20">
        <f t="shared" si="221"/>
        <v>0</v>
      </c>
      <c r="P340" s="20">
        <f t="shared" si="221"/>
        <v>0</v>
      </c>
      <c r="Q340" s="20">
        <f t="shared" si="221"/>
        <v>1.15686189664004E+26</v>
      </c>
      <c r="R340" s="20">
        <v>0</v>
      </c>
      <c r="S340" s="12">
        <v>60</v>
      </c>
      <c r="T340" s="32" t="s">
        <v>496</v>
      </c>
      <c r="U340" s="26"/>
      <c r="W340" s="27"/>
      <c r="X340" s="27"/>
    </row>
    <row r="341" spans="1:24" ht="15.75" x14ac:dyDescent="0.25">
      <c r="A341" s="12">
        <f t="shared" si="189"/>
        <v>30098</v>
      </c>
      <c r="B341" s="27" t="s">
        <v>497</v>
      </c>
      <c r="C341" s="1" t="s">
        <v>375</v>
      </c>
      <c r="D341" s="12">
        <v>98</v>
      </c>
      <c r="E341" s="12">
        <v>3</v>
      </c>
      <c r="F341" s="12">
        <v>98</v>
      </c>
      <c r="G341" s="12">
        <v>30205</v>
      </c>
      <c r="H341" s="12">
        <v>1</v>
      </c>
      <c r="I341" s="20">
        <f t="shared" ref="I341:Q341" si="222">I221</f>
        <v>2</v>
      </c>
      <c r="J341" s="20">
        <f t="shared" si="222"/>
        <v>6</v>
      </c>
      <c r="K341" s="20">
        <f t="shared" si="222"/>
        <v>5811142901955</v>
      </c>
      <c r="L341" s="20">
        <f t="shared" si="222"/>
        <v>5811142901955</v>
      </c>
      <c r="M341" s="20">
        <f t="shared" si="222"/>
        <v>5811142901955</v>
      </c>
      <c r="N341" s="20">
        <f t="shared" si="222"/>
        <v>0</v>
      </c>
      <c r="O341" s="20">
        <f t="shared" si="222"/>
        <v>0</v>
      </c>
      <c r="P341" s="20">
        <f t="shared" si="222"/>
        <v>0</v>
      </c>
      <c r="Q341" s="20">
        <f t="shared" si="222"/>
        <v>1.3301125377336599E+26</v>
      </c>
      <c r="R341" s="20">
        <v>0</v>
      </c>
      <c r="S341" s="12">
        <v>60</v>
      </c>
      <c r="T341" s="32" t="s">
        <v>496</v>
      </c>
      <c r="U341" s="26"/>
      <c r="W341" s="27"/>
      <c r="X341" s="27"/>
    </row>
    <row r="342" spans="1:24" ht="15.75" x14ac:dyDescent="0.25">
      <c r="A342" s="12">
        <f t="shared" si="189"/>
        <v>30099</v>
      </c>
      <c r="B342" s="27" t="s">
        <v>498</v>
      </c>
      <c r="C342" s="1" t="s">
        <v>375</v>
      </c>
      <c r="D342" s="12">
        <v>99</v>
      </c>
      <c r="E342" s="12">
        <v>3</v>
      </c>
      <c r="F342" s="12">
        <v>99</v>
      </c>
      <c r="G342" s="12">
        <v>40055</v>
      </c>
      <c r="H342" s="12">
        <v>3</v>
      </c>
      <c r="I342" s="20">
        <f t="shared" ref="I342:Q342" si="223">I222</f>
        <v>2</v>
      </c>
      <c r="J342" s="20">
        <f t="shared" si="223"/>
        <v>6</v>
      </c>
      <c r="K342" s="20">
        <f t="shared" si="223"/>
        <v>6094929519090</v>
      </c>
      <c r="L342" s="20">
        <f t="shared" si="223"/>
        <v>6094929519090</v>
      </c>
      <c r="M342" s="20">
        <f t="shared" si="223"/>
        <v>6094929519090</v>
      </c>
      <c r="N342" s="20">
        <f t="shared" si="223"/>
        <v>0</v>
      </c>
      <c r="O342" s="20">
        <f t="shared" si="223"/>
        <v>0</v>
      </c>
      <c r="P342" s="20">
        <f t="shared" si="223"/>
        <v>0</v>
      </c>
      <c r="Q342" s="20">
        <f t="shared" si="223"/>
        <v>1.55266789907417E+26</v>
      </c>
      <c r="R342" s="20">
        <v>0</v>
      </c>
      <c r="S342" s="12">
        <v>60</v>
      </c>
      <c r="T342" s="32" t="s">
        <v>496</v>
      </c>
      <c r="U342" s="26"/>
      <c r="W342" s="27"/>
      <c r="X342" s="27"/>
    </row>
    <row r="343" spans="1:24" ht="15.75" x14ac:dyDescent="0.25">
      <c r="A343" s="12">
        <f t="shared" si="189"/>
        <v>30100</v>
      </c>
      <c r="B343" s="27" t="s">
        <v>499</v>
      </c>
      <c r="C343" s="1" t="s">
        <v>375</v>
      </c>
      <c r="D343" s="12">
        <v>100</v>
      </c>
      <c r="E343" s="12">
        <v>3</v>
      </c>
      <c r="F343" s="12">
        <v>100</v>
      </c>
      <c r="G343" s="12">
        <v>40105</v>
      </c>
      <c r="H343" s="12">
        <v>2</v>
      </c>
      <c r="I343" s="20">
        <f t="shared" ref="I343:Q343" si="224">I223</f>
        <v>2</v>
      </c>
      <c r="J343" s="20">
        <f t="shared" si="224"/>
        <v>6</v>
      </c>
      <c r="K343" s="20">
        <f t="shared" si="224"/>
        <v>6336616535085</v>
      </c>
      <c r="L343" s="20">
        <f t="shared" si="224"/>
        <v>6336616535085</v>
      </c>
      <c r="M343" s="20">
        <f t="shared" si="224"/>
        <v>6336616535085</v>
      </c>
      <c r="N343" s="20">
        <f t="shared" si="224"/>
        <v>0</v>
      </c>
      <c r="O343" s="20">
        <f t="shared" si="224"/>
        <v>0</v>
      </c>
      <c r="P343" s="20">
        <f t="shared" si="224"/>
        <v>0</v>
      </c>
      <c r="Q343" s="20">
        <f t="shared" si="224"/>
        <v>1.7814326725985201E+26</v>
      </c>
      <c r="R343" s="20">
        <v>0</v>
      </c>
      <c r="S343" s="12">
        <v>60</v>
      </c>
      <c r="T343" s="32" t="s">
        <v>496</v>
      </c>
      <c r="U343" s="26"/>
      <c r="W343" s="27"/>
      <c r="X343" s="27"/>
    </row>
    <row r="344" spans="1:24" ht="15.75" x14ac:dyDescent="0.25">
      <c r="A344" s="12">
        <f t="shared" si="189"/>
        <v>30101</v>
      </c>
      <c r="B344" s="27" t="s">
        <v>500</v>
      </c>
      <c r="C344" s="1" t="s">
        <v>375</v>
      </c>
      <c r="D344" s="12">
        <v>101</v>
      </c>
      <c r="E344" s="12">
        <v>3</v>
      </c>
      <c r="F344" s="12">
        <v>101</v>
      </c>
      <c r="G344" s="12">
        <v>40155</v>
      </c>
      <c r="H344" s="12">
        <v>1</v>
      </c>
      <c r="I344" s="20">
        <f t="shared" ref="I344:Q344" si="225">I224</f>
        <v>2</v>
      </c>
      <c r="J344" s="20">
        <f t="shared" si="225"/>
        <v>6</v>
      </c>
      <c r="K344" s="20">
        <f t="shared" si="225"/>
        <v>7020838380415</v>
      </c>
      <c r="L344" s="20">
        <f t="shared" si="225"/>
        <v>7020838380415</v>
      </c>
      <c r="M344" s="20">
        <f t="shared" si="225"/>
        <v>7020838380415</v>
      </c>
      <c r="N344" s="20">
        <f t="shared" si="225"/>
        <v>0</v>
      </c>
      <c r="O344" s="20">
        <f t="shared" si="225"/>
        <v>0</v>
      </c>
      <c r="P344" s="20">
        <f t="shared" si="225"/>
        <v>0</v>
      </c>
      <c r="Q344" s="20">
        <f t="shared" si="225"/>
        <v>2.0920534762014999E+26</v>
      </c>
      <c r="R344" s="20">
        <v>0</v>
      </c>
      <c r="S344" s="12">
        <v>60</v>
      </c>
      <c r="T344" s="32" t="s">
        <v>501</v>
      </c>
      <c r="U344" s="26"/>
      <c r="W344" s="27"/>
      <c r="X344" s="27"/>
    </row>
    <row r="345" spans="1:24" ht="15.75" x14ac:dyDescent="0.25">
      <c r="A345" s="12">
        <f t="shared" si="189"/>
        <v>30102</v>
      </c>
      <c r="B345" s="27" t="s">
        <v>502</v>
      </c>
      <c r="C345" s="1" t="s">
        <v>375</v>
      </c>
      <c r="D345" s="12">
        <v>102</v>
      </c>
      <c r="E345" s="12">
        <v>3</v>
      </c>
      <c r="F345" s="12">
        <v>102</v>
      </c>
      <c r="G345" s="12">
        <v>40205</v>
      </c>
      <c r="H345" s="12">
        <v>3</v>
      </c>
      <c r="I345" s="20">
        <f t="shared" ref="I345:Q345" si="226">I225</f>
        <v>2</v>
      </c>
      <c r="J345" s="20">
        <f t="shared" si="226"/>
        <v>6</v>
      </c>
      <c r="K345" s="20">
        <f t="shared" si="226"/>
        <v>7287240847470</v>
      </c>
      <c r="L345" s="20">
        <f t="shared" si="226"/>
        <v>7287240847470</v>
      </c>
      <c r="M345" s="20">
        <f t="shared" si="226"/>
        <v>7287240847470</v>
      </c>
      <c r="N345" s="20">
        <f t="shared" si="226"/>
        <v>0</v>
      </c>
      <c r="O345" s="20">
        <f t="shared" si="226"/>
        <v>0</v>
      </c>
      <c r="P345" s="20">
        <f t="shared" si="226"/>
        <v>0</v>
      </c>
      <c r="Q345" s="20">
        <f t="shared" si="226"/>
        <v>2.3720052308028801E+26</v>
      </c>
      <c r="R345" s="20">
        <v>0</v>
      </c>
      <c r="S345" s="12">
        <v>60</v>
      </c>
      <c r="T345" s="32" t="s">
        <v>501</v>
      </c>
      <c r="U345" s="26"/>
      <c r="W345" s="27"/>
      <c r="X345" s="27"/>
    </row>
    <row r="346" spans="1:24" ht="15.75" x14ac:dyDescent="0.25">
      <c r="A346" s="12">
        <f t="shared" si="189"/>
        <v>30103</v>
      </c>
      <c r="B346" s="27" t="s">
        <v>503</v>
      </c>
      <c r="C346" s="1" t="s">
        <v>375</v>
      </c>
      <c r="D346" s="12">
        <v>103</v>
      </c>
      <c r="E346" s="12">
        <v>3</v>
      </c>
      <c r="F346" s="12">
        <v>103</v>
      </c>
      <c r="G346" s="12">
        <v>50055</v>
      </c>
      <c r="H346" s="12">
        <v>2</v>
      </c>
      <c r="I346" s="20">
        <f t="shared" ref="I346:Q346" si="227">I226</f>
        <v>2</v>
      </c>
      <c r="J346" s="20">
        <f t="shared" si="227"/>
        <v>6</v>
      </c>
      <c r="K346" s="20">
        <f t="shared" si="227"/>
        <v>5799404485480</v>
      </c>
      <c r="L346" s="20">
        <f t="shared" si="227"/>
        <v>5799404485480</v>
      </c>
      <c r="M346" s="20">
        <f t="shared" si="227"/>
        <v>5799404485480</v>
      </c>
      <c r="N346" s="20">
        <f t="shared" si="227"/>
        <v>0</v>
      </c>
      <c r="O346" s="20">
        <f t="shared" si="227"/>
        <v>0</v>
      </c>
      <c r="P346" s="20">
        <f t="shared" si="227"/>
        <v>0</v>
      </c>
      <c r="Q346" s="20">
        <f t="shared" si="227"/>
        <v>2.7227144073533001E+26</v>
      </c>
      <c r="R346" s="20">
        <v>0</v>
      </c>
      <c r="S346" s="12">
        <v>60</v>
      </c>
      <c r="T346" s="32" t="s">
        <v>501</v>
      </c>
      <c r="U346" s="26"/>
      <c r="W346" s="27"/>
      <c r="X346" s="27"/>
    </row>
    <row r="347" spans="1:24" ht="15.75" x14ac:dyDescent="0.25">
      <c r="A347" s="12">
        <f t="shared" si="189"/>
        <v>30104</v>
      </c>
      <c r="B347" s="27" t="s">
        <v>504</v>
      </c>
      <c r="C347" s="1" t="s">
        <v>375</v>
      </c>
      <c r="D347" s="12">
        <v>104</v>
      </c>
      <c r="E347" s="12">
        <v>3</v>
      </c>
      <c r="F347" s="12">
        <v>104</v>
      </c>
      <c r="G347" s="12">
        <v>10045</v>
      </c>
      <c r="H347" s="12">
        <v>1</v>
      </c>
      <c r="I347" s="20">
        <f t="shared" ref="I347:Q347" si="228">I227</f>
        <v>2</v>
      </c>
      <c r="J347" s="20">
        <f t="shared" si="228"/>
        <v>6</v>
      </c>
      <c r="K347" s="20">
        <f t="shared" si="228"/>
        <v>6018885713370</v>
      </c>
      <c r="L347" s="20">
        <f t="shared" si="228"/>
        <v>6018885713370</v>
      </c>
      <c r="M347" s="20">
        <f t="shared" si="228"/>
        <v>6018885713370</v>
      </c>
      <c r="N347" s="20">
        <f t="shared" si="228"/>
        <v>0</v>
      </c>
      <c r="O347" s="20">
        <f t="shared" si="228"/>
        <v>0</v>
      </c>
      <c r="P347" s="20">
        <f t="shared" si="228"/>
        <v>0</v>
      </c>
      <c r="Q347" s="20">
        <f t="shared" si="228"/>
        <v>3.0813781349454499E+26</v>
      </c>
      <c r="R347" s="20">
        <v>0</v>
      </c>
      <c r="S347" s="12">
        <v>60</v>
      </c>
      <c r="T347" s="32" t="s">
        <v>501</v>
      </c>
      <c r="U347" s="26"/>
      <c r="W347" s="27"/>
      <c r="X347" s="27"/>
    </row>
    <row r="348" spans="1:24" ht="15.75" x14ac:dyDescent="0.25">
      <c r="A348" s="12">
        <f t="shared" si="189"/>
        <v>30105</v>
      </c>
      <c r="B348" s="27" t="s">
        <v>505</v>
      </c>
      <c r="C348" s="1" t="s">
        <v>375</v>
      </c>
      <c r="D348" s="12">
        <v>105</v>
      </c>
      <c r="E348" s="12">
        <v>3</v>
      </c>
      <c r="F348" s="12">
        <v>105</v>
      </c>
      <c r="G348" s="12">
        <v>10095</v>
      </c>
      <c r="H348" s="12">
        <v>3</v>
      </c>
      <c r="I348" s="20">
        <f t="shared" ref="I348:Q348" si="229">I228</f>
        <v>2</v>
      </c>
      <c r="J348" s="20">
        <f t="shared" si="229"/>
        <v>6</v>
      </c>
      <c r="K348" s="20">
        <f t="shared" si="229"/>
        <v>6341101143930</v>
      </c>
      <c r="L348" s="20">
        <f t="shared" si="229"/>
        <v>6341101143930</v>
      </c>
      <c r="M348" s="20">
        <f t="shared" si="229"/>
        <v>6341101143930</v>
      </c>
      <c r="N348" s="20">
        <f t="shared" si="229"/>
        <v>0</v>
      </c>
      <c r="O348" s="20">
        <f t="shared" si="229"/>
        <v>0</v>
      </c>
      <c r="P348" s="20">
        <f t="shared" si="229"/>
        <v>0</v>
      </c>
      <c r="Q348" s="20">
        <f t="shared" si="229"/>
        <v>3.7276331404618E+26</v>
      </c>
      <c r="R348" s="20">
        <v>0</v>
      </c>
      <c r="S348" s="12">
        <v>60</v>
      </c>
      <c r="T348" s="32" t="s">
        <v>506</v>
      </c>
      <c r="U348" s="26"/>
      <c r="W348" s="27"/>
      <c r="X348" s="27"/>
    </row>
    <row r="349" spans="1:24" ht="15.75" x14ac:dyDescent="0.25">
      <c r="A349" s="12">
        <f t="shared" si="189"/>
        <v>30106</v>
      </c>
      <c r="B349" s="27" t="s">
        <v>507</v>
      </c>
      <c r="C349" s="1" t="s">
        <v>375</v>
      </c>
      <c r="D349" s="12">
        <v>106</v>
      </c>
      <c r="E349" s="12">
        <v>3</v>
      </c>
      <c r="F349" s="12">
        <v>106</v>
      </c>
      <c r="G349" s="12">
        <v>10145</v>
      </c>
      <c r="H349" s="12">
        <v>2</v>
      </c>
      <c r="I349" s="20">
        <f t="shared" ref="I349:Q349" si="230">I229</f>
        <v>2</v>
      </c>
      <c r="J349" s="20">
        <f t="shared" si="230"/>
        <v>6</v>
      </c>
      <c r="K349" s="20">
        <f t="shared" si="230"/>
        <v>6576408858185</v>
      </c>
      <c r="L349" s="20">
        <f t="shared" si="230"/>
        <v>6576408858185</v>
      </c>
      <c r="M349" s="20">
        <f t="shared" si="230"/>
        <v>6576408858185</v>
      </c>
      <c r="N349" s="20">
        <f t="shared" si="230"/>
        <v>0</v>
      </c>
      <c r="O349" s="20">
        <f t="shared" si="230"/>
        <v>0</v>
      </c>
      <c r="P349" s="20">
        <f t="shared" si="230"/>
        <v>0</v>
      </c>
      <c r="Q349" s="20">
        <f t="shared" si="230"/>
        <v>4.20841642240028E+26</v>
      </c>
      <c r="R349" s="20">
        <v>0</v>
      </c>
      <c r="S349" s="12">
        <v>60</v>
      </c>
      <c r="T349" s="32" t="s">
        <v>506</v>
      </c>
      <c r="U349" s="26"/>
      <c r="W349" s="27"/>
      <c r="X349" s="27"/>
    </row>
    <row r="350" spans="1:24" ht="15.75" x14ac:dyDescent="0.25">
      <c r="A350" s="12">
        <f t="shared" si="189"/>
        <v>30107</v>
      </c>
      <c r="B350" s="27" t="s">
        <v>508</v>
      </c>
      <c r="C350" s="1" t="s">
        <v>375</v>
      </c>
      <c r="D350" s="12">
        <v>107</v>
      </c>
      <c r="E350" s="12">
        <v>3</v>
      </c>
      <c r="F350" s="12">
        <v>107</v>
      </c>
      <c r="G350" s="12">
        <v>10195</v>
      </c>
      <c r="H350" s="12">
        <v>1</v>
      </c>
      <c r="I350" s="20">
        <f t="shared" ref="I350:Q350" si="231">I230</f>
        <v>2</v>
      </c>
      <c r="J350" s="20">
        <f t="shared" si="231"/>
        <v>6</v>
      </c>
      <c r="K350" s="20">
        <f t="shared" si="231"/>
        <v>6840833275900</v>
      </c>
      <c r="L350" s="20">
        <f t="shared" si="231"/>
        <v>6840833275900</v>
      </c>
      <c r="M350" s="20">
        <f t="shared" si="231"/>
        <v>6840833275900</v>
      </c>
      <c r="N350" s="20">
        <f t="shared" si="231"/>
        <v>0</v>
      </c>
      <c r="O350" s="20">
        <f t="shared" si="231"/>
        <v>0</v>
      </c>
      <c r="P350" s="20">
        <f t="shared" si="231"/>
        <v>0</v>
      </c>
      <c r="Q350" s="20">
        <f t="shared" si="231"/>
        <v>4.8083041634106298E+26</v>
      </c>
      <c r="R350" s="20">
        <v>0</v>
      </c>
      <c r="S350" s="12">
        <v>60</v>
      </c>
      <c r="T350" s="32" t="s">
        <v>506</v>
      </c>
      <c r="U350" s="26"/>
      <c r="W350" s="27"/>
      <c r="X350" s="27"/>
    </row>
    <row r="351" spans="1:24" ht="15.75" x14ac:dyDescent="0.25">
      <c r="A351" s="12">
        <f t="shared" si="189"/>
        <v>30108</v>
      </c>
      <c r="B351" s="27" t="s">
        <v>509</v>
      </c>
      <c r="C351" s="1" t="s">
        <v>375</v>
      </c>
      <c r="D351" s="12">
        <v>108</v>
      </c>
      <c r="E351" s="12">
        <v>3</v>
      </c>
      <c r="F351" s="12">
        <v>108</v>
      </c>
      <c r="G351" s="12">
        <v>20045</v>
      </c>
      <c r="H351" s="12">
        <v>3</v>
      </c>
      <c r="I351" s="20">
        <f t="shared" ref="I351:Q351" si="232">I231</f>
        <v>2</v>
      </c>
      <c r="J351" s="20">
        <f t="shared" si="232"/>
        <v>6</v>
      </c>
      <c r="K351" s="20">
        <f t="shared" si="232"/>
        <v>7090857446025</v>
      </c>
      <c r="L351" s="20">
        <f t="shared" si="232"/>
        <v>7090857446025</v>
      </c>
      <c r="M351" s="20">
        <f t="shared" si="232"/>
        <v>7090857446025</v>
      </c>
      <c r="N351" s="20">
        <f t="shared" si="232"/>
        <v>0</v>
      </c>
      <c r="O351" s="20">
        <f t="shared" si="232"/>
        <v>0</v>
      </c>
      <c r="P351" s="20">
        <f t="shared" si="232"/>
        <v>0</v>
      </c>
      <c r="Q351" s="20">
        <f t="shared" si="232"/>
        <v>5.4199435353420198E+26</v>
      </c>
      <c r="R351" s="20">
        <v>0</v>
      </c>
      <c r="S351" s="12">
        <v>60</v>
      </c>
      <c r="T351" s="32" t="s">
        <v>506</v>
      </c>
      <c r="U351" s="26"/>
      <c r="W351" s="27"/>
      <c r="X351" s="27"/>
    </row>
    <row r="352" spans="1:24" ht="15.75" x14ac:dyDescent="0.25">
      <c r="A352" s="12">
        <f t="shared" si="189"/>
        <v>30109</v>
      </c>
      <c r="B352" s="27" t="s">
        <v>510</v>
      </c>
      <c r="C352" s="1" t="s">
        <v>375</v>
      </c>
      <c r="D352" s="12">
        <v>109</v>
      </c>
      <c r="E352" s="12">
        <v>3</v>
      </c>
      <c r="F352" s="12">
        <v>109</v>
      </c>
      <c r="G352" s="12">
        <v>20095</v>
      </c>
      <c r="H352" s="12">
        <v>2</v>
      </c>
      <c r="I352" s="20">
        <f t="shared" ref="I352:Q352" si="233">I232</f>
        <v>2</v>
      </c>
      <c r="J352" s="20">
        <f t="shared" si="233"/>
        <v>6</v>
      </c>
      <c r="K352" s="20">
        <f t="shared" si="233"/>
        <v>7372649905835</v>
      </c>
      <c r="L352" s="20">
        <f t="shared" si="233"/>
        <v>7372649905835</v>
      </c>
      <c r="M352" s="20">
        <f t="shared" si="233"/>
        <v>7372649905835</v>
      </c>
      <c r="N352" s="20">
        <f t="shared" si="233"/>
        <v>0</v>
      </c>
      <c r="O352" s="20">
        <f t="shared" si="233"/>
        <v>0</v>
      </c>
      <c r="P352" s="20">
        <f t="shared" si="233"/>
        <v>0</v>
      </c>
      <c r="Q352" s="20">
        <f t="shared" si="233"/>
        <v>6.1817460828511497E+26</v>
      </c>
      <c r="R352" s="20">
        <v>0</v>
      </c>
      <c r="S352" s="12">
        <v>60</v>
      </c>
      <c r="T352" s="32" t="s">
        <v>511</v>
      </c>
      <c r="U352" s="26"/>
      <c r="W352" s="27"/>
      <c r="X352" s="27"/>
    </row>
    <row r="353" spans="1:24" ht="15.75" x14ac:dyDescent="0.25">
      <c r="A353" s="12">
        <f t="shared" si="189"/>
        <v>30110</v>
      </c>
      <c r="B353" s="27" t="s">
        <v>512</v>
      </c>
      <c r="C353" s="1" t="s">
        <v>375</v>
      </c>
      <c r="D353" s="12">
        <v>110</v>
      </c>
      <c r="E353" s="12">
        <v>3</v>
      </c>
      <c r="F353" s="12">
        <v>110</v>
      </c>
      <c r="G353" s="12">
        <v>20145</v>
      </c>
      <c r="H353" s="12">
        <v>1</v>
      </c>
      <c r="I353" s="20">
        <f t="shared" ref="I353:Q353" si="234">I233</f>
        <v>2</v>
      </c>
      <c r="J353" s="20">
        <f t="shared" si="234"/>
        <v>6</v>
      </c>
      <c r="K353" s="20">
        <f t="shared" si="234"/>
        <v>7639048870225</v>
      </c>
      <c r="L353" s="20">
        <f t="shared" si="234"/>
        <v>7639048870225</v>
      </c>
      <c r="M353" s="20">
        <f t="shared" si="234"/>
        <v>7639048870225</v>
      </c>
      <c r="N353" s="20">
        <f t="shared" si="234"/>
        <v>0</v>
      </c>
      <c r="O353" s="20">
        <f t="shared" si="234"/>
        <v>0</v>
      </c>
      <c r="P353" s="20">
        <f t="shared" si="234"/>
        <v>0</v>
      </c>
      <c r="Q353" s="20">
        <f t="shared" si="234"/>
        <v>6.9583585996201498E+26</v>
      </c>
      <c r="R353" s="20">
        <v>0</v>
      </c>
      <c r="S353" s="12">
        <v>60</v>
      </c>
      <c r="T353" s="32" t="s">
        <v>511</v>
      </c>
      <c r="U353" s="26"/>
      <c r="W353" s="27"/>
      <c r="X353" s="27"/>
    </row>
    <row r="354" spans="1:24" ht="15.75" x14ac:dyDescent="0.25">
      <c r="A354" s="12">
        <f t="shared" si="189"/>
        <v>30111</v>
      </c>
      <c r="B354" s="27" t="s">
        <v>513</v>
      </c>
      <c r="C354" s="1" t="s">
        <v>375</v>
      </c>
      <c r="D354" s="12">
        <v>111</v>
      </c>
      <c r="E354" s="12">
        <v>3</v>
      </c>
      <c r="F354" s="12">
        <v>111</v>
      </c>
      <c r="G354" s="12">
        <v>20195</v>
      </c>
      <c r="H354" s="12">
        <v>3</v>
      </c>
      <c r="I354" s="20">
        <f t="shared" ref="I354:Q354" si="235">I234</f>
        <v>2</v>
      </c>
      <c r="J354" s="20">
        <f t="shared" si="235"/>
        <v>6</v>
      </c>
      <c r="K354" s="20">
        <f t="shared" si="235"/>
        <v>7938387725105</v>
      </c>
      <c r="L354" s="20">
        <f t="shared" si="235"/>
        <v>7938387725105</v>
      </c>
      <c r="M354" s="20">
        <f t="shared" si="235"/>
        <v>7938387725105</v>
      </c>
      <c r="N354" s="20">
        <f t="shared" si="235"/>
        <v>0</v>
      </c>
      <c r="O354" s="20">
        <f t="shared" si="235"/>
        <v>0</v>
      </c>
      <c r="P354" s="20">
        <f t="shared" si="235"/>
        <v>0</v>
      </c>
      <c r="Q354" s="20">
        <f t="shared" si="235"/>
        <v>7.9233775288308293E+26</v>
      </c>
      <c r="R354" s="20">
        <v>0</v>
      </c>
      <c r="S354" s="12">
        <v>60</v>
      </c>
      <c r="T354" s="32" t="s">
        <v>511</v>
      </c>
      <c r="U354" s="26"/>
      <c r="W354" s="27"/>
      <c r="X354" s="27"/>
    </row>
    <row r="355" spans="1:24" ht="15.75" x14ac:dyDescent="0.25">
      <c r="A355" s="12">
        <f t="shared" si="189"/>
        <v>30112</v>
      </c>
      <c r="B355" s="27" t="s">
        <v>514</v>
      </c>
      <c r="C355" s="1" t="s">
        <v>375</v>
      </c>
      <c r="D355" s="12">
        <v>112</v>
      </c>
      <c r="E355" s="12">
        <v>3</v>
      </c>
      <c r="F355" s="12">
        <v>112</v>
      </c>
      <c r="G355" s="12">
        <v>30045</v>
      </c>
      <c r="H355" s="12">
        <v>2</v>
      </c>
      <c r="I355" s="20">
        <f t="shared" ref="I355:Q355" si="236">I235</f>
        <v>2</v>
      </c>
      <c r="J355" s="20">
        <f t="shared" si="236"/>
        <v>6</v>
      </c>
      <c r="K355" s="20">
        <f t="shared" si="236"/>
        <v>8221225274630</v>
      </c>
      <c r="L355" s="20">
        <f t="shared" si="236"/>
        <v>8221225274630</v>
      </c>
      <c r="M355" s="20">
        <f t="shared" si="236"/>
        <v>8221225274630</v>
      </c>
      <c r="N355" s="20">
        <f t="shared" si="236"/>
        <v>0</v>
      </c>
      <c r="O355" s="20">
        <f t="shared" si="236"/>
        <v>0</v>
      </c>
      <c r="P355" s="20">
        <f t="shared" si="236"/>
        <v>0</v>
      </c>
      <c r="Q355" s="20">
        <f t="shared" si="236"/>
        <v>8.9057893979743705E+26</v>
      </c>
      <c r="R355" s="20">
        <v>0</v>
      </c>
      <c r="S355" s="12">
        <v>60</v>
      </c>
      <c r="T355" s="32" t="s">
        <v>511</v>
      </c>
      <c r="U355" s="26"/>
      <c r="W355" s="27"/>
      <c r="X355" s="27"/>
    </row>
    <row r="356" spans="1:24" ht="15.75" x14ac:dyDescent="0.25">
      <c r="A356" s="12">
        <f t="shared" si="189"/>
        <v>30113</v>
      </c>
      <c r="B356" s="27" t="s">
        <v>515</v>
      </c>
      <c r="C356" s="1" t="s">
        <v>375</v>
      </c>
      <c r="D356" s="12">
        <v>113</v>
      </c>
      <c r="E356" s="12">
        <v>3</v>
      </c>
      <c r="F356" s="12">
        <v>113</v>
      </c>
      <c r="G356" s="12">
        <v>30095</v>
      </c>
      <c r="H356" s="12">
        <v>1</v>
      </c>
      <c r="I356" s="20">
        <f t="shared" ref="I356:Q356" si="237">I236</f>
        <v>2</v>
      </c>
      <c r="J356" s="20">
        <f t="shared" si="237"/>
        <v>6</v>
      </c>
      <c r="K356" s="20">
        <f t="shared" si="237"/>
        <v>8679849646845</v>
      </c>
      <c r="L356" s="20">
        <f t="shared" si="237"/>
        <v>8679849646845</v>
      </c>
      <c r="M356" s="20">
        <f t="shared" si="237"/>
        <v>8679849646845</v>
      </c>
      <c r="N356" s="20">
        <f t="shared" si="237"/>
        <v>0</v>
      </c>
      <c r="O356" s="20">
        <f t="shared" si="237"/>
        <v>0</v>
      </c>
      <c r="P356" s="20">
        <f t="shared" si="237"/>
        <v>0</v>
      </c>
      <c r="Q356" s="20">
        <f t="shared" si="237"/>
        <v>1.2088356875739901E+27</v>
      </c>
      <c r="R356" s="20">
        <v>0</v>
      </c>
      <c r="S356" s="12">
        <v>60</v>
      </c>
      <c r="T356" s="32" t="s">
        <v>516</v>
      </c>
      <c r="U356" s="26"/>
      <c r="W356" s="27"/>
      <c r="X356" s="27"/>
    </row>
    <row r="357" spans="1:24" ht="15.75" x14ac:dyDescent="0.25">
      <c r="A357" s="12">
        <f t="shared" si="189"/>
        <v>30114</v>
      </c>
      <c r="B357" s="27" t="s">
        <v>517</v>
      </c>
      <c r="C357" s="1" t="s">
        <v>375</v>
      </c>
      <c r="D357" s="12">
        <v>114</v>
      </c>
      <c r="E357" s="12">
        <v>3</v>
      </c>
      <c r="F357" s="12">
        <v>114</v>
      </c>
      <c r="G357" s="12">
        <v>30145</v>
      </c>
      <c r="H357" s="12">
        <v>3</v>
      </c>
      <c r="I357" s="20">
        <f t="shared" ref="I357:Q357" si="238">I237</f>
        <v>2</v>
      </c>
      <c r="J357" s="20">
        <f t="shared" si="238"/>
        <v>6</v>
      </c>
      <c r="K357" s="20">
        <f t="shared" si="238"/>
        <v>8995482646770</v>
      </c>
      <c r="L357" s="20">
        <f t="shared" si="238"/>
        <v>8995482646770</v>
      </c>
      <c r="M357" s="20">
        <f t="shared" si="238"/>
        <v>8995482646770</v>
      </c>
      <c r="N357" s="20">
        <f t="shared" si="238"/>
        <v>0</v>
      </c>
      <c r="O357" s="20">
        <f t="shared" si="238"/>
        <v>0</v>
      </c>
      <c r="P357" s="20">
        <f t="shared" si="238"/>
        <v>0</v>
      </c>
      <c r="Q357" s="20">
        <f t="shared" si="238"/>
        <v>1.3568644490080901E+27</v>
      </c>
      <c r="R357" s="20">
        <v>0</v>
      </c>
      <c r="S357" s="12">
        <v>60</v>
      </c>
      <c r="T357" s="32" t="s">
        <v>516</v>
      </c>
      <c r="U357" s="26"/>
      <c r="W357" s="27"/>
      <c r="X357" s="27"/>
    </row>
    <row r="358" spans="1:24" ht="15.75" x14ac:dyDescent="0.25">
      <c r="A358" s="12">
        <f t="shared" si="189"/>
        <v>30115</v>
      </c>
      <c r="B358" s="27" t="s">
        <v>518</v>
      </c>
      <c r="C358" s="1" t="s">
        <v>375</v>
      </c>
      <c r="D358" s="12">
        <v>115</v>
      </c>
      <c r="E358" s="12">
        <v>3</v>
      </c>
      <c r="F358" s="12">
        <v>115</v>
      </c>
      <c r="G358" s="12">
        <v>30195</v>
      </c>
      <c r="H358" s="12">
        <v>2</v>
      </c>
      <c r="I358" s="20">
        <f t="shared" ref="I358:Q358" si="239">I238</f>
        <v>2</v>
      </c>
      <c r="J358" s="20">
        <f t="shared" si="239"/>
        <v>6</v>
      </c>
      <c r="K358" s="20">
        <f t="shared" si="239"/>
        <v>9349156575210</v>
      </c>
      <c r="L358" s="20">
        <f t="shared" si="239"/>
        <v>9349156575210</v>
      </c>
      <c r="M358" s="20">
        <f t="shared" si="239"/>
        <v>9349156575210</v>
      </c>
      <c r="N358" s="20">
        <f t="shared" si="239"/>
        <v>0</v>
      </c>
      <c r="O358" s="20">
        <f t="shared" si="239"/>
        <v>0</v>
      </c>
      <c r="P358" s="20">
        <f t="shared" si="239"/>
        <v>0</v>
      </c>
      <c r="Q358" s="20">
        <f t="shared" si="239"/>
        <v>1.5400158152349601E+27</v>
      </c>
      <c r="R358" s="20">
        <v>0</v>
      </c>
      <c r="S358" s="12">
        <v>60</v>
      </c>
      <c r="T358" s="32" t="s">
        <v>516</v>
      </c>
      <c r="U358" s="26"/>
      <c r="W358" s="27"/>
      <c r="X358" s="27"/>
    </row>
    <row r="359" spans="1:24" ht="15.75" x14ac:dyDescent="0.25">
      <c r="A359" s="12">
        <f t="shared" si="189"/>
        <v>30116</v>
      </c>
      <c r="B359" s="27" t="s">
        <v>519</v>
      </c>
      <c r="C359" s="1" t="s">
        <v>375</v>
      </c>
      <c r="D359" s="12">
        <v>116</v>
      </c>
      <c r="E359" s="12">
        <v>3</v>
      </c>
      <c r="F359" s="12">
        <v>116</v>
      </c>
      <c r="G359" s="12">
        <v>40045</v>
      </c>
      <c r="H359" s="12">
        <v>1</v>
      </c>
      <c r="I359" s="20">
        <f t="shared" ref="I359:Q359" si="240">I239</f>
        <v>2</v>
      </c>
      <c r="J359" s="20">
        <f t="shared" si="240"/>
        <v>6</v>
      </c>
      <c r="K359" s="20">
        <f t="shared" si="240"/>
        <v>9684325906050</v>
      </c>
      <c r="L359" s="20">
        <f t="shared" si="240"/>
        <v>9684325906050</v>
      </c>
      <c r="M359" s="20">
        <f t="shared" si="240"/>
        <v>9684325906050</v>
      </c>
      <c r="N359" s="20">
        <f t="shared" si="240"/>
        <v>0</v>
      </c>
      <c r="O359" s="20">
        <f t="shared" si="240"/>
        <v>0</v>
      </c>
      <c r="P359" s="20">
        <f t="shared" si="240"/>
        <v>0</v>
      </c>
      <c r="Q359" s="20">
        <f t="shared" si="240"/>
        <v>1.72641385128131E+27</v>
      </c>
      <c r="R359" s="20">
        <v>0</v>
      </c>
      <c r="S359" s="12">
        <v>60</v>
      </c>
      <c r="T359" s="32" t="s">
        <v>516</v>
      </c>
      <c r="U359" s="26"/>
      <c r="W359" s="27"/>
      <c r="X359" s="27"/>
    </row>
    <row r="360" spans="1:24" ht="15.75" x14ac:dyDescent="0.25">
      <c r="A360" s="12">
        <f t="shared" si="189"/>
        <v>30117</v>
      </c>
      <c r="B360" s="27" t="s">
        <v>520</v>
      </c>
      <c r="C360" s="1" t="s">
        <v>375</v>
      </c>
      <c r="D360" s="12">
        <v>117</v>
      </c>
      <c r="E360" s="12">
        <v>3</v>
      </c>
      <c r="F360" s="12">
        <v>117</v>
      </c>
      <c r="G360" s="12">
        <v>40095</v>
      </c>
      <c r="H360" s="12">
        <v>3</v>
      </c>
      <c r="I360" s="20">
        <f t="shared" ref="I360:Q360" si="241">I240</f>
        <v>2</v>
      </c>
      <c r="J360" s="20">
        <f t="shared" si="241"/>
        <v>6</v>
      </c>
      <c r="K360" s="20">
        <f t="shared" si="241"/>
        <v>10061017902095</v>
      </c>
      <c r="L360" s="20">
        <f t="shared" si="241"/>
        <v>10061017902095</v>
      </c>
      <c r="M360" s="20">
        <f t="shared" si="241"/>
        <v>10061017902095</v>
      </c>
      <c r="N360" s="20">
        <f t="shared" si="241"/>
        <v>0</v>
      </c>
      <c r="O360" s="20">
        <f t="shared" si="241"/>
        <v>0</v>
      </c>
      <c r="P360" s="20">
        <f t="shared" si="241"/>
        <v>0</v>
      </c>
      <c r="Q360" s="20">
        <f t="shared" si="241"/>
        <v>1.9569867613705499E+27</v>
      </c>
      <c r="R360" s="20">
        <v>0</v>
      </c>
      <c r="S360" s="12">
        <v>60</v>
      </c>
      <c r="T360" s="32" t="s">
        <v>521</v>
      </c>
      <c r="U360" s="26"/>
      <c r="W360" s="27"/>
      <c r="X360" s="27"/>
    </row>
    <row r="361" spans="1:24" ht="15.75" x14ac:dyDescent="0.25">
      <c r="A361" s="12">
        <f t="shared" si="189"/>
        <v>30118</v>
      </c>
      <c r="B361" s="27" t="s">
        <v>522</v>
      </c>
      <c r="C361" s="1" t="s">
        <v>375</v>
      </c>
      <c r="D361" s="12">
        <v>118</v>
      </c>
      <c r="E361" s="12">
        <v>3</v>
      </c>
      <c r="F361" s="12">
        <v>118</v>
      </c>
      <c r="G361" s="12">
        <v>40145</v>
      </c>
      <c r="H361" s="12">
        <v>2</v>
      </c>
      <c r="I361" s="20">
        <f t="shared" ref="I361:Q361" si="242">I241</f>
        <v>2</v>
      </c>
      <c r="J361" s="20">
        <f t="shared" si="242"/>
        <v>6</v>
      </c>
      <c r="K361" s="20">
        <f t="shared" si="242"/>
        <v>10417853064515</v>
      </c>
      <c r="L361" s="20">
        <f t="shared" si="242"/>
        <v>10417853064515</v>
      </c>
      <c r="M361" s="20">
        <f t="shared" si="242"/>
        <v>10417853064515</v>
      </c>
      <c r="N361" s="20">
        <f t="shared" si="242"/>
        <v>0</v>
      </c>
      <c r="O361" s="20">
        <f t="shared" si="242"/>
        <v>0</v>
      </c>
      <c r="P361" s="20">
        <f t="shared" si="242"/>
        <v>0</v>
      </c>
      <c r="Q361" s="20">
        <f t="shared" si="242"/>
        <v>2.1913428769134401E+27</v>
      </c>
      <c r="R361" s="20">
        <v>0</v>
      </c>
      <c r="S361" s="12">
        <v>60</v>
      </c>
      <c r="T361" s="32" t="s">
        <v>521</v>
      </c>
      <c r="U361" s="26"/>
      <c r="W361" s="27"/>
      <c r="X361" s="27"/>
    </row>
    <row r="362" spans="1:24" ht="15.75" x14ac:dyDescent="0.25">
      <c r="A362" s="12">
        <f t="shared" si="189"/>
        <v>30119</v>
      </c>
      <c r="B362" s="27" t="s">
        <v>523</v>
      </c>
      <c r="C362" s="1" t="s">
        <v>375</v>
      </c>
      <c r="D362" s="12">
        <v>119</v>
      </c>
      <c r="E362" s="12">
        <v>3</v>
      </c>
      <c r="F362" s="12">
        <v>119</v>
      </c>
      <c r="G362" s="12">
        <v>40195</v>
      </c>
      <c r="H362" s="12">
        <v>1</v>
      </c>
      <c r="I362" s="20">
        <f t="shared" ref="I362:Q362" si="243">I242</f>
        <v>2</v>
      </c>
      <c r="J362" s="20">
        <f t="shared" si="243"/>
        <v>6</v>
      </c>
      <c r="K362" s="20">
        <f t="shared" si="243"/>
        <v>10817881818100</v>
      </c>
      <c r="L362" s="20">
        <f t="shared" si="243"/>
        <v>10817881818100</v>
      </c>
      <c r="M362" s="20">
        <f t="shared" si="243"/>
        <v>10817881818100</v>
      </c>
      <c r="N362" s="20">
        <f t="shared" si="243"/>
        <v>0</v>
      </c>
      <c r="O362" s="20">
        <f t="shared" si="243"/>
        <v>0</v>
      </c>
      <c r="P362" s="20">
        <f t="shared" si="243"/>
        <v>0</v>
      </c>
      <c r="Q362" s="20">
        <f t="shared" si="243"/>
        <v>2.4806156616865397E+27</v>
      </c>
      <c r="R362" s="20">
        <v>0</v>
      </c>
      <c r="S362" s="12">
        <v>60</v>
      </c>
      <c r="T362" s="32" t="s">
        <v>521</v>
      </c>
      <c r="U362" s="26"/>
      <c r="W362" s="27"/>
      <c r="X362" s="27"/>
    </row>
    <row r="363" spans="1:24" ht="15.75" x14ac:dyDescent="0.25">
      <c r="A363" s="12">
        <f t="shared" si="189"/>
        <v>30120</v>
      </c>
      <c r="B363" s="27" t="s">
        <v>524</v>
      </c>
      <c r="C363" s="1" t="s">
        <v>375</v>
      </c>
      <c r="D363" s="12">
        <v>120</v>
      </c>
      <c r="E363" s="12">
        <v>3</v>
      </c>
      <c r="F363" s="12">
        <v>120</v>
      </c>
      <c r="G363" s="12">
        <v>50045</v>
      </c>
      <c r="H363" s="12">
        <v>3</v>
      </c>
      <c r="I363" s="20">
        <f t="shared" ref="I363:Q363" si="244">I243</f>
        <v>2</v>
      </c>
      <c r="J363" s="20">
        <f t="shared" si="244"/>
        <v>6</v>
      </c>
      <c r="K363" s="20">
        <f t="shared" si="244"/>
        <v>11196545828205</v>
      </c>
      <c r="L363" s="20">
        <f t="shared" si="244"/>
        <v>11196545828205</v>
      </c>
      <c r="M363" s="20">
        <f t="shared" si="244"/>
        <v>11196545828205</v>
      </c>
      <c r="N363" s="20">
        <f t="shared" si="244"/>
        <v>0</v>
      </c>
      <c r="O363" s="20">
        <f t="shared" si="244"/>
        <v>0</v>
      </c>
      <c r="P363" s="20">
        <f t="shared" si="244"/>
        <v>0</v>
      </c>
      <c r="Q363" s="20">
        <f t="shared" si="244"/>
        <v>2.6968238110057798E+27</v>
      </c>
      <c r="R363" s="20">
        <v>0</v>
      </c>
      <c r="S363" s="12">
        <v>60</v>
      </c>
      <c r="T363" s="32" t="s">
        <v>521</v>
      </c>
      <c r="U363" s="26"/>
      <c r="W363" s="27"/>
      <c r="X363" s="27"/>
    </row>
    <row r="364" spans="1:24" ht="15.75" x14ac:dyDescent="0.25">
      <c r="A364" s="12">
        <v>40001</v>
      </c>
      <c r="B364" s="27" t="s">
        <v>525</v>
      </c>
      <c r="C364" s="1" t="s">
        <v>526</v>
      </c>
      <c r="D364" s="12">
        <v>1</v>
      </c>
      <c r="E364" s="12">
        <v>4</v>
      </c>
      <c r="F364" s="12">
        <v>1</v>
      </c>
      <c r="G364" s="20">
        <f>G250</f>
        <v>20155</v>
      </c>
      <c r="H364" s="20">
        <f t="shared" ref="H364:H427" si="245">H250</f>
        <v>2</v>
      </c>
      <c r="I364" s="20">
        <f t="shared" ref="I364:Q364" si="246">I244</f>
        <v>0</v>
      </c>
      <c r="J364" s="20">
        <f t="shared" si="246"/>
        <v>4</v>
      </c>
      <c r="K364" s="20">
        <f t="shared" si="246"/>
        <v>2125</v>
      </c>
      <c r="L364" s="20">
        <f t="shared" si="246"/>
        <v>2125</v>
      </c>
      <c r="M364" s="20">
        <f t="shared" si="246"/>
        <v>2125</v>
      </c>
      <c r="N364" s="20">
        <f t="shared" si="246"/>
        <v>0</v>
      </c>
      <c r="O364" s="20">
        <f t="shared" si="246"/>
        <v>0</v>
      </c>
      <c r="P364" s="20">
        <f t="shared" si="246"/>
        <v>0</v>
      </c>
      <c r="Q364" s="20">
        <f t="shared" si="246"/>
        <v>18975</v>
      </c>
      <c r="R364" s="20">
        <v>0</v>
      </c>
      <c r="S364" s="12">
        <v>60</v>
      </c>
      <c r="T364" s="26" t="s">
        <v>527</v>
      </c>
      <c r="U364" s="26"/>
      <c r="V364" s="20"/>
      <c r="X364" s="27"/>
    </row>
    <row r="365" spans="1:24" ht="15.75" x14ac:dyDescent="0.25">
      <c r="A365" s="12">
        <v>40002</v>
      </c>
      <c r="B365" s="27" t="s">
        <v>528</v>
      </c>
      <c r="C365" s="1" t="s">
        <v>526</v>
      </c>
      <c r="D365" s="12">
        <v>2</v>
      </c>
      <c r="E365" s="12">
        <v>4</v>
      </c>
      <c r="F365" s="12">
        <v>2</v>
      </c>
      <c r="G365" s="20">
        <f t="shared" ref="G365:H428" si="247">G251</f>
        <v>20205</v>
      </c>
      <c r="H365" s="20">
        <f t="shared" si="245"/>
        <v>1</v>
      </c>
      <c r="I365" s="20">
        <f t="shared" ref="I365:Q365" si="248">I245</f>
        <v>0</v>
      </c>
      <c r="J365" s="20">
        <f t="shared" si="248"/>
        <v>4</v>
      </c>
      <c r="K365" s="20">
        <f t="shared" si="248"/>
        <v>21420</v>
      </c>
      <c r="L365" s="20">
        <f t="shared" si="248"/>
        <v>21420</v>
      </c>
      <c r="M365" s="20">
        <f t="shared" si="248"/>
        <v>21420</v>
      </c>
      <c r="N365" s="20">
        <f t="shared" si="248"/>
        <v>0</v>
      </c>
      <c r="O365" s="20">
        <f t="shared" si="248"/>
        <v>0</v>
      </c>
      <c r="P365" s="20">
        <f t="shared" si="248"/>
        <v>0</v>
      </c>
      <c r="Q365" s="20">
        <f t="shared" si="248"/>
        <v>480400</v>
      </c>
      <c r="R365" s="20">
        <v>0</v>
      </c>
      <c r="S365" s="12">
        <v>60</v>
      </c>
      <c r="T365" s="26" t="s">
        <v>527</v>
      </c>
      <c r="U365" s="26"/>
      <c r="V365" s="20"/>
      <c r="X365" s="27"/>
    </row>
    <row r="366" spans="1:24" ht="15.75" x14ac:dyDescent="0.25">
      <c r="A366" s="12">
        <v>40003</v>
      </c>
      <c r="B366" s="27" t="s">
        <v>529</v>
      </c>
      <c r="C366" s="1" t="s">
        <v>526</v>
      </c>
      <c r="D366" s="12">
        <v>3</v>
      </c>
      <c r="E366" s="12">
        <v>4</v>
      </c>
      <c r="F366" s="12">
        <v>3</v>
      </c>
      <c r="G366" s="20">
        <f t="shared" si="247"/>
        <v>30055</v>
      </c>
      <c r="H366" s="20">
        <f t="shared" si="245"/>
        <v>3</v>
      </c>
      <c r="I366" s="20">
        <f t="shared" ref="I366:Q366" si="249">I246</f>
        <v>0</v>
      </c>
      <c r="J366" s="20">
        <f t="shared" si="249"/>
        <v>4</v>
      </c>
      <c r="K366" s="20">
        <f t="shared" si="249"/>
        <v>96540</v>
      </c>
      <c r="L366" s="20">
        <f t="shared" si="249"/>
        <v>96540</v>
      </c>
      <c r="M366" s="20">
        <f t="shared" si="249"/>
        <v>96540</v>
      </c>
      <c r="N366" s="20">
        <f t="shared" si="249"/>
        <v>0</v>
      </c>
      <c r="O366" s="20">
        <f t="shared" si="249"/>
        <v>0</v>
      </c>
      <c r="P366" s="20">
        <f t="shared" si="249"/>
        <v>0</v>
      </c>
      <c r="Q366" s="20">
        <f t="shared" si="249"/>
        <v>7033975</v>
      </c>
      <c r="R366" s="20">
        <v>0</v>
      </c>
      <c r="S366" s="12">
        <v>60</v>
      </c>
      <c r="T366" s="26" t="s">
        <v>527</v>
      </c>
      <c r="U366" s="26"/>
      <c r="V366" s="20"/>
      <c r="X366" s="27"/>
    </row>
    <row r="367" spans="1:24" ht="15.75" x14ac:dyDescent="0.25">
      <c r="A367" s="12">
        <v>40004</v>
      </c>
      <c r="B367" s="27" t="s">
        <v>530</v>
      </c>
      <c r="C367" s="1" t="s">
        <v>526</v>
      </c>
      <c r="D367" s="12">
        <v>4</v>
      </c>
      <c r="E367" s="12">
        <v>4</v>
      </c>
      <c r="F367" s="12">
        <v>4</v>
      </c>
      <c r="G367" s="20">
        <f t="shared" si="247"/>
        <v>30105</v>
      </c>
      <c r="H367" s="20">
        <f t="shared" si="245"/>
        <v>2</v>
      </c>
      <c r="I367" s="20">
        <f t="shared" ref="I367:Q367" si="250">I247</f>
        <v>0</v>
      </c>
      <c r="J367" s="20">
        <f t="shared" si="250"/>
        <v>4</v>
      </c>
      <c r="K367" s="20">
        <f t="shared" si="250"/>
        <v>208495</v>
      </c>
      <c r="L367" s="20">
        <f t="shared" si="250"/>
        <v>208495</v>
      </c>
      <c r="M367" s="20">
        <f t="shared" si="250"/>
        <v>208495</v>
      </c>
      <c r="N367" s="20">
        <f t="shared" si="250"/>
        <v>0</v>
      </c>
      <c r="O367" s="20">
        <f t="shared" si="250"/>
        <v>0</v>
      </c>
      <c r="P367" s="20">
        <f t="shared" si="250"/>
        <v>0</v>
      </c>
      <c r="Q367" s="20">
        <f t="shared" si="250"/>
        <v>27080900</v>
      </c>
      <c r="R367" s="20">
        <v>0</v>
      </c>
      <c r="S367" s="12">
        <v>60</v>
      </c>
      <c r="T367" s="26" t="s">
        <v>527</v>
      </c>
      <c r="U367" s="26"/>
      <c r="V367" s="20"/>
      <c r="X367" s="27"/>
    </row>
    <row r="368" spans="1:24" ht="15.75" x14ac:dyDescent="0.25">
      <c r="A368" s="12">
        <v>40005</v>
      </c>
      <c r="B368" s="27" t="s">
        <v>531</v>
      </c>
      <c r="C368" s="1" t="s">
        <v>526</v>
      </c>
      <c r="D368" s="12">
        <v>5</v>
      </c>
      <c r="E368" s="12">
        <v>4</v>
      </c>
      <c r="F368" s="12">
        <v>5</v>
      </c>
      <c r="G368" s="20">
        <f t="shared" si="247"/>
        <v>30155</v>
      </c>
      <c r="H368" s="20">
        <f t="shared" si="245"/>
        <v>1</v>
      </c>
      <c r="I368" s="20">
        <f t="shared" ref="I368:Q368" si="251">I248</f>
        <v>2</v>
      </c>
      <c r="J368" s="20">
        <f t="shared" si="251"/>
        <v>4</v>
      </c>
      <c r="K368" s="20">
        <f t="shared" si="251"/>
        <v>685670</v>
      </c>
      <c r="L368" s="20">
        <f t="shared" si="251"/>
        <v>685670</v>
      </c>
      <c r="M368" s="20">
        <f t="shared" si="251"/>
        <v>685670</v>
      </c>
      <c r="N368" s="20">
        <f t="shared" si="251"/>
        <v>0</v>
      </c>
      <c r="O368" s="20">
        <f t="shared" si="251"/>
        <v>0</v>
      </c>
      <c r="P368" s="20">
        <f t="shared" si="251"/>
        <v>0</v>
      </c>
      <c r="Q368" s="20">
        <f t="shared" si="251"/>
        <v>495343500</v>
      </c>
      <c r="R368" s="20">
        <v>0</v>
      </c>
      <c r="S368" s="12">
        <v>60</v>
      </c>
      <c r="T368" s="26" t="s">
        <v>532</v>
      </c>
      <c r="U368" s="26"/>
      <c r="V368" s="20"/>
      <c r="X368" s="27"/>
    </row>
    <row r="369" spans="1:23" ht="15.75" x14ac:dyDescent="0.25">
      <c r="A369" s="12">
        <v>40006</v>
      </c>
      <c r="B369" s="27" t="s">
        <v>533</v>
      </c>
      <c r="C369" s="1" t="s">
        <v>526</v>
      </c>
      <c r="D369" s="12">
        <v>6</v>
      </c>
      <c r="E369" s="12">
        <v>4</v>
      </c>
      <c r="F369" s="12">
        <v>6</v>
      </c>
      <c r="G369" s="20">
        <f t="shared" si="247"/>
        <v>30205</v>
      </c>
      <c r="H369" s="20">
        <f t="shared" si="245"/>
        <v>3</v>
      </c>
      <c r="I369" s="20">
        <f t="shared" ref="I369:Q369" si="252">I249</f>
        <v>2</v>
      </c>
      <c r="J369" s="20">
        <f t="shared" si="252"/>
        <v>4</v>
      </c>
      <c r="K369" s="20">
        <f t="shared" si="252"/>
        <v>1067940</v>
      </c>
      <c r="L369" s="20">
        <f t="shared" si="252"/>
        <v>1067940</v>
      </c>
      <c r="M369" s="20">
        <f t="shared" si="252"/>
        <v>1067940</v>
      </c>
      <c r="N369" s="20">
        <f t="shared" si="252"/>
        <v>0</v>
      </c>
      <c r="O369" s="20">
        <f t="shared" si="252"/>
        <v>0</v>
      </c>
      <c r="P369" s="20">
        <f t="shared" si="252"/>
        <v>0</v>
      </c>
      <c r="Q369" s="20">
        <f t="shared" si="252"/>
        <v>973025250</v>
      </c>
      <c r="R369" s="20">
        <v>0</v>
      </c>
      <c r="S369" s="12">
        <v>60</v>
      </c>
      <c r="T369" s="26" t="s">
        <v>532</v>
      </c>
      <c r="U369" s="26"/>
      <c r="V369" s="20"/>
      <c r="W369" s="20"/>
    </row>
    <row r="370" spans="1:23" ht="15.75" x14ac:dyDescent="0.25">
      <c r="A370" s="12">
        <v>40007</v>
      </c>
      <c r="B370" s="27" t="s">
        <v>534</v>
      </c>
      <c r="C370" s="1" t="s">
        <v>526</v>
      </c>
      <c r="D370" s="12">
        <v>7</v>
      </c>
      <c r="E370" s="12">
        <v>4</v>
      </c>
      <c r="F370" s="12">
        <v>7</v>
      </c>
      <c r="G370" s="20">
        <f t="shared" si="247"/>
        <v>40055</v>
      </c>
      <c r="H370" s="20">
        <f t="shared" si="245"/>
        <v>2</v>
      </c>
      <c r="I370" s="20">
        <f t="shared" ref="I370:Q370" si="253">I250</f>
        <v>2</v>
      </c>
      <c r="J370" s="20">
        <f t="shared" si="253"/>
        <v>4</v>
      </c>
      <c r="K370" s="20">
        <f t="shared" si="253"/>
        <v>1574180</v>
      </c>
      <c r="L370" s="20">
        <f t="shared" si="253"/>
        <v>1574180</v>
      </c>
      <c r="M370" s="20">
        <f t="shared" si="253"/>
        <v>1574180</v>
      </c>
      <c r="N370" s="20">
        <f t="shared" si="253"/>
        <v>0</v>
      </c>
      <c r="O370" s="20">
        <f t="shared" si="253"/>
        <v>0</v>
      </c>
      <c r="P370" s="20">
        <f t="shared" si="253"/>
        <v>0</v>
      </c>
      <c r="Q370" s="20">
        <f t="shared" si="253"/>
        <v>2134528150</v>
      </c>
      <c r="R370" s="20">
        <v>0</v>
      </c>
      <c r="S370" s="12">
        <v>60</v>
      </c>
      <c r="T370" s="26" t="s">
        <v>532</v>
      </c>
      <c r="U370" s="26"/>
      <c r="V370" s="20"/>
      <c r="W370" s="20"/>
    </row>
    <row r="371" spans="1:23" ht="15.75" x14ac:dyDescent="0.25">
      <c r="A371" s="12">
        <v>40008</v>
      </c>
      <c r="B371" s="27" t="s">
        <v>535</v>
      </c>
      <c r="C371" s="1" t="s">
        <v>526</v>
      </c>
      <c r="D371" s="12">
        <v>8</v>
      </c>
      <c r="E371" s="12">
        <v>4</v>
      </c>
      <c r="F371" s="12">
        <v>8</v>
      </c>
      <c r="G371" s="20">
        <f t="shared" si="247"/>
        <v>40105</v>
      </c>
      <c r="H371" s="20">
        <f t="shared" si="245"/>
        <v>1</v>
      </c>
      <c r="I371" s="20">
        <f t="shared" ref="I371:Q371" si="254">I251</f>
        <v>2</v>
      </c>
      <c r="J371" s="20">
        <f t="shared" si="254"/>
        <v>4</v>
      </c>
      <c r="K371" s="20">
        <f t="shared" si="254"/>
        <v>2244425</v>
      </c>
      <c r="L371" s="20">
        <f t="shared" si="254"/>
        <v>2244425</v>
      </c>
      <c r="M371" s="20">
        <f t="shared" si="254"/>
        <v>2244425</v>
      </c>
      <c r="N371" s="20">
        <f t="shared" si="254"/>
        <v>0</v>
      </c>
      <c r="O371" s="20">
        <f t="shared" si="254"/>
        <v>0</v>
      </c>
      <c r="P371" s="20">
        <f t="shared" si="254"/>
        <v>0</v>
      </c>
      <c r="Q371" s="20">
        <f t="shared" si="254"/>
        <v>4136039450</v>
      </c>
      <c r="R371" s="20">
        <v>0</v>
      </c>
      <c r="S371" s="12">
        <v>60</v>
      </c>
      <c r="T371" s="26" t="s">
        <v>532</v>
      </c>
      <c r="U371" s="26"/>
      <c r="V371" s="20"/>
      <c r="W371" s="20"/>
    </row>
    <row r="372" spans="1:23" ht="15.75" x14ac:dyDescent="0.25">
      <c r="A372" s="12">
        <v>40009</v>
      </c>
      <c r="B372" s="27" t="s">
        <v>536</v>
      </c>
      <c r="C372" s="1" t="s">
        <v>526</v>
      </c>
      <c r="D372" s="12">
        <v>9</v>
      </c>
      <c r="E372" s="12">
        <v>4</v>
      </c>
      <c r="F372" s="12">
        <v>9</v>
      </c>
      <c r="G372" s="20">
        <f t="shared" si="247"/>
        <v>40155</v>
      </c>
      <c r="H372" s="20">
        <f t="shared" si="245"/>
        <v>3</v>
      </c>
      <c r="I372" s="20">
        <f t="shared" ref="I372:Q372" si="255">I252</f>
        <v>2</v>
      </c>
      <c r="J372" s="20">
        <f t="shared" si="255"/>
        <v>4</v>
      </c>
      <c r="K372" s="20">
        <f t="shared" si="255"/>
        <v>7392785</v>
      </c>
      <c r="L372" s="20">
        <f t="shared" si="255"/>
        <v>7392785</v>
      </c>
      <c r="M372" s="20">
        <f t="shared" si="255"/>
        <v>7392785</v>
      </c>
      <c r="N372" s="20">
        <f t="shared" si="255"/>
        <v>0</v>
      </c>
      <c r="O372" s="20">
        <f t="shared" si="255"/>
        <v>0</v>
      </c>
      <c r="P372" s="20">
        <f t="shared" si="255"/>
        <v>0</v>
      </c>
      <c r="Q372" s="20">
        <f t="shared" si="255"/>
        <v>17071043050</v>
      </c>
      <c r="R372" s="20">
        <v>0</v>
      </c>
      <c r="S372" s="12">
        <v>60</v>
      </c>
      <c r="T372" s="26" t="s">
        <v>537</v>
      </c>
      <c r="U372" s="26"/>
      <c r="V372" s="20"/>
      <c r="W372" s="20"/>
    </row>
    <row r="373" spans="1:23" ht="15.75" x14ac:dyDescent="0.25">
      <c r="A373" s="12">
        <v>40010</v>
      </c>
      <c r="B373" s="27" t="s">
        <v>538</v>
      </c>
      <c r="C373" s="1" t="s">
        <v>526</v>
      </c>
      <c r="D373" s="12">
        <v>10</v>
      </c>
      <c r="E373" s="12">
        <v>4</v>
      </c>
      <c r="F373" s="12">
        <v>10</v>
      </c>
      <c r="G373" s="20">
        <f t="shared" si="247"/>
        <v>40205</v>
      </c>
      <c r="H373" s="20">
        <f t="shared" si="245"/>
        <v>2</v>
      </c>
      <c r="I373" s="20">
        <f t="shared" ref="I373:Q373" si="256">I253</f>
        <v>2</v>
      </c>
      <c r="J373" s="20">
        <f t="shared" si="256"/>
        <v>4</v>
      </c>
      <c r="K373" s="20">
        <f t="shared" si="256"/>
        <v>9690620</v>
      </c>
      <c r="L373" s="20">
        <f t="shared" si="256"/>
        <v>9690620</v>
      </c>
      <c r="M373" s="20">
        <f t="shared" si="256"/>
        <v>9690620</v>
      </c>
      <c r="N373" s="20">
        <f t="shared" si="256"/>
        <v>0</v>
      </c>
      <c r="O373" s="20">
        <f t="shared" si="256"/>
        <v>0</v>
      </c>
      <c r="P373" s="20">
        <f t="shared" si="256"/>
        <v>0</v>
      </c>
      <c r="Q373" s="20">
        <f t="shared" si="256"/>
        <v>32665383950</v>
      </c>
      <c r="R373" s="20">
        <v>0</v>
      </c>
      <c r="S373" s="12">
        <v>60</v>
      </c>
      <c r="T373" s="26" t="s">
        <v>537</v>
      </c>
      <c r="U373" s="26"/>
      <c r="V373" s="20"/>
      <c r="W373" s="20"/>
    </row>
    <row r="374" spans="1:23" ht="15.75" x14ac:dyDescent="0.25">
      <c r="A374" s="12">
        <v>40011</v>
      </c>
      <c r="B374" s="27" t="s">
        <v>539</v>
      </c>
      <c r="C374" s="1" t="s">
        <v>526</v>
      </c>
      <c r="D374" s="12">
        <v>11</v>
      </c>
      <c r="E374" s="12">
        <v>4</v>
      </c>
      <c r="F374" s="12">
        <v>11</v>
      </c>
      <c r="G374" s="20">
        <f t="shared" si="247"/>
        <v>50055</v>
      </c>
      <c r="H374" s="20">
        <f t="shared" si="245"/>
        <v>1</v>
      </c>
      <c r="I374" s="20">
        <f t="shared" ref="I374:Q374" si="257">I254</f>
        <v>2</v>
      </c>
      <c r="J374" s="20">
        <f t="shared" si="257"/>
        <v>4</v>
      </c>
      <c r="K374" s="20">
        <f t="shared" si="257"/>
        <v>12472805</v>
      </c>
      <c r="L374" s="20">
        <f t="shared" si="257"/>
        <v>12472805</v>
      </c>
      <c r="M374" s="20">
        <f t="shared" si="257"/>
        <v>12472805</v>
      </c>
      <c r="N374" s="20">
        <f t="shared" si="257"/>
        <v>0</v>
      </c>
      <c r="O374" s="20">
        <f t="shared" si="257"/>
        <v>0</v>
      </c>
      <c r="P374" s="20">
        <f t="shared" si="257"/>
        <v>0</v>
      </c>
      <c r="Q374" s="20">
        <f t="shared" si="257"/>
        <v>56612113850</v>
      </c>
      <c r="R374" s="20">
        <v>0</v>
      </c>
      <c r="S374" s="12">
        <v>60</v>
      </c>
      <c r="T374" s="26" t="s">
        <v>537</v>
      </c>
      <c r="U374" s="26"/>
      <c r="V374" s="20"/>
      <c r="W374" s="20"/>
    </row>
    <row r="375" spans="1:23" ht="15.75" x14ac:dyDescent="0.25">
      <c r="A375" s="12">
        <v>40012</v>
      </c>
      <c r="B375" s="27" t="s">
        <v>540</v>
      </c>
      <c r="C375" s="1" t="s">
        <v>526</v>
      </c>
      <c r="D375" s="12">
        <v>12</v>
      </c>
      <c r="E375" s="12">
        <v>4</v>
      </c>
      <c r="F375" s="12">
        <v>12</v>
      </c>
      <c r="G375" s="20">
        <f t="shared" si="247"/>
        <v>10045</v>
      </c>
      <c r="H375" s="20">
        <f t="shared" si="245"/>
        <v>3</v>
      </c>
      <c r="I375" s="20">
        <f t="shared" ref="I375:Q375" si="258">I255</f>
        <v>2</v>
      </c>
      <c r="J375" s="20">
        <f t="shared" si="258"/>
        <v>4</v>
      </c>
      <c r="K375" s="20">
        <f t="shared" si="258"/>
        <v>15756730</v>
      </c>
      <c r="L375" s="20">
        <f t="shared" si="258"/>
        <v>15756730</v>
      </c>
      <c r="M375" s="20">
        <f t="shared" si="258"/>
        <v>15756730</v>
      </c>
      <c r="N375" s="20">
        <f t="shared" si="258"/>
        <v>0</v>
      </c>
      <c r="O375" s="20">
        <f t="shared" si="258"/>
        <v>0</v>
      </c>
      <c r="P375" s="20">
        <f t="shared" si="258"/>
        <v>0</v>
      </c>
      <c r="Q375" s="20">
        <f t="shared" si="258"/>
        <v>90093679900</v>
      </c>
      <c r="R375" s="20">
        <v>0</v>
      </c>
      <c r="S375" s="12">
        <v>60</v>
      </c>
      <c r="T375" s="26" t="s">
        <v>537</v>
      </c>
      <c r="U375" s="26"/>
      <c r="V375" s="20"/>
      <c r="W375" s="20"/>
    </row>
    <row r="376" spans="1:23" ht="15.75" x14ac:dyDescent="0.25">
      <c r="A376" s="12">
        <v>40013</v>
      </c>
      <c r="B376" s="27" t="s">
        <v>541</v>
      </c>
      <c r="C376" s="1" t="s">
        <v>526</v>
      </c>
      <c r="D376" s="12">
        <v>13</v>
      </c>
      <c r="E376" s="12">
        <v>4</v>
      </c>
      <c r="F376" s="12">
        <v>13</v>
      </c>
      <c r="G376" s="20">
        <f t="shared" si="247"/>
        <v>10095</v>
      </c>
      <c r="H376" s="20">
        <f t="shared" si="245"/>
        <v>2</v>
      </c>
      <c r="I376" s="20">
        <f t="shared" ref="I376:Q376" si="259">I256</f>
        <v>2</v>
      </c>
      <c r="J376" s="20">
        <f t="shared" si="259"/>
        <v>4</v>
      </c>
      <c r="K376" s="20">
        <f t="shared" si="259"/>
        <v>19639855</v>
      </c>
      <c r="L376" s="20">
        <f t="shared" si="259"/>
        <v>19639855</v>
      </c>
      <c r="M376" s="20">
        <f t="shared" si="259"/>
        <v>19639855</v>
      </c>
      <c r="N376" s="20">
        <f t="shared" si="259"/>
        <v>0</v>
      </c>
      <c r="O376" s="20">
        <f t="shared" si="259"/>
        <v>0</v>
      </c>
      <c r="P376" s="20">
        <f t="shared" si="259"/>
        <v>0</v>
      </c>
      <c r="Q376" s="20">
        <f t="shared" si="259"/>
        <v>144102587600</v>
      </c>
      <c r="R376" s="20">
        <v>0</v>
      </c>
      <c r="S376" s="12">
        <v>60</v>
      </c>
      <c r="T376" s="26" t="s">
        <v>542</v>
      </c>
      <c r="U376" s="26"/>
      <c r="V376" s="20"/>
      <c r="W376" s="20"/>
    </row>
    <row r="377" spans="1:23" ht="15.75" x14ac:dyDescent="0.25">
      <c r="A377" s="12">
        <v>40014</v>
      </c>
      <c r="B377" s="27" t="s">
        <v>543</v>
      </c>
      <c r="C377" s="1" t="s">
        <v>526</v>
      </c>
      <c r="D377" s="12">
        <v>14</v>
      </c>
      <c r="E377" s="12">
        <v>4</v>
      </c>
      <c r="F377" s="12">
        <v>14</v>
      </c>
      <c r="G377" s="20">
        <f t="shared" si="247"/>
        <v>10145</v>
      </c>
      <c r="H377" s="20">
        <f t="shared" si="245"/>
        <v>1</v>
      </c>
      <c r="I377" s="20">
        <f t="shared" ref="I377:Q377" si="260">I257</f>
        <v>2</v>
      </c>
      <c r="J377" s="20">
        <f t="shared" si="260"/>
        <v>4</v>
      </c>
      <c r="K377" s="20">
        <f t="shared" si="260"/>
        <v>24205880</v>
      </c>
      <c r="L377" s="20">
        <f t="shared" si="260"/>
        <v>24205880</v>
      </c>
      <c r="M377" s="20">
        <f t="shared" si="260"/>
        <v>24205880</v>
      </c>
      <c r="N377" s="20">
        <f t="shared" si="260"/>
        <v>0</v>
      </c>
      <c r="O377" s="20">
        <f t="shared" si="260"/>
        <v>0</v>
      </c>
      <c r="P377" s="20">
        <f t="shared" si="260"/>
        <v>0</v>
      </c>
      <c r="Q377" s="20">
        <f t="shared" si="260"/>
        <v>220536880700</v>
      </c>
      <c r="R377" s="20">
        <v>0</v>
      </c>
      <c r="S377" s="12">
        <v>60</v>
      </c>
      <c r="T377" s="26" t="s">
        <v>542</v>
      </c>
      <c r="U377" s="26"/>
      <c r="V377" s="20"/>
      <c r="W377" s="20"/>
    </row>
    <row r="378" spans="1:23" ht="15.75" x14ac:dyDescent="0.25">
      <c r="A378" s="12">
        <v>40015</v>
      </c>
      <c r="B378" s="27" t="s">
        <v>544</v>
      </c>
      <c r="C378" s="1" t="s">
        <v>526</v>
      </c>
      <c r="D378" s="12">
        <v>15</v>
      </c>
      <c r="E378" s="12">
        <v>4</v>
      </c>
      <c r="F378" s="12">
        <v>15</v>
      </c>
      <c r="G378" s="20">
        <f t="shared" si="247"/>
        <v>10195</v>
      </c>
      <c r="H378" s="20">
        <f t="shared" si="245"/>
        <v>3</v>
      </c>
      <c r="I378" s="20">
        <f t="shared" ref="I378:Q378" si="261">I258</f>
        <v>2</v>
      </c>
      <c r="J378" s="20">
        <f t="shared" si="261"/>
        <v>4</v>
      </c>
      <c r="K378" s="20">
        <f t="shared" si="261"/>
        <v>31164265</v>
      </c>
      <c r="L378" s="20">
        <f t="shared" si="261"/>
        <v>31164265</v>
      </c>
      <c r="M378" s="20">
        <f t="shared" si="261"/>
        <v>31164265</v>
      </c>
      <c r="N378" s="20">
        <f t="shared" si="261"/>
        <v>0</v>
      </c>
      <c r="O378" s="20">
        <f t="shared" si="261"/>
        <v>0</v>
      </c>
      <c r="P378" s="20">
        <f t="shared" si="261"/>
        <v>0</v>
      </c>
      <c r="Q378" s="20">
        <f t="shared" si="261"/>
        <v>389457399875</v>
      </c>
      <c r="R378" s="20">
        <v>0</v>
      </c>
      <c r="S378" s="12">
        <v>60</v>
      </c>
      <c r="T378" s="26" t="s">
        <v>542</v>
      </c>
      <c r="U378" s="26"/>
      <c r="V378" s="20"/>
      <c r="W378" s="20"/>
    </row>
    <row r="379" spans="1:23" ht="15.75" x14ac:dyDescent="0.25">
      <c r="A379" s="12">
        <v>40016</v>
      </c>
      <c r="B379" s="27" t="s">
        <v>545</v>
      </c>
      <c r="C379" s="1" t="s">
        <v>526</v>
      </c>
      <c r="D379" s="12">
        <v>16</v>
      </c>
      <c r="E379" s="12">
        <v>4</v>
      </c>
      <c r="F379" s="12">
        <v>16</v>
      </c>
      <c r="G379" s="20">
        <f t="shared" si="247"/>
        <v>20045</v>
      </c>
      <c r="H379" s="20">
        <f t="shared" si="245"/>
        <v>2</v>
      </c>
      <c r="I379" s="20">
        <f t="shared" ref="I379:Q379" si="262">I259</f>
        <v>2</v>
      </c>
      <c r="J379" s="20">
        <f t="shared" si="262"/>
        <v>4</v>
      </c>
      <c r="K379" s="20">
        <f t="shared" si="262"/>
        <v>38620260</v>
      </c>
      <c r="L379" s="20">
        <f t="shared" si="262"/>
        <v>38620260</v>
      </c>
      <c r="M379" s="20">
        <f t="shared" si="262"/>
        <v>38620260</v>
      </c>
      <c r="N379" s="20">
        <f t="shared" si="262"/>
        <v>0</v>
      </c>
      <c r="O379" s="20">
        <f t="shared" si="262"/>
        <v>0</v>
      </c>
      <c r="P379" s="20">
        <f t="shared" si="262"/>
        <v>0</v>
      </c>
      <c r="Q379" s="20">
        <f t="shared" si="262"/>
        <v>654774441975</v>
      </c>
      <c r="R379" s="20">
        <v>0</v>
      </c>
      <c r="S379" s="12">
        <v>60</v>
      </c>
      <c r="T379" s="26" t="s">
        <v>542</v>
      </c>
      <c r="U379" s="26"/>
      <c r="V379" s="20"/>
      <c r="W379" s="20"/>
    </row>
    <row r="380" spans="1:23" ht="15.75" x14ac:dyDescent="0.25">
      <c r="A380" s="12">
        <v>40017</v>
      </c>
      <c r="B380" s="27" t="s">
        <v>546</v>
      </c>
      <c r="C380" s="1" t="s">
        <v>526</v>
      </c>
      <c r="D380" s="12">
        <v>17</v>
      </c>
      <c r="E380" s="12">
        <v>4</v>
      </c>
      <c r="F380" s="12">
        <v>17</v>
      </c>
      <c r="G380" s="20">
        <f t="shared" si="247"/>
        <v>20095</v>
      </c>
      <c r="H380" s="20">
        <f t="shared" si="245"/>
        <v>1</v>
      </c>
      <c r="I380" s="20">
        <f t="shared" ref="I380:Q380" si="263">I260</f>
        <v>2</v>
      </c>
      <c r="J380" s="20">
        <f t="shared" si="263"/>
        <v>4</v>
      </c>
      <c r="K380" s="20">
        <f t="shared" si="263"/>
        <v>166514100</v>
      </c>
      <c r="L380" s="20">
        <f t="shared" si="263"/>
        <v>166514100</v>
      </c>
      <c r="M380" s="20">
        <f t="shared" si="263"/>
        <v>166514100</v>
      </c>
      <c r="N380" s="20">
        <f t="shared" si="263"/>
        <v>0</v>
      </c>
      <c r="O380" s="20">
        <f t="shared" si="263"/>
        <v>0</v>
      </c>
      <c r="P380" s="20">
        <f t="shared" si="263"/>
        <v>0</v>
      </c>
      <c r="Q380" s="20">
        <f t="shared" si="263"/>
        <v>57958370565525</v>
      </c>
      <c r="R380" s="20">
        <v>0</v>
      </c>
      <c r="S380" s="12">
        <v>60</v>
      </c>
      <c r="T380" s="26" t="s">
        <v>547</v>
      </c>
      <c r="U380" s="26"/>
      <c r="V380" s="20"/>
      <c r="W380" s="20"/>
    </row>
    <row r="381" spans="1:23" ht="15.75" x14ac:dyDescent="0.25">
      <c r="A381" s="12">
        <v>40018</v>
      </c>
      <c r="B381" s="27" t="s">
        <v>548</v>
      </c>
      <c r="C381" s="1" t="s">
        <v>526</v>
      </c>
      <c r="D381" s="12">
        <v>18</v>
      </c>
      <c r="E381" s="12">
        <v>4</v>
      </c>
      <c r="F381" s="12">
        <v>18</v>
      </c>
      <c r="G381" s="20">
        <f t="shared" si="247"/>
        <v>20145</v>
      </c>
      <c r="H381" s="20">
        <f t="shared" si="245"/>
        <v>3</v>
      </c>
      <c r="I381" s="20">
        <f t="shared" ref="I381:Q381" si="264">I261</f>
        <v>2</v>
      </c>
      <c r="J381" s="20">
        <f t="shared" si="264"/>
        <v>4</v>
      </c>
      <c r="K381" s="20">
        <f t="shared" si="264"/>
        <v>200401195</v>
      </c>
      <c r="L381" s="20">
        <f t="shared" si="264"/>
        <v>200401195</v>
      </c>
      <c r="M381" s="20">
        <f t="shared" si="264"/>
        <v>200401195</v>
      </c>
      <c r="N381" s="20">
        <f t="shared" si="264"/>
        <v>0</v>
      </c>
      <c r="O381" s="20">
        <f t="shared" si="264"/>
        <v>0</v>
      </c>
      <c r="P381" s="20">
        <f t="shared" si="264"/>
        <v>0</v>
      </c>
      <c r="Q381" s="20">
        <f t="shared" si="264"/>
        <v>86635109542075</v>
      </c>
      <c r="R381" s="20">
        <v>0</v>
      </c>
      <c r="S381" s="12">
        <v>60</v>
      </c>
      <c r="T381" s="26" t="s">
        <v>547</v>
      </c>
      <c r="U381" s="26"/>
      <c r="V381" s="20"/>
      <c r="W381" s="20"/>
    </row>
    <row r="382" spans="1:23" ht="15.75" x14ac:dyDescent="0.25">
      <c r="A382" s="12">
        <v>40019</v>
      </c>
      <c r="B382" s="27" t="s">
        <v>549</v>
      </c>
      <c r="C382" s="1" t="s">
        <v>526</v>
      </c>
      <c r="D382" s="12">
        <v>19</v>
      </c>
      <c r="E382" s="12">
        <v>4</v>
      </c>
      <c r="F382" s="12">
        <v>19</v>
      </c>
      <c r="G382" s="20">
        <f t="shared" si="247"/>
        <v>20195</v>
      </c>
      <c r="H382" s="20">
        <f t="shared" si="245"/>
        <v>2</v>
      </c>
      <c r="I382" s="20">
        <f t="shared" ref="I382:Q382" si="265">I262</f>
        <v>2</v>
      </c>
      <c r="J382" s="20">
        <f t="shared" si="265"/>
        <v>4</v>
      </c>
      <c r="K382" s="20">
        <f t="shared" si="265"/>
        <v>253221165</v>
      </c>
      <c r="L382" s="20">
        <f t="shared" si="265"/>
        <v>253221165</v>
      </c>
      <c r="M382" s="20">
        <f t="shared" si="265"/>
        <v>253221165</v>
      </c>
      <c r="N382" s="20">
        <f t="shared" si="265"/>
        <v>0</v>
      </c>
      <c r="O382" s="20">
        <f t="shared" si="265"/>
        <v>0</v>
      </c>
      <c r="P382" s="20">
        <f t="shared" si="265"/>
        <v>0</v>
      </c>
      <c r="Q382" s="20">
        <f t="shared" si="265"/>
        <v>152037195553375</v>
      </c>
      <c r="R382" s="20">
        <v>0</v>
      </c>
      <c r="S382" s="12">
        <v>60</v>
      </c>
      <c r="T382" s="26" t="s">
        <v>547</v>
      </c>
      <c r="U382" s="26"/>
      <c r="V382" s="20"/>
      <c r="W382" s="20"/>
    </row>
    <row r="383" spans="1:23" ht="15.75" x14ac:dyDescent="0.25">
      <c r="A383" s="12">
        <v>40020</v>
      </c>
      <c r="B383" s="27" t="s">
        <v>550</v>
      </c>
      <c r="C383" s="1" t="s">
        <v>526</v>
      </c>
      <c r="D383" s="12">
        <v>20</v>
      </c>
      <c r="E383" s="12">
        <v>4</v>
      </c>
      <c r="F383" s="12">
        <v>20</v>
      </c>
      <c r="G383" s="20">
        <f t="shared" si="247"/>
        <v>30045</v>
      </c>
      <c r="H383" s="20">
        <f t="shared" si="245"/>
        <v>1</v>
      </c>
      <c r="I383" s="20">
        <f t="shared" ref="I383:Q383" si="266">I263</f>
        <v>2</v>
      </c>
      <c r="J383" s="20">
        <f t="shared" si="266"/>
        <v>4</v>
      </c>
      <c r="K383" s="20">
        <f t="shared" si="266"/>
        <v>300735140</v>
      </c>
      <c r="L383" s="20">
        <f t="shared" si="266"/>
        <v>300735140</v>
      </c>
      <c r="M383" s="20">
        <f t="shared" si="266"/>
        <v>300735140</v>
      </c>
      <c r="N383" s="20">
        <f t="shared" si="266"/>
        <v>0</v>
      </c>
      <c r="O383" s="20">
        <f t="shared" si="266"/>
        <v>0</v>
      </c>
      <c r="P383" s="20">
        <f t="shared" si="266"/>
        <v>0</v>
      </c>
      <c r="Q383" s="20">
        <f t="shared" si="266"/>
        <v>226843648238075</v>
      </c>
      <c r="R383" s="20">
        <v>0</v>
      </c>
      <c r="S383" s="12">
        <v>60</v>
      </c>
      <c r="T383" s="26" t="s">
        <v>547</v>
      </c>
      <c r="U383" s="26"/>
      <c r="V383" s="20"/>
      <c r="W383" s="20"/>
    </row>
    <row r="384" spans="1:23" ht="15.75" x14ac:dyDescent="0.25">
      <c r="A384" s="12">
        <v>40021</v>
      </c>
      <c r="B384" s="27" t="s">
        <v>551</v>
      </c>
      <c r="C384" s="1" t="s">
        <v>526</v>
      </c>
      <c r="D384" s="12">
        <v>21</v>
      </c>
      <c r="E384" s="12">
        <v>4</v>
      </c>
      <c r="F384" s="12">
        <v>21</v>
      </c>
      <c r="G384" s="20">
        <f t="shared" si="247"/>
        <v>30095</v>
      </c>
      <c r="H384" s="20">
        <f t="shared" si="245"/>
        <v>3</v>
      </c>
      <c r="I384" s="20">
        <f t="shared" ref="I384:Q384" si="267">I264</f>
        <v>2</v>
      </c>
      <c r="J384" s="20">
        <f t="shared" si="267"/>
        <v>4</v>
      </c>
      <c r="K384" s="20">
        <f t="shared" si="267"/>
        <v>391089655</v>
      </c>
      <c r="L384" s="20">
        <f t="shared" si="267"/>
        <v>391089655</v>
      </c>
      <c r="M384" s="20">
        <f t="shared" si="267"/>
        <v>391089655</v>
      </c>
      <c r="N384" s="20">
        <f t="shared" si="267"/>
        <v>0</v>
      </c>
      <c r="O384" s="20">
        <f t="shared" si="267"/>
        <v>0</v>
      </c>
      <c r="P384" s="20">
        <f t="shared" si="267"/>
        <v>0</v>
      </c>
      <c r="Q384" s="20">
        <f t="shared" si="267"/>
        <v>618514479172800</v>
      </c>
      <c r="R384" s="20">
        <v>0</v>
      </c>
      <c r="S384" s="12">
        <v>60</v>
      </c>
      <c r="T384" s="26" t="s">
        <v>552</v>
      </c>
      <c r="U384" s="26"/>
      <c r="V384" s="20"/>
      <c r="W384" s="20"/>
    </row>
    <row r="385" spans="1:23" ht="15.75" x14ac:dyDescent="0.25">
      <c r="A385" s="12">
        <v>40022</v>
      </c>
      <c r="B385" s="27" t="s">
        <v>553</v>
      </c>
      <c r="C385" s="1" t="s">
        <v>526</v>
      </c>
      <c r="D385" s="12">
        <v>22</v>
      </c>
      <c r="E385" s="12">
        <v>4</v>
      </c>
      <c r="F385" s="12">
        <v>22</v>
      </c>
      <c r="G385" s="20">
        <f t="shared" si="247"/>
        <v>30145</v>
      </c>
      <c r="H385" s="20">
        <f t="shared" si="245"/>
        <v>2</v>
      </c>
      <c r="I385" s="20">
        <f t="shared" ref="I385:Q385" si="268">I265</f>
        <v>2</v>
      </c>
      <c r="J385" s="20">
        <f t="shared" si="268"/>
        <v>4</v>
      </c>
      <c r="K385" s="20">
        <f t="shared" si="268"/>
        <v>451518515</v>
      </c>
      <c r="L385" s="20">
        <f t="shared" si="268"/>
        <v>451518515</v>
      </c>
      <c r="M385" s="20">
        <f t="shared" si="268"/>
        <v>451518515</v>
      </c>
      <c r="N385" s="20">
        <f t="shared" si="268"/>
        <v>0</v>
      </c>
      <c r="O385" s="20">
        <f t="shared" si="268"/>
        <v>0</v>
      </c>
      <c r="P385" s="20">
        <f t="shared" si="268"/>
        <v>0</v>
      </c>
      <c r="Q385" s="20">
        <f t="shared" si="268"/>
        <v>815227301527675</v>
      </c>
      <c r="R385" s="20">
        <v>0</v>
      </c>
      <c r="S385" s="12">
        <v>60</v>
      </c>
      <c r="T385" s="26" t="s">
        <v>552</v>
      </c>
      <c r="U385" s="26"/>
      <c r="V385" s="20"/>
      <c r="W385" s="20"/>
    </row>
    <row r="386" spans="1:23" ht="15.75" x14ac:dyDescent="0.25">
      <c r="A386" s="12">
        <v>40023</v>
      </c>
      <c r="B386" s="27" t="s">
        <v>554</v>
      </c>
      <c r="C386" s="1" t="s">
        <v>526</v>
      </c>
      <c r="D386" s="12">
        <v>23</v>
      </c>
      <c r="E386" s="12">
        <v>4</v>
      </c>
      <c r="F386" s="12">
        <v>23</v>
      </c>
      <c r="G386" s="20">
        <f t="shared" si="247"/>
        <v>30195</v>
      </c>
      <c r="H386" s="20">
        <f t="shared" si="245"/>
        <v>1</v>
      </c>
      <c r="I386" s="20">
        <f t="shared" ref="I386:Q386" si="269">I266</f>
        <v>2</v>
      </c>
      <c r="J386" s="20">
        <f t="shared" si="269"/>
        <v>4</v>
      </c>
      <c r="K386" s="20">
        <f t="shared" si="269"/>
        <v>545358950</v>
      </c>
      <c r="L386" s="20">
        <f t="shared" si="269"/>
        <v>545358950</v>
      </c>
      <c r="M386" s="20">
        <f t="shared" si="269"/>
        <v>545358950</v>
      </c>
      <c r="N386" s="20">
        <f t="shared" si="269"/>
        <v>0</v>
      </c>
      <c r="O386" s="20">
        <f t="shared" si="269"/>
        <v>0</v>
      </c>
      <c r="P386" s="20">
        <f t="shared" si="269"/>
        <v>0</v>
      </c>
      <c r="Q386" s="20">
        <f t="shared" si="269"/>
        <v>1190168929539300</v>
      </c>
      <c r="R386" s="20">
        <v>0</v>
      </c>
      <c r="S386" s="12">
        <v>60</v>
      </c>
      <c r="T386" s="26" t="s">
        <v>552</v>
      </c>
      <c r="U386" s="26"/>
      <c r="V386" s="20"/>
      <c r="W386" s="20"/>
    </row>
    <row r="387" spans="1:23" ht="15.75" x14ac:dyDescent="0.25">
      <c r="A387" s="12">
        <v>40024</v>
      </c>
      <c r="B387" s="27" t="s">
        <v>555</v>
      </c>
      <c r="C387" s="1" t="s">
        <v>526</v>
      </c>
      <c r="D387" s="12">
        <v>24</v>
      </c>
      <c r="E387" s="12">
        <v>4</v>
      </c>
      <c r="F387" s="12">
        <v>24</v>
      </c>
      <c r="G387" s="20">
        <f t="shared" si="247"/>
        <v>40045</v>
      </c>
      <c r="H387" s="20">
        <f t="shared" si="245"/>
        <v>3</v>
      </c>
      <c r="I387" s="20">
        <f t="shared" ref="I387:Q387" si="270">I267</f>
        <v>2</v>
      </c>
      <c r="J387" s="20">
        <f t="shared" si="270"/>
        <v>4</v>
      </c>
      <c r="K387" s="20">
        <f t="shared" si="270"/>
        <v>624877470</v>
      </c>
      <c r="L387" s="20">
        <f t="shared" si="270"/>
        <v>624877470</v>
      </c>
      <c r="M387" s="20">
        <f t="shared" si="270"/>
        <v>624877470</v>
      </c>
      <c r="N387" s="20">
        <f t="shared" si="270"/>
        <v>0</v>
      </c>
      <c r="O387" s="20">
        <f t="shared" si="270"/>
        <v>0</v>
      </c>
      <c r="P387" s="20">
        <f t="shared" si="270"/>
        <v>0</v>
      </c>
      <c r="Q387" s="20">
        <f t="shared" si="270"/>
        <v>1561202533964850</v>
      </c>
      <c r="R387" s="20">
        <v>0</v>
      </c>
      <c r="S387" s="12">
        <v>60</v>
      </c>
      <c r="T387" s="26" t="s">
        <v>552</v>
      </c>
      <c r="U387" s="26"/>
      <c r="V387" s="20"/>
      <c r="W387" s="20"/>
    </row>
    <row r="388" spans="1:23" ht="15.75" x14ac:dyDescent="0.25">
      <c r="A388" s="12">
        <v>40025</v>
      </c>
      <c r="B388" s="27" t="s">
        <v>556</v>
      </c>
      <c r="C388" s="1" t="s">
        <v>526</v>
      </c>
      <c r="D388" s="12">
        <v>25</v>
      </c>
      <c r="E388" s="12">
        <v>4</v>
      </c>
      <c r="F388" s="12">
        <v>25</v>
      </c>
      <c r="G388" s="20">
        <f t="shared" si="247"/>
        <v>40095</v>
      </c>
      <c r="H388" s="20">
        <f t="shared" si="245"/>
        <v>2</v>
      </c>
      <c r="I388" s="20">
        <f t="shared" ref="I388:Q388" si="271">I268</f>
        <v>2</v>
      </c>
      <c r="J388" s="20">
        <f t="shared" si="271"/>
        <v>4</v>
      </c>
      <c r="K388" s="20">
        <f t="shared" si="271"/>
        <v>1169283855</v>
      </c>
      <c r="L388" s="20">
        <f t="shared" si="271"/>
        <v>1169283855</v>
      </c>
      <c r="M388" s="20">
        <f t="shared" si="271"/>
        <v>1169283855</v>
      </c>
      <c r="N388" s="20">
        <f t="shared" si="271"/>
        <v>0</v>
      </c>
      <c r="O388" s="20">
        <f t="shared" si="271"/>
        <v>0</v>
      </c>
      <c r="P388" s="20">
        <f t="shared" si="271"/>
        <v>0</v>
      </c>
      <c r="Q388" s="20">
        <f t="shared" si="271"/>
        <v>6571493659479170</v>
      </c>
      <c r="R388" s="20">
        <v>0</v>
      </c>
      <c r="S388" s="12">
        <v>60</v>
      </c>
      <c r="T388" s="26" t="s">
        <v>557</v>
      </c>
      <c r="U388" s="26"/>
      <c r="V388" s="20"/>
      <c r="W388" s="20"/>
    </row>
    <row r="389" spans="1:23" ht="15.75" x14ac:dyDescent="0.25">
      <c r="A389" s="12">
        <v>40026</v>
      </c>
      <c r="B389" s="27" t="s">
        <v>558</v>
      </c>
      <c r="C389" s="1" t="s">
        <v>526</v>
      </c>
      <c r="D389" s="12">
        <v>26</v>
      </c>
      <c r="E389" s="12">
        <v>4</v>
      </c>
      <c r="F389" s="12">
        <v>26</v>
      </c>
      <c r="G389" s="20">
        <f t="shared" si="247"/>
        <v>40145</v>
      </c>
      <c r="H389" s="20">
        <f t="shared" si="245"/>
        <v>1</v>
      </c>
      <c r="I389" s="20">
        <f t="shared" ref="I389:Q389" si="272">I269</f>
        <v>2</v>
      </c>
      <c r="J389" s="20">
        <f t="shared" si="272"/>
        <v>4</v>
      </c>
      <c r="K389" s="20">
        <f t="shared" si="272"/>
        <v>1353713560</v>
      </c>
      <c r="L389" s="20">
        <f t="shared" si="272"/>
        <v>1353713560</v>
      </c>
      <c r="M389" s="20">
        <f t="shared" si="272"/>
        <v>1353713560</v>
      </c>
      <c r="N389" s="20">
        <f t="shared" si="272"/>
        <v>0</v>
      </c>
      <c r="O389" s="20">
        <f t="shared" si="272"/>
        <v>0</v>
      </c>
      <c r="P389" s="20">
        <f t="shared" si="272"/>
        <v>0</v>
      </c>
      <c r="Q389" s="20">
        <f t="shared" si="272"/>
        <v>8625060463698750</v>
      </c>
      <c r="R389" s="20">
        <v>0</v>
      </c>
      <c r="S389" s="12">
        <v>60</v>
      </c>
      <c r="T389" s="26" t="s">
        <v>557</v>
      </c>
      <c r="U389" s="26"/>
      <c r="V389" s="20"/>
      <c r="W389" s="20"/>
    </row>
    <row r="390" spans="1:23" ht="15.75" x14ac:dyDescent="0.25">
      <c r="A390" s="12">
        <v>40027</v>
      </c>
      <c r="B390" s="27" t="s">
        <v>559</v>
      </c>
      <c r="C390" s="1" t="s">
        <v>526</v>
      </c>
      <c r="D390" s="12">
        <v>27</v>
      </c>
      <c r="E390" s="12">
        <v>4</v>
      </c>
      <c r="F390" s="12">
        <v>27</v>
      </c>
      <c r="G390" s="20">
        <f t="shared" si="247"/>
        <v>40195</v>
      </c>
      <c r="H390" s="20">
        <f t="shared" si="245"/>
        <v>3</v>
      </c>
      <c r="I390" s="20">
        <f t="shared" ref="I390:Q390" si="273">I270</f>
        <v>2</v>
      </c>
      <c r="J390" s="20">
        <f t="shared" si="273"/>
        <v>4</v>
      </c>
      <c r="K390" s="20">
        <f t="shared" si="273"/>
        <v>1609474560</v>
      </c>
      <c r="L390" s="20">
        <f t="shared" si="273"/>
        <v>1609474560</v>
      </c>
      <c r="M390" s="20">
        <f t="shared" si="273"/>
        <v>1609474560</v>
      </c>
      <c r="N390" s="20">
        <f t="shared" si="273"/>
        <v>0</v>
      </c>
      <c r="O390" s="20">
        <f t="shared" si="273"/>
        <v>0</v>
      </c>
      <c r="P390" s="20">
        <f t="shared" si="273"/>
        <v>0</v>
      </c>
      <c r="Q390" s="20">
        <f t="shared" si="273"/>
        <v>1.21748365012717E+16</v>
      </c>
      <c r="R390" s="20">
        <v>0</v>
      </c>
      <c r="S390" s="12">
        <v>60</v>
      </c>
      <c r="T390" s="26" t="s">
        <v>557</v>
      </c>
      <c r="U390" s="26"/>
      <c r="V390" s="20"/>
      <c r="W390" s="20"/>
    </row>
    <row r="391" spans="1:23" ht="15.75" x14ac:dyDescent="0.25">
      <c r="A391" s="12">
        <v>40028</v>
      </c>
      <c r="B391" s="27" t="s">
        <v>560</v>
      </c>
      <c r="C391" s="1" t="s">
        <v>526</v>
      </c>
      <c r="D391" s="12">
        <v>28</v>
      </c>
      <c r="E391" s="12">
        <v>4</v>
      </c>
      <c r="F391" s="12">
        <v>28</v>
      </c>
      <c r="G391" s="20">
        <f t="shared" si="247"/>
        <v>50045</v>
      </c>
      <c r="H391" s="20">
        <f t="shared" si="245"/>
        <v>2</v>
      </c>
      <c r="I391" s="20">
        <f t="shared" ref="I391:Q391" si="274">I271</f>
        <v>2</v>
      </c>
      <c r="J391" s="20">
        <f t="shared" si="274"/>
        <v>4</v>
      </c>
      <c r="K391" s="20">
        <f t="shared" si="274"/>
        <v>1846695020</v>
      </c>
      <c r="L391" s="20">
        <f t="shared" si="274"/>
        <v>1846695020</v>
      </c>
      <c r="M391" s="20">
        <f t="shared" si="274"/>
        <v>1846695020</v>
      </c>
      <c r="N391" s="20">
        <f t="shared" si="274"/>
        <v>0</v>
      </c>
      <c r="O391" s="20">
        <f t="shared" si="274"/>
        <v>0</v>
      </c>
      <c r="P391" s="20">
        <f t="shared" si="274"/>
        <v>0</v>
      </c>
      <c r="Q391" s="20">
        <f t="shared" si="274"/>
        <v>1.59251562944154E+16</v>
      </c>
      <c r="R391" s="20">
        <v>0</v>
      </c>
      <c r="S391" s="12">
        <v>60</v>
      </c>
      <c r="T391" s="26" t="s">
        <v>557</v>
      </c>
      <c r="U391" s="26"/>
      <c r="V391" s="20"/>
      <c r="W391" s="20"/>
    </row>
    <row r="392" spans="1:23" ht="15.75" x14ac:dyDescent="0.25">
      <c r="A392" s="12">
        <v>40029</v>
      </c>
      <c r="B392" s="27" t="s">
        <v>561</v>
      </c>
      <c r="C392" s="1" t="s">
        <v>526</v>
      </c>
      <c r="D392" s="12">
        <v>29</v>
      </c>
      <c r="E392" s="12">
        <v>4</v>
      </c>
      <c r="F392" s="12">
        <v>29</v>
      </c>
      <c r="G392" s="20">
        <f t="shared" si="247"/>
        <v>10035</v>
      </c>
      <c r="H392" s="20">
        <f t="shared" si="245"/>
        <v>1</v>
      </c>
      <c r="I392" s="20">
        <f t="shared" ref="I392:Q392" si="275">I272</f>
        <v>2</v>
      </c>
      <c r="J392" s="20">
        <f t="shared" si="275"/>
        <v>4</v>
      </c>
      <c r="K392" s="20">
        <f t="shared" si="275"/>
        <v>2355403275</v>
      </c>
      <c r="L392" s="20">
        <f t="shared" si="275"/>
        <v>2355403275</v>
      </c>
      <c r="M392" s="20">
        <f t="shared" si="275"/>
        <v>2355403275</v>
      </c>
      <c r="N392" s="20">
        <f t="shared" si="275"/>
        <v>0</v>
      </c>
      <c r="O392" s="20">
        <f t="shared" si="275"/>
        <v>0</v>
      </c>
      <c r="P392" s="20">
        <f t="shared" si="275"/>
        <v>0</v>
      </c>
      <c r="Q392" s="20">
        <f t="shared" si="275"/>
        <v>5.42932995511708E+16</v>
      </c>
      <c r="R392" s="20">
        <v>0</v>
      </c>
      <c r="S392" s="12">
        <v>60</v>
      </c>
      <c r="T392" s="26" t="s">
        <v>562</v>
      </c>
      <c r="U392" s="26"/>
      <c r="V392" s="20"/>
      <c r="W392" s="20"/>
    </row>
    <row r="393" spans="1:23" ht="15.75" x14ac:dyDescent="0.25">
      <c r="A393" s="12">
        <v>40030</v>
      </c>
      <c r="B393" s="27" t="s">
        <v>563</v>
      </c>
      <c r="C393" s="1" t="s">
        <v>526</v>
      </c>
      <c r="D393" s="12">
        <v>30</v>
      </c>
      <c r="E393" s="12">
        <v>4</v>
      </c>
      <c r="F393" s="12">
        <v>30</v>
      </c>
      <c r="G393" s="20">
        <f t="shared" si="247"/>
        <v>10085</v>
      </c>
      <c r="H393" s="20">
        <f t="shared" si="245"/>
        <v>3</v>
      </c>
      <c r="I393" s="20">
        <f t="shared" ref="I393:Q393" si="276">I273</f>
        <v>2</v>
      </c>
      <c r="J393" s="20">
        <f t="shared" si="276"/>
        <v>4</v>
      </c>
      <c r="K393" s="20">
        <f t="shared" si="276"/>
        <v>2877535435</v>
      </c>
      <c r="L393" s="20">
        <f t="shared" si="276"/>
        <v>2877535435</v>
      </c>
      <c r="M393" s="20">
        <f t="shared" si="276"/>
        <v>2877535435</v>
      </c>
      <c r="N393" s="20">
        <f t="shared" si="276"/>
        <v>0</v>
      </c>
      <c r="O393" s="20">
        <f t="shared" si="276"/>
        <v>0</v>
      </c>
      <c r="P393" s="20">
        <f t="shared" si="276"/>
        <v>0</v>
      </c>
      <c r="Q393" s="20">
        <f t="shared" si="276"/>
        <v>8.4981450803142496E+16</v>
      </c>
      <c r="R393" s="20">
        <v>0</v>
      </c>
      <c r="S393" s="12">
        <v>60</v>
      </c>
      <c r="T393" s="26" t="s">
        <v>562</v>
      </c>
      <c r="U393" s="26"/>
      <c r="V393" s="20"/>
      <c r="W393" s="20"/>
    </row>
    <row r="394" spans="1:23" ht="15.75" x14ac:dyDescent="0.25">
      <c r="A394" s="12">
        <v>40031</v>
      </c>
      <c r="B394" s="27" t="s">
        <v>564</v>
      </c>
      <c r="C394" s="1" t="s">
        <v>526</v>
      </c>
      <c r="D394" s="12">
        <v>31</v>
      </c>
      <c r="E394" s="12">
        <v>4</v>
      </c>
      <c r="F394" s="12">
        <v>31</v>
      </c>
      <c r="G394" s="20">
        <f t="shared" si="247"/>
        <v>10135</v>
      </c>
      <c r="H394" s="20">
        <f t="shared" si="245"/>
        <v>2</v>
      </c>
      <c r="I394" s="20">
        <f t="shared" ref="I394:Q394" si="277">I274</f>
        <v>2</v>
      </c>
      <c r="J394" s="20">
        <f t="shared" si="277"/>
        <v>4</v>
      </c>
      <c r="K394" s="20">
        <f t="shared" si="277"/>
        <v>3471246540</v>
      </c>
      <c r="L394" s="20">
        <f t="shared" si="277"/>
        <v>3471246540</v>
      </c>
      <c r="M394" s="20">
        <f t="shared" si="277"/>
        <v>3471246540</v>
      </c>
      <c r="N394" s="20">
        <f t="shared" si="277"/>
        <v>0</v>
      </c>
      <c r="O394" s="20">
        <f t="shared" si="277"/>
        <v>0</v>
      </c>
      <c r="P394" s="20">
        <f t="shared" si="277"/>
        <v>0</v>
      </c>
      <c r="Q394" s="20">
        <f t="shared" si="277"/>
        <v>1.2804243823414E+17</v>
      </c>
      <c r="R394" s="20">
        <v>0</v>
      </c>
      <c r="S394" s="12">
        <v>60</v>
      </c>
      <c r="T394" s="26" t="s">
        <v>562</v>
      </c>
      <c r="U394" s="26"/>
      <c r="V394" s="20"/>
      <c r="W394" s="20"/>
    </row>
    <row r="395" spans="1:23" ht="15.75" x14ac:dyDescent="0.25">
      <c r="A395" s="12">
        <v>40032</v>
      </c>
      <c r="B395" s="27" t="s">
        <v>565</v>
      </c>
      <c r="C395" s="1" t="s">
        <v>526</v>
      </c>
      <c r="D395" s="12">
        <v>32</v>
      </c>
      <c r="E395" s="12">
        <v>4</v>
      </c>
      <c r="F395" s="12">
        <v>32</v>
      </c>
      <c r="G395" s="20">
        <f t="shared" si="247"/>
        <v>10185</v>
      </c>
      <c r="H395" s="20">
        <f t="shared" si="245"/>
        <v>1</v>
      </c>
      <c r="I395" s="20">
        <f t="shared" ref="I395:Q395" si="278">I275</f>
        <v>2</v>
      </c>
      <c r="J395" s="20">
        <f t="shared" si="278"/>
        <v>4</v>
      </c>
      <c r="K395" s="20">
        <f t="shared" si="278"/>
        <v>4070616465</v>
      </c>
      <c r="L395" s="20">
        <f t="shared" si="278"/>
        <v>4070616465</v>
      </c>
      <c r="M395" s="20">
        <f t="shared" si="278"/>
        <v>4070616465</v>
      </c>
      <c r="N395" s="20">
        <f t="shared" si="278"/>
        <v>0</v>
      </c>
      <c r="O395" s="20">
        <f t="shared" si="278"/>
        <v>0</v>
      </c>
      <c r="P395" s="20">
        <f t="shared" si="278"/>
        <v>0</v>
      </c>
      <c r="Q395" s="20">
        <f t="shared" si="278"/>
        <v>1.8553532413018202E+17</v>
      </c>
      <c r="R395" s="20">
        <v>0</v>
      </c>
      <c r="S395" s="12">
        <v>60</v>
      </c>
      <c r="T395" s="26" t="s">
        <v>562</v>
      </c>
      <c r="U395" s="26"/>
      <c r="V395" s="20"/>
      <c r="W395" s="20"/>
    </row>
    <row r="396" spans="1:23" ht="15.75" x14ac:dyDescent="0.25">
      <c r="A396" s="12">
        <v>40033</v>
      </c>
      <c r="B396" s="27" t="s">
        <v>566</v>
      </c>
      <c r="C396" s="1" t="s">
        <v>526</v>
      </c>
      <c r="D396" s="12">
        <v>33</v>
      </c>
      <c r="E396" s="12">
        <v>4</v>
      </c>
      <c r="F396" s="12">
        <v>33</v>
      </c>
      <c r="G396" s="20">
        <f t="shared" si="247"/>
        <v>20035</v>
      </c>
      <c r="H396" s="20">
        <f t="shared" si="245"/>
        <v>3</v>
      </c>
      <c r="I396" s="20">
        <f t="shared" ref="I396:Q396" si="279">I276</f>
        <v>2</v>
      </c>
      <c r="J396" s="20">
        <f t="shared" si="279"/>
        <v>4</v>
      </c>
      <c r="K396" s="20">
        <f t="shared" si="279"/>
        <v>4947931560</v>
      </c>
      <c r="L396" s="20">
        <f t="shared" si="279"/>
        <v>4947931560</v>
      </c>
      <c r="M396" s="20">
        <f t="shared" si="279"/>
        <v>4947931560</v>
      </c>
      <c r="N396" s="20">
        <f t="shared" si="279"/>
        <v>0</v>
      </c>
      <c r="O396" s="20">
        <f t="shared" si="279"/>
        <v>0</v>
      </c>
      <c r="P396" s="20">
        <f t="shared" si="279"/>
        <v>0</v>
      </c>
      <c r="Q396" s="20">
        <f t="shared" si="279"/>
        <v>3.2261314513479002E+17</v>
      </c>
      <c r="R396" s="20">
        <v>0</v>
      </c>
      <c r="S396" s="12">
        <v>60</v>
      </c>
      <c r="T396" s="26" t="s">
        <v>567</v>
      </c>
      <c r="U396" s="26"/>
      <c r="V396" s="20"/>
      <c r="W396" s="20"/>
    </row>
    <row r="397" spans="1:23" ht="15.75" x14ac:dyDescent="0.25">
      <c r="A397" s="12">
        <v>40034</v>
      </c>
      <c r="B397" s="27" t="s">
        <v>568</v>
      </c>
      <c r="C397" s="1" t="s">
        <v>526</v>
      </c>
      <c r="D397" s="12">
        <v>34</v>
      </c>
      <c r="E397" s="12">
        <v>4</v>
      </c>
      <c r="F397" s="12">
        <v>34</v>
      </c>
      <c r="G397" s="20">
        <f t="shared" si="247"/>
        <v>20085</v>
      </c>
      <c r="H397" s="20">
        <f t="shared" si="245"/>
        <v>2</v>
      </c>
      <c r="I397" s="20">
        <f t="shared" ref="I397:Q397" si="280">I277</f>
        <v>2</v>
      </c>
      <c r="J397" s="20">
        <f t="shared" si="280"/>
        <v>4</v>
      </c>
      <c r="K397" s="20">
        <f t="shared" si="280"/>
        <v>5657919940</v>
      </c>
      <c r="L397" s="20">
        <f t="shared" si="280"/>
        <v>5657919940</v>
      </c>
      <c r="M397" s="20">
        <f t="shared" si="280"/>
        <v>5657919940</v>
      </c>
      <c r="N397" s="20">
        <f t="shared" si="280"/>
        <v>0</v>
      </c>
      <c r="O397" s="20">
        <f t="shared" si="280"/>
        <v>0</v>
      </c>
      <c r="P397" s="20">
        <f t="shared" si="280"/>
        <v>0</v>
      </c>
      <c r="Q397" s="20">
        <f t="shared" si="280"/>
        <v>4.2750877848275501E+17</v>
      </c>
      <c r="R397" s="20">
        <v>0</v>
      </c>
      <c r="S397" s="12">
        <v>60</v>
      </c>
      <c r="T397" s="26" t="s">
        <v>567</v>
      </c>
      <c r="U397" s="26"/>
      <c r="V397" s="20"/>
      <c r="W397" s="20"/>
    </row>
    <row r="398" spans="1:23" ht="15.75" x14ac:dyDescent="0.25">
      <c r="A398" s="12">
        <v>40035</v>
      </c>
      <c r="B398" s="27" t="s">
        <v>569</v>
      </c>
      <c r="C398" s="1" t="s">
        <v>526</v>
      </c>
      <c r="D398" s="12">
        <v>35</v>
      </c>
      <c r="E398" s="12">
        <v>4</v>
      </c>
      <c r="F398" s="12">
        <v>35</v>
      </c>
      <c r="G398" s="20">
        <f t="shared" si="247"/>
        <v>20135</v>
      </c>
      <c r="H398" s="20">
        <f t="shared" si="245"/>
        <v>1</v>
      </c>
      <c r="I398" s="20">
        <f t="shared" ref="I398:Q398" si="281">I278</f>
        <v>2</v>
      </c>
      <c r="J398" s="20">
        <f t="shared" si="281"/>
        <v>4</v>
      </c>
      <c r="K398" s="20">
        <f t="shared" si="281"/>
        <v>6742295590</v>
      </c>
      <c r="L398" s="20">
        <f t="shared" si="281"/>
        <v>6742295590</v>
      </c>
      <c r="M398" s="20">
        <f t="shared" si="281"/>
        <v>6742295590</v>
      </c>
      <c r="N398" s="20">
        <f t="shared" si="281"/>
        <v>0</v>
      </c>
      <c r="O398" s="20">
        <f t="shared" si="281"/>
        <v>0</v>
      </c>
      <c r="P398" s="20">
        <f t="shared" si="281"/>
        <v>0</v>
      </c>
      <c r="Q398" s="20">
        <f t="shared" si="281"/>
        <v>6.4115108048770995E+17</v>
      </c>
      <c r="R398" s="20">
        <v>0</v>
      </c>
      <c r="S398" s="12">
        <v>60</v>
      </c>
      <c r="T398" s="26" t="s">
        <v>567</v>
      </c>
      <c r="U398" s="26"/>
      <c r="V398" s="20"/>
      <c r="W398" s="20"/>
    </row>
    <row r="399" spans="1:23" ht="15.75" x14ac:dyDescent="0.25">
      <c r="A399" s="12">
        <v>40036</v>
      </c>
      <c r="B399" s="27" t="s">
        <v>570</v>
      </c>
      <c r="C399" s="1" t="s">
        <v>526</v>
      </c>
      <c r="D399" s="12">
        <v>36</v>
      </c>
      <c r="E399" s="12">
        <v>4</v>
      </c>
      <c r="F399" s="12">
        <v>36</v>
      </c>
      <c r="G399" s="20">
        <f t="shared" si="247"/>
        <v>20185</v>
      </c>
      <c r="H399" s="20">
        <f t="shared" si="245"/>
        <v>3</v>
      </c>
      <c r="I399" s="20">
        <f t="shared" ref="I399:Q399" si="282">I279</f>
        <v>2</v>
      </c>
      <c r="J399" s="20">
        <f t="shared" si="282"/>
        <v>4</v>
      </c>
      <c r="K399" s="20">
        <f t="shared" si="282"/>
        <v>7813858040</v>
      </c>
      <c r="L399" s="20">
        <f t="shared" si="282"/>
        <v>7813858040</v>
      </c>
      <c r="M399" s="20">
        <f t="shared" si="282"/>
        <v>7813858040</v>
      </c>
      <c r="N399" s="20">
        <f t="shared" si="282"/>
        <v>0</v>
      </c>
      <c r="O399" s="20">
        <f t="shared" si="282"/>
        <v>0</v>
      </c>
      <c r="P399" s="20">
        <f t="shared" si="282"/>
        <v>0</v>
      </c>
      <c r="Q399" s="20">
        <f t="shared" si="282"/>
        <v>8.9984243497634995E+17</v>
      </c>
      <c r="R399" s="20">
        <v>0</v>
      </c>
      <c r="S399" s="12">
        <v>60</v>
      </c>
      <c r="T399" s="26" t="s">
        <v>567</v>
      </c>
      <c r="U399" s="26"/>
      <c r="V399" s="20"/>
      <c r="W399" s="20"/>
    </row>
    <row r="400" spans="1:23" ht="15.75" x14ac:dyDescent="0.25">
      <c r="A400" s="12">
        <v>40037</v>
      </c>
      <c r="B400" s="27" t="s">
        <v>571</v>
      </c>
      <c r="C400" s="1" t="s">
        <v>526</v>
      </c>
      <c r="D400" s="12">
        <v>37</v>
      </c>
      <c r="E400" s="12">
        <v>4</v>
      </c>
      <c r="F400" s="12">
        <v>37</v>
      </c>
      <c r="G400" s="20">
        <f t="shared" si="247"/>
        <v>30035</v>
      </c>
      <c r="H400" s="20">
        <f t="shared" si="245"/>
        <v>2</v>
      </c>
      <c r="I400" s="20">
        <f t="shared" ref="I400:Q400" si="283">I280</f>
        <v>2</v>
      </c>
      <c r="J400" s="20">
        <f t="shared" si="283"/>
        <v>5</v>
      </c>
      <c r="K400" s="20">
        <f t="shared" si="283"/>
        <v>9022904075</v>
      </c>
      <c r="L400" s="20">
        <f t="shared" si="283"/>
        <v>9022904075</v>
      </c>
      <c r="M400" s="20">
        <f t="shared" si="283"/>
        <v>9022904075</v>
      </c>
      <c r="N400" s="20">
        <f t="shared" si="283"/>
        <v>0</v>
      </c>
      <c r="O400" s="20">
        <f t="shared" si="283"/>
        <v>0</v>
      </c>
      <c r="P400" s="20">
        <f t="shared" si="283"/>
        <v>0</v>
      </c>
      <c r="Q400" s="20">
        <f t="shared" si="283"/>
        <v>1.2748232271778401E+18</v>
      </c>
      <c r="R400" s="20">
        <v>0</v>
      </c>
      <c r="S400" s="12">
        <v>60</v>
      </c>
      <c r="T400" s="26" t="s">
        <v>572</v>
      </c>
      <c r="U400" s="26"/>
      <c r="V400" s="20"/>
      <c r="W400" s="20"/>
    </row>
    <row r="401" spans="1:23" ht="15.75" x14ac:dyDescent="0.25">
      <c r="A401" s="12">
        <v>40038</v>
      </c>
      <c r="B401" s="27" t="s">
        <v>573</v>
      </c>
      <c r="C401" s="1" t="s">
        <v>526</v>
      </c>
      <c r="D401" s="12">
        <v>38</v>
      </c>
      <c r="E401" s="12">
        <v>4</v>
      </c>
      <c r="F401" s="12">
        <v>38</v>
      </c>
      <c r="G401" s="20">
        <f t="shared" si="247"/>
        <v>30085</v>
      </c>
      <c r="H401" s="20">
        <f t="shared" si="245"/>
        <v>1</v>
      </c>
      <c r="I401" s="20">
        <f t="shared" ref="I401:Q401" si="284">I281</f>
        <v>2</v>
      </c>
      <c r="J401" s="20">
        <f t="shared" si="284"/>
        <v>5</v>
      </c>
      <c r="K401" s="20">
        <f t="shared" si="284"/>
        <v>10357481865</v>
      </c>
      <c r="L401" s="20">
        <f t="shared" si="284"/>
        <v>10357481865</v>
      </c>
      <c r="M401" s="20">
        <f t="shared" si="284"/>
        <v>10357481865</v>
      </c>
      <c r="N401" s="20">
        <f t="shared" si="284"/>
        <v>0</v>
      </c>
      <c r="O401" s="20">
        <f t="shared" si="284"/>
        <v>0</v>
      </c>
      <c r="P401" s="20">
        <f t="shared" si="284"/>
        <v>0</v>
      </c>
      <c r="Q401" s="20">
        <f t="shared" si="284"/>
        <v>1.76085702278608E+18</v>
      </c>
      <c r="R401" s="20">
        <v>0</v>
      </c>
      <c r="S401" s="12">
        <v>60</v>
      </c>
      <c r="T401" s="26" t="s">
        <v>572</v>
      </c>
      <c r="U401" s="26"/>
      <c r="V401" s="20"/>
      <c r="W401" s="20"/>
    </row>
    <row r="402" spans="1:23" ht="15.75" x14ac:dyDescent="0.25">
      <c r="A402" s="12">
        <v>40039</v>
      </c>
      <c r="B402" s="27" t="s">
        <v>574</v>
      </c>
      <c r="C402" s="1" t="s">
        <v>526</v>
      </c>
      <c r="D402" s="12">
        <v>39</v>
      </c>
      <c r="E402" s="12">
        <v>4</v>
      </c>
      <c r="F402" s="12">
        <v>39</v>
      </c>
      <c r="G402" s="20">
        <f t="shared" si="247"/>
        <v>30135</v>
      </c>
      <c r="H402" s="20">
        <f t="shared" si="245"/>
        <v>3</v>
      </c>
      <c r="I402" s="20">
        <f t="shared" ref="I402:Q402" si="285">I282</f>
        <v>2</v>
      </c>
      <c r="J402" s="20">
        <f t="shared" si="285"/>
        <v>5</v>
      </c>
      <c r="K402" s="20">
        <f t="shared" si="285"/>
        <v>12054912440</v>
      </c>
      <c r="L402" s="20">
        <f t="shared" si="285"/>
        <v>12054912440</v>
      </c>
      <c r="M402" s="20">
        <f t="shared" si="285"/>
        <v>12054912440</v>
      </c>
      <c r="N402" s="20">
        <f t="shared" si="285"/>
        <v>0</v>
      </c>
      <c r="O402" s="20">
        <f t="shared" si="285"/>
        <v>0</v>
      </c>
      <c r="P402" s="20">
        <f t="shared" si="285"/>
        <v>0</v>
      </c>
      <c r="Q402" s="20">
        <f t="shared" si="285"/>
        <v>2.5382198702505001E+18</v>
      </c>
      <c r="R402" s="20">
        <v>0</v>
      </c>
      <c r="S402" s="12">
        <v>60</v>
      </c>
      <c r="T402" s="26" t="s">
        <v>572</v>
      </c>
      <c r="U402" s="26"/>
      <c r="V402" s="20"/>
      <c r="W402" s="20"/>
    </row>
    <row r="403" spans="1:23" ht="15.75" x14ac:dyDescent="0.25">
      <c r="A403" s="12">
        <v>40040</v>
      </c>
      <c r="B403" s="27" t="s">
        <v>575</v>
      </c>
      <c r="C403" s="1" t="s">
        <v>526</v>
      </c>
      <c r="D403" s="12">
        <v>40</v>
      </c>
      <c r="E403" s="12">
        <v>4</v>
      </c>
      <c r="F403" s="12">
        <v>40</v>
      </c>
      <c r="G403" s="20">
        <f t="shared" si="247"/>
        <v>30185</v>
      </c>
      <c r="H403" s="20">
        <f t="shared" si="245"/>
        <v>2</v>
      </c>
      <c r="I403" s="20">
        <f t="shared" ref="I403:Q403" si="286">I283</f>
        <v>2</v>
      </c>
      <c r="J403" s="20">
        <f t="shared" si="286"/>
        <v>5</v>
      </c>
      <c r="K403" s="20">
        <f t="shared" si="286"/>
        <v>13460310890</v>
      </c>
      <c r="L403" s="20">
        <f t="shared" si="286"/>
        <v>13460310890</v>
      </c>
      <c r="M403" s="20">
        <f t="shared" si="286"/>
        <v>13460310890</v>
      </c>
      <c r="N403" s="20">
        <f t="shared" si="286"/>
        <v>0</v>
      </c>
      <c r="O403" s="20">
        <f t="shared" si="286"/>
        <v>0</v>
      </c>
      <c r="P403" s="20">
        <f t="shared" si="286"/>
        <v>0</v>
      </c>
      <c r="Q403" s="20">
        <f t="shared" si="286"/>
        <v>3.2738742301717202E+18</v>
      </c>
      <c r="R403" s="20">
        <v>0</v>
      </c>
      <c r="S403" s="12">
        <v>60</v>
      </c>
      <c r="T403" s="26" t="s">
        <v>572</v>
      </c>
      <c r="U403" s="26"/>
      <c r="V403" s="20"/>
      <c r="W403" s="20"/>
    </row>
    <row r="404" spans="1:23" ht="15.75" x14ac:dyDescent="0.25">
      <c r="A404" s="12">
        <v>40041</v>
      </c>
      <c r="B404" s="27" t="s">
        <v>576</v>
      </c>
      <c r="C404" s="1" t="s">
        <v>526</v>
      </c>
      <c r="D404" s="12">
        <v>41</v>
      </c>
      <c r="E404" s="12">
        <v>4</v>
      </c>
      <c r="F404" s="12">
        <v>41</v>
      </c>
      <c r="G404" s="20">
        <f t="shared" si="247"/>
        <v>40035</v>
      </c>
      <c r="H404" s="20">
        <f t="shared" si="245"/>
        <v>1</v>
      </c>
      <c r="I404" s="20">
        <f t="shared" ref="I404:Q404" si="287">I284</f>
        <v>2</v>
      </c>
      <c r="J404" s="20">
        <f t="shared" si="287"/>
        <v>5</v>
      </c>
      <c r="K404" s="20">
        <f t="shared" si="287"/>
        <v>32286211905</v>
      </c>
      <c r="L404" s="20">
        <f t="shared" si="287"/>
        <v>32286211905</v>
      </c>
      <c r="M404" s="20">
        <f t="shared" si="287"/>
        <v>32286211905</v>
      </c>
      <c r="N404" s="20">
        <f t="shared" si="287"/>
        <v>0</v>
      </c>
      <c r="O404" s="20">
        <f t="shared" si="287"/>
        <v>0</v>
      </c>
      <c r="P404" s="20">
        <f t="shared" si="287"/>
        <v>0</v>
      </c>
      <c r="Q404" s="20">
        <f t="shared" si="287"/>
        <v>3.58664099545122E+19</v>
      </c>
      <c r="R404" s="20">
        <v>0</v>
      </c>
      <c r="S404" s="12">
        <v>60</v>
      </c>
      <c r="T404" s="26" t="s">
        <v>577</v>
      </c>
      <c r="U404" s="26"/>
      <c r="V404" s="20"/>
      <c r="W404" s="20"/>
    </row>
    <row r="405" spans="1:23" ht="15.75" x14ac:dyDescent="0.25">
      <c r="A405" s="12">
        <v>40042</v>
      </c>
      <c r="B405" s="27" t="s">
        <v>578</v>
      </c>
      <c r="C405" s="1" t="s">
        <v>526</v>
      </c>
      <c r="D405" s="12">
        <v>42</v>
      </c>
      <c r="E405" s="12">
        <v>4</v>
      </c>
      <c r="F405" s="12">
        <v>42</v>
      </c>
      <c r="G405" s="20">
        <f t="shared" si="247"/>
        <v>40085</v>
      </c>
      <c r="H405" s="20">
        <f t="shared" si="245"/>
        <v>3</v>
      </c>
      <c r="I405" s="20">
        <f t="shared" ref="I405:Q405" si="288">I285</f>
        <v>2</v>
      </c>
      <c r="J405" s="20">
        <f t="shared" si="288"/>
        <v>5</v>
      </c>
      <c r="K405" s="20">
        <f t="shared" si="288"/>
        <v>36210827115</v>
      </c>
      <c r="L405" s="20">
        <f t="shared" si="288"/>
        <v>36210827115</v>
      </c>
      <c r="M405" s="20">
        <f t="shared" si="288"/>
        <v>36210827115</v>
      </c>
      <c r="N405" s="20">
        <f t="shared" si="288"/>
        <v>0</v>
      </c>
      <c r="O405" s="20">
        <f t="shared" si="288"/>
        <v>0</v>
      </c>
      <c r="P405" s="20">
        <f t="shared" si="288"/>
        <v>0</v>
      </c>
      <c r="Q405" s="20">
        <f t="shared" si="288"/>
        <v>4.6745014187892703E+19</v>
      </c>
      <c r="R405" s="20">
        <v>0</v>
      </c>
      <c r="S405" s="12">
        <v>60</v>
      </c>
      <c r="T405" s="26" t="s">
        <v>577</v>
      </c>
      <c r="U405" s="26"/>
      <c r="V405" s="20"/>
      <c r="W405" s="20"/>
    </row>
    <row r="406" spans="1:23" ht="15.75" x14ac:dyDescent="0.25">
      <c r="A406" s="12">
        <v>40043</v>
      </c>
      <c r="B406" s="27" t="s">
        <v>579</v>
      </c>
      <c r="C406" s="1" t="s">
        <v>526</v>
      </c>
      <c r="D406" s="12">
        <v>43</v>
      </c>
      <c r="E406" s="12">
        <v>4</v>
      </c>
      <c r="F406" s="12">
        <v>43</v>
      </c>
      <c r="G406" s="20">
        <f t="shared" si="247"/>
        <v>40135</v>
      </c>
      <c r="H406" s="20">
        <f t="shared" si="245"/>
        <v>2</v>
      </c>
      <c r="I406" s="20">
        <f t="shared" ref="I406:Q406" si="289">I286</f>
        <v>2</v>
      </c>
      <c r="J406" s="20">
        <f t="shared" si="289"/>
        <v>5</v>
      </c>
      <c r="K406" s="20">
        <f t="shared" si="289"/>
        <v>40524480255</v>
      </c>
      <c r="L406" s="20">
        <f t="shared" si="289"/>
        <v>40524480255</v>
      </c>
      <c r="M406" s="20">
        <f t="shared" si="289"/>
        <v>40524480255</v>
      </c>
      <c r="N406" s="20">
        <f t="shared" si="289"/>
        <v>0</v>
      </c>
      <c r="O406" s="20">
        <f t="shared" si="289"/>
        <v>0</v>
      </c>
      <c r="P406" s="20">
        <f t="shared" si="289"/>
        <v>0</v>
      </c>
      <c r="Q406" s="20">
        <f t="shared" si="289"/>
        <v>6.0115197558181503E+19</v>
      </c>
      <c r="R406" s="20">
        <v>0</v>
      </c>
      <c r="S406" s="12">
        <v>60</v>
      </c>
      <c r="T406" s="26" t="s">
        <v>577</v>
      </c>
      <c r="U406" s="26"/>
      <c r="V406" s="20"/>
      <c r="W406" s="20"/>
    </row>
    <row r="407" spans="1:23" ht="15.75" x14ac:dyDescent="0.25">
      <c r="A407" s="12">
        <v>40044</v>
      </c>
      <c r="B407" s="27" t="s">
        <v>580</v>
      </c>
      <c r="C407" s="1" t="s">
        <v>526</v>
      </c>
      <c r="D407" s="12">
        <v>44</v>
      </c>
      <c r="E407" s="12">
        <v>4</v>
      </c>
      <c r="F407" s="12">
        <v>44</v>
      </c>
      <c r="G407" s="20">
        <f t="shared" si="247"/>
        <v>40185</v>
      </c>
      <c r="H407" s="20">
        <f t="shared" si="245"/>
        <v>1</v>
      </c>
      <c r="I407" s="20">
        <f t="shared" ref="I407:Q407" si="290">I287</f>
        <v>2</v>
      </c>
      <c r="J407" s="20">
        <f t="shared" si="290"/>
        <v>5</v>
      </c>
      <c r="K407" s="20">
        <f t="shared" si="290"/>
        <v>45192474355</v>
      </c>
      <c r="L407" s="20">
        <f t="shared" si="290"/>
        <v>45192474355</v>
      </c>
      <c r="M407" s="20">
        <f t="shared" si="290"/>
        <v>45192474355</v>
      </c>
      <c r="N407" s="20">
        <f t="shared" si="290"/>
        <v>0</v>
      </c>
      <c r="O407" s="20">
        <f t="shared" si="290"/>
        <v>0</v>
      </c>
      <c r="P407" s="20">
        <f t="shared" si="290"/>
        <v>0</v>
      </c>
      <c r="Q407" s="20">
        <f t="shared" si="290"/>
        <v>7.7888400343511499E+19</v>
      </c>
      <c r="R407" s="20">
        <v>0</v>
      </c>
      <c r="S407" s="12">
        <v>60</v>
      </c>
      <c r="T407" s="26" t="s">
        <v>577</v>
      </c>
      <c r="U407" s="26"/>
      <c r="V407" s="20"/>
      <c r="W407" s="20"/>
    </row>
    <row r="408" spans="1:23" ht="15.75" x14ac:dyDescent="0.25">
      <c r="A408" s="12">
        <v>40045</v>
      </c>
      <c r="B408" s="27" t="s">
        <v>581</v>
      </c>
      <c r="C408" s="1" t="s">
        <v>526</v>
      </c>
      <c r="D408" s="12">
        <v>45</v>
      </c>
      <c r="E408" s="12">
        <v>4</v>
      </c>
      <c r="F408" s="12">
        <v>45</v>
      </c>
      <c r="G408" s="20">
        <f t="shared" si="247"/>
        <v>50035</v>
      </c>
      <c r="H408" s="20">
        <f t="shared" si="245"/>
        <v>3</v>
      </c>
      <c r="I408" s="20">
        <f t="shared" ref="I408:Q408" si="291">I288</f>
        <v>2</v>
      </c>
      <c r="J408" s="20">
        <f t="shared" si="291"/>
        <v>5</v>
      </c>
      <c r="K408" s="20">
        <f t="shared" si="291"/>
        <v>50974213845</v>
      </c>
      <c r="L408" s="20">
        <f t="shared" si="291"/>
        <v>50974213845</v>
      </c>
      <c r="M408" s="20">
        <f t="shared" si="291"/>
        <v>50974213845</v>
      </c>
      <c r="N408" s="20">
        <f t="shared" si="291"/>
        <v>0</v>
      </c>
      <c r="O408" s="20">
        <f t="shared" si="291"/>
        <v>0</v>
      </c>
      <c r="P408" s="20">
        <f t="shared" si="291"/>
        <v>0</v>
      </c>
      <c r="Q408" s="20">
        <f t="shared" si="291"/>
        <v>1.03932646043157E+20</v>
      </c>
      <c r="R408" s="20">
        <v>0</v>
      </c>
      <c r="S408" s="12">
        <v>60</v>
      </c>
      <c r="T408" s="26" t="s">
        <v>582</v>
      </c>
      <c r="U408" s="26"/>
      <c r="V408" s="20"/>
      <c r="W408" s="20"/>
    </row>
    <row r="409" spans="1:23" ht="15.75" x14ac:dyDescent="0.25">
      <c r="A409" s="12">
        <v>40046</v>
      </c>
      <c r="B409" s="27" t="s">
        <v>583</v>
      </c>
      <c r="C409" s="1" t="s">
        <v>526</v>
      </c>
      <c r="D409" s="12">
        <v>46</v>
      </c>
      <c r="E409" s="12">
        <v>4</v>
      </c>
      <c r="F409" s="12">
        <v>46</v>
      </c>
      <c r="G409" s="20">
        <f t="shared" si="247"/>
        <v>10025</v>
      </c>
      <c r="H409" s="20">
        <f t="shared" si="245"/>
        <v>2</v>
      </c>
      <c r="I409" s="20">
        <f t="shared" ref="I409:Q409" si="292">I289</f>
        <v>2</v>
      </c>
      <c r="J409" s="20">
        <f t="shared" si="292"/>
        <v>5</v>
      </c>
      <c r="K409" s="20">
        <f t="shared" si="292"/>
        <v>57273255040</v>
      </c>
      <c r="L409" s="20">
        <f t="shared" si="292"/>
        <v>57273255040</v>
      </c>
      <c r="M409" s="20">
        <f t="shared" si="292"/>
        <v>57273255040</v>
      </c>
      <c r="N409" s="20">
        <f t="shared" si="292"/>
        <v>0</v>
      </c>
      <c r="O409" s="20">
        <f t="shared" si="292"/>
        <v>0</v>
      </c>
      <c r="P409" s="20">
        <f t="shared" si="292"/>
        <v>0</v>
      </c>
      <c r="Q409" s="20">
        <f t="shared" si="292"/>
        <v>1.3954245208691501E+20</v>
      </c>
      <c r="R409" s="20">
        <v>0</v>
      </c>
      <c r="S409" s="12">
        <v>60</v>
      </c>
      <c r="T409" s="26" t="s">
        <v>582</v>
      </c>
      <c r="U409" s="26"/>
      <c r="V409" s="20"/>
      <c r="W409" s="20"/>
    </row>
    <row r="410" spans="1:23" ht="15.75" x14ac:dyDescent="0.25">
      <c r="A410" s="12">
        <v>40047</v>
      </c>
      <c r="B410" s="27" t="s">
        <v>584</v>
      </c>
      <c r="C410" s="1" t="s">
        <v>526</v>
      </c>
      <c r="D410" s="12">
        <v>47</v>
      </c>
      <c r="E410" s="12">
        <v>4</v>
      </c>
      <c r="F410" s="12">
        <v>47</v>
      </c>
      <c r="G410" s="20">
        <f t="shared" si="247"/>
        <v>10075</v>
      </c>
      <c r="H410" s="20">
        <f t="shared" si="245"/>
        <v>1</v>
      </c>
      <c r="I410" s="20">
        <f t="shared" ref="I410:Q410" si="293">I290</f>
        <v>2</v>
      </c>
      <c r="J410" s="20">
        <f t="shared" si="293"/>
        <v>5</v>
      </c>
      <c r="K410" s="20">
        <f t="shared" si="293"/>
        <v>64276150605</v>
      </c>
      <c r="L410" s="20">
        <f t="shared" si="293"/>
        <v>64276150605</v>
      </c>
      <c r="M410" s="20">
        <f t="shared" si="293"/>
        <v>64276150605</v>
      </c>
      <c r="N410" s="20">
        <f t="shared" si="293"/>
        <v>0</v>
      </c>
      <c r="O410" s="20">
        <f t="shared" si="293"/>
        <v>0</v>
      </c>
      <c r="P410" s="20">
        <f t="shared" si="293"/>
        <v>0</v>
      </c>
      <c r="Q410" s="20">
        <f t="shared" si="293"/>
        <v>1.84550037154706E+20</v>
      </c>
      <c r="R410" s="20">
        <v>0</v>
      </c>
      <c r="S410" s="12">
        <v>60</v>
      </c>
      <c r="T410" s="26" t="s">
        <v>582</v>
      </c>
      <c r="U410" s="26"/>
      <c r="V410" s="20"/>
      <c r="W410" s="20"/>
    </row>
    <row r="411" spans="1:23" ht="15.75" x14ac:dyDescent="0.25">
      <c r="A411" s="12">
        <v>40048</v>
      </c>
      <c r="B411" s="27" t="s">
        <v>585</v>
      </c>
      <c r="C411" s="1" t="s">
        <v>526</v>
      </c>
      <c r="D411" s="12">
        <v>48</v>
      </c>
      <c r="E411" s="12">
        <v>4</v>
      </c>
      <c r="F411" s="12">
        <v>48</v>
      </c>
      <c r="G411" s="20">
        <f t="shared" si="247"/>
        <v>10125</v>
      </c>
      <c r="H411" s="20">
        <f t="shared" si="245"/>
        <v>3</v>
      </c>
      <c r="I411" s="20">
        <f t="shared" ref="I411:Q411" si="294">I291</f>
        <v>2</v>
      </c>
      <c r="J411" s="20">
        <f t="shared" si="294"/>
        <v>5</v>
      </c>
      <c r="K411" s="20">
        <f t="shared" si="294"/>
        <v>71872179505</v>
      </c>
      <c r="L411" s="20">
        <f t="shared" si="294"/>
        <v>71872179505</v>
      </c>
      <c r="M411" s="20">
        <f t="shared" si="294"/>
        <v>71872179505</v>
      </c>
      <c r="N411" s="20">
        <f t="shared" si="294"/>
        <v>0</v>
      </c>
      <c r="O411" s="20">
        <f t="shared" si="294"/>
        <v>0</v>
      </c>
      <c r="P411" s="20">
        <f t="shared" si="294"/>
        <v>0</v>
      </c>
      <c r="Q411" s="20">
        <f t="shared" si="294"/>
        <v>2.4520549723172199E+20</v>
      </c>
      <c r="R411" s="20">
        <v>0</v>
      </c>
      <c r="S411" s="12">
        <v>60</v>
      </c>
      <c r="T411" s="26" t="s">
        <v>582</v>
      </c>
      <c r="U411" s="26"/>
      <c r="V411" s="20"/>
      <c r="W411" s="20"/>
    </row>
    <row r="412" spans="1:23" ht="15.75" x14ac:dyDescent="0.25">
      <c r="A412" s="12">
        <v>40049</v>
      </c>
      <c r="B412" s="27" t="s">
        <v>586</v>
      </c>
      <c r="C412" s="1" t="s">
        <v>526</v>
      </c>
      <c r="D412" s="12">
        <v>49</v>
      </c>
      <c r="E412" s="12">
        <v>4</v>
      </c>
      <c r="F412" s="12">
        <v>49</v>
      </c>
      <c r="G412" s="20">
        <f t="shared" si="247"/>
        <v>10175</v>
      </c>
      <c r="H412" s="20">
        <f t="shared" si="245"/>
        <v>2</v>
      </c>
      <c r="I412" s="20">
        <f t="shared" ref="I412:Q412" si="295">I292</f>
        <v>2</v>
      </c>
      <c r="J412" s="20">
        <f t="shared" si="295"/>
        <v>5</v>
      </c>
      <c r="K412" s="20">
        <f t="shared" si="295"/>
        <v>80659950855</v>
      </c>
      <c r="L412" s="20">
        <f t="shared" si="295"/>
        <v>80659950855</v>
      </c>
      <c r="M412" s="20">
        <f t="shared" si="295"/>
        <v>80659950855</v>
      </c>
      <c r="N412" s="20">
        <f t="shared" si="295"/>
        <v>0</v>
      </c>
      <c r="O412" s="20">
        <f t="shared" si="295"/>
        <v>0</v>
      </c>
      <c r="P412" s="20">
        <f t="shared" si="295"/>
        <v>0</v>
      </c>
      <c r="Q412" s="20">
        <f t="shared" si="295"/>
        <v>3.32194458119875E+20</v>
      </c>
      <c r="R412" s="20">
        <v>0</v>
      </c>
      <c r="S412" s="12">
        <v>60</v>
      </c>
      <c r="T412" s="26" t="s">
        <v>587</v>
      </c>
      <c r="U412" s="26"/>
      <c r="V412" s="20"/>
      <c r="W412" s="20"/>
    </row>
    <row r="413" spans="1:23" ht="15.75" x14ac:dyDescent="0.25">
      <c r="A413" s="12">
        <v>40050</v>
      </c>
      <c r="B413" s="27" t="s">
        <v>588</v>
      </c>
      <c r="C413" s="1" t="s">
        <v>526</v>
      </c>
      <c r="D413" s="12">
        <v>50</v>
      </c>
      <c r="E413" s="12">
        <v>4</v>
      </c>
      <c r="F413" s="12">
        <v>50</v>
      </c>
      <c r="G413" s="20">
        <f t="shared" si="247"/>
        <v>20025</v>
      </c>
      <c r="H413" s="20">
        <f t="shared" si="245"/>
        <v>1</v>
      </c>
      <c r="I413" s="20">
        <f t="shared" ref="I413:Q413" si="296">I293</f>
        <v>2</v>
      </c>
      <c r="J413" s="20">
        <f t="shared" si="296"/>
        <v>5</v>
      </c>
      <c r="K413" s="20">
        <f t="shared" si="296"/>
        <v>89316558810</v>
      </c>
      <c r="L413" s="20">
        <f t="shared" si="296"/>
        <v>89316558810</v>
      </c>
      <c r="M413" s="20">
        <f t="shared" si="296"/>
        <v>89316558810</v>
      </c>
      <c r="N413" s="20">
        <f t="shared" si="296"/>
        <v>0</v>
      </c>
      <c r="O413" s="20">
        <f t="shared" si="296"/>
        <v>0</v>
      </c>
      <c r="P413" s="20">
        <f t="shared" si="296"/>
        <v>0</v>
      </c>
      <c r="Q413" s="20">
        <f t="shared" si="296"/>
        <v>4.3178479409735801E+20</v>
      </c>
      <c r="R413" s="20">
        <v>0</v>
      </c>
      <c r="S413" s="12">
        <v>60</v>
      </c>
      <c r="T413" s="26" t="s">
        <v>587</v>
      </c>
      <c r="U413" s="26"/>
      <c r="V413" s="20"/>
      <c r="W413" s="20"/>
    </row>
    <row r="414" spans="1:23" ht="15.75" x14ac:dyDescent="0.25">
      <c r="A414" s="12">
        <v>40051</v>
      </c>
      <c r="B414" s="27" t="s">
        <v>589</v>
      </c>
      <c r="C414" s="1" t="s">
        <v>526</v>
      </c>
      <c r="D414" s="12">
        <v>51</v>
      </c>
      <c r="E414" s="12">
        <v>4</v>
      </c>
      <c r="F414" s="12">
        <v>51</v>
      </c>
      <c r="G414" s="20">
        <f t="shared" si="247"/>
        <v>20075</v>
      </c>
      <c r="H414" s="20">
        <f t="shared" si="245"/>
        <v>3</v>
      </c>
      <c r="I414" s="20">
        <f t="shared" ref="I414:Q414" si="297">I294</f>
        <v>2</v>
      </c>
      <c r="J414" s="20">
        <f t="shared" si="297"/>
        <v>5</v>
      </c>
      <c r="K414" s="20">
        <f t="shared" si="297"/>
        <v>99551542835</v>
      </c>
      <c r="L414" s="20">
        <f t="shared" si="297"/>
        <v>99551542835</v>
      </c>
      <c r="M414" s="20">
        <f t="shared" si="297"/>
        <v>99551542835</v>
      </c>
      <c r="N414" s="20">
        <f t="shared" si="297"/>
        <v>0</v>
      </c>
      <c r="O414" s="20">
        <f t="shared" si="297"/>
        <v>0</v>
      </c>
      <c r="P414" s="20">
        <f t="shared" si="297"/>
        <v>0</v>
      </c>
      <c r="Q414" s="20">
        <f t="shared" si="297"/>
        <v>5.62370147730003E+20</v>
      </c>
      <c r="R414" s="20">
        <v>0</v>
      </c>
      <c r="S414" s="12">
        <v>60</v>
      </c>
      <c r="T414" s="26" t="s">
        <v>587</v>
      </c>
      <c r="U414" s="26"/>
      <c r="V414" s="20"/>
      <c r="W414" s="20"/>
    </row>
    <row r="415" spans="1:23" ht="15.75" x14ac:dyDescent="0.25">
      <c r="A415" s="12">
        <v>40052</v>
      </c>
      <c r="B415" s="27" t="s">
        <v>590</v>
      </c>
      <c r="C415" s="1" t="s">
        <v>526</v>
      </c>
      <c r="D415" s="12">
        <v>52</v>
      </c>
      <c r="E415" s="12">
        <v>4</v>
      </c>
      <c r="F415" s="12">
        <v>52</v>
      </c>
      <c r="G415" s="20">
        <f t="shared" si="247"/>
        <v>20125</v>
      </c>
      <c r="H415" s="20">
        <f t="shared" si="245"/>
        <v>2</v>
      </c>
      <c r="I415" s="20">
        <f t="shared" ref="I415:Q415" si="298">I295</f>
        <v>2</v>
      </c>
      <c r="J415" s="20">
        <f t="shared" si="298"/>
        <v>5</v>
      </c>
      <c r="K415" s="20">
        <f t="shared" si="298"/>
        <v>107660367945</v>
      </c>
      <c r="L415" s="20">
        <f t="shared" si="298"/>
        <v>107660367945</v>
      </c>
      <c r="M415" s="20">
        <f t="shared" si="298"/>
        <v>107660367945</v>
      </c>
      <c r="N415" s="20">
        <f t="shared" si="298"/>
        <v>0</v>
      </c>
      <c r="O415" s="20">
        <f t="shared" si="298"/>
        <v>0</v>
      </c>
      <c r="P415" s="20">
        <f t="shared" si="298"/>
        <v>0</v>
      </c>
      <c r="Q415" s="20">
        <f t="shared" si="298"/>
        <v>7.1164885106501196E+20</v>
      </c>
      <c r="R415" s="20">
        <v>0</v>
      </c>
      <c r="S415" s="12">
        <v>60</v>
      </c>
      <c r="T415" s="26" t="s">
        <v>587</v>
      </c>
      <c r="U415" s="26"/>
      <c r="V415" s="20"/>
      <c r="W415" s="20"/>
    </row>
    <row r="416" spans="1:23" ht="15.75" x14ac:dyDescent="0.25">
      <c r="A416" s="12">
        <v>40053</v>
      </c>
      <c r="B416" s="27" t="s">
        <v>591</v>
      </c>
      <c r="C416" s="1" t="s">
        <v>526</v>
      </c>
      <c r="D416" s="12">
        <v>53</v>
      </c>
      <c r="E416" s="12">
        <v>4</v>
      </c>
      <c r="F416" s="12">
        <v>53</v>
      </c>
      <c r="G416" s="20">
        <f t="shared" si="247"/>
        <v>20175</v>
      </c>
      <c r="H416" s="20">
        <f t="shared" si="245"/>
        <v>1</v>
      </c>
      <c r="I416" s="20">
        <f t="shared" ref="I416:Q416" si="299">I296</f>
        <v>2</v>
      </c>
      <c r="J416" s="20">
        <f t="shared" si="299"/>
        <v>5</v>
      </c>
      <c r="K416" s="20">
        <f t="shared" si="299"/>
        <v>118277046610</v>
      </c>
      <c r="L416" s="20">
        <f t="shared" si="299"/>
        <v>118277046610</v>
      </c>
      <c r="M416" s="20">
        <f t="shared" si="299"/>
        <v>118277046610</v>
      </c>
      <c r="N416" s="20">
        <f t="shared" si="299"/>
        <v>0</v>
      </c>
      <c r="O416" s="20">
        <f t="shared" si="299"/>
        <v>0</v>
      </c>
      <c r="P416" s="20">
        <f t="shared" si="299"/>
        <v>0</v>
      </c>
      <c r="Q416" s="20">
        <f t="shared" si="299"/>
        <v>1.7524396436742501E+21</v>
      </c>
      <c r="R416" s="20">
        <v>0</v>
      </c>
      <c r="S416" s="12">
        <v>60</v>
      </c>
      <c r="T416" s="26" t="s">
        <v>592</v>
      </c>
      <c r="U416" s="26"/>
      <c r="V416" s="20"/>
      <c r="W416" s="20"/>
    </row>
    <row r="417" spans="1:23" ht="15.75" x14ac:dyDescent="0.25">
      <c r="A417" s="12">
        <v>40054</v>
      </c>
      <c r="B417" s="27" t="s">
        <v>593</v>
      </c>
      <c r="C417" s="1" t="s">
        <v>526</v>
      </c>
      <c r="D417" s="12">
        <v>54</v>
      </c>
      <c r="E417" s="12">
        <v>4</v>
      </c>
      <c r="F417" s="12">
        <v>54</v>
      </c>
      <c r="G417" s="20">
        <f t="shared" si="247"/>
        <v>30025</v>
      </c>
      <c r="H417" s="20">
        <f t="shared" si="245"/>
        <v>3</v>
      </c>
      <c r="I417" s="20">
        <f t="shared" ref="I417:Q417" si="300">I297</f>
        <v>2</v>
      </c>
      <c r="J417" s="20">
        <f t="shared" si="300"/>
        <v>5</v>
      </c>
      <c r="K417" s="20">
        <f t="shared" si="300"/>
        <v>128666764360</v>
      </c>
      <c r="L417" s="20">
        <f t="shared" si="300"/>
        <v>128666764360</v>
      </c>
      <c r="M417" s="20">
        <f t="shared" si="300"/>
        <v>128666764360</v>
      </c>
      <c r="N417" s="20">
        <f t="shared" si="300"/>
        <v>0</v>
      </c>
      <c r="O417" s="20">
        <f t="shared" si="300"/>
        <v>0</v>
      </c>
      <c r="P417" s="20">
        <f t="shared" si="300"/>
        <v>0</v>
      </c>
      <c r="Q417" s="20">
        <f t="shared" si="300"/>
        <v>2.2101461747248299E+21</v>
      </c>
      <c r="R417" s="20">
        <v>0</v>
      </c>
      <c r="S417" s="12">
        <v>60</v>
      </c>
      <c r="T417" s="26" t="s">
        <v>592</v>
      </c>
      <c r="U417" s="26"/>
      <c r="V417" s="20"/>
      <c r="W417" s="20"/>
    </row>
    <row r="418" spans="1:23" ht="15.75" x14ac:dyDescent="0.25">
      <c r="A418" s="12">
        <v>40055</v>
      </c>
      <c r="B418" s="27" t="s">
        <v>594</v>
      </c>
      <c r="C418" s="1" t="s">
        <v>526</v>
      </c>
      <c r="D418" s="12">
        <v>55</v>
      </c>
      <c r="E418" s="12">
        <v>4</v>
      </c>
      <c r="F418" s="12">
        <v>55</v>
      </c>
      <c r="G418" s="20">
        <f t="shared" si="247"/>
        <v>30075</v>
      </c>
      <c r="H418" s="20">
        <f t="shared" si="245"/>
        <v>2</v>
      </c>
      <c r="I418" s="20">
        <f t="shared" ref="I418:Q418" si="301">I298</f>
        <v>2</v>
      </c>
      <c r="J418" s="20">
        <f t="shared" si="301"/>
        <v>5</v>
      </c>
      <c r="K418" s="20">
        <f t="shared" si="301"/>
        <v>140718989180</v>
      </c>
      <c r="L418" s="20">
        <f t="shared" si="301"/>
        <v>140718989180</v>
      </c>
      <c r="M418" s="20">
        <f t="shared" si="301"/>
        <v>140718989180</v>
      </c>
      <c r="N418" s="20">
        <f t="shared" si="301"/>
        <v>0</v>
      </c>
      <c r="O418" s="20">
        <f t="shared" si="301"/>
        <v>0</v>
      </c>
      <c r="P418" s="20">
        <f t="shared" si="301"/>
        <v>0</v>
      </c>
      <c r="Q418" s="20">
        <f t="shared" si="301"/>
        <v>2.7898641802647998E+21</v>
      </c>
      <c r="R418" s="20">
        <v>0</v>
      </c>
      <c r="S418" s="12">
        <v>60</v>
      </c>
      <c r="T418" s="26" t="s">
        <v>592</v>
      </c>
      <c r="U418" s="26"/>
      <c r="V418" s="20"/>
      <c r="W418" s="20"/>
    </row>
    <row r="419" spans="1:23" ht="15.75" x14ac:dyDescent="0.25">
      <c r="A419" s="12">
        <v>40056</v>
      </c>
      <c r="B419" s="27" t="s">
        <v>595</v>
      </c>
      <c r="C419" s="1" t="s">
        <v>526</v>
      </c>
      <c r="D419" s="12">
        <v>56</v>
      </c>
      <c r="E419" s="12">
        <v>4</v>
      </c>
      <c r="F419" s="12">
        <v>56</v>
      </c>
      <c r="G419" s="20">
        <f t="shared" si="247"/>
        <v>30125</v>
      </c>
      <c r="H419" s="20">
        <f t="shared" si="245"/>
        <v>1</v>
      </c>
      <c r="I419" s="20">
        <f t="shared" ref="I419:Q419" si="302">I299</f>
        <v>2</v>
      </c>
      <c r="J419" s="20">
        <f t="shared" si="302"/>
        <v>5</v>
      </c>
      <c r="K419" s="20">
        <f t="shared" si="302"/>
        <v>152475215170</v>
      </c>
      <c r="L419" s="20">
        <f t="shared" si="302"/>
        <v>152475215170</v>
      </c>
      <c r="M419" s="20">
        <f t="shared" si="302"/>
        <v>152475215170</v>
      </c>
      <c r="N419" s="20">
        <f t="shared" si="302"/>
        <v>0</v>
      </c>
      <c r="O419" s="20">
        <f t="shared" si="302"/>
        <v>0</v>
      </c>
      <c r="P419" s="20">
        <f t="shared" si="302"/>
        <v>0</v>
      </c>
      <c r="Q419" s="20">
        <f t="shared" si="302"/>
        <v>3.4925942661933999E+21</v>
      </c>
      <c r="R419" s="20">
        <v>0</v>
      </c>
      <c r="S419" s="12">
        <v>60</v>
      </c>
      <c r="T419" s="26" t="s">
        <v>592</v>
      </c>
      <c r="U419" s="26"/>
      <c r="V419" s="20"/>
      <c r="W419" s="20"/>
    </row>
    <row r="420" spans="1:23" ht="15.75" x14ac:dyDescent="0.25">
      <c r="A420" s="12">
        <v>40057</v>
      </c>
      <c r="B420" s="27" t="s">
        <v>596</v>
      </c>
      <c r="C420" s="1" t="s">
        <v>526</v>
      </c>
      <c r="D420" s="12">
        <v>57</v>
      </c>
      <c r="E420" s="12">
        <v>4</v>
      </c>
      <c r="F420" s="12">
        <v>57</v>
      </c>
      <c r="G420" s="20">
        <f t="shared" si="247"/>
        <v>30175</v>
      </c>
      <c r="H420" s="20">
        <f t="shared" si="245"/>
        <v>3</v>
      </c>
      <c r="I420" s="20">
        <f t="shared" ref="I420:Q420" si="303">I300</f>
        <v>2</v>
      </c>
      <c r="J420" s="20">
        <f t="shared" si="303"/>
        <v>5</v>
      </c>
      <c r="K420" s="20">
        <f t="shared" si="303"/>
        <v>166757015875</v>
      </c>
      <c r="L420" s="20">
        <f t="shared" si="303"/>
        <v>166757015875</v>
      </c>
      <c r="M420" s="20">
        <f t="shared" si="303"/>
        <v>166757015875</v>
      </c>
      <c r="N420" s="20">
        <f t="shared" si="303"/>
        <v>0</v>
      </c>
      <c r="O420" s="20">
        <f t="shared" si="303"/>
        <v>0</v>
      </c>
      <c r="P420" s="20">
        <f t="shared" si="303"/>
        <v>0</v>
      </c>
      <c r="Q420" s="20">
        <f t="shared" si="303"/>
        <v>4.5149541879004702E+21</v>
      </c>
      <c r="R420" s="20">
        <v>0</v>
      </c>
      <c r="S420" s="12">
        <v>60</v>
      </c>
      <c r="T420" s="26" t="s">
        <v>597</v>
      </c>
      <c r="U420" s="26"/>
      <c r="V420" s="20"/>
      <c r="W420" s="20"/>
    </row>
    <row r="421" spans="1:23" ht="15.75" x14ac:dyDescent="0.25">
      <c r="A421" s="12">
        <v>40058</v>
      </c>
      <c r="B421" s="27" t="s">
        <v>598</v>
      </c>
      <c r="C421" s="1" t="s">
        <v>526</v>
      </c>
      <c r="D421" s="12">
        <v>58</v>
      </c>
      <c r="E421" s="12">
        <v>4</v>
      </c>
      <c r="F421" s="12">
        <v>58</v>
      </c>
      <c r="G421" s="20">
        <f t="shared" si="247"/>
        <v>40025</v>
      </c>
      <c r="H421" s="20">
        <f t="shared" si="245"/>
        <v>2</v>
      </c>
      <c r="I421" s="20">
        <f t="shared" ref="I421:Q421" si="304">I301</f>
        <v>2</v>
      </c>
      <c r="J421" s="20">
        <f t="shared" si="304"/>
        <v>5</v>
      </c>
      <c r="K421" s="20">
        <f t="shared" si="304"/>
        <v>180087885525</v>
      </c>
      <c r="L421" s="20">
        <f t="shared" si="304"/>
        <v>180087885525</v>
      </c>
      <c r="M421" s="20">
        <f t="shared" si="304"/>
        <v>180087885525</v>
      </c>
      <c r="N421" s="20">
        <f t="shared" si="304"/>
        <v>0</v>
      </c>
      <c r="O421" s="20">
        <f t="shared" si="304"/>
        <v>0</v>
      </c>
      <c r="P421" s="20">
        <f t="shared" si="304"/>
        <v>0</v>
      </c>
      <c r="Q421" s="20">
        <f t="shared" si="304"/>
        <v>5.61440124078562E+21</v>
      </c>
      <c r="R421" s="20">
        <v>0</v>
      </c>
      <c r="S421" s="12">
        <v>60</v>
      </c>
      <c r="T421" s="26" t="s">
        <v>597</v>
      </c>
      <c r="U421" s="26"/>
      <c r="V421" s="20"/>
      <c r="W421" s="20"/>
    </row>
    <row r="422" spans="1:23" ht="15.75" x14ac:dyDescent="0.25">
      <c r="A422" s="12">
        <v>40059</v>
      </c>
      <c r="B422" s="27" t="s">
        <v>599</v>
      </c>
      <c r="C422" s="1" t="s">
        <v>526</v>
      </c>
      <c r="D422" s="12">
        <v>59</v>
      </c>
      <c r="E422" s="12">
        <v>4</v>
      </c>
      <c r="F422" s="12">
        <v>59</v>
      </c>
      <c r="G422" s="20">
        <f t="shared" si="247"/>
        <v>40075</v>
      </c>
      <c r="H422" s="20">
        <f t="shared" si="245"/>
        <v>1</v>
      </c>
      <c r="I422" s="20">
        <f t="shared" ref="I422:Q422" si="305">I302</f>
        <v>2</v>
      </c>
      <c r="J422" s="20">
        <f t="shared" si="305"/>
        <v>5</v>
      </c>
      <c r="K422" s="20">
        <f t="shared" si="305"/>
        <v>195581306730</v>
      </c>
      <c r="L422" s="20">
        <f t="shared" si="305"/>
        <v>195581306730</v>
      </c>
      <c r="M422" s="20">
        <f t="shared" si="305"/>
        <v>195581306730</v>
      </c>
      <c r="N422" s="20">
        <f t="shared" si="305"/>
        <v>0</v>
      </c>
      <c r="O422" s="20">
        <f t="shared" si="305"/>
        <v>0</v>
      </c>
      <c r="P422" s="20">
        <f t="shared" si="305"/>
        <v>0</v>
      </c>
      <c r="Q422" s="20">
        <f t="shared" si="305"/>
        <v>7.0016471625807996E+21</v>
      </c>
      <c r="R422" s="20">
        <v>0</v>
      </c>
      <c r="S422" s="12">
        <v>60</v>
      </c>
      <c r="T422" s="26" t="s">
        <v>597</v>
      </c>
      <c r="U422" s="26"/>
      <c r="V422" s="20"/>
      <c r="W422" s="20"/>
    </row>
    <row r="423" spans="1:23" ht="15.75" x14ac:dyDescent="0.25">
      <c r="A423" s="12">
        <v>40060</v>
      </c>
      <c r="B423" s="27" t="s">
        <v>600</v>
      </c>
      <c r="C423" s="1" t="s">
        <v>526</v>
      </c>
      <c r="D423" s="12">
        <v>60</v>
      </c>
      <c r="E423" s="12">
        <v>4</v>
      </c>
      <c r="F423" s="12">
        <v>60</v>
      </c>
      <c r="G423" s="20">
        <f t="shared" si="247"/>
        <v>40125</v>
      </c>
      <c r="H423" s="20">
        <f t="shared" si="245"/>
        <v>3</v>
      </c>
      <c r="I423" s="20">
        <f t="shared" ref="I423:Q423" si="306">I303</f>
        <v>2</v>
      </c>
      <c r="J423" s="20">
        <f t="shared" si="306"/>
        <v>5</v>
      </c>
      <c r="K423" s="20">
        <f t="shared" si="306"/>
        <v>210590038610</v>
      </c>
      <c r="L423" s="20">
        <f t="shared" si="306"/>
        <v>210590038610</v>
      </c>
      <c r="M423" s="20">
        <f t="shared" si="306"/>
        <v>210590038610</v>
      </c>
      <c r="N423" s="20">
        <f t="shared" si="306"/>
        <v>0</v>
      </c>
      <c r="O423" s="20">
        <f t="shared" si="306"/>
        <v>0</v>
      </c>
      <c r="P423" s="20">
        <f t="shared" si="306"/>
        <v>0</v>
      </c>
      <c r="Q423" s="20">
        <f t="shared" si="306"/>
        <v>8.6983560869698003E+21</v>
      </c>
      <c r="R423" s="20">
        <v>0</v>
      </c>
      <c r="S423" s="12">
        <v>60</v>
      </c>
      <c r="T423" s="26" t="s">
        <v>597</v>
      </c>
      <c r="U423" s="26"/>
      <c r="V423" s="20"/>
      <c r="W423" s="20"/>
    </row>
    <row r="424" spans="1:23" ht="15.75" x14ac:dyDescent="0.25">
      <c r="A424" s="12">
        <v>40061</v>
      </c>
      <c r="B424" s="27" t="s">
        <v>601</v>
      </c>
      <c r="C424" s="1" t="s">
        <v>526</v>
      </c>
      <c r="D424" s="12">
        <v>61</v>
      </c>
      <c r="E424" s="12">
        <v>4</v>
      </c>
      <c r="F424" s="12">
        <v>61</v>
      </c>
      <c r="G424" s="20">
        <f t="shared" si="247"/>
        <v>40175</v>
      </c>
      <c r="H424" s="20">
        <f t="shared" si="245"/>
        <v>2</v>
      </c>
      <c r="I424" s="20">
        <f t="shared" ref="I424:Q424" si="307">I304</f>
        <v>2</v>
      </c>
      <c r="J424" s="20">
        <f t="shared" si="307"/>
        <v>5</v>
      </c>
      <c r="K424" s="20">
        <f t="shared" si="307"/>
        <v>380144579500</v>
      </c>
      <c r="L424" s="20">
        <f t="shared" si="307"/>
        <v>380144579500</v>
      </c>
      <c r="M424" s="20">
        <f t="shared" si="307"/>
        <v>380144579500</v>
      </c>
      <c r="N424" s="20">
        <f t="shared" si="307"/>
        <v>0</v>
      </c>
      <c r="O424" s="20">
        <f t="shared" si="307"/>
        <v>0</v>
      </c>
      <c r="P424" s="20">
        <f t="shared" si="307"/>
        <v>0</v>
      </c>
      <c r="Q424" s="20">
        <f t="shared" si="307"/>
        <v>3.4917056376026801E+22</v>
      </c>
      <c r="R424" s="20">
        <v>0</v>
      </c>
      <c r="S424" s="12">
        <v>60</v>
      </c>
      <c r="T424" s="26" t="s">
        <v>602</v>
      </c>
      <c r="U424" s="26"/>
      <c r="V424" s="20"/>
      <c r="W424" s="20"/>
    </row>
    <row r="425" spans="1:23" ht="15.75" x14ac:dyDescent="0.25">
      <c r="A425" s="12">
        <v>40062</v>
      </c>
      <c r="B425" s="27" t="s">
        <v>603</v>
      </c>
      <c r="C425" s="1" t="s">
        <v>526</v>
      </c>
      <c r="D425" s="12">
        <v>62</v>
      </c>
      <c r="E425" s="12">
        <v>4</v>
      </c>
      <c r="F425" s="12">
        <v>62</v>
      </c>
      <c r="G425" s="20">
        <f t="shared" si="247"/>
        <v>50025</v>
      </c>
      <c r="H425" s="20">
        <f t="shared" si="245"/>
        <v>1</v>
      </c>
      <c r="I425" s="20">
        <f t="shared" ref="I425:Q425" si="308">I305</f>
        <v>2</v>
      </c>
      <c r="J425" s="20">
        <f t="shared" si="308"/>
        <v>5</v>
      </c>
      <c r="K425" s="20">
        <f t="shared" si="308"/>
        <v>406254291110</v>
      </c>
      <c r="L425" s="20">
        <f t="shared" si="308"/>
        <v>406254291110</v>
      </c>
      <c r="M425" s="20">
        <f t="shared" si="308"/>
        <v>406254291110</v>
      </c>
      <c r="N425" s="20">
        <f t="shared" si="308"/>
        <v>0</v>
      </c>
      <c r="O425" s="20">
        <f t="shared" si="308"/>
        <v>0</v>
      </c>
      <c r="P425" s="20">
        <f t="shared" si="308"/>
        <v>0</v>
      </c>
      <c r="Q425" s="20">
        <f t="shared" si="308"/>
        <v>4.2337243088893797E+22</v>
      </c>
      <c r="R425" s="20">
        <v>0</v>
      </c>
      <c r="S425" s="12">
        <v>60</v>
      </c>
      <c r="T425" s="26" t="s">
        <v>602</v>
      </c>
      <c r="U425" s="26"/>
      <c r="V425" s="20"/>
      <c r="W425" s="20"/>
    </row>
    <row r="426" spans="1:23" ht="15.75" x14ac:dyDescent="0.25">
      <c r="A426" s="12">
        <v>40063</v>
      </c>
      <c r="B426" s="27" t="s">
        <v>604</v>
      </c>
      <c r="C426" s="1" t="s">
        <v>526</v>
      </c>
      <c r="D426" s="12">
        <v>63</v>
      </c>
      <c r="E426" s="12">
        <v>4</v>
      </c>
      <c r="F426" s="12">
        <v>63</v>
      </c>
      <c r="G426" s="20">
        <f t="shared" si="247"/>
        <v>50075</v>
      </c>
      <c r="H426" s="20">
        <f t="shared" si="245"/>
        <v>3</v>
      </c>
      <c r="I426" s="20">
        <f t="shared" ref="I426:Q426" si="309">I306</f>
        <v>2</v>
      </c>
      <c r="J426" s="20">
        <f t="shared" si="309"/>
        <v>5</v>
      </c>
      <c r="K426" s="20">
        <f t="shared" si="309"/>
        <v>436597890710</v>
      </c>
      <c r="L426" s="20">
        <f t="shared" si="309"/>
        <v>436597890710</v>
      </c>
      <c r="M426" s="20">
        <f t="shared" si="309"/>
        <v>436597890710</v>
      </c>
      <c r="N426" s="20">
        <f t="shared" si="309"/>
        <v>0</v>
      </c>
      <c r="O426" s="20">
        <f t="shared" si="309"/>
        <v>0</v>
      </c>
      <c r="P426" s="20">
        <f t="shared" si="309"/>
        <v>0</v>
      </c>
      <c r="Q426" s="20">
        <f t="shared" si="309"/>
        <v>5.1416847673219697E+22</v>
      </c>
      <c r="R426" s="20">
        <v>0</v>
      </c>
      <c r="S426" s="12">
        <v>60</v>
      </c>
      <c r="T426" s="26" t="s">
        <v>602</v>
      </c>
      <c r="U426" s="26"/>
      <c r="V426" s="20"/>
      <c r="W426" s="20"/>
    </row>
    <row r="427" spans="1:23" ht="15.75" x14ac:dyDescent="0.25">
      <c r="A427" s="12">
        <v>40064</v>
      </c>
      <c r="B427" s="27" t="s">
        <v>605</v>
      </c>
      <c r="C427" s="1" t="s">
        <v>526</v>
      </c>
      <c r="D427" s="12">
        <v>64</v>
      </c>
      <c r="E427" s="12">
        <v>4</v>
      </c>
      <c r="F427" s="12">
        <v>64</v>
      </c>
      <c r="G427" s="20">
        <f t="shared" si="247"/>
        <v>10065</v>
      </c>
      <c r="H427" s="20">
        <f t="shared" si="245"/>
        <v>2</v>
      </c>
      <c r="I427" s="20">
        <f t="shared" ref="I427:Q427" si="310">I307</f>
        <v>2</v>
      </c>
      <c r="J427" s="20">
        <f t="shared" si="310"/>
        <v>5</v>
      </c>
      <c r="K427" s="20">
        <f t="shared" si="310"/>
        <v>465641810800</v>
      </c>
      <c r="L427" s="20">
        <f t="shared" si="310"/>
        <v>465641810800</v>
      </c>
      <c r="M427" s="20">
        <f t="shared" si="310"/>
        <v>465641810800</v>
      </c>
      <c r="N427" s="20">
        <f t="shared" si="310"/>
        <v>0</v>
      </c>
      <c r="O427" s="20">
        <f t="shared" si="310"/>
        <v>0</v>
      </c>
      <c r="P427" s="20">
        <f t="shared" si="310"/>
        <v>0</v>
      </c>
      <c r="Q427" s="20">
        <f t="shared" si="310"/>
        <v>6.2095043642641198E+22</v>
      </c>
      <c r="R427" s="20">
        <v>0</v>
      </c>
      <c r="S427" s="12">
        <v>60</v>
      </c>
      <c r="T427" s="26" t="s">
        <v>602</v>
      </c>
      <c r="U427" s="26"/>
      <c r="V427" s="20"/>
      <c r="W427" s="20"/>
    </row>
    <row r="428" spans="1:23" ht="15.75" x14ac:dyDescent="0.25">
      <c r="A428" s="12">
        <v>40065</v>
      </c>
      <c r="B428" s="27" t="s">
        <v>606</v>
      </c>
      <c r="C428" s="1" t="s">
        <v>526</v>
      </c>
      <c r="D428" s="12">
        <v>65</v>
      </c>
      <c r="E428" s="12">
        <v>4</v>
      </c>
      <c r="F428" s="12">
        <v>65</v>
      </c>
      <c r="G428" s="20">
        <f t="shared" si="247"/>
        <v>10115</v>
      </c>
      <c r="H428" s="20">
        <f t="shared" si="247"/>
        <v>1</v>
      </c>
      <c r="I428" s="20">
        <f t="shared" ref="I428:Q428" si="311">I308</f>
        <v>2</v>
      </c>
      <c r="J428" s="20">
        <f t="shared" si="311"/>
        <v>5</v>
      </c>
      <c r="K428" s="20">
        <f t="shared" si="311"/>
        <v>547117431495</v>
      </c>
      <c r="L428" s="20">
        <f t="shared" si="311"/>
        <v>547117431495</v>
      </c>
      <c r="M428" s="20">
        <f t="shared" si="311"/>
        <v>547117431495</v>
      </c>
      <c r="N428" s="20">
        <f t="shared" si="311"/>
        <v>0</v>
      </c>
      <c r="O428" s="20">
        <f t="shared" si="311"/>
        <v>0</v>
      </c>
      <c r="P428" s="20">
        <f t="shared" si="311"/>
        <v>0</v>
      </c>
      <c r="Q428" s="20">
        <f t="shared" si="311"/>
        <v>7.8202588154703806E+22</v>
      </c>
      <c r="R428" s="20">
        <v>0</v>
      </c>
      <c r="S428" s="12">
        <v>60</v>
      </c>
      <c r="T428" s="26" t="s">
        <v>607</v>
      </c>
      <c r="U428" s="26"/>
      <c r="V428" s="20"/>
      <c r="W428" s="20"/>
    </row>
    <row r="429" spans="1:23" ht="15.75" x14ac:dyDescent="0.25">
      <c r="A429" s="12">
        <v>40066</v>
      </c>
      <c r="B429" s="27" t="s">
        <v>608</v>
      </c>
      <c r="C429" s="1" t="s">
        <v>526</v>
      </c>
      <c r="D429" s="12">
        <v>66</v>
      </c>
      <c r="E429" s="12">
        <v>4</v>
      </c>
      <c r="F429" s="12">
        <v>66</v>
      </c>
      <c r="G429" s="20">
        <f t="shared" ref="G429:H477" si="312">G315</f>
        <v>10165</v>
      </c>
      <c r="H429" s="20">
        <f t="shared" si="312"/>
        <v>3</v>
      </c>
      <c r="I429" s="20">
        <f t="shared" ref="I429:Q429" si="313">I309</f>
        <v>2</v>
      </c>
      <c r="J429" s="20">
        <f t="shared" si="313"/>
        <v>5</v>
      </c>
      <c r="K429" s="20">
        <f t="shared" si="313"/>
        <v>582928054315</v>
      </c>
      <c r="L429" s="20">
        <f t="shared" si="313"/>
        <v>582928054315</v>
      </c>
      <c r="M429" s="20">
        <f t="shared" si="313"/>
        <v>582928054315</v>
      </c>
      <c r="N429" s="20">
        <f t="shared" si="313"/>
        <v>0</v>
      </c>
      <c r="O429" s="20">
        <f t="shared" si="313"/>
        <v>0</v>
      </c>
      <c r="P429" s="20">
        <f t="shared" si="313"/>
        <v>0</v>
      </c>
      <c r="Q429" s="20">
        <f t="shared" si="313"/>
        <v>9.42776497330198E+22</v>
      </c>
      <c r="R429" s="20">
        <v>0</v>
      </c>
      <c r="S429" s="12">
        <v>60</v>
      </c>
      <c r="T429" s="26" t="s">
        <v>607</v>
      </c>
      <c r="U429" s="26"/>
      <c r="V429" s="20"/>
      <c r="W429" s="20"/>
    </row>
    <row r="430" spans="1:23" ht="15.75" x14ac:dyDescent="0.25">
      <c r="A430" s="12">
        <v>40067</v>
      </c>
      <c r="B430" s="27" t="s">
        <v>609</v>
      </c>
      <c r="C430" s="1" t="s">
        <v>526</v>
      </c>
      <c r="D430" s="12">
        <v>67</v>
      </c>
      <c r="E430" s="12">
        <v>4</v>
      </c>
      <c r="F430" s="12">
        <v>67</v>
      </c>
      <c r="G430" s="20">
        <f t="shared" si="312"/>
        <v>20015</v>
      </c>
      <c r="H430" s="20">
        <f t="shared" si="312"/>
        <v>2</v>
      </c>
      <c r="I430" s="20">
        <f t="shared" ref="I430:Q430" si="314">I310</f>
        <v>2</v>
      </c>
      <c r="J430" s="20">
        <f t="shared" si="314"/>
        <v>5</v>
      </c>
      <c r="K430" s="20">
        <f t="shared" si="314"/>
        <v>624574908810</v>
      </c>
      <c r="L430" s="20">
        <f t="shared" si="314"/>
        <v>624574908810</v>
      </c>
      <c r="M430" s="20">
        <f t="shared" si="314"/>
        <v>624574908810</v>
      </c>
      <c r="N430" s="20">
        <f t="shared" si="314"/>
        <v>0</v>
      </c>
      <c r="O430" s="20">
        <f t="shared" si="314"/>
        <v>0</v>
      </c>
      <c r="P430" s="20">
        <f t="shared" si="314"/>
        <v>0</v>
      </c>
      <c r="Q430" s="20">
        <f t="shared" si="314"/>
        <v>1.13882481298603E+23</v>
      </c>
      <c r="R430" s="20">
        <v>0</v>
      </c>
      <c r="S430" s="12">
        <v>60</v>
      </c>
      <c r="T430" s="26" t="s">
        <v>607</v>
      </c>
      <c r="U430" s="26"/>
      <c r="V430" s="20"/>
      <c r="W430" s="20"/>
    </row>
    <row r="431" spans="1:23" ht="15.75" x14ac:dyDescent="0.25">
      <c r="A431" s="12">
        <v>40068</v>
      </c>
      <c r="B431" s="27" t="s">
        <v>610</v>
      </c>
      <c r="C431" s="1" t="s">
        <v>526</v>
      </c>
      <c r="D431" s="12">
        <v>68</v>
      </c>
      <c r="E431" s="12">
        <v>4</v>
      </c>
      <c r="F431" s="12">
        <v>68</v>
      </c>
      <c r="G431" s="20">
        <f t="shared" si="312"/>
        <v>20065</v>
      </c>
      <c r="H431" s="20">
        <f t="shared" si="312"/>
        <v>1</v>
      </c>
      <c r="I431" s="20">
        <f t="shared" ref="I431:Q431" si="315">I311</f>
        <v>2</v>
      </c>
      <c r="J431" s="20">
        <f t="shared" si="315"/>
        <v>5</v>
      </c>
      <c r="K431" s="20">
        <f t="shared" si="315"/>
        <v>664250592050</v>
      </c>
      <c r="L431" s="20">
        <f t="shared" si="315"/>
        <v>664250592050</v>
      </c>
      <c r="M431" s="20">
        <f t="shared" si="315"/>
        <v>664250592050</v>
      </c>
      <c r="N431" s="20">
        <f t="shared" si="315"/>
        <v>0</v>
      </c>
      <c r="O431" s="20">
        <f t="shared" si="315"/>
        <v>0</v>
      </c>
      <c r="P431" s="20">
        <f t="shared" si="315"/>
        <v>0</v>
      </c>
      <c r="Q431" s="20">
        <f t="shared" si="315"/>
        <v>1.3685466632864499E+23</v>
      </c>
      <c r="R431" s="20">
        <v>0</v>
      </c>
      <c r="S431" s="12">
        <v>60</v>
      </c>
      <c r="T431" s="26" t="s">
        <v>607</v>
      </c>
      <c r="U431" s="26"/>
      <c r="V431" s="20"/>
      <c r="W431" s="20"/>
    </row>
    <row r="432" spans="1:23" ht="15.75" x14ac:dyDescent="0.25">
      <c r="A432" s="12">
        <v>40069</v>
      </c>
      <c r="B432" s="27" t="s">
        <v>611</v>
      </c>
      <c r="C432" s="1" t="s">
        <v>526</v>
      </c>
      <c r="D432" s="12">
        <v>69</v>
      </c>
      <c r="E432" s="12">
        <v>4</v>
      </c>
      <c r="F432" s="12">
        <v>69</v>
      </c>
      <c r="G432" s="20">
        <f t="shared" si="312"/>
        <v>20115</v>
      </c>
      <c r="H432" s="20">
        <f t="shared" si="312"/>
        <v>3</v>
      </c>
      <c r="I432" s="20">
        <f t="shared" ref="I432:Q432" si="316">I312</f>
        <v>2</v>
      </c>
      <c r="J432" s="20">
        <f t="shared" si="316"/>
        <v>5</v>
      </c>
      <c r="K432" s="20">
        <f t="shared" si="316"/>
        <v>710540723350</v>
      </c>
      <c r="L432" s="20">
        <f t="shared" si="316"/>
        <v>710540723350</v>
      </c>
      <c r="M432" s="20">
        <f t="shared" si="316"/>
        <v>710540723350</v>
      </c>
      <c r="N432" s="20">
        <f t="shared" si="316"/>
        <v>0</v>
      </c>
      <c r="O432" s="20">
        <f t="shared" si="316"/>
        <v>0</v>
      </c>
      <c r="P432" s="20">
        <f t="shared" si="316"/>
        <v>0</v>
      </c>
      <c r="Q432" s="20">
        <f t="shared" si="316"/>
        <v>1.64819605967886E+23</v>
      </c>
      <c r="R432" s="20">
        <v>0</v>
      </c>
      <c r="S432" s="12">
        <v>60</v>
      </c>
      <c r="T432" s="26" t="s">
        <v>612</v>
      </c>
      <c r="U432" s="26"/>
      <c r="V432" s="20"/>
      <c r="W432" s="20"/>
    </row>
    <row r="433" spans="1:23" ht="15.75" x14ac:dyDescent="0.25">
      <c r="A433" s="12">
        <v>40070</v>
      </c>
      <c r="B433" s="27" t="s">
        <v>613</v>
      </c>
      <c r="C433" s="1" t="s">
        <v>526</v>
      </c>
      <c r="D433" s="12">
        <v>70</v>
      </c>
      <c r="E433" s="12">
        <v>4</v>
      </c>
      <c r="F433" s="12">
        <v>70</v>
      </c>
      <c r="G433" s="20">
        <f t="shared" si="312"/>
        <v>20165</v>
      </c>
      <c r="H433" s="20">
        <f t="shared" si="312"/>
        <v>2</v>
      </c>
      <c r="I433" s="20">
        <f t="shared" ref="I433:Q433" si="317">I313</f>
        <v>2</v>
      </c>
      <c r="J433" s="20">
        <f t="shared" si="317"/>
        <v>5</v>
      </c>
      <c r="K433" s="20">
        <f t="shared" si="317"/>
        <v>754588569150</v>
      </c>
      <c r="L433" s="20">
        <f t="shared" si="317"/>
        <v>754588569150</v>
      </c>
      <c r="M433" s="20">
        <f t="shared" si="317"/>
        <v>754588569150</v>
      </c>
      <c r="N433" s="20">
        <f t="shared" si="317"/>
        <v>0</v>
      </c>
      <c r="O433" s="20">
        <f t="shared" si="317"/>
        <v>0</v>
      </c>
      <c r="P433" s="20">
        <f t="shared" si="317"/>
        <v>0</v>
      </c>
      <c r="Q433" s="20">
        <f t="shared" si="317"/>
        <v>1.9741355213334801E+23</v>
      </c>
      <c r="R433" s="20">
        <v>0</v>
      </c>
      <c r="S433" s="12">
        <v>60</v>
      </c>
      <c r="T433" s="26" t="s">
        <v>612</v>
      </c>
      <c r="U433" s="26"/>
      <c r="V433" s="20"/>
      <c r="W433" s="20"/>
    </row>
    <row r="434" spans="1:23" ht="15.75" x14ac:dyDescent="0.25">
      <c r="A434" s="12">
        <v>40071</v>
      </c>
      <c r="B434" s="27" t="s">
        <v>614</v>
      </c>
      <c r="C434" s="1" t="s">
        <v>526</v>
      </c>
      <c r="D434" s="12">
        <v>71</v>
      </c>
      <c r="E434" s="12">
        <v>4</v>
      </c>
      <c r="F434" s="12">
        <v>71</v>
      </c>
      <c r="G434" s="20">
        <f t="shared" si="312"/>
        <v>30015</v>
      </c>
      <c r="H434" s="20">
        <f t="shared" si="312"/>
        <v>1</v>
      </c>
      <c r="I434" s="20">
        <f t="shared" ref="I434:Q434" si="318">I314</f>
        <v>2</v>
      </c>
      <c r="J434" s="20">
        <f t="shared" si="318"/>
        <v>5</v>
      </c>
      <c r="K434" s="20">
        <f t="shared" si="318"/>
        <v>805881371825</v>
      </c>
      <c r="L434" s="20">
        <f t="shared" si="318"/>
        <v>805881371825</v>
      </c>
      <c r="M434" s="20">
        <f t="shared" si="318"/>
        <v>805881371825</v>
      </c>
      <c r="N434" s="20">
        <f t="shared" si="318"/>
        <v>0</v>
      </c>
      <c r="O434" s="20">
        <f t="shared" si="318"/>
        <v>0</v>
      </c>
      <c r="P434" s="20">
        <f t="shared" si="318"/>
        <v>0</v>
      </c>
      <c r="Q434" s="20">
        <f t="shared" si="318"/>
        <v>2.3700701263284499E+23</v>
      </c>
      <c r="R434" s="20">
        <v>0</v>
      </c>
      <c r="S434" s="12">
        <v>60</v>
      </c>
      <c r="T434" s="26" t="s">
        <v>612</v>
      </c>
      <c r="U434" s="26"/>
      <c r="V434" s="20"/>
      <c r="W434" s="20"/>
    </row>
    <row r="435" spans="1:23" ht="15.75" x14ac:dyDescent="0.25">
      <c r="A435" s="12">
        <v>40072</v>
      </c>
      <c r="B435" s="27" t="s">
        <v>615</v>
      </c>
      <c r="C435" s="1" t="s">
        <v>526</v>
      </c>
      <c r="D435" s="12">
        <v>72</v>
      </c>
      <c r="E435" s="12">
        <v>4</v>
      </c>
      <c r="F435" s="12">
        <v>72</v>
      </c>
      <c r="G435" s="20">
        <f t="shared" si="312"/>
        <v>30065</v>
      </c>
      <c r="H435" s="20">
        <f t="shared" si="312"/>
        <v>3</v>
      </c>
      <c r="I435" s="20">
        <f t="shared" ref="I435:Q435" si="319">I315</f>
        <v>2</v>
      </c>
      <c r="J435" s="20">
        <f t="shared" si="319"/>
        <v>5</v>
      </c>
      <c r="K435" s="20">
        <f t="shared" si="319"/>
        <v>849349846460</v>
      </c>
      <c r="L435" s="20">
        <f t="shared" si="319"/>
        <v>849349846460</v>
      </c>
      <c r="M435" s="20">
        <f t="shared" si="319"/>
        <v>849349846460</v>
      </c>
      <c r="N435" s="20">
        <f t="shared" si="319"/>
        <v>0</v>
      </c>
      <c r="O435" s="20">
        <f t="shared" si="319"/>
        <v>0</v>
      </c>
      <c r="P435" s="20">
        <f t="shared" si="319"/>
        <v>0</v>
      </c>
      <c r="Q435" s="20">
        <f t="shared" si="319"/>
        <v>2.8020918789288E+23</v>
      </c>
      <c r="R435" s="20">
        <v>0</v>
      </c>
      <c r="S435" s="12">
        <v>60</v>
      </c>
      <c r="T435" s="26" t="s">
        <v>612</v>
      </c>
      <c r="U435" s="26"/>
      <c r="V435" s="20"/>
      <c r="W435" s="20"/>
    </row>
    <row r="436" spans="1:23" ht="15.75" x14ac:dyDescent="0.25">
      <c r="A436" s="12">
        <v>40073</v>
      </c>
      <c r="B436" s="27" t="s">
        <v>616</v>
      </c>
      <c r="C436" s="1" t="s">
        <v>526</v>
      </c>
      <c r="D436" s="12">
        <v>73</v>
      </c>
      <c r="E436" s="12">
        <v>4</v>
      </c>
      <c r="F436" s="12">
        <v>73</v>
      </c>
      <c r="G436" s="20">
        <f t="shared" si="312"/>
        <v>30115</v>
      </c>
      <c r="H436" s="20">
        <f t="shared" si="312"/>
        <v>2</v>
      </c>
      <c r="I436" s="20">
        <f t="shared" ref="I436:Q436" si="320">I316</f>
        <v>2</v>
      </c>
      <c r="J436" s="20">
        <f t="shared" si="320"/>
        <v>5</v>
      </c>
      <c r="K436" s="20">
        <f t="shared" si="320"/>
        <v>904812627005</v>
      </c>
      <c r="L436" s="20">
        <f t="shared" si="320"/>
        <v>904812627005</v>
      </c>
      <c r="M436" s="20">
        <f t="shared" si="320"/>
        <v>904812627005</v>
      </c>
      <c r="N436" s="20">
        <f t="shared" si="320"/>
        <v>0</v>
      </c>
      <c r="O436" s="20">
        <f t="shared" si="320"/>
        <v>0</v>
      </c>
      <c r="P436" s="20">
        <f t="shared" si="320"/>
        <v>0</v>
      </c>
      <c r="Q436" s="20">
        <f t="shared" si="320"/>
        <v>3.4512116020382499E+23</v>
      </c>
      <c r="R436" s="20">
        <v>0</v>
      </c>
      <c r="S436" s="12">
        <v>60</v>
      </c>
      <c r="T436" s="26" t="s">
        <v>617</v>
      </c>
      <c r="U436" s="26"/>
      <c r="V436" s="20"/>
      <c r="W436" s="20"/>
    </row>
    <row r="437" spans="1:23" ht="15.75" x14ac:dyDescent="0.25">
      <c r="A437" s="12">
        <v>40074</v>
      </c>
      <c r="B437" s="27" t="s">
        <v>618</v>
      </c>
      <c r="C437" s="1" t="s">
        <v>526</v>
      </c>
      <c r="D437" s="12">
        <v>74</v>
      </c>
      <c r="E437" s="12">
        <v>4</v>
      </c>
      <c r="F437" s="12">
        <v>74</v>
      </c>
      <c r="G437" s="20">
        <f t="shared" si="312"/>
        <v>30165</v>
      </c>
      <c r="H437" s="20">
        <f t="shared" si="312"/>
        <v>1</v>
      </c>
      <c r="I437" s="20">
        <f t="shared" ref="I437:Q437" si="321">I317</f>
        <v>2</v>
      </c>
      <c r="J437" s="20">
        <f t="shared" si="321"/>
        <v>5</v>
      </c>
      <c r="K437" s="20">
        <f t="shared" si="321"/>
        <v>952363500030</v>
      </c>
      <c r="L437" s="20">
        <f t="shared" si="321"/>
        <v>952363500030</v>
      </c>
      <c r="M437" s="20">
        <f t="shared" si="321"/>
        <v>952363500030</v>
      </c>
      <c r="N437" s="20">
        <f t="shared" si="321"/>
        <v>0</v>
      </c>
      <c r="O437" s="20">
        <f t="shared" si="321"/>
        <v>0</v>
      </c>
      <c r="P437" s="20">
        <f t="shared" si="321"/>
        <v>0</v>
      </c>
      <c r="Q437" s="20">
        <f t="shared" si="321"/>
        <v>4.0672903940712002E+23</v>
      </c>
      <c r="R437" s="20">
        <v>0</v>
      </c>
      <c r="S437" s="12">
        <v>60</v>
      </c>
      <c r="T437" s="26" t="s">
        <v>617</v>
      </c>
      <c r="U437" s="26"/>
      <c r="V437" s="20"/>
      <c r="W437" s="20"/>
    </row>
    <row r="438" spans="1:23" ht="15.75" x14ac:dyDescent="0.25">
      <c r="A438" s="12">
        <v>40075</v>
      </c>
      <c r="B438" s="27" t="s">
        <v>619</v>
      </c>
      <c r="C438" s="1" t="s">
        <v>526</v>
      </c>
      <c r="D438" s="12">
        <v>75</v>
      </c>
      <c r="E438" s="12">
        <v>4</v>
      </c>
      <c r="F438" s="12">
        <v>75</v>
      </c>
      <c r="G438" s="20">
        <f t="shared" si="312"/>
        <v>40015</v>
      </c>
      <c r="H438" s="20">
        <f t="shared" si="312"/>
        <v>3</v>
      </c>
      <c r="I438" s="20">
        <f t="shared" ref="I438:Q438" si="322">I318</f>
        <v>2</v>
      </c>
      <c r="J438" s="20">
        <f t="shared" si="322"/>
        <v>5</v>
      </c>
      <c r="K438" s="20">
        <f t="shared" si="322"/>
        <v>1008111382920</v>
      </c>
      <c r="L438" s="20">
        <f t="shared" si="322"/>
        <v>1008111382920</v>
      </c>
      <c r="M438" s="20">
        <f t="shared" si="322"/>
        <v>1008111382920</v>
      </c>
      <c r="N438" s="20">
        <f t="shared" si="322"/>
        <v>0</v>
      </c>
      <c r="O438" s="20">
        <f t="shared" si="322"/>
        <v>0</v>
      </c>
      <c r="P438" s="20">
        <f t="shared" si="322"/>
        <v>0</v>
      </c>
      <c r="Q438" s="20">
        <f t="shared" si="322"/>
        <v>4.8075464821218798E+23</v>
      </c>
      <c r="R438" s="20">
        <v>0</v>
      </c>
      <c r="S438" s="12">
        <v>60</v>
      </c>
      <c r="T438" s="26" t="s">
        <v>617</v>
      </c>
      <c r="U438" s="26"/>
      <c r="V438" s="20"/>
      <c r="W438" s="20"/>
    </row>
    <row r="439" spans="1:23" ht="15.75" x14ac:dyDescent="0.25">
      <c r="A439" s="12">
        <v>40076</v>
      </c>
      <c r="B439" s="27" t="s">
        <v>620</v>
      </c>
      <c r="C439" s="1" t="s">
        <v>526</v>
      </c>
      <c r="D439" s="12">
        <v>76</v>
      </c>
      <c r="E439" s="12">
        <v>4</v>
      </c>
      <c r="F439" s="12">
        <v>76</v>
      </c>
      <c r="G439" s="20">
        <f t="shared" si="312"/>
        <v>40065</v>
      </c>
      <c r="H439" s="20">
        <f t="shared" si="312"/>
        <v>2</v>
      </c>
      <c r="I439" s="20">
        <f t="shared" ref="I439:Q439" si="323">I319</f>
        <v>2</v>
      </c>
      <c r="J439" s="20">
        <f t="shared" si="323"/>
        <v>5</v>
      </c>
      <c r="K439" s="20">
        <f t="shared" si="323"/>
        <v>1059810100115</v>
      </c>
      <c r="L439" s="20">
        <f t="shared" si="323"/>
        <v>1059810100115</v>
      </c>
      <c r="M439" s="20">
        <f t="shared" si="323"/>
        <v>1059810100115</v>
      </c>
      <c r="N439" s="20">
        <f t="shared" si="323"/>
        <v>0</v>
      </c>
      <c r="O439" s="20">
        <f t="shared" si="323"/>
        <v>0</v>
      </c>
      <c r="P439" s="20">
        <f t="shared" si="323"/>
        <v>0</v>
      </c>
      <c r="Q439" s="20">
        <f t="shared" si="323"/>
        <v>5.65212178883448E+23</v>
      </c>
      <c r="R439" s="20">
        <v>0</v>
      </c>
      <c r="S439" s="12">
        <v>60</v>
      </c>
      <c r="T439" s="26" t="s">
        <v>617</v>
      </c>
      <c r="U439" s="26"/>
      <c r="V439" s="20"/>
      <c r="W439" s="20"/>
    </row>
    <row r="440" spans="1:23" ht="15.75" x14ac:dyDescent="0.25">
      <c r="A440" s="12">
        <v>40077</v>
      </c>
      <c r="B440" s="27" t="s">
        <v>621</v>
      </c>
      <c r="C440" s="1" t="s">
        <v>526</v>
      </c>
      <c r="D440" s="12">
        <v>77</v>
      </c>
      <c r="E440" s="12">
        <v>4</v>
      </c>
      <c r="F440" s="12">
        <v>77</v>
      </c>
      <c r="G440" s="20">
        <f t="shared" si="312"/>
        <v>40115</v>
      </c>
      <c r="H440" s="20">
        <f t="shared" si="312"/>
        <v>1</v>
      </c>
      <c r="I440" s="20">
        <f t="shared" ref="I440:Q440" si="324">I320</f>
        <v>2</v>
      </c>
      <c r="J440" s="20">
        <f t="shared" si="324"/>
        <v>6</v>
      </c>
      <c r="K440" s="20">
        <f t="shared" si="324"/>
        <v>1134628706000</v>
      </c>
      <c r="L440" s="20">
        <f t="shared" si="324"/>
        <v>1134628706000</v>
      </c>
      <c r="M440" s="20">
        <f t="shared" si="324"/>
        <v>1134628706000</v>
      </c>
      <c r="N440" s="20">
        <f t="shared" si="324"/>
        <v>0</v>
      </c>
      <c r="O440" s="20">
        <f t="shared" si="324"/>
        <v>0</v>
      </c>
      <c r="P440" s="20">
        <f t="shared" si="324"/>
        <v>0</v>
      </c>
      <c r="Q440" s="20">
        <f t="shared" si="324"/>
        <v>7.8219779662600306E+23</v>
      </c>
      <c r="R440" s="20">
        <v>0</v>
      </c>
      <c r="S440" s="12">
        <v>60</v>
      </c>
      <c r="T440" s="26" t="s">
        <v>622</v>
      </c>
      <c r="U440" s="26"/>
      <c r="V440" s="20"/>
      <c r="W440" s="20"/>
    </row>
    <row r="441" spans="1:23" ht="15.75" x14ac:dyDescent="0.25">
      <c r="A441" s="12">
        <v>40078</v>
      </c>
      <c r="B441" s="27" t="s">
        <v>623</v>
      </c>
      <c r="C441" s="1" t="s">
        <v>526</v>
      </c>
      <c r="D441" s="12">
        <v>78</v>
      </c>
      <c r="E441" s="12">
        <v>4</v>
      </c>
      <c r="F441" s="12">
        <v>78</v>
      </c>
      <c r="G441" s="20">
        <f t="shared" si="312"/>
        <v>40165</v>
      </c>
      <c r="H441" s="20">
        <f t="shared" si="312"/>
        <v>3</v>
      </c>
      <c r="I441" s="20">
        <f t="shared" ref="I441:Q441" si="325">I321</f>
        <v>2</v>
      </c>
      <c r="J441" s="20">
        <f t="shared" si="325"/>
        <v>6</v>
      </c>
      <c r="K441" s="20">
        <f t="shared" si="325"/>
        <v>1205945077255</v>
      </c>
      <c r="L441" s="20">
        <f t="shared" si="325"/>
        <v>1205945077255</v>
      </c>
      <c r="M441" s="20">
        <f t="shared" si="325"/>
        <v>1205945077255</v>
      </c>
      <c r="N441" s="20">
        <f t="shared" si="325"/>
        <v>0</v>
      </c>
      <c r="O441" s="20">
        <f t="shared" si="325"/>
        <v>0</v>
      </c>
      <c r="P441" s="20">
        <f t="shared" si="325"/>
        <v>0</v>
      </c>
      <c r="Q441" s="20">
        <f t="shared" si="325"/>
        <v>9.55255852469745E+23</v>
      </c>
      <c r="R441" s="20">
        <v>0</v>
      </c>
      <c r="S441" s="12">
        <v>60</v>
      </c>
      <c r="T441" s="26" t="s">
        <v>622</v>
      </c>
      <c r="U441" s="26"/>
      <c r="V441" s="20"/>
      <c r="W441" s="20"/>
    </row>
    <row r="442" spans="1:23" ht="15.75" x14ac:dyDescent="0.25">
      <c r="A442" s="12">
        <v>40079</v>
      </c>
      <c r="B442" s="27" t="s">
        <v>624</v>
      </c>
      <c r="C442" s="1" t="s">
        <v>526</v>
      </c>
      <c r="D442" s="12">
        <v>79</v>
      </c>
      <c r="E442" s="12">
        <v>4</v>
      </c>
      <c r="F442" s="12">
        <v>79</v>
      </c>
      <c r="G442" s="20">
        <f t="shared" si="312"/>
        <v>50015</v>
      </c>
      <c r="H442" s="20">
        <f t="shared" si="312"/>
        <v>2</v>
      </c>
      <c r="I442" s="20">
        <f t="shared" ref="I442:Q442" si="326">I322</f>
        <v>2</v>
      </c>
      <c r="J442" s="20">
        <f t="shared" si="326"/>
        <v>6</v>
      </c>
      <c r="K442" s="20">
        <f t="shared" si="326"/>
        <v>1294309474850</v>
      </c>
      <c r="L442" s="20">
        <f t="shared" si="326"/>
        <v>1294309474850</v>
      </c>
      <c r="M442" s="20">
        <f t="shared" si="326"/>
        <v>1294309474850</v>
      </c>
      <c r="N442" s="20">
        <f t="shared" si="326"/>
        <v>0</v>
      </c>
      <c r="O442" s="20">
        <f t="shared" si="326"/>
        <v>0</v>
      </c>
      <c r="P442" s="20">
        <f t="shared" si="326"/>
        <v>0</v>
      </c>
      <c r="Q442" s="20">
        <f t="shared" si="326"/>
        <v>1.1914452634738601E+24</v>
      </c>
      <c r="R442" s="20">
        <v>0</v>
      </c>
      <c r="S442" s="12">
        <v>60</v>
      </c>
      <c r="T442" s="26" t="s">
        <v>622</v>
      </c>
      <c r="U442" s="26"/>
      <c r="V442" s="20"/>
      <c r="W442" s="20"/>
    </row>
    <row r="443" spans="1:23" ht="15.75" x14ac:dyDescent="0.25">
      <c r="A443" s="12">
        <v>40080</v>
      </c>
      <c r="B443" s="27" t="s">
        <v>625</v>
      </c>
      <c r="C443" s="1" t="s">
        <v>526</v>
      </c>
      <c r="D443" s="12">
        <v>80</v>
      </c>
      <c r="E443" s="12">
        <v>4</v>
      </c>
      <c r="F443" s="12">
        <v>80</v>
      </c>
      <c r="G443" s="20">
        <f t="shared" si="312"/>
        <v>50065</v>
      </c>
      <c r="H443" s="20">
        <f t="shared" si="312"/>
        <v>1</v>
      </c>
      <c r="I443" s="20">
        <f t="shared" ref="I443:Q443" si="327">I323</f>
        <v>2</v>
      </c>
      <c r="J443" s="20">
        <f t="shared" si="327"/>
        <v>6</v>
      </c>
      <c r="K443" s="20">
        <f t="shared" si="327"/>
        <v>1372844889330</v>
      </c>
      <c r="L443" s="20">
        <f t="shared" si="327"/>
        <v>1372844889330</v>
      </c>
      <c r="M443" s="20">
        <f t="shared" si="327"/>
        <v>1372844889330</v>
      </c>
      <c r="N443" s="20">
        <f t="shared" si="327"/>
        <v>0</v>
      </c>
      <c r="O443" s="20">
        <f t="shared" si="327"/>
        <v>0</v>
      </c>
      <c r="P443" s="20">
        <f t="shared" si="327"/>
        <v>0</v>
      </c>
      <c r="Q443" s="20">
        <f t="shared" si="327"/>
        <v>1.4550930861503199E+24</v>
      </c>
      <c r="R443" s="20">
        <v>0</v>
      </c>
      <c r="S443" s="12">
        <v>60</v>
      </c>
      <c r="T443" s="26" t="s">
        <v>622</v>
      </c>
      <c r="U443" s="26"/>
      <c r="V443" s="20"/>
      <c r="W443" s="20"/>
    </row>
    <row r="444" spans="1:23" ht="15.75" x14ac:dyDescent="0.25">
      <c r="A444" s="12">
        <v>40081</v>
      </c>
      <c r="B444" s="27" t="s">
        <v>626</v>
      </c>
      <c r="C444" s="1" t="s">
        <v>526</v>
      </c>
      <c r="D444" s="12">
        <v>81</v>
      </c>
      <c r="E444" s="12">
        <v>4</v>
      </c>
      <c r="F444" s="12">
        <v>81</v>
      </c>
      <c r="G444" s="20">
        <f t="shared" si="312"/>
        <v>10055</v>
      </c>
      <c r="H444" s="20">
        <f t="shared" si="312"/>
        <v>3</v>
      </c>
      <c r="I444" s="20">
        <f t="shared" ref="I444:Q444" si="328">I324</f>
        <v>2</v>
      </c>
      <c r="J444" s="20">
        <f t="shared" si="328"/>
        <v>6</v>
      </c>
      <c r="K444" s="20">
        <f t="shared" si="328"/>
        <v>2461957151705</v>
      </c>
      <c r="L444" s="20">
        <f t="shared" si="328"/>
        <v>2461957151705</v>
      </c>
      <c r="M444" s="20">
        <f t="shared" si="328"/>
        <v>2461957151705</v>
      </c>
      <c r="N444" s="20">
        <f t="shared" si="328"/>
        <v>0</v>
      </c>
      <c r="O444" s="20">
        <f t="shared" si="328"/>
        <v>0</v>
      </c>
      <c r="P444" s="20">
        <f t="shared" si="328"/>
        <v>0</v>
      </c>
      <c r="Q444" s="20">
        <f t="shared" si="328"/>
        <v>7.0714605345934501E+24</v>
      </c>
      <c r="R444" s="20">
        <v>0</v>
      </c>
      <c r="S444" s="12">
        <v>60</v>
      </c>
      <c r="T444" s="26" t="s">
        <v>627</v>
      </c>
      <c r="U444" s="26"/>
      <c r="V444" s="20"/>
      <c r="W444" s="20"/>
    </row>
    <row r="445" spans="1:23" ht="15.75" x14ac:dyDescent="0.25">
      <c r="A445" s="12">
        <v>40082</v>
      </c>
      <c r="B445" s="27" t="s">
        <v>628</v>
      </c>
      <c r="C445" s="1" t="s">
        <v>526</v>
      </c>
      <c r="D445" s="12">
        <v>82</v>
      </c>
      <c r="E445" s="12">
        <v>4</v>
      </c>
      <c r="F445" s="12">
        <v>82</v>
      </c>
      <c r="G445" s="20">
        <f t="shared" si="312"/>
        <v>10105</v>
      </c>
      <c r="H445" s="20">
        <f t="shared" si="312"/>
        <v>2</v>
      </c>
      <c r="I445" s="20">
        <f t="shared" ref="I445:Q445" si="329">I325</f>
        <v>2</v>
      </c>
      <c r="J445" s="20">
        <f t="shared" si="329"/>
        <v>6</v>
      </c>
      <c r="K445" s="20">
        <f t="shared" si="329"/>
        <v>2588284473940</v>
      </c>
      <c r="L445" s="20">
        <f t="shared" si="329"/>
        <v>2588284473940</v>
      </c>
      <c r="M445" s="20">
        <f t="shared" si="329"/>
        <v>2588284473940</v>
      </c>
      <c r="N445" s="20">
        <f t="shared" si="329"/>
        <v>0</v>
      </c>
      <c r="O445" s="20">
        <f t="shared" si="329"/>
        <v>0</v>
      </c>
      <c r="P445" s="20">
        <f t="shared" si="329"/>
        <v>0</v>
      </c>
      <c r="Q445" s="20">
        <f t="shared" si="329"/>
        <v>8.3719565113977004E+24</v>
      </c>
      <c r="R445" s="20">
        <v>0</v>
      </c>
      <c r="S445" s="12">
        <v>60</v>
      </c>
      <c r="T445" s="26" t="s">
        <v>627</v>
      </c>
      <c r="U445" s="26"/>
      <c r="V445" s="20"/>
      <c r="W445" s="20"/>
    </row>
    <row r="446" spans="1:23" ht="15.75" x14ac:dyDescent="0.25">
      <c r="A446" s="12">
        <v>40083</v>
      </c>
      <c r="B446" s="27" t="s">
        <v>629</v>
      </c>
      <c r="C446" s="1" t="s">
        <v>526</v>
      </c>
      <c r="D446" s="12">
        <v>83</v>
      </c>
      <c r="E446" s="12">
        <v>4</v>
      </c>
      <c r="F446" s="12">
        <v>83</v>
      </c>
      <c r="G446" s="20">
        <f t="shared" si="312"/>
        <v>10155</v>
      </c>
      <c r="H446" s="20">
        <f t="shared" si="312"/>
        <v>1</v>
      </c>
      <c r="I446" s="20">
        <f t="shared" ref="I446:Q446" si="330">I326</f>
        <v>2</v>
      </c>
      <c r="J446" s="20">
        <f t="shared" si="330"/>
        <v>6</v>
      </c>
      <c r="K446" s="20">
        <f t="shared" si="330"/>
        <v>2745613625505</v>
      </c>
      <c r="L446" s="20">
        <f t="shared" si="330"/>
        <v>2745613625505</v>
      </c>
      <c r="M446" s="20">
        <f t="shared" si="330"/>
        <v>2745613625505</v>
      </c>
      <c r="N446" s="20">
        <f t="shared" si="330"/>
        <v>0</v>
      </c>
      <c r="O446" s="20">
        <f t="shared" si="330"/>
        <v>0</v>
      </c>
      <c r="P446" s="20">
        <f t="shared" si="330"/>
        <v>0</v>
      </c>
      <c r="Q446" s="20">
        <f t="shared" si="330"/>
        <v>1.0080074778702601E+25</v>
      </c>
      <c r="R446" s="20">
        <v>0</v>
      </c>
      <c r="S446" s="12">
        <v>60</v>
      </c>
      <c r="T446" s="26" t="s">
        <v>627</v>
      </c>
      <c r="U446" s="26"/>
      <c r="V446" s="20"/>
      <c r="W446" s="20"/>
    </row>
    <row r="447" spans="1:23" ht="15.75" x14ac:dyDescent="0.25">
      <c r="A447" s="12">
        <v>40084</v>
      </c>
      <c r="B447" s="27" t="s">
        <v>630</v>
      </c>
      <c r="C447" s="1" t="s">
        <v>526</v>
      </c>
      <c r="D447" s="12">
        <v>84</v>
      </c>
      <c r="E447" s="12">
        <v>4</v>
      </c>
      <c r="F447" s="12">
        <v>84</v>
      </c>
      <c r="G447" s="20">
        <f t="shared" si="312"/>
        <v>10205</v>
      </c>
      <c r="H447" s="20">
        <f t="shared" si="312"/>
        <v>3</v>
      </c>
      <c r="I447" s="20">
        <f t="shared" ref="I447:Q447" si="331">I327</f>
        <v>2</v>
      </c>
      <c r="J447" s="20">
        <f t="shared" si="331"/>
        <v>6</v>
      </c>
      <c r="K447" s="20">
        <f t="shared" si="331"/>
        <v>2882604907570</v>
      </c>
      <c r="L447" s="20">
        <f t="shared" si="331"/>
        <v>2882604907570</v>
      </c>
      <c r="M447" s="20">
        <f t="shared" si="331"/>
        <v>2882604907570</v>
      </c>
      <c r="N447" s="20">
        <f t="shared" si="331"/>
        <v>0</v>
      </c>
      <c r="O447" s="20">
        <f t="shared" si="331"/>
        <v>0</v>
      </c>
      <c r="P447" s="20">
        <f t="shared" si="331"/>
        <v>0</v>
      </c>
      <c r="Q447" s="20">
        <f t="shared" si="331"/>
        <v>1.1883311941363501E+25</v>
      </c>
      <c r="R447" s="20">
        <v>0</v>
      </c>
      <c r="S447" s="12">
        <v>60</v>
      </c>
      <c r="T447" s="26" t="s">
        <v>627</v>
      </c>
      <c r="U447" s="26"/>
      <c r="V447" s="20"/>
      <c r="W447" s="20"/>
    </row>
    <row r="448" spans="1:23" ht="15.75" x14ac:dyDescent="0.25">
      <c r="A448" s="12">
        <v>40085</v>
      </c>
      <c r="B448" s="27" t="s">
        <v>631</v>
      </c>
      <c r="C448" s="1" t="s">
        <v>526</v>
      </c>
      <c r="D448" s="12">
        <v>85</v>
      </c>
      <c r="E448" s="12">
        <v>4</v>
      </c>
      <c r="F448" s="12">
        <v>85</v>
      </c>
      <c r="G448" s="20">
        <f t="shared" si="312"/>
        <v>20055</v>
      </c>
      <c r="H448" s="20">
        <f t="shared" si="312"/>
        <v>2</v>
      </c>
      <c r="I448" s="20">
        <f t="shared" ref="I448:Q448" si="332">I328</f>
        <v>2</v>
      </c>
      <c r="J448" s="20">
        <f t="shared" si="332"/>
        <v>6</v>
      </c>
      <c r="K448" s="20">
        <f t="shared" si="332"/>
        <v>3053641376600</v>
      </c>
      <c r="L448" s="20">
        <f t="shared" si="332"/>
        <v>3053641376600</v>
      </c>
      <c r="M448" s="20">
        <f t="shared" si="332"/>
        <v>3053641376600</v>
      </c>
      <c r="N448" s="20">
        <f t="shared" si="332"/>
        <v>0</v>
      </c>
      <c r="O448" s="20">
        <f t="shared" si="332"/>
        <v>0</v>
      </c>
      <c r="P448" s="20">
        <f t="shared" si="332"/>
        <v>0</v>
      </c>
      <c r="Q448" s="20">
        <f t="shared" si="332"/>
        <v>1.4252640047693299E+25</v>
      </c>
      <c r="R448" s="20">
        <v>0</v>
      </c>
      <c r="S448" s="12">
        <v>60</v>
      </c>
      <c r="T448" s="26" t="s">
        <v>632</v>
      </c>
      <c r="U448" s="26"/>
      <c r="V448" s="20"/>
      <c r="W448" s="20"/>
    </row>
    <row r="449" spans="1:23" ht="15.75" x14ac:dyDescent="0.25">
      <c r="A449" s="12">
        <v>40086</v>
      </c>
      <c r="B449" s="27" t="s">
        <v>633</v>
      </c>
      <c r="C449" s="1" t="s">
        <v>526</v>
      </c>
      <c r="D449" s="12">
        <v>86</v>
      </c>
      <c r="E449" s="12">
        <v>4</v>
      </c>
      <c r="F449" s="12">
        <v>86</v>
      </c>
      <c r="G449" s="20">
        <f t="shared" si="312"/>
        <v>20105</v>
      </c>
      <c r="H449" s="20">
        <f t="shared" si="312"/>
        <v>1</v>
      </c>
      <c r="I449" s="20">
        <f t="shared" ref="I449:Q449" si="333">I329</f>
        <v>2</v>
      </c>
      <c r="J449" s="20">
        <f t="shared" si="333"/>
        <v>6</v>
      </c>
      <c r="K449" s="20">
        <f t="shared" si="333"/>
        <v>3202434456735</v>
      </c>
      <c r="L449" s="20">
        <f t="shared" si="333"/>
        <v>3202434456735</v>
      </c>
      <c r="M449" s="20">
        <f t="shared" si="333"/>
        <v>3202434456735</v>
      </c>
      <c r="N449" s="20">
        <f t="shared" si="333"/>
        <v>0</v>
      </c>
      <c r="O449" s="20">
        <f t="shared" si="333"/>
        <v>0</v>
      </c>
      <c r="P449" s="20">
        <f t="shared" si="333"/>
        <v>0</v>
      </c>
      <c r="Q449" s="20">
        <f t="shared" si="333"/>
        <v>1.6740516257197599E+25</v>
      </c>
      <c r="R449" s="20">
        <v>0</v>
      </c>
      <c r="S449" s="12">
        <v>60</v>
      </c>
      <c r="T449" s="26" t="s">
        <v>632</v>
      </c>
      <c r="U449" s="26"/>
      <c r="V449" s="20"/>
      <c r="W449" s="20"/>
    </row>
    <row r="450" spans="1:23" ht="15.75" x14ac:dyDescent="0.25">
      <c r="A450" s="12">
        <v>40087</v>
      </c>
      <c r="B450" s="27" t="s">
        <v>634</v>
      </c>
      <c r="C450" s="1" t="s">
        <v>526</v>
      </c>
      <c r="D450" s="12">
        <v>87</v>
      </c>
      <c r="E450" s="12">
        <v>4</v>
      </c>
      <c r="F450" s="12">
        <v>87</v>
      </c>
      <c r="G450" s="20">
        <f t="shared" si="312"/>
        <v>20155</v>
      </c>
      <c r="H450" s="20">
        <f t="shared" si="312"/>
        <v>3</v>
      </c>
      <c r="I450" s="20">
        <f t="shared" ref="I450:Q450" si="334">I330</f>
        <v>2</v>
      </c>
      <c r="J450" s="20">
        <f t="shared" si="334"/>
        <v>6</v>
      </c>
      <c r="K450" s="20">
        <f t="shared" si="334"/>
        <v>3387794342615</v>
      </c>
      <c r="L450" s="20">
        <f t="shared" si="334"/>
        <v>3387794342615</v>
      </c>
      <c r="M450" s="20">
        <f t="shared" si="334"/>
        <v>3387794342615</v>
      </c>
      <c r="N450" s="20">
        <f t="shared" si="334"/>
        <v>0</v>
      </c>
      <c r="O450" s="20">
        <f t="shared" si="334"/>
        <v>0</v>
      </c>
      <c r="P450" s="20">
        <f t="shared" si="334"/>
        <v>0</v>
      </c>
      <c r="Q450" s="20">
        <f t="shared" si="334"/>
        <v>1.9998397804482501E+25</v>
      </c>
      <c r="R450" s="20">
        <v>0</v>
      </c>
      <c r="S450" s="12">
        <v>60</v>
      </c>
      <c r="T450" s="26" t="s">
        <v>632</v>
      </c>
      <c r="U450" s="26"/>
      <c r="V450" s="20"/>
      <c r="W450" s="20"/>
    </row>
    <row r="451" spans="1:23" ht="15.75" x14ac:dyDescent="0.25">
      <c r="A451" s="12">
        <v>40088</v>
      </c>
      <c r="B451" s="27" t="s">
        <v>635</v>
      </c>
      <c r="C451" s="1" t="s">
        <v>526</v>
      </c>
      <c r="D451" s="12">
        <v>88</v>
      </c>
      <c r="E451" s="12">
        <v>4</v>
      </c>
      <c r="F451" s="12">
        <v>88</v>
      </c>
      <c r="G451" s="20">
        <f t="shared" si="312"/>
        <v>20205</v>
      </c>
      <c r="H451" s="20">
        <f t="shared" si="312"/>
        <v>2</v>
      </c>
      <c r="I451" s="20">
        <f t="shared" ref="I451:Q451" si="335">I331</f>
        <v>2</v>
      </c>
      <c r="J451" s="20">
        <f t="shared" si="335"/>
        <v>6</v>
      </c>
      <c r="K451" s="20">
        <f t="shared" si="335"/>
        <v>3548746057450</v>
      </c>
      <c r="L451" s="20">
        <f t="shared" si="335"/>
        <v>3548746057450</v>
      </c>
      <c r="M451" s="20">
        <f t="shared" si="335"/>
        <v>3548746057450</v>
      </c>
      <c r="N451" s="20">
        <f t="shared" si="335"/>
        <v>0</v>
      </c>
      <c r="O451" s="20">
        <f t="shared" si="335"/>
        <v>0</v>
      </c>
      <c r="P451" s="20">
        <f t="shared" si="335"/>
        <v>0</v>
      </c>
      <c r="Q451" s="20">
        <f t="shared" si="335"/>
        <v>2.3407992690310998E+25</v>
      </c>
      <c r="R451" s="20">
        <v>0</v>
      </c>
      <c r="S451" s="12">
        <v>60</v>
      </c>
      <c r="T451" s="26" t="s">
        <v>632</v>
      </c>
      <c r="U451" s="26"/>
      <c r="V451" s="20"/>
      <c r="W451" s="20"/>
    </row>
    <row r="452" spans="1:23" ht="15.75" x14ac:dyDescent="0.25">
      <c r="A452" s="12">
        <v>40089</v>
      </c>
      <c r="B452" s="27" t="s">
        <v>636</v>
      </c>
      <c r="C452" s="1" t="s">
        <v>526</v>
      </c>
      <c r="D452" s="12">
        <v>89</v>
      </c>
      <c r="E452" s="12">
        <v>4</v>
      </c>
      <c r="F452" s="12">
        <v>89</v>
      </c>
      <c r="G452" s="20">
        <f t="shared" si="312"/>
        <v>30055</v>
      </c>
      <c r="H452" s="20">
        <f t="shared" si="312"/>
        <v>1</v>
      </c>
      <c r="I452" s="20">
        <f t="shared" ref="I452:Q452" si="336">I332</f>
        <v>2</v>
      </c>
      <c r="J452" s="20">
        <f t="shared" si="336"/>
        <v>6</v>
      </c>
      <c r="K452" s="20">
        <f t="shared" si="336"/>
        <v>3790743992825</v>
      </c>
      <c r="L452" s="20">
        <f t="shared" si="336"/>
        <v>3790743992825</v>
      </c>
      <c r="M452" s="20">
        <f t="shared" si="336"/>
        <v>3790743992825</v>
      </c>
      <c r="N452" s="20">
        <f t="shared" si="336"/>
        <v>0</v>
      </c>
      <c r="O452" s="20">
        <f t="shared" si="336"/>
        <v>0</v>
      </c>
      <c r="P452" s="20">
        <f t="shared" si="336"/>
        <v>0</v>
      </c>
      <c r="Q452" s="20">
        <f t="shared" si="336"/>
        <v>3.1759650506535298E+25</v>
      </c>
      <c r="R452" s="20">
        <v>0</v>
      </c>
      <c r="S452" s="12">
        <v>60</v>
      </c>
      <c r="T452" s="26" t="s">
        <v>637</v>
      </c>
      <c r="U452" s="26"/>
      <c r="V452" s="20"/>
      <c r="W452" s="20"/>
    </row>
    <row r="453" spans="1:23" ht="15.75" x14ac:dyDescent="0.25">
      <c r="A453" s="12">
        <v>40090</v>
      </c>
      <c r="B453" s="27" t="s">
        <v>638</v>
      </c>
      <c r="C453" s="1" t="s">
        <v>526</v>
      </c>
      <c r="D453" s="12">
        <v>90</v>
      </c>
      <c r="E453" s="12">
        <v>4</v>
      </c>
      <c r="F453" s="12">
        <v>90</v>
      </c>
      <c r="G453" s="20">
        <f t="shared" si="312"/>
        <v>30105</v>
      </c>
      <c r="H453" s="20">
        <f t="shared" si="312"/>
        <v>3</v>
      </c>
      <c r="I453" s="20">
        <f t="shared" ref="I453:Q453" si="337">I333</f>
        <v>2</v>
      </c>
      <c r="J453" s="20">
        <f t="shared" si="337"/>
        <v>6</v>
      </c>
      <c r="K453" s="20">
        <f t="shared" si="337"/>
        <v>3977775902135</v>
      </c>
      <c r="L453" s="20">
        <f t="shared" si="337"/>
        <v>3977775902135</v>
      </c>
      <c r="M453" s="20">
        <f t="shared" si="337"/>
        <v>3977775902135</v>
      </c>
      <c r="N453" s="20">
        <f t="shared" si="337"/>
        <v>0</v>
      </c>
      <c r="O453" s="20">
        <f t="shared" si="337"/>
        <v>0</v>
      </c>
      <c r="P453" s="20">
        <f t="shared" si="337"/>
        <v>0</v>
      </c>
      <c r="Q453" s="20">
        <f t="shared" si="337"/>
        <v>3.7090901245188002E+25</v>
      </c>
      <c r="R453" s="20">
        <v>0</v>
      </c>
      <c r="S453" s="12">
        <v>60</v>
      </c>
      <c r="T453" s="26" t="s">
        <v>637</v>
      </c>
      <c r="U453" s="26"/>
      <c r="V453" s="20"/>
      <c r="W453" s="20"/>
    </row>
    <row r="454" spans="1:23" ht="15.75" x14ac:dyDescent="0.25">
      <c r="A454" s="12">
        <v>40091</v>
      </c>
      <c r="B454" s="27" t="s">
        <v>639</v>
      </c>
      <c r="C454" s="1" t="s">
        <v>526</v>
      </c>
      <c r="D454" s="12">
        <v>91</v>
      </c>
      <c r="E454" s="12">
        <v>4</v>
      </c>
      <c r="F454" s="12">
        <v>91</v>
      </c>
      <c r="G454" s="20">
        <f t="shared" si="312"/>
        <v>30155</v>
      </c>
      <c r="H454" s="20">
        <f t="shared" si="312"/>
        <v>2</v>
      </c>
      <c r="I454" s="20">
        <f t="shared" ref="I454:Q454" si="338">I334</f>
        <v>2</v>
      </c>
      <c r="J454" s="20">
        <f t="shared" si="338"/>
        <v>6</v>
      </c>
      <c r="K454" s="20">
        <f t="shared" si="338"/>
        <v>4209031655790</v>
      </c>
      <c r="L454" s="20">
        <f t="shared" si="338"/>
        <v>4209031655790</v>
      </c>
      <c r="M454" s="20">
        <f t="shared" si="338"/>
        <v>4209031655790</v>
      </c>
      <c r="N454" s="20">
        <f t="shared" si="338"/>
        <v>0</v>
      </c>
      <c r="O454" s="20">
        <f t="shared" si="338"/>
        <v>0</v>
      </c>
      <c r="P454" s="20">
        <f t="shared" si="338"/>
        <v>0</v>
      </c>
      <c r="Q454" s="20">
        <f t="shared" si="338"/>
        <v>4.4010730798787202E+25</v>
      </c>
      <c r="R454" s="20">
        <v>0</v>
      </c>
      <c r="S454" s="12">
        <v>60</v>
      </c>
      <c r="T454" s="26" t="s">
        <v>637</v>
      </c>
      <c r="U454" s="26"/>
      <c r="V454" s="20"/>
      <c r="W454" s="20"/>
    </row>
    <row r="455" spans="1:23" ht="15.75" x14ac:dyDescent="0.25">
      <c r="A455" s="12">
        <v>40092</v>
      </c>
      <c r="B455" s="27" t="s">
        <v>640</v>
      </c>
      <c r="C455" s="1" t="s">
        <v>526</v>
      </c>
      <c r="D455" s="12">
        <v>92</v>
      </c>
      <c r="E455" s="12">
        <v>4</v>
      </c>
      <c r="F455" s="12">
        <v>92</v>
      </c>
      <c r="G455" s="20">
        <f t="shared" si="312"/>
        <v>30205</v>
      </c>
      <c r="H455" s="20">
        <f t="shared" si="312"/>
        <v>1</v>
      </c>
      <c r="I455" s="20">
        <f t="shared" ref="I455:Q455" si="339">I335</f>
        <v>2</v>
      </c>
      <c r="J455" s="20">
        <f t="shared" si="339"/>
        <v>6</v>
      </c>
      <c r="K455" s="20">
        <f t="shared" si="339"/>
        <v>4390567734460</v>
      </c>
      <c r="L455" s="20">
        <f t="shared" si="339"/>
        <v>4390567734460</v>
      </c>
      <c r="M455" s="20">
        <f t="shared" si="339"/>
        <v>4390567734460</v>
      </c>
      <c r="N455" s="20">
        <f t="shared" si="339"/>
        <v>0</v>
      </c>
      <c r="O455" s="20">
        <f t="shared" si="339"/>
        <v>0</v>
      </c>
      <c r="P455" s="20">
        <f t="shared" si="339"/>
        <v>0</v>
      </c>
      <c r="Q455" s="20">
        <f t="shared" si="339"/>
        <v>5.1009316917705497E+25</v>
      </c>
      <c r="R455" s="20">
        <v>0</v>
      </c>
      <c r="S455" s="12">
        <v>60</v>
      </c>
      <c r="T455" s="26" t="s">
        <v>637</v>
      </c>
      <c r="U455" s="26"/>
      <c r="V455" s="20"/>
      <c r="W455" s="20"/>
    </row>
    <row r="456" spans="1:23" ht="15.75" x14ac:dyDescent="0.25">
      <c r="A456" s="12">
        <v>40093</v>
      </c>
      <c r="B456" s="27" t="s">
        <v>641</v>
      </c>
      <c r="C456" s="1" t="s">
        <v>526</v>
      </c>
      <c r="D456" s="12">
        <v>93</v>
      </c>
      <c r="E456" s="12">
        <v>4</v>
      </c>
      <c r="F456" s="12">
        <v>93</v>
      </c>
      <c r="G456" s="20">
        <f t="shared" si="312"/>
        <v>40055</v>
      </c>
      <c r="H456" s="20">
        <f t="shared" si="312"/>
        <v>3</v>
      </c>
      <c r="I456" s="20">
        <f t="shared" ref="I456:Q456" si="340">I336</f>
        <v>2</v>
      </c>
      <c r="J456" s="20">
        <f t="shared" si="340"/>
        <v>6</v>
      </c>
      <c r="K456" s="20">
        <f t="shared" si="340"/>
        <v>4618858859285</v>
      </c>
      <c r="L456" s="20">
        <f t="shared" si="340"/>
        <v>4618858859285</v>
      </c>
      <c r="M456" s="20">
        <f t="shared" si="340"/>
        <v>4618858859285</v>
      </c>
      <c r="N456" s="20">
        <f t="shared" si="340"/>
        <v>0</v>
      </c>
      <c r="O456" s="20">
        <f t="shared" si="340"/>
        <v>0</v>
      </c>
      <c r="P456" s="20">
        <f t="shared" si="340"/>
        <v>0</v>
      </c>
      <c r="Q456" s="20">
        <f t="shared" si="340"/>
        <v>6.0064017512025198E+25</v>
      </c>
      <c r="R456" s="20">
        <v>0</v>
      </c>
      <c r="S456" s="12">
        <v>60</v>
      </c>
      <c r="T456" s="26" t="s">
        <v>642</v>
      </c>
      <c r="U456" s="26"/>
      <c r="V456" s="20"/>
      <c r="W456" s="20"/>
    </row>
    <row r="457" spans="1:23" ht="15.75" x14ac:dyDescent="0.25">
      <c r="A457" s="12">
        <v>40094</v>
      </c>
      <c r="B457" s="27" t="s">
        <v>643</v>
      </c>
      <c r="C457" s="1" t="s">
        <v>526</v>
      </c>
      <c r="D457" s="12">
        <v>94</v>
      </c>
      <c r="E457" s="12">
        <v>4</v>
      </c>
      <c r="F457" s="12">
        <v>94</v>
      </c>
      <c r="G457" s="20">
        <f t="shared" si="312"/>
        <v>40105</v>
      </c>
      <c r="H457" s="20">
        <f t="shared" si="312"/>
        <v>2</v>
      </c>
      <c r="I457" s="20">
        <f t="shared" ref="I457:Q457" si="341">I337</f>
        <v>2</v>
      </c>
      <c r="J457" s="20">
        <f t="shared" si="341"/>
        <v>6</v>
      </c>
      <c r="K457" s="20">
        <f t="shared" si="341"/>
        <v>4814211024075</v>
      </c>
      <c r="L457" s="20">
        <f t="shared" si="341"/>
        <v>4814211024075</v>
      </c>
      <c r="M457" s="20">
        <f t="shared" si="341"/>
        <v>4814211024075</v>
      </c>
      <c r="N457" s="20">
        <f t="shared" si="341"/>
        <v>0</v>
      </c>
      <c r="O457" s="20">
        <f t="shared" si="341"/>
        <v>0</v>
      </c>
      <c r="P457" s="20">
        <f t="shared" si="341"/>
        <v>0</v>
      </c>
      <c r="Q457" s="20">
        <f t="shared" si="341"/>
        <v>6.9430962616219302E+25</v>
      </c>
      <c r="R457" s="20">
        <v>0</v>
      </c>
      <c r="S457" s="12">
        <v>60</v>
      </c>
      <c r="T457" s="26" t="s">
        <v>642</v>
      </c>
      <c r="U457" s="26"/>
      <c r="V457" s="20"/>
      <c r="W457" s="20"/>
    </row>
    <row r="458" spans="1:23" ht="15.75" x14ac:dyDescent="0.25">
      <c r="A458" s="12">
        <v>40095</v>
      </c>
      <c r="B458" s="27" t="s">
        <v>644</v>
      </c>
      <c r="C458" s="1" t="s">
        <v>526</v>
      </c>
      <c r="D458" s="12">
        <v>95</v>
      </c>
      <c r="E458" s="12">
        <v>4</v>
      </c>
      <c r="F458" s="12">
        <v>95</v>
      </c>
      <c r="G458" s="20">
        <f t="shared" si="312"/>
        <v>40155</v>
      </c>
      <c r="H458" s="20">
        <f t="shared" si="312"/>
        <v>1</v>
      </c>
      <c r="I458" s="20">
        <f t="shared" ref="I458:Q458" si="342">I338</f>
        <v>2</v>
      </c>
      <c r="J458" s="20">
        <f t="shared" si="342"/>
        <v>6</v>
      </c>
      <c r="K458" s="20">
        <f t="shared" si="342"/>
        <v>5059325002640</v>
      </c>
      <c r="L458" s="20">
        <f t="shared" si="342"/>
        <v>5059325002640</v>
      </c>
      <c r="M458" s="20">
        <f t="shared" si="342"/>
        <v>5059325002640</v>
      </c>
      <c r="N458" s="20">
        <f t="shared" si="342"/>
        <v>0</v>
      </c>
      <c r="O458" s="20">
        <f t="shared" si="342"/>
        <v>0</v>
      </c>
      <c r="P458" s="20">
        <f t="shared" si="342"/>
        <v>0</v>
      </c>
      <c r="Q458" s="20">
        <f t="shared" si="342"/>
        <v>8.1531349980173196E+25</v>
      </c>
      <c r="R458" s="20">
        <v>0</v>
      </c>
      <c r="S458" s="12">
        <v>60</v>
      </c>
      <c r="T458" s="26" t="s">
        <v>642</v>
      </c>
      <c r="U458" s="26"/>
      <c r="V458" s="20"/>
      <c r="W458" s="20"/>
    </row>
    <row r="459" spans="1:23" ht="15.75" x14ac:dyDescent="0.25">
      <c r="A459" s="12">
        <v>40096</v>
      </c>
      <c r="B459" s="27" t="s">
        <v>645</v>
      </c>
      <c r="C459" s="1" t="s">
        <v>526</v>
      </c>
      <c r="D459" s="12">
        <v>96</v>
      </c>
      <c r="E459" s="12">
        <v>4</v>
      </c>
      <c r="F459" s="12">
        <v>96</v>
      </c>
      <c r="G459" s="20">
        <f t="shared" si="312"/>
        <v>40205</v>
      </c>
      <c r="H459" s="20">
        <f t="shared" si="312"/>
        <v>3</v>
      </c>
      <c r="I459" s="20">
        <f t="shared" ref="I459:Q459" si="343">I339</f>
        <v>2</v>
      </c>
      <c r="J459" s="20">
        <f t="shared" si="343"/>
        <v>6</v>
      </c>
      <c r="K459" s="20">
        <f t="shared" si="343"/>
        <v>5268705194615</v>
      </c>
      <c r="L459" s="20">
        <f t="shared" si="343"/>
        <v>5268705194615</v>
      </c>
      <c r="M459" s="20">
        <f t="shared" si="343"/>
        <v>5268705194615</v>
      </c>
      <c r="N459" s="20">
        <f t="shared" si="343"/>
        <v>0</v>
      </c>
      <c r="O459" s="20">
        <f t="shared" si="343"/>
        <v>0</v>
      </c>
      <c r="P459" s="20">
        <f t="shared" si="343"/>
        <v>0</v>
      </c>
      <c r="Q459" s="20">
        <f t="shared" si="343"/>
        <v>9.4021305615157502E+25</v>
      </c>
      <c r="R459" s="20">
        <v>0</v>
      </c>
      <c r="S459" s="12">
        <v>60</v>
      </c>
      <c r="T459" s="26" t="s">
        <v>642</v>
      </c>
      <c r="U459" s="26"/>
      <c r="V459" s="20"/>
      <c r="W459" s="20"/>
    </row>
    <row r="460" spans="1:23" ht="15.75" x14ac:dyDescent="0.25">
      <c r="A460" s="12">
        <v>40097</v>
      </c>
      <c r="B460" s="27" t="s">
        <v>646</v>
      </c>
      <c r="C460" s="1" t="s">
        <v>526</v>
      </c>
      <c r="D460" s="12">
        <v>97</v>
      </c>
      <c r="E460" s="12">
        <v>4</v>
      </c>
      <c r="F460" s="12">
        <v>97</v>
      </c>
      <c r="G460" s="20">
        <f t="shared" si="312"/>
        <v>50055</v>
      </c>
      <c r="H460" s="20">
        <f t="shared" si="312"/>
        <v>2</v>
      </c>
      <c r="I460" s="20">
        <f t="shared" ref="I460:Q460" si="344">I340</f>
        <v>2</v>
      </c>
      <c r="J460" s="20">
        <f t="shared" si="344"/>
        <v>6</v>
      </c>
      <c r="K460" s="20">
        <f t="shared" si="344"/>
        <v>5585255444475</v>
      </c>
      <c r="L460" s="20">
        <f t="shared" si="344"/>
        <v>5585255444475</v>
      </c>
      <c r="M460" s="20">
        <f t="shared" si="344"/>
        <v>5585255444475</v>
      </c>
      <c r="N460" s="20">
        <f t="shared" si="344"/>
        <v>0</v>
      </c>
      <c r="O460" s="20">
        <f t="shared" si="344"/>
        <v>0</v>
      </c>
      <c r="P460" s="20">
        <f t="shared" si="344"/>
        <v>0</v>
      </c>
      <c r="Q460" s="20">
        <f t="shared" si="344"/>
        <v>1.15686189664004E+26</v>
      </c>
      <c r="R460" s="20">
        <v>0</v>
      </c>
      <c r="S460" s="12">
        <v>60</v>
      </c>
      <c r="T460" s="26" t="s">
        <v>647</v>
      </c>
      <c r="U460" s="26"/>
      <c r="V460" s="20"/>
      <c r="W460" s="20"/>
    </row>
    <row r="461" spans="1:23" ht="15.75" x14ac:dyDescent="0.25">
      <c r="A461" s="12">
        <v>40098</v>
      </c>
      <c r="B461" s="27" t="s">
        <v>648</v>
      </c>
      <c r="C461" s="1" t="s">
        <v>526</v>
      </c>
      <c r="D461" s="12">
        <v>98</v>
      </c>
      <c r="E461" s="12">
        <v>4</v>
      </c>
      <c r="F461" s="12">
        <v>98</v>
      </c>
      <c r="G461" s="20">
        <f t="shared" si="312"/>
        <v>10045</v>
      </c>
      <c r="H461" s="20">
        <f t="shared" si="312"/>
        <v>1</v>
      </c>
      <c r="I461" s="20">
        <f t="shared" ref="I461:Q461" si="345">I341</f>
        <v>2</v>
      </c>
      <c r="J461" s="20">
        <f t="shared" si="345"/>
        <v>6</v>
      </c>
      <c r="K461" s="20">
        <f t="shared" si="345"/>
        <v>5811142901955</v>
      </c>
      <c r="L461" s="20">
        <f t="shared" si="345"/>
        <v>5811142901955</v>
      </c>
      <c r="M461" s="20">
        <f t="shared" si="345"/>
        <v>5811142901955</v>
      </c>
      <c r="N461" s="20">
        <f t="shared" si="345"/>
        <v>0</v>
      </c>
      <c r="O461" s="20">
        <f t="shared" si="345"/>
        <v>0</v>
      </c>
      <c r="P461" s="20">
        <f t="shared" si="345"/>
        <v>0</v>
      </c>
      <c r="Q461" s="20">
        <f t="shared" si="345"/>
        <v>1.3301125377336599E+26</v>
      </c>
      <c r="R461" s="20">
        <v>0</v>
      </c>
      <c r="S461" s="12">
        <v>60</v>
      </c>
      <c r="T461" s="26" t="s">
        <v>647</v>
      </c>
      <c r="U461" s="26"/>
      <c r="V461" s="20"/>
      <c r="W461" s="20"/>
    </row>
    <row r="462" spans="1:23" ht="15.75" x14ac:dyDescent="0.25">
      <c r="A462" s="12">
        <v>40099</v>
      </c>
      <c r="B462" s="27" t="s">
        <v>649</v>
      </c>
      <c r="C462" s="1" t="s">
        <v>526</v>
      </c>
      <c r="D462" s="12">
        <v>99</v>
      </c>
      <c r="E462" s="12">
        <v>4</v>
      </c>
      <c r="F462" s="12">
        <v>99</v>
      </c>
      <c r="G462" s="20">
        <f t="shared" si="312"/>
        <v>10095</v>
      </c>
      <c r="H462" s="20">
        <f t="shared" si="312"/>
        <v>3</v>
      </c>
      <c r="I462" s="20">
        <f t="shared" ref="I462:Q462" si="346">I342</f>
        <v>2</v>
      </c>
      <c r="J462" s="20">
        <f t="shared" si="346"/>
        <v>6</v>
      </c>
      <c r="K462" s="20">
        <f t="shared" si="346"/>
        <v>6094929519090</v>
      </c>
      <c r="L462" s="20">
        <f t="shared" si="346"/>
        <v>6094929519090</v>
      </c>
      <c r="M462" s="20">
        <f t="shared" si="346"/>
        <v>6094929519090</v>
      </c>
      <c r="N462" s="20">
        <f t="shared" si="346"/>
        <v>0</v>
      </c>
      <c r="O462" s="20">
        <f t="shared" si="346"/>
        <v>0</v>
      </c>
      <c r="P462" s="20">
        <f t="shared" si="346"/>
        <v>0</v>
      </c>
      <c r="Q462" s="20">
        <f t="shared" si="346"/>
        <v>1.55266789907417E+26</v>
      </c>
      <c r="R462" s="20">
        <v>0</v>
      </c>
      <c r="S462" s="12">
        <v>60</v>
      </c>
      <c r="T462" s="26" t="s">
        <v>647</v>
      </c>
      <c r="U462" s="26"/>
      <c r="V462" s="20"/>
      <c r="W462" s="20"/>
    </row>
    <row r="463" spans="1:23" ht="15.75" x14ac:dyDescent="0.25">
      <c r="A463" s="12">
        <v>40100</v>
      </c>
      <c r="B463" s="27" t="s">
        <v>650</v>
      </c>
      <c r="C463" s="1" t="s">
        <v>526</v>
      </c>
      <c r="D463" s="12">
        <v>100</v>
      </c>
      <c r="E463" s="12">
        <v>4</v>
      </c>
      <c r="F463" s="12">
        <v>100</v>
      </c>
      <c r="G463" s="20">
        <f t="shared" si="312"/>
        <v>10145</v>
      </c>
      <c r="H463" s="20">
        <f t="shared" si="312"/>
        <v>2</v>
      </c>
      <c r="I463" s="20">
        <f t="shared" ref="I463:Q463" si="347">I343</f>
        <v>2</v>
      </c>
      <c r="J463" s="20">
        <f t="shared" si="347"/>
        <v>6</v>
      </c>
      <c r="K463" s="20">
        <f t="shared" si="347"/>
        <v>6336616535085</v>
      </c>
      <c r="L463" s="20">
        <f t="shared" si="347"/>
        <v>6336616535085</v>
      </c>
      <c r="M463" s="20">
        <f t="shared" si="347"/>
        <v>6336616535085</v>
      </c>
      <c r="N463" s="20">
        <f t="shared" si="347"/>
        <v>0</v>
      </c>
      <c r="O463" s="20">
        <f t="shared" si="347"/>
        <v>0</v>
      </c>
      <c r="P463" s="20">
        <f t="shared" si="347"/>
        <v>0</v>
      </c>
      <c r="Q463" s="20">
        <f t="shared" si="347"/>
        <v>1.7814326725985201E+26</v>
      </c>
      <c r="R463" s="20">
        <v>0</v>
      </c>
      <c r="S463" s="12">
        <v>60</v>
      </c>
      <c r="T463" s="26" t="s">
        <v>647</v>
      </c>
      <c r="U463" s="26"/>
      <c r="V463" s="20"/>
      <c r="W463" s="20"/>
    </row>
    <row r="464" spans="1:23" ht="15.75" x14ac:dyDescent="0.25">
      <c r="A464" s="12">
        <v>40101</v>
      </c>
      <c r="B464" s="27" t="s">
        <v>651</v>
      </c>
      <c r="C464" s="1" t="s">
        <v>526</v>
      </c>
      <c r="D464" s="12">
        <v>101</v>
      </c>
      <c r="E464" s="12">
        <v>4</v>
      </c>
      <c r="F464" s="12">
        <v>101</v>
      </c>
      <c r="G464" s="20">
        <f t="shared" si="312"/>
        <v>10195</v>
      </c>
      <c r="H464" s="20">
        <f t="shared" si="312"/>
        <v>1</v>
      </c>
      <c r="I464" s="20">
        <f t="shared" ref="I464:Q464" si="348">I344</f>
        <v>2</v>
      </c>
      <c r="J464" s="20">
        <f t="shared" si="348"/>
        <v>6</v>
      </c>
      <c r="K464" s="20">
        <f t="shared" si="348"/>
        <v>7020838380415</v>
      </c>
      <c r="L464" s="20">
        <f t="shared" si="348"/>
        <v>7020838380415</v>
      </c>
      <c r="M464" s="20">
        <f t="shared" si="348"/>
        <v>7020838380415</v>
      </c>
      <c r="N464" s="20">
        <f t="shared" si="348"/>
        <v>0</v>
      </c>
      <c r="O464" s="20">
        <f t="shared" si="348"/>
        <v>0</v>
      </c>
      <c r="P464" s="20">
        <f t="shared" si="348"/>
        <v>0</v>
      </c>
      <c r="Q464" s="20">
        <f t="shared" si="348"/>
        <v>2.0920534762014999E+26</v>
      </c>
      <c r="R464" s="20">
        <v>0</v>
      </c>
      <c r="S464" s="12">
        <v>60</v>
      </c>
      <c r="T464" s="26" t="s">
        <v>652</v>
      </c>
      <c r="U464" s="26"/>
      <c r="V464" s="20"/>
      <c r="W464" s="20"/>
    </row>
    <row r="465" spans="1:25" ht="15.75" x14ac:dyDescent="0.25">
      <c r="A465" s="12">
        <v>40102</v>
      </c>
      <c r="B465" s="27" t="s">
        <v>653</v>
      </c>
      <c r="C465" s="1" t="s">
        <v>526</v>
      </c>
      <c r="D465" s="12">
        <v>102</v>
      </c>
      <c r="E465" s="12">
        <v>4</v>
      </c>
      <c r="F465" s="12">
        <v>102</v>
      </c>
      <c r="G465" s="20">
        <f t="shared" si="312"/>
        <v>20045</v>
      </c>
      <c r="H465" s="20">
        <f t="shared" si="312"/>
        <v>3</v>
      </c>
      <c r="I465" s="20">
        <f t="shared" ref="I465:Q465" si="349">I345</f>
        <v>2</v>
      </c>
      <c r="J465" s="20">
        <f t="shared" si="349"/>
        <v>6</v>
      </c>
      <c r="K465" s="20">
        <f t="shared" si="349"/>
        <v>7287240847470</v>
      </c>
      <c r="L465" s="20">
        <f t="shared" si="349"/>
        <v>7287240847470</v>
      </c>
      <c r="M465" s="20">
        <f t="shared" si="349"/>
        <v>7287240847470</v>
      </c>
      <c r="N465" s="20">
        <f t="shared" si="349"/>
        <v>0</v>
      </c>
      <c r="O465" s="20">
        <f t="shared" si="349"/>
        <v>0</v>
      </c>
      <c r="P465" s="20">
        <f t="shared" si="349"/>
        <v>0</v>
      </c>
      <c r="Q465" s="20">
        <f t="shared" si="349"/>
        <v>2.3720052308028801E+26</v>
      </c>
      <c r="R465" s="20">
        <v>0</v>
      </c>
      <c r="S465" s="12">
        <v>60</v>
      </c>
      <c r="T465" s="26" t="s">
        <v>652</v>
      </c>
      <c r="U465" s="26"/>
      <c r="V465" s="20"/>
      <c r="W465" s="20"/>
    </row>
    <row r="466" spans="1:25" ht="15.75" x14ac:dyDescent="0.25">
      <c r="A466" s="12">
        <v>40103</v>
      </c>
      <c r="B466" s="27" t="s">
        <v>654</v>
      </c>
      <c r="C466" s="1" t="s">
        <v>526</v>
      </c>
      <c r="D466" s="12">
        <v>103</v>
      </c>
      <c r="E466" s="12">
        <v>4</v>
      </c>
      <c r="F466" s="12">
        <v>103</v>
      </c>
      <c r="G466" s="20">
        <f t="shared" si="312"/>
        <v>20095</v>
      </c>
      <c r="H466" s="20">
        <f t="shared" si="312"/>
        <v>2</v>
      </c>
      <c r="I466" s="20">
        <f t="shared" ref="I466:Q466" si="350">I346</f>
        <v>2</v>
      </c>
      <c r="J466" s="20">
        <f t="shared" si="350"/>
        <v>6</v>
      </c>
      <c r="K466" s="20">
        <f t="shared" si="350"/>
        <v>5799404485480</v>
      </c>
      <c r="L466" s="20">
        <f t="shared" si="350"/>
        <v>5799404485480</v>
      </c>
      <c r="M466" s="20">
        <f t="shared" si="350"/>
        <v>5799404485480</v>
      </c>
      <c r="N466" s="20">
        <f t="shared" si="350"/>
        <v>0</v>
      </c>
      <c r="O466" s="20">
        <f t="shared" si="350"/>
        <v>0</v>
      </c>
      <c r="P466" s="20">
        <f t="shared" si="350"/>
        <v>0</v>
      </c>
      <c r="Q466" s="20">
        <f t="shared" si="350"/>
        <v>2.7227144073533001E+26</v>
      </c>
      <c r="R466" s="20">
        <v>0</v>
      </c>
      <c r="S466" s="12">
        <v>60</v>
      </c>
      <c r="T466" s="26" t="s">
        <v>652</v>
      </c>
      <c r="U466" s="26"/>
      <c r="V466" s="20"/>
      <c r="W466" s="20"/>
    </row>
    <row r="467" spans="1:25" ht="15.75" x14ac:dyDescent="0.25">
      <c r="A467" s="12">
        <v>40104</v>
      </c>
      <c r="B467" s="27" t="s">
        <v>655</v>
      </c>
      <c r="C467" s="1" t="s">
        <v>526</v>
      </c>
      <c r="D467" s="12">
        <v>104</v>
      </c>
      <c r="E467" s="12">
        <v>4</v>
      </c>
      <c r="F467" s="12">
        <v>104</v>
      </c>
      <c r="G467" s="20">
        <f t="shared" si="312"/>
        <v>20145</v>
      </c>
      <c r="H467" s="20">
        <f t="shared" si="312"/>
        <v>1</v>
      </c>
      <c r="I467" s="20">
        <f t="shared" ref="I467:Q467" si="351">I347</f>
        <v>2</v>
      </c>
      <c r="J467" s="20">
        <f t="shared" si="351"/>
        <v>6</v>
      </c>
      <c r="K467" s="20">
        <f t="shared" si="351"/>
        <v>6018885713370</v>
      </c>
      <c r="L467" s="20">
        <f t="shared" si="351"/>
        <v>6018885713370</v>
      </c>
      <c r="M467" s="20">
        <f t="shared" si="351"/>
        <v>6018885713370</v>
      </c>
      <c r="N467" s="20">
        <f t="shared" si="351"/>
        <v>0</v>
      </c>
      <c r="O467" s="20">
        <f t="shared" si="351"/>
        <v>0</v>
      </c>
      <c r="P467" s="20">
        <f t="shared" si="351"/>
        <v>0</v>
      </c>
      <c r="Q467" s="20">
        <f t="shared" si="351"/>
        <v>3.0813781349454499E+26</v>
      </c>
      <c r="R467" s="20">
        <v>0</v>
      </c>
      <c r="S467" s="12">
        <v>60</v>
      </c>
      <c r="T467" s="26" t="s">
        <v>652</v>
      </c>
      <c r="U467" s="26"/>
      <c r="V467" s="20"/>
      <c r="W467" s="20"/>
    </row>
    <row r="468" spans="1:25" ht="15.75" x14ac:dyDescent="0.25">
      <c r="A468" s="12">
        <v>40105</v>
      </c>
      <c r="B468" s="27" t="s">
        <v>656</v>
      </c>
      <c r="C468" s="1" t="s">
        <v>526</v>
      </c>
      <c r="D468" s="12">
        <v>105</v>
      </c>
      <c r="E468" s="12">
        <v>4</v>
      </c>
      <c r="F468" s="12">
        <v>105</v>
      </c>
      <c r="G468" s="20">
        <f t="shared" si="312"/>
        <v>20195</v>
      </c>
      <c r="H468" s="20">
        <f t="shared" si="312"/>
        <v>3</v>
      </c>
      <c r="I468" s="20">
        <f t="shared" ref="I468:Q468" si="352">I348</f>
        <v>2</v>
      </c>
      <c r="J468" s="20">
        <f t="shared" si="352"/>
        <v>6</v>
      </c>
      <c r="K468" s="20">
        <f t="shared" si="352"/>
        <v>6341101143930</v>
      </c>
      <c r="L468" s="20">
        <f t="shared" si="352"/>
        <v>6341101143930</v>
      </c>
      <c r="M468" s="20">
        <f t="shared" si="352"/>
        <v>6341101143930</v>
      </c>
      <c r="N468" s="20">
        <f t="shared" si="352"/>
        <v>0</v>
      </c>
      <c r="O468" s="20">
        <f t="shared" si="352"/>
        <v>0</v>
      </c>
      <c r="P468" s="20">
        <f t="shared" si="352"/>
        <v>0</v>
      </c>
      <c r="Q468" s="20">
        <f t="shared" si="352"/>
        <v>3.7276331404618E+26</v>
      </c>
      <c r="R468" s="20">
        <v>0</v>
      </c>
      <c r="S468" s="12">
        <v>60</v>
      </c>
      <c r="T468" s="26" t="s">
        <v>657</v>
      </c>
      <c r="U468" s="26"/>
      <c r="V468" s="20"/>
      <c r="W468" s="20"/>
    </row>
    <row r="469" spans="1:25" ht="15.75" x14ac:dyDescent="0.25">
      <c r="A469" s="12">
        <v>40106</v>
      </c>
      <c r="B469" s="27" t="s">
        <v>658</v>
      </c>
      <c r="C469" s="1" t="s">
        <v>526</v>
      </c>
      <c r="D469" s="12">
        <v>106</v>
      </c>
      <c r="E469" s="12">
        <v>4</v>
      </c>
      <c r="F469" s="12">
        <v>106</v>
      </c>
      <c r="G469" s="20">
        <f t="shared" si="312"/>
        <v>30045</v>
      </c>
      <c r="H469" s="20">
        <f t="shared" si="312"/>
        <v>2</v>
      </c>
      <c r="I469" s="20">
        <f t="shared" ref="I469:Q469" si="353">I349</f>
        <v>2</v>
      </c>
      <c r="J469" s="20">
        <f t="shared" si="353"/>
        <v>6</v>
      </c>
      <c r="K469" s="20">
        <f t="shared" si="353"/>
        <v>6576408858185</v>
      </c>
      <c r="L469" s="20">
        <f t="shared" si="353"/>
        <v>6576408858185</v>
      </c>
      <c r="M469" s="20">
        <f t="shared" si="353"/>
        <v>6576408858185</v>
      </c>
      <c r="N469" s="20">
        <f t="shared" si="353"/>
        <v>0</v>
      </c>
      <c r="O469" s="20">
        <f t="shared" si="353"/>
        <v>0</v>
      </c>
      <c r="P469" s="20">
        <f t="shared" si="353"/>
        <v>0</v>
      </c>
      <c r="Q469" s="20">
        <f t="shared" si="353"/>
        <v>4.20841642240028E+26</v>
      </c>
      <c r="R469" s="20">
        <v>0</v>
      </c>
      <c r="S469" s="12">
        <v>60</v>
      </c>
      <c r="T469" s="26" t="s">
        <v>657</v>
      </c>
      <c r="U469" s="26"/>
      <c r="V469" s="20"/>
      <c r="W469" s="20"/>
    </row>
    <row r="470" spans="1:25" ht="15.75" x14ac:dyDescent="0.25">
      <c r="A470" s="12">
        <v>40107</v>
      </c>
      <c r="B470" s="27" t="s">
        <v>659</v>
      </c>
      <c r="C470" s="1" t="s">
        <v>526</v>
      </c>
      <c r="D470" s="12">
        <v>107</v>
      </c>
      <c r="E470" s="12">
        <v>4</v>
      </c>
      <c r="F470" s="12">
        <v>107</v>
      </c>
      <c r="G470" s="20">
        <f t="shared" si="312"/>
        <v>30095</v>
      </c>
      <c r="H470" s="20">
        <f t="shared" si="312"/>
        <v>1</v>
      </c>
      <c r="I470" s="20">
        <f t="shared" ref="I470:Q470" si="354">I350</f>
        <v>2</v>
      </c>
      <c r="J470" s="20">
        <f t="shared" si="354"/>
        <v>6</v>
      </c>
      <c r="K470" s="20">
        <f t="shared" si="354"/>
        <v>6840833275900</v>
      </c>
      <c r="L470" s="20">
        <f t="shared" si="354"/>
        <v>6840833275900</v>
      </c>
      <c r="M470" s="20">
        <f t="shared" si="354"/>
        <v>6840833275900</v>
      </c>
      <c r="N470" s="20">
        <f t="shared" si="354"/>
        <v>0</v>
      </c>
      <c r="O470" s="20">
        <f t="shared" si="354"/>
        <v>0</v>
      </c>
      <c r="P470" s="20">
        <f t="shared" si="354"/>
        <v>0</v>
      </c>
      <c r="Q470" s="20">
        <f t="shared" si="354"/>
        <v>4.8083041634106298E+26</v>
      </c>
      <c r="R470" s="20">
        <v>0</v>
      </c>
      <c r="S470" s="12">
        <v>60</v>
      </c>
      <c r="T470" s="26" t="s">
        <v>657</v>
      </c>
      <c r="U470" s="26"/>
      <c r="V470" s="20"/>
      <c r="W470" s="20"/>
    </row>
    <row r="471" spans="1:25" ht="15.75" x14ac:dyDescent="0.25">
      <c r="A471" s="12">
        <v>40108</v>
      </c>
      <c r="B471" s="27" t="s">
        <v>660</v>
      </c>
      <c r="C471" s="1" t="s">
        <v>526</v>
      </c>
      <c r="D471" s="12">
        <v>108</v>
      </c>
      <c r="E471" s="12">
        <v>4</v>
      </c>
      <c r="F471" s="12">
        <v>108</v>
      </c>
      <c r="G471" s="20">
        <f t="shared" si="312"/>
        <v>30145</v>
      </c>
      <c r="H471" s="20">
        <f t="shared" si="312"/>
        <v>3</v>
      </c>
      <c r="I471" s="20">
        <f t="shared" ref="I471:Q471" si="355">I351</f>
        <v>2</v>
      </c>
      <c r="J471" s="20">
        <f t="shared" si="355"/>
        <v>6</v>
      </c>
      <c r="K471" s="20">
        <f t="shared" si="355"/>
        <v>7090857446025</v>
      </c>
      <c r="L471" s="20">
        <f t="shared" si="355"/>
        <v>7090857446025</v>
      </c>
      <c r="M471" s="20">
        <f t="shared" si="355"/>
        <v>7090857446025</v>
      </c>
      <c r="N471" s="20">
        <f t="shared" si="355"/>
        <v>0</v>
      </c>
      <c r="O471" s="20">
        <f t="shared" si="355"/>
        <v>0</v>
      </c>
      <c r="P471" s="20">
        <f t="shared" si="355"/>
        <v>0</v>
      </c>
      <c r="Q471" s="20">
        <f t="shared" si="355"/>
        <v>5.4199435353420198E+26</v>
      </c>
      <c r="R471" s="20">
        <v>0</v>
      </c>
      <c r="S471" s="12">
        <v>60</v>
      </c>
      <c r="T471" s="26" t="s">
        <v>657</v>
      </c>
      <c r="U471" s="26"/>
      <c r="V471" s="20"/>
      <c r="W471" s="20"/>
    </row>
    <row r="472" spans="1:25" ht="15.75" x14ac:dyDescent="0.25">
      <c r="A472" s="12">
        <v>40109</v>
      </c>
      <c r="B472" s="27" t="s">
        <v>661</v>
      </c>
      <c r="C472" s="1" t="s">
        <v>526</v>
      </c>
      <c r="D472" s="12">
        <v>109</v>
      </c>
      <c r="E472" s="12">
        <v>4</v>
      </c>
      <c r="F472" s="12">
        <v>109</v>
      </c>
      <c r="G472" s="20">
        <f t="shared" si="312"/>
        <v>30195</v>
      </c>
      <c r="H472" s="20">
        <f t="shared" si="312"/>
        <v>2</v>
      </c>
      <c r="I472" s="20">
        <f t="shared" ref="I472:Q472" si="356">I352</f>
        <v>2</v>
      </c>
      <c r="J472" s="20">
        <f t="shared" si="356"/>
        <v>6</v>
      </c>
      <c r="K472" s="20">
        <f t="shared" si="356"/>
        <v>7372649905835</v>
      </c>
      <c r="L472" s="20">
        <f t="shared" si="356"/>
        <v>7372649905835</v>
      </c>
      <c r="M472" s="20">
        <f t="shared" si="356"/>
        <v>7372649905835</v>
      </c>
      <c r="N472" s="20">
        <f t="shared" si="356"/>
        <v>0</v>
      </c>
      <c r="O472" s="20">
        <f t="shared" si="356"/>
        <v>0</v>
      </c>
      <c r="P472" s="20">
        <f t="shared" si="356"/>
        <v>0</v>
      </c>
      <c r="Q472" s="20">
        <f t="shared" si="356"/>
        <v>6.1817460828511497E+26</v>
      </c>
      <c r="R472" s="20">
        <v>0</v>
      </c>
      <c r="S472" s="12">
        <v>60</v>
      </c>
      <c r="T472" s="26" t="s">
        <v>662</v>
      </c>
      <c r="U472" s="26"/>
      <c r="V472" s="20"/>
      <c r="W472" s="20"/>
    </row>
    <row r="473" spans="1:25" ht="15.75" x14ac:dyDescent="0.25">
      <c r="A473" s="12">
        <v>40110</v>
      </c>
      <c r="B473" s="27" t="s">
        <v>663</v>
      </c>
      <c r="C473" s="1" t="s">
        <v>526</v>
      </c>
      <c r="D473" s="12">
        <v>110</v>
      </c>
      <c r="E473" s="12">
        <v>4</v>
      </c>
      <c r="F473" s="12">
        <v>110</v>
      </c>
      <c r="G473" s="20">
        <f t="shared" si="312"/>
        <v>40045</v>
      </c>
      <c r="H473" s="20">
        <f t="shared" si="312"/>
        <v>1</v>
      </c>
      <c r="I473" s="20">
        <f t="shared" ref="I473:Q473" si="357">I353</f>
        <v>2</v>
      </c>
      <c r="J473" s="20">
        <f t="shared" si="357"/>
        <v>6</v>
      </c>
      <c r="K473" s="20">
        <f t="shared" si="357"/>
        <v>7639048870225</v>
      </c>
      <c r="L473" s="20">
        <f t="shared" si="357"/>
        <v>7639048870225</v>
      </c>
      <c r="M473" s="20">
        <f t="shared" si="357"/>
        <v>7639048870225</v>
      </c>
      <c r="N473" s="20">
        <f t="shared" si="357"/>
        <v>0</v>
      </c>
      <c r="O473" s="20">
        <f t="shared" si="357"/>
        <v>0</v>
      </c>
      <c r="P473" s="20">
        <f t="shared" si="357"/>
        <v>0</v>
      </c>
      <c r="Q473" s="20">
        <f t="shared" si="357"/>
        <v>6.9583585996201498E+26</v>
      </c>
      <c r="R473" s="20">
        <v>0</v>
      </c>
      <c r="S473" s="12">
        <v>60</v>
      </c>
      <c r="T473" s="26" t="s">
        <v>662</v>
      </c>
      <c r="U473" s="26"/>
      <c r="V473" s="20"/>
      <c r="W473" s="20"/>
    </row>
    <row r="474" spans="1:25" ht="15.75" x14ac:dyDescent="0.25">
      <c r="A474" s="12">
        <v>40111</v>
      </c>
      <c r="B474" s="27" t="s">
        <v>664</v>
      </c>
      <c r="C474" s="1" t="s">
        <v>526</v>
      </c>
      <c r="D474" s="12">
        <v>111</v>
      </c>
      <c r="E474" s="12">
        <v>4</v>
      </c>
      <c r="F474" s="12">
        <v>111</v>
      </c>
      <c r="G474" s="20">
        <f t="shared" si="312"/>
        <v>40095</v>
      </c>
      <c r="H474" s="20">
        <f t="shared" si="312"/>
        <v>3</v>
      </c>
      <c r="I474" s="20">
        <f t="shared" ref="I474:Q474" si="358">I354</f>
        <v>2</v>
      </c>
      <c r="J474" s="20">
        <f t="shared" si="358"/>
        <v>6</v>
      </c>
      <c r="K474" s="20">
        <f t="shared" si="358"/>
        <v>7938387725105</v>
      </c>
      <c r="L474" s="20">
        <f t="shared" si="358"/>
        <v>7938387725105</v>
      </c>
      <c r="M474" s="20">
        <f t="shared" si="358"/>
        <v>7938387725105</v>
      </c>
      <c r="N474" s="20">
        <f t="shared" si="358"/>
        <v>0</v>
      </c>
      <c r="O474" s="20">
        <f t="shared" si="358"/>
        <v>0</v>
      </c>
      <c r="P474" s="20">
        <f t="shared" si="358"/>
        <v>0</v>
      </c>
      <c r="Q474" s="20">
        <f t="shared" si="358"/>
        <v>7.9233775288308293E+26</v>
      </c>
      <c r="R474" s="20">
        <v>0</v>
      </c>
      <c r="S474" s="12">
        <v>60</v>
      </c>
      <c r="T474" s="26" t="s">
        <v>662</v>
      </c>
      <c r="U474" s="26"/>
      <c r="V474" s="20"/>
      <c r="W474" s="20"/>
    </row>
    <row r="475" spans="1:25" ht="15.75" x14ac:dyDescent="0.25">
      <c r="A475" s="12">
        <v>40112</v>
      </c>
      <c r="B475" s="27" t="s">
        <v>665</v>
      </c>
      <c r="C475" s="1" t="s">
        <v>526</v>
      </c>
      <c r="D475" s="12">
        <v>112</v>
      </c>
      <c r="E475" s="12">
        <v>4</v>
      </c>
      <c r="F475" s="12">
        <v>112</v>
      </c>
      <c r="G475" s="20">
        <f t="shared" si="312"/>
        <v>40145</v>
      </c>
      <c r="H475" s="20">
        <f t="shared" si="312"/>
        <v>2</v>
      </c>
      <c r="I475" s="20">
        <f t="shared" ref="I475:Q475" si="359">I355</f>
        <v>2</v>
      </c>
      <c r="J475" s="20">
        <f t="shared" si="359"/>
        <v>6</v>
      </c>
      <c r="K475" s="20">
        <f t="shared" si="359"/>
        <v>8221225274630</v>
      </c>
      <c r="L475" s="20">
        <f t="shared" si="359"/>
        <v>8221225274630</v>
      </c>
      <c r="M475" s="20">
        <f t="shared" si="359"/>
        <v>8221225274630</v>
      </c>
      <c r="N475" s="20">
        <f t="shared" si="359"/>
        <v>0</v>
      </c>
      <c r="O475" s="20">
        <f t="shared" si="359"/>
        <v>0</v>
      </c>
      <c r="P475" s="20">
        <f t="shared" si="359"/>
        <v>0</v>
      </c>
      <c r="Q475" s="20">
        <f t="shared" si="359"/>
        <v>8.9057893979743705E+26</v>
      </c>
      <c r="R475" s="20">
        <v>0</v>
      </c>
      <c r="S475" s="12">
        <v>60</v>
      </c>
      <c r="T475" s="26" t="s">
        <v>662</v>
      </c>
      <c r="U475" s="26"/>
      <c r="V475" s="20"/>
      <c r="W475" s="20"/>
    </row>
    <row r="476" spans="1:25" ht="15.75" x14ac:dyDescent="0.25">
      <c r="A476" s="12">
        <v>40113</v>
      </c>
      <c r="B476" s="27" t="s">
        <v>666</v>
      </c>
      <c r="C476" s="1" t="s">
        <v>526</v>
      </c>
      <c r="D476" s="12">
        <v>113</v>
      </c>
      <c r="E476" s="12">
        <v>4</v>
      </c>
      <c r="F476" s="12">
        <v>113</v>
      </c>
      <c r="G476" s="20">
        <f t="shared" si="312"/>
        <v>40195</v>
      </c>
      <c r="H476" s="20">
        <f t="shared" si="312"/>
        <v>1</v>
      </c>
      <c r="I476" s="20">
        <f t="shared" ref="I476:Q476" si="360">I356</f>
        <v>2</v>
      </c>
      <c r="J476" s="20">
        <f t="shared" si="360"/>
        <v>6</v>
      </c>
      <c r="K476" s="20">
        <f t="shared" si="360"/>
        <v>8679849646845</v>
      </c>
      <c r="L476" s="20">
        <f t="shared" si="360"/>
        <v>8679849646845</v>
      </c>
      <c r="M476" s="20">
        <f t="shared" si="360"/>
        <v>8679849646845</v>
      </c>
      <c r="N476" s="20">
        <f t="shared" si="360"/>
        <v>0</v>
      </c>
      <c r="O476" s="20">
        <f t="shared" si="360"/>
        <v>0</v>
      </c>
      <c r="P476" s="20">
        <f t="shared" si="360"/>
        <v>0</v>
      </c>
      <c r="Q476" s="20">
        <f t="shared" si="360"/>
        <v>1.2088356875739901E+27</v>
      </c>
      <c r="R476" s="20">
        <v>0</v>
      </c>
      <c r="S476" s="12">
        <v>60</v>
      </c>
      <c r="T476" s="26" t="s">
        <v>667</v>
      </c>
      <c r="U476" s="26"/>
      <c r="V476" s="20"/>
      <c r="W476" s="20"/>
    </row>
    <row r="477" spans="1:25" ht="15.75" x14ac:dyDescent="0.25">
      <c r="A477" s="12">
        <v>40114</v>
      </c>
      <c r="B477" s="16" t="s">
        <v>668</v>
      </c>
      <c r="C477" s="1" t="s">
        <v>526</v>
      </c>
      <c r="D477" s="12">
        <v>114</v>
      </c>
      <c r="E477" s="12">
        <v>4</v>
      </c>
      <c r="F477" s="12">
        <v>114</v>
      </c>
      <c r="G477" s="20">
        <f t="shared" si="312"/>
        <v>50045</v>
      </c>
      <c r="H477" s="20">
        <f t="shared" si="312"/>
        <v>3</v>
      </c>
      <c r="I477" s="20">
        <f t="shared" ref="I477:Q477" si="361">I357</f>
        <v>2</v>
      </c>
      <c r="J477" s="20">
        <f t="shared" si="361"/>
        <v>6</v>
      </c>
      <c r="K477" s="20">
        <f t="shared" si="361"/>
        <v>8995482646770</v>
      </c>
      <c r="L477" s="20">
        <f t="shared" si="361"/>
        <v>8995482646770</v>
      </c>
      <c r="M477" s="20">
        <f t="shared" si="361"/>
        <v>8995482646770</v>
      </c>
      <c r="N477" s="20">
        <f t="shared" si="361"/>
        <v>0</v>
      </c>
      <c r="O477" s="20">
        <f t="shared" si="361"/>
        <v>0</v>
      </c>
      <c r="P477" s="20">
        <f t="shared" si="361"/>
        <v>0</v>
      </c>
      <c r="Q477" s="20">
        <f t="shared" si="361"/>
        <v>1.3568644490080901E+27</v>
      </c>
      <c r="R477" s="20">
        <v>0</v>
      </c>
      <c r="S477" s="12">
        <v>60</v>
      </c>
      <c r="T477" s="26" t="s">
        <v>667</v>
      </c>
      <c r="U477" s="26"/>
      <c r="V477" s="20"/>
      <c r="W477" s="20"/>
      <c r="X477" s="16"/>
      <c r="Y477" s="16"/>
    </row>
    <row r="478" spans="1:25" ht="15.75" x14ac:dyDescent="0.25">
      <c r="A478" s="12">
        <v>40115</v>
      </c>
      <c r="B478" s="27" t="s">
        <v>669</v>
      </c>
      <c r="C478" s="1" t="s">
        <v>526</v>
      </c>
      <c r="D478" s="12">
        <v>115</v>
      </c>
      <c r="E478" s="12">
        <v>4</v>
      </c>
      <c r="F478" s="12">
        <v>115</v>
      </c>
      <c r="G478" s="20">
        <f t="shared" ref="G478:H478" si="362">G364</f>
        <v>20155</v>
      </c>
      <c r="H478" s="20">
        <f t="shared" si="362"/>
        <v>2</v>
      </c>
      <c r="I478" s="20">
        <f t="shared" ref="I478:Q478" si="363">I358</f>
        <v>2</v>
      </c>
      <c r="J478" s="20">
        <f t="shared" si="363"/>
        <v>6</v>
      </c>
      <c r="K478" s="20">
        <f t="shared" si="363"/>
        <v>9349156575210</v>
      </c>
      <c r="L478" s="20">
        <f t="shared" si="363"/>
        <v>9349156575210</v>
      </c>
      <c r="M478" s="20">
        <f t="shared" si="363"/>
        <v>9349156575210</v>
      </c>
      <c r="N478" s="20">
        <f t="shared" si="363"/>
        <v>0</v>
      </c>
      <c r="O478" s="20">
        <f t="shared" si="363"/>
        <v>0</v>
      </c>
      <c r="P478" s="20">
        <f t="shared" si="363"/>
        <v>0</v>
      </c>
      <c r="Q478" s="20">
        <f t="shared" si="363"/>
        <v>1.5400158152349601E+27</v>
      </c>
      <c r="R478" s="20">
        <v>0</v>
      </c>
      <c r="S478" s="12">
        <v>60</v>
      </c>
      <c r="T478" s="26" t="s">
        <v>667</v>
      </c>
      <c r="U478" s="26"/>
      <c r="V478" s="20"/>
      <c r="W478" s="20"/>
      <c r="X478" s="16"/>
      <c r="Y478" s="16"/>
    </row>
    <row r="479" spans="1:25" ht="15.75" x14ac:dyDescent="0.25">
      <c r="A479" s="12">
        <v>40116</v>
      </c>
      <c r="B479" s="16" t="s">
        <v>670</v>
      </c>
      <c r="C479" s="1" t="s">
        <v>526</v>
      </c>
      <c r="D479" s="12">
        <v>116</v>
      </c>
      <c r="E479" s="12">
        <v>4</v>
      </c>
      <c r="F479" s="12">
        <v>116</v>
      </c>
      <c r="G479" s="20">
        <f t="shared" ref="G479:H479" si="364">G365</f>
        <v>20205</v>
      </c>
      <c r="H479" s="20">
        <f t="shared" si="364"/>
        <v>1</v>
      </c>
      <c r="I479" s="20">
        <f t="shared" ref="I479:Q479" si="365">I359</f>
        <v>2</v>
      </c>
      <c r="J479" s="20">
        <f t="shared" si="365"/>
        <v>6</v>
      </c>
      <c r="K479" s="20">
        <f t="shared" si="365"/>
        <v>9684325906050</v>
      </c>
      <c r="L479" s="20">
        <f t="shared" si="365"/>
        <v>9684325906050</v>
      </c>
      <c r="M479" s="20">
        <f t="shared" si="365"/>
        <v>9684325906050</v>
      </c>
      <c r="N479" s="20">
        <f t="shared" si="365"/>
        <v>0</v>
      </c>
      <c r="O479" s="20">
        <f t="shared" si="365"/>
        <v>0</v>
      </c>
      <c r="P479" s="20">
        <f t="shared" si="365"/>
        <v>0</v>
      </c>
      <c r="Q479" s="20">
        <f t="shared" si="365"/>
        <v>1.72641385128131E+27</v>
      </c>
      <c r="R479" s="20">
        <v>0</v>
      </c>
      <c r="S479" s="12">
        <v>60</v>
      </c>
      <c r="T479" s="26" t="s">
        <v>667</v>
      </c>
      <c r="U479" s="26"/>
      <c r="V479" s="20"/>
      <c r="W479" s="20"/>
      <c r="X479" s="16"/>
      <c r="Y479" s="16"/>
    </row>
    <row r="480" spans="1:25" ht="15.75" x14ac:dyDescent="0.25">
      <c r="A480" s="12">
        <v>40117</v>
      </c>
      <c r="B480" s="27" t="s">
        <v>671</v>
      </c>
      <c r="C480" s="1" t="s">
        <v>526</v>
      </c>
      <c r="D480" s="12">
        <v>117</v>
      </c>
      <c r="E480" s="12">
        <v>4</v>
      </c>
      <c r="F480" s="12">
        <v>117</v>
      </c>
      <c r="G480" s="20">
        <f t="shared" ref="G480:H480" si="366">G366</f>
        <v>30055</v>
      </c>
      <c r="H480" s="20">
        <f t="shared" si="366"/>
        <v>3</v>
      </c>
      <c r="I480" s="20">
        <f t="shared" ref="I480:Q480" si="367">I360</f>
        <v>2</v>
      </c>
      <c r="J480" s="20">
        <f t="shared" si="367"/>
        <v>6</v>
      </c>
      <c r="K480" s="20">
        <f t="shared" si="367"/>
        <v>10061017902095</v>
      </c>
      <c r="L480" s="20">
        <f t="shared" si="367"/>
        <v>10061017902095</v>
      </c>
      <c r="M480" s="20">
        <f t="shared" si="367"/>
        <v>10061017902095</v>
      </c>
      <c r="N480" s="20">
        <f t="shared" si="367"/>
        <v>0</v>
      </c>
      <c r="O480" s="20">
        <f t="shared" si="367"/>
        <v>0</v>
      </c>
      <c r="P480" s="20">
        <f t="shared" si="367"/>
        <v>0</v>
      </c>
      <c r="Q480" s="20">
        <f t="shared" si="367"/>
        <v>1.9569867613705499E+27</v>
      </c>
      <c r="R480" s="20">
        <v>0</v>
      </c>
      <c r="S480" s="12">
        <v>60</v>
      </c>
      <c r="T480" s="26" t="s">
        <v>672</v>
      </c>
      <c r="U480" s="26"/>
      <c r="V480" s="20"/>
      <c r="W480" s="20"/>
      <c r="X480" s="16"/>
      <c r="Y480" s="16"/>
    </row>
    <row r="481" spans="1:28" ht="15.75" x14ac:dyDescent="0.25">
      <c r="A481" s="12">
        <v>40118</v>
      </c>
      <c r="B481" s="16" t="s">
        <v>673</v>
      </c>
      <c r="C481" s="1" t="s">
        <v>526</v>
      </c>
      <c r="D481" s="12">
        <v>118</v>
      </c>
      <c r="E481" s="12">
        <v>4</v>
      </c>
      <c r="F481" s="12">
        <v>118</v>
      </c>
      <c r="G481" s="20">
        <f t="shared" ref="G481:H481" si="368">G367</f>
        <v>30105</v>
      </c>
      <c r="H481" s="20">
        <f t="shared" si="368"/>
        <v>2</v>
      </c>
      <c r="I481" s="20">
        <f t="shared" ref="I481:Q481" si="369">I361</f>
        <v>2</v>
      </c>
      <c r="J481" s="20">
        <f t="shared" si="369"/>
        <v>6</v>
      </c>
      <c r="K481" s="20">
        <f t="shared" si="369"/>
        <v>10417853064515</v>
      </c>
      <c r="L481" s="20">
        <f t="shared" si="369"/>
        <v>10417853064515</v>
      </c>
      <c r="M481" s="20">
        <f t="shared" si="369"/>
        <v>10417853064515</v>
      </c>
      <c r="N481" s="20">
        <f t="shared" si="369"/>
        <v>0</v>
      </c>
      <c r="O481" s="20">
        <f t="shared" si="369"/>
        <v>0</v>
      </c>
      <c r="P481" s="20">
        <f t="shared" si="369"/>
        <v>0</v>
      </c>
      <c r="Q481" s="20">
        <f t="shared" si="369"/>
        <v>2.1913428769134401E+27</v>
      </c>
      <c r="R481" s="20">
        <v>0</v>
      </c>
      <c r="S481" s="12">
        <v>60</v>
      </c>
      <c r="T481" s="26" t="s">
        <v>672</v>
      </c>
      <c r="U481" s="26"/>
      <c r="V481" s="20"/>
      <c r="W481" s="20"/>
      <c r="X481" s="16"/>
      <c r="Y481" s="16"/>
    </row>
    <row r="482" spans="1:28" ht="15.75" x14ac:dyDescent="0.25">
      <c r="A482" s="12">
        <v>40119</v>
      </c>
      <c r="B482" s="27" t="s">
        <v>674</v>
      </c>
      <c r="C482" s="1" t="s">
        <v>526</v>
      </c>
      <c r="D482" s="12">
        <v>119</v>
      </c>
      <c r="E482" s="12">
        <v>4</v>
      </c>
      <c r="F482" s="12">
        <v>119</v>
      </c>
      <c r="G482" s="20">
        <f t="shared" ref="G482:H482" si="370">G368</f>
        <v>30155</v>
      </c>
      <c r="H482" s="20">
        <f t="shared" si="370"/>
        <v>1</v>
      </c>
      <c r="I482" s="20">
        <f t="shared" ref="I482:Q482" si="371">I362</f>
        <v>2</v>
      </c>
      <c r="J482" s="20">
        <f t="shared" si="371"/>
        <v>6</v>
      </c>
      <c r="K482" s="20">
        <f t="shared" si="371"/>
        <v>10817881818100</v>
      </c>
      <c r="L482" s="20">
        <f t="shared" si="371"/>
        <v>10817881818100</v>
      </c>
      <c r="M482" s="20">
        <f t="shared" si="371"/>
        <v>10817881818100</v>
      </c>
      <c r="N482" s="20">
        <f t="shared" si="371"/>
        <v>0</v>
      </c>
      <c r="O482" s="20">
        <f t="shared" si="371"/>
        <v>0</v>
      </c>
      <c r="P482" s="20">
        <f t="shared" si="371"/>
        <v>0</v>
      </c>
      <c r="Q482" s="20">
        <f t="shared" si="371"/>
        <v>2.4806156616865397E+27</v>
      </c>
      <c r="R482" s="20">
        <v>0</v>
      </c>
      <c r="S482" s="12">
        <v>60</v>
      </c>
      <c r="T482" s="26" t="s">
        <v>672</v>
      </c>
      <c r="U482" s="26"/>
      <c r="V482" s="20"/>
      <c r="W482" s="20"/>
      <c r="X482" s="16"/>
      <c r="Y482" s="16"/>
    </row>
    <row r="483" spans="1:28" ht="15.75" x14ac:dyDescent="0.25">
      <c r="A483" s="12">
        <v>40120</v>
      </c>
      <c r="B483" s="16" t="s">
        <v>675</v>
      </c>
      <c r="C483" s="1" t="s">
        <v>526</v>
      </c>
      <c r="D483" s="12">
        <v>120</v>
      </c>
      <c r="E483" s="12">
        <v>4</v>
      </c>
      <c r="F483" s="12">
        <v>120</v>
      </c>
      <c r="G483" s="20">
        <f t="shared" ref="G483:H483" si="372">G369</f>
        <v>30205</v>
      </c>
      <c r="H483" s="20">
        <f t="shared" si="372"/>
        <v>3</v>
      </c>
      <c r="I483" s="20">
        <f t="shared" ref="I483:Q483" si="373">I363</f>
        <v>2</v>
      </c>
      <c r="J483" s="20">
        <f t="shared" si="373"/>
        <v>6</v>
      </c>
      <c r="K483" s="20">
        <f t="shared" si="373"/>
        <v>11196545828205</v>
      </c>
      <c r="L483" s="20">
        <f t="shared" si="373"/>
        <v>11196545828205</v>
      </c>
      <c r="M483" s="20">
        <f t="shared" si="373"/>
        <v>11196545828205</v>
      </c>
      <c r="N483" s="20">
        <f t="shared" si="373"/>
        <v>0</v>
      </c>
      <c r="O483" s="20">
        <f t="shared" si="373"/>
        <v>0</v>
      </c>
      <c r="P483" s="20">
        <f t="shared" si="373"/>
        <v>0</v>
      </c>
      <c r="Q483" s="20">
        <f t="shared" si="373"/>
        <v>2.6968238110057798E+27</v>
      </c>
      <c r="R483" s="20">
        <v>0</v>
      </c>
      <c r="S483" s="12">
        <v>60</v>
      </c>
      <c r="T483" s="26" t="s">
        <v>672</v>
      </c>
      <c r="U483" s="26"/>
      <c r="V483" s="20"/>
      <c r="W483" s="20"/>
      <c r="X483" s="16"/>
      <c r="Y483" s="16"/>
    </row>
    <row r="484" spans="1:28" x14ac:dyDescent="0.2">
      <c r="A484" s="12">
        <v>50001</v>
      </c>
      <c r="B484" s="16" t="s">
        <v>676</v>
      </c>
      <c r="C484" s="2" t="s">
        <v>677</v>
      </c>
      <c r="D484" s="12">
        <f>D364</f>
        <v>1</v>
      </c>
      <c r="E484" s="12">
        <v>5</v>
      </c>
      <c r="F484" s="12">
        <f>F4</f>
        <v>1</v>
      </c>
      <c r="G484" s="12">
        <f t="shared" ref="G484:S484" si="374">G4</f>
        <v>10055</v>
      </c>
      <c r="H484" s="12">
        <f t="shared" si="374"/>
        <v>2</v>
      </c>
      <c r="I484" s="12">
        <f t="shared" si="374"/>
        <v>0</v>
      </c>
      <c r="J484" s="12">
        <f t="shared" si="374"/>
        <v>4</v>
      </c>
      <c r="K484" s="12">
        <f t="shared" si="374"/>
        <v>2125</v>
      </c>
      <c r="L484" s="12">
        <f t="shared" si="374"/>
        <v>2125</v>
      </c>
      <c r="M484" s="12">
        <f t="shared" si="374"/>
        <v>2125</v>
      </c>
      <c r="N484" s="12">
        <f t="shared" si="374"/>
        <v>0</v>
      </c>
      <c r="O484" s="12">
        <f t="shared" si="374"/>
        <v>0</v>
      </c>
      <c r="P484" s="12">
        <f t="shared" si="374"/>
        <v>0</v>
      </c>
      <c r="Q484" s="12">
        <f t="shared" si="374"/>
        <v>18975</v>
      </c>
      <c r="R484" s="12">
        <f t="shared" si="374"/>
        <v>0</v>
      </c>
      <c r="S484" s="12">
        <f t="shared" si="374"/>
        <v>60</v>
      </c>
      <c r="T484" s="28" t="s">
        <v>678</v>
      </c>
      <c r="U484" s="28"/>
      <c r="AA484" s="16"/>
      <c r="AB484" s="16"/>
    </row>
    <row r="485" spans="1:28" x14ac:dyDescent="0.2">
      <c r="A485" s="12">
        <v>50002</v>
      </c>
      <c r="B485" s="16" t="s">
        <v>679</v>
      </c>
      <c r="C485" s="2" t="s">
        <v>677</v>
      </c>
      <c r="D485" s="12">
        <f t="shared" ref="D485" si="375">D365</f>
        <v>2</v>
      </c>
      <c r="E485" s="12">
        <v>5</v>
      </c>
      <c r="F485" s="12">
        <f t="shared" ref="F485:S485" si="376">F5</f>
        <v>2</v>
      </c>
      <c r="G485" s="12">
        <f t="shared" si="376"/>
        <v>10105</v>
      </c>
      <c r="H485" s="12">
        <f t="shared" si="376"/>
        <v>1</v>
      </c>
      <c r="I485" s="12">
        <f t="shared" si="376"/>
        <v>0</v>
      </c>
      <c r="J485" s="12">
        <f t="shared" si="376"/>
        <v>4</v>
      </c>
      <c r="K485" s="12">
        <f t="shared" si="376"/>
        <v>21420</v>
      </c>
      <c r="L485" s="12">
        <f t="shared" si="376"/>
        <v>21420</v>
      </c>
      <c r="M485" s="12">
        <f t="shared" si="376"/>
        <v>21420</v>
      </c>
      <c r="N485" s="12">
        <f t="shared" si="376"/>
        <v>0</v>
      </c>
      <c r="O485" s="12">
        <f t="shared" si="376"/>
        <v>0</v>
      </c>
      <c r="P485" s="12">
        <f t="shared" si="376"/>
        <v>0</v>
      </c>
      <c r="Q485" s="12">
        <f t="shared" si="376"/>
        <v>480400</v>
      </c>
      <c r="R485" s="12">
        <f t="shared" si="376"/>
        <v>0</v>
      </c>
      <c r="S485" s="12">
        <f t="shared" si="376"/>
        <v>60</v>
      </c>
      <c r="T485" s="28" t="s">
        <v>678</v>
      </c>
      <c r="U485" s="28"/>
      <c r="AA485" s="16"/>
      <c r="AB485" s="16"/>
    </row>
    <row r="486" spans="1:28" x14ac:dyDescent="0.2">
      <c r="A486" s="12">
        <v>50003</v>
      </c>
      <c r="B486" s="16" t="s">
        <v>680</v>
      </c>
      <c r="C486" s="2" t="s">
        <v>677</v>
      </c>
      <c r="D486" s="12">
        <f t="shared" ref="D486" si="377">D366</f>
        <v>3</v>
      </c>
      <c r="E486" s="12">
        <v>5</v>
      </c>
      <c r="F486" s="12">
        <f t="shared" ref="F486:S486" si="378">F6</f>
        <v>3</v>
      </c>
      <c r="G486" s="12">
        <f t="shared" si="378"/>
        <v>10155</v>
      </c>
      <c r="H486" s="12">
        <f t="shared" si="378"/>
        <v>3</v>
      </c>
      <c r="I486" s="12">
        <f t="shared" si="378"/>
        <v>0</v>
      </c>
      <c r="J486" s="12">
        <f t="shared" si="378"/>
        <v>4</v>
      </c>
      <c r="K486" s="12">
        <f t="shared" si="378"/>
        <v>96540</v>
      </c>
      <c r="L486" s="12">
        <f t="shared" si="378"/>
        <v>96540</v>
      </c>
      <c r="M486" s="12">
        <f t="shared" si="378"/>
        <v>96540</v>
      </c>
      <c r="N486" s="12">
        <f t="shared" si="378"/>
        <v>0</v>
      </c>
      <c r="O486" s="12">
        <f t="shared" si="378"/>
        <v>0</v>
      </c>
      <c r="P486" s="12">
        <f t="shared" si="378"/>
        <v>0</v>
      </c>
      <c r="Q486" s="12">
        <f t="shared" si="378"/>
        <v>7033975</v>
      </c>
      <c r="R486" s="12">
        <f t="shared" si="378"/>
        <v>0</v>
      </c>
      <c r="S486" s="12">
        <f t="shared" si="378"/>
        <v>60</v>
      </c>
      <c r="T486" s="28" t="s">
        <v>678</v>
      </c>
      <c r="U486" s="28"/>
      <c r="AA486" s="16"/>
      <c r="AB486" s="16"/>
    </row>
    <row r="487" spans="1:28" x14ac:dyDescent="0.2">
      <c r="A487" s="12">
        <v>50004</v>
      </c>
      <c r="B487" s="16" t="s">
        <v>681</v>
      </c>
      <c r="C487" s="2" t="s">
        <v>677</v>
      </c>
      <c r="D487" s="12">
        <f t="shared" ref="D487" si="379">D367</f>
        <v>4</v>
      </c>
      <c r="E487" s="12">
        <v>5</v>
      </c>
      <c r="F487" s="12">
        <f t="shared" ref="F487:S487" si="380">F7</f>
        <v>4</v>
      </c>
      <c r="G487" s="12">
        <f t="shared" si="380"/>
        <v>10205</v>
      </c>
      <c r="H487" s="12">
        <f t="shared" si="380"/>
        <v>2</v>
      </c>
      <c r="I487" s="12">
        <f t="shared" si="380"/>
        <v>0</v>
      </c>
      <c r="J487" s="12">
        <f t="shared" si="380"/>
        <v>4</v>
      </c>
      <c r="K487" s="12">
        <f t="shared" si="380"/>
        <v>208495</v>
      </c>
      <c r="L487" s="12">
        <f t="shared" si="380"/>
        <v>208495</v>
      </c>
      <c r="M487" s="12">
        <f t="shared" si="380"/>
        <v>208495</v>
      </c>
      <c r="N487" s="12">
        <f t="shared" si="380"/>
        <v>0</v>
      </c>
      <c r="O487" s="12">
        <f t="shared" si="380"/>
        <v>0</v>
      </c>
      <c r="P487" s="12">
        <f t="shared" si="380"/>
        <v>0</v>
      </c>
      <c r="Q487" s="12">
        <f t="shared" si="380"/>
        <v>27080900</v>
      </c>
      <c r="R487" s="12">
        <f t="shared" si="380"/>
        <v>0</v>
      </c>
      <c r="S487" s="12">
        <f t="shared" si="380"/>
        <v>60</v>
      </c>
      <c r="T487" s="28" t="s">
        <v>678</v>
      </c>
      <c r="U487" s="28"/>
      <c r="AA487" s="16"/>
      <c r="AB487" s="16"/>
    </row>
    <row r="488" spans="1:28" x14ac:dyDescent="0.2">
      <c r="A488" s="12">
        <v>50005</v>
      </c>
      <c r="B488" s="16" t="s">
        <v>682</v>
      </c>
      <c r="C488" s="2" t="s">
        <v>677</v>
      </c>
      <c r="D488" s="12">
        <f t="shared" ref="D488" si="381">D368</f>
        <v>5</v>
      </c>
      <c r="E488" s="12">
        <v>5</v>
      </c>
      <c r="F488" s="12">
        <f t="shared" ref="F488:S488" si="382">F8</f>
        <v>5</v>
      </c>
      <c r="G488" s="12">
        <f t="shared" si="382"/>
        <v>20055</v>
      </c>
      <c r="H488" s="12">
        <f t="shared" si="382"/>
        <v>1</v>
      </c>
      <c r="I488" s="12">
        <f t="shared" si="382"/>
        <v>2</v>
      </c>
      <c r="J488" s="12">
        <f t="shared" si="382"/>
        <v>4</v>
      </c>
      <c r="K488" s="12">
        <f t="shared" si="382"/>
        <v>685670</v>
      </c>
      <c r="L488" s="12">
        <f t="shared" si="382"/>
        <v>685670</v>
      </c>
      <c r="M488" s="12">
        <f t="shared" si="382"/>
        <v>685670</v>
      </c>
      <c r="N488" s="12">
        <f t="shared" si="382"/>
        <v>0</v>
      </c>
      <c r="O488" s="12">
        <f t="shared" si="382"/>
        <v>0</v>
      </c>
      <c r="P488" s="12">
        <f t="shared" si="382"/>
        <v>0</v>
      </c>
      <c r="Q488" s="12">
        <f t="shared" si="382"/>
        <v>495343500</v>
      </c>
      <c r="R488" s="12">
        <f t="shared" si="382"/>
        <v>0</v>
      </c>
      <c r="S488" s="12">
        <f t="shared" si="382"/>
        <v>60</v>
      </c>
      <c r="T488" s="28" t="s">
        <v>1135</v>
      </c>
      <c r="U488" s="28"/>
      <c r="AA488" s="16"/>
      <c r="AB488" s="16"/>
    </row>
    <row r="489" spans="1:28" x14ac:dyDescent="0.2">
      <c r="A489" s="12">
        <v>50006</v>
      </c>
      <c r="B489" s="16" t="s">
        <v>683</v>
      </c>
      <c r="C489" s="2" t="s">
        <v>677</v>
      </c>
      <c r="D489" s="12">
        <f t="shared" ref="D489" si="383">D369</f>
        <v>6</v>
      </c>
      <c r="E489" s="12">
        <v>5</v>
      </c>
      <c r="F489" s="12">
        <f t="shared" ref="F489:S489" si="384">F9</f>
        <v>6</v>
      </c>
      <c r="G489" s="12">
        <f t="shared" si="384"/>
        <v>20105</v>
      </c>
      <c r="H489" s="12">
        <f t="shared" si="384"/>
        <v>3</v>
      </c>
      <c r="I489" s="12">
        <f t="shared" si="384"/>
        <v>2</v>
      </c>
      <c r="J489" s="12">
        <f t="shared" si="384"/>
        <v>4</v>
      </c>
      <c r="K489" s="12">
        <f t="shared" si="384"/>
        <v>1067940</v>
      </c>
      <c r="L489" s="12">
        <f t="shared" si="384"/>
        <v>1067940</v>
      </c>
      <c r="M489" s="12">
        <f t="shared" si="384"/>
        <v>1067940</v>
      </c>
      <c r="N489" s="12">
        <f t="shared" si="384"/>
        <v>0</v>
      </c>
      <c r="O489" s="12">
        <f t="shared" si="384"/>
        <v>0</v>
      </c>
      <c r="P489" s="12">
        <f t="shared" si="384"/>
        <v>0</v>
      </c>
      <c r="Q489" s="12">
        <f t="shared" si="384"/>
        <v>973025250</v>
      </c>
      <c r="R489" s="12">
        <f t="shared" si="384"/>
        <v>0</v>
      </c>
      <c r="S489" s="12">
        <f t="shared" si="384"/>
        <v>60</v>
      </c>
      <c r="T489" s="28" t="s">
        <v>1135</v>
      </c>
      <c r="U489" s="28"/>
      <c r="AA489" s="16"/>
      <c r="AB489" s="16"/>
    </row>
    <row r="490" spans="1:28" x14ac:dyDescent="0.2">
      <c r="A490" s="12">
        <v>50007</v>
      </c>
      <c r="B490" s="16" t="s">
        <v>684</v>
      </c>
      <c r="C490" s="2" t="s">
        <v>677</v>
      </c>
      <c r="D490" s="12">
        <f t="shared" ref="D490" si="385">D370</f>
        <v>7</v>
      </c>
      <c r="E490" s="12">
        <v>5</v>
      </c>
      <c r="F490" s="12">
        <f t="shared" ref="F490:S490" si="386">F10</f>
        <v>7</v>
      </c>
      <c r="G490" s="12">
        <f t="shared" si="386"/>
        <v>20155</v>
      </c>
      <c r="H490" s="12">
        <f t="shared" si="386"/>
        <v>2</v>
      </c>
      <c r="I490" s="12">
        <f t="shared" si="386"/>
        <v>2</v>
      </c>
      <c r="J490" s="12">
        <f t="shared" si="386"/>
        <v>4</v>
      </c>
      <c r="K490" s="12">
        <f t="shared" si="386"/>
        <v>1574180</v>
      </c>
      <c r="L490" s="12">
        <f t="shared" si="386"/>
        <v>1574180</v>
      </c>
      <c r="M490" s="12">
        <f t="shared" si="386"/>
        <v>1574180</v>
      </c>
      <c r="N490" s="12">
        <f t="shared" si="386"/>
        <v>0</v>
      </c>
      <c r="O490" s="12">
        <f t="shared" si="386"/>
        <v>0</v>
      </c>
      <c r="P490" s="12">
        <f t="shared" si="386"/>
        <v>0</v>
      </c>
      <c r="Q490" s="12">
        <f t="shared" si="386"/>
        <v>2134528150</v>
      </c>
      <c r="R490" s="12">
        <f t="shared" si="386"/>
        <v>0</v>
      </c>
      <c r="S490" s="12">
        <f t="shared" si="386"/>
        <v>60</v>
      </c>
      <c r="T490" s="28" t="s">
        <v>1135</v>
      </c>
      <c r="U490" s="28"/>
      <c r="AA490" s="16"/>
      <c r="AB490" s="16"/>
    </row>
    <row r="491" spans="1:28" x14ac:dyDescent="0.2">
      <c r="A491" s="12">
        <v>50008</v>
      </c>
      <c r="B491" s="16" t="s">
        <v>685</v>
      </c>
      <c r="C491" s="2" t="s">
        <v>677</v>
      </c>
      <c r="D491" s="12">
        <f t="shared" ref="D491" si="387">D371</f>
        <v>8</v>
      </c>
      <c r="E491" s="12">
        <v>5</v>
      </c>
      <c r="F491" s="12">
        <f t="shared" ref="F491:S491" si="388">F11</f>
        <v>8</v>
      </c>
      <c r="G491" s="12">
        <f t="shared" si="388"/>
        <v>20205</v>
      </c>
      <c r="H491" s="12">
        <f t="shared" si="388"/>
        <v>1</v>
      </c>
      <c r="I491" s="12">
        <f t="shared" si="388"/>
        <v>2</v>
      </c>
      <c r="J491" s="12">
        <f t="shared" si="388"/>
        <v>4</v>
      </c>
      <c r="K491" s="12">
        <f t="shared" si="388"/>
        <v>2244425</v>
      </c>
      <c r="L491" s="12">
        <f t="shared" si="388"/>
        <v>2244425</v>
      </c>
      <c r="M491" s="12">
        <f t="shared" si="388"/>
        <v>2244425</v>
      </c>
      <c r="N491" s="12">
        <f t="shared" si="388"/>
        <v>0</v>
      </c>
      <c r="O491" s="12">
        <f t="shared" si="388"/>
        <v>0</v>
      </c>
      <c r="P491" s="12">
        <f t="shared" si="388"/>
        <v>0</v>
      </c>
      <c r="Q491" s="12">
        <f t="shared" si="388"/>
        <v>4136039450</v>
      </c>
      <c r="R491" s="12">
        <f t="shared" si="388"/>
        <v>0</v>
      </c>
      <c r="S491" s="12">
        <f t="shared" si="388"/>
        <v>60</v>
      </c>
      <c r="T491" s="28" t="s">
        <v>1135</v>
      </c>
      <c r="U491" s="28"/>
      <c r="AA491" s="16"/>
      <c r="AB491" s="16"/>
    </row>
    <row r="492" spans="1:28" x14ac:dyDescent="0.2">
      <c r="A492" s="12">
        <v>50009</v>
      </c>
      <c r="B492" s="16" t="s">
        <v>686</v>
      </c>
      <c r="C492" s="2" t="s">
        <v>677</v>
      </c>
      <c r="D492" s="12">
        <f t="shared" ref="D492" si="389">D372</f>
        <v>9</v>
      </c>
      <c r="E492" s="12">
        <v>5</v>
      </c>
      <c r="F492" s="12">
        <f t="shared" ref="F492:S492" si="390">F12</f>
        <v>9</v>
      </c>
      <c r="G492" s="12">
        <f t="shared" si="390"/>
        <v>30055</v>
      </c>
      <c r="H492" s="12">
        <f t="shared" si="390"/>
        <v>3</v>
      </c>
      <c r="I492" s="12">
        <f t="shared" si="390"/>
        <v>2</v>
      </c>
      <c r="J492" s="12">
        <f t="shared" si="390"/>
        <v>4</v>
      </c>
      <c r="K492" s="12">
        <f t="shared" si="390"/>
        <v>7392785</v>
      </c>
      <c r="L492" s="12">
        <f t="shared" si="390"/>
        <v>7392785</v>
      </c>
      <c r="M492" s="12">
        <f t="shared" si="390"/>
        <v>7392785</v>
      </c>
      <c r="N492" s="12">
        <f t="shared" si="390"/>
        <v>0</v>
      </c>
      <c r="O492" s="12">
        <f t="shared" si="390"/>
        <v>0</v>
      </c>
      <c r="P492" s="12">
        <f t="shared" si="390"/>
        <v>0</v>
      </c>
      <c r="Q492" s="12">
        <f t="shared" si="390"/>
        <v>17071043050</v>
      </c>
      <c r="R492" s="12">
        <f t="shared" si="390"/>
        <v>0</v>
      </c>
      <c r="S492" s="12">
        <f t="shared" si="390"/>
        <v>60</v>
      </c>
      <c r="T492" s="28" t="s">
        <v>1136</v>
      </c>
      <c r="U492" s="28"/>
      <c r="AA492" s="16"/>
      <c r="AB492" s="16"/>
    </row>
    <row r="493" spans="1:28" x14ac:dyDescent="0.2">
      <c r="A493" s="12">
        <v>50010</v>
      </c>
      <c r="B493" s="16" t="s">
        <v>687</v>
      </c>
      <c r="C493" s="2" t="s">
        <v>677</v>
      </c>
      <c r="D493" s="12">
        <f t="shared" ref="D493" si="391">D373</f>
        <v>10</v>
      </c>
      <c r="E493" s="12">
        <v>5</v>
      </c>
      <c r="F493" s="12">
        <f t="shared" ref="F493:S493" si="392">F13</f>
        <v>10</v>
      </c>
      <c r="G493" s="12">
        <f t="shared" si="392"/>
        <v>30105</v>
      </c>
      <c r="H493" s="12">
        <f t="shared" si="392"/>
        <v>2</v>
      </c>
      <c r="I493" s="12">
        <f t="shared" si="392"/>
        <v>2</v>
      </c>
      <c r="J493" s="12">
        <f t="shared" si="392"/>
        <v>4</v>
      </c>
      <c r="K493" s="12">
        <f t="shared" si="392"/>
        <v>9690620</v>
      </c>
      <c r="L493" s="12">
        <f t="shared" si="392"/>
        <v>9690620</v>
      </c>
      <c r="M493" s="12">
        <f t="shared" si="392"/>
        <v>9690620</v>
      </c>
      <c r="N493" s="12">
        <f t="shared" si="392"/>
        <v>0</v>
      </c>
      <c r="O493" s="12">
        <f t="shared" si="392"/>
        <v>0</v>
      </c>
      <c r="P493" s="12">
        <f t="shared" si="392"/>
        <v>0</v>
      </c>
      <c r="Q493" s="12">
        <f t="shared" si="392"/>
        <v>32665383950</v>
      </c>
      <c r="R493" s="12">
        <f t="shared" si="392"/>
        <v>0</v>
      </c>
      <c r="S493" s="12">
        <f t="shared" si="392"/>
        <v>60</v>
      </c>
      <c r="T493" s="28" t="s">
        <v>1136</v>
      </c>
      <c r="U493" s="28"/>
      <c r="AA493" s="16"/>
      <c r="AB493" s="16"/>
    </row>
    <row r="494" spans="1:28" x14ac:dyDescent="0.2">
      <c r="A494" s="12">
        <v>50011</v>
      </c>
      <c r="B494" s="16" t="s">
        <v>688</v>
      </c>
      <c r="C494" s="2" t="s">
        <v>677</v>
      </c>
      <c r="D494" s="12">
        <f t="shared" ref="D494" si="393">D374</f>
        <v>11</v>
      </c>
      <c r="E494" s="12">
        <v>5</v>
      </c>
      <c r="F494" s="12">
        <f t="shared" ref="F494:S494" si="394">F14</f>
        <v>11</v>
      </c>
      <c r="G494" s="12">
        <f t="shared" si="394"/>
        <v>30155</v>
      </c>
      <c r="H494" s="12">
        <f t="shared" si="394"/>
        <v>1</v>
      </c>
      <c r="I494" s="12">
        <f t="shared" si="394"/>
        <v>2</v>
      </c>
      <c r="J494" s="12">
        <f t="shared" si="394"/>
        <v>4</v>
      </c>
      <c r="K494" s="12">
        <f t="shared" si="394"/>
        <v>12472805</v>
      </c>
      <c r="L494" s="12">
        <f t="shared" si="394"/>
        <v>12472805</v>
      </c>
      <c r="M494" s="12">
        <f t="shared" si="394"/>
        <v>12472805</v>
      </c>
      <c r="N494" s="12">
        <f t="shared" si="394"/>
        <v>0</v>
      </c>
      <c r="O494" s="12">
        <f t="shared" si="394"/>
        <v>0</v>
      </c>
      <c r="P494" s="12">
        <f t="shared" si="394"/>
        <v>0</v>
      </c>
      <c r="Q494" s="12">
        <f t="shared" si="394"/>
        <v>56612113850</v>
      </c>
      <c r="R494" s="12">
        <f t="shared" si="394"/>
        <v>0</v>
      </c>
      <c r="S494" s="12">
        <f t="shared" si="394"/>
        <v>60</v>
      </c>
      <c r="T494" s="28" t="s">
        <v>1136</v>
      </c>
      <c r="U494" s="28"/>
      <c r="AA494" s="16"/>
      <c r="AB494" s="16"/>
    </row>
    <row r="495" spans="1:28" x14ac:dyDescent="0.2">
      <c r="A495" s="12">
        <v>50012</v>
      </c>
      <c r="B495" s="16" t="s">
        <v>689</v>
      </c>
      <c r="C495" s="2" t="s">
        <v>677</v>
      </c>
      <c r="D495" s="12">
        <f t="shared" ref="D495" si="395">D375</f>
        <v>12</v>
      </c>
      <c r="E495" s="12">
        <v>5</v>
      </c>
      <c r="F495" s="12">
        <f t="shared" ref="F495:S495" si="396">F15</f>
        <v>12</v>
      </c>
      <c r="G495" s="12">
        <f t="shared" si="396"/>
        <v>30205</v>
      </c>
      <c r="H495" s="12">
        <f t="shared" si="396"/>
        <v>3</v>
      </c>
      <c r="I495" s="12">
        <f t="shared" si="396"/>
        <v>2</v>
      </c>
      <c r="J495" s="12">
        <f t="shared" si="396"/>
        <v>4</v>
      </c>
      <c r="K495" s="12">
        <f t="shared" si="396"/>
        <v>15756730</v>
      </c>
      <c r="L495" s="12">
        <f t="shared" si="396"/>
        <v>15756730</v>
      </c>
      <c r="M495" s="12">
        <f t="shared" si="396"/>
        <v>15756730</v>
      </c>
      <c r="N495" s="12">
        <f t="shared" si="396"/>
        <v>0</v>
      </c>
      <c r="O495" s="12">
        <f t="shared" si="396"/>
        <v>0</v>
      </c>
      <c r="P495" s="12">
        <f t="shared" si="396"/>
        <v>0</v>
      </c>
      <c r="Q495" s="12">
        <f t="shared" si="396"/>
        <v>90093679900</v>
      </c>
      <c r="R495" s="12">
        <f t="shared" si="396"/>
        <v>0</v>
      </c>
      <c r="S495" s="12">
        <f t="shared" si="396"/>
        <v>60</v>
      </c>
      <c r="T495" s="28" t="s">
        <v>1136</v>
      </c>
      <c r="U495" s="28"/>
      <c r="AA495" s="16"/>
      <c r="AB495" s="16"/>
    </row>
    <row r="496" spans="1:28" x14ac:dyDescent="0.2">
      <c r="A496" s="12">
        <v>50013</v>
      </c>
      <c r="B496" s="16" t="s">
        <v>690</v>
      </c>
      <c r="C496" s="2" t="s">
        <v>677</v>
      </c>
      <c r="D496" s="12">
        <f t="shared" ref="D496" si="397">D376</f>
        <v>13</v>
      </c>
      <c r="E496" s="12">
        <v>5</v>
      </c>
      <c r="F496" s="12">
        <f t="shared" ref="F496:S496" si="398">F16</f>
        <v>13</v>
      </c>
      <c r="G496" s="12">
        <f t="shared" si="398"/>
        <v>40055</v>
      </c>
      <c r="H496" s="12">
        <f t="shared" si="398"/>
        <v>2</v>
      </c>
      <c r="I496" s="12">
        <f t="shared" si="398"/>
        <v>2</v>
      </c>
      <c r="J496" s="12">
        <f t="shared" si="398"/>
        <v>4</v>
      </c>
      <c r="K496" s="12">
        <f t="shared" si="398"/>
        <v>19639855</v>
      </c>
      <c r="L496" s="12">
        <f t="shared" si="398"/>
        <v>19639855</v>
      </c>
      <c r="M496" s="12">
        <f t="shared" si="398"/>
        <v>19639855</v>
      </c>
      <c r="N496" s="12">
        <f t="shared" si="398"/>
        <v>0</v>
      </c>
      <c r="O496" s="12">
        <f t="shared" si="398"/>
        <v>0</v>
      </c>
      <c r="P496" s="12">
        <f t="shared" si="398"/>
        <v>0</v>
      </c>
      <c r="Q496" s="12">
        <f t="shared" si="398"/>
        <v>144102587600</v>
      </c>
      <c r="R496" s="12">
        <f t="shared" si="398"/>
        <v>0</v>
      </c>
      <c r="S496" s="12">
        <f t="shared" si="398"/>
        <v>60</v>
      </c>
      <c r="T496" s="28" t="s">
        <v>1137</v>
      </c>
      <c r="U496" s="28"/>
      <c r="AA496" s="16"/>
      <c r="AB496" s="16"/>
    </row>
    <row r="497" spans="1:28" x14ac:dyDescent="0.2">
      <c r="A497" s="12">
        <v>50014</v>
      </c>
      <c r="B497" s="16" t="s">
        <v>691</v>
      </c>
      <c r="C497" s="2" t="s">
        <v>677</v>
      </c>
      <c r="D497" s="12">
        <f t="shared" ref="D497" si="399">D377</f>
        <v>14</v>
      </c>
      <c r="E497" s="12">
        <v>5</v>
      </c>
      <c r="F497" s="12">
        <f t="shared" ref="F497:S497" si="400">F17</f>
        <v>14</v>
      </c>
      <c r="G497" s="12">
        <f t="shared" si="400"/>
        <v>40105</v>
      </c>
      <c r="H497" s="12">
        <f t="shared" si="400"/>
        <v>1</v>
      </c>
      <c r="I497" s="12">
        <f t="shared" si="400"/>
        <v>2</v>
      </c>
      <c r="J497" s="12">
        <f t="shared" si="400"/>
        <v>4</v>
      </c>
      <c r="K497" s="12">
        <f t="shared" si="400"/>
        <v>24205880</v>
      </c>
      <c r="L497" s="12">
        <f t="shared" si="400"/>
        <v>24205880</v>
      </c>
      <c r="M497" s="12">
        <f t="shared" si="400"/>
        <v>24205880</v>
      </c>
      <c r="N497" s="12">
        <f t="shared" si="400"/>
        <v>0</v>
      </c>
      <c r="O497" s="12">
        <f t="shared" si="400"/>
        <v>0</v>
      </c>
      <c r="P497" s="12">
        <f t="shared" si="400"/>
        <v>0</v>
      </c>
      <c r="Q497" s="12">
        <f t="shared" si="400"/>
        <v>220536880700</v>
      </c>
      <c r="R497" s="12">
        <f t="shared" si="400"/>
        <v>0</v>
      </c>
      <c r="S497" s="12">
        <f t="shared" si="400"/>
        <v>60</v>
      </c>
      <c r="T497" s="28" t="s">
        <v>1137</v>
      </c>
      <c r="U497" s="28"/>
      <c r="AA497" s="16"/>
      <c r="AB497" s="16"/>
    </row>
    <row r="498" spans="1:28" x14ac:dyDescent="0.2">
      <c r="A498" s="12">
        <v>50015</v>
      </c>
      <c r="B498" s="16" t="s">
        <v>692</v>
      </c>
      <c r="C498" s="2" t="s">
        <v>677</v>
      </c>
      <c r="D498" s="12">
        <f t="shared" ref="D498" si="401">D378</f>
        <v>15</v>
      </c>
      <c r="E498" s="12">
        <v>5</v>
      </c>
      <c r="F498" s="12">
        <f t="shared" ref="F498:S498" si="402">F18</f>
        <v>15</v>
      </c>
      <c r="G498" s="12">
        <f t="shared" si="402"/>
        <v>40155</v>
      </c>
      <c r="H498" s="12">
        <f t="shared" si="402"/>
        <v>3</v>
      </c>
      <c r="I498" s="12">
        <f t="shared" si="402"/>
        <v>2</v>
      </c>
      <c r="J498" s="12">
        <f t="shared" si="402"/>
        <v>4</v>
      </c>
      <c r="K498" s="12">
        <f t="shared" si="402"/>
        <v>31164265</v>
      </c>
      <c r="L498" s="12">
        <f t="shared" si="402"/>
        <v>31164265</v>
      </c>
      <c r="M498" s="12">
        <f t="shared" si="402"/>
        <v>31164265</v>
      </c>
      <c r="N498" s="12">
        <f t="shared" si="402"/>
        <v>0</v>
      </c>
      <c r="O498" s="12">
        <f t="shared" si="402"/>
        <v>0</v>
      </c>
      <c r="P498" s="12">
        <f t="shared" si="402"/>
        <v>0</v>
      </c>
      <c r="Q498" s="12">
        <f t="shared" si="402"/>
        <v>389457399875</v>
      </c>
      <c r="R498" s="12">
        <f t="shared" si="402"/>
        <v>0</v>
      </c>
      <c r="S498" s="12">
        <f t="shared" si="402"/>
        <v>60</v>
      </c>
      <c r="T498" s="28" t="s">
        <v>1137</v>
      </c>
      <c r="U498" s="28"/>
      <c r="AA498" s="16"/>
      <c r="AB498" s="16"/>
    </row>
    <row r="499" spans="1:28" x14ac:dyDescent="0.2">
      <c r="A499" s="12">
        <v>50016</v>
      </c>
      <c r="B499" s="16" t="s">
        <v>693</v>
      </c>
      <c r="C499" s="2" t="s">
        <v>677</v>
      </c>
      <c r="D499" s="12">
        <f t="shared" ref="D499" si="403">D379</f>
        <v>16</v>
      </c>
      <c r="E499" s="12">
        <v>5</v>
      </c>
      <c r="F499" s="12">
        <f t="shared" ref="F499:S499" si="404">F19</f>
        <v>16</v>
      </c>
      <c r="G499" s="12">
        <f t="shared" si="404"/>
        <v>40205</v>
      </c>
      <c r="H499" s="12">
        <f t="shared" si="404"/>
        <v>2</v>
      </c>
      <c r="I499" s="12">
        <f t="shared" si="404"/>
        <v>2</v>
      </c>
      <c r="J499" s="12">
        <f t="shared" si="404"/>
        <v>4</v>
      </c>
      <c r="K499" s="12">
        <f t="shared" si="404"/>
        <v>38620260</v>
      </c>
      <c r="L499" s="12">
        <f t="shared" si="404"/>
        <v>38620260</v>
      </c>
      <c r="M499" s="12">
        <f t="shared" si="404"/>
        <v>38620260</v>
      </c>
      <c r="N499" s="12">
        <f t="shared" si="404"/>
        <v>0</v>
      </c>
      <c r="O499" s="12">
        <f t="shared" si="404"/>
        <v>0</v>
      </c>
      <c r="P499" s="12">
        <f t="shared" si="404"/>
        <v>0</v>
      </c>
      <c r="Q499" s="12">
        <f t="shared" si="404"/>
        <v>654774441975</v>
      </c>
      <c r="R499" s="12">
        <f t="shared" si="404"/>
        <v>0</v>
      </c>
      <c r="S499" s="12">
        <f t="shared" si="404"/>
        <v>60</v>
      </c>
      <c r="T499" s="28" t="s">
        <v>1137</v>
      </c>
      <c r="U499" s="28"/>
      <c r="AA499" s="16"/>
      <c r="AB499" s="16"/>
    </row>
    <row r="500" spans="1:28" x14ac:dyDescent="0.2">
      <c r="A500" s="12">
        <v>50017</v>
      </c>
      <c r="B500" s="16" t="s">
        <v>694</v>
      </c>
      <c r="C500" s="2" t="s">
        <v>677</v>
      </c>
      <c r="D500" s="12">
        <f t="shared" ref="D500" si="405">D380</f>
        <v>17</v>
      </c>
      <c r="E500" s="12">
        <v>5</v>
      </c>
      <c r="F500" s="12">
        <f t="shared" ref="F500:S500" si="406">F20</f>
        <v>17</v>
      </c>
      <c r="G500" s="12">
        <f t="shared" si="406"/>
        <v>50055</v>
      </c>
      <c r="H500" s="12">
        <f t="shared" si="406"/>
        <v>1</v>
      </c>
      <c r="I500" s="12">
        <f t="shared" si="406"/>
        <v>2</v>
      </c>
      <c r="J500" s="12">
        <f t="shared" si="406"/>
        <v>4</v>
      </c>
      <c r="K500" s="12">
        <f t="shared" si="406"/>
        <v>166514100</v>
      </c>
      <c r="L500" s="12">
        <f t="shared" si="406"/>
        <v>166514100</v>
      </c>
      <c r="M500" s="12">
        <f t="shared" si="406"/>
        <v>166514100</v>
      </c>
      <c r="N500" s="12">
        <f t="shared" si="406"/>
        <v>0</v>
      </c>
      <c r="O500" s="12">
        <f t="shared" si="406"/>
        <v>0</v>
      </c>
      <c r="P500" s="12">
        <f t="shared" si="406"/>
        <v>0</v>
      </c>
      <c r="Q500" s="12">
        <f t="shared" si="406"/>
        <v>57958370565525</v>
      </c>
      <c r="R500" s="12">
        <f t="shared" si="406"/>
        <v>0</v>
      </c>
      <c r="S500" s="12">
        <f t="shared" si="406"/>
        <v>60</v>
      </c>
      <c r="T500" s="28" t="s">
        <v>1138</v>
      </c>
      <c r="U500" s="28"/>
      <c r="AA500" s="16"/>
      <c r="AB500" s="16"/>
    </row>
    <row r="501" spans="1:28" x14ac:dyDescent="0.2">
      <c r="A501" s="12">
        <v>50018</v>
      </c>
      <c r="B501" s="16" t="s">
        <v>695</v>
      </c>
      <c r="C501" s="2" t="s">
        <v>677</v>
      </c>
      <c r="D501" s="12">
        <f t="shared" ref="D501" si="407">D381</f>
        <v>18</v>
      </c>
      <c r="E501" s="12">
        <v>5</v>
      </c>
      <c r="F501" s="12">
        <f t="shared" ref="F501:S501" si="408">F21</f>
        <v>18</v>
      </c>
      <c r="G501" s="12">
        <f t="shared" si="408"/>
        <v>10045</v>
      </c>
      <c r="H501" s="12">
        <f t="shared" si="408"/>
        <v>3</v>
      </c>
      <c r="I501" s="12">
        <f t="shared" si="408"/>
        <v>2</v>
      </c>
      <c r="J501" s="12">
        <f t="shared" si="408"/>
        <v>4</v>
      </c>
      <c r="K501" s="12">
        <f t="shared" si="408"/>
        <v>200401195</v>
      </c>
      <c r="L501" s="12">
        <f t="shared" si="408"/>
        <v>200401195</v>
      </c>
      <c r="M501" s="12">
        <f t="shared" si="408"/>
        <v>200401195</v>
      </c>
      <c r="N501" s="12">
        <f t="shared" si="408"/>
        <v>0</v>
      </c>
      <c r="O501" s="12">
        <f t="shared" si="408"/>
        <v>0</v>
      </c>
      <c r="P501" s="12">
        <f t="shared" si="408"/>
        <v>0</v>
      </c>
      <c r="Q501" s="12">
        <f t="shared" si="408"/>
        <v>86635109542075</v>
      </c>
      <c r="R501" s="12">
        <f t="shared" si="408"/>
        <v>0</v>
      </c>
      <c r="S501" s="12">
        <f t="shared" si="408"/>
        <v>60</v>
      </c>
      <c r="T501" s="28" t="s">
        <v>1138</v>
      </c>
      <c r="U501" s="28"/>
      <c r="AA501" s="16"/>
      <c r="AB501" s="16"/>
    </row>
    <row r="502" spans="1:28" x14ac:dyDescent="0.2">
      <c r="A502" s="12">
        <v>50019</v>
      </c>
      <c r="B502" s="16" t="s">
        <v>696</v>
      </c>
      <c r="C502" s="2" t="s">
        <v>677</v>
      </c>
      <c r="D502" s="12">
        <f t="shared" ref="D502" si="409">D382</f>
        <v>19</v>
      </c>
      <c r="E502" s="12">
        <v>5</v>
      </c>
      <c r="F502" s="12">
        <f t="shared" ref="F502:S502" si="410">F22</f>
        <v>19</v>
      </c>
      <c r="G502" s="12">
        <f t="shared" si="410"/>
        <v>10095</v>
      </c>
      <c r="H502" s="12">
        <f t="shared" si="410"/>
        <v>2</v>
      </c>
      <c r="I502" s="12">
        <f t="shared" si="410"/>
        <v>2</v>
      </c>
      <c r="J502" s="12">
        <f t="shared" si="410"/>
        <v>4</v>
      </c>
      <c r="K502" s="12">
        <f t="shared" si="410"/>
        <v>253221165</v>
      </c>
      <c r="L502" s="12">
        <f t="shared" si="410"/>
        <v>253221165</v>
      </c>
      <c r="M502" s="12">
        <f t="shared" si="410"/>
        <v>253221165</v>
      </c>
      <c r="N502" s="12">
        <f t="shared" si="410"/>
        <v>0</v>
      </c>
      <c r="O502" s="12">
        <f t="shared" si="410"/>
        <v>0</v>
      </c>
      <c r="P502" s="12">
        <f t="shared" si="410"/>
        <v>0</v>
      </c>
      <c r="Q502" s="12">
        <f t="shared" si="410"/>
        <v>152037195553375</v>
      </c>
      <c r="R502" s="12">
        <f t="shared" si="410"/>
        <v>0</v>
      </c>
      <c r="S502" s="12">
        <f t="shared" si="410"/>
        <v>60</v>
      </c>
      <c r="T502" s="28" t="s">
        <v>1138</v>
      </c>
      <c r="U502" s="28"/>
      <c r="AA502" s="16"/>
      <c r="AB502" s="16"/>
    </row>
    <row r="503" spans="1:28" x14ac:dyDescent="0.2">
      <c r="A503" s="12">
        <v>50020</v>
      </c>
      <c r="B503" s="16" t="s">
        <v>697</v>
      </c>
      <c r="C503" s="2" t="s">
        <v>677</v>
      </c>
      <c r="D503" s="12">
        <f t="shared" ref="D503" si="411">D383</f>
        <v>20</v>
      </c>
      <c r="E503" s="12">
        <v>5</v>
      </c>
      <c r="F503" s="12">
        <f t="shared" ref="F503:S503" si="412">F23</f>
        <v>20</v>
      </c>
      <c r="G503" s="12">
        <f t="shared" si="412"/>
        <v>10145</v>
      </c>
      <c r="H503" s="12">
        <f t="shared" si="412"/>
        <v>1</v>
      </c>
      <c r="I503" s="12">
        <f t="shared" si="412"/>
        <v>2</v>
      </c>
      <c r="J503" s="12">
        <f t="shared" si="412"/>
        <v>4</v>
      </c>
      <c r="K503" s="12">
        <f t="shared" si="412"/>
        <v>300735140</v>
      </c>
      <c r="L503" s="12">
        <f t="shared" si="412"/>
        <v>300735140</v>
      </c>
      <c r="M503" s="12">
        <f t="shared" si="412"/>
        <v>300735140</v>
      </c>
      <c r="N503" s="12">
        <f t="shared" si="412"/>
        <v>0</v>
      </c>
      <c r="O503" s="12">
        <f t="shared" si="412"/>
        <v>0</v>
      </c>
      <c r="P503" s="12">
        <f t="shared" si="412"/>
        <v>0</v>
      </c>
      <c r="Q503" s="12">
        <f t="shared" si="412"/>
        <v>226843648238075</v>
      </c>
      <c r="R503" s="12">
        <f t="shared" si="412"/>
        <v>0</v>
      </c>
      <c r="S503" s="12">
        <f t="shared" si="412"/>
        <v>60</v>
      </c>
      <c r="T503" s="28" t="s">
        <v>1138</v>
      </c>
      <c r="U503" s="28"/>
      <c r="AA503" s="16"/>
      <c r="AB503" s="16"/>
    </row>
    <row r="504" spans="1:28" x14ac:dyDescent="0.2">
      <c r="A504" s="12">
        <v>50021</v>
      </c>
      <c r="B504" s="16" t="s">
        <v>698</v>
      </c>
      <c r="C504" s="2" t="s">
        <v>677</v>
      </c>
      <c r="D504" s="12">
        <f t="shared" ref="D504" si="413">D384</f>
        <v>21</v>
      </c>
      <c r="E504" s="12">
        <v>5</v>
      </c>
      <c r="F504" s="12">
        <f t="shared" ref="F504:S504" si="414">F24</f>
        <v>21</v>
      </c>
      <c r="G504" s="12">
        <f t="shared" si="414"/>
        <v>10195</v>
      </c>
      <c r="H504" s="12">
        <f t="shared" si="414"/>
        <v>3</v>
      </c>
      <c r="I504" s="12">
        <f t="shared" si="414"/>
        <v>2</v>
      </c>
      <c r="J504" s="12">
        <f t="shared" si="414"/>
        <v>4</v>
      </c>
      <c r="K504" s="12">
        <f t="shared" si="414"/>
        <v>391089655</v>
      </c>
      <c r="L504" s="12">
        <f t="shared" si="414"/>
        <v>391089655</v>
      </c>
      <c r="M504" s="12">
        <f t="shared" si="414"/>
        <v>391089655</v>
      </c>
      <c r="N504" s="12">
        <f t="shared" si="414"/>
        <v>0</v>
      </c>
      <c r="O504" s="12">
        <f t="shared" si="414"/>
        <v>0</v>
      </c>
      <c r="P504" s="12">
        <f t="shared" si="414"/>
        <v>0</v>
      </c>
      <c r="Q504" s="12">
        <f t="shared" si="414"/>
        <v>618514479172800</v>
      </c>
      <c r="R504" s="12">
        <f t="shared" si="414"/>
        <v>0</v>
      </c>
      <c r="S504" s="12">
        <f t="shared" si="414"/>
        <v>60</v>
      </c>
      <c r="T504" s="28" t="s">
        <v>1139</v>
      </c>
      <c r="U504" s="28"/>
      <c r="AA504" s="16"/>
      <c r="AB504" s="16"/>
    </row>
    <row r="505" spans="1:28" x14ac:dyDescent="0.2">
      <c r="A505" s="12">
        <v>50022</v>
      </c>
      <c r="B505" s="16" t="s">
        <v>699</v>
      </c>
      <c r="C505" s="2" t="s">
        <v>677</v>
      </c>
      <c r="D505" s="12">
        <f t="shared" ref="D505" si="415">D385</f>
        <v>22</v>
      </c>
      <c r="E505" s="12">
        <v>5</v>
      </c>
      <c r="F505" s="12">
        <f t="shared" ref="F505:S505" si="416">F25</f>
        <v>22</v>
      </c>
      <c r="G505" s="12">
        <f t="shared" si="416"/>
        <v>20045</v>
      </c>
      <c r="H505" s="12">
        <f t="shared" si="416"/>
        <v>2</v>
      </c>
      <c r="I505" s="12">
        <f t="shared" si="416"/>
        <v>2</v>
      </c>
      <c r="J505" s="12">
        <f t="shared" si="416"/>
        <v>4</v>
      </c>
      <c r="K505" s="12">
        <f t="shared" si="416"/>
        <v>451518515</v>
      </c>
      <c r="L505" s="12">
        <f t="shared" si="416"/>
        <v>451518515</v>
      </c>
      <c r="M505" s="12">
        <f t="shared" si="416"/>
        <v>451518515</v>
      </c>
      <c r="N505" s="12">
        <f t="shared" si="416"/>
        <v>0</v>
      </c>
      <c r="O505" s="12">
        <f t="shared" si="416"/>
        <v>0</v>
      </c>
      <c r="P505" s="12">
        <f t="shared" si="416"/>
        <v>0</v>
      </c>
      <c r="Q505" s="12">
        <f t="shared" si="416"/>
        <v>815227301527675</v>
      </c>
      <c r="R505" s="12">
        <f t="shared" si="416"/>
        <v>0</v>
      </c>
      <c r="S505" s="12">
        <f t="shared" si="416"/>
        <v>60</v>
      </c>
      <c r="T505" s="28" t="s">
        <v>1139</v>
      </c>
      <c r="U505" s="28"/>
      <c r="AA505" s="16"/>
      <c r="AB505" s="16"/>
    </row>
    <row r="506" spans="1:28" x14ac:dyDescent="0.2">
      <c r="A506" s="12">
        <v>50023</v>
      </c>
      <c r="B506" s="16" t="s">
        <v>700</v>
      </c>
      <c r="C506" s="2" t="s">
        <v>677</v>
      </c>
      <c r="D506" s="12">
        <f t="shared" ref="D506" si="417">D386</f>
        <v>23</v>
      </c>
      <c r="E506" s="12">
        <v>5</v>
      </c>
      <c r="F506" s="12">
        <f t="shared" ref="F506:S506" si="418">F26</f>
        <v>23</v>
      </c>
      <c r="G506" s="12">
        <f t="shared" si="418"/>
        <v>20095</v>
      </c>
      <c r="H506" s="12">
        <f t="shared" si="418"/>
        <v>1</v>
      </c>
      <c r="I506" s="12">
        <f t="shared" si="418"/>
        <v>2</v>
      </c>
      <c r="J506" s="12">
        <f t="shared" si="418"/>
        <v>4</v>
      </c>
      <c r="K506" s="12">
        <f t="shared" si="418"/>
        <v>545358950</v>
      </c>
      <c r="L506" s="12">
        <f t="shared" si="418"/>
        <v>545358950</v>
      </c>
      <c r="M506" s="12">
        <f t="shared" si="418"/>
        <v>545358950</v>
      </c>
      <c r="N506" s="12">
        <f t="shared" si="418"/>
        <v>0</v>
      </c>
      <c r="O506" s="12">
        <f t="shared" si="418"/>
        <v>0</v>
      </c>
      <c r="P506" s="12">
        <f t="shared" si="418"/>
        <v>0</v>
      </c>
      <c r="Q506" s="12">
        <f t="shared" si="418"/>
        <v>1190168929539300</v>
      </c>
      <c r="R506" s="12">
        <f t="shared" si="418"/>
        <v>0</v>
      </c>
      <c r="S506" s="12">
        <f t="shared" si="418"/>
        <v>60</v>
      </c>
      <c r="T506" s="28" t="s">
        <v>1139</v>
      </c>
      <c r="U506" s="28"/>
      <c r="AA506" s="16"/>
      <c r="AB506" s="16"/>
    </row>
    <row r="507" spans="1:28" x14ac:dyDescent="0.2">
      <c r="A507" s="12">
        <v>50024</v>
      </c>
      <c r="B507" s="16" t="s">
        <v>701</v>
      </c>
      <c r="C507" s="2" t="s">
        <v>677</v>
      </c>
      <c r="D507" s="12">
        <f t="shared" ref="D507" si="419">D387</f>
        <v>24</v>
      </c>
      <c r="E507" s="12">
        <v>5</v>
      </c>
      <c r="F507" s="12">
        <f t="shared" ref="F507:S507" si="420">F27</f>
        <v>24</v>
      </c>
      <c r="G507" s="12">
        <f t="shared" si="420"/>
        <v>20145</v>
      </c>
      <c r="H507" s="12">
        <f t="shared" si="420"/>
        <v>3</v>
      </c>
      <c r="I507" s="12">
        <f t="shared" si="420"/>
        <v>2</v>
      </c>
      <c r="J507" s="12">
        <f t="shared" si="420"/>
        <v>4</v>
      </c>
      <c r="K507" s="12">
        <f t="shared" si="420"/>
        <v>624877470</v>
      </c>
      <c r="L507" s="12">
        <f t="shared" si="420"/>
        <v>624877470</v>
      </c>
      <c r="M507" s="12">
        <f t="shared" si="420"/>
        <v>624877470</v>
      </c>
      <c r="N507" s="12">
        <f t="shared" si="420"/>
        <v>0</v>
      </c>
      <c r="O507" s="12">
        <f t="shared" si="420"/>
        <v>0</v>
      </c>
      <c r="P507" s="12">
        <f t="shared" si="420"/>
        <v>0</v>
      </c>
      <c r="Q507" s="12">
        <f t="shared" si="420"/>
        <v>1561202533964850</v>
      </c>
      <c r="R507" s="12">
        <f t="shared" si="420"/>
        <v>0</v>
      </c>
      <c r="S507" s="12">
        <f t="shared" si="420"/>
        <v>60</v>
      </c>
      <c r="T507" s="28" t="s">
        <v>1139</v>
      </c>
      <c r="U507" s="28"/>
      <c r="AA507" s="16"/>
      <c r="AB507" s="16"/>
    </row>
    <row r="508" spans="1:28" x14ac:dyDescent="0.2">
      <c r="A508" s="12">
        <v>50025</v>
      </c>
      <c r="B508" s="16" t="s">
        <v>702</v>
      </c>
      <c r="C508" s="2" t="s">
        <v>677</v>
      </c>
      <c r="D508" s="12">
        <f t="shared" ref="D508" si="421">D388</f>
        <v>25</v>
      </c>
      <c r="E508" s="12">
        <v>5</v>
      </c>
      <c r="F508" s="12">
        <f t="shared" ref="F508:S508" si="422">F28</f>
        <v>25</v>
      </c>
      <c r="G508" s="12">
        <f t="shared" si="422"/>
        <v>20195</v>
      </c>
      <c r="H508" s="12">
        <f t="shared" si="422"/>
        <v>2</v>
      </c>
      <c r="I508" s="12">
        <f t="shared" si="422"/>
        <v>2</v>
      </c>
      <c r="J508" s="12">
        <f t="shared" si="422"/>
        <v>4</v>
      </c>
      <c r="K508" s="12">
        <f t="shared" si="422"/>
        <v>1169283855</v>
      </c>
      <c r="L508" s="12">
        <f t="shared" si="422"/>
        <v>1169283855</v>
      </c>
      <c r="M508" s="12">
        <f t="shared" si="422"/>
        <v>1169283855</v>
      </c>
      <c r="N508" s="12">
        <f t="shared" si="422"/>
        <v>0</v>
      </c>
      <c r="O508" s="12">
        <f t="shared" si="422"/>
        <v>0</v>
      </c>
      <c r="P508" s="12">
        <f t="shared" si="422"/>
        <v>0</v>
      </c>
      <c r="Q508" s="12">
        <f t="shared" si="422"/>
        <v>6571493659479170</v>
      </c>
      <c r="R508" s="12">
        <f t="shared" si="422"/>
        <v>0</v>
      </c>
      <c r="S508" s="12">
        <f t="shared" si="422"/>
        <v>60</v>
      </c>
      <c r="T508" s="28" t="s">
        <v>1140</v>
      </c>
      <c r="U508" s="28"/>
      <c r="AA508" s="16"/>
      <c r="AB508" s="16"/>
    </row>
    <row r="509" spans="1:28" x14ac:dyDescent="0.2">
      <c r="A509" s="12">
        <v>50026</v>
      </c>
      <c r="B509" s="16" t="s">
        <v>703</v>
      </c>
      <c r="C509" s="2" t="s">
        <v>677</v>
      </c>
      <c r="D509" s="12">
        <f t="shared" ref="D509" si="423">D389</f>
        <v>26</v>
      </c>
      <c r="E509" s="12">
        <v>5</v>
      </c>
      <c r="F509" s="12">
        <f t="shared" ref="F509:S509" si="424">F29</f>
        <v>26</v>
      </c>
      <c r="G509" s="12">
        <f t="shared" si="424"/>
        <v>30045</v>
      </c>
      <c r="H509" s="12">
        <f t="shared" si="424"/>
        <v>1</v>
      </c>
      <c r="I509" s="12">
        <f t="shared" si="424"/>
        <v>2</v>
      </c>
      <c r="J509" s="12">
        <f t="shared" si="424"/>
        <v>4</v>
      </c>
      <c r="K509" s="12">
        <f t="shared" si="424"/>
        <v>1353713560</v>
      </c>
      <c r="L509" s="12">
        <f t="shared" si="424"/>
        <v>1353713560</v>
      </c>
      <c r="M509" s="12">
        <f t="shared" si="424"/>
        <v>1353713560</v>
      </c>
      <c r="N509" s="12">
        <f t="shared" si="424"/>
        <v>0</v>
      </c>
      <c r="O509" s="12">
        <f t="shared" si="424"/>
        <v>0</v>
      </c>
      <c r="P509" s="12">
        <f t="shared" si="424"/>
        <v>0</v>
      </c>
      <c r="Q509" s="12">
        <f t="shared" si="424"/>
        <v>8625060463698750</v>
      </c>
      <c r="R509" s="12">
        <f t="shared" si="424"/>
        <v>0</v>
      </c>
      <c r="S509" s="12">
        <f t="shared" si="424"/>
        <v>60</v>
      </c>
      <c r="T509" s="28" t="s">
        <v>1140</v>
      </c>
      <c r="U509" s="28"/>
      <c r="AA509" s="16"/>
      <c r="AB509" s="16"/>
    </row>
    <row r="510" spans="1:28" x14ac:dyDescent="0.2">
      <c r="A510" s="12">
        <v>50027</v>
      </c>
      <c r="B510" s="16" t="s">
        <v>704</v>
      </c>
      <c r="C510" s="2" t="s">
        <v>677</v>
      </c>
      <c r="D510" s="12">
        <f t="shared" ref="D510" si="425">D390</f>
        <v>27</v>
      </c>
      <c r="E510" s="12">
        <v>5</v>
      </c>
      <c r="F510" s="12">
        <f t="shared" ref="F510:S510" si="426">F30</f>
        <v>27</v>
      </c>
      <c r="G510" s="12">
        <f t="shared" si="426"/>
        <v>30095</v>
      </c>
      <c r="H510" s="12">
        <f t="shared" si="426"/>
        <v>3</v>
      </c>
      <c r="I510" s="12">
        <f t="shared" si="426"/>
        <v>2</v>
      </c>
      <c r="J510" s="12">
        <f t="shared" si="426"/>
        <v>4</v>
      </c>
      <c r="K510" s="12">
        <f t="shared" si="426"/>
        <v>1609474560</v>
      </c>
      <c r="L510" s="12">
        <f t="shared" si="426"/>
        <v>1609474560</v>
      </c>
      <c r="M510" s="12">
        <f t="shared" si="426"/>
        <v>1609474560</v>
      </c>
      <c r="N510" s="12">
        <f t="shared" si="426"/>
        <v>0</v>
      </c>
      <c r="O510" s="12">
        <f t="shared" si="426"/>
        <v>0</v>
      </c>
      <c r="P510" s="12">
        <f t="shared" si="426"/>
        <v>0</v>
      </c>
      <c r="Q510" s="12">
        <f t="shared" si="426"/>
        <v>1.21748365012717E+16</v>
      </c>
      <c r="R510" s="12">
        <f t="shared" si="426"/>
        <v>0</v>
      </c>
      <c r="S510" s="12">
        <f t="shared" si="426"/>
        <v>60</v>
      </c>
      <c r="T510" s="28" t="s">
        <v>1140</v>
      </c>
      <c r="U510" s="28"/>
      <c r="AA510" s="16"/>
      <c r="AB510" s="16"/>
    </row>
    <row r="511" spans="1:28" x14ac:dyDescent="0.2">
      <c r="A511" s="12">
        <v>50028</v>
      </c>
      <c r="B511" s="16" t="s">
        <v>705</v>
      </c>
      <c r="C511" s="2" t="s">
        <v>677</v>
      </c>
      <c r="D511" s="12">
        <f t="shared" ref="D511" si="427">D391</f>
        <v>28</v>
      </c>
      <c r="E511" s="12">
        <v>5</v>
      </c>
      <c r="F511" s="12">
        <f t="shared" ref="F511:S511" si="428">F31</f>
        <v>28</v>
      </c>
      <c r="G511" s="12">
        <f t="shared" si="428"/>
        <v>30145</v>
      </c>
      <c r="H511" s="12">
        <f t="shared" si="428"/>
        <v>2</v>
      </c>
      <c r="I511" s="12">
        <f t="shared" si="428"/>
        <v>2</v>
      </c>
      <c r="J511" s="12">
        <f t="shared" si="428"/>
        <v>4</v>
      </c>
      <c r="K511" s="12">
        <f t="shared" si="428"/>
        <v>1846695020</v>
      </c>
      <c r="L511" s="12">
        <f t="shared" si="428"/>
        <v>1846695020</v>
      </c>
      <c r="M511" s="12">
        <f t="shared" si="428"/>
        <v>1846695020</v>
      </c>
      <c r="N511" s="12">
        <f t="shared" si="428"/>
        <v>0</v>
      </c>
      <c r="O511" s="12">
        <f t="shared" si="428"/>
        <v>0</v>
      </c>
      <c r="P511" s="12">
        <f t="shared" si="428"/>
        <v>0</v>
      </c>
      <c r="Q511" s="12">
        <f t="shared" si="428"/>
        <v>1.59251562944154E+16</v>
      </c>
      <c r="R511" s="12">
        <f t="shared" si="428"/>
        <v>0</v>
      </c>
      <c r="S511" s="12">
        <f t="shared" si="428"/>
        <v>60</v>
      </c>
      <c r="T511" s="28" t="s">
        <v>1140</v>
      </c>
      <c r="U511" s="28"/>
      <c r="AA511" s="16"/>
      <c r="AB511" s="16"/>
    </row>
    <row r="512" spans="1:28" x14ac:dyDescent="0.2">
      <c r="A512" s="12">
        <v>50029</v>
      </c>
      <c r="B512" s="16" t="s">
        <v>706</v>
      </c>
      <c r="C512" s="2" t="s">
        <v>677</v>
      </c>
      <c r="D512" s="12">
        <f t="shared" ref="D512" si="429">D392</f>
        <v>29</v>
      </c>
      <c r="E512" s="12">
        <v>5</v>
      </c>
      <c r="F512" s="12">
        <f t="shared" ref="F512:S512" si="430">F32</f>
        <v>29</v>
      </c>
      <c r="G512" s="12">
        <f t="shared" si="430"/>
        <v>30195</v>
      </c>
      <c r="H512" s="12">
        <f t="shared" si="430"/>
        <v>1</v>
      </c>
      <c r="I512" s="12">
        <f t="shared" si="430"/>
        <v>2</v>
      </c>
      <c r="J512" s="12">
        <f t="shared" si="430"/>
        <v>4</v>
      </c>
      <c r="K512" s="12">
        <f t="shared" si="430"/>
        <v>2355403275</v>
      </c>
      <c r="L512" s="12">
        <f t="shared" si="430"/>
        <v>2355403275</v>
      </c>
      <c r="M512" s="12">
        <f t="shared" si="430"/>
        <v>2355403275</v>
      </c>
      <c r="N512" s="12">
        <f t="shared" si="430"/>
        <v>0</v>
      </c>
      <c r="O512" s="12">
        <f t="shared" si="430"/>
        <v>0</v>
      </c>
      <c r="P512" s="12">
        <f t="shared" si="430"/>
        <v>0</v>
      </c>
      <c r="Q512" s="12">
        <f t="shared" si="430"/>
        <v>5.42932995511708E+16</v>
      </c>
      <c r="R512" s="12">
        <f t="shared" si="430"/>
        <v>0</v>
      </c>
      <c r="S512" s="12">
        <f t="shared" si="430"/>
        <v>60</v>
      </c>
      <c r="T512" s="28" t="s">
        <v>1141</v>
      </c>
      <c r="U512" s="28"/>
      <c r="AA512" s="16"/>
      <c r="AB512" s="16"/>
    </row>
    <row r="513" spans="1:28" x14ac:dyDescent="0.2">
      <c r="A513" s="12">
        <v>50030</v>
      </c>
      <c r="B513" s="16" t="s">
        <v>707</v>
      </c>
      <c r="C513" s="2" t="s">
        <v>677</v>
      </c>
      <c r="D513" s="12">
        <f t="shared" ref="D513" si="431">D393</f>
        <v>30</v>
      </c>
      <c r="E513" s="12">
        <v>5</v>
      </c>
      <c r="F513" s="12">
        <f t="shared" ref="F513:S513" si="432">F33</f>
        <v>30</v>
      </c>
      <c r="G513" s="12">
        <f t="shared" si="432"/>
        <v>40045</v>
      </c>
      <c r="H513" s="12">
        <f t="shared" si="432"/>
        <v>3</v>
      </c>
      <c r="I513" s="12">
        <f t="shared" si="432"/>
        <v>2</v>
      </c>
      <c r="J513" s="12">
        <f t="shared" si="432"/>
        <v>4</v>
      </c>
      <c r="K513" s="12">
        <f t="shared" si="432"/>
        <v>2877535435</v>
      </c>
      <c r="L513" s="12">
        <f t="shared" si="432"/>
        <v>2877535435</v>
      </c>
      <c r="M513" s="12">
        <f t="shared" si="432"/>
        <v>2877535435</v>
      </c>
      <c r="N513" s="12">
        <f t="shared" si="432"/>
        <v>0</v>
      </c>
      <c r="O513" s="12">
        <f t="shared" si="432"/>
        <v>0</v>
      </c>
      <c r="P513" s="12">
        <f t="shared" si="432"/>
        <v>0</v>
      </c>
      <c r="Q513" s="12">
        <f t="shared" si="432"/>
        <v>8.4981450803142496E+16</v>
      </c>
      <c r="R513" s="12">
        <f t="shared" si="432"/>
        <v>0</v>
      </c>
      <c r="S513" s="12">
        <f t="shared" si="432"/>
        <v>60</v>
      </c>
      <c r="T513" s="28" t="s">
        <v>1141</v>
      </c>
      <c r="U513" s="28"/>
      <c r="AA513" s="16"/>
      <c r="AB513" s="16"/>
    </row>
    <row r="514" spans="1:28" x14ac:dyDescent="0.2">
      <c r="A514" s="12">
        <v>50031</v>
      </c>
      <c r="B514" s="16" t="s">
        <v>708</v>
      </c>
      <c r="C514" s="2" t="s">
        <v>677</v>
      </c>
      <c r="D514" s="12">
        <f t="shared" ref="D514" si="433">D394</f>
        <v>31</v>
      </c>
      <c r="E514" s="12">
        <v>5</v>
      </c>
      <c r="F514" s="12">
        <f t="shared" ref="F514:S514" si="434">F34</f>
        <v>31</v>
      </c>
      <c r="G514" s="12">
        <f t="shared" si="434"/>
        <v>40095</v>
      </c>
      <c r="H514" s="12">
        <f t="shared" si="434"/>
        <v>2</v>
      </c>
      <c r="I514" s="12">
        <f t="shared" si="434"/>
        <v>2</v>
      </c>
      <c r="J514" s="12">
        <f t="shared" si="434"/>
        <v>4</v>
      </c>
      <c r="K514" s="12">
        <f t="shared" si="434"/>
        <v>3471246540</v>
      </c>
      <c r="L514" s="12">
        <f t="shared" si="434"/>
        <v>3471246540</v>
      </c>
      <c r="M514" s="12">
        <f t="shared" si="434"/>
        <v>3471246540</v>
      </c>
      <c r="N514" s="12">
        <f t="shared" si="434"/>
        <v>0</v>
      </c>
      <c r="O514" s="12">
        <f t="shared" si="434"/>
        <v>0</v>
      </c>
      <c r="P514" s="12">
        <f t="shared" si="434"/>
        <v>0</v>
      </c>
      <c r="Q514" s="12">
        <f t="shared" si="434"/>
        <v>1.2804243823414E+17</v>
      </c>
      <c r="R514" s="12">
        <f t="shared" si="434"/>
        <v>0</v>
      </c>
      <c r="S514" s="12">
        <f t="shared" si="434"/>
        <v>60</v>
      </c>
      <c r="T514" s="28" t="s">
        <v>1141</v>
      </c>
      <c r="U514" s="28"/>
      <c r="AA514" s="16"/>
      <c r="AB514" s="16"/>
    </row>
    <row r="515" spans="1:28" x14ac:dyDescent="0.2">
      <c r="A515" s="12">
        <v>50032</v>
      </c>
      <c r="B515" s="16" t="s">
        <v>709</v>
      </c>
      <c r="C515" s="2" t="s">
        <v>677</v>
      </c>
      <c r="D515" s="12">
        <f t="shared" ref="D515" si="435">D395</f>
        <v>32</v>
      </c>
      <c r="E515" s="12">
        <v>5</v>
      </c>
      <c r="F515" s="12">
        <f t="shared" ref="F515:S515" si="436">F35</f>
        <v>32</v>
      </c>
      <c r="G515" s="12">
        <f t="shared" si="436"/>
        <v>40145</v>
      </c>
      <c r="H515" s="12">
        <f t="shared" si="436"/>
        <v>1</v>
      </c>
      <c r="I515" s="12">
        <f t="shared" si="436"/>
        <v>2</v>
      </c>
      <c r="J515" s="12">
        <f t="shared" si="436"/>
        <v>4</v>
      </c>
      <c r="K515" s="12">
        <f t="shared" si="436"/>
        <v>4070616465</v>
      </c>
      <c r="L515" s="12">
        <f t="shared" si="436"/>
        <v>4070616465</v>
      </c>
      <c r="M515" s="12">
        <f t="shared" si="436"/>
        <v>4070616465</v>
      </c>
      <c r="N515" s="12">
        <f t="shared" si="436"/>
        <v>0</v>
      </c>
      <c r="O515" s="12">
        <f t="shared" si="436"/>
        <v>0</v>
      </c>
      <c r="P515" s="12">
        <f t="shared" si="436"/>
        <v>0</v>
      </c>
      <c r="Q515" s="12">
        <f t="shared" si="436"/>
        <v>1.8553532413018202E+17</v>
      </c>
      <c r="R515" s="12">
        <f t="shared" si="436"/>
        <v>0</v>
      </c>
      <c r="S515" s="12">
        <f t="shared" si="436"/>
        <v>60</v>
      </c>
      <c r="T515" s="28" t="s">
        <v>1141</v>
      </c>
      <c r="U515" s="28"/>
      <c r="AA515" s="16"/>
      <c r="AB515" s="16"/>
    </row>
    <row r="516" spans="1:28" x14ac:dyDescent="0.2">
      <c r="A516" s="12">
        <v>50033</v>
      </c>
      <c r="B516" s="16" t="s">
        <v>710</v>
      </c>
      <c r="C516" s="2" t="s">
        <v>677</v>
      </c>
      <c r="D516" s="12">
        <f t="shared" ref="D516" si="437">D396</f>
        <v>33</v>
      </c>
      <c r="E516" s="12">
        <v>5</v>
      </c>
      <c r="F516" s="12">
        <f t="shared" ref="F516:S516" si="438">F36</f>
        <v>33</v>
      </c>
      <c r="G516" s="12">
        <f t="shared" si="438"/>
        <v>40195</v>
      </c>
      <c r="H516" s="12">
        <f t="shared" si="438"/>
        <v>3</v>
      </c>
      <c r="I516" s="12">
        <f t="shared" si="438"/>
        <v>2</v>
      </c>
      <c r="J516" s="12">
        <f t="shared" si="438"/>
        <v>4</v>
      </c>
      <c r="K516" s="12">
        <f t="shared" si="438"/>
        <v>4947931560</v>
      </c>
      <c r="L516" s="12">
        <f t="shared" si="438"/>
        <v>4947931560</v>
      </c>
      <c r="M516" s="12">
        <f t="shared" si="438"/>
        <v>4947931560</v>
      </c>
      <c r="N516" s="12">
        <f t="shared" si="438"/>
        <v>0</v>
      </c>
      <c r="O516" s="12">
        <f t="shared" si="438"/>
        <v>0</v>
      </c>
      <c r="P516" s="12">
        <f t="shared" si="438"/>
        <v>0</v>
      </c>
      <c r="Q516" s="12">
        <f t="shared" si="438"/>
        <v>3.2261314513479002E+17</v>
      </c>
      <c r="R516" s="12">
        <f t="shared" si="438"/>
        <v>0</v>
      </c>
      <c r="S516" s="12">
        <f t="shared" si="438"/>
        <v>60</v>
      </c>
      <c r="T516" s="28" t="s">
        <v>1142</v>
      </c>
      <c r="U516" s="28"/>
      <c r="AA516" s="16"/>
      <c r="AB516" s="16"/>
    </row>
    <row r="517" spans="1:28" x14ac:dyDescent="0.2">
      <c r="A517" s="12">
        <v>50034</v>
      </c>
      <c r="B517" s="16" t="s">
        <v>711</v>
      </c>
      <c r="C517" s="2" t="s">
        <v>677</v>
      </c>
      <c r="D517" s="12">
        <f t="shared" ref="D517" si="439">D397</f>
        <v>34</v>
      </c>
      <c r="E517" s="12">
        <v>5</v>
      </c>
      <c r="F517" s="12">
        <f t="shared" ref="F517:S517" si="440">F37</f>
        <v>34</v>
      </c>
      <c r="G517" s="12">
        <f t="shared" si="440"/>
        <v>50045</v>
      </c>
      <c r="H517" s="12">
        <f t="shared" si="440"/>
        <v>2</v>
      </c>
      <c r="I517" s="12">
        <f t="shared" si="440"/>
        <v>2</v>
      </c>
      <c r="J517" s="12">
        <f t="shared" si="440"/>
        <v>4</v>
      </c>
      <c r="K517" s="12">
        <f t="shared" si="440"/>
        <v>5657919940</v>
      </c>
      <c r="L517" s="12">
        <f t="shared" si="440"/>
        <v>5657919940</v>
      </c>
      <c r="M517" s="12">
        <f t="shared" si="440"/>
        <v>5657919940</v>
      </c>
      <c r="N517" s="12">
        <f t="shared" si="440"/>
        <v>0</v>
      </c>
      <c r="O517" s="12">
        <f t="shared" si="440"/>
        <v>0</v>
      </c>
      <c r="P517" s="12">
        <f t="shared" si="440"/>
        <v>0</v>
      </c>
      <c r="Q517" s="12">
        <f t="shared" si="440"/>
        <v>4.2750877848275501E+17</v>
      </c>
      <c r="R517" s="12">
        <f t="shared" si="440"/>
        <v>0</v>
      </c>
      <c r="S517" s="12">
        <f t="shared" si="440"/>
        <v>60</v>
      </c>
      <c r="T517" s="28" t="s">
        <v>1142</v>
      </c>
      <c r="U517" s="28"/>
      <c r="AA517" s="16"/>
      <c r="AB517" s="16"/>
    </row>
    <row r="518" spans="1:28" x14ac:dyDescent="0.2">
      <c r="A518" s="12">
        <v>50035</v>
      </c>
      <c r="B518" s="16" t="s">
        <v>712</v>
      </c>
      <c r="C518" s="2" t="s">
        <v>677</v>
      </c>
      <c r="D518" s="12">
        <f t="shared" ref="D518" si="441">D398</f>
        <v>35</v>
      </c>
      <c r="E518" s="12">
        <v>5</v>
      </c>
      <c r="F518" s="12">
        <f t="shared" ref="F518:S518" si="442">F38</f>
        <v>35</v>
      </c>
      <c r="G518" s="12">
        <f t="shared" si="442"/>
        <v>10035</v>
      </c>
      <c r="H518" s="12">
        <f t="shared" si="442"/>
        <v>1</v>
      </c>
      <c r="I518" s="12">
        <f t="shared" si="442"/>
        <v>2</v>
      </c>
      <c r="J518" s="12">
        <f t="shared" si="442"/>
        <v>4</v>
      </c>
      <c r="K518" s="12">
        <f t="shared" si="442"/>
        <v>6742295590</v>
      </c>
      <c r="L518" s="12">
        <f t="shared" si="442"/>
        <v>6742295590</v>
      </c>
      <c r="M518" s="12">
        <f t="shared" si="442"/>
        <v>6742295590</v>
      </c>
      <c r="N518" s="12">
        <f t="shared" si="442"/>
        <v>0</v>
      </c>
      <c r="O518" s="12">
        <f t="shared" si="442"/>
        <v>0</v>
      </c>
      <c r="P518" s="12">
        <f t="shared" si="442"/>
        <v>0</v>
      </c>
      <c r="Q518" s="12">
        <f t="shared" si="442"/>
        <v>6.4115108048770995E+17</v>
      </c>
      <c r="R518" s="12">
        <f t="shared" si="442"/>
        <v>0</v>
      </c>
      <c r="S518" s="12">
        <f t="shared" si="442"/>
        <v>60</v>
      </c>
      <c r="T518" s="28" t="s">
        <v>1142</v>
      </c>
      <c r="U518" s="28"/>
      <c r="AA518" s="16"/>
      <c r="AB518" s="16"/>
    </row>
    <row r="519" spans="1:28" x14ac:dyDescent="0.2">
      <c r="A519" s="12">
        <v>50036</v>
      </c>
      <c r="B519" s="16" t="s">
        <v>713</v>
      </c>
      <c r="C519" s="2" t="s">
        <v>677</v>
      </c>
      <c r="D519" s="12">
        <f t="shared" ref="D519" si="443">D399</f>
        <v>36</v>
      </c>
      <c r="E519" s="12">
        <v>5</v>
      </c>
      <c r="F519" s="12">
        <f t="shared" ref="F519:S519" si="444">F39</f>
        <v>36</v>
      </c>
      <c r="G519" s="12">
        <f t="shared" si="444"/>
        <v>10085</v>
      </c>
      <c r="H519" s="12">
        <f t="shared" si="444"/>
        <v>3</v>
      </c>
      <c r="I519" s="12">
        <f t="shared" si="444"/>
        <v>2</v>
      </c>
      <c r="J519" s="12">
        <f t="shared" si="444"/>
        <v>4</v>
      </c>
      <c r="K519" s="12">
        <f t="shared" si="444"/>
        <v>7813858040</v>
      </c>
      <c r="L519" s="12">
        <f t="shared" si="444"/>
        <v>7813858040</v>
      </c>
      <c r="M519" s="12">
        <f t="shared" si="444"/>
        <v>7813858040</v>
      </c>
      <c r="N519" s="12">
        <f t="shared" si="444"/>
        <v>0</v>
      </c>
      <c r="O519" s="12">
        <f t="shared" si="444"/>
        <v>0</v>
      </c>
      <c r="P519" s="12">
        <f t="shared" si="444"/>
        <v>0</v>
      </c>
      <c r="Q519" s="12">
        <f t="shared" si="444"/>
        <v>8.9984243497634995E+17</v>
      </c>
      <c r="R519" s="12">
        <f t="shared" si="444"/>
        <v>0</v>
      </c>
      <c r="S519" s="12">
        <f t="shared" si="444"/>
        <v>60</v>
      </c>
      <c r="T519" s="28" t="s">
        <v>1142</v>
      </c>
      <c r="U519" s="28"/>
      <c r="AA519" s="16"/>
      <c r="AB519" s="16"/>
    </row>
    <row r="520" spans="1:28" x14ac:dyDescent="0.2">
      <c r="A520" s="12">
        <v>50037</v>
      </c>
      <c r="B520" s="16" t="s">
        <v>714</v>
      </c>
      <c r="C520" s="2" t="s">
        <v>677</v>
      </c>
      <c r="D520" s="12">
        <f t="shared" ref="D520" si="445">D400</f>
        <v>37</v>
      </c>
      <c r="E520" s="12">
        <v>5</v>
      </c>
      <c r="F520" s="12">
        <f t="shared" ref="F520:S520" si="446">F40</f>
        <v>37</v>
      </c>
      <c r="G520" s="12">
        <f t="shared" si="446"/>
        <v>10135</v>
      </c>
      <c r="H520" s="12">
        <f t="shared" si="446"/>
        <v>2</v>
      </c>
      <c r="I520" s="12">
        <f t="shared" si="446"/>
        <v>2</v>
      </c>
      <c r="J520" s="12">
        <f t="shared" si="446"/>
        <v>5</v>
      </c>
      <c r="K520" s="12">
        <f t="shared" si="446"/>
        <v>9022904075</v>
      </c>
      <c r="L520" s="12">
        <f t="shared" si="446"/>
        <v>9022904075</v>
      </c>
      <c r="M520" s="12">
        <f t="shared" si="446"/>
        <v>9022904075</v>
      </c>
      <c r="N520" s="12">
        <f t="shared" si="446"/>
        <v>0</v>
      </c>
      <c r="O520" s="12">
        <f t="shared" si="446"/>
        <v>0</v>
      </c>
      <c r="P520" s="12">
        <f t="shared" si="446"/>
        <v>0</v>
      </c>
      <c r="Q520" s="12">
        <f t="shared" si="446"/>
        <v>1.2748232271778401E+18</v>
      </c>
      <c r="R520" s="12">
        <f t="shared" si="446"/>
        <v>0</v>
      </c>
      <c r="S520" s="12">
        <f t="shared" si="446"/>
        <v>60</v>
      </c>
      <c r="T520" s="28" t="s">
        <v>1143</v>
      </c>
      <c r="U520" s="28"/>
      <c r="AA520" s="16"/>
      <c r="AB520" s="16"/>
    </row>
    <row r="521" spans="1:28" x14ac:dyDescent="0.2">
      <c r="A521" s="12">
        <v>50038</v>
      </c>
      <c r="B521" s="16" t="s">
        <v>715</v>
      </c>
      <c r="C521" s="2" t="s">
        <v>677</v>
      </c>
      <c r="D521" s="12">
        <f t="shared" ref="D521" si="447">D401</f>
        <v>38</v>
      </c>
      <c r="E521" s="12">
        <v>5</v>
      </c>
      <c r="F521" s="12">
        <f t="shared" ref="F521:S521" si="448">F41</f>
        <v>38</v>
      </c>
      <c r="G521" s="12">
        <f t="shared" si="448"/>
        <v>10185</v>
      </c>
      <c r="H521" s="12">
        <f t="shared" si="448"/>
        <v>1</v>
      </c>
      <c r="I521" s="12">
        <f t="shared" si="448"/>
        <v>2</v>
      </c>
      <c r="J521" s="12">
        <f t="shared" si="448"/>
        <v>5</v>
      </c>
      <c r="K521" s="12">
        <f t="shared" si="448"/>
        <v>10357481865</v>
      </c>
      <c r="L521" s="12">
        <f t="shared" si="448"/>
        <v>10357481865</v>
      </c>
      <c r="M521" s="12">
        <f t="shared" si="448"/>
        <v>10357481865</v>
      </c>
      <c r="N521" s="12">
        <f t="shared" si="448"/>
        <v>0</v>
      </c>
      <c r="O521" s="12">
        <f t="shared" si="448"/>
        <v>0</v>
      </c>
      <c r="P521" s="12">
        <f t="shared" si="448"/>
        <v>0</v>
      </c>
      <c r="Q521" s="12">
        <f t="shared" si="448"/>
        <v>1.76085702278608E+18</v>
      </c>
      <c r="R521" s="12">
        <f t="shared" si="448"/>
        <v>0</v>
      </c>
      <c r="S521" s="12">
        <f t="shared" si="448"/>
        <v>60</v>
      </c>
      <c r="T521" s="28" t="s">
        <v>1143</v>
      </c>
      <c r="U521" s="28"/>
      <c r="AA521" s="16"/>
      <c r="AB521" s="16"/>
    </row>
    <row r="522" spans="1:28" x14ac:dyDescent="0.2">
      <c r="A522" s="12">
        <v>50039</v>
      </c>
      <c r="B522" s="16" t="s">
        <v>716</v>
      </c>
      <c r="C522" s="2" t="s">
        <v>677</v>
      </c>
      <c r="D522" s="12">
        <f t="shared" ref="D522" si="449">D402</f>
        <v>39</v>
      </c>
      <c r="E522" s="12">
        <v>5</v>
      </c>
      <c r="F522" s="12">
        <f t="shared" ref="F522:S522" si="450">F42</f>
        <v>39</v>
      </c>
      <c r="G522" s="12">
        <f t="shared" si="450"/>
        <v>20035</v>
      </c>
      <c r="H522" s="12">
        <f t="shared" si="450"/>
        <v>3</v>
      </c>
      <c r="I522" s="12">
        <f t="shared" si="450"/>
        <v>2</v>
      </c>
      <c r="J522" s="12">
        <f t="shared" si="450"/>
        <v>5</v>
      </c>
      <c r="K522" s="12">
        <f t="shared" si="450"/>
        <v>12054912440</v>
      </c>
      <c r="L522" s="12">
        <f t="shared" si="450"/>
        <v>12054912440</v>
      </c>
      <c r="M522" s="12">
        <f t="shared" si="450"/>
        <v>12054912440</v>
      </c>
      <c r="N522" s="12">
        <f t="shared" si="450"/>
        <v>0</v>
      </c>
      <c r="O522" s="12">
        <f t="shared" si="450"/>
        <v>0</v>
      </c>
      <c r="P522" s="12">
        <f t="shared" si="450"/>
        <v>0</v>
      </c>
      <c r="Q522" s="12">
        <f t="shared" si="450"/>
        <v>2.5382198702505001E+18</v>
      </c>
      <c r="R522" s="12">
        <f t="shared" si="450"/>
        <v>0</v>
      </c>
      <c r="S522" s="12">
        <f t="shared" si="450"/>
        <v>60</v>
      </c>
      <c r="T522" s="28" t="s">
        <v>1143</v>
      </c>
      <c r="U522" s="28"/>
      <c r="AA522" s="16"/>
      <c r="AB522" s="16"/>
    </row>
    <row r="523" spans="1:28" x14ac:dyDescent="0.2">
      <c r="A523" s="12">
        <v>50040</v>
      </c>
      <c r="B523" s="16" t="s">
        <v>717</v>
      </c>
      <c r="C523" s="2" t="s">
        <v>677</v>
      </c>
      <c r="D523" s="12">
        <f t="shared" ref="D523" si="451">D403</f>
        <v>40</v>
      </c>
      <c r="E523" s="12">
        <v>5</v>
      </c>
      <c r="F523" s="12">
        <f t="shared" ref="F523:S523" si="452">F43</f>
        <v>40</v>
      </c>
      <c r="G523" s="12">
        <f t="shared" si="452"/>
        <v>20085</v>
      </c>
      <c r="H523" s="12">
        <f t="shared" si="452"/>
        <v>2</v>
      </c>
      <c r="I523" s="12">
        <f t="shared" si="452"/>
        <v>2</v>
      </c>
      <c r="J523" s="12">
        <f t="shared" si="452"/>
        <v>5</v>
      </c>
      <c r="K523" s="12">
        <f t="shared" si="452"/>
        <v>13460310890</v>
      </c>
      <c r="L523" s="12">
        <f t="shared" si="452"/>
        <v>13460310890</v>
      </c>
      <c r="M523" s="12">
        <f t="shared" si="452"/>
        <v>13460310890</v>
      </c>
      <c r="N523" s="12">
        <f t="shared" si="452"/>
        <v>0</v>
      </c>
      <c r="O523" s="12">
        <f t="shared" si="452"/>
        <v>0</v>
      </c>
      <c r="P523" s="12">
        <f t="shared" si="452"/>
        <v>0</v>
      </c>
      <c r="Q523" s="12">
        <f t="shared" si="452"/>
        <v>3.2738742301717202E+18</v>
      </c>
      <c r="R523" s="12">
        <f t="shared" si="452"/>
        <v>0</v>
      </c>
      <c r="S523" s="12">
        <f t="shared" si="452"/>
        <v>60</v>
      </c>
      <c r="T523" s="28" t="s">
        <v>1143</v>
      </c>
      <c r="U523" s="28"/>
      <c r="AA523" s="16"/>
      <c r="AB523" s="16"/>
    </row>
    <row r="524" spans="1:28" x14ac:dyDescent="0.2">
      <c r="A524" s="12">
        <v>50041</v>
      </c>
      <c r="B524" s="16" t="s">
        <v>718</v>
      </c>
      <c r="C524" s="2" t="s">
        <v>677</v>
      </c>
      <c r="D524" s="12">
        <f t="shared" ref="D524" si="453">D404</f>
        <v>41</v>
      </c>
      <c r="E524" s="12">
        <v>5</v>
      </c>
      <c r="F524" s="12">
        <f t="shared" ref="F524:S524" si="454">F44</f>
        <v>41</v>
      </c>
      <c r="G524" s="12">
        <f t="shared" si="454"/>
        <v>20135</v>
      </c>
      <c r="H524" s="12">
        <f t="shared" si="454"/>
        <v>1</v>
      </c>
      <c r="I524" s="12">
        <f t="shared" si="454"/>
        <v>2</v>
      </c>
      <c r="J524" s="12">
        <f t="shared" si="454"/>
        <v>5</v>
      </c>
      <c r="K524" s="12">
        <f t="shared" si="454"/>
        <v>32286211905</v>
      </c>
      <c r="L524" s="12">
        <f t="shared" si="454"/>
        <v>32286211905</v>
      </c>
      <c r="M524" s="12">
        <f t="shared" si="454"/>
        <v>32286211905</v>
      </c>
      <c r="N524" s="12">
        <f t="shared" si="454"/>
        <v>0</v>
      </c>
      <c r="O524" s="12">
        <f t="shared" si="454"/>
        <v>0</v>
      </c>
      <c r="P524" s="12">
        <f t="shared" si="454"/>
        <v>0</v>
      </c>
      <c r="Q524" s="12">
        <f t="shared" si="454"/>
        <v>3.58664099545122E+19</v>
      </c>
      <c r="R524" s="12">
        <f t="shared" si="454"/>
        <v>0</v>
      </c>
      <c r="S524" s="12">
        <f t="shared" si="454"/>
        <v>60</v>
      </c>
      <c r="T524" s="28" t="s">
        <v>1144</v>
      </c>
      <c r="U524" s="28"/>
      <c r="AA524" s="16"/>
      <c r="AB524" s="16"/>
    </row>
    <row r="525" spans="1:28" x14ac:dyDescent="0.2">
      <c r="A525" s="12">
        <v>50042</v>
      </c>
      <c r="B525" s="16" t="s">
        <v>719</v>
      </c>
      <c r="C525" s="2" t="s">
        <v>677</v>
      </c>
      <c r="D525" s="12">
        <f t="shared" ref="D525" si="455">D405</f>
        <v>42</v>
      </c>
      <c r="E525" s="12">
        <v>5</v>
      </c>
      <c r="F525" s="12">
        <f t="shared" ref="F525:S525" si="456">F45</f>
        <v>42</v>
      </c>
      <c r="G525" s="12">
        <f t="shared" si="456"/>
        <v>20185</v>
      </c>
      <c r="H525" s="12">
        <f t="shared" si="456"/>
        <v>3</v>
      </c>
      <c r="I525" s="12">
        <f t="shared" si="456"/>
        <v>2</v>
      </c>
      <c r="J525" s="12">
        <f t="shared" si="456"/>
        <v>5</v>
      </c>
      <c r="K525" s="12">
        <f t="shared" si="456"/>
        <v>36210827115</v>
      </c>
      <c r="L525" s="12">
        <f t="shared" si="456"/>
        <v>36210827115</v>
      </c>
      <c r="M525" s="12">
        <f t="shared" si="456"/>
        <v>36210827115</v>
      </c>
      <c r="N525" s="12">
        <f t="shared" si="456"/>
        <v>0</v>
      </c>
      <c r="O525" s="12">
        <f t="shared" si="456"/>
        <v>0</v>
      </c>
      <c r="P525" s="12">
        <f t="shared" si="456"/>
        <v>0</v>
      </c>
      <c r="Q525" s="12">
        <f t="shared" si="456"/>
        <v>4.6745014187892703E+19</v>
      </c>
      <c r="R525" s="12">
        <f t="shared" si="456"/>
        <v>0</v>
      </c>
      <c r="S525" s="12">
        <f t="shared" si="456"/>
        <v>60</v>
      </c>
      <c r="T525" s="28" t="s">
        <v>1144</v>
      </c>
      <c r="U525" s="28"/>
      <c r="AA525" s="16"/>
      <c r="AB525" s="16"/>
    </row>
    <row r="526" spans="1:28" x14ac:dyDescent="0.2">
      <c r="A526" s="12">
        <v>50043</v>
      </c>
      <c r="B526" s="16" t="s">
        <v>720</v>
      </c>
      <c r="C526" s="2" t="s">
        <v>677</v>
      </c>
      <c r="D526" s="12">
        <f t="shared" ref="D526" si="457">D406</f>
        <v>43</v>
      </c>
      <c r="E526" s="12">
        <v>5</v>
      </c>
      <c r="F526" s="12">
        <f t="shared" ref="F526:S526" si="458">F46</f>
        <v>43</v>
      </c>
      <c r="G526" s="12">
        <f t="shared" si="458"/>
        <v>30035</v>
      </c>
      <c r="H526" s="12">
        <f t="shared" si="458"/>
        <v>2</v>
      </c>
      <c r="I526" s="12">
        <f t="shared" si="458"/>
        <v>2</v>
      </c>
      <c r="J526" s="12">
        <f t="shared" si="458"/>
        <v>5</v>
      </c>
      <c r="K526" s="12">
        <f t="shared" si="458"/>
        <v>40524480255</v>
      </c>
      <c r="L526" s="12">
        <f t="shared" si="458"/>
        <v>40524480255</v>
      </c>
      <c r="M526" s="12">
        <f t="shared" si="458"/>
        <v>40524480255</v>
      </c>
      <c r="N526" s="12">
        <f t="shared" si="458"/>
        <v>0</v>
      </c>
      <c r="O526" s="12">
        <f t="shared" si="458"/>
        <v>0</v>
      </c>
      <c r="P526" s="12">
        <f t="shared" si="458"/>
        <v>0</v>
      </c>
      <c r="Q526" s="12">
        <f t="shared" si="458"/>
        <v>6.0115197558181503E+19</v>
      </c>
      <c r="R526" s="12">
        <f t="shared" si="458"/>
        <v>0</v>
      </c>
      <c r="S526" s="12">
        <f t="shared" si="458"/>
        <v>60</v>
      </c>
      <c r="T526" s="28" t="s">
        <v>1144</v>
      </c>
      <c r="U526" s="28"/>
      <c r="AA526" s="16"/>
      <c r="AB526" s="16"/>
    </row>
    <row r="527" spans="1:28" x14ac:dyDescent="0.2">
      <c r="A527" s="12">
        <v>50044</v>
      </c>
      <c r="B527" s="16" t="s">
        <v>721</v>
      </c>
      <c r="C527" s="2" t="s">
        <v>677</v>
      </c>
      <c r="D527" s="12">
        <f t="shared" ref="D527" si="459">D407</f>
        <v>44</v>
      </c>
      <c r="E527" s="12">
        <v>5</v>
      </c>
      <c r="F527" s="12">
        <f t="shared" ref="F527:S527" si="460">F47</f>
        <v>44</v>
      </c>
      <c r="G527" s="12">
        <f t="shared" si="460"/>
        <v>30085</v>
      </c>
      <c r="H527" s="12">
        <f t="shared" si="460"/>
        <v>1</v>
      </c>
      <c r="I527" s="12">
        <f t="shared" si="460"/>
        <v>2</v>
      </c>
      <c r="J527" s="12">
        <f t="shared" si="460"/>
        <v>5</v>
      </c>
      <c r="K527" s="12">
        <f t="shared" si="460"/>
        <v>45192474355</v>
      </c>
      <c r="L527" s="12">
        <f t="shared" si="460"/>
        <v>45192474355</v>
      </c>
      <c r="M527" s="12">
        <f t="shared" si="460"/>
        <v>45192474355</v>
      </c>
      <c r="N527" s="12">
        <f t="shared" si="460"/>
        <v>0</v>
      </c>
      <c r="O527" s="12">
        <f t="shared" si="460"/>
        <v>0</v>
      </c>
      <c r="P527" s="12">
        <f t="shared" si="460"/>
        <v>0</v>
      </c>
      <c r="Q527" s="12">
        <f t="shared" si="460"/>
        <v>7.7888400343511499E+19</v>
      </c>
      <c r="R527" s="12">
        <f t="shared" si="460"/>
        <v>0</v>
      </c>
      <c r="S527" s="12">
        <f t="shared" si="460"/>
        <v>60</v>
      </c>
      <c r="T527" s="28" t="s">
        <v>1144</v>
      </c>
      <c r="U527" s="28"/>
      <c r="AA527" s="16"/>
      <c r="AB527" s="16"/>
    </row>
    <row r="528" spans="1:28" x14ac:dyDescent="0.2">
      <c r="A528" s="12">
        <v>50045</v>
      </c>
      <c r="B528" s="16" t="s">
        <v>722</v>
      </c>
      <c r="C528" s="2" t="s">
        <v>677</v>
      </c>
      <c r="D528" s="12">
        <f t="shared" ref="D528" si="461">D408</f>
        <v>45</v>
      </c>
      <c r="E528" s="12">
        <v>5</v>
      </c>
      <c r="F528" s="12">
        <f t="shared" ref="F528:S528" si="462">F48</f>
        <v>45</v>
      </c>
      <c r="G528" s="12">
        <f t="shared" si="462"/>
        <v>30135</v>
      </c>
      <c r="H528" s="12">
        <f t="shared" si="462"/>
        <v>3</v>
      </c>
      <c r="I528" s="12">
        <f t="shared" si="462"/>
        <v>2</v>
      </c>
      <c r="J528" s="12">
        <f t="shared" si="462"/>
        <v>5</v>
      </c>
      <c r="K528" s="12">
        <f t="shared" si="462"/>
        <v>50974213845</v>
      </c>
      <c r="L528" s="12">
        <f t="shared" si="462"/>
        <v>50974213845</v>
      </c>
      <c r="M528" s="12">
        <f t="shared" si="462"/>
        <v>50974213845</v>
      </c>
      <c r="N528" s="12">
        <f t="shared" si="462"/>
        <v>0</v>
      </c>
      <c r="O528" s="12">
        <f t="shared" si="462"/>
        <v>0</v>
      </c>
      <c r="P528" s="12">
        <f t="shared" si="462"/>
        <v>0</v>
      </c>
      <c r="Q528" s="12">
        <f t="shared" si="462"/>
        <v>1.03932646043157E+20</v>
      </c>
      <c r="R528" s="12">
        <f t="shared" si="462"/>
        <v>0</v>
      </c>
      <c r="S528" s="12">
        <f t="shared" si="462"/>
        <v>60</v>
      </c>
      <c r="T528" s="28" t="s">
        <v>1145</v>
      </c>
      <c r="U528" s="28"/>
      <c r="AA528" s="16"/>
      <c r="AB528" s="16"/>
    </row>
    <row r="529" spans="1:28" x14ac:dyDescent="0.2">
      <c r="A529" s="12">
        <v>50046</v>
      </c>
      <c r="B529" s="16" t="s">
        <v>723</v>
      </c>
      <c r="C529" s="2" t="s">
        <v>677</v>
      </c>
      <c r="D529" s="12">
        <f t="shared" ref="D529" si="463">D409</f>
        <v>46</v>
      </c>
      <c r="E529" s="12">
        <v>5</v>
      </c>
      <c r="F529" s="12">
        <f t="shared" ref="F529:S529" si="464">F49</f>
        <v>46</v>
      </c>
      <c r="G529" s="12">
        <f t="shared" si="464"/>
        <v>30185</v>
      </c>
      <c r="H529" s="12">
        <f t="shared" si="464"/>
        <v>2</v>
      </c>
      <c r="I529" s="12">
        <f t="shared" si="464"/>
        <v>2</v>
      </c>
      <c r="J529" s="12">
        <f t="shared" si="464"/>
        <v>5</v>
      </c>
      <c r="K529" s="12">
        <f t="shared" si="464"/>
        <v>57273255040</v>
      </c>
      <c r="L529" s="12">
        <f t="shared" si="464"/>
        <v>57273255040</v>
      </c>
      <c r="M529" s="12">
        <f t="shared" si="464"/>
        <v>57273255040</v>
      </c>
      <c r="N529" s="12">
        <f t="shared" si="464"/>
        <v>0</v>
      </c>
      <c r="O529" s="12">
        <f t="shared" si="464"/>
        <v>0</v>
      </c>
      <c r="P529" s="12">
        <f t="shared" si="464"/>
        <v>0</v>
      </c>
      <c r="Q529" s="12">
        <f t="shared" si="464"/>
        <v>1.3954245208691501E+20</v>
      </c>
      <c r="R529" s="12">
        <f t="shared" si="464"/>
        <v>0</v>
      </c>
      <c r="S529" s="12">
        <f t="shared" si="464"/>
        <v>60</v>
      </c>
      <c r="T529" s="28" t="s">
        <v>1145</v>
      </c>
      <c r="U529" s="28"/>
      <c r="AA529" s="16"/>
      <c r="AB529" s="16"/>
    </row>
    <row r="530" spans="1:28" x14ac:dyDescent="0.2">
      <c r="A530" s="12">
        <v>50047</v>
      </c>
      <c r="B530" s="16" t="s">
        <v>724</v>
      </c>
      <c r="C530" s="2" t="s">
        <v>677</v>
      </c>
      <c r="D530" s="12">
        <f t="shared" ref="D530" si="465">D410</f>
        <v>47</v>
      </c>
      <c r="E530" s="12">
        <v>5</v>
      </c>
      <c r="F530" s="12">
        <f t="shared" ref="F530:S530" si="466">F50</f>
        <v>47</v>
      </c>
      <c r="G530" s="12">
        <f t="shared" si="466"/>
        <v>40035</v>
      </c>
      <c r="H530" s="12">
        <f t="shared" si="466"/>
        <v>1</v>
      </c>
      <c r="I530" s="12">
        <f t="shared" si="466"/>
        <v>2</v>
      </c>
      <c r="J530" s="12">
        <f t="shared" si="466"/>
        <v>5</v>
      </c>
      <c r="K530" s="12">
        <f t="shared" si="466"/>
        <v>64276150605</v>
      </c>
      <c r="L530" s="12">
        <f t="shared" si="466"/>
        <v>64276150605</v>
      </c>
      <c r="M530" s="12">
        <f t="shared" si="466"/>
        <v>64276150605</v>
      </c>
      <c r="N530" s="12">
        <f t="shared" si="466"/>
        <v>0</v>
      </c>
      <c r="O530" s="12">
        <f t="shared" si="466"/>
        <v>0</v>
      </c>
      <c r="P530" s="12">
        <f t="shared" si="466"/>
        <v>0</v>
      </c>
      <c r="Q530" s="12">
        <f t="shared" si="466"/>
        <v>1.84550037154706E+20</v>
      </c>
      <c r="R530" s="12">
        <f t="shared" si="466"/>
        <v>0</v>
      </c>
      <c r="S530" s="12">
        <f t="shared" si="466"/>
        <v>60</v>
      </c>
      <c r="T530" s="28" t="s">
        <v>1145</v>
      </c>
      <c r="U530" s="28"/>
      <c r="AA530" s="16"/>
      <c r="AB530" s="16"/>
    </row>
    <row r="531" spans="1:28" x14ac:dyDescent="0.2">
      <c r="A531" s="12">
        <v>50048</v>
      </c>
      <c r="B531" s="16" t="s">
        <v>725</v>
      </c>
      <c r="C531" s="2" t="s">
        <v>677</v>
      </c>
      <c r="D531" s="12">
        <f t="shared" ref="D531" si="467">D411</f>
        <v>48</v>
      </c>
      <c r="E531" s="12">
        <v>5</v>
      </c>
      <c r="F531" s="12">
        <f t="shared" ref="F531:S531" si="468">F51</f>
        <v>48</v>
      </c>
      <c r="G531" s="12">
        <f t="shared" si="468"/>
        <v>40085</v>
      </c>
      <c r="H531" s="12">
        <f t="shared" si="468"/>
        <v>3</v>
      </c>
      <c r="I531" s="12">
        <f t="shared" si="468"/>
        <v>2</v>
      </c>
      <c r="J531" s="12">
        <f t="shared" si="468"/>
        <v>5</v>
      </c>
      <c r="K531" s="12">
        <f t="shared" si="468"/>
        <v>71872179505</v>
      </c>
      <c r="L531" s="12">
        <f t="shared" si="468"/>
        <v>71872179505</v>
      </c>
      <c r="M531" s="12">
        <f t="shared" si="468"/>
        <v>71872179505</v>
      </c>
      <c r="N531" s="12">
        <f t="shared" si="468"/>
        <v>0</v>
      </c>
      <c r="O531" s="12">
        <f t="shared" si="468"/>
        <v>0</v>
      </c>
      <c r="P531" s="12">
        <f t="shared" si="468"/>
        <v>0</v>
      </c>
      <c r="Q531" s="12">
        <f t="shared" si="468"/>
        <v>2.4520549723172199E+20</v>
      </c>
      <c r="R531" s="12">
        <f t="shared" si="468"/>
        <v>0</v>
      </c>
      <c r="S531" s="12">
        <f t="shared" si="468"/>
        <v>60</v>
      </c>
      <c r="T531" s="28" t="s">
        <v>1145</v>
      </c>
      <c r="U531" s="28"/>
      <c r="AA531" s="16"/>
      <c r="AB531" s="16"/>
    </row>
    <row r="532" spans="1:28" x14ac:dyDescent="0.2">
      <c r="A532" s="12">
        <v>50049</v>
      </c>
      <c r="B532" s="16" t="s">
        <v>726</v>
      </c>
      <c r="C532" s="2" t="s">
        <v>677</v>
      </c>
      <c r="D532" s="12">
        <f t="shared" ref="D532" si="469">D412</f>
        <v>49</v>
      </c>
      <c r="E532" s="12">
        <v>5</v>
      </c>
      <c r="F532" s="12">
        <f t="shared" ref="F532:S532" si="470">F52</f>
        <v>49</v>
      </c>
      <c r="G532" s="12">
        <f t="shared" si="470"/>
        <v>40135</v>
      </c>
      <c r="H532" s="12">
        <f t="shared" si="470"/>
        <v>2</v>
      </c>
      <c r="I532" s="12">
        <f t="shared" si="470"/>
        <v>2</v>
      </c>
      <c r="J532" s="12">
        <f t="shared" si="470"/>
        <v>5</v>
      </c>
      <c r="K532" s="12">
        <f t="shared" si="470"/>
        <v>80659950855</v>
      </c>
      <c r="L532" s="12">
        <f t="shared" si="470"/>
        <v>80659950855</v>
      </c>
      <c r="M532" s="12">
        <f t="shared" si="470"/>
        <v>80659950855</v>
      </c>
      <c r="N532" s="12">
        <f t="shared" si="470"/>
        <v>0</v>
      </c>
      <c r="O532" s="12">
        <f t="shared" si="470"/>
        <v>0</v>
      </c>
      <c r="P532" s="12">
        <f t="shared" si="470"/>
        <v>0</v>
      </c>
      <c r="Q532" s="12">
        <f t="shared" si="470"/>
        <v>3.32194458119875E+20</v>
      </c>
      <c r="R532" s="12">
        <f t="shared" si="470"/>
        <v>0</v>
      </c>
      <c r="S532" s="12">
        <f t="shared" si="470"/>
        <v>60</v>
      </c>
      <c r="T532" s="28" t="s">
        <v>1146</v>
      </c>
      <c r="U532" s="28"/>
      <c r="AA532" s="16"/>
      <c r="AB532" s="16"/>
    </row>
    <row r="533" spans="1:28" x14ac:dyDescent="0.2">
      <c r="A533" s="12">
        <v>50050</v>
      </c>
      <c r="B533" s="16" t="s">
        <v>727</v>
      </c>
      <c r="C533" s="2" t="s">
        <v>677</v>
      </c>
      <c r="D533" s="12">
        <f t="shared" ref="D533" si="471">D413</f>
        <v>50</v>
      </c>
      <c r="E533" s="12">
        <v>5</v>
      </c>
      <c r="F533" s="12">
        <f t="shared" ref="F533:S533" si="472">F53</f>
        <v>50</v>
      </c>
      <c r="G533" s="12">
        <f t="shared" si="472"/>
        <v>40185</v>
      </c>
      <c r="H533" s="12">
        <f t="shared" si="472"/>
        <v>1</v>
      </c>
      <c r="I533" s="12">
        <f t="shared" si="472"/>
        <v>2</v>
      </c>
      <c r="J533" s="12">
        <f t="shared" si="472"/>
        <v>5</v>
      </c>
      <c r="K533" s="12">
        <f t="shared" si="472"/>
        <v>89316558810</v>
      </c>
      <c r="L533" s="12">
        <f t="shared" si="472"/>
        <v>89316558810</v>
      </c>
      <c r="M533" s="12">
        <f t="shared" si="472"/>
        <v>89316558810</v>
      </c>
      <c r="N533" s="12">
        <f t="shared" si="472"/>
        <v>0</v>
      </c>
      <c r="O533" s="12">
        <f t="shared" si="472"/>
        <v>0</v>
      </c>
      <c r="P533" s="12">
        <f t="shared" si="472"/>
        <v>0</v>
      </c>
      <c r="Q533" s="12">
        <f t="shared" si="472"/>
        <v>4.3178479409735801E+20</v>
      </c>
      <c r="R533" s="12">
        <f t="shared" si="472"/>
        <v>0</v>
      </c>
      <c r="S533" s="12">
        <f t="shared" si="472"/>
        <v>60</v>
      </c>
      <c r="T533" s="28" t="s">
        <v>1146</v>
      </c>
      <c r="U533" s="28"/>
      <c r="AA533" s="16"/>
      <c r="AB533" s="16"/>
    </row>
    <row r="534" spans="1:28" x14ac:dyDescent="0.2">
      <c r="A534" s="12">
        <v>50051</v>
      </c>
      <c r="B534" s="16" t="s">
        <v>728</v>
      </c>
      <c r="C534" s="2" t="s">
        <v>677</v>
      </c>
      <c r="D534" s="12">
        <f t="shared" ref="D534" si="473">D414</f>
        <v>51</v>
      </c>
      <c r="E534" s="12">
        <v>5</v>
      </c>
      <c r="F534" s="12">
        <f t="shared" ref="F534:S534" si="474">F54</f>
        <v>51</v>
      </c>
      <c r="G534" s="12">
        <f t="shared" si="474"/>
        <v>50035</v>
      </c>
      <c r="H534" s="12">
        <f t="shared" si="474"/>
        <v>3</v>
      </c>
      <c r="I534" s="12">
        <f t="shared" si="474"/>
        <v>2</v>
      </c>
      <c r="J534" s="12">
        <f t="shared" si="474"/>
        <v>5</v>
      </c>
      <c r="K534" s="12">
        <f t="shared" si="474"/>
        <v>99551542835</v>
      </c>
      <c r="L534" s="12">
        <f t="shared" si="474"/>
        <v>99551542835</v>
      </c>
      <c r="M534" s="12">
        <f t="shared" si="474"/>
        <v>99551542835</v>
      </c>
      <c r="N534" s="12">
        <f t="shared" si="474"/>
        <v>0</v>
      </c>
      <c r="O534" s="12">
        <f t="shared" si="474"/>
        <v>0</v>
      </c>
      <c r="P534" s="12">
        <f t="shared" si="474"/>
        <v>0</v>
      </c>
      <c r="Q534" s="12">
        <f t="shared" si="474"/>
        <v>5.62370147730003E+20</v>
      </c>
      <c r="R534" s="12">
        <f t="shared" si="474"/>
        <v>0</v>
      </c>
      <c r="S534" s="12">
        <f t="shared" si="474"/>
        <v>60</v>
      </c>
      <c r="T534" s="28" t="s">
        <v>1146</v>
      </c>
      <c r="U534" s="28"/>
      <c r="AA534" s="16"/>
      <c r="AB534" s="16"/>
    </row>
    <row r="535" spans="1:28" x14ac:dyDescent="0.2">
      <c r="A535" s="12">
        <v>50052</v>
      </c>
      <c r="B535" s="16" t="s">
        <v>729</v>
      </c>
      <c r="C535" s="2" t="s">
        <v>677</v>
      </c>
      <c r="D535" s="12">
        <f t="shared" ref="D535" si="475">D415</f>
        <v>52</v>
      </c>
      <c r="E535" s="12">
        <v>5</v>
      </c>
      <c r="F535" s="12">
        <f t="shared" ref="F535:S535" si="476">F55</f>
        <v>52</v>
      </c>
      <c r="G535" s="12">
        <f t="shared" si="476"/>
        <v>10025</v>
      </c>
      <c r="H535" s="12">
        <f t="shared" si="476"/>
        <v>2</v>
      </c>
      <c r="I535" s="12">
        <f t="shared" si="476"/>
        <v>2</v>
      </c>
      <c r="J535" s="12">
        <f t="shared" si="476"/>
        <v>5</v>
      </c>
      <c r="K535" s="12">
        <f t="shared" si="476"/>
        <v>107660367945</v>
      </c>
      <c r="L535" s="12">
        <f t="shared" si="476"/>
        <v>107660367945</v>
      </c>
      <c r="M535" s="12">
        <f t="shared" si="476"/>
        <v>107660367945</v>
      </c>
      <c r="N535" s="12">
        <f t="shared" si="476"/>
        <v>0</v>
      </c>
      <c r="O535" s="12">
        <f t="shared" si="476"/>
        <v>0</v>
      </c>
      <c r="P535" s="12">
        <f t="shared" si="476"/>
        <v>0</v>
      </c>
      <c r="Q535" s="12">
        <f t="shared" si="476"/>
        <v>7.1164885106501196E+20</v>
      </c>
      <c r="R535" s="12">
        <f t="shared" si="476"/>
        <v>0</v>
      </c>
      <c r="S535" s="12">
        <f t="shared" si="476"/>
        <v>60</v>
      </c>
      <c r="T535" s="28" t="s">
        <v>1146</v>
      </c>
      <c r="U535" s="28"/>
      <c r="AA535" s="16"/>
      <c r="AB535" s="16"/>
    </row>
    <row r="536" spans="1:28" x14ac:dyDescent="0.2">
      <c r="A536" s="12">
        <v>50053</v>
      </c>
      <c r="B536" s="16" t="s">
        <v>730</v>
      </c>
      <c r="C536" s="2" t="s">
        <v>677</v>
      </c>
      <c r="D536" s="12">
        <f t="shared" ref="D536" si="477">D416</f>
        <v>53</v>
      </c>
      <c r="E536" s="12">
        <v>5</v>
      </c>
      <c r="F536" s="12">
        <f t="shared" ref="F536:S536" si="478">F56</f>
        <v>53</v>
      </c>
      <c r="G536" s="12">
        <f t="shared" si="478"/>
        <v>10075</v>
      </c>
      <c r="H536" s="12">
        <f t="shared" si="478"/>
        <v>1</v>
      </c>
      <c r="I536" s="12">
        <f t="shared" si="478"/>
        <v>2</v>
      </c>
      <c r="J536" s="12">
        <f t="shared" si="478"/>
        <v>5</v>
      </c>
      <c r="K536" s="12">
        <f t="shared" si="478"/>
        <v>118277046610</v>
      </c>
      <c r="L536" s="12">
        <f t="shared" si="478"/>
        <v>118277046610</v>
      </c>
      <c r="M536" s="12">
        <f t="shared" si="478"/>
        <v>118277046610</v>
      </c>
      <c r="N536" s="12">
        <f t="shared" si="478"/>
        <v>0</v>
      </c>
      <c r="O536" s="12">
        <f t="shared" si="478"/>
        <v>0</v>
      </c>
      <c r="P536" s="12">
        <f t="shared" si="478"/>
        <v>0</v>
      </c>
      <c r="Q536" s="12">
        <f t="shared" si="478"/>
        <v>1.7524396436742501E+21</v>
      </c>
      <c r="R536" s="12">
        <f t="shared" si="478"/>
        <v>0</v>
      </c>
      <c r="S536" s="12">
        <f t="shared" si="478"/>
        <v>60</v>
      </c>
      <c r="T536" s="28" t="s">
        <v>1147</v>
      </c>
      <c r="U536" s="28"/>
      <c r="AA536" s="16"/>
      <c r="AB536" s="16"/>
    </row>
    <row r="537" spans="1:28" x14ac:dyDescent="0.2">
      <c r="A537" s="12">
        <v>50054</v>
      </c>
      <c r="B537" s="16" t="s">
        <v>731</v>
      </c>
      <c r="C537" s="2" t="s">
        <v>677</v>
      </c>
      <c r="D537" s="12">
        <f t="shared" ref="D537" si="479">D417</f>
        <v>54</v>
      </c>
      <c r="E537" s="12">
        <v>5</v>
      </c>
      <c r="F537" s="12">
        <f t="shared" ref="F537:S537" si="480">F57</f>
        <v>54</v>
      </c>
      <c r="G537" s="12">
        <f t="shared" si="480"/>
        <v>10125</v>
      </c>
      <c r="H537" s="12">
        <f t="shared" si="480"/>
        <v>3</v>
      </c>
      <c r="I537" s="12">
        <f t="shared" si="480"/>
        <v>2</v>
      </c>
      <c r="J537" s="12">
        <f t="shared" si="480"/>
        <v>5</v>
      </c>
      <c r="K537" s="12">
        <f t="shared" si="480"/>
        <v>128666764360</v>
      </c>
      <c r="L537" s="12">
        <f t="shared" si="480"/>
        <v>128666764360</v>
      </c>
      <c r="M537" s="12">
        <f t="shared" si="480"/>
        <v>128666764360</v>
      </c>
      <c r="N537" s="12">
        <f t="shared" si="480"/>
        <v>0</v>
      </c>
      <c r="O537" s="12">
        <f t="shared" si="480"/>
        <v>0</v>
      </c>
      <c r="P537" s="12">
        <f t="shared" si="480"/>
        <v>0</v>
      </c>
      <c r="Q537" s="12">
        <f t="shared" si="480"/>
        <v>2.2101461747248299E+21</v>
      </c>
      <c r="R537" s="12">
        <f t="shared" si="480"/>
        <v>0</v>
      </c>
      <c r="S537" s="12">
        <f t="shared" si="480"/>
        <v>60</v>
      </c>
      <c r="T537" s="28" t="s">
        <v>1147</v>
      </c>
      <c r="U537" s="28"/>
      <c r="AA537" s="16"/>
      <c r="AB537" s="16"/>
    </row>
    <row r="538" spans="1:28" x14ac:dyDescent="0.2">
      <c r="A538" s="12">
        <v>50055</v>
      </c>
      <c r="B538" s="16" t="s">
        <v>732</v>
      </c>
      <c r="C538" s="2" t="s">
        <v>677</v>
      </c>
      <c r="D538" s="12">
        <f t="shared" ref="D538" si="481">D418</f>
        <v>55</v>
      </c>
      <c r="E538" s="12">
        <v>5</v>
      </c>
      <c r="F538" s="12">
        <f t="shared" ref="F538:S538" si="482">F58</f>
        <v>55</v>
      </c>
      <c r="G538" s="12">
        <f t="shared" si="482"/>
        <v>10175</v>
      </c>
      <c r="H538" s="12">
        <f t="shared" si="482"/>
        <v>2</v>
      </c>
      <c r="I538" s="12">
        <f t="shared" si="482"/>
        <v>2</v>
      </c>
      <c r="J538" s="12">
        <f t="shared" si="482"/>
        <v>5</v>
      </c>
      <c r="K538" s="12">
        <f t="shared" si="482"/>
        <v>140718989180</v>
      </c>
      <c r="L538" s="12">
        <f t="shared" si="482"/>
        <v>140718989180</v>
      </c>
      <c r="M538" s="12">
        <f t="shared" si="482"/>
        <v>140718989180</v>
      </c>
      <c r="N538" s="12">
        <f t="shared" si="482"/>
        <v>0</v>
      </c>
      <c r="O538" s="12">
        <f t="shared" si="482"/>
        <v>0</v>
      </c>
      <c r="P538" s="12">
        <f t="shared" si="482"/>
        <v>0</v>
      </c>
      <c r="Q538" s="12">
        <f t="shared" si="482"/>
        <v>2.7898641802647998E+21</v>
      </c>
      <c r="R538" s="12">
        <f t="shared" si="482"/>
        <v>0</v>
      </c>
      <c r="S538" s="12">
        <f t="shared" si="482"/>
        <v>60</v>
      </c>
      <c r="T538" s="28" t="s">
        <v>1147</v>
      </c>
      <c r="U538" s="28"/>
      <c r="AA538" s="16"/>
      <c r="AB538" s="16"/>
    </row>
    <row r="539" spans="1:28" x14ac:dyDescent="0.2">
      <c r="A539" s="12">
        <v>50056</v>
      </c>
      <c r="B539" s="16" t="s">
        <v>733</v>
      </c>
      <c r="C539" s="2" t="s">
        <v>677</v>
      </c>
      <c r="D539" s="12">
        <f t="shared" ref="D539" si="483">D419</f>
        <v>56</v>
      </c>
      <c r="E539" s="12">
        <v>5</v>
      </c>
      <c r="F539" s="12">
        <f t="shared" ref="F539:S539" si="484">F59</f>
        <v>56</v>
      </c>
      <c r="G539" s="12">
        <f t="shared" si="484"/>
        <v>20025</v>
      </c>
      <c r="H539" s="12">
        <f t="shared" si="484"/>
        <v>1</v>
      </c>
      <c r="I539" s="12">
        <f t="shared" si="484"/>
        <v>2</v>
      </c>
      <c r="J539" s="12">
        <f t="shared" si="484"/>
        <v>5</v>
      </c>
      <c r="K539" s="12">
        <f t="shared" si="484"/>
        <v>152475215170</v>
      </c>
      <c r="L539" s="12">
        <f t="shared" si="484"/>
        <v>152475215170</v>
      </c>
      <c r="M539" s="12">
        <f t="shared" si="484"/>
        <v>152475215170</v>
      </c>
      <c r="N539" s="12">
        <f t="shared" si="484"/>
        <v>0</v>
      </c>
      <c r="O539" s="12">
        <f t="shared" si="484"/>
        <v>0</v>
      </c>
      <c r="P539" s="12">
        <f t="shared" si="484"/>
        <v>0</v>
      </c>
      <c r="Q539" s="12">
        <f t="shared" si="484"/>
        <v>3.4925942661933999E+21</v>
      </c>
      <c r="R539" s="12">
        <f t="shared" si="484"/>
        <v>0</v>
      </c>
      <c r="S539" s="12">
        <f t="shared" si="484"/>
        <v>60</v>
      </c>
      <c r="T539" s="28" t="s">
        <v>1147</v>
      </c>
      <c r="U539" s="28"/>
      <c r="AA539" s="16"/>
      <c r="AB539" s="16"/>
    </row>
    <row r="540" spans="1:28" x14ac:dyDescent="0.2">
      <c r="A540" s="12">
        <v>50057</v>
      </c>
      <c r="B540" s="16" t="s">
        <v>734</v>
      </c>
      <c r="C540" s="2" t="s">
        <v>677</v>
      </c>
      <c r="D540" s="12">
        <f t="shared" ref="D540" si="485">D420</f>
        <v>57</v>
      </c>
      <c r="E540" s="12">
        <v>5</v>
      </c>
      <c r="F540" s="12">
        <f t="shared" ref="F540:S540" si="486">F60</f>
        <v>57</v>
      </c>
      <c r="G540" s="12">
        <f t="shared" si="486"/>
        <v>20075</v>
      </c>
      <c r="H540" s="12">
        <f t="shared" si="486"/>
        <v>3</v>
      </c>
      <c r="I540" s="12">
        <f t="shared" si="486"/>
        <v>2</v>
      </c>
      <c r="J540" s="12">
        <f t="shared" si="486"/>
        <v>5</v>
      </c>
      <c r="K540" s="12">
        <f t="shared" si="486"/>
        <v>166757015875</v>
      </c>
      <c r="L540" s="12">
        <f t="shared" si="486"/>
        <v>166757015875</v>
      </c>
      <c r="M540" s="12">
        <f t="shared" si="486"/>
        <v>166757015875</v>
      </c>
      <c r="N540" s="12">
        <f t="shared" si="486"/>
        <v>0</v>
      </c>
      <c r="O540" s="12">
        <f t="shared" si="486"/>
        <v>0</v>
      </c>
      <c r="P540" s="12">
        <f t="shared" si="486"/>
        <v>0</v>
      </c>
      <c r="Q540" s="12">
        <f t="shared" si="486"/>
        <v>4.5149541879004702E+21</v>
      </c>
      <c r="R540" s="12">
        <f t="shared" si="486"/>
        <v>0</v>
      </c>
      <c r="S540" s="12">
        <f t="shared" si="486"/>
        <v>60</v>
      </c>
      <c r="T540" s="28" t="s">
        <v>1148</v>
      </c>
      <c r="U540" s="28"/>
      <c r="AA540" s="16"/>
      <c r="AB540" s="16"/>
    </row>
    <row r="541" spans="1:28" x14ac:dyDescent="0.2">
      <c r="A541" s="12">
        <v>50058</v>
      </c>
      <c r="B541" s="16" t="s">
        <v>735</v>
      </c>
      <c r="C541" s="2" t="s">
        <v>677</v>
      </c>
      <c r="D541" s="12">
        <f t="shared" ref="D541" si="487">D421</f>
        <v>58</v>
      </c>
      <c r="E541" s="12">
        <v>5</v>
      </c>
      <c r="F541" s="12">
        <f t="shared" ref="F541:S541" si="488">F61</f>
        <v>58</v>
      </c>
      <c r="G541" s="12">
        <f t="shared" si="488"/>
        <v>20125</v>
      </c>
      <c r="H541" s="12">
        <f t="shared" si="488"/>
        <v>2</v>
      </c>
      <c r="I541" s="12">
        <f t="shared" si="488"/>
        <v>2</v>
      </c>
      <c r="J541" s="12">
        <f t="shared" si="488"/>
        <v>5</v>
      </c>
      <c r="K541" s="12">
        <f t="shared" si="488"/>
        <v>180087885525</v>
      </c>
      <c r="L541" s="12">
        <f t="shared" si="488"/>
        <v>180087885525</v>
      </c>
      <c r="M541" s="12">
        <f t="shared" si="488"/>
        <v>180087885525</v>
      </c>
      <c r="N541" s="12">
        <f t="shared" si="488"/>
        <v>0</v>
      </c>
      <c r="O541" s="12">
        <f t="shared" si="488"/>
        <v>0</v>
      </c>
      <c r="P541" s="12">
        <f t="shared" si="488"/>
        <v>0</v>
      </c>
      <c r="Q541" s="12">
        <f t="shared" si="488"/>
        <v>5.61440124078562E+21</v>
      </c>
      <c r="R541" s="12">
        <f t="shared" si="488"/>
        <v>0</v>
      </c>
      <c r="S541" s="12">
        <f t="shared" si="488"/>
        <v>60</v>
      </c>
      <c r="T541" s="28" t="s">
        <v>1148</v>
      </c>
      <c r="U541" s="28"/>
      <c r="AA541" s="16"/>
      <c r="AB541" s="16"/>
    </row>
    <row r="542" spans="1:28" x14ac:dyDescent="0.2">
      <c r="A542" s="12">
        <v>50059</v>
      </c>
      <c r="B542" s="16" t="s">
        <v>736</v>
      </c>
      <c r="C542" s="2" t="s">
        <v>677</v>
      </c>
      <c r="D542" s="12">
        <f t="shared" ref="D542" si="489">D422</f>
        <v>59</v>
      </c>
      <c r="E542" s="12">
        <v>5</v>
      </c>
      <c r="F542" s="12">
        <f t="shared" ref="F542:S542" si="490">F62</f>
        <v>59</v>
      </c>
      <c r="G542" s="12">
        <f t="shared" si="490"/>
        <v>20175</v>
      </c>
      <c r="H542" s="12">
        <f t="shared" si="490"/>
        <v>1</v>
      </c>
      <c r="I542" s="12">
        <f t="shared" si="490"/>
        <v>2</v>
      </c>
      <c r="J542" s="12">
        <f t="shared" si="490"/>
        <v>5</v>
      </c>
      <c r="K542" s="12">
        <f t="shared" si="490"/>
        <v>195581306730</v>
      </c>
      <c r="L542" s="12">
        <f t="shared" si="490"/>
        <v>195581306730</v>
      </c>
      <c r="M542" s="12">
        <f t="shared" si="490"/>
        <v>195581306730</v>
      </c>
      <c r="N542" s="12">
        <f t="shared" si="490"/>
        <v>0</v>
      </c>
      <c r="O542" s="12">
        <f t="shared" si="490"/>
        <v>0</v>
      </c>
      <c r="P542" s="12">
        <f t="shared" si="490"/>
        <v>0</v>
      </c>
      <c r="Q542" s="12">
        <f t="shared" si="490"/>
        <v>7.0016471625807996E+21</v>
      </c>
      <c r="R542" s="12">
        <f t="shared" si="490"/>
        <v>0</v>
      </c>
      <c r="S542" s="12">
        <f t="shared" si="490"/>
        <v>60</v>
      </c>
      <c r="T542" s="28" t="s">
        <v>1148</v>
      </c>
      <c r="U542" s="28"/>
      <c r="AA542" s="16"/>
      <c r="AB542" s="16"/>
    </row>
    <row r="543" spans="1:28" x14ac:dyDescent="0.2">
      <c r="A543" s="12">
        <v>50060</v>
      </c>
      <c r="B543" s="16" t="s">
        <v>737</v>
      </c>
      <c r="C543" s="2" t="s">
        <v>677</v>
      </c>
      <c r="D543" s="12">
        <f t="shared" ref="D543" si="491">D423</f>
        <v>60</v>
      </c>
      <c r="E543" s="12">
        <v>5</v>
      </c>
      <c r="F543" s="12">
        <f t="shared" ref="F543:S543" si="492">F63</f>
        <v>60</v>
      </c>
      <c r="G543" s="12">
        <f t="shared" si="492"/>
        <v>30025</v>
      </c>
      <c r="H543" s="12">
        <f t="shared" si="492"/>
        <v>3</v>
      </c>
      <c r="I543" s="12">
        <f t="shared" si="492"/>
        <v>2</v>
      </c>
      <c r="J543" s="12">
        <f t="shared" si="492"/>
        <v>5</v>
      </c>
      <c r="K543" s="12">
        <f t="shared" si="492"/>
        <v>210590038610</v>
      </c>
      <c r="L543" s="12">
        <f t="shared" si="492"/>
        <v>210590038610</v>
      </c>
      <c r="M543" s="12">
        <f t="shared" si="492"/>
        <v>210590038610</v>
      </c>
      <c r="N543" s="12">
        <f t="shared" si="492"/>
        <v>0</v>
      </c>
      <c r="O543" s="12">
        <f t="shared" si="492"/>
        <v>0</v>
      </c>
      <c r="P543" s="12">
        <f t="shared" si="492"/>
        <v>0</v>
      </c>
      <c r="Q543" s="12">
        <f t="shared" si="492"/>
        <v>8.6983560869698003E+21</v>
      </c>
      <c r="R543" s="12">
        <f t="shared" si="492"/>
        <v>0</v>
      </c>
      <c r="S543" s="12">
        <f t="shared" si="492"/>
        <v>60</v>
      </c>
      <c r="T543" s="28" t="s">
        <v>1148</v>
      </c>
      <c r="U543" s="28"/>
      <c r="AA543" s="16"/>
      <c r="AB543" s="16"/>
    </row>
    <row r="544" spans="1:28" x14ac:dyDescent="0.2">
      <c r="A544" s="12">
        <v>50061</v>
      </c>
      <c r="B544" s="16" t="s">
        <v>738</v>
      </c>
      <c r="C544" s="2" t="s">
        <v>677</v>
      </c>
      <c r="D544" s="12">
        <f t="shared" ref="D544" si="493">D424</f>
        <v>61</v>
      </c>
      <c r="E544" s="12">
        <v>5</v>
      </c>
      <c r="F544" s="12">
        <f t="shared" ref="F544:S544" si="494">F64</f>
        <v>61</v>
      </c>
      <c r="G544" s="12">
        <f t="shared" si="494"/>
        <v>30075</v>
      </c>
      <c r="H544" s="12">
        <f t="shared" si="494"/>
        <v>2</v>
      </c>
      <c r="I544" s="12">
        <f t="shared" si="494"/>
        <v>2</v>
      </c>
      <c r="J544" s="12">
        <f t="shared" si="494"/>
        <v>5</v>
      </c>
      <c r="K544" s="12">
        <f t="shared" si="494"/>
        <v>380144579500</v>
      </c>
      <c r="L544" s="12">
        <f t="shared" si="494"/>
        <v>380144579500</v>
      </c>
      <c r="M544" s="12">
        <f t="shared" si="494"/>
        <v>380144579500</v>
      </c>
      <c r="N544" s="12">
        <f t="shared" si="494"/>
        <v>0</v>
      </c>
      <c r="O544" s="12">
        <f t="shared" si="494"/>
        <v>0</v>
      </c>
      <c r="P544" s="12">
        <f t="shared" si="494"/>
        <v>0</v>
      </c>
      <c r="Q544" s="12">
        <f t="shared" si="494"/>
        <v>3.4917056376026801E+22</v>
      </c>
      <c r="R544" s="12">
        <f t="shared" si="494"/>
        <v>0</v>
      </c>
      <c r="S544" s="12">
        <f t="shared" si="494"/>
        <v>60</v>
      </c>
      <c r="T544" s="28" t="s">
        <v>1149</v>
      </c>
      <c r="U544" s="28"/>
      <c r="AA544" s="16"/>
      <c r="AB544" s="16"/>
    </row>
    <row r="545" spans="1:28" x14ac:dyDescent="0.2">
      <c r="A545" s="12">
        <v>50062</v>
      </c>
      <c r="B545" s="16" t="s">
        <v>739</v>
      </c>
      <c r="C545" s="2" t="s">
        <v>677</v>
      </c>
      <c r="D545" s="12">
        <f t="shared" ref="D545" si="495">D425</f>
        <v>62</v>
      </c>
      <c r="E545" s="12">
        <v>5</v>
      </c>
      <c r="F545" s="12">
        <f t="shared" ref="F545:S545" si="496">F65</f>
        <v>62</v>
      </c>
      <c r="G545" s="12">
        <f t="shared" si="496"/>
        <v>30125</v>
      </c>
      <c r="H545" s="12">
        <f t="shared" si="496"/>
        <v>1</v>
      </c>
      <c r="I545" s="12">
        <f t="shared" si="496"/>
        <v>2</v>
      </c>
      <c r="J545" s="12">
        <f t="shared" si="496"/>
        <v>5</v>
      </c>
      <c r="K545" s="12">
        <f t="shared" si="496"/>
        <v>406254291110</v>
      </c>
      <c r="L545" s="12">
        <f t="shared" si="496"/>
        <v>406254291110</v>
      </c>
      <c r="M545" s="12">
        <f t="shared" si="496"/>
        <v>406254291110</v>
      </c>
      <c r="N545" s="12">
        <f t="shared" si="496"/>
        <v>0</v>
      </c>
      <c r="O545" s="12">
        <f t="shared" si="496"/>
        <v>0</v>
      </c>
      <c r="P545" s="12">
        <f t="shared" si="496"/>
        <v>0</v>
      </c>
      <c r="Q545" s="12">
        <f t="shared" si="496"/>
        <v>4.2337243088893797E+22</v>
      </c>
      <c r="R545" s="12">
        <f t="shared" si="496"/>
        <v>0</v>
      </c>
      <c r="S545" s="12">
        <f t="shared" si="496"/>
        <v>60</v>
      </c>
      <c r="T545" s="28" t="s">
        <v>1149</v>
      </c>
      <c r="U545" s="28"/>
      <c r="AA545" s="16"/>
      <c r="AB545" s="16"/>
    </row>
    <row r="546" spans="1:28" x14ac:dyDescent="0.2">
      <c r="A546" s="12">
        <v>50063</v>
      </c>
      <c r="B546" s="16" t="s">
        <v>740</v>
      </c>
      <c r="C546" s="2" t="s">
        <v>677</v>
      </c>
      <c r="D546" s="12">
        <f t="shared" ref="D546" si="497">D426</f>
        <v>63</v>
      </c>
      <c r="E546" s="12">
        <v>5</v>
      </c>
      <c r="F546" s="12">
        <f t="shared" ref="F546:S546" si="498">F66</f>
        <v>63</v>
      </c>
      <c r="G546" s="12">
        <f t="shared" si="498"/>
        <v>30175</v>
      </c>
      <c r="H546" s="12">
        <f t="shared" si="498"/>
        <v>3</v>
      </c>
      <c r="I546" s="12">
        <f t="shared" si="498"/>
        <v>2</v>
      </c>
      <c r="J546" s="12">
        <f t="shared" si="498"/>
        <v>5</v>
      </c>
      <c r="K546" s="12">
        <f t="shared" si="498"/>
        <v>436597890710</v>
      </c>
      <c r="L546" s="12">
        <f t="shared" si="498"/>
        <v>436597890710</v>
      </c>
      <c r="M546" s="12">
        <f t="shared" si="498"/>
        <v>436597890710</v>
      </c>
      <c r="N546" s="12">
        <f t="shared" si="498"/>
        <v>0</v>
      </c>
      <c r="O546" s="12">
        <f t="shared" si="498"/>
        <v>0</v>
      </c>
      <c r="P546" s="12">
        <f t="shared" si="498"/>
        <v>0</v>
      </c>
      <c r="Q546" s="12">
        <f t="shared" si="498"/>
        <v>5.1416847673219697E+22</v>
      </c>
      <c r="R546" s="12">
        <f t="shared" si="498"/>
        <v>0</v>
      </c>
      <c r="S546" s="12">
        <f t="shared" si="498"/>
        <v>60</v>
      </c>
      <c r="T546" s="28" t="s">
        <v>1149</v>
      </c>
      <c r="U546" s="28"/>
      <c r="AA546" s="16"/>
      <c r="AB546" s="16"/>
    </row>
    <row r="547" spans="1:28" x14ac:dyDescent="0.2">
      <c r="A547" s="12">
        <v>50064</v>
      </c>
      <c r="B547" s="16" t="s">
        <v>741</v>
      </c>
      <c r="C547" s="2" t="s">
        <v>677</v>
      </c>
      <c r="D547" s="12">
        <f t="shared" ref="D547" si="499">D427</f>
        <v>64</v>
      </c>
      <c r="E547" s="12">
        <v>5</v>
      </c>
      <c r="F547" s="12">
        <f t="shared" ref="F547:S547" si="500">F67</f>
        <v>64</v>
      </c>
      <c r="G547" s="12">
        <f t="shared" si="500"/>
        <v>40025</v>
      </c>
      <c r="H547" s="12">
        <f t="shared" si="500"/>
        <v>2</v>
      </c>
      <c r="I547" s="12">
        <f t="shared" si="500"/>
        <v>2</v>
      </c>
      <c r="J547" s="12">
        <f t="shared" si="500"/>
        <v>5</v>
      </c>
      <c r="K547" s="12">
        <f t="shared" si="500"/>
        <v>465641810800</v>
      </c>
      <c r="L547" s="12">
        <f t="shared" si="500"/>
        <v>465641810800</v>
      </c>
      <c r="M547" s="12">
        <f t="shared" si="500"/>
        <v>465641810800</v>
      </c>
      <c r="N547" s="12">
        <f t="shared" si="500"/>
        <v>0</v>
      </c>
      <c r="O547" s="12">
        <f t="shared" si="500"/>
        <v>0</v>
      </c>
      <c r="P547" s="12">
        <f t="shared" si="500"/>
        <v>0</v>
      </c>
      <c r="Q547" s="12">
        <f t="shared" si="500"/>
        <v>6.2095043642641198E+22</v>
      </c>
      <c r="R547" s="12">
        <f t="shared" si="500"/>
        <v>0</v>
      </c>
      <c r="S547" s="12">
        <f t="shared" si="500"/>
        <v>60</v>
      </c>
      <c r="T547" s="28" t="s">
        <v>1149</v>
      </c>
      <c r="U547" s="28"/>
      <c r="AA547" s="16"/>
      <c r="AB547" s="16"/>
    </row>
    <row r="548" spans="1:28" x14ac:dyDescent="0.2">
      <c r="A548" s="12">
        <v>50065</v>
      </c>
      <c r="B548" s="16" t="s">
        <v>742</v>
      </c>
      <c r="C548" s="2" t="s">
        <v>677</v>
      </c>
      <c r="D548" s="12">
        <f t="shared" ref="D548" si="501">D428</f>
        <v>65</v>
      </c>
      <c r="E548" s="12">
        <v>5</v>
      </c>
      <c r="F548" s="12">
        <f t="shared" ref="F548:S548" si="502">F68</f>
        <v>65</v>
      </c>
      <c r="G548" s="12">
        <f t="shared" si="502"/>
        <v>40075</v>
      </c>
      <c r="H548" s="12">
        <f t="shared" si="502"/>
        <v>1</v>
      </c>
      <c r="I548" s="12">
        <f t="shared" si="502"/>
        <v>2</v>
      </c>
      <c r="J548" s="12">
        <f t="shared" si="502"/>
        <v>5</v>
      </c>
      <c r="K548" s="12">
        <f t="shared" si="502"/>
        <v>547117431495</v>
      </c>
      <c r="L548" s="12">
        <f t="shared" si="502"/>
        <v>547117431495</v>
      </c>
      <c r="M548" s="12">
        <f t="shared" si="502"/>
        <v>547117431495</v>
      </c>
      <c r="N548" s="12">
        <f t="shared" si="502"/>
        <v>0</v>
      </c>
      <c r="O548" s="12">
        <f t="shared" si="502"/>
        <v>0</v>
      </c>
      <c r="P548" s="12">
        <f t="shared" si="502"/>
        <v>0</v>
      </c>
      <c r="Q548" s="12">
        <f t="shared" si="502"/>
        <v>7.8202588154703806E+22</v>
      </c>
      <c r="R548" s="12">
        <f t="shared" si="502"/>
        <v>0</v>
      </c>
      <c r="S548" s="12">
        <f t="shared" si="502"/>
        <v>60</v>
      </c>
      <c r="T548" s="28" t="s">
        <v>1150</v>
      </c>
      <c r="U548" s="28"/>
      <c r="AA548" s="16"/>
      <c r="AB548" s="16"/>
    </row>
    <row r="549" spans="1:28" x14ac:dyDescent="0.2">
      <c r="A549" s="12">
        <v>50066</v>
      </c>
      <c r="B549" s="16" t="s">
        <v>743</v>
      </c>
      <c r="C549" s="2" t="s">
        <v>677</v>
      </c>
      <c r="D549" s="12">
        <f t="shared" ref="D549" si="503">D429</f>
        <v>66</v>
      </c>
      <c r="E549" s="12">
        <v>5</v>
      </c>
      <c r="F549" s="12">
        <f t="shared" ref="F549:S549" si="504">F69</f>
        <v>66</v>
      </c>
      <c r="G549" s="12">
        <f t="shared" si="504"/>
        <v>40125</v>
      </c>
      <c r="H549" s="12">
        <f t="shared" si="504"/>
        <v>3</v>
      </c>
      <c r="I549" s="12">
        <f t="shared" si="504"/>
        <v>2</v>
      </c>
      <c r="J549" s="12">
        <f t="shared" si="504"/>
        <v>5</v>
      </c>
      <c r="K549" s="12">
        <f t="shared" si="504"/>
        <v>582928054315</v>
      </c>
      <c r="L549" s="12">
        <f t="shared" si="504"/>
        <v>582928054315</v>
      </c>
      <c r="M549" s="12">
        <f t="shared" si="504"/>
        <v>582928054315</v>
      </c>
      <c r="N549" s="12">
        <f t="shared" si="504"/>
        <v>0</v>
      </c>
      <c r="O549" s="12">
        <f t="shared" si="504"/>
        <v>0</v>
      </c>
      <c r="P549" s="12">
        <f t="shared" si="504"/>
        <v>0</v>
      </c>
      <c r="Q549" s="12">
        <f t="shared" si="504"/>
        <v>9.42776497330198E+22</v>
      </c>
      <c r="R549" s="12">
        <f t="shared" si="504"/>
        <v>0</v>
      </c>
      <c r="S549" s="12">
        <f t="shared" si="504"/>
        <v>60</v>
      </c>
      <c r="T549" s="28" t="s">
        <v>1150</v>
      </c>
      <c r="U549" s="28"/>
      <c r="AA549" s="16"/>
      <c r="AB549" s="16"/>
    </row>
    <row r="550" spans="1:28" x14ac:dyDescent="0.2">
      <c r="A550" s="12">
        <v>50067</v>
      </c>
      <c r="B550" s="16" t="s">
        <v>744</v>
      </c>
      <c r="C550" s="2" t="s">
        <v>677</v>
      </c>
      <c r="D550" s="12">
        <f t="shared" ref="D550" si="505">D430</f>
        <v>67</v>
      </c>
      <c r="E550" s="12">
        <v>5</v>
      </c>
      <c r="F550" s="12">
        <f t="shared" ref="F550:S550" si="506">F70</f>
        <v>67</v>
      </c>
      <c r="G550" s="12">
        <f t="shared" si="506"/>
        <v>40175</v>
      </c>
      <c r="H550" s="12">
        <f t="shared" si="506"/>
        <v>2</v>
      </c>
      <c r="I550" s="12">
        <f t="shared" si="506"/>
        <v>2</v>
      </c>
      <c r="J550" s="12">
        <f t="shared" si="506"/>
        <v>5</v>
      </c>
      <c r="K550" s="12">
        <f t="shared" si="506"/>
        <v>624574908810</v>
      </c>
      <c r="L550" s="12">
        <f t="shared" si="506"/>
        <v>624574908810</v>
      </c>
      <c r="M550" s="12">
        <f t="shared" si="506"/>
        <v>624574908810</v>
      </c>
      <c r="N550" s="12">
        <f t="shared" si="506"/>
        <v>0</v>
      </c>
      <c r="O550" s="12">
        <f t="shared" si="506"/>
        <v>0</v>
      </c>
      <c r="P550" s="12">
        <f t="shared" si="506"/>
        <v>0</v>
      </c>
      <c r="Q550" s="12">
        <f t="shared" si="506"/>
        <v>1.13882481298603E+23</v>
      </c>
      <c r="R550" s="12">
        <f t="shared" si="506"/>
        <v>0</v>
      </c>
      <c r="S550" s="12">
        <f t="shared" si="506"/>
        <v>60</v>
      </c>
      <c r="T550" s="28" t="s">
        <v>1150</v>
      </c>
      <c r="U550" s="28"/>
      <c r="AA550" s="16"/>
      <c r="AB550" s="16"/>
    </row>
    <row r="551" spans="1:28" x14ac:dyDescent="0.2">
      <c r="A551" s="12">
        <v>50068</v>
      </c>
      <c r="B551" s="16" t="s">
        <v>745</v>
      </c>
      <c r="C551" s="2" t="s">
        <v>677</v>
      </c>
      <c r="D551" s="12">
        <f t="shared" ref="D551" si="507">D431</f>
        <v>68</v>
      </c>
      <c r="E551" s="12">
        <v>5</v>
      </c>
      <c r="F551" s="12">
        <f t="shared" ref="F551:S551" si="508">F71</f>
        <v>68</v>
      </c>
      <c r="G551" s="12">
        <f t="shared" si="508"/>
        <v>50025</v>
      </c>
      <c r="H551" s="12">
        <f t="shared" si="508"/>
        <v>1</v>
      </c>
      <c r="I551" s="12">
        <f t="shared" si="508"/>
        <v>2</v>
      </c>
      <c r="J551" s="12">
        <f t="shared" si="508"/>
        <v>5</v>
      </c>
      <c r="K551" s="12">
        <f t="shared" si="508"/>
        <v>664250592050</v>
      </c>
      <c r="L551" s="12">
        <f t="shared" si="508"/>
        <v>664250592050</v>
      </c>
      <c r="M551" s="12">
        <f t="shared" si="508"/>
        <v>664250592050</v>
      </c>
      <c r="N551" s="12">
        <f t="shared" si="508"/>
        <v>0</v>
      </c>
      <c r="O551" s="12">
        <f t="shared" si="508"/>
        <v>0</v>
      </c>
      <c r="P551" s="12">
        <f t="shared" si="508"/>
        <v>0</v>
      </c>
      <c r="Q551" s="12">
        <f t="shared" si="508"/>
        <v>1.3685466632864499E+23</v>
      </c>
      <c r="R551" s="12">
        <f t="shared" si="508"/>
        <v>0</v>
      </c>
      <c r="S551" s="12">
        <f t="shared" si="508"/>
        <v>60</v>
      </c>
      <c r="T551" s="28" t="s">
        <v>1150</v>
      </c>
      <c r="U551" s="28"/>
      <c r="AA551" s="16"/>
      <c r="AB551" s="16"/>
    </row>
    <row r="552" spans="1:28" x14ac:dyDescent="0.2">
      <c r="A552" s="12">
        <v>50069</v>
      </c>
      <c r="B552" s="16" t="s">
        <v>746</v>
      </c>
      <c r="C552" s="2" t="s">
        <v>677</v>
      </c>
      <c r="D552" s="12">
        <f t="shared" ref="D552" si="509">D432</f>
        <v>69</v>
      </c>
      <c r="E552" s="12">
        <v>5</v>
      </c>
      <c r="F552" s="12">
        <f t="shared" ref="F552:S552" si="510">F72</f>
        <v>69</v>
      </c>
      <c r="G552" s="12">
        <f t="shared" si="510"/>
        <v>50075</v>
      </c>
      <c r="H552" s="12">
        <f t="shared" si="510"/>
        <v>3</v>
      </c>
      <c r="I552" s="12">
        <f t="shared" si="510"/>
        <v>2</v>
      </c>
      <c r="J552" s="12">
        <f t="shared" si="510"/>
        <v>5</v>
      </c>
      <c r="K552" s="12">
        <f t="shared" si="510"/>
        <v>710540723350</v>
      </c>
      <c r="L552" s="12">
        <f t="shared" si="510"/>
        <v>710540723350</v>
      </c>
      <c r="M552" s="12">
        <f t="shared" si="510"/>
        <v>710540723350</v>
      </c>
      <c r="N552" s="12">
        <f t="shared" si="510"/>
        <v>0</v>
      </c>
      <c r="O552" s="12">
        <f t="shared" si="510"/>
        <v>0</v>
      </c>
      <c r="P552" s="12">
        <f t="shared" si="510"/>
        <v>0</v>
      </c>
      <c r="Q552" s="12">
        <f t="shared" si="510"/>
        <v>1.64819605967886E+23</v>
      </c>
      <c r="R552" s="12">
        <f t="shared" si="510"/>
        <v>0</v>
      </c>
      <c r="S552" s="12">
        <f t="shared" si="510"/>
        <v>60</v>
      </c>
      <c r="T552" s="28" t="s">
        <v>1151</v>
      </c>
      <c r="U552" s="28"/>
      <c r="AA552" s="16"/>
      <c r="AB552" s="16"/>
    </row>
    <row r="553" spans="1:28" x14ac:dyDescent="0.2">
      <c r="A553" s="12">
        <v>50070</v>
      </c>
      <c r="B553" s="16" t="s">
        <v>747</v>
      </c>
      <c r="C553" s="2" t="s">
        <v>677</v>
      </c>
      <c r="D553" s="12">
        <f t="shared" ref="D553" si="511">D433</f>
        <v>70</v>
      </c>
      <c r="E553" s="12">
        <v>5</v>
      </c>
      <c r="F553" s="12">
        <f t="shared" ref="F553:S553" si="512">F73</f>
        <v>70</v>
      </c>
      <c r="G553" s="12">
        <f t="shared" si="512"/>
        <v>10065</v>
      </c>
      <c r="H553" s="12">
        <f t="shared" si="512"/>
        <v>2</v>
      </c>
      <c r="I553" s="12">
        <f t="shared" si="512"/>
        <v>2</v>
      </c>
      <c r="J553" s="12">
        <f t="shared" si="512"/>
        <v>5</v>
      </c>
      <c r="K553" s="12">
        <f t="shared" si="512"/>
        <v>754588569150</v>
      </c>
      <c r="L553" s="12">
        <f t="shared" si="512"/>
        <v>754588569150</v>
      </c>
      <c r="M553" s="12">
        <f t="shared" si="512"/>
        <v>754588569150</v>
      </c>
      <c r="N553" s="12">
        <f t="shared" si="512"/>
        <v>0</v>
      </c>
      <c r="O553" s="12">
        <f t="shared" si="512"/>
        <v>0</v>
      </c>
      <c r="P553" s="12">
        <f t="shared" si="512"/>
        <v>0</v>
      </c>
      <c r="Q553" s="12">
        <f t="shared" si="512"/>
        <v>1.9741355213334801E+23</v>
      </c>
      <c r="R553" s="12">
        <f t="shared" si="512"/>
        <v>0</v>
      </c>
      <c r="S553" s="12">
        <f t="shared" si="512"/>
        <v>60</v>
      </c>
      <c r="T553" s="28" t="s">
        <v>1151</v>
      </c>
      <c r="U553" s="28"/>
      <c r="AA553" s="16"/>
      <c r="AB553" s="16"/>
    </row>
    <row r="554" spans="1:28" x14ac:dyDescent="0.2">
      <c r="A554" s="12">
        <v>50071</v>
      </c>
      <c r="B554" s="16" t="s">
        <v>748</v>
      </c>
      <c r="C554" s="2" t="s">
        <v>677</v>
      </c>
      <c r="D554" s="12">
        <f t="shared" ref="D554" si="513">D434</f>
        <v>71</v>
      </c>
      <c r="E554" s="12">
        <v>5</v>
      </c>
      <c r="F554" s="12">
        <f t="shared" ref="F554:S554" si="514">F74</f>
        <v>71</v>
      </c>
      <c r="G554" s="12">
        <f t="shared" si="514"/>
        <v>10115</v>
      </c>
      <c r="H554" s="12">
        <f t="shared" si="514"/>
        <v>1</v>
      </c>
      <c r="I554" s="12">
        <f t="shared" si="514"/>
        <v>2</v>
      </c>
      <c r="J554" s="12">
        <f t="shared" si="514"/>
        <v>5</v>
      </c>
      <c r="K554" s="12">
        <f t="shared" si="514"/>
        <v>805881371825</v>
      </c>
      <c r="L554" s="12">
        <f t="shared" si="514"/>
        <v>805881371825</v>
      </c>
      <c r="M554" s="12">
        <f t="shared" si="514"/>
        <v>805881371825</v>
      </c>
      <c r="N554" s="12">
        <f t="shared" si="514"/>
        <v>0</v>
      </c>
      <c r="O554" s="12">
        <f t="shared" si="514"/>
        <v>0</v>
      </c>
      <c r="P554" s="12">
        <f t="shared" si="514"/>
        <v>0</v>
      </c>
      <c r="Q554" s="12">
        <f t="shared" si="514"/>
        <v>2.3700701263284499E+23</v>
      </c>
      <c r="R554" s="12">
        <f t="shared" si="514"/>
        <v>0</v>
      </c>
      <c r="S554" s="12">
        <f t="shared" si="514"/>
        <v>60</v>
      </c>
      <c r="T554" s="28" t="s">
        <v>1151</v>
      </c>
      <c r="U554" s="28"/>
      <c r="AA554" s="16"/>
      <c r="AB554" s="16"/>
    </row>
    <row r="555" spans="1:28" x14ac:dyDescent="0.2">
      <c r="A555" s="12">
        <v>50072</v>
      </c>
      <c r="B555" s="16" t="s">
        <v>749</v>
      </c>
      <c r="C555" s="2" t="s">
        <v>677</v>
      </c>
      <c r="D555" s="12">
        <f t="shared" ref="D555" si="515">D435</f>
        <v>72</v>
      </c>
      <c r="E555" s="12">
        <v>5</v>
      </c>
      <c r="F555" s="12">
        <f t="shared" ref="F555:S555" si="516">F75</f>
        <v>72</v>
      </c>
      <c r="G555" s="12">
        <f t="shared" si="516"/>
        <v>10165</v>
      </c>
      <c r="H555" s="12">
        <f t="shared" si="516"/>
        <v>3</v>
      </c>
      <c r="I555" s="12">
        <f t="shared" si="516"/>
        <v>2</v>
      </c>
      <c r="J555" s="12">
        <f t="shared" si="516"/>
        <v>5</v>
      </c>
      <c r="K555" s="12">
        <f t="shared" si="516"/>
        <v>849349846460</v>
      </c>
      <c r="L555" s="12">
        <f t="shared" si="516"/>
        <v>849349846460</v>
      </c>
      <c r="M555" s="12">
        <f t="shared" si="516"/>
        <v>849349846460</v>
      </c>
      <c r="N555" s="12">
        <f t="shared" si="516"/>
        <v>0</v>
      </c>
      <c r="O555" s="12">
        <f t="shared" si="516"/>
        <v>0</v>
      </c>
      <c r="P555" s="12">
        <f t="shared" si="516"/>
        <v>0</v>
      </c>
      <c r="Q555" s="12">
        <f t="shared" si="516"/>
        <v>2.8020918789288E+23</v>
      </c>
      <c r="R555" s="12">
        <f t="shared" si="516"/>
        <v>0</v>
      </c>
      <c r="S555" s="12">
        <f t="shared" si="516"/>
        <v>60</v>
      </c>
      <c r="T555" s="28" t="s">
        <v>1151</v>
      </c>
      <c r="U555" s="28"/>
      <c r="AA555" s="16"/>
      <c r="AB555" s="16"/>
    </row>
    <row r="556" spans="1:28" x14ac:dyDescent="0.2">
      <c r="A556" s="12">
        <v>50073</v>
      </c>
      <c r="B556" s="16" t="s">
        <v>750</v>
      </c>
      <c r="C556" s="2" t="s">
        <v>677</v>
      </c>
      <c r="D556" s="12">
        <f t="shared" ref="D556" si="517">D436</f>
        <v>73</v>
      </c>
      <c r="E556" s="12">
        <v>5</v>
      </c>
      <c r="F556" s="12">
        <f t="shared" ref="F556:S556" si="518">F76</f>
        <v>73</v>
      </c>
      <c r="G556" s="12">
        <f t="shared" si="518"/>
        <v>20015</v>
      </c>
      <c r="H556" s="12">
        <f t="shared" si="518"/>
        <v>2</v>
      </c>
      <c r="I556" s="12">
        <f t="shared" si="518"/>
        <v>2</v>
      </c>
      <c r="J556" s="12">
        <f t="shared" si="518"/>
        <v>5</v>
      </c>
      <c r="K556" s="12">
        <f t="shared" si="518"/>
        <v>904812627005</v>
      </c>
      <c r="L556" s="12">
        <f t="shared" si="518"/>
        <v>904812627005</v>
      </c>
      <c r="M556" s="12">
        <f t="shared" si="518"/>
        <v>904812627005</v>
      </c>
      <c r="N556" s="12">
        <f t="shared" si="518"/>
        <v>0</v>
      </c>
      <c r="O556" s="12">
        <f t="shared" si="518"/>
        <v>0</v>
      </c>
      <c r="P556" s="12">
        <f t="shared" si="518"/>
        <v>0</v>
      </c>
      <c r="Q556" s="12">
        <f t="shared" si="518"/>
        <v>3.4512116020382499E+23</v>
      </c>
      <c r="R556" s="12">
        <f t="shared" si="518"/>
        <v>0</v>
      </c>
      <c r="S556" s="12">
        <f t="shared" si="518"/>
        <v>60</v>
      </c>
      <c r="T556" s="28" t="s">
        <v>1152</v>
      </c>
      <c r="U556" s="28"/>
      <c r="AA556" s="16"/>
      <c r="AB556" s="16"/>
    </row>
    <row r="557" spans="1:28" x14ac:dyDescent="0.2">
      <c r="A557" s="12">
        <v>50074</v>
      </c>
      <c r="B557" s="16" t="s">
        <v>751</v>
      </c>
      <c r="C557" s="2" t="s">
        <v>677</v>
      </c>
      <c r="D557" s="12">
        <f t="shared" ref="D557" si="519">D437</f>
        <v>74</v>
      </c>
      <c r="E557" s="12">
        <v>5</v>
      </c>
      <c r="F557" s="12">
        <f t="shared" ref="F557:S557" si="520">F77</f>
        <v>74</v>
      </c>
      <c r="G557" s="12">
        <f t="shared" si="520"/>
        <v>20065</v>
      </c>
      <c r="H557" s="12">
        <f t="shared" si="520"/>
        <v>1</v>
      </c>
      <c r="I557" s="12">
        <f t="shared" si="520"/>
        <v>2</v>
      </c>
      <c r="J557" s="12">
        <f t="shared" si="520"/>
        <v>5</v>
      </c>
      <c r="K557" s="12">
        <f t="shared" si="520"/>
        <v>952363500030</v>
      </c>
      <c r="L557" s="12">
        <f t="shared" si="520"/>
        <v>952363500030</v>
      </c>
      <c r="M557" s="12">
        <f t="shared" si="520"/>
        <v>952363500030</v>
      </c>
      <c r="N557" s="12">
        <f t="shared" si="520"/>
        <v>0</v>
      </c>
      <c r="O557" s="12">
        <f t="shared" si="520"/>
        <v>0</v>
      </c>
      <c r="P557" s="12">
        <f t="shared" si="520"/>
        <v>0</v>
      </c>
      <c r="Q557" s="12">
        <f t="shared" si="520"/>
        <v>4.0672903940712002E+23</v>
      </c>
      <c r="R557" s="12">
        <f t="shared" si="520"/>
        <v>0</v>
      </c>
      <c r="S557" s="12">
        <f t="shared" si="520"/>
        <v>60</v>
      </c>
      <c r="T557" s="28" t="s">
        <v>1152</v>
      </c>
      <c r="U557" s="28"/>
      <c r="AA557" s="16"/>
      <c r="AB557" s="16"/>
    </row>
    <row r="558" spans="1:28" x14ac:dyDescent="0.2">
      <c r="A558" s="12">
        <v>50075</v>
      </c>
      <c r="B558" s="16" t="s">
        <v>752</v>
      </c>
      <c r="C558" s="2" t="s">
        <v>677</v>
      </c>
      <c r="D558" s="12">
        <f t="shared" ref="D558" si="521">D438</f>
        <v>75</v>
      </c>
      <c r="E558" s="12">
        <v>5</v>
      </c>
      <c r="F558" s="12">
        <f t="shared" ref="F558:S558" si="522">F78</f>
        <v>75</v>
      </c>
      <c r="G558" s="12">
        <f t="shared" si="522"/>
        <v>20115</v>
      </c>
      <c r="H558" s="12">
        <f t="shared" si="522"/>
        <v>3</v>
      </c>
      <c r="I558" s="12">
        <f t="shared" si="522"/>
        <v>2</v>
      </c>
      <c r="J558" s="12">
        <f t="shared" si="522"/>
        <v>5</v>
      </c>
      <c r="K558" s="12">
        <f t="shared" si="522"/>
        <v>1008111382920</v>
      </c>
      <c r="L558" s="12">
        <f t="shared" si="522"/>
        <v>1008111382920</v>
      </c>
      <c r="M558" s="12">
        <f t="shared" si="522"/>
        <v>1008111382920</v>
      </c>
      <c r="N558" s="12">
        <f t="shared" si="522"/>
        <v>0</v>
      </c>
      <c r="O558" s="12">
        <f t="shared" si="522"/>
        <v>0</v>
      </c>
      <c r="P558" s="12">
        <f t="shared" si="522"/>
        <v>0</v>
      </c>
      <c r="Q558" s="12">
        <f t="shared" si="522"/>
        <v>4.8075464821218798E+23</v>
      </c>
      <c r="R558" s="12">
        <f t="shared" si="522"/>
        <v>0</v>
      </c>
      <c r="S558" s="12">
        <f t="shared" si="522"/>
        <v>60</v>
      </c>
      <c r="T558" s="28" t="s">
        <v>1152</v>
      </c>
      <c r="U558" s="28"/>
      <c r="AA558" s="16"/>
      <c r="AB558" s="16"/>
    </row>
    <row r="559" spans="1:28" x14ac:dyDescent="0.2">
      <c r="A559" s="12">
        <v>50076</v>
      </c>
      <c r="B559" s="16" t="s">
        <v>753</v>
      </c>
      <c r="C559" s="2" t="s">
        <v>677</v>
      </c>
      <c r="D559" s="12">
        <f t="shared" ref="D559" si="523">D439</f>
        <v>76</v>
      </c>
      <c r="E559" s="12">
        <v>5</v>
      </c>
      <c r="F559" s="12">
        <f t="shared" ref="F559:S559" si="524">F79</f>
        <v>76</v>
      </c>
      <c r="G559" s="12">
        <f t="shared" si="524"/>
        <v>20165</v>
      </c>
      <c r="H559" s="12">
        <f t="shared" si="524"/>
        <v>2</v>
      </c>
      <c r="I559" s="12">
        <f t="shared" si="524"/>
        <v>2</v>
      </c>
      <c r="J559" s="12">
        <f t="shared" si="524"/>
        <v>5</v>
      </c>
      <c r="K559" s="12">
        <f t="shared" si="524"/>
        <v>1059810100115</v>
      </c>
      <c r="L559" s="12">
        <f t="shared" si="524"/>
        <v>1059810100115</v>
      </c>
      <c r="M559" s="12">
        <f t="shared" si="524"/>
        <v>1059810100115</v>
      </c>
      <c r="N559" s="12">
        <f t="shared" si="524"/>
        <v>0</v>
      </c>
      <c r="O559" s="12">
        <f t="shared" si="524"/>
        <v>0</v>
      </c>
      <c r="P559" s="12">
        <f t="shared" si="524"/>
        <v>0</v>
      </c>
      <c r="Q559" s="12">
        <f t="shared" si="524"/>
        <v>5.65212178883448E+23</v>
      </c>
      <c r="R559" s="12">
        <f t="shared" si="524"/>
        <v>0</v>
      </c>
      <c r="S559" s="12">
        <f t="shared" si="524"/>
        <v>60</v>
      </c>
      <c r="T559" s="28" t="s">
        <v>1152</v>
      </c>
      <c r="U559" s="28"/>
      <c r="AA559" s="16"/>
      <c r="AB559" s="16"/>
    </row>
    <row r="560" spans="1:28" x14ac:dyDescent="0.2">
      <c r="A560" s="12">
        <v>50077</v>
      </c>
      <c r="B560" s="16" t="s">
        <v>754</v>
      </c>
      <c r="C560" s="2" t="s">
        <v>677</v>
      </c>
      <c r="D560" s="12">
        <f t="shared" ref="D560" si="525">D440</f>
        <v>77</v>
      </c>
      <c r="E560" s="12">
        <v>5</v>
      </c>
      <c r="F560" s="12">
        <f t="shared" ref="F560:S560" si="526">F80</f>
        <v>77</v>
      </c>
      <c r="G560" s="12">
        <f t="shared" si="526"/>
        <v>30015</v>
      </c>
      <c r="H560" s="12">
        <f t="shared" si="526"/>
        <v>1</v>
      </c>
      <c r="I560" s="12">
        <f t="shared" si="526"/>
        <v>2</v>
      </c>
      <c r="J560" s="12">
        <f t="shared" si="526"/>
        <v>6</v>
      </c>
      <c r="K560" s="12">
        <f t="shared" si="526"/>
        <v>1134628706000</v>
      </c>
      <c r="L560" s="12">
        <f t="shared" si="526"/>
        <v>1134628706000</v>
      </c>
      <c r="M560" s="12">
        <f t="shared" si="526"/>
        <v>1134628706000</v>
      </c>
      <c r="N560" s="12">
        <f t="shared" si="526"/>
        <v>0</v>
      </c>
      <c r="O560" s="12">
        <f t="shared" si="526"/>
        <v>0</v>
      </c>
      <c r="P560" s="12">
        <f t="shared" si="526"/>
        <v>0</v>
      </c>
      <c r="Q560" s="12">
        <f t="shared" si="526"/>
        <v>7.8219779662600306E+23</v>
      </c>
      <c r="R560" s="12">
        <f t="shared" si="526"/>
        <v>0</v>
      </c>
      <c r="S560" s="12">
        <f t="shared" si="526"/>
        <v>60</v>
      </c>
      <c r="T560" s="28" t="s">
        <v>1153</v>
      </c>
      <c r="U560" s="28"/>
      <c r="AA560" s="16"/>
      <c r="AB560" s="16"/>
    </row>
    <row r="561" spans="1:28" x14ac:dyDescent="0.2">
      <c r="A561" s="12">
        <v>50078</v>
      </c>
      <c r="B561" s="16" t="s">
        <v>755</v>
      </c>
      <c r="C561" s="2" t="s">
        <v>677</v>
      </c>
      <c r="D561" s="12">
        <f t="shared" ref="D561" si="527">D441</f>
        <v>78</v>
      </c>
      <c r="E561" s="12">
        <v>5</v>
      </c>
      <c r="F561" s="12">
        <f t="shared" ref="F561:S561" si="528">F81</f>
        <v>78</v>
      </c>
      <c r="G561" s="12">
        <f t="shared" si="528"/>
        <v>30065</v>
      </c>
      <c r="H561" s="12">
        <f t="shared" si="528"/>
        <v>3</v>
      </c>
      <c r="I561" s="12">
        <f t="shared" si="528"/>
        <v>2</v>
      </c>
      <c r="J561" s="12">
        <f t="shared" si="528"/>
        <v>6</v>
      </c>
      <c r="K561" s="12">
        <f t="shared" si="528"/>
        <v>1205945077255</v>
      </c>
      <c r="L561" s="12">
        <f t="shared" si="528"/>
        <v>1205945077255</v>
      </c>
      <c r="M561" s="12">
        <f t="shared" si="528"/>
        <v>1205945077255</v>
      </c>
      <c r="N561" s="12">
        <f t="shared" si="528"/>
        <v>0</v>
      </c>
      <c r="O561" s="12">
        <f t="shared" si="528"/>
        <v>0</v>
      </c>
      <c r="P561" s="12">
        <f t="shared" si="528"/>
        <v>0</v>
      </c>
      <c r="Q561" s="12">
        <f t="shared" si="528"/>
        <v>9.55255852469745E+23</v>
      </c>
      <c r="R561" s="12">
        <f t="shared" si="528"/>
        <v>0</v>
      </c>
      <c r="S561" s="12">
        <f t="shared" si="528"/>
        <v>60</v>
      </c>
      <c r="T561" s="28" t="s">
        <v>1153</v>
      </c>
      <c r="U561" s="28"/>
      <c r="AA561" s="16"/>
      <c r="AB561" s="16"/>
    </row>
    <row r="562" spans="1:28" x14ac:dyDescent="0.2">
      <c r="A562" s="12">
        <v>50079</v>
      </c>
      <c r="B562" s="16" t="s">
        <v>756</v>
      </c>
      <c r="C562" s="2" t="s">
        <v>677</v>
      </c>
      <c r="D562" s="12">
        <f t="shared" ref="D562" si="529">D442</f>
        <v>79</v>
      </c>
      <c r="E562" s="12">
        <v>5</v>
      </c>
      <c r="F562" s="12">
        <f t="shared" ref="F562:S562" si="530">F82</f>
        <v>79</v>
      </c>
      <c r="G562" s="12">
        <f t="shared" si="530"/>
        <v>30115</v>
      </c>
      <c r="H562" s="12">
        <f t="shared" si="530"/>
        <v>2</v>
      </c>
      <c r="I562" s="12">
        <f t="shared" si="530"/>
        <v>2</v>
      </c>
      <c r="J562" s="12">
        <f t="shared" si="530"/>
        <v>6</v>
      </c>
      <c r="K562" s="12">
        <f t="shared" si="530"/>
        <v>1294309474850</v>
      </c>
      <c r="L562" s="12">
        <f t="shared" si="530"/>
        <v>1294309474850</v>
      </c>
      <c r="M562" s="12">
        <f t="shared" si="530"/>
        <v>1294309474850</v>
      </c>
      <c r="N562" s="12">
        <f t="shared" si="530"/>
        <v>0</v>
      </c>
      <c r="O562" s="12">
        <f t="shared" si="530"/>
        <v>0</v>
      </c>
      <c r="P562" s="12">
        <f t="shared" si="530"/>
        <v>0</v>
      </c>
      <c r="Q562" s="12">
        <f t="shared" si="530"/>
        <v>1.1914452634738601E+24</v>
      </c>
      <c r="R562" s="12">
        <f t="shared" si="530"/>
        <v>0</v>
      </c>
      <c r="S562" s="12">
        <f t="shared" si="530"/>
        <v>60</v>
      </c>
      <c r="T562" s="28" t="s">
        <v>1153</v>
      </c>
      <c r="U562" s="28"/>
      <c r="AA562" s="16"/>
      <c r="AB562" s="16"/>
    </row>
    <row r="563" spans="1:28" x14ac:dyDescent="0.2">
      <c r="A563" s="12">
        <v>50080</v>
      </c>
      <c r="B563" s="16" t="s">
        <v>757</v>
      </c>
      <c r="C563" s="2" t="s">
        <v>677</v>
      </c>
      <c r="D563" s="12">
        <f t="shared" ref="D563" si="531">D443</f>
        <v>80</v>
      </c>
      <c r="E563" s="12">
        <v>5</v>
      </c>
      <c r="F563" s="12">
        <f t="shared" ref="F563:S563" si="532">F83</f>
        <v>80</v>
      </c>
      <c r="G563" s="12">
        <f t="shared" si="532"/>
        <v>30165</v>
      </c>
      <c r="H563" s="12">
        <f t="shared" si="532"/>
        <v>1</v>
      </c>
      <c r="I563" s="12">
        <f t="shared" si="532"/>
        <v>2</v>
      </c>
      <c r="J563" s="12">
        <f t="shared" si="532"/>
        <v>6</v>
      </c>
      <c r="K563" s="12">
        <f t="shared" si="532"/>
        <v>1372844889330</v>
      </c>
      <c r="L563" s="12">
        <f t="shared" si="532"/>
        <v>1372844889330</v>
      </c>
      <c r="M563" s="12">
        <f t="shared" si="532"/>
        <v>1372844889330</v>
      </c>
      <c r="N563" s="12">
        <f t="shared" si="532"/>
        <v>0</v>
      </c>
      <c r="O563" s="12">
        <f t="shared" si="532"/>
        <v>0</v>
      </c>
      <c r="P563" s="12">
        <f t="shared" si="532"/>
        <v>0</v>
      </c>
      <c r="Q563" s="12">
        <f t="shared" si="532"/>
        <v>1.4550930861503199E+24</v>
      </c>
      <c r="R563" s="12">
        <f t="shared" si="532"/>
        <v>0</v>
      </c>
      <c r="S563" s="12">
        <f t="shared" si="532"/>
        <v>60</v>
      </c>
      <c r="T563" s="28" t="s">
        <v>1153</v>
      </c>
      <c r="U563" s="28"/>
      <c r="AA563" s="16"/>
      <c r="AB563" s="16"/>
    </row>
    <row r="564" spans="1:28" x14ac:dyDescent="0.2">
      <c r="A564" s="12">
        <v>50081</v>
      </c>
      <c r="B564" s="16" t="s">
        <v>758</v>
      </c>
      <c r="C564" s="2" t="s">
        <v>677</v>
      </c>
      <c r="D564" s="12">
        <f t="shared" ref="D564" si="533">D444</f>
        <v>81</v>
      </c>
      <c r="E564" s="12">
        <v>5</v>
      </c>
      <c r="F564" s="12">
        <f t="shared" ref="F564:S564" si="534">F84</f>
        <v>81</v>
      </c>
      <c r="G564" s="12">
        <f t="shared" si="534"/>
        <v>40015</v>
      </c>
      <c r="H564" s="12">
        <f t="shared" si="534"/>
        <v>3</v>
      </c>
      <c r="I564" s="12">
        <f t="shared" si="534"/>
        <v>2</v>
      </c>
      <c r="J564" s="12">
        <f t="shared" si="534"/>
        <v>6</v>
      </c>
      <c r="K564" s="12">
        <f t="shared" si="534"/>
        <v>2461957151705</v>
      </c>
      <c r="L564" s="12">
        <f t="shared" si="534"/>
        <v>2461957151705</v>
      </c>
      <c r="M564" s="12">
        <f t="shared" si="534"/>
        <v>2461957151705</v>
      </c>
      <c r="N564" s="12">
        <f t="shared" si="534"/>
        <v>0</v>
      </c>
      <c r="O564" s="12">
        <f t="shared" si="534"/>
        <v>0</v>
      </c>
      <c r="P564" s="12">
        <f t="shared" si="534"/>
        <v>0</v>
      </c>
      <c r="Q564" s="12">
        <f t="shared" si="534"/>
        <v>7.0714605345934501E+24</v>
      </c>
      <c r="R564" s="12">
        <f t="shared" si="534"/>
        <v>0</v>
      </c>
      <c r="S564" s="12">
        <f t="shared" si="534"/>
        <v>60</v>
      </c>
      <c r="T564" s="28" t="s">
        <v>1154</v>
      </c>
      <c r="U564" s="28"/>
      <c r="AA564" s="16"/>
      <c r="AB564" s="16"/>
    </row>
    <row r="565" spans="1:28" x14ac:dyDescent="0.2">
      <c r="A565" s="12">
        <v>50082</v>
      </c>
      <c r="B565" s="16" t="s">
        <v>759</v>
      </c>
      <c r="C565" s="2" t="s">
        <v>677</v>
      </c>
      <c r="D565" s="12">
        <f t="shared" ref="D565" si="535">D445</f>
        <v>82</v>
      </c>
      <c r="E565" s="12">
        <v>5</v>
      </c>
      <c r="F565" s="12">
        <f t="shared" ref="F565:S565" si="536">F85</f>
        <v>82</v>
      </c>
      <c r="G565" s="12">
        <f t="shared" si="536"/>
        <v>40065</v>
      </c>
      <c r="H565" s="12">
        <f t="shared" si="536"/>
        <v>2</v>
      </c>
      <c r="I565" s="12">
        <f t="shared" si="536"/>
        <v>2</v>
      </c>
      <c r="J565" s="12">
        <f t="shared" si="536"/>
        <v>6</v>
      </c>
      <c r="K565" s="12">
        <f t="shared" si="536"/>
        <v>2588284473940</v>
      </c>
      <c r="L565" s="12">
        <f t="shared" si="536"/>
        <v>2588284473940</v>
      </c>
      <c r="M565" s="12">
        <f t="shared" si="536"/>
        <v>2588284473940</v>
      </c>
      <c r="N565" s="12">
        <f t="shared" si="536"/>
        <v>0</v>
      </c>
      <c r="O565" s="12">
        <f t="shared" si="536"/>
        <v>0</v>
      </c>
      <c r="P565" s="12">
        <f t="shared" si="536"/>
        <v>0</v>
      </c>
      <c r="Q565" s="12">
        <f t="shared" si="536"/>
        <v>8.3719565113977004E+24</v>
      </c>
      <c r="R565" s="12">
        <f t="shared" si="536"/>
        <v>0</v>
      </c>
      <c r="S565" s="12">
        <f t="shared" si="536"/>
        <v>60</v>
      </c>
      <c r="T565" s="28" t="s">
        <v>1154</v>
      </c>
      <c r="U565" s="28"/>
      <c r="AA565" s="16"/>
      <c r="AB565" s="16"/>
    </row>
    <row r="566" spans="1:28" x14ac:dyDescent="0.2">
      <c r="A566" s="12">
        <v>50083</v>
      </c>
      <c r="B566" s="16" t="s">
        <v>760</v>
      </c>
      <c r="C566" s="2" t="s">
        <v>677</v>
      </c>
      <c r="D566" s="12">
        <f t="shared" ref="D566" si="537">D446</f>
        <v>83</v>
      </c>
      <c r="E566" s="12">
        <v>5</v>
      </c>
      <c r="F566" s="12">
        <f t="shared" ref="F566:S566" si="538">F86</f>
        <v>83</v>
      </c>
      <c r="G566" s="12">
        <f t="shared" si="538"/>
        <v>40115</v>
      </c>
      <c r="H566" s="12">
        <f t="shared" si="538"/>
        <v>1</v>
      </c>
      <c r="I566" s="12">
        <f t="shared" si="538"/>
        <v>2</v>
      </c>
      <c r="J566" s="12">
        <f t="shared" si="538"/>
        <v>6</v>
      </c>
      <c r="K566" s="12">
        <f t="shared" si="538"/>
        <v>2745613625505</v>
      </c>
      <c r="L566" s="12">
        <f t="shared" si="538"/>
        <v>2745613625505</v>
      </c>
      <c r="M566" s="12">
        <f t="shared" si="538"/>
        <v>2745613625505</v>
      </c>
      <c r="N566" s="12">
        <f t="shared" si="538"/>
        <v>0</v>
      </c>
      <c r="O566" s="12">
        <f t="shared" si="538"/>
        <v>0</v>
      </c>
      <c r="P566" s="12">
        <f t="shared" si="538"/>
        <v>0</v>
      </c>
      <c r="Q566" s="12">
        <f t="shared" si="538"/>
        <v>1.0080074778702601E+25</v>
      </c>
      <c r="R566" s="12">
        <f t="shared" si="538"/>
        <v>0</v>
      </c>
      <c r="S566" s="12">
        <f t="shared" si="538"/>
        <v>60</v>
      </c>
      <c r="T566" s="28" t="s">
        <v>1154</v>
      </c>
      <c r="U566" s="28"/>
      <c r="AA566" s="16"/>
      <c r="AB566" s="16"/>
    </row>
    <row r="567" spans="1:28" x14ac:dyDescent="0.2">
      <c r="A567" s="12">
        <v>50084</v>
      </c>
      <c r="B567" s="16" t="s">
        <v>761</v>
      </c>
      <c r="C567" s="2" t="s">
        <v>677</v>
      </c>
      <c r="D567" s="12">
        <f t="shared" ref="D567" si="539">D447</f>
        <v>84</v>
      </c>
      <c r="E567" s="12">
        <v>5</v>
      </c>
      <c r="F567" s="12">
        <f t="shared" ref="F567:S567" si="540">F87</f>
        <v>84</v>
      </c>
      <c r="G567" s="12">
        <f t="shared" si="540"/>
        <v>40165</v>
      </c>
      <c r="H567" s="12">
        <f t="shared" si="540"/>
        <v>3</v>
      </c>
      <c r="I567" s="12">
        <f t="shared" si="540"/>
        <v>2</v>
      </c>
      <c r="J567" s="12">
        <f t="shared" si="540"/>
        <v>6</v>
      </c>
      <c r="K567" s="12">
        <f t="shared" si="540"/>
        <v>2882604907570</v>
      </c>
      <c r="L567" s="12">
        <f t="shared" si="540"/>
        <v>2882604907570</v>
      </c>
      <c r="M567" s="12">
        <f t="shared" si="540"/>
        <v>2882604907570</v>
      </c>
      <c r="N567" s="12">
        <f t="shared" si="540"/>
        <v>0</v>
      </c>
      <c r="O567" s="12">
        <f t="shared" si="540"/>
        <v>0</v>
      </c>
      <c r="P567" s="12">
        <f t="shared" si="540"/>
        <v>0</v>
      </c>
      <c r="Q567" s="12">
        <f t="shared" si="540"/>
        <v>1.1883311941363501E+25</v>
      </c>
      <c r="R567" s="12">
        <f t="shared" si="540"/>
        <v>0</v>
      </c>
      <c r="S567" s="12">
        <f t="shared" si="540"/>
        <v>60</v>
      </c>
      <c r="T567" s="28" t="s">
        <v>1154</v>
      </c>
      <c r="U567" s="28"/>
      <c r="AA567" s="16"/>
      <c r="AB567" s="16"/>
    </row>
    <row r="568" spans="1:28" x14ac:dyDescent="0.2">
      <c r="A568" s="12">
        <v>50085</v>
      </c>
      <c r="B568" s="16" t="s">
        <v>762</v>
      </c>
      <c r="C568" s="2" t="s">
        <v>677</v>
      </c>
      <c r="D568" s="12">
        <f t="shared" ref="D568" si="541">D448</f>
        <v>85</v>
      </c>
      <c r="E568" s="12">
        <v>5</v>
      </c>
      <c r="F568" s="12">
        <f t="shared" ref="F568:S568" si="542">F88</f>
        <v>85</v>
      </c>
      <c r="G568" s="12">
        <f t="shared" si="542"/>
        <v>50015</v>
      </c>
      <c r="H568" s="12">
        <f t="shared" si="542"/>
        <v>2</v>
      </c>
      <c r="I568" s="12">
        <f t="shared" si="542"/>
        <v>2</v>
      </c>
      <c r="J568" s="12">
        <f t="shared" si="542"/>
        <v>6</v>
      </c>
      <c r="K568" s="12">
        <f t="shared" si="542"/>
        <v>3053641376600</v>
      </c>
      <c r="L568" s="12">
        <f t="shared" si="542"/>
        <v>3053641376600</v>
      </c>
      <c r="M568" s="12">
        <f t="shared" si="542"/>
        <v>3053641376600</v>
      </c>
      <c r="N568" s="12">
        <f t="shared" si="542"/>
        <v>0</v>
      </c>
      <c r="O568" s="12">
        <f t="shared" si="542"/>
        <v>0</v>
      </c>
      <c r="P568" s="12">
        <f t="shared" si="542"/>
        <v>0</v>
      </c>
      <c r="Q568" s="12">
        <f t="shared" si="542"/>
        <v>1.4252640047693299E+25</v>
      </c>
      <c r="R568" s="12">
        <f t="shared" si="542"/>
        <v>0</v>
      </c>
      <c r="S568" s="12">
        <f t="shared" si="542"/>
        <v>60</v>
      </c>
      <c r="T568" s="28" t="s">
        <v>1155</v>
      </c>
      <c r="U568" s="28"/>
      <c r="AA568" s="16"/>
      <c r="AB568" s="16"/>
    </row>
    <row r="569" spans="1:28" x14ac:dyDescent="0.2">
      <c r="A569" s="12">
        <v>50086</v>
      </c>
      <c r="B569" s="16" t="s">
        <v>763</v>
      </c>
      <c r="C569" s="2" t="s">
        <v>677</v>
      </c>
      <c r="D569" s="12">
        <f t="shared" ref="D569" si="543">D449</f>
        <v>86</v>
      </c>
      <c r="E569" s="12">
        <v>5</v>
      </c>
      <c r="F569" s="12">
        <f t="shared" ref="F569:S569" si="544">F89</f>
        <v>86</v>
      </c>
      <c r="G569" s="12">
        <f t="shared" si="544"/>
        <v>50065</v>
      </c>
      <c r="H569" s="12">
        <f t="shared" si="544"/>
        <v>1</v>
      </c>
      <c r="I569" s="12">
        <f t="shared" si="544"/>
        <v>2</v>
      </c>
      <c r="J569" s="12">
        <f t="shared" si="544"/>
        <v>6</v>
      </c>
      <c r="K569" s="12">
        <f t="shared" si="544"/>
        <v>3202434456735</v>
      </c>
      <c r="L569" s="12">
        <f t="shared" si="544"/>
        <v>3202434456735</v>
      </c>
      <c r="M569" s="12">
        <f t="shared" si="544"/>
        <v>3202434456735</v>
      </c>
      <c r="N569" s="12">
        <f t="shared" si="544"/>
        <v>0</v>
      </c>
      <c r="O569" s="12">
        <f t="shared" si="544"/>
        <v>0</v>
      </c>
      <c r="P569" s="12">
        <f t="shared" si="544"/>
        <v>0</v>
      </c>
      <c r="Q569" s="12">
        <f t="shared" si="544"/>
        <v>1.6740516257197599E+25</v>
      </c>
      <c r="R569" s="12">
        <f t="shared" si="544"/>
        <v>0</v>
      </c>
      <c r="S569" s="12">
        <f t="shared" si="544"/>
        <v>60</v>
      </c>
      <c r="T569" s="28" t="s">
        <v>1155</v>
      </c>
      <c r="U569" s="28"/>
      <c r="AA569" s="16"/>
      <c r="AB569" s="16"/>
    </row>
    <row r="570" spans="1:28" x14ac:dyDescent="0.2">
      <c r="A570" s="12">
        <v>50087</v>
      </c>
      <c r="B570" s="16" t="s">
        <v>764</v>
      </c>
      <c r="C570" s="2" t="s">
        <v>677</v>
      </c>
      <c r="D570" s="12">
        <f t="shared" ref="D570" si="545">D450</f>
        <v>87</v>
      </c>
      <c r="E570" s="12">
        <v>5</v>
      </c>
      <c r="F570" s="12">
        <f t="shared" ref="F570:S570" si="546">F90</f>
        <v>87</v>
      </c>
      <c r="G570" s="12">
        <f t="shared" si="546"/>
        <v>10055</v>
      </c>
      <c r="H570" s="12">
        <f t="shared" si="546"/>
        <v>3</v>
      </c>
      <c r="I570" s="12">
        <f t="shared" si="546"/>
        <v>2</v>
      </c>
      <c r="J570" s="12">
        <f t="shared" si="546"/>
        <v>6</v>
      </c>
      <c r="K570" s="12">
        <f t="shared" si="546"/>
        <v>3387794342615</v>
      </c>
      <c r="L570" s="12">
        <f t="shared" si="546"/>
        <v>3387794342615</v>
      </c>
      <c r="M570" s="12">
        <f t="shared" si="546"/>
        <v>3387794342615</v>
      </c>
      <c r="N570" s="12">
        <f t="shared" si="546"/>
        <v>0</v>
      </c>
      <c r="O570" s="12">
        <f t="shared" si="546"/>
        <v>0</v>
      </c>
      <c r="P570" s="12">
        <f t="shared" si="546"/>
        <v>0</v>
      </c>
      <c r="Q570" s="12">
        <f t="shared" si="546"/>
        <v>1.9998397804482501E+25</v>
      </c>
      <c r="R570" s="12">
        <f t="shared" si="546"/>
        <v>0</v>
      </c>
      <c r="S570" s="12">
        <f t="shared" si="546"/>
        <v>60</v>
      </c>
      <c r="T570" s="28" t="s">
        <v>1155</v>
      </c>
      <c r="U570" s="28"/>
      <c r="AA570" s="16"/>
      <c r="AB570" s="16"/>
    </row>
    <row r="571" spans="1:28" x14ac:dyDescent="0.2">
      <c r="A571" s="12">
        <v>50088</v>
      </c>
      <c r="B571" s="16" t="s">
        <v>765</v>
      </c>
      <c r="C571" s="2" t="s">
        <v>677</v>
      </c>
      <c r="D571" s="12">
        <f t="shared" ref="D571" si="547">D451</f>
        <v>88</v>
      </c>
      <c r="E571" s="12">
        <v>5</v>
      </c>
      <c r="F571" s="12">
        <f t="shared" ref="F571:S571" si="548">F91</f>
        <v>88</v>
      </c>
      <c r="G571" s="12">
        <f t="shared" si="548"/>
        <v>10105</v>
      </c>
      <c r="H571" s="12">
        <f t="shared" si="548"/>
        <v>2</v>
      </c>
      <c r="I571" s="12">
        <f t="shared" si="548"/>
        <v>2</v>
      </c>
      <c r="J571" s="12">
        <f t="shared" si="548"/>
        <v>6</v>
      </c>
      <c r="K571" s="12">
        <f t="shared" si="548"/>
        <v>3548746057450</v>
      </c>
      <c r="L571" s="12">
        <f t="shared" si="548"/>
        <v>3548746057450</v>
      </c>
      <c r="M571" s="12">
        <f t="shared" si="548"/>
        <v>3548746057450</v>
      </c>
      <c r="N571" s="12">
        <f t="shared" si="548"/>
        <v>0</v>
      </c>
      <c r="O571" s="12">
        <f t="shared" si="548"/>
        <v>0</v>
      </c>
      <c r="P571" s="12">
        <f t="shared" si="548"/>
        <v>0</v>
      </c>
      <c r="Q571" s="12">
        <f t="shared" si="548"/>
        <v>2.3407992690310998E+25</v>
      </c>
      <c r="R571" s="12">
        <f t="shared" si="548"/>
        <v>0</v>
      </c>
      <c r="S571" s="12">
        <f t="shared" si="548"/>
        <v>60</v>
      </c>
      <c r="T571" s="28" t="s">
        <v>1155</v>
      </c>
      <c r="U571" s="28"/>
      <c r="AA571" s="16"/>
      <c r="AB571" s="16"/>
    </row>
    <row r="572" spans="1:28" x14ac:dyDescent="0.2">
      <c r="A572" s="12">
        <v>50089</v>
      </c>
      <c r="B572" s="16" t="s">
        <v>766</v>
      </c>
      <c r="C572" s="2" t="s">
        <v>677</v>
      </c>
      <c r="D572" s="12">
        <f t="shared" ref="D572" si="549">D452</f>
        <v>89</v>
      </c>
      <c r="E572" s="12">
        <v>5</v>
      </c>
      <c r="F572" s="12">
        <f t="shared" ref="F572:S572" si="550">F92</f>
        <v>89</v>
      </c>
      <c r="G572" s="12">
        <f t="shared" si="550"/>
        <v>10155</v>
      </c>
      <c r="H572" s="12">
        <f t="shared" si="550"/>
        <v>1</v>
      </c>
      <c r="I572" s="12">
        <f t="shared" si="550"/>
        <v>2</v>
      </c>
      <c r="J572" s="12">
        <f t="shared" si="550"/>
        <v>6</v>
      </c>
      <c r="K572" s="12">
        <f t="shared" si="550"/>
        <v>3790743992825</v>
      </c>
      <c r="L572" s="12">
        <f t="shared" si="550"/>
        <v>3790743992825</v>
      </c>
      <c r="M572" s="12">
        <f t="shared" si="550"/>
        <v>3790743992825</v>
      </c>
      <c r="N572" s="12">
        <f t="shared" si="550"/>
        <v>0</v>
      </c>
      <c r="O572" s="12">
        <f t="shared" si="550"/>
        <v>0</v>
      </c>
      <c r="P572" s="12">
        <f t="shared" si="550"/>
        <v>0</v>
      </c>
      <c r="Q572" s="12">
        <f t="shared" si="550"/>
        <v>3.1759650506535298E+25</v>
      </c>
      <c r="R572" s="12">
        <f t="shared" si="550"/>
        <v>0</v>
      </c>
      <c r="S572" s="12">
        <f t="shared" si="550"/>
        <v>60</v>
      </c>
      <c r="T572" s="28" t="s">
        <v>1156</v>
      </c>
      <c r="U572" s="28"/>
      <c r="AA572" s="16"/>
      <c r="AB572" s="16"/>
    </row>
    <row r="573" spans="1:28" x14ac:dyDescent="0.2">
      <c r="A573" s="12">
        <v>50090</v>
      </c>
      <c r="B573" s="16" t="s">
        <v>767</v>
      </c>
      <c r="C573" s="2" t="s">
        <v>677</v>
      </c>
      <c r="D573" s="12">
        <f t="shared" ref="D573" si="551">D453</f>
        <v>90</v>
      </c>
      <c r="E573" s="12">
        <v>5</v>
      </c>
      <c r="F573" s="12">
        <f t="shared" ref="F573:S573" si="552">F93</f>
        <v>90</v>
      </c>
      <c r="G573" s="12">
        <f t="shared" si="552"/>
        <v>10205</v>
      </c>
      <c r="H573" s="12">
        <f t="shared" si="552"/>
        <v>3</v>
      </c>
      <c r="I573" s="12">
        <f t="shared" si="552"/>
        <v>2</v>
      </c>
      <c r="J573" s="12">
        <f t="shared" si="552"/>
        <v>6</v>
      </c>
      <c r="K573" s="12">
        <f t="shared" si="552"/>
        <v>3977775902135</v>
      </c>
      <c r="L573" s="12">
        <f t="shared" si="552"/>
        <v>3977775902135</v>
      </c>
      <c r="M573" s="12">
        <f t="shared" si="552"/>
        <v>3977775902135</v>
      </c>
      <c r="N573" s="12">
        <f t="shared" si="552"/>
        <v>0</v>
      </c>
      <c r="O573" s="12">
        <f t="shared" si="552"/>
        <v>0</v>
      </c>
      <c r="P573" s="12">
        <f t="shared" si="552"/>
        <v>0</v>
      </c>
      <c r="Q573" s="12">
        <f t="shared" si="552"/>
        <v>3.7090901245188002E+25</v>
      </c>
      <c r="R573" s="12">
        <f t="shared" si="552"/>
        <v>0</v>
      </c>
      <c r="S573" s="12">
        <f t="shared" si="552"/>
        <v>60</v>
      </c>
      <c r="T573" s="28" t="s">
        <v>1156</v>
      </c>
      <c r="U573" s="28"/>
      <c r="AA573" s="16"/>
      <c r="AB573" s="16"/>
    </row>
    <row r="574" spans="1:28" x14ac:dyDescent="0.2">
      <c r="A574" s="12">
        <v>50091</v>
      </c>
      <c r="B574" s="16" t="s">
        <v>768</v>
      </c>
      <c r="C574" s="2" t="s">
        <v>677</v>
      </c>
      <c r="D574" s="12">
        <f t="shared" ref="D574" si="553">D454</f>
        <v>91</v>
      </c>
      <c r="E574" s="12">
        <v>5</v>
      </c>
      <c r="F574" s="12">
        <f t="shared" ref="F574:S574" si="554">F94</f>
        <v>91</v>
      </c>
      <c r="G574" s="12">
        <f t="shared" si="554"/>
        <v>20055</v>
      </c>
      <c r="H574" s="12">
        <f t="shared" si="554"/>
        <v>2</v>
      </c>
      <c r="I574" s="12">
        <f t="shared" si="554"/>
        <v>2</v>
      </c>
      <c r="J574" s="12">
        <f t="shared" si="554"/>
        <v>6</v>
      </c>
      <c r="K574" s="12">
        <f t="shared" si="554"/>
        <v>4209031655790</v>
      </c>
      <c r="L574" s="12">
        <f t="shared" si="554"/>
        <v>4209031655790</v>
      </c>
      <c r="M574" s="12">
        <f t="shared" si="554"/>
        <v>4209031655790</v>
      </c>
      <c r="N574" s="12">
        <f t="shared" si="554"/>
        <v>0</v>
      </c>
      <c r="O574" s="12">
        <f t="shared" si="554"/>
        <v>0</v>
      </c>
      <c r="P574" s="12">
        <f t="shared" si="554"/>
        <v>0</v>
      </c>
      <c r="Q574" s="12">
        <f t="shared" si="554"/>
        <v>4.4010730798787202E+25</v>
      </c>
      <c r="R574" s="12">
        <f t="shared" si="554"/>
        <v>0</v>
      </c>
      <c r="S574" s="12">
        <f t="shared" si="554"/>
        <v>60</v>
      </c>
      <c r="T574" s="28" t="s">
        <v>1156</v>
      </c>
      <c r="U574" s="28"/>
      <c r="AA574" s="16"/>
      <c r="AB574" s="16"/>
    </row>
    <row r="575" spans="1:28" x14ac:dyDescent="0.2">
      <c r="A575" s="12">
        <v>50092</v>
      </c>
      <c r="B575" s="16" t="s">
        <v>769</v>
      </c>
      <c r="C575" s="2" t="s">
        <v>677</v>
      </c>
      <c r="D575" s="12">
        <f t="shared" ref="D575" si="555">D455</f>
        <v>92</v>
      </c>
      <c r="E575" s="12">
        <v>5</v>
      </c>
      <c r="F575" s="12">
        <f t="shared" ref="F575:S575" si="556">F95</f>
        <v>92</v>
      </c>
      <c r="G575" s="12">
        <f t="shared" si="556"/>
        <v>20105</v>
      </c>
      <c r="H575" s="12">
        <f t="shared" si="556"/>
        <v>1</v>
      </c>
      <c r="I575" s="12">
        <f t="shared" si="556"/>
        <v>2</v>
      </c>
      <c r="J575" s="12">
        <f t="shared" si="556"/>
        <v>6</v>
      </c>
      <c r="K575" s="12">
        <f t="shared" si="556"/>
        <v>4390567734460</v>
      </c>
      <c r="L575" s="12">
        <f t="shared" si="556"/>
        <v>4390567734460</v>
      </c>
      <c r="M575" s="12">
        <f t="shared" si="556"/>
        <v>4390567734460</v>
      </c>
      <c r="N575" s="12">
        <f t="shared" si="556"/>
        <v>0</v>
      </c>
      <c r="O575" s="12">
        <f t="shared" si="556"/>
        <v>0</v>
      </c>
      <c r="P575" s="12">
        <f t="shared" si="556"/>
        <v>0</v>
      </c>
      <c r="Q575" s="12">
        <f t="shared" si="556"/>
        <v>5.1009316917705497E+25</v>
      </c>
      <c r="R575" s="12">
        <f t="shared" si="556"/>
        <v>0</v>
      </c>
      <c r="S575" s="12">
        <f t="shared" si="556"/>
        <v>60</v>
      </c>
      <c r="T575" s="28" t="s">
        <v>1156</v>
      </c>
      <c r="U575" s="28"/>
      <c r="AA575" s="16"/>
      <c r="AB575" s="16"/>
    </row>
    <row r="576" spans="1:28" x14ac:dyDescent="0.2">
      <c r="A576" s="12">
        <v>50093</v>
      </c>
      <c r="B576" s="16" t="s">
        <v>770</v>
      </c>
      <c r="C576" s="2" t="s">
        <v>677</v>
      </c>
      <c r="D576" s="12">
        <f t="shared" ref="D576" si="557">D456</f>
        <v>93</v>
      </c>
      <c r="E576" s="12">
        <v>5</v>
      </c>
      <c r="F576" s="12">
        <f t="shared" ref="F576:S576" si="558">F96</f>
        <v>93</v>
      </c>
      <c r="G576" s="12">
        <f t="shared" si="558"/>
        <v>20155</v>
      </c>
      <c r="H576" s="12">
        <f t="shared" si="558"/>
        <v>3</v>
      </c>
      <c r="I576" s="12">
        <f t="shared" si="558"/>
        <v>2</v>
      </c>
      <c r="J576" s="12">
        <f t="shared" si="558"/>
        <v>6</v>
      </c>
      <c r="K576" s="12">
        <f t="shared" si="558"/>
        <v>4618858859285</v>
      </c>
      <c r="L576" s="12">
        <f t="shared" si="558"/>
        <v>4618858859285</v>
      </c>
      <c r="M576" s="12">
        <f t="shared" si="558"/>
        <v>4618858859285</v>
      </c>
      <c r="N576" s="12">
        <f t="shared" si="558"/>
        <v>0</v>
      </c>
      <c r="O576" s="12">
        <f t="shared" si="558"/>
        <v>0</v>
      </c>
      <c r="P576" s="12">
        <f t="shared" si="558"/>
        <v>0</v>
      </c>
      <c r="Q576" s="12">
        <f t="shared" si="558"/>
        <v>6.0064017512025198E+25</v>
      </c>
      <c r="R576" s="12">
        <f t="shared" si="558"/>
        <v>0</v>
      </c>
      <c r="S576" s="12">
        <f t="shared" si="558"/>
        <v>60</v>
      </c>
      <c r="T576" s="28" t="s">
        <v>1157</v>
      </c>
      <c r="U576" s="28"/>
      <c r="AA576" s="16"/>
      <c r="AB576" s="16"/>
    </row>
    <row r="577" spans="1:28" x14ac:dyDescent="0.2">
      <c r="A577" s="12">
        <v>50094</v>
      </c>
      <c r="B577" s="16" t="s">
        <v>771</v>
      </c>
      <c r="C577" s="2" t="s">
        <v>677</v>
      </c>
      <c r="D577" s="12">
        <f t="shared" ref="D577" si="559">D457</f>
        <v>94</v>
      </c>
      <c r="E577" s="12">
        <v>5</v>
      </c>
      <c r="F577" s="12">
        <f t="shared" ref="F577:S577" si="560">F97</f>
        <v>94</v>
      </c>
      <c r="G577" s="12">
        <f t="shared" si="560"/>
        <v>20205</v>
      </c>
      <c r="H577" s="12">
        <f t="shared" si="560"/>
        <v>2</v>
      </c>
      <c r="I577" s="12">
        <f t="shared" si="560"/>
        <v>2</v>
      </c>
      <c r="J577" s="12">
        <f t="shared" si="560"/>
        <v>6</v>
      </c>
      <c r="K577" s="12">
        <f t="shared" si="560"/>
        <v>4814211024075</v>
      </c>
      <c r="L577" s="12">
        <f t="shared" si="560"/>
        <v>4814211024075</v>
      </c>
      <c r="M577" s="12">
        <f t="shared" si="560"/>
        <v>4814211024075</v>
      </c>
      <c r="N577" s="12">
        <f t="shared" si="560"/>
        <v>0</v>
      </c>
      <c r="O577" s="12">
        <f t="shared" si="560"/>
        <v>0</v>
      </c>
      <c r="P577" s="12">
        <f t="shared" si="560"/>
        <v>0</v>
      </c>
      <c r="Q577" s="12">
        <f t="shared" si="560"/>
        <v>6.9430962616219302E+25</v>
      </c>
      <c r="R577" s="12">
        <f t="shared" si="560"/>
        <v>0</v>
      </c>
      <c r="S577" s="12">
        <f t="shared" si="560"/>
        <v>60</v>
      </c>
      <c r="T577" s="28" t="s">
        <v>1157</v>
      </c>
      <c r="U577" s="28"/>
      <c r="AA577" s="16"/>
      <c r="AB577" s="16"/>
    </row>
    <row r="578" spans="1:28" x14ac:dyDescent="0.2">
      <c r="A578" s="12">
        <v>50095</v>
      </c>
      <c r="B578" s="16" t="s">
        <v>772</v>
      </c>
      <c r="C578" s="2" t="s">
        <v>677</v>
      </c>
      <c r="D578" s="12">
        <f t="shared" ref="D578" si="561">D458</f>
        <v>95</v>
      </c>
      <c r="E578" s="12">
        <v>5</v>
      </c>
      <c r="F578" s="12">
        <f t="shared" ref="F578:S578" si="562">F98</f>
        <v>95</v>
      </c>
      <c r="G578" s="12">
        <f t="shared" si="562"/>
        <v>30055</v>
      </c>
      <c r="H578" s="12">
        <f t="shared" si="562"/>
        <v>1</v>
      </c>
      <c r="I578" s="12">
        <f t="shared" si="562"/>
        <v>2</v>
      </c>
      <c r="J578" s="12">
        <f t="shared" si="562"/>
        <v>6</v>
      </c>
      <c r="K578" s="12">
        <f t="shared" si="562"/>
        <v>5059325002640</v>
      </c>
      <c r="L578" s="12">
        <f t="shared" si="562"/>
        <v>5059325002640</v>
      </c>
      <c r="M578" s="12">
        <f t="shared" si="562"/>
        <v>5059325002640</v>
      </c>
      <c r="N578" s="12">
        <f t="shared" si="562"/>
        <v>0</v>
      </c>
      <c r="O578" s="12">
        <f t="shared" si="562"/>
        <v>0</v>
      </c>
      <c r="P578" s="12">
        <f t="shared" si="562"/>
        <v>0</v>
      </c>
      <c r="Q578" s="12">
        <f t="shared" si="562"/>
        <v>8.1531349980173196E+25</v>
      </c>
      <c r="R578" s="12">
        <f t="shared" si="562"/>
        <v>0</v>
      </c>
      <c r="S578" s="12">
        <f t="shared" si="562"/>
        <v>60</v>
      </c>
      <c r="T578" s="28" t="s">
        <v>1157</v>
      </c>
      <c r="U578" s="28"/>
      <c r="AA578" s="16"/>
      <c r="AB578" s="16"/>
    </row>
    <row r="579" spans="1:28" x14ac:dyDescent="0.2">
      <c r="A579" s="12">
        <v>50096</v>
      </c>
      <c r="B579" s="16" t="s">
        <v>773</v>
      </c>
      <c r="C579" s="2" t="s">
        <v>677</v>
      </c>
      <c r="D579" s="12">
        <f t="shared" ref="D579" si="563">D459</f>
        <v>96</v>
      </c>
      <c r="E579" s="12">
        <v>5</v>
      </c>
      <c r="F579" s="12">
        <f t="shared" ref="F579:S579" si="564">F99</f>
        <v>96</v>
      </c>
      <c r="G579" s="12">
        <f t="shared" si="564"/>
        <v>30105</v>
      </c>
      <c r="H579" s="12">
        <f t="shared" si="564"/>
        <v>3</v>
      </c>
      <c r="I579" s="12">
        <f t="shared" si="564"/>
        <v>2</v>
      </c>
      <c r="J579" s="12">
        <f t="shared" si="564"/>
        <v>6</v>
      </c>
      <c r="K579" s="12">
        <f t="shared" si="564"/>
        <v>5268705194615</v>
      </c>
      <c r="L579" s="12">
        <f t="shared" si="564"/>
        <v>5268705194615</v>
      </c>
      <c r="M579" s="12">
        <f t="shared" si="564"/>
        <v>5268705194615</v>
      </c>
      <c r="N579" s="12">
        <f t="shared" si="564"/>
        <v>0</v>
      </c>
      <c r="O579" s="12">
        <f t="shared" si="564"/>
        <v>0</v>
      </c>
      <c r="P579" s="12">
        <f t="shared" si="564"/>
        <v>0</v>
      </c>
      <c r="Q579" s="12">
        <f t="shared" si="564"/>
        <v>9.4021305615157502E+25</v>
      </c>
      <c r="R579" s="12">
        <f t="shared" si="564"/>
        <v>0</v>
      </c>
      <c r="S579" s="12">
        <f t="shared" si="564"/>
        <v>60</v>
      </c>
      <c r="T579" s="28" t="s">
        <v>1157</v>
      </c>
      <c r="U579" s="28"/>
      <c r="AA579" s="16"/>
      <c r="AB579" s="16"/>
    </row>
    <row r="580" spans="1:28" x14ac:dyDescent="0.2">
      <c r="A580" s="12">
        <v>50097</v>
      </c>
      <c r="B580" s="16" t="s">
        <v>774</v>
      </c>
      <c r="C580" s="2" t="s">
        <v>677</v>
      </c>
      <c r="D580" s="12">
        <f t="shared" ref="D580" si="565">D460</f>
        <v>97</v>
      </c>
      <c r="E580" s="12">
        <v>5</v>
      </c>
      <c r="F580" s="12">
        <f t="shared" ref="F580:S580" si="566">F100</f>
        <v>97</v>
      </c>
      <c r="G580" s="12">
        <f t="shared" si="566"/>
        <v>30155</v>
      </c>
      <c r="H580" s="12">
        <f t="shared" si="566"/>
        <v>2</v>
      </c>
      <c r="I580" s="12">
        <f t="shared" si="566"/>
        <v>2</v>
      </c>
      <c r="J580" s="12">
        <f t="shared" si="566"/>
        <v>6</v>
      </c>
      <c r="K580" s="12">
        <f t="shared" si="566"/>
        <v>5585255444475</v>
      </c>
      <c r="L580" s="12">
        <f t="shared" si="566"/>
        <v>5585255444475</v>
      </c>
      <c r="M580" s="12">
        <f t="shared" si="566"/>
        <v>5585255444475</v>
      </c>
      <c r="N580" s="12">
        <f t="shared" si="566"/>
        <v>0</v>
      </c>
      <c r="O580" s="12">
        <f t="shared" si="566"/>
        <v>0</v>
      </c>
      <c r="P580" s="12">
        <f t="shared" si="566"/>
        <v>0</v>
      </c>
      <c r="Q580" s="12">
        <f t="shared" si="566"/>
        <v>1.15686189664004E+26</v>
      </c>
      <c r="R580" s="12">
        <f t="shared" si="566"/>
        <v>0</v>
      </c>
      <c r="S580" s="12">
        <f t="shared" si="566"/>
        <v>60</v>
      </c>
      <c r="T580" s="28" t="s">
        <v>1158</v>
      </c>
      <c r="U580" s="28"/>
      <c r="AA580" s="16"/>
      <c r="AB580" s="16"/>
    </row>
    <row r="581" spans="1:28" x14ac:dyDescent="0.2">
      <c r="A581" s="12">
        <v>50098</v>
      </c>
      <c r="B581" s="16" t="s">
        <v>775</v>
      </c>
      <c r="C581" s="2" t="s">
        <v>677</v>
      </c>
      <c r="D581" s="12">
        <f t="shared" ref="D581" si="567">D461</f>
        <v>98</v>
      </c>
      <c r="E581" s="12">
        <v>5</v>
      </c>
      <c r="F581" s="12">
        <f t="shared" ref="F581:S581" si="568">F101</f>
        <v>98</v>
      </c>
      <c r="G581" s="12">
        <f t="shared" si="568"/>
        <v>30205</v>
      </c>
      <c r="H581" s="12">
        <f t="shared" si="568"/>
        <v>1</v>
      </c>
      <c r="I581" s="12">
        <f t="shared" si="568"/>
        <v>2</v>
      </c>
      <c r="J581" s="12">
        <f t="shared" si="568"/>
        <v>6</v>
      </c>
      <c r="K581" s="12">
        <f t="shared" si="568"/>
        <v>5811142901955</v>
      </c>
      <c r="L581" s="12">
        <f t="shared" si="568"/>
        <v>5811142901955</v>
      </c>
      <c r="M581" s="12">
        <f t="shared" si="568"/>
        <v>5811142901955</v>
      </c>
      <c r="N581" s="12">
        <f t="shared" si="568"/>
        <v>0</v>
      </c>
      <c r="O581" s="12">
        <f t="shared" si="568"/>
        <v>0</v>
      </c>
      <c r="P581" s="12">
        <f t="shared" si="568"/>
        <v>0</v>
      </c>
      <c r="Q581" s="12">
        <f t="shared" si="568"/>
        <v>1.3301125377336599E+26</v>
      </c>
      <c r="R581" s="12">
        <f t="shared" si="568"/>
        <v>0</v>
      </c>
      <c r="S581" s="12">
        <f t="shared" si="568"/>
        <v>60</v>
      </c>
      <c r="T581" s="28" t="s">
        <v>1158</v>
      </c>
      <c r="U581" s="28"/>
      <c r="AA581" s="16"/>
      <c r="AB581" s="16"/>
    </row>
    <row r="582" spans="1:28" x14ac:dyDescent="0.2">
      <c r="A582" s="12">
        <v>50099</v>
      </c>
      <c r="B582" s="16" t="s">
        <v>776</v>
      </c>
      <c r="C582" s="2" t="s">
        <v>677</v>
      </c>
      <c r="D582" s="12">
        <f t="shared" ref="D582" si="569">D462</f>
        <v>99</v>
      </c>
      <c r="E582" s="12">
        <v>5</v>
      </c>
      <c r="F582" s="12">
        <f t="shared" ref="F582:S582" si="570">F102</f>
        <v>99</v>
      </c>
      <c r="G582" s="12">
        <f t="shared" si="570"/>
        <v>40055</v>
      </c>
      <c r="H582" s="12">
        <f t="shared" si="570"/>
        <v>3</v>
      </c>
      <c r="I582" s="12">
        <f t="shared" si="570"/>
        <v>2</v>
      </c>
      <c r="J582" s="12">
        <f t="shared" si="570"/>
        <v>6</v>
      </c>
      <c r="K582" s="12">
        <f t="shared" si="570"/>
        <v>6094929519090</v>
      </c>
      <c r="L582" s="12">
        <f t="shared" si="570"/>
        <v>6094929519090</v>
      </c>
      <c r="M582" s="12">
        <f t="shared" si="570"/>
        <v>6094929519090</v>
      </c>
      <c r="N582" s="12">
        <f t="shared" si="570"/>
        <v>0</v>
      </c>
      <c r="O582" s="12">
        <f t="shared" si="570"/>
        <v>0</v>
      </c>
      <c r="P582" s="12">
        <f t="shared" si="570"/>
        <v>0</v>
      </c>
      <c r="Q582" s="12">
        <f t="shared" si="570"/>
        <v>1.55266789907417E+26</v>
      </c>
      <c r="R582" s="12">
        <f t="shared" si="570"/>
        <v>0</v>
      </c>
      <c r="S582" s="12">
        <f t="shared" si="570"/>
        <v>60</v>
      </c>
      <c r="T582" s="28" t="s">
        <v>1158</v>
      </c>
      <c r="U582" s="28"/>
      <c r="AA582" s="16"/>
      <c r="AB582" s="16"/>
    </row>
    <row r="583" spans="1:28" x14ac:dyDescent="0.2">
      <c r="A583" s="12">
        <v>50100</v>
      </c>
      <c r="B583" s="16" t="s">
        <v>777</v>
      </c>
      <c r="C583" s="2" t="s">
        <v>677</v>
      </c>
      <c r="D583" s="12">
        <f t="shared" ref="D583" si="571">D463</f>
        <v>100</v>
      </c>
      <c r="E583" s="12">
        <v>5</v>
      </c>
      <c r="F583" s="12">
        <f t="shared" ref="F583:S583" si="572">F103</f>
        <v>100</v>
      </c>
      <c r="G583" s="12">
        <f t="shared" si="572"/>
        <v>40105</v>
      </c>
      <c r="H583" s="12">
        <f t="shared" si="572"/>
        <v>2</v>
      </c>
      <c r="I583" s="12">
        <f t="shared" si="572"/>
        <v>2</v>
      </c>
      <c r="J583" s="12">
        <f t="shared" si="572"/>
        <v>6</v>
      </c>
      <c r="K583" s="12">
        <f t="shared" si="572"/>
        <v>6336616535085</v>
      </c>
      <c r="L583" s="12">
        <f t="shared" si="572"/>
        <v>6336616535085</v>
      </c>
      <c r="M583" s="12">
        <f t="shared" si="572"/>
        <v>6336616535085</v>
      </c>
      <c r="N583" s="12">
        <f t="shared" si="572"/>
        <v>0</v>
      </c>
      <c r="O583" s="12">
        <f t="shared" si="572"/>
        <v>0</v>
      </c>
      <c r="P583" s="12">
        <f t="shared" si="572"/>
        <v>0</v>
      </c>
      <c r="Q583" s="12">
        <f t="shared" si="572"/>
        <v>1.7814326725985201E+26</v>
      </c>
      <c r="R583" s="12">
        <f t="shared" si="572"/>
        <v>0</v>
      </c>
      <c r="S583" s="12">
        <f t="shared" si="572"/>
        <v>60</v>
      </c>
      <c r="T583" s="28" t="s">
        <v>1158</v>
      </c>
      <c r="U583" s="28"/>
      <c r="AA583" s="16"/>
      <c r="AB583" s="16"/>
    </row>
    <row r="584" spans="1:28" x14ac:dyDescent="0.2">
      <c r="A584" s="12">
        <v>50101</v>
      </c>
      <c r="B584" s="16" t="s">
        <v>778</v>
      </c>
      <c r="C584" s="2" t="s">
        <v>677</v>
      </c>
      <c r="D584" s="12">
        <f t="shared" ref="D584" si="573">D464</f>
        <v>101</v>
      </c>
      <c r="E584" s="12">
        <v>5</v>
      </c>
      <c r="F584" s="12">
        <f t="shared" ref="F584:S584" si="574">F104</f>
        <v>101</v>
      </c>
      <c r="G584" s="12">
        <f t="shared" si="574"/>
        <v>40155</v>
      </c>
      <c r="H584" s="12">
        <f t="shared" si="574"/>
        <v>1</v>
      </c>
      <c r="I584" s="12">
        <f t="shared" si="574"/>
        <v>2</v>
      </c>
      <c r="J584" s="12">
        <f t="shared" si="574"/>
        <v>6</v>
      </c>
      <c r="K584" s="12">
        <f t="shared" si="574"/>
        <v>7020838380415</v>
      </c>
      <c r="L584" s="12">
        <f t="shared" si="574"/>
        <v>7020838380415</v>
      </c>
      <c r="M584" s="12">
        <f t="shared" si="574"/>
        <v>7020838380415</v>
      </c>
      <c r="N584" s="12">
        <f t="shared" si="574"/>
        <v>0</v>
      </c>
      <c r="O584" s="12">
        <f t="shared" si="574"/>
        <v>0</v>
      </c>
      <c r="P584" s="12">
        <f t="shared" si="574"/>
        <v>0</v>
      </c>
      <c r="Q584" s="12">
        <f t="shared" si="574"/>
        <v>2.0920534762014999E+26</v>
      </c>
      <c r="R584" s="12">
        <f t="shared" si="574"/>
        <v>0</v>
      </c>
      <c r="S584" s="12">
        <f t="shared" si="574"/>
        <v>60</v>
      </c>
      <c r="T584" s="28" t="s">
        <v>1159</v>
      </c>
      <c r="U584" s="28"/>
      <c r="AA584" s="16"/>
      <c r="AB584" s="16"/>
    </row>
    <row r="585" spans="1:28" x14ac:dyDescent="0.2">
      <c r="A585" s="12">
        <v>50102</v>
      </c>
      <c r="B585" s="16" t="s">
        <v>779</v>
      </c>
      <c r="C585" s="2" t="s">
        <v>677</v>
      </c>
      <c r="D585" s="12">
        <f t="shared" ref="D585" si="575">D465</f>
        <v>102</v>
      </c>
      <c r="E585" s="12">
        <v>5</v>
      </c>
      <c r="F585" s="12">
        <f t="shared" ref="F585:S585" si="576">F105</f>
        <v>102</v>
      </c>
      <c r="G585" s="12">
        <f t="shared" si="576"/>
        <v>40205</v>
      </c>
      <c r="H585" s="12">
        <f t="shared" si="576"/>
        <v>3</v>
      </c>
      <c r="I585" s="12">
        <f t="shared" si="576"/>
        <v>2</v>
      </c>
      <c r="J585" s="12">
        <f t="shared" si="576"/>
        <v>6</v>
      </c>
      <c r="K585" s="12">
        <f t="shared" si="576"/>
        <v>7287240847470</v>
      </c>
      <c r="L585" s="12">
        <f t="shared" si="576"/>
        <v>7287240847470</v>
      </c>
      <c r="M585" s="12">
        <f t="shared" si="576"/>
        <v>7287240847470</v>
      </c>
      <c r="N585" s="12">
        <f t="shared" si="576"/>
        <v>0</v>
      </c>
      <c r="O585" s="12">
        <f t="shared" si="576"/>
        <v>0</v>
      </c>
      <c r="P585" s="12">
        <f t="shared" si="576"/>
        <v>0</v>
      </c>
      <c r="Q585" s="12">
        <f t="shared" si="576"/>
        <v>2.3720052308028801E+26</v>
      </c>
      <c r="R585" s="12">
        <f t="shared" si="576"/>
        <v>0</v>
      </c>
      <c r="S585" s="12">
        <f t="shared" si="576"/>
        <v>60</v>
      </c>
      <c r="T585" s="28" t="s">
        <v>1159</v>
      </c>
      <c r="U585" s="28"/>
      <c r="AA585" s="16"/>
      <c r="AB585" s="16"/>
    </row>
    <row r="586" spans="1:28" x14ac:dyDescent="0.2">
      <c r="A586" s="12">
        <v>50103</v>
      </c>
      <c r="B586" s="16" t="s">
        <v>780</v>
      </c>
      <c r="C586" s="2" t="s">
        <v>677</v>
      </c>
      <c r="D586" s="12">
        <f t="shared" ref="D586" si="577">D466</f>
        <v>103</v>
      </c>
      <c r="E586" s="12">
        <v>5</v>
      </c>
      <c r="F586" s="12">
        <f t="shared" ref="F586:S586" si="578">F106</f>
        <v>103</v>
      </c>
      <c r="G586" s="12">
        <f t="shared" si="578"/>
        <v>50055</v>
      </c>
      <c r="H586" s="12">
        <f t="shared" si="578"/>
        <v>2</v>
      </c>
      <c r="I586" s="12">
        <f t="shared" si="578"/>
        <v>2</v>
      </c>
      <c r="J586" s="12">
        <f t="shared" si="578"/>
        <v>6</v>
      </c>
      <c r="K586" s="12">
        <f t="shared" si="578"/>
        <v>5799404485480</v>
      </c>
      <c r="L586" s="12">
        <f t="shared" si="578"/>
        <v>5799404485480</v>
      </c>
      <c r="M586" s="12">
        <f t="shared" si="578"/>
        <v>5799404485480</v>
      </c>
      <c r="N586" s="12">
        <f t="shared" si="578"/>
        <v>0</v>
      </c>
      <c r="O586" s="12">
        <f t="shared" si="578"/>
        <v>0</v>
      </c>
      <c r="P586" s="12">
        <f t="shared" si="578"/>
        <v>0</v>
      </c>
      <c r="Q586" s="12">
        <f t="shared" si="578"/>
        <v>2.7227144073533001E+26</v>
      </c>
      <c r="R586" s="12">
        <f t="shared" si="578"/>
        <v>0</v>
      </c>
      <c r="S586" s="12">
        <f t="shared" si="578"/>
        <v>60</v>
      </c>
      <c r="T586" s="28" t="s">
        <v>1159</v>
      </c>
      <c r="U586" s="28"/>
      <c r="AA586" s="16"/>
      <c r="AB586" s="16"/>
    </row>
    <row r="587" spans="1:28" x14ac:dyDescent="0.2">
      <c r="A587" s="12">
        <v>50104</v>
      </c>
      <c r="B587" s="16" t="s">
        <v>781</v>
      </c>
      <c r="C587" s="2" t="s">
        <v>677</v>
      </c>
      <c r="D587" s="12">
        <f t="shared" ref="D587" si="579">D467</f>
        <v>104</v>
      </c>
      <c r="E587" s="12">
        <v>5</v>
      </c>
      <c r="F587" s="12">
        <f t="shared" ref="F587:S587" si="580">F107</f>
        <v>104</v>
      </c>
      <c r="G587" s="12">
        <f t="shared" si="580"/>
        <v>10045</v>
      </c>
      <c r="H587" s="12">
        <f t="shared" si="580"/>
        <v>1</v>
      </c>
      <c r="I587" s="12">
        <f t="shared" si="580"/>
        <v>2</v>
      </c>
      <c r="J587" s="12">
        <f t="shared" si="580"/>
        <v>6</v>
      </c>
      <c r="K587" s="12">
        <f t="shared" si="580"/>
        <v>6018885713370</v>
      </c>
      <c r="L587" s="12">
        <f t="shared" si="580"/>
        <v>6018885713370</v>
      </c>
      <c r="M587" s="12">
        <f t="shared" si="580"/>
        <v>6018885713370</v>
      </c>
      <c r="N587" s="12">
        <f t="shared" si="580"/>
        <v>0</v>
      </c>
      <c r="O587" s="12">
        <f t="shared" si="580"/>
        <v>0</v>
      </c>
      <c r="P587" s="12">
        <f t="shared" si="580"/>
        <v>0</v>
      </c>
      <c r="Q587" s="12">
        <f t="shared" si="580"/>
        <v>3.0813781349454499E+26</v>
      </c>
      <c r="R587" s="12">
        <f t="shared" si="580"/>
        <v>0</v>
      </c>
      <c r="S587" s="12">
        <f t="shared" si="580"/>
        <v>60</v>
      </c>
      <c r="T587" s="28" t="s">
        <v>1159</v>
      </c>
      <c r="U587" s="28"/>
      <c r="AA587" s="16"/>
      <c r="AB587" s="16"/>
    </row>
    <row r="588" spans="1:28" x14ac:dyDescent="0.2">
      <c r="A588" s="12">
        <v>50105</v>
      </c>
      <c r="B588" s="16" t="s">
        <v>782</v>
      </c>
      <c r="C588" s="2" t="s">
        <v>677</v>
      </c>
      <c r="D588" s="12">
        <f t="shared" ref="D588" si="581">D468</f>
        <v>105</v>
      </c>
      <c r="E588" s="12">
        <v>5</v>
      </c>
      <c r="F588" s="12">
        <f t="shared" ref="F588:S588" si="582">F108</f>
        <v>105</v>
      </c>
      <c r="G588" s="12">
        <f t="shared" si="582"/>
        <v>10095</v>
      </c>
      <c r="H588" s="12">
        <f t="shared" si="582"/>
        <v>3</v>
      </c>
      <c r="I588" s="12">
        <f t="shared" si="582"/>
        <v>2</v>
      </c>
      <c r="J588" s="12">
        <f t="shared" si="582"/>
        <v>6</v>
      </c>
      <c r="K588" s="12">
        <f t="shared" si="582"/>
        <v>6341101143930</v>
      </c>
      <c r="L588" s="12">
        <f t="shared" si="582"/>
        <v>6341101143930</v>
      </c>
      <c r="M588" s="12">
        <f t="shared" si="582"/>
        <v>6341101143930</v>
      </c>
      <c r="N588" s="12">
        <f t="shared" si="582"/>
        <v>0</v>
      </c>
      <c r="O588" s="12">
        <f t="shared" si="582"/>
        <v>0</v>
      </c>
      <c r="P588" s="12">
        <f t="shared" si="582"/>
        <v>0</v>
      </c>
      <c r="Q588" s="12">
        <f t="shared" si="582"/>
        <v>3.7276331404618E+26</v>
      </c>
      <c r="R588" s="12">
        <f t="shared" si="582"/>
        <v>0</v>
      </c>
      <c r="S588" s="12">
        <f t="shared" si="582"/>
        <v>60</v>
      </c>
      <c r="T588" s="28" t="s">
        <v>1160</v>
      </c>
      <c r="U588" s="28"/>
      <c r="AA588" s="16"/>
      <c r="AB588" s="16"/>
    </row>
    <row r="589" spans="1:28" x14ac:dyDescent="0.2">
      <c r="A589" s="12">
        <v>50106</v>
      </c>
      <c r="B589" s="16" t="s">
        <v>783</v>
      </c>
      <c r="C589" s="2" t="s">
        <v>677</v>
      </c>
      <c r="D589" s="12">
        <f t="shared" ref="D589" si="583">D469</f>
        <v>106</v>
      </c>
      <c r="E589" s="12">
        <v>5</v>
      </c>
      <c r="F589" s="12">
        <f t="shared" ref="F589:S589" si="584">F109</f>
        <v>106</v>
      </c>
      <c r="G589" s="12">
        <f t="shared" si="584"/>
        <v>10145</v>
      </c>
      <c r="H589" s="12">
        <f t="shared" si="584"/>
        <v>2</v>
      </c>
      <c r="I589" s="12">
        <f t="shared" si="584"/>
        <v>2</v>
      </c>
      <c r="J589" s="12">
        <f t="shared" si="584"/>
        <v>6</v>
      </c>
      <c r="K589" s="12">
        <f t="shared" si="584"/>
        <v>6576408858185</v>
      </c>
      <c r="L589" s="12">
        <f t="shared" si="584"/>
        <v>6576408858185</v>
      </c>
      <c r="M589" s="12">
        <f t="shared" si="584"/>
        <v>6576408858185</v>
      </c>
      <c r="N589" s="12">
        <f t="shared" si="584"/>
        <v>0</v>
      </c>
      <c r="O589" s="12">
        <f t="shared" si="584"/>
        <v>0</v>
      </c>
      <c r="P589" s="12">
        <f t="shared" si="584"/>
        <v>0</v>
      </c>
      <c r="Q589" s="12">
        <f t="shared" si="584"/>
        <v>4.20841642240028E+26</v>
      </c>
      <c r="R589" s="12">
        <f t="shared" si="584"/>
        <v>0</v>
      </c>
      <c r="S589" s="12">
        <f t="shared" si="584"/>
        <v>60</v>
      </c>
      <c r="T589" s="28" t="s">
        <v>1160</v>
      </c>
      <c r="U589" s="28"/>
      <c r="AA589" s="16"/>
      <c r="AB589" s="16"/>
    </row>
    <row r="590" spans="1:28" x14ac:dyDescent="0.2">
      <c r="A590" s="12">
        <v>50107</v>
      </c>
      <c r="B590" s="16" t="s">
        <v>784</v>
      </c>
      <c r="C590" s="2" t="s">
        <v>677</v>
      </c>
      <c r="D590" s="12">
        <f t="shared" ref="D590" si="585">D470</f>
        <v>107</v>
      </c>
      <c r="E590" s="12">
        <v>5</v>
      </c>
      <c r="F590" s="12">
        <f t="shared" ref="F590:S590" si="586">F110</f>
        <v>107</v>
      </c>
      <c r="G590" s="12">
        <f t="shared" si="586"/>
        <v>10195</v>
      </c>
      <c r="H590" s="12">
        <f t="shared" si="586"/>
        <v>1</v>
      </c>
      <c r="I590" s="12">
        <f t="shared" si="586"/>
        <v>2</v>
      </c>
      <c r="J590" s="12">
        <f t="shared" si="586"/>
        <v>6</v>
      </c>
      <c r="K590" s="12">
        <f t="shared" si="586"/>
        <v>6840833275900</v>
      </c>
      <c r="L590" s="12">
        <f t="shared" si="586"/>
        <v>6840833275900</v>
      </c>
      <c r="M590" s="12">
        <f t="shared" si="586"/>
        <v>6840833275900</v>
      </c>
      <c r="N590" s="12">
        <f t="shared" si="586"/>
        <v>0</v>
      </c>
      <c r="O590" s="12">
        <f t="shared" si="586"/>
        <v>0</v>
      </c>
      <c r="P590" s="12">
        <f t="shared" si="586"/>
        <v>0</v>
      </c>
      <c r="Q590" s="12">
        <f t="shared" si="586"/>
        <v>4.8083041634106298E+26</v>
      </c>
      <c r="R590" s="12">
        <f t="shared" si="586"/>
        <v>0</v>
      </c>
      <c r="S590" s="12">
        <f t="shared" si="586"/>
        <v>60</v>
      </c>
      <c r="T590" s="28" t="s">
        <v>1160</v>
      </c>
      <c r="U590" s="28"/>
      <c r="AA590" s="16"/>
      <c r="AB590" s="16"/>
    </row>
    <row r="591" spans="1:28" x14ac:dyDescent="0.2">
      <c r="A591" s="12">
        <v>50108</v>
      </c>
      <c r="B591" s="16" t="s">
        <v>785</v>
      </c>
      <c r="C591" s="2" t="s">
        <v>677</v>
      </c>
      <c r="D591" s="12">
        <f t="shared" ref="D591" si="587">D471</f>
        <v>108</v>
      </c>
      <c r="E591" s="12">
        <v>5</v>
      </c>
      <c r="F591" s="12">
        <f t="shared" ref="F591:S591" si="588">F111</f>
        <v>108</v>
      </c>
      <c r="G591" s="12">
        <f t="shared" si="588"/>
        <v>20045</v>
      </c>
      <c r="H591" s="12">
        <f t="shared" si="588"/>
        <v>3</v>
      </c>
      <c r="I591" s="12">
        <f t="shared" si="588"/>
        <v>2</v>
      </c>
      <c r="J591" s="12">
        <f t="shared" si="588"/>
        <v>6</v>
      </c>
      <c r="K591" s="12">
        <f t="shared" si="588"/>
        <v>7090857446025</v>
      </c>
      <c r="L591" s="12">
        <f t="shared" si="588"/>
        <v>7090857446025</v>
      </c>
      <c r="M591" s="12">
        <f t="shared" si="588"/>
        <v>7090857446025</v>
      </c>
      <c r="N591" s="12">
        <f t="shared" si="588"/>
        <v>0</v>
      </c>
      <c r="O591" s="12">
        <f t="shared" si="588"/>
        <v>0</v>
      </c>
      <c r="P591" s="12">
        <f t="shared" si="588"/>
        <v>0</v>
      </c>
      <c r="Q591" s="12">
        <f t="shared" si="588"/>
        <v>5.4199435353420198E+26</v>
      </c>
      <c r="R591" s="12">
        <f t="shared" si="588"/>
        <v>0</v>
      </c>
      <c r="S591" s="12">
        <f t="shared" si="588"/>
        <v>60</v>
      </c>
      <c r="T591" s="28" t="s">
        <v>1160</v>
      </c>
      <c r="U591" s="28"/>
      <c r="AA591" s="16"/>
      <c r="AB591" s="16"/>
    </row>
    <row r="592" spans="1:28" x14ac:dyDescent="0.2">
      <c r="A592" s="12">
        <v>50109</v>
      </c>
      <c r="B592" s="16" t="s">
        <v>786</v>
      </c>
      <c r="C592" s="2" t="s">
        <v>677</v>
      </c>
      <c r="D592" s="12">
        <f t="shared" ref="D592" si="589">D472</f>
        <v>109</v>
      </c>
      <c r="E592" s="12">
        <v>5</v>
      </c>
      <c r="F592" s="12">
        <f t="shared" ref="F592:S592" si="590">F112</f>
        <v>109</v>
      </c>
      <c r="G592" s="12">
        <f t="shared" si="590"/>
        <v>20095</v>
      </c>
      <c r="H592" s="12">
        <f t="shared" si="590"/>
        <v>2</v>
      </c>
      <c r="I592" s="12">
        <f t="shared" si="590"/>
        <v>2</v>
      </c>
      <c r="J592" s="12">
        <f t="shared" si="590"/>
        <v>6</v>
      </c>
      <c r="K592" s="12">
        <f t="shared" si="590"/>
        <v>7372649905835</v>
      </c>
      <c r="L592" s="12">
        <f t="shared" si="590"/>
        <v>7372649905835</v>
      </c>
      <c r="M592" s="12">
        <f t="shared" si="590"/>
        <v>7372649905835</v>
      </c>
      <c r="N592" s="12">
        <f t="shared" si="590"/>
        <v>0</v>
      </c>
      <c r="O592" s="12">
        <f t="shared" si="590"/>
        <v>0</v>
      </c>
      <c r="P592" s="12">
        <f t="shared" si="590"/>
        <v>0</v>
      </c>
      <c r="Q592" s="12">
        <f t="shared" si="590"/>
        <v>6.1817460828511497E+26</v>
      </c>
      <c r="R592" s="12">
        <f t="shared" si="590"/>
        <v>0</v>
      </c>
      <c r="S592" s="12">
        <f t="shared" si="590"/>
        <v>60</v>
      </c>
      <c r="T592" s="28" t="s">
        <v>1161</v>
      </c>
      <c r="U592" s="28"/>
      <c r="AA592" s="16"/>
      <c r="AB592" s="16"/>
    </row>
    <row r="593" spans="1:28" x14ac:dyDescent="0.2">
      <c r="A593" s="12">
        <v>50110</v>
      </c>
      <c r="B593" s="16" t="s">
        <v>787</v>
      </c>
      <c r="C593" s="2" t="s">
        <v>677</v>
      </c>
      <c r="D593" s="12">
        <f t="shared" ref="D593" si="591">D473</f>
        <v>110</v>
      </c>
      <c r="E593" s="12">
        <v>5</v>
      </c>
      <c r="F593" s="12">
        <f t="shared" ref="F593:S593" si="592">F113</f>
        <v>110</v>
      </c>
      <c r="G593" s="12">
        <f t="shared" si="592"/>
        <v>20145</v>
      </c>
      <c r="H593" s="12">
        <f t="shared" si="592"/>
        <v>1</v>
      </c>
      <c r="I593" s="12">
        <f t="shared" si="592"/>
        <v>2</v>
      </c>
      <c r="J593" s="12">
        <f t="shared" si="592"/>
        <v>6</v>
      </c>
      <c r="K593" s="12">
        <f t="shared" si="592"/>
        <v>7639048870225</v>
      </c>
      <c r="L593" s="12">
        <f t="shared" si="592"/>
        <v>7639048870225</v>
      </c>
      <c r="M593" s="12">
        <f t="shared" si="592"/>
        <v>7639048870225</v>
      </c>
      <c r="N593" s="12">
        <f t="shared" si="592"/>
        <v>0</v>
      </c>
      <c r="O593" s="12">
        <f t="shared" si="592"/>
        <v>0</v>
      </c>
      <c r="P593" s="12">
        <f t="shared" si="592"/>
        <v>0</v>
      </c>
      <c r="Q593" s="12">
        <f t="shared" si="592"/>
        <v>6.9583585996201498E+26</v>
      </c>
      <c r="R593" s="12">
        <f t="shared" si="592"/>
        <v>0</v>
      </c>
      <c r="S593" s="12">
        <f t="shared" si="592"/>
        <v>60</v>
      </c>
      <c r="T593" s="28" t="s">
        <v>1161</v>
      </c>
      <c r="U593" s="28"/>
      <c r="AA593" s="16"/>
      <c r="AB593" s="16"/>
    </row>
    <row r="594" spans="1:28" x14ac:dyDescent="0.2">
      <c r="A594" s="12">
        <v>50111</v>
      </c>
      <c r="B594" s="16" t="s">
        <v>788</v>
      </c>
      <c r="C594" s="2" t="s">
        <v>677</v>
      </c>
      <c r="D594" s="12">
        <f t="shared" ref="D594" si="593">D474</f>
        <v>111</v>
      </c>
      <c r="E594" s="12">
        <v>5</v>
      </c>
      <c r="F594" s="12">
        <f t="shared" ref="F594:S594" si="594">F114</f>
        <v>111</v>
      </c>
      <c r="G594" s="12">
        <f t="shared" si="594"/>
        <v>20195</v>
      </c>
      <c r="H594" s="12">
        <f t="shared" si="594"/>
        <v>3</v>
      </c>
      <c r="I594" s="12">
        <f t="shared" si="594"/>
        <v>2</v>
      </c>
      <c r="J594" s="12">
        <f t="shared" si="594"/>
        <v>6</v>
      </c>
      <c r="K594" s="12">
        <f t="shared" si="594"/>
        <v>7938387725105</v>
      </c>
      <c r="L594" s="12">
        <f t="shared" si="594"/>
        <v>7938387725105</v>
      </c>
      <c r="M594" s="12">
        <f t="shared" si="594"/>
        <v>7938387725105</v>
      </c>
      <c r="N594" s="12">
        <f t="shared" si="594"/>
        <v>0</v>
      </c>
      <c r="O594" s="12">
        <f t="shared" si="594"/>
        <v>0</v>
      </c>
      <c r="P594" s="12">
        <f t="shared" si="594"/>
        <v>0</v>
      </c>
      <c r="Q594" s="12">
        <f t="shared" si="594"/>
        <v>7.9233775288308293E+26</v>
      </c>
      <c r="R594" s="12">
        <f t="shared" si="594"/>
        <v>0</v>
      </c>
      <c r="S594" s="12">
        <f t="shared" si="594"/>
        <v>60</v>
      </c>
      <c r="T594" s="28" t="s">
        <v>1161</v>
      </c>
      <c r="U594" s="28"/>
      <c r="AA594" s="16"/>
      <c r="AB594" s="16"/>
    </row>
    <row r="595" spans="1:28" x14ac:dyDescent="0.2">
      <c r="A595" s="12">
        <v>50112</v>
      </c>
      <c r="B595" s="16" t="s">
        <v>789</v>
      </c>
      <c r="C595" s="2" t="s">
        <v>677</v>
      </c>
      <c r="D595" s="12">
        <f t="shared" ref="D595" si="595">D475</f>
        <v>112</v>
      </c>
      <c r="E595" s="12">
        <v>5</v>
      </c>
      <c r="F595" s="12">
        <f t="shared" ref="F595:S595" si="596">F115</f>
        <v>112</v>
      </c>
      <c r="G595" s="12">
        <f t="shared" si="596"/>
        <v>30045</v>
      </c>
      <c r="H595" s="12">
        <f t="shared" si="596"/>
        <v>2</v>
      </c>
      <c r="I595" s="12">
        <f t="shared" si="596"/>
        <v>2</v>
      </c>
      <c r="J595" s="12">
        <f t="shared" si="596"/>
        <v>6</v>
      </c>
      <c r="K595" s="12">
        <f t="shared" si="596"/>
        <v>8221225274630</v>
      </c>
      <c r="L595" s="12">
        <f t="shared" si="596"/>
        <v>8221225274630</v>
      </c>
      <c r="M595" s="12">
        <f t="shared" si="596"/>
        <v>8221225274630</v>
      </c>
      <c r="N595" s="12">
        <f t="shared" si="596"/>
        <v>0</v>
      </c>
      <c r="O595" s="12">
        <f t="shared" si="596"/>
        <v>0</v>
      </c>
      <c r="P595" s="12">
        <f t="shared" si="596"/>
        <v>0</v>
      </c>
      <c r="Q595" s="12">
        <f t="shared" si="596"/>
        <v>8.9057893979743705E+26</v>
      </c>
      <c r="R595" s="12">
        <f t="shared" si="596"/>
        <v>0</v>
      </c>
      <c r="S595" s="12">
        <f t="shared" si="596"/>
        <v>60</v>
      </c>
      <c r="T595" s="28" t="s">
        <v>1161</v>
      </c>
      <c r="U595" s="28"/>
      <c r="AA595" s="16"/>
      <c r="AB595" s="16"/>
    </row>
    <row r="596" spans="1:28" x14ac:dyDescent="0.2">
      <c r="A596" s="12">
        <v>50113</v>
      </c>
      <c r="B596" s="16" t="s">
        <v>790</v>
      </c>
      <c r="C596" s="2" t="s">
        <v>677</v>
      </c>
      <c r="D596" s="12">
        <f t="shared" ref="D596" si="597">D476</f>
        <v>113</v>
      </c>
      <c r="E596" s="12">
        <v>5</v>
      </c>
      <c r="F596" s="12">
        <f t="shared" ref="F596:S596" si="598">F116</f>
        <v>113</v>
      </c>
      <c r="G596" s="12">
        <f t="shared" si="598"/>
        <v>30095</v>
      </c>
      <c r="H596" s="12">
        <f t="shared" si="598"/>
        <v>1</v>
      </c>
      <c r="I596" s="12">
        <f t="shared" si="598"/>
        <v>2</v>
      </c>
      <c r="J596" s="12">
        <f t="shared" si="598"/>
        <v>6</v>
      </c>
      <c r="K596" s="12">
        <f t="shared" si="598"/>
        <v>8679849646845</v>
      </c>
      <c r="L596" s="12">
        <f t="shared" si="598"/>
        <v>8679849646845</v>
      </c>
      <c r="M596" s="12">
        <f t="shared" si="598"/>
        <v>8679849646845</v>
      </c>
      <c r="N596" s="12">
        <f t="shared" si="598"/>
        <v>0</v>
      </c>
      <c r="O596" s="12">
        <f t="shared" si="598"/>
        <v>0</v>
      </c>
      <c r="P596" s="12">
        <f t="shared" si="598"/>
        <v>0</v>
      </c>
      <c r="Q596" s="12">
        <f t="shared" si="598"/>
        <v>1.2088356875739901E+27</v>
      </c>
      <c r="R596" s="12">
        <f t="shared" si="598"/>
        <v>0</v>
      </c>
      <c r="S596" s="12">
        <f t="shared" si="598"/>
        <v>60</v>
      </c>
      <c r="T596" s="28" t="s">
        <v>1162</v>
      </c>
      <c r="U596" s="28"/>
      <c r="AA596" s="16"/>
      <c r="AB596" s="16"/>
    </row>
    <row r="597" spans="1:28" x14ac:dyDescent="0.2">
      <c r="A597" s="12">
        <v>50114</v>
      </c>
      <c r="B597" s="16" t="s">
        <v>791</v>
      </c>
      <c r="C597" s="2" t="s">
        <v>677</v>
      </c>
      <c r="D597" s="12">
        <f t="shared" ref="D597" si="599">D477</f>
        <v>114</v>
      </c>
      <c r="E597" s="12">
        <v>5</v>
      </c>
      <c r="F597" s="12">
        <f t="shared" ref="F597:S597" si="600">F117</f>
        <v>114</v>
      </c>
      <c r="G597" s="12">
        <f t="shared" si="600"/>
        <v>30145</v>
      </c>
      <c r="H597" s="12">
        <f t="shared" si="600"/>
        <v>3</v>
      </c>
      <c r="I597" s="12">
        <f t="shared" si="600"/>
        <v>2</v>
      </c>
      <c r="J597" s="12">
        <f t="shared" si="600"/>
        <v>6</v>
      </c>
      <c r="K597" s="12">
        <f t="shared" si="600"/>
        <v>8995482646770</v>
      </c>
      <c r="L597" s="12">
        <f t="shared" si="600"/>
        <v>8995482646770</v>
      </c>
      <c r="M597" s="12">
        <f t="shared" si="600"/>
        <v>8995482646770</v>
      </c>
      <c r="N597" s="12">
        <f t="shared" si="600"/>
        <v>0</v>
      </c>
      <c r="O597" s="12">
        <f t="shared" si="600"/>
        <v>0</v>
      </c>
      <c r="P597" s="12">
        <f t="shared" si="600"/>
        <v>0</v>
      </c>
      <c r="Q597" s="12">
        <f t="shared" si="600"/>
        <v>1.3568644490080901E+27</v>
      </c>
      <c r="R597" s="12">
        <f t="shared" si="600"/>
        <v>0</v>
      </c>
      <c r="S597" s="12">
        <f t="shared" si="600"/>
        <v>60</v>
      </c>
      <c r="T597" s="28" t="s">
        <v>1162</v>
      </c>
      <c r="U597" s="28"/>
      <c r="AA597" s="16"/>
      <c r="AB597" s="16"/>
    </row>
    <row r="598" spans="1:28" x14ac:dyDescent="0.2">
      <c r="A598" s="12">
        <v>50115</v>
      </c>
      <c r="B598" s="16" t="s">
        <v>792</v>
      </c>
      <c r="C598" s="2" t="s">
        <v>677</v>
      </c>
      <c r="D598" s="12">
        <f t="shared" ref="D598" si="601">D478</f>
        <v>115</v>
      </c>
      <c r="E598" s="12">
        <v>5</v>
      </c>
      <c r="F598" s="12">
        <f t="shared" ref="F598:S598" si="602">F118</f>
        <v>115</v>
      </c>
      <c r="G598" s="12">
        <f t="shared" si="602"/>
        <v>30195</v>
      </c>
      <c r="H598" s="12">
        <f t="shared" si="602"/>
        <v>2</v>
      </c>
      <c r="I598" s="12">
        <f t="shared" si="602"/>
        <v>2</v>
      </c>
      <c r="J598" s="12">
        <f t="shared" si="602"/>
        <v>6</v>
      </c>
      <c r="K598" s="12">
        <f t="shared" si="602"/>
        <v>9349156575210</v>
      </c>
      <c r="L598" s="12">
        <f t="shared" si="602"/>
        <v>9349156575210</v>
      </c>
      <c r="M598" s="12">
        <f t="shared" si="602"/>
        <v>9349156575210</v>
      </c>
      <c r="N598" s="12">
        <f t="shared" si="602"/>
        <v>0</v>
      </c>
      <c r="O598" s="12">
        <f t="shared" si="602"/>
        <v>0</v>
      </c>
      <c r="P598" s="12">
        <f t="shared" si="602"/>
        <v>0</v>
      </c>
      <c r="Q598" s="12">
        <f t="shared" si="602"/>
        <v>1.5400158152349601E+27</v>
      </c>
      <c r="R598" s="12">
        <f t="shared" si="602"/>
        <v>0</v>
      </c>
      <c r="S598" s="12">
        <f t="shared" si="602"/>
        <v>60</v>
      </c>
      <c r="T598" s="28" t="s">
        <v>1162</v>
      </c>
      <c r="U598" s="28"/>
      <c r="AA598" s="16"/>
      <c r="AB598" s="16"/>
    </row>
    <row r="599" spans="1:28" x14ac:dyDescent="0.2">
      <c r="A599" s="12">
        <v>50116</v>
      </c>
      <c r="B599" s="16" t="s">
        <v>793</v>
      </c>
      <c r="C599" s="2" t="s">
        <v>794</v>
      </c>
      <c r="D599" s="12">
        <f t="shared" ref="D599" si="603">D479</f>
        <v>116</v>
      </c>
      <c r="E599" s="12">
        <v>5</v>
      </c>
      <c r="F599" s="12">
        <f t="shared" ref="F599:S599" si="604">F119</f>
        <v>116</v>
      </c>
      <c r="G599" s="12">
        <f t="shared" si="604"/>
        <v>40045</v>
      </c>
      <c r="H599" s="12">
        <f t="shared" si="604"/>
        <v>1</v>
      </c>
      <c r="I599" s="12">
        <f t="shared" si="604"/>
        <v>2</v>
      </c>
      <c r="J599" s="12">
        <f t="shared" si="604"/>
        <v>6</v>
      </c>
      <c r="K599" s="12">
        <f t="shared" si="604"/>
        <v>9684325906050</v>
      </c>
      <c r="L599" s="12">
        <f t="shared" si="604"/>
        <v>9684325906050</v>
      </c>
      <c r="M599" s="12">
        <f t="shared" si="604"/>
        <v>9684325906050</v>
      </c>
      <c r="N599" s="12">
        <f t="shared" si="604"/>
        <v>0</v>
      </c>
      <c r="O599" s="12">
        <f t="shared" si="604"/>
        <v>0</v>
      </c>
      <c r="P599" s="12">
        <f t="shared" si="604"/>
        <v>0</v>
      </c>
      <c r="Q599" s="12">
        <f t="shared" si="604"/>
        <v>1.72641385128131E+27</v>
      </c>
      <c r="R599" s="12">
        <f t="shared" si="604"/>
        <v>0</v>
      </c>
      <c r="S599" s="12">
        <f t="shared" si="604"/>
        <v>60</v>
      </c>
      <c r="T599" s="28" t="s">
        <v>1162</v>
      </c>
      <c r="U599" s="28"/>
      <c r="AA599" s="16"/>
      <c r="AB599" s="16"/>
    </row>
    <row r="600" spans="1:28" x14ac:dyDescent="0.2">
      <c r="A600" s="12">
        <v>50117</v>
      </c>
      <c r="B600" s="16" t="s">
        <v>795</v>
      </c>
      <c r="C600" s="2" t="s">
        <v>794</v>
      </c>
      <c r="D600" s="12">
        <f t="shared" ref="D600" si="605">D480</f>
        <v>117</v>
      </c>
      <c r="E600" s="12">
        <v>5</v>
      </c>
      <c r="F600" s="12">
        <f t="shared" ref="F600:S600" si="606">F120</f>
        <v>117</v>
      </c>
      <c r="G600" s="12">
        <f t="shared" si="606"/>
        <v>40095</v>
      </c>
      <c r="H600" s="12">
        <f t="shared" si="606"/>
        <v>3</v>
      </c>
      <c r="I600" s="12">
        <f t="shared" si="606"/>
        <v>2</v>
      </c>
      <c r="J600" s="12">
        <f t="shared" si="606"/>
        <v>6</v>
      </c>
      <c r="K600" s="12">
        <f t="shared" si="606"/>
        <v>10061017902095</v>
      </c>
      <c r="L600" s="12">
        <f t="shared" si="606"/>
        <v>10061017902095</v>
      </c>
      <c r="M600" s="12">
        <f t="shared" si="606"/>
        <v>10061017902095</v>
      </c>
      <c r="N600" s="12">
        <f t="shared" si="606"/>
        <v>0</v>
      </c>
      <c r="O600" s="12">
        <f t="shared" si="606"/>
        <v>0</v>
      </c>
      <c r="P600" s="12">
        <f t="shared" si="606"/>
        <v>0</v>
      </c>
      <c r="Q600" s="12">
        <f t="shared" si="606"/>
        <v>1.9569867613705499E+27</v>
      </c>
      <c r="R600" s="12">
        <f t="shared" si="606"/>
        <v>0</v>
      </c>
      <c r="S600" s="12">
        <f t="shared" si="606"/>
        <v>60</v>
      </c>
      <c r="T600" s="28" t="s">
        <v>1163</v>
      </c>
      <c r="U600" s="28"/>
      <c r="AA600" s="16"/>
      <c r="AB600" s="16"/>
    </row>
    <row r="601" spans="1:28" x14ac:dyDescent="0.2">
      <c r="A601" s="12">
        <v>50118</v>
      </c>
      <c r="B601" s="16" t="s">
        <v>796</v>
      </c>
      <c r="C601" s="2" t="s">
        <v>794</v>
      </c>
      <c r="D601" s="12">
        <f t="shared" ref="D601" si="607">D481</f>
        <v>118</v>
      </c>
      <c r="E601" s="12">
        <v>5</v>
      </c>
      <c r="F601" s="12">
        <f t="shared" ref="F601:S601" si="608">F121</f>
        <v>118</v>
      </c>
      <c r="G601" s="12">
        <f t="shared" si="608"/>
        <v>40145</v>
      </c>
      <c r="H601" s="12">
        <f t="shared" si="608"/>
        <v>2</v>
      </c>
      <c r="I601" s="12">
        <f t="shared" si="608"/>
        <v>2</v>
      </c>
      <c r="J601" s="12">
        <f t="shared" si="608"/>
        <v>6</v>
      </c>
      <c r="K601" s="12">
        <f t="shared" si="608"/>
        <v>10417853064515</v>
      </c>
      <c r="L601" s="12">
        <f t="shared" si="608"/>
        <v>10417853064515</v>
      </c>
      <c r="M601" s="12">
        <f t="shared" si="608"/>
        <v>10417853064515</v>
      </c>
      <c r="N601" s="12">
        <f t="shared" si="608"/>
        <v>0</v>
      </c>
      <c r="O601" s="12">
        <f t="shared" si="608"/>
        <v>0</v>
      </c>
      <c r="P601" s="12">
        <f t="shared" si="608"/>
        <v>0</v>
      </c>
      <c r="Q601" s="12">
        <f t="shared" si="608"/>
        <v>2.1913428769134401E+27</v>
      </c>
      <c r="R601" s="12">
        <f t="shared" si="608"/>
        <v>0</v>
      </c>
      <c r="S601" s="12">
        <f t="shared" si="608"/>
        <v>60</v>
      </c>
      <c r="T601" s="28" t="s">
        <v>1163</v>
      </c>
      <c r="U601" s="28"/>
      <c r="AA601" s="16"/>
      <c r="AB601" s="16"/>
    </row>
    <row r="602" spans="1:28" x14ac:dyDescent="0.2">
      <c r="A602" s="12">
        <v>50119</v>
      </c>
      <c r="B602" s="16" t="s">
        <v>797</v>
      </c>
      <c r="C602" s="2" t="s">
        <v>794</v>
      </c>
      <c r="D602" s="12">
        <f t="shared" ref="D602" si="609">D482</f>
        <v>119</v>
      </c>
      <c r="E602" s="12">
        <v>5</v>
      </c>
      <c r="F602" s="12">
        <f t="shared" ref="F602:S602" si="610">F122</f>
        <v>119</v>
      </c>
      <c r="G602" s="12">
        <f t="shared" si="610"/>
        <v>40195</v>
      </c>
      <c r="H602" s="12">
        <f t="shared" si="610"/>
        <v>1</v>
      </c>
      <c r="I602" s="12">
        <f t="shared" si="610"/>
        <v>2</v>
      </c>
      <c r="J602" s="12">
        <f t="shared" si="610"/>
        <v>6</v>
      </c>
      <c r="K602" s="12">
        <f t="shared" si="610"/>
        <v>10817881818100</v>
      </c>
      <c r="L602" s="12">
        <f t="shared" si="610"/>
        <v>10817881818100</v>
      </c>
      <c r="M602" s="12">
        <f t="shared" si="610"/>
        <v>10817881818100</v>
      </c>
      <c r="N602" s="12">
        <f t="shared" si="610"/>
        <v>0</v>
      </c>
      <c r="O602" s="12">
        <f t="shared" si="610"/>
        <v>0</v>
      </c>
      <c r="P602" s="12">
        <f t="shared" si="610"/>
        <v>0</v>
      </c>
      <c r="Q602" s="12">
        <f t="shared" si="610"/>
        <v>2.4806156616865397E+27</v>
      </c>
      <c r="R602" s="12">
        <f t="shared" si="610"/>
        <v>0</v>
      </c>
      <c r="S602" s="12">
        <f t="shared" si="610"/>
        <v>60</v>
      </c>
      <c r="T602" s="28" t="s">
        <v>1163</v>
      </c>
      <c r="U602" s="28"/>
      <c r="AA602" s="16"/>
      <c r="AB602" s="16"/>
    </row>
    <row r="603" spans="1:28" x14ac:dyDescent="0.2">
      <c r="A603" s="12">
        <v>50120</v>
      </c>
      <c r="B603" s="16" t="s">
        <v>798</v>
      </c>
      <c r="C603" s="2" t="s">
        <v>794</v>
      </c>
      <c r="D603" s="12">
        <f t="shared" ref="D603" si="611">D483</f>
        <v>120</v>
      </c>
      <c r="E603" s="12">
        <v>5</v>
      </c>
      <c r="F603" s="12">
        <f t="shared" ref="F603:S603" si="612">F123</f>
        <v>120</v>
      </c>
      <c r="G603" s="12">
        <f t="shared" si="612"/>
        <v>50045</v>
      </c>
      <c r="H603" s="12">
        <f t="shared" si="612"/>
        <v>3</v>
      </c>
      <c r="I603" s="12">
        <f t="shared" si="612"/>
        <v>2</v>
      </c>
      <c r="J603" s="12">
        <f t="shared" si="612"/>
        <v>6</v>
      </c>
      <c r="K603" s="12">
        <f t="shared" si="612"/>
        <v>11196545828205</v>
      </c>
      <c r="L603" s="12">
        <f t="shared" si="612"/>
        <v>11196545828205</v>
      </c>
      <c r="M603" s="12">
        <f t="shared" si="612"/>
        <v>11196545828205</v>
      </c>
      <c r="N603" s="12">
        <f t="shared" si="612"/>
        <v>0</v>
      </c>
      <c r="O603" s="12">
        <f t="shared" si="612"/>
        <v>0</v>
      </c>
      <c r="P603" s="12">
        <f t="shared" si="612"/>
        <v>0</v>
      </c>
      <c r="Q603" s="12">
        <f t="shared" si="612"/>
        <v>2.6968238110057798E+27</v>
      </c>
      <c r="R603" s="12">
        <f t="shared" si="612"/>
        <v>0</v>
      </c>
      <c r="S603" s="12">
        <f t="shared" si="612"/>
        <v>60</v>
      </c>
      <c r="T603" s="28" t="s">
        <v>1163</v>
      </c>
      <c r="U603" s="28"/>
      <c r="AA603" s="16"/>
      <c r="AB603" s="16"/>
    </row>
    <row r="604" spans="1:28" x14ac:dyDescent="0.2">
      <c r="A604" s="12">
        <v>70001</v>
      </c>
      <c r="B604" s="16" t="s">
        <v>799</v>
      </c>
      <c r="C604" s="2" t="s">
        <v>800</v>
      </c>
      <c r="D604" s="12">
        <v>1</v>
      </c>
      <c r="E604" s="12">
        <v>7</v>
      </c>
      <c r="F604" s="12">
        <f t="shared" ref="F604:S604" si="613">F244</f>
        <v>1</v>
      </c>
      <c r="G604" s="12">
        <f t="shared" si="613"/>
        <v>10055</v>
      </c>
      <c r="H604" s="12">
        <f t="shared" si="613"/>
        <v>2</v>
      </c>
      <c r="I604" s="12">
        <f t="shared" si="613"/>
        <v>0</v>
      </c>
      <c r="J604" s="12">
        <f t="shared" si="613"/>
        <v>4</v>
      </c>
      <c r="K604" s="12">
        <f t="shared" si="613"/>
        <v>2125</v>
      </c>
      <c r="L604" s="12">
        <f t="shared" si="613"/>
        <v>2125</v>
      </c>
      <c r="M604" s="12">
        <f t="shared" si="613"/>
        <v>2125</v>
      </c>
      <c r="N604" s="12">
        <f t="shared" si="613"/>
        <v>0</v>
      </c>
      <c r="O604" s="12">
        <f t="shared" si="613"/>
        <v>0</v>
      </c>
      <c r="P604" s="12">
        <f t="shared" si="613"/>
        <v>0</v>
      </c>
      <c r="Q604" s="12">
        <f t="shared" si="613"/>
        <v>18975</v>
      </c>
      <c r="R604" s="12">
        <f t="shared" si="613"/>
        <v>0</v>
      </c>
      <c r="S604" s="12">
        <f t="shared" si="613"/>
        <v>60</v>
      </c>
      <c r="T604" s="17" t="s">
        <v>801</v>
      </c>
    </row>
    <row r="605" spans="1:28" x14ac:dyDescent="0.2">
      <c r="A605" s="12">
        <v>70002</v>
      </c>
      <c r="B605" s="16" t="s">
        <v>802</v>
      </c>
      <c r="C605" s="2" t="s">
        <v>800</v>
      </c>
      <c r="D605" s="12">
        <v>2</v>
      </c>
      <c r="E605" s="12">
        <v>7</v>
      </c>
      <c r="F605" s="12">
        <f t="shared" ref="F605:S605" si="614">F245</f>
        <v>2</v>
      </c>
      <c r="G605" s="12">
        <f t="shared" si="614"/>
        <v>10105</v>
      </c>
      <c r="H605" s="12">
        <f t="shared" si="614"/>
        <v>1</v>
      </c>
      <c r="I605" s="12">
        <f t="shared" si="614"/>
        <v>0</v>
      </c>
      <c r="J605" s="12">
        <f t="shared" si="614"/>
        <v>4</v>
      </c>
      <c r="K605" s="12">
        <f t="shared" si="614"/>
        <v>21420</v>
      </c>
      <c r="L605" s="12">
        <f t="shared" si="614"/>
        <v>21420</v>
      </c>
      <c r="M605" s="12">
        <f t="shared" si="614"/>
        <v>21420</v>
      </c>
      <c r="N605" s="12">
        <f t="shared" si="614"/>
        <v>0</v>
      </c>
      <c r="O605" s="12">
        <f t="shared" si="614"/>
        <v>0</v>
      </c>
      <c r="P605" s="12">
        <f t="shared" si="614"/>
        <v>0</v>
      </c>
      <c r="Q605" s="12">
        <f t="shared" si="614"/>
        <v>480400</v>
      </c>
      <c r="R605" s="12">
        <f t="shared" si="614"/>
        <v>0</v>
      </c>
      <c r="S605" s="12">
        <f t="shared" si="614"/>
        <v>60</v>
      </c>
      <c r="T605" s="17" t="s">
        <v>801</v>
      </c>
    </row>
    <row r="606" spans="1:28" x14ac:dyDescent="0.2">
      <c r="A606" s="12">
        <v>70003</v>
      </c>
      <c r="B606" s="16" t="s">
        <v>803</v>
      </c>
      <c r="C606" s="2" t="s">
        <v>800</v>
      </c>
      <c r="D606" s="12">
        <v>3</v>
      </c>
      <c r="E606" s="12">
        <v>7</v>
      </c>
      <c r="F606" s="12">
        <f t="shared" ref="F606:S606" si="615">F246</f>
        <v>3</v>
      </c>
      <c r="G606" s="12">
        <f t="shared" si="615"/>
        <v>10155</v>
      </c>
      <c r="H606" s="12">
        <f t="shared" si="615"/>
        <v>3</v>
      </c>
      <c r="I606" s="12">
        <f t="shared" si="615"/>
        <v>0</v>
      </c>
      <c r="J606" s="12">
        <f t="shared" si="615"/>
        <v>4</v>
      </c>
      <c r="K606" s="12">
        <f t="shared" si="615"/>
        <v>96540</v>
      </c>
      <c r="L606" s="12">
        <f t="shared" si="615"/>
        <v>96540</v>
      </c>
      <c r="M606" s="12">
        <f t="shared" si="615"/>
        <v>96540</v>
      </c>
      <c r="N606" s="12">
        <f t="shared" si="615"/>
        <v>0</v>
      </c>
      <c r="O606" s="12">
        <f t="shared" si="615"/>
        <v>0</v>
      </c>
      <c r="P606" s="12">
        <f t="shared" si="615"/>
        <v>0</v>
      </c>
      <c r="Q606" s="12">
        <f t="shared" si="615"/>
        <v>7033975</v>
      </c>
      <c r="R606" s="12">
        <f t="shared" si="615"/>
        <v>0</v>
      </c>
      <c r="S606" s="12">
        <f t="shared" si="615"/>
        <v>60</v>
      </c>
      <c r="T606" s="17" t="s">
        <v>801</v>
      </c>
    </row>
    <row r="607" spans="1:28" x14ac:dyDescent="0.2">
      <c r="A607" s="12">
        <v>70004</v>
      </c>
      <c r="B607" s="16" t="s">
        <v>804</v>
      </c>
      <c r="C607" s="2" t="s">
        <v>800</v>
      </c>
      <c r="D607" s="12">
        <v>4</v>
      </c>
      <c r="E607" s="12">
        <v>7</v>
      </c>
      <c r="F607" s="12">
        <f t="shared" ref="F607:S607" si="616">F247</f>
        <v>4</v>
      </c>
      <c r="G607" s="12">
        <f t="shared" si="616"/>
        <v>10205</v>
      </c>
      <c r="H607" s="12">
        <f t="shared" si="616"/>
        <v>2</v>
      </c>
      <c r="I607" s="12">
        <f t="shared" si="616"/>
        <v>0</v>
      </c>
      <c r="J607" s="12">
        <f t="shared" si="616"/>
        <v>4</v>
      </c>
      <c r="K607" s="12">
        <f t="shared" si="616"/>
        <v>208495</v>
      </c>
      <c r="L607" s="12">
        <f t="shared" si="616"/>
        <v>208495</v>
      </c>
      <c r="M607" s="12">
        <f t="shared" si="616"/>
        <v>208495</v>
      </c>
      <c r="N607" s="12">
        <f t="shared" si="616"/>
        <v>0</v>
      </c>
      <c r="O607" s="12">
        <f t="shared" si="616"/>
        <v>0</v>
      </c>
      <c r="P607" s="12">
        <f t="shared" si="616"/>
        <v>0</v>
      </c>
      <c r="Q607" s="12">
        <f t="shared" si="616"/>
        <v>27080900</v>
      </c>
      <c r="R607" s="12">
        <f t="shared" si="616"/>
        <v>0</v>
      </c>
      <c r="S607" s="12">
        <f t="shared" si="616"/>
        <v>60</v>
      </c>
      <c r="T607" s="17" t="s">
        <v>801</v>
      </c>
    </row>
    <row r="608" spans="1:28" x14ac:dyDescent="0.2">
      <c r="A608" s="12">
        <v>70005</v>
      </c>
      <c r="B608" s="16" t="s">
        <v>805</v>
      </c>
      <c r="C608" s="2" t="s">
        <v>800</v>
      </c>
      <c r="D608" s="12">
        <v>5</v>
      </c>
      <c r="E608" s="12">
        <v>7</v>
      </c>
      <c r="F608" s="12">
        <f t="shared" ref="F608:S608" si="617">F248</f>
        <v>5</v>
      </c>
      <c r="G608" s="12">
        <f t="shared" si="617"/>
        <v>20055</v>
      </c>
      <c r="H608" s="12">
        <f t="shared" si="617"/>
        <v>1</v>
      </c>
      <c r="I608" s="12">
        <f t="shared" si="617"/>
        <v>2</v>
      </c>
      <c r="J608" s="12">
        <f t="shared" si="617"/>
        <v>4</v>
      </c>
      <c r="K608" s="12">
        <f t="shared" si="617"/>
        <v>685670</v>
      </c>
      <c r="L608" s="12">
        <f t="shared" si="617"/>
        <v>685670</v>
      </c>
      <c r="M608" s="12">
        <f t="shared" si="617"/>
        <v>685670</v>
      </c>
      <c r="N608" s="12">
        <f t="shared" si="617"/>
        <v>0</v>
      </c>
      <c r="O608" s="12">
        <f t="shared" si="617"/>
        <v>0</v>
      </c>
      <c r="P608" s="12">
        <f t="shared" si="617"/>
        <v>0</v>
      </c>
      <c r="Q608" s="12">
        <f t="shared" si="617"/>
        <v>495343500</v>
      </c>
      <c r="R608" s="12">
        <f t="shared" si="617"/>
        <v>0</v>
      </c>
      <c r="S608" s="12">
        <f t="shared" si="617"/>
        <v>60</v>
      </c>
      <c r="T608" s="17" t="s">
        <v>806</v>
      </c>
    </row>
    <row r="609" spans="1:20" x14ac:dyDescent="0.2">
      <c r="A609" s="12">
        <v>70006</v>
      </c>
      <c r="B609" s="16" t="s">
        <v>807</v>
      </c>
      <c r="C609" s="2" t="s">
        <v>800</v>
      </c>
      <c r="D609" s="12">
        <v>6</v>
      </c>
      <c r="E609" s="12">
        <v>7</v>
      </c>
      <c r="F609" s="12">
        <f t="shared" ref="F609:S609" si="618">F249</f>
        <v>6</v>
      </c>
      <c r="G609" s="12">
        <f t="shared" si="618"/>
        <v>20105</v>
      </c>
      <c r="H609" s="12">
        <f t="shared" si="618"/>
        <v>3</v>
      </c>
      <c r="I609" s="12">
        <f t="shared" si="618"/>
        <v>2</v>
      </c>
      <c r="J609" s="12">
        <f t="shared" si="618"/>
        <v>4</v>
      </c>
      <c r="K609" s="12">
        <f t="shared" si="618"/>
        <v>1067940</v>
      </c>
      <c r="L609" s="12">
        <f t="shared" si="618"/>
        <v>1067940</v>
      </c>
      <c r="M609" s="12">
        <f t="shared" si="618"/>
        <v>1067940</v>
      </c>
      <c r="N609" s="12">
        <f t="shared" si="618"/>
        <v>0</v>
      </c>
      <c r="O609" s="12">
        <f t="shared" si="618"/>
        <v>0</v>
      </c>
      <c r="P609" s="12">
        <f t="shared" si="618"/>
        <v>0</v>
      </c>
      <c r="Q609" s="12">
        <f t="shared" si="618"/>
        <v>973025250</v>
      </c>
      <c r="R609" s="12">
        <f t="shared" si="618"/>
        <v>0</v>
      </c>
      <c r="S609" s="12">
        <f t="shared" si="618"/>
        <v>60</v>
      </c>
      <c r="T609" s="17" t="s">
        <v>806</v>
      </c>
    </row>
    <row r="610" spans="1:20" x14ac:dyDescent="0.2">
      <c r="A610" s="12">
        <v>70007</v>
      </c>
      <c r="B610" s="16" t="s">
        <v>808</v>
      </c>
      <c r="C610" s="2" t="s">
        <v>800</v>
      </c>
      <c r="D610" s="12">
        <v>7</v>
      </c>
      <c r="E610" s="12">
        <v>7</v>
      </c>
      <c r="F610" s="12">
        <f t="shared" ref="F610:S610" si="619">F250</f>
        <v>7</v>
      </c>
      <c r="G610" s="12">
        <f t="shared" si="619"/>
        <v>20155</v>
      </c>
      <c r="H610" s="12">
        <f t="shared" si="619"/>
        <v>2</v>
      </c>
      <c r="I610" s="12">
        <f t="shared" si="619"/>
        <v>2</v>
      </c>
      <c r="J610" s="12">
        <f t="shared" si="619"/>
        <v>4</v>
      </c>
      <c r="K610" s="12">
        <f t="shared" si="619"/>
        <v>1574180</v>
      </c>
      <c r="L610" s="12">
        <f t="shared" si="619"/>
        <v>1574180</v>
      </c>
      <c r="M610" s="12">
        <f t="shared" si="619"/>
        <v>1574180</v>
      </c>
      <c r="N610" s="12">
        <f t="shared" si="619"/>
        <v>0</v>
      </c>
      <c r="O610" s="12">
        <f t="shared" si="619"/>
        <v>0</v>
      </c>
      <c r="P610" s="12">
        <f t="shared" si="619"/>
        <v>0</v>
      </c>
      <c r="Q610" s="12">
        <f t="shared" si="619"/>
        <v>2134528150</v>
      </c>
      <c r="R610" s="12">
        <f t="shared" si="619"/>
        <v>0</v>
      </c>
      <c r="S610" s="12">
        <f t="shared" si="619"/>
        <v>60</v>
      </c>
      <c r="T610" s="17" t="s">
        <v>806</v>
      </c>
    </row>
    <row r="611" spans="1:20" x14ac:dyDescent="0.2">
      <c r="A611" s="12">
        <v>70008</v>
      </c>
      <c r="B611" s="16" t="s">
        <v>809</v>
      </c>
      <c r="C611" s="2" t="s">
        <v>800</v>
      </c>
      <c r="D611" s="12">
        <v>8</v>
      </c>
      <c r="E611" s="12">
        <v>7</v>
      </c>
      <c r="F611" s="12">
        <f t="shared" ref="F611:S611" si="620">F251</f>
        <v>8</v>
      </c>
      <c r="G611" s="12">
        <f t="shared" si="620"/>
        <v>20205</v>
      </c>
      <c r="H611" s="12">
        <f t="shared" si="620"/>
        <v>1</v>
      </c>
      <c r="I611" s="12">
        <f t="shared" si="620"/>
        <v>2</v>
      </c>
      <c r="J611" s="12">
        <f t="shared" si="620"/>
        <v>4</v>
      </c>
      <c r="K611" s="12">
        <f t="shared" si="620"/>
        <v>2244425</v>
      </c>
      <c r="L611" s="12">
        <f t="shared" si="620"/>
        <v>2244425</v>
      </c>
      <c r="M611" s="12">
        <f t="shared" si="620"/>
        <v>2244425</v>
      </c>
      <c r="N611" s="12">
        <f t="shared" si="620"/>
        <v>0</v>
      </c>
      <c r="O611" s="12">
        <f t="shared" si="620"/>
        <v>0</v>
      </c>
      <c r="P611" s="12">
        <f t="shared" si="620"/>
        <v>0</v>
      </c>
      <c r="Q611" s="12">
        <f t="shared" si="620"/>
        <v>4136039450</v>
      </c>
      <c r="R611" s="12">
        <f t="shared" si="620"/>
        <v>0</v>
      </c>
      <c r="S611" s="12">
        <f t="shared" si="620"/>
        <v>60</v>
      </c>
      <c r="T611" s="17" t="s">
        <v>806</v>
      </c>
    </row>
    <row r="612" spans="1:20" x14ac:dyDescent="0.2">
      <c r="A612" s="12">
        <v>70009</v>
      </c>
      <c r="B612" s="16" t="s">
        <v>810</v>
      </c>
      <c r="C612" s="2" t="s">
        <v>800</v>
      </c>
      <c r="D612" s="12">
        <v>9</v>
      </c>
      <c r="E612" s="12">
        <v>7</v>
      </c>
      <c r="F612" s="12">
        <f t="shared" ref="F612:S612" si="621">F252</f>
        <v>9</v>
      </c>
      <c r="G612" s="12">
        <f t="shared" si="621"/>
        <v>30055</v>
      </c>
      <c r="H612" s="12">
        <f t="shared" si="621"/>
        <v>3</v>
      </c>
      <c r="I612" s="12">
        <f t="shared" si="621"/>
        <v>2</v>
      </c>
      <c r="J612" s="12">
        <f t="shared" si="621"/>
        <v>4</v>
      </c>
      <c r="K612" s="12">
        <f t="shared" si="621"/>
        <v>7392785</v>
      </c>
      <c r="L612" s="12">
        <f t="shared" si="621"/>
        <v>7392785</v>
      </c>
      <c r="M612" s="12">
        <f t="shared" si="621"/>
        <v>7392785</v>
      </c>
      <c r="N612" s="12">
        <f t="shared" si="621"/>
        <v>0</v>
      </c>
      <c r="O612" s="12">
        <f t="shared" si="621"/>
        <v>0</v>
      </c>
      <c r="P612" s="12">
        <f t="shared" si="621"/>
        <v>0</v>
      </c>
      <c r="Q612" s="12">
        <f t="shared" si="621"/>
        <v>17071043050</v>
      </c>
      <c r="R612" s="12">
        <f t="shared" si="621"/>
        <v>0</v>
      </c>
      <c r="S612" s="12">
        <f t="shared" si="621"/>
        <v>60</v>
      </c>
      <c r="T612" s="17" t="s">
        <v>811</v>
      </c>
    </row>
    <row r="613" spans="1:20" x14ac:dyDescent="0.2">
      <c r="A613" s="12">
        <v>70010</v>
      </c>
      <c r="B613" s="16" t="s">
        <v>812</v>
      </c>
      <c r="C613" s="2" t="s">
        <v>800</v>
      </c>
      <c r="D613" s="12">
        <v>10</v>
      </c>
      <c r="E613" s="12">
        <v>7</v>
      </c>
      <c r="F613" s="12">
        <f t="shared" ref="F613:S613" si="622">F253</f>
        <v>10</v>
      </c>
      <c r="G613" s="12">
        <f t="shared" si="622"/>
        <v>30105</v>
      </c>
      <c r="H613" s="12">
        <f t="shared" si="622"/>
        <v>2</v>
      </c>
      <c r="I613" s="12">
        <f t="shared" si="622"/>
        <v>2</v>
      </c>
      <c r="J613" s="12">
        <f t="shared" si="622"/>
        <v>4</v>
      </c>
      <c r="K613" s="12">
        <f t="shared" si="622"/>
        <v>9690620</v>
      </c>
      <c r="L613" s="12">
        <f t="shared" si="622"/>
        <v>9690620</v>
      </c>
      <c r="M613" s="12">
        <f t="shared" si="622"/>
        <v>9690620</v>
      </c>
      <c r="N613" s="12">
        <f t="shared" si="622"/>
        <v>0</v>
      </c>
      <c r="O613" s="12">
        <f t="shared" si="622"/>
        <v>0</v>
      </c>
      <c r="P613" s="12">
        <f t="shared" si="622"/>
        <v>0</v>
      </c>
      <c r="Q613" s="12">
        <f t="shared" si="622"/>
        <v>32665383950</v>
      </c>
      <c r="R613" s="12">
        <f t="shared" si="622"/>
        <v>0</v>
      </c>
      <c r="S613" s="12">
        <f t="shared" si="622"/>
        <v>60</v>
      </c>
      <c r="T613" s="17" t="s">
        <v>811</v>
      </c>
    </row>
    <row r="614" spans="1:20" x14ac:dyDescent="0.2">
      <c r="A614" s="12">
        <v>70011</v>
      </c>
      <c r="B614" s="16" t="s">
        <v>813</v>
      </c>
      <c r="C614" s="2" t="s">
        <v>800</v>
      </c>
      <c r="D614" s="12">
        <v>11</v>
      </c>
      <c r="E614" s="12">
        <v>7</v>
      </c>
      <c r="F614" s="12">
        <f t="shared" ref="F614:S614" si="623">F254</f>
        <v>11</v>
      </c>
      <c r="G614" s="12">
        <f t="shared" si="623"/>
        <v>30155</v>
      </c>
      <c r="H614" s="12">
        <f t="shared" si="623"/>
        <v>1</v>
      </c>
      <c r="I614" s="12">
        <f t="shared" si="623"/>
        <v>2</v>
      </c>
      <c r="J614" s="12">
        <f t="shared" si="623"/>
        <v>4</v>
      </c>
      <c r="K614" s="12">
        <f t="shared" si="623"/>
        <v>12472805</v>
      </c>
      <c r="L614" s="12">
        <f t="shared" si="623"/>
        <v>12472805</v>
      </c>
      <c r="M614" s="12">
        <f t="shared" si="623"/>
        <v>12472805</v>
      </c>
      <c r="N614" s="12">
        <f t="shared" si="623"/>
        <v>0</v>
      </c>
      <c r="O614" s="12">
        <f t="shared" si="623"/>
        <v>0</v>
      </c>
      <c r="P614" s="12">
        <f t="shared" si="623"/>
        <v>0</v>
      </c>
      <c r="Q614" s="12">
        <f t="shared" si="623"/>
        <v>56612113850</v>
      </c>
      <c r="R614" s="12">
        <f t="shared" si="623"/>
        <v>0</v>
      </c>
      <c r="S614" s="12">
        <f t="shared" si="623"/>
        <v>60</v>
      </c>
      <c r="T614" s="17" t="s">
        <v>811</v>
      </c>
    </row>
    <row r="615" spans="1:20" x14ac:dyDescent="0.2">
      <c r="A615" s="12">
        <v>70012</v>
      </c>
      <c r="B615" s="16" t="s">
        <v>814</v>
      </c>
      <c r="C615" s="2" t="s">
        <v>800</v>
      </c>
      <c r="D615" s="12">
        <v>12</v>
      </c>
      <c r="E615" s="12">
        <v>7</v>
      </c>
      <c r="F615" s="12">
        <f t="shared" ref="F615:S615" si="624">F255</f>
        <v>12</v>
      </c>
      <c r="G615" s="12">
        <f t="shared" si="624"/>
        <v>30205</v>
      </c>
      <c r="H615" s="12">
        <f t="shared" si="624"/>
        <v>3</v>
      </c>
      <c r="I615" s="12">
        <f t="shared" si="624"/>
        <v>2</v>
      </c>
      <c r="J615" s="12">
        <f t="shared" si="624"/>
        <v>4</v>
      </c>
      <c r="K615" s="12">
        <f t="shared" si="624"/>
        <v>15756730</v>
      </c>
      <c r="L615" s="12">
        <f t="shared" si="624"/>
        <v>15756730</v>
      </c>
      <c r="M615" s="12">
        <f t="shared" si="624"/>
        <v>15756730</v>
      </c>
      <c r="N615" s="12">
        <f t="shared" si="624"/>
        <v>0</v>
      </c>
      <c r="O615" s="12">
        <f t="shared" si="624"/>
        <v>0</v>
      </c>
      <c r="P615" s="12">
        <f t="shared" si="624"/>
        <v>0</v>
      </c>
      <c r="Q615" s="12">
        <f t="shared" si="624"/>
        <v>90093679900</v>
      </c>
      <c r="R615" s="12">
        <f t="shared" si="624"/>
        <v>0</v>
      </c>
      <c r="S615" s="12">
        <f t="shared" si="624"/>
        <v>60</v>
      </c>
      <c r="T615" s="17" t="s">
        <v>811</v>
      </c>
    </row>
    <row r="616" spans="1:20" x14ac:dyDescent="0.2">
      <c r="A616" s="12">
        <v>70013</v>
      </c>
      <c r="B616" s="16" t="s">
        <v>815</v>
      </c>
      <c r="C616" s="2" t="s">
        <v>800</v>
      </c>
      <c r="D616" s="12">
        <v>13</v>
      </c>
      <c r="E616" s="12">
        <v>7</v>
      </c>
      <c r="F616" s="12">
        <f t="shared" ref="F616:S616" si="625">F256</f>
        <v>13</v>
      </c>
      <c r="G616" s="12">
        <f t="shared" si="625"/>
        <v>40055</v>
      </c>
      <c r="H616" s="12">
        <f t="shared" si="625"/>
        <v>2</v>
      </c>
      <c r="I616" s="12">
        <f t="shared" si="625"/>
        <v>2</v>
      </c>
      <c r="J616" s="12">
        <f t="shared" si="625"/>
        <v>4</v>
      </c>
      <c r="K616" s="12">
        <f t="shared" si="625"/>
        <v>19639855</v>
      </c>
      <c r="L616" s="12">
        <f t="shared" si="625"/>
        <v>19639855</v>
      </c>
      <c r="M616" s="12">
        <f t="shared" si="625"/>
        <v>19639855</v>
      </c>
      <c r="N616" s="12">
        <f t="shared" si="625"/>
        <v>0</v>
      </c>
      <c r="O616" s="12">
        <f t="shared" si="625"/>
        <v>0</v>
      </c>
      <c r="P616" s="12">
        <f t="shared" si="625"/>
        <v>0</v>
      </c>
      <c r="Q616" s="12">
        <f t="shared" si="625"/>
        <v>144102587600</v>
      </c>
      <c r="R616" s="12">
        <f t="shared" si="625"/>
        <v>0</v>
      </c>
      <c r="S616" s="12">
        <f t="shared" si="625"/>
        <v>60</v>
      </c>
      <c r="T616" s="17" t="s">
        <v>816</v>
      </c>
    </row>
    <row r="617" spans="1:20" x14ac:dyDescent="0.2">
      <c r="A617" s="12">
        <v>70014</v>
      </c>
      <c r="B617" s="16" t="s">
        <v>817</v>
      </c>
      <c r="C617" s="2" t="s">
        <v>800</v>
      </c>
      <c r="D617" s="12">
        <v>14</v>
      </c>
      <c r="E617" s="12">
        <v>7</v>
      </c>
      <c r="F617" s="12">
        <f t="shared" ref="F617:S617" si="626">F257</f>
        <v>14</v>
      </c>
      <c r="G617" s="12">
        <f t="shared" si="626"/>
        <v>40105</v>
      </c>
      <c r="H617" s="12">
        <f t="shared" si="626"/>
        <v>1</v>
      </c>
      <c r="I617" s="12">
        <f t="shared" si="626"/>
        <v>2</v>
      </c>
      <c r="J617" s="12">
        <f t="shared" si="626"/>
        <v>4</v>
      </c>
      <c r="K617" s="12">
        <f t="shared" si="626"/>
        <v>24205880</v>
      </c>
      <c r="L617" s="12">
        <f t="shared" si="626"/>
        <v>24205880</v>
      </c>
      <c r="M617" s="12">
        <f t="shared" si="626"/>
        <v>24205880</v>
      </c>
      <c r="N617" s="12">
        <f t="shared" si="626"/>
        <v>0</v>
      </c>
      <c r="O617" s="12">
        <f t="shared" si="626"/>
        <v>0</v>
      </c>
      <c r="P617" s="12">
        <f t="shared" si="626"/>
        <v>0</v>
      </c>
      <c r="Q617" s="12">
        <f t="shared" si="626"/>
        <v>220536880700</v>
      </c>
      <c r="R617" s="12">
        <f t="shared" si="626"/>
        <v>0</v>
      </c>
      <c r="S617" s="12">
        <f t="shared" si="626"/>
        <v>60</v>
      </c>
      <c r="T617" s="17" t="s">
        <v>816</v>
      </c>
    </row>
    <row r="618" spans="1:20" x14ac:dyDescent="0.2">
      <c r="A618" s="12">
        <v>70015</v>
      </c>
      <c r="B618" s="16" t="s">
        <v>818</v>
      </c>
      <c r="C618" s="2" t="s">
        <v>800</v>
      </c>
      <c r="D618" s="12">
        <v>15</v>
      </c>
      <c r="E618" s="12">
        <v>7</v>
      </c>
      <c r="F618" s="12">
        <f t="shared" ref="F618:S618" si="627">F258</f>
        <v>15</v>
      </c>
      <c r="G618" s="12">
        <f t="shared" si="627"/>
        <v>40155</v>
      </c>
      <c r="H618" s="12">
        <f t="shared" si="627"/>
        <v>3</v>
      </c>
      <c r="I618" s="12">
        <f t="shared" si="627"/>
        <v>2</v>
      </c>
      <c r="J618" s="12">
        <f t="shared" si="627"/>
        <v>4</v>
      </c>
      <c r="K618" s="12">
        <f t="shared" si="627"/>
        <v>31164265</v>
      </c>
      <c r="L618" s="12">
        <f t="shared" si="627"/>
        <v>31164265</v>
      </c>
      <c r="M618" s="12">
        <f t="shared" si="627"/>
        <v>31164265</v>
      </c>
      <c r="N618" s="12">
        <f t="shared" si="627"/>
        <v>0</v>
      </c>
      <c r="O618" s="12">
        <f t="shared" si="627"/>
        <v>0</v>
      </c>
      <c r="P618" s="12">
        <f t="shared" si="627"/>
        <v>0</v>
      </c>
      <c r="Q618" s="12">
        <f t="shared" si="627"/>
        <v>389457399875</v>
      </c>
      <c r="R618" s="12">
        <f t="shared" si="627"/>
        <v>0</v>
      </c>
      <c r="S618" s="12">
        <f t="shared" si="627"/>
        <v>60</v>
      </c>
      <c r="T618" s="17" t="s">
        <v>816</v>
      </c>
    </row>
    <row r="619" spans="1:20" x14ac:dyDescent="0.2">
      <c r="A619" s="12">
        <v>70016</v>
      </c>
      <c r="B619" s="16" t="s">
        <v>819</v>
      </c>
      <c r="C619" s="2" t="s">
        <v>800</v>
      </c>
      <c r="D619" s="12">
        <v>16</v>
      </c>
      <c r="E619" s="12">
        <v>7</v>
      </c>
      <c r="F619" s="12">
        <f t="shared" ref="F619:S619" si="628">F259</f>
        <v>16</v>
      </c>
      <c r="G619" s="12">
        <f t="shared" si="628"/>
        <v>40205</v>
      </c>
      <c r="H619" s="12">
        <f t="shared" si="628"/>
        <v>2</v>
      </c>
      <c r="I619" s="12">
        <f t="shared" si="628"/>
        <v>2</v>
      </c>
      <c r="J619" s="12">
        <f t="shared" si="628"/>
        <v>4</v>
      </c>
      <c r="K619" s="12">
        <f t="shared" si="628"/>
        <v>38620260</v>
      </c>
      <c r="L619" s="12">
        <f t="shared" si="628"/>
        <v>38620260</v>
      </c>
      <c r="M619" s="12">
        <f t="shared" si="628"/>
        <v>38620260</v>
      </c>
      <c r="N619" s="12">
        <f t="shared" si="628"/>
        <v>0</v>
      </c>
      <c r="O619" s="12">
        <f t="shared" si="628"/>
        <v>0</v>
      </c>
      <c r="P619" s="12">
        <f t="shared" si="628"/>
        <v>0</v>
      </c>
      <c r="Q619" s="12">
        <f t="shared" si="628"/>
        <v>654774441975</v>
      </c>
      <c r="R619" s="12">
        <f t="shared" si="628"/>
        <v>0</v>
      </c>
      <c r="S619" s="12">
        <f t="shared" si="628"/>
        <v>60</v>
      </c>
      <c r="T619" s="17" t="s">
        <v>816</v>
      </c>
    </row>
    <row r="620" spans="1:20" x14ac:dyDescent="0.2">
      <c r="A620" s="12">
        <v>70017</v>
      </c>
      <c r="B620" s="16" t="s">
        <v>820</v>
      </c>
      <c r="C620" s="2" t="s">
        <v>800</v>
      </c>
      <c r="D620" s="12">
        <v>17</v>
      </c>
      <c r="E620" s="12">
        <v>7</v>
      </c>
      <c r="F620" s="12">
        <f t="shared" ref="F620:S620" si="629">F260</f>
        <v>17</v>
      </c>
      <c r="G620" s="12">
        <f t="shared" si="629"/>
        <v>50055</v>
      </c>
      <c r="H620" s="12">
        <f t="shared" si="629"/>
        <v>1</v>
      </c>
      <c r="I620" s="12">
        <f t="shared" si="629"/>
        <v>2</v>
      </c>
      <c r="J620" s="12">
        <f t="shared" si="629"/>
        <v>4</v>
      </c>
      <c r="K620" s="12">
        <f t="shared" si="629"/>
        <v>166514100</v>
      </c>
      <c r="L620" s="12">
        <f t="shared" si="629"/>
        <v>166514100</v>
      </c>
      <c r="M620" s="12">
        <f t="shared" si="629"/>
        <v>166514100</v>
      </c>
      <c r="N620" s="12">
        <f t="shared" si="629"/>
        <v>0</v>
      </c>
      <c r="O620" s="12">
        <f t="shared" si="629"/>
        <v>0</v>
      </c>
      <c r="P620" s="12">
        <f t="shared" si="629"/>
        <v>0</v>
      </c>
      <c r="Q620" s="12">
        <f t="shared" si="629"/>
        <v>57958370565525</v>
      </c>
      <c r="R620" s="12">
        <f t="shared" si="629"/>
        <v>0</v>
      </c>
      <c r="S620" s="12">
        <f t="shared" si="629"/>
        <v>60</v>
      </c>
      <c r="T620" s="17" t="s">
        <v>821</v>
      </c>
    </row>
    <row r="621" spans="1:20" x14ac:dyDescent="0.2">
      <c r="A621" s="12">
        <v>70018</v>
      </c>
      <c r="B621" s="16" t="s">
        <v>822</v>
      </c>
      <c r="C621" s="2" t="s">
        <v>800</v>
      </c>
      <c r="D621" s="12">
        <v>18</v>
      </c>
      <c r="E621" s="12">
        <v>7</v>
      </c>
      <c r="F621" s="12">
        <f t="shared" ref="F621:S621" si="630">F261</f>
        <v>18</v>
      </c>
      <c r="G621" s="12">
        <f t="shared" si="630"/>
        <v>10045</v>
      </c>
      <c r="H621" s="12">
        <f t="shared" si="630"/>
        <v>3</v>
      </c>
      <c r="I621" s="12">
        <f t="shared" si="630"/>
        <v>2</v>
      </c>
      <c r="J621" s="12">
        <f t="shared" si="630"/>
        <v>4</v>
      </c>
      <c r="K621" s="12">
        <f t="shared" si="630"/>
        <v>200401195</v>
      </c>
      <c r="L621" s="12">
        <f t="shared" si="630"/>
        <v>200401195</v>
      </c>
      <c r="M621" s="12">
        <f t="shared" si="630"/>
        <v>200401195</v>
      </c>
      <c r="N621" s="12">
        <f t="shared" si="630"/>
        <v>0</v>
      </c>
      <c r="O621" s="12">
        <f t="shared" si="630"/>
        <v>0</v>
      </c>
      <c r="P621" s="12">
        <f t="shared" si="630"/>
        <v>0</v>
      </c>
      <c r="Q621" s="12">
        <f t="shared" si="630"/>
        <v>86635109542075</v>
      </c>
      <c r="R621" s="12">
        <f t="shared" si="630"/>
        <v>0</v>
      </c>
      <c r="S621" s="12">
        <f t="shared" si="630"/>
        <v>60</v>
      </c>
      <c r="T621" s="17" t="s">
        <v>821</v>
      </c>
    </row>
    <row r="622" spans="1:20" x14ac:dyDescent="0.2">
      <c r="A622" s="12">
        <v>70019</v>
      </c>
      <c r="B622" s="16" t="s">
        <v>823</v>
      </c>
      <c r="C622" s="2" t="s">
        <v>800</v>
      </c>
      <c r="D622" s="12">
        <v>19</v>
      </c>
      <c r="E622" s="12">
        <v>7</v>
      </c>
      <c r="F622" s="12">
        <f t="shared" ref="F622:S622" si="631">F262</f>
        <v>19</v>
      </c>
      <c r="G622" s="12">
        <f t="shared" si="631"/>
        <v>10095</v>
      </c>
      <c r="H622" s="12">
        <f t="shared" si="631"/>
        <v>2</v>
      </c>
      <c r="I622" s="12">
        <f t="shared" si="631"/>
        <v>2</v>
      </c>
      <c r="J622" s="12">
        <f t="shared" si="631"/>
        <v>4</v>
      </c>
      <c r="K622" s="12">
        <f t="shared" si="631"/>
        <v>253221165</v>
      </c>
      <c r="L622" s="12">
        <f t="shared" si="631"/>
        <v>253221165</v>
      </c>
      <c r="M622" s="12">
        <f t="shared" si="631"/>
        <v>253221165</v>
      </c>
      <c r="N622" s="12">
        <f t="shared" si="631"/>
        <v>0</v>
      </c>
      <c r="O622" s="12">
        <f t="shared" si="631"/>
        <v>0</v>
      </c>
      <c r="P622" s="12">
        <f t="shared" si="631"/>
        <v>0</v>
      </c>
      <c r="Q622" s="12">
        <f t="shared" si="631"/>
        <v>152037195553375</v>
      </c>
      <c r="R622" s="12">
        <f t="shared" si="631"/>
        <v>0</v>
      </c>
      <c r="S622" s="12">
        <f t="shared" si="631"/>
        <v>60</v>
      </c>
      <c r="T622" s="17" t="s">
        <v>821</v>
      </c>
    </row>
    <row r="623" spans="1:20" x14ac:dyDescent="0.2">
      <c r="A623" s="12">
        <v>70020</v>
      </c>
      <c r="B623" s="16" t="s">
        <v>824</v>
      </c>
      <c r="C623" s="2" t="s">
        <v>800</v>
      </c>
      <c r="D623" s="12">
        <v>20</v>
      </c>
      <c r="E623" s="12">
        <v>7</v>
      </c>
      <c r="F623" s="12">
        <f t="shared" ref="F623:S623" si="632">F263</f>
        <v>20</v>
      </c>
      <c r="G623" s="12">
        <f t="shared" si="632"/>
        <v>10145</v>
      </c>
      <c r="H623" s="12">
        <f t="shared" si="632"/>
        <v>1</v>
      </c>
      <c r="I623" s="12">
        <f t="shared" si="632"/>
        <v>2</v>
      </c>
      <c r="J623" s="12">
        <f t="shared" si="632"/>
        <v>4</v>
      </c>
      <c r="K623" s="12">
        <f t="shared" si="632"/>
        <v>300735140</v>
      </c>
      <c r="L623" s="12">
        <f t="shared" si="632"/>
        <v>300735140</v>
      </c>
      <c r="M623" s="12">
        <f t="shared" si="632"/>
        <v>300735140</v>
      </c>
      <c r="N623" s="12">
        <f t="shared" si="632"/>
        <v>0</v>
      </c>
      <c r="O623" s="12">
        <f t="shared" si="632"/>
        <v>0</v>
      </c>
      <c r="P623" s="12">
        <f t="shared" si="632"/>
        <v>0</v>
      </c>
      <c r="Q623" s="12">
        <f t="shared" si="632"/>
        <v>226843648238075</v>
      </c>
      <c r="R623" s="12">
        <f t="shared" si="632"/>
        <v>0</v>
      </c>
      <c r="S623" s="12">
        <f t="shared" si="632"/>
        <v>60</v>
      </c>
      <c r="T623" s="17" t="s">
        <v>821</v>
      </c>
    </row>
    <row r="624" spans="1:20" x14ac:dyDescent="0.2">
      <c r="A624" s="12">
        <v>70021</v>
      </c>
      <c r="B624" s="16" t="s">
        <v>825</v>
      </c>
      <c r="C624" s="2" t="s">
        <v>800</v>
      </c>
      <c r="D624" s="12">
        <v>21</v>
      </c>
      <c r="E624" s="12">
        <v>7</v>
      </c>
      <c r="F624" s="12">
        <f t="shared" ref="F624:S624" si="633">F264</f>
        <v>21</v>
      </c>
      <c r="G624" s="12">
        <f t="shared" si="633"/>
        <v>10195</v>
      </c>
      <c r="H624" s="12">
        <f t="shared" si="633"/>
        <v>3</v>
      </c>
      <c r="I624" s="12">
        <f t="shared" si="633"/>
        <v>2</v>
      </c>
      <c r="J624" s="12">
        <f t="shared" si="633"/>
        <v>4</v>
      </c>
      <c r="K624" s="12">
        <f t="shared" si="633"/>
        <v>391089655</v>
      </c>
      <c r="L624" s="12">
        <f t="shared" si="633"/>
        <v>391089655</v>
      </c>
      <c r="M624" s="12">
        <f t="shared" si="633"/>
        <v>391089655</v>
      </c>
      <c r="N624" s="12">
        <f t="shared" si="633"/>
        <v>0</v>
      </c>
      <c r="O624" s="12">
        <f t="shared" si="633"/>
        <v>0</v>
      </c>
      <c r="P624" s="12">
        <f t="shared" si="633"/>
        <v>0</v>
      </c>
      <c r="Q624" s="12">
        <f t="shared" si="633"/>
        <v>618514479172800</v>
      </c>
      <c r="R624" s="12">
        <f t="shared" si="633"/>
        <v>0</v>
      </c>
      <c r="S624" s="12">
        <f t="shared" si="633"/>
        <v>60</v>
      </c>
      <c r="T624" s="17" t="s">
        <v>826</v>
      </c>
    </row>
    <row r="625" spans="1:20" x14ac:dyDescent="0.2">
      <c r="A625" s="12">
        <v>70022</v>
      </c>
      <c r="B625" s="16" t="s">
        <v>827</v>
      </c>
      <c r="C625" s="2" t="s">
        <v>800</v>
      </c>
      <c r="D625" s="12">
        <v>22</v>
      </c>
      <c r="E625" s="12">
        <v>7</v>
      </c>
      <c r="F625" s="12">
        <f t="shared" ref="F625:S625" si="634">F265</f>
        <v>22</v>
      </c>
      <c r="G625" s="12">
        <f t="shared" si="634"/>
        <v>20045</v>
      </c>
      <c r="H625" s="12">
        <f t="shared" si="634"/>
        <v>2</v>
      </c>
      <c r="I625" s="12">
        <f t="shared" si="634"/>
        <v>2</v>
      </c>
      <c r="J625" s="12">
        <f t="shared" si="634"/>
        <v>4</v>
      </c>
      <c r="K625" s="12">
        <f t="shared" si="634"/>
        <v>451518515</v>
      </c>
      <c r="L625" s="12">
        <f t="shared" si="634"/>
        <v>451518515</v>
      </c>
      <c r="M625" s="12">
        <f t="shared" si="634"/>
        <v>451518515</v>
      </c>
      <c r="N625" s="12">
        <f t="shared" si="634"/>
        <v>0</v>
      </c>
      <c r="O625" s="12">
        <f t="shared" si="634"/>
        <v>0</v>
      </c>
      <c r="P625" s="12">
        <f t="shared" si="634"/>
        <v>0</v>
      </c>
      <c r="Q625" s="12">
        <f t="shared" si="634"/>
        <v>815227301527675</v>
      </c>
      <c r="R625" s="12">
        <f t="shared" si="634"/>
        <v>0</v>
      </c>
      <c r="S625" s="12">
        <f t="shared" si="634"/>
        <v>60</v>
      </c>
      <c r="T625" s="17" t="s">
        <v>826</v>
      </c>
    </row>
    <row r="626" spans="1:20" x14ac:dyDescent="0.2">
      <c r="A626" s="12">
        <v>70023</v>
      </c>
      <c r="B626" s="16" t="s">
        <v>828</v>
      </c>
      <c r="C626" s="2" t="s">
        <v>800</v>
      </c>
      <c r="D626" s="12">
        <v>23</v>
      </c>
      <c r="E626" s="12">
        <v>7</v>
      </c>
      <c r="F626" s="12">
        <f t="shared" ref="F626:S626" si="635">F266</f>
        <v>23</v>
      </c>
      <c r="G626" s="12">
        <f t="shared" si="635"/>
        <v>20095</v>
      </c>
      <c r="H626" s="12">
        <f t="shared" si="635"/>
        <v>1</v>
      </c>
      <c r="I626" s="12">
        <f t="shared" si="635"/>
        <v>2</v>
      </c>
      <c r="J626" s="12">
        <f t="shared" si="635"/>
        <v>4</v>
      </c>
      <c r="K626" s="12">
        <f t="shared" si="635"/>
        <v>545358950</v>
      </c>
      <c r="L626" s="12">
        <f t="shared" si="635"/>
        <v>545358950</v>
      </c>
      <c r="M626" s="12">
        <f t="shared" si="635"/>
        <v>545358950</v>
      </c>
      <c r="N626" s="12">
        <f t="shared" si="635"/>
        <v>0</v>
      </c>
      <c r="O626" s="12">
        <f t="shared" si="635"/>
        <v>0</v>
      </c>
      <c r="P626" s="12">
        <f t="shared" si="635"/>
        <v>0</v>
      </c>
      <c r="Q626" s="12">
        <f t="shared" si="635"/>
        <v>1190168929539300</v>
      </c>
      <c r="R626" s="12">
        <f t="shared" si="635"/>
        <v>0</v>
      </c>
      <c r="S626" s="12">
        <f t="shared" si="635"/>
        <v>60</v>
      </c>
      <c r="T626" s="17" t="s">
        <v>826</v>
      </c>
    </row>
    <row r="627" spans="1:20" x14ac:dyDescent="0.2">
      <c r="A627" s="12">
        <v>70024</v>
      </c>
      <c r="B627" s="16" t="s">
        <v>829</v>
      </c>
      <c r="C627" s="2" t="s">
        <v>800</v>
      </c>
      <c r="D627" s="12">
        <v>24</v>
      </c>
      <c r="E627" s="12">
        <v>7</v>
      </c>
      <c r="F627" s="12">
        <f t="shared" ref="F627:S627" si="636">F267</f>
        <v>24</v>
      </c>
      <c r="G627" s="12">
        <f t="shared" si="636"/>
        <v>20145</v>
      </c>
      <c r="H627" s="12">
        <f t="shared" si="636"/>
        <v>3</v>
      </c>
      <c r="I627" s="12">
        <f t="shared" si="636"/>
        <v>2</v>
      </c>
      <c r="J627" s="12">
        <f t="shared" si="636"/>
        <v>4</v>
      </c>
      <c r="K627" s="12">
        <f t="shared" si="636"/>
        <v>624877470</v>
      </c>
      <c r="L627" s="12">
        <f t="shared" si="636"/>
        <v>624877470</v>
      </c>
      <c r="M627" s="12">
        <f t="shared" si="636"/>
        <v>624877470</v>
      </c>
      <c r="N627" s="12">
        <f t="shared" si="636"/>
        <v>0</v>
      </c>
      <c r="O627" s="12">
        <f t="shared" si="636"/>
        <v>0</v>
      </c>
      <c r="P627" s="12">
        <f t="shared" si="636"/>
        <v>0</v>
      </c>
      <c r="Q627" s="12">
        <f t="shared" si="636"/>
        <v>1561202533964850</v>
      </c>
      <c r="R627" s="12">
        <f t="shared" si="636"/>
        <v>0</v>
      </c>
      <c r="S627" s="12">
        <f t="shared" si="636"/>
        <v>60</v>
      </c>
      <c r="T627" s="17" t="s">
        <v>826</v>
      </c>
    </row>
    <row r="628" spans="1:20" x14ac:dyDescent="0.2">
      <c r="A628" s="12">
        <v>70025</v>
      </c>
      <c r="B628" s="16" t="s">
        <v>830</v>
      </c>
      <c r="C628" s="2" t="s">
        <v>800</v>
      </c>
      <c r="D628" s="12">
        <v>25</v>
      </c>
      <c r="E628" s="12">
        <v>7</v>
      </c>
      <c r="F628" s="12">
        <f t="shared" ref="F628:S628" si="637">F268</f>
        <v>25</v>
      </c>
      <c r="G628" s="12">
        <f t="shared" si="637"/>
        <v>20195</v>
      </c>
      <c r="H628" s="12">
        <f t="shared" si="637"/>
        <v>2</v>
      </c>
      <c r="I628" s="12">
        <f t="shared" si="637"/>
        <v>2</v>
      </c>
      <c r="J628" s="12">
        <f t="shared" si="637"/>
        <v>4</v>
      </c>
      <c r="K628" s="12">
        <f t="shared" si="637"/>
        <v>1169283855</v>
      </c>
      <c r="L628" s="12">
        <f t="shared" si="637"/>
        <v>1169283855</v>
      </c>
      <c r="M628" s="12">
        <f t="shared" si="637"/>
        <v>1169283855</v>
      </c>
      <c r="N628" s="12">
        <f t="shared" si="637"/>
        <v>0</v>
      </c>
      <c r="O628" s="12">
        <f t="shared" si="637"/>
        <v>0</v>
      </c>
      <c r="P628" s="12">
        <f t="shared" si="637"/>
        <v>0</v>
      </c>
      <c r="Q628" s="12">
        <f t="shared" si="637"/>
        <v>6571493659479170</v>
      </c>
      <c r="R628" s="12">
        <f t="shared" si="637"/>
        <v>0</v>
      </c>
      <c r="S628" s="12">
        <f t="shared" si="637"/>
        <v>60</v>
      </c>
      <c r="T628" s="17" t="s">
        <v>831</v>
      </c>
    </row>
    <row r="629" spans="1:20" x14ac:dyDescent="0.2">
      <c r="A629" s="12">
        <v>70026</v>
      </c>
      <c r="B629" s="16" t="s">
        <v>832</v>
      </c>
      <c r="C629" s="2" t="s">
        <v>800</v>
      </c>
      <c r="D629" s="12">
        <v>26</v>
      </c>
      <c r="E629" s="12">
        <v>7</v>
      </c>
      <c r="F629" s="12">
        <f t="shared" ref="F629:S629" si="638">F269</f>
        <v>26</v>
      </c>
      <c r="G629" s="12">
        <f t="shared" si="638"/>
        <v>30045</v>
      </c>
      <c r="H629" s="12">
        <f t="shared" si="638"/>
        <v>1</v>
      </c>
      <c r="I629" s="12">
        <f t="shared" si="638"/>
        <v>2</v>
      </c>
      <c r="J629" s="12">
        <f t="shared" si="638"/>
        <v>4</v>
      </c>
      <c r="K629" s="12">
        <f t="shared" si="638"/>
        <v>1353713560</v>
      </c>
      <c r="L629" s="12">
        <f t="shared" si="638"/>
        <v>1353713560</v>
      </c>
      <c r="M629" s="12">
        <f t="shared" si="638"/>
        <v>1353713560</v>
      </c>
      <c r="N629" s="12">
        <f t="shared" si="638"/>
        <v>0</v>
      </c>
      <c r="O629" s="12">
        <f t="shared" si="638"/>
        <v>0</v>
      </c>
      <c r="P629" s="12">
        <f t="shared" si="638"/>
        <v>0</v>
      </c>
      <c r="Q629" s="12">
        <f t="shared" si="638"/>
        <v>8625060463698750</v>
      </c>
      <c r="R629" s="12">
        <f t="shared" si="638"/>
        <v>0</v>
      </c>
      <c r="S629" s="12">
        <f t="shared" si="638"/>
        <v>60</v>
      </c>
      <c r="T629" s="17" t="s">
        <v>831</v>
      </c>
    </row>
    <row r="630" spans="1:20" x14ac:dyDescent="0.2">
      <c r="A630" s="12">
        <v>70027</v>
      </c>
      <c r="B630" s="16" t="s">
        <v>833</v>
      </c>
      <c r="C630" s="2" t="s">
        <v>800</v>
      </c>
      <c r="D630" s="12">
        <v>27</v>
      </c>
      <c r="E630" s="12">
        <v>7</v>
      </c>
      <c r="F630" s="12">
        <f t="shared" ref="F630:S630" si="639">F270</f>
        <v>27</v>
      </c>
      <c r="G630" s="12">
        <f t="shared" si="639"/>
        <v>30095</v>
      </c>
      <c r="H630" s="12">
        <f t="shared" si="639"/>
        <v>3</v>
      </c>
      <c r="I630" s="12">
        <f t="shared" si="639"/>
        <v>2</v>
      </c>
      <c r="J630" s="12">
        <f t="shared" si="639"/>
        <v>4</v>
      </c>
      <c r="K630" s="12">
        <f t="shared" si="639"/>
        <v>1609474560</v>
      </c>
      <c r="L630" s="12">
        <f t="shared" si="639"/>
        <v>1609474560</v>
      </c>
      <c r="M630" s="12">
        <f t="shared" si="639"/>
        <v>1609474560</v>
      </c>
      <c r="N630" s="12">
        <f t="shared" si="639"/>
        <v>0</v>
      </c>
      <c r="O630" s="12">
        <f t="shared" si="639"/>
        <v>0</v>
      </c>
      <c r="P630" s="12">
        <f t="shared" si="639"/>
        <v>0</v>
      </c>
      <c r="Q630" s="12">
        <f t="shared" si="639"/>
        <v>1.21748365012717E+16</v>
      </c>
      <c r="R630" s="12">
        <f t="shared" si="639"/>
        <v>0</v>
      </c>
      <c r="S630" s="12">
        <f t="shared" si="639"/>
        <v>60</v>
      </c>
      <c r="T630" s="17" t="s">
        <v>831</v>
      </c>
    </row>
    <row r="631" spans="1:20" x14ac:dyDescent="0.2">
      <c r="A631" s="12">
        <v>70028</v>
      </c>
      <c r="B631" s="16" t="s">
        <v>834</v>
      </c>
      <c r="C631" s="2" t="s">
        <v>800</v>
      </c>
      <c r="D631" s="12">
        <v>28</v>
      </c>
      <c r="E631" s="12">
        <v>7</v>
      </c>
      <c r="F631" s="12">
        <f t="shared" ref="F631:S631" si="640">F271</f>
        <v>28</v>
      </c>
      <c r="G631" s="12">
        <f t="shared" si="640"/>
        <v>30145</v>
      </c>
      <c r="H631" s="12">
        <f t="shared" si="640"/>
        <v>2</v>
      </c>
      <c r="I631" s="12">
        <f t="shared" si="640"/>
        <v>2</v>
      </c>
      <c r="J631" s="12">
        <f t="shared" si="640"/>
        <v>4</v>
      </c>
      <c r="K631" s="12">
        <f t="shared" si="640"/>
        <v>1846695020</v>
      </c>
      <c r="L631" s="12">
        <f t="shared" si="640"/>
        <v>1846695020</v>
      </c>
      <c r="M631" s="12">
        <f t="shared" si="640"/>
        <v>1846695020</v>
      </c>
      <c r="N631" s="12">
        <f t="shared" si="640"/>
        <v>0</v>
      </c>
      <c r="O631" s="12">
        <f t="shared" si="640"/>
        <v>0</v>
      </c>
      <c r="P631" s="12">
        <f t="shared" si="640"/>
        <v>0</v>
      </c>
      <c r="Q631" s="12">
        <f t="shared" si="640"/>
        <v>1.59251562944154E+16</v>
      </c>
      <c r="R631" s="12">
        <f t="shared" si="640"/>
        <v>0</v>
      </c>
      <c r="S631" s="12">
        <f t="shared" si="640"/>
        <v>60</v>
      </c>
      <c r="T631" s="17" t="s">
        <v>831</v>
      </c>
    </row>
    <row r="632" spans="1:20" x14ac:dyDescent="0.2">
      <c r="A632" s="12">
        <v>70029</v>
      </c>
      <c r="B632" s="16" t="s">
        <v>835</v>
      </c>
      <c r="C632" s="2" t="s">
        <v>800</v>
      </c>
      <c r="D632" s="12">
        <v>29</v>
      </c>
      <c r="E632" s="12">
        <v>7</v>
      </c>
      <c r="F632" s="12">
        <f t="shared" ref="F632:S632" si="641">F272</f>
        <v>29</v>
      </c>
      <c r="G632" s="12">
        <f t="shared" si="641"/>
        <v>30195</v>
      </c>
      <c r="H632" s="12">
        <f t="shared" si="641"/>
        <v>1</v>
      </c>
      <c r="I632" s="12">
        <f t="shared" si="641"/>
        <v>2</v>
      </c>
      <c r="J632" s="12">
        <f t="shared" si="641"/>
        <v>4</v>
      </c>
      <c r="K632" s="12">
        <f t="shared" si="641"/>
        <v>2355403275</v>
      </c>
      <c r="L632" s="12">
        <f t="shared" si="641"/>
        <v>2355403275</v>
      </c>
      <c r="M632" s="12">
        <f t="shared" si="641"/>
        <v>2355403275</v>
      </c>
      <c r="N632" s="12">
        <f t="shared" si="641"/>
        <v>0</v>
      </c>
      <c r="O632" s="12">
        <f t="shared" si="641"/>
        <v>0</v>
      </c>
      <c r="P632" s="12">
        <f t="shared" si="641"/>
        <v>0</v>
      </c>
      <c r="Q632" s="12">
        <f t="shared" si="641"/>
        <v>5.42932995511708E+16</v>
      </c>
      <c r="R632" s="12">
        <f t="shared" si="641"/>
        <v>0</v>
      </c>
      <c r="S632" s="12">
        <f t="shared" si="641"/>
        <v>60</v>
      </c>
      <c r="T632" s="17" t="s">
        <v>836</v>
      </c>
    </row>
    <row r="633" spans="1:20" x14ac:dyDescent="0.2">
      <c r="A633" s="12">
        <v>70030</v>
      </c>
      <c r="B633" s="16" t="s">
        <v>837</v>
      </c>
      <c r="C633" s="2" t="s">
        <v>800</v>
      </c>
      <c r="D633" s="12">
        <v>30</v>
      </c>
      <c r="E633" s="12">
        <v>7</v>
      </c>
      <c r="F633" s="12">
        <f t="shared" ref="F633:S633" si="642">F273</f>
        <v>30</v>
      </c>
      <c r="G633" s="12">
        <f t="shared" si="642"/>
        <v>40045</v>
      </c>
      <c r="H633" s="12">
        <f t="shared" si="642"/>
        <v>3</v>
      </c>
      <c r="I633" s="12">
        <f t="shared" si="642"/>
        <v>2</v>
      </c>
      <c r="J633" s="12">
        <f t="shared" si="642"/>
        <v>4</v>
      </c>
      <c r="K633" s="12">
        <f t="shared" si="642"/>
        <v>2877535435</v>
      </c>
      <c r="L633" s="12">
        <f t="shared" si="642"/>
        <v>2877535435</v>
      </c>
      <c r="M633" s="12">
        <f t="shared" si="642"/>
        <v>2877535435</v>
      </c>
      <c r="N633" s="12">
        <f t="shared" si="642"/>
        <v>0</v>
      </c>
      <c r="O633" s="12">
        <f t="shared" si="642"/>
        <v>0</v>
      </c>
      <c r="P633" s="12">
        <f t="shared" si="642"/>
        <v>0</v>
      </c>
      <c r="Q633" s="12">
        <f t="shared" si="642"/>
        <v>8.4981450803142496E+16</v>
      </c>
      <c r="R633" s="12">
        <f t="shared" si="642"/>
        <v>0</v>
      </c>
      <c r="S633" s="12">
        <f t="shared" si="642"/>
        <v>60</v>
      </c>
      <c r="T633" s="17" t="s">
        <v>836</v>
      </c>
    </row>
    <row r="634" spans="1:20" x14ac:dyDescent="0.2">
      <c r="A634" s="12">
        <v>70031</v>
      </c>
      <c r="B634" s="16" t="s">
        <v>838</v>
      </c>
      <c r="C634" s="2" t="s">
        <v>800</v>
      </c>
      <c r="D634" s="12">
        <v>31</v>
      </c>
      <c r="E634" s="12">
        <v>7</v>
      </c>
      <c r="F634" s="12">
        <f t="shared" ref="F634:S634" si="643">F274</f>
        <v>31</v>
      </c>
      <c r="G634" s="12">
        <f t="shared" si="643"/>
        <v>40095</v>
      </c>
      <c r="H634" s="12">
        <f t="shared" si="643"/>
        <v>2</v>
      </c>
      <c r="I634" s="12">
        <f t="shared" si="643"/>
        <v>2</v>
      </c>
      <c r="J634" s="12">
        <f t="shared" si="643"/>
        <v>4</v>
      </c>
      <c r="K634" s="12">
        <f t="shared" si="643"/>
        <v>3471246540</v>
      </c>
      <c r="L634" s="12">
        <f t="shared" si="643"/>
        <v>3471246540</v>
      </c>
      <c r="M634" s="12">
        <f t="shared" si="643"/>
        <v>3471246540</v>
      </c>
      <c r="N634" s="12">
        <f t="shared" si="643"/>
        <v>0</v>
      </c>
      <c r="O634" s="12">
        <f t="shared" si="643"/>
        <v>0</v>
      </c>
      <c r="P634" s="12">
        <f t="shared" si="643"/>
        <v>0</v>
      </c>
      <c r="Q634" s="12">
        <f t="shared" si="643"/>
        <v>1.2804243823414E+17</v>
      </c>
      <c r="R634" s="12">
        <f t="shared" si="643"/>
        <v>0</v>
      </c>
      <c r="S634" s="12">
        <f t="shared" si="643"/>
        <v>60</v>
      </c>
      <c r="T634" s="17" t="s">
        <v>836</v>
      </c>
    </row>
    <row r="635" spans="1:20" x14ac:dyDescent="0.2">
      <c r="A635" s="12">
        <v>70032</v>
      </c>
      <c r="B635" s="16" t="s">
        <v>839</v>
      </c>
      <c r="C635" s="2" t="s">
        <v>800</v>
      </c>
      <c r="D635" s="12">
        <v>32</v>
      </c>
      <c r="E635" s="12">
        <v>7</v>
      </c>
      <c r="F635" s="12">
        <f t="shared" ref="F635:S635" si="644">F275</f>
        <v>32</v>
      </c>
      <c r="G635" s="12">
        <f t="shared" si="644"/>
        <v>40145</v>
      </c>
      <c r="H635" s="12">
        <f t="shared" si="644"/>
        <v>1</v>
      </c>
      <c r="I635" s="12">
        <f t="shared" si="644"/>
        <v>2</v>
      </c>
      <c r="J635" s="12">
        <f t="shared" si="644"/>
        <v>4</v>
      </c>
      <c r="K635" s="12">
        <f t="shared" si="644"/>
        <v>4070616465</v>
      </c>
      <c r="L635" s="12">
        <f t="shared" si="644"/>
        <v>4070616465</v>
      </c>
      <c r="M635" s="12">
        <f t="shared" si="644"/>
        <v>4070616465</v>
      </c>
      <c r="N635" s="12">
        <f t="shared" si="644"/>
        <v>0</v>
      </c>
      <c r="O635" s="12">
        <f t="shared" si="644"/>
        <v>0</v>
      </c>
      <c r="P635" s="12">
        <f t="shared" si="644"/>
        <v>0</v>
      </c>
      <c r="Q635" s="12">
        <f t="shared" si="644"/>
        <v>1.8553532413018202E+17</v>
      </c>
      <c r="R635" s="12">
        <f t="shared" si="644"/>
        <v>0</v>
      </c>
      <c r="S635" s="12">
        <f t="shared" si="644"/>
        <v>60</v>
      </c>
      <c r="T635" s="17" t="s">
        <v>836</v>
      </c>
    </row>
    <row r="636" spans="1:20" x14ac:dyDescent="0.2">
      <c r="A636" s="12">
        <v>70033</v>
      </c>
      <c r="B636" s="16" t="s">
        <v>840</v>
      </c>
      <c r="C636" s="2" t="s">
        <v>800</v>
      </c>
      <c r="D636" s="12">
        <v>33</v>
      </c>
      <c r="E636" s="12">
        <v>7</v>
      </c>
      <c r="F636" s="12">
        <f t="shared" ref="F636:S636" si="645">F276</f>
        <v>33</v>
      </c>
      <c r="G636" s="12">
        <f t="shared" si="645"/>
        <v>40195</v>
      </c>
      <c r="H636" s="12">
        <f t="shared" si="645"/>
        <v>3</v>
      </c>
      <c r="I636" s="12">
        <f t="shared" si="645"/>
        <v>2</v>
      </c>
      <c r="J636" s="12">
        <f t="shared" si="645"/>
        <v>4</v>
      </c>
      <c r="K636" s="12">
        <f t="shared" si="645"/>
        <v>4947931560</v>
      </c>
      <c r="L636" s="12">
        <f t="shared" si="645"/>
        <v>4947931560</v>
      </c>
      <c r="M636" s="12">
        <f t="shared" si="645"/>
        <v>4947931560</v>
      </c>
      <c r="N636" s="12">
        <f t="shared" si="645"/>
        <v>0</v>
      </c>
      <c r="O636" s="12">
        <f t="shared" si="645"/>
        <v>0</v>
      </c>
      <c r="P636" s="12">
        <f t="shared" si="645"/>
        <v>0</v>
      </c>
      <c r="Q636" s="12">
        <f t="shared" si="645"/>
        <v>3.2261314513479002E+17</v>
      </c>
      <c r="R636" s="12">
        <f t="shared" si="645"/>
        <v>0</v>
      </c>
      <c r="S636" s="12">
        <f t="shared" si="645"/>
        <v>60</v>
      </c>
      <c r="T636" s="17" t="s">
        <v>841</v>
      </c>
    </row>
    <row r="637" spans="1:20" x14ac:dyDescent="0.2">
      <c r="A637" s="12">
        <v>70034</v>
      </c>
      <c r="B637" s="16" t="s">
        <v>842</v>
      </c>
      <c r="C637" s="2" t="s">
        <v>800</v>
      </c>
      <c r="D637" s="12">
        <v>34</v>
      </c>
      <c r="E637" s="12">
        <v>7</v>
      </c>
      <c r="F637" s="12">
        <f t="shared" ref="F637:S637" si="646">F277</f>
        <v>34</v>
      </c>
      <c r="G637" s="12">
        <f t="shared" si="646"/>
        <v>50045</v>
      </c>
      <c r="H637" s="12">
        <f t="shared" si="646"/>
        <v>2</v>
      </c>
      <c r="I637" s="12">
        <f t="shared" si="646"/>
        <v>2</v>
      </c>
      <c r="J637" s="12">
        <f t="shared" si="646"/>
        <v>4</v>
      </c>
      <c r="K637" s="12">
        <f t="shared" si="646"/>
        <v>5657919940</v>
      </c>
      <c r="L637" s="12">
        <f t="shared" si="646"/>
        <v>5657919940</v>
      </c>
      <c r="M637" s="12">
        <f t="shared" si="646"/>
        <v>5657919940</v>
      </c>
      <c r="N637" s="12">
        <f t="shared" si="646"/>
        <v>0</v>
      </c>
      <c r="O637" s="12">
        <f t="shared" si="646"/>
        <v>0</v>
      </c>
      <c r="P637" s="12">
        <f t="shared" si="646"/>
        <v>0</v>
      </c>
      <c r="Q637" s="12">
        <f t="shared" si="646"/>
        <v>4.2750877848275501E+17</v>
      </c>
      <c r="R637" s="12">
        <f t="shared" si="646"/>
        <v>0</v>
      </c>
      <c r="S637" s="12">
        <f t="shared" si="646"/>
        <v>60</v>
      </c>
      <c r="T637" s="17" t="s">
        <v>841</v>
      </c>
    </row>
    <row r="638" spans="1:20" x14ac:dyDescent="0.2">
      <c r="A638" s="12">
        <v>70035</v>
      </c>
      <c r="B638" s="16" t="s">
        <v>843</v>
      </c>
      <c r="C638" s="2" t="s">
        <v>800</v>
      </c>
      <c r="D638" s="12">
        <v>35</v>
      </c>
      <c r="E638" s="12">
        <v>7</v>
      </c>
      <c r="F638" s="12">
        <f t="shared" ref="F638:S638" si="647">F278</f>
        <v>35</v>
      </c>
      <c r="G638" s="12">
        <f t="shared" si="647"/>
        <v>10035</v>
      </c>
      <c r="H638" s="12">
        <f t="shared" si="647"/>
        <v>1</v>
      </c>
      <c r="I638" s="12">
        <f t="shared" si="647"/>
        <v>2</v>
      </c>
      <c r="J638" s="12">
        <f t="shared" si="647"/>
        <v>4</v>
      </c>
      <c r="K638" s="12">
        <f t="shared" si="647"/>
        <v>6742295590</v>
      </c>
      <c r="L638" s="12">
        <f t="shared" si="647"/>
        <v>6742295590</v>
      </c>
      <c r="M638" s="12">
        <f t="shared" si="647"/>
        <v>6742295590</v>
      </c>
      <c r="N638" s="12">
        <f t="shared" si="647"/>
        <v>0</v>
      </c>
      <c r="O638" s="12">
        <f t="shared" si="647"/>
        <v>0</v>
      </c>
      <c r="P638" s="12">
        <f t="shared" si="647"/>
        <v>0</v>
      </c>
      <c r="Q638" s="12">
        <f t="shared" si="647"/>
        <v>6.4115108048770995E+17</v>
      </c>
      <c r="R638" s="12">
        <f t="shared" si="647"/>
        <v>0</v>
      </c>
      <c r="S638" s="12">
        <f t="shared" si="647"/>
        <v>60</v>
      </c>
      <c r="T638" s="17" t="s">
        <v>841</v>
      </c>
    </row>
    <row r="639" spans="1:20" x14ac:dyDescent="0.2">
      <c r="A639" s="12">
        <v>70036</v>
      </c>
      <c r="B639" s="16" t="s">
        <v>844</v>
      </c>
      <c r="C639" s="2" t="s">
        <v>800</v>
      </c>
      <c r="D639" s="12">
        <v>36</v>
      </c>
      <c r="E639" s="12">
        <v>7</v>
      </c>
      <c r="F639" s="12">
        <f t="shared" ref="F639:S639" si="648">F279</f>
        <v>36</v>
      </c>
      <c r="G639" s="12">
        <f t="shared" si="648"/>
        <v>10085</v>
      </c>
      <c r="H639" s="12">
        <f t="shared" si="648"/>
        <v>3</v>
      </c>
      <c r="I639" s="12">
        <f t="shared" si="648"/>
        <v>2</v>
      </c>
      <c r="J639" s="12">
        <f t="shared" si="648"/>
        <v>4</v>
      </c>
      <c r="K639" s="12">
        <f t="shared" si="648"/>
        <v>7813858040</v>
      </c>
      <c r="L639" s="12">
        <f t="shared" si="648"/>
        <v>7813858040</v>
      </c>
      <c r="M639" s="12">
        <f t="shared" si="648"/>
        <v>7813858040</v>
      </c>
      <c r="N639" s="12">
        <f t="shared" si="648"/>
        <v>0</v>
      </c>
      <c r="O639" s="12">
        <f t="shared" si="648"/>
        <v>0</v>
      </c>
      <c r="P639" s="12">
        <f t="shared" si="648"/>
        <v>0</v>
      </c>
      <c r="Q639" s="12">
        <f t="shared" si="648"/>
        <v>8.9984243497634995E+17</v>
      </c>
      <c r="R639" s="12">
        <f t="shared" si="648"/>
        <v>0</v>
      </c>
      <c r="S639" s="12">
        <f t="shared" si="648"/>
        <v>60</v>
      </c>
      <c r="T639" s="17" t="s">
        <v>841</v>
      </c>
    </row>
    <row r="640" spans="1:20" x14ac:dyDescent="0.2">
      <c r="A640" s="12">
        <v>70037</v>
      </c>
      <c r="B640" s="16" t="s">
        <v>845</v>
      </c>
      <c r="C640" s="2" t="s">
        <v>800</v>
      </c>
      <c r="D640" s="12">
        <v>37</v>
      </c>
      <c r="E640" s="12">
        <v>7</v>
      </c>
      <c r="F640" s="12">
        <f t="shared" ref="F640:S640" si="649">F280</f>
        <v>37</v>
      </c>
      <c r="G640" s="12">
        <f t="shared" si="649"/>
        <v>10135</v>
      </c>
      <c r="H640" s="12">
        <f t="shared" si="649"/>
        <v>2</v>
      </c>
      <c r="I640" s="12">
        <f t="shared" si="649"/>
        <v>2</v>
      </c>
      <c r="J640" s="12">
        <f t="shared" si="649"/>
        <v>5</v>
      </c>
      <c r="K640" s="12">
        <f t="shared" si="649"/>
        <v>9022904075</v>
      </c>
      <c r="L640" s="12">
        <f t="shared" si="649"/>
        <v>9022904075</v>
      </c>
      <c r="M640" s="12">
        <f t="shared" si="649"/>
        <v>9022904075</v>
      </c>
      <c r="N640" s="12">
        <f t="shared" si="649"/>
        <v>0</v>
      </c>
      <c r="O640" s="12">
        <f t="shared" si="649"/>
        <v>0</v>
      </c>
      <c r="P640" s="12">
        <f t="shared" si="649"/>
        <v>0</v>
      </c>
      <c r="Q640" s="12">
        <f t="shared" si="649"/>
        <v>1.2748232271778401E+18</v>
      </c>
      <c r="R640" s="12">
        <f t="shared" si="649"/>
        <v>0</v>
      </c>
      <c r="S640" s="12">
        <f t="shared" si="649"/>
        <v>60</v>
      </c>
      <c r="T640" s="17" t="s">
        <v>846</v>
      </c>
    </row>
    <row r="641" spans="1:20" x14ac:dyDescent="0.2">
      <c r="A641" s="12">
        <v>70038</v>
      </c>
      <c r="B641" s="16" t="s">
        <v>847</v>
      </c>
      <c r="C641" s="2" t="s">
        <v>800</v>
      </c>
      <c r="D641" s="12">
        <v>38</v>
      </c>
      <c r="E641" s="12">
        <v>7</v>
      </c>
      <c r="F641" s="12">
        <f t="shared" ref="F641:S641" si="650">F281</f>
        <v>38</v>
      </c>
      <c r="G641" s="12">
        <f t="shared" si="650"/>
        <v>10185</v>
      </c>
      <c r="H641" s="12">
        <f t="shared" si="650"/>
        <v>1</v>
      </c>
      <c r="I641" s="12">
        <f t="shared" si="650"/>
        <v>2</v>
      </c>
      <c r="J641" s="12">
        <f t="shared" si="650"/>
        <v>5</v>
      </c>
      <c r="K641" s="12">
        <f t="shared" si="650"/>
        <v>10357481865</v>
      </c>
      <c r="L641" s="12">
        <f t="shared" si="650"/>
        <v>10357481865</v>
      </c>
      <c r="M641" s="12">
        <f t="shared" si="650"/>
        <v>10357481865</v>
      </c>
      <c r="N641" s="12">
        <f t="shared" si="650"/>
        <v>0</v>
      </c>
      <c r="O641" s="12">
        <f t="shared" si="650"/>
        <v>0</v>
      </c>
      <c r="P641" s="12">
        <f t="shared" si="650"/>
        <v>0</v>
      </c>
      <c r="Q641" s="12">
        <f t="shared" si="650"/>
        <v>1.76085702278608E+18</v>
      </c>
      <c r="R641" s="12">
        <f t="shared" si="650"/>
        <v>0</v>
      </c>
      <c r="S641" s="12">
        <f t="shared" si="650"/>
        <v>60</v>
      </c>
      <c r="T641" s="17" t="s">
        <v>846</v>
      </c>
    </row>
    <row r="642" spans="1:20" x14ac:dyDescent="0.2">
      <c r="A642" s="12">
        <v>70039</v>
      </c>
      <c r="B642" s="16" t="s">
        <v>848</v>
      </c>
      <c r="C642" s="2" t="s">
        <v>800</v>
      </c>
      <c r="D642" s="12">
        <v>39</v>
      </c>
      <c r="E642" s="12">
        <v>7</v>
      </c>
      <c r="F642" s="12">
        <f t="shared" ref="F642:S642" si="651">F282</f>
        <v>39</v>
      </c>
      <c r="G642" s="12">
        <f t="shared" si="651"/>
        <v>20035</v>
      </c>
      <c r="H642" s="12">
        <f t="shared" si="651"/>
        <v>3</v>
      </c>
      <c r="I642" s="12">
        <f t="shared" si="651"/>
        <v>2</v>
      </c>
      <c r="J642" s="12">
        <f t="shared" si="651"/>
        <v>5</v>
      </c>
      <c r="K642" s="12">
        <f t="shared" si="651"/>
        <v>12054912440</v>
      </c>
      <c r="L642" s="12">
        <f t="shared" si="651"/>
        <v>12054912440</v>
      </c>
      <c r="M642" s="12">
        <f t="shared" si="651"/>
        <v>12054912440</v>
      </c>
      <c r="N642" s="12">
        <f t="shared" si="651"/>
        <v>0</v>
      </c>
      <c r="O642" s="12">
        <f t="shared" si="651"/>
        <v>0</v>
      </c>
      <c r="P642" s="12">
        <f t="shared" si="651"/>
        <v>0</v>
      </c>
      <c r="Q642" s="12">
        <f t="shared" si="651"/>
        <v>2.5382198702505001E+18</v>
      </c>
      <c r="R642" s="12">
        <f t="shared" si="651"/>
        <v>0</v>
      </c>
      <c r="S642" s="12">
        <f t="shared" si="651"/>
        <v>60</v>
      </c>
      <c r="T642" s="17" t="s">
        <v>846</v>
      </c>
    </row>
    <row r="643" spans="1:20" x14ac:dyDescent="0.2">
      <c r="A643" s="12">
        <v>70040</v>
      </c>
      <c r="B643" s="16" t="s">
        <v>849</v>
      </c>
      <c r="C643" s="2" t="s">
        <v>800</v>
      </c>
      <c r="D643" s="12">
        <v>40</v>
      </c>
      <c r="E643" s="12">
        <v>7</v>
      </c>
      <c r="F643" s="12">
        <f t="shared" ref="F643:S643" si="652">F283</f>
        <v>40</v>
      </c>
      <c r="G643" s="12">
        <f t="shared" si="652"/>
        <v>20085</v>
      </c>
      <c r="H643" s="12">
        <f t="shared" si="652"/>
        <v>2</v>
      </c>
      <c r="I643" s="12">
        <f t="shared" si="652"/>
        <v>2</v>
      </c>
      <c r="J643" s="12">
        <f t="shared" si="652"/>
        <v>5</v>
      </c>
      <c r="K643" s="12">
        <f t="shared" si="652"/>
        <v>13460310890</v>
      </c>
      <c r="L643" s="12">
        <f t="shared" si="652"/>
        <v>13460310890</v>
      </c>
      <c r="M643" s="12">
        <f t="shared" si="652"/>
        <v>13460310890</v>
      </c>
      <c r="N643" s="12">
        <f t="shared" si="652"/>
        <v>0</v>
      </c>
      <c r="O643" s="12">
        <f t="shared" si="652"/>
        <v>0</v>
      </c>
      <c r="P643" s="12">
        <f t="shared" si="652"/>
        <v>0</v>
      </c>
      <c r="Q643" s="12">
        <f t="shared" si="652"/>
        <v>3.2738742301717202E+18</v>
      </c>
      <c r="R643" s="12">
        <f t="shared" si="652"/>
        <v>0</v>
      </c>
      <c r="S643" s="12">
        <f t="shared" si="652"/>
        <v>60</v>
      </c>
      <c r="T643" s="17" t="s">
        <v>846</v>
      </c>
    </row>
    <row r="644" spans="1:20" x14ac:dyDescent="0.2">
      <c r="A644" s="12">
        <v>70041</v>
      </c>
      <c r="B644" s="16" t="s">
        <v>850</v>
      </c>
      <c r="C644" s="2" t="s">
        <v>800</v>
      </c>
      <c r="D644" s="12">
        <v>41</v>
      </c>
      <c r="E644" s="12">
        <v>7</v>
      </c>
      <c r="F644" s="12">
        <f t="shared" ref="F644:S644" si="653">F284</f>
        <v>41</v>
      </c>
      <c r="G644" s="12">
        <f t="shared" si="653"/>
        <v>20135</v>
      </c>
      <c r="H644" s="12">
        <f t="shared" si="653"/>
        <v>1</v>
      </c>
      <c r="I644" s="12">
        <f t="shared" si="653"/>
        <v>2</v>
      </c>
      <c r="J644" s="12">
        <f t="shared" si="653"/>
        <v>5</v>
      </c>
      <c r="K644" s="12">
        <f t="shared" si="653"/>
        <v>32286211905</v>
      </c>
      <c r="L644" s="12">
        <f t="shared" si="653"/>
        <v>32286211905</v>
      </c>
      <c r="M644" s="12">
        <f t="shared" si="653"/>
        <v>32286211905</v>
      </c>
      <c r="N644" s="12">
        <f t="shared" si="653"/>
        <v>0</v>
      </c>
      <c r="O644" s="12">
        <f t="shared" si="653"/>
        <v>0</v>
      </c>
      <c r="P644" s="12">
        <f t="shared" si="653"/>
        <v>0</v>
      </c>
      <c r="Q644" s="12">
        <f t="shared" si="653"/>
        <v>3.58664099545122E+19</v>
      </c>
      <c r="R644" s="12">
        <f t="shared" si="653"/>
        <v>0</v>
      </c>
      <c r="S644" s="12">
        <f t="shared" si="653"/>
        <v>60</v>
      </c>
      <c r="T644" s="17" t="s">
        <v>851</v>
      </c>
    </row>
    <row r="645" spans="1:20" x14ac:dyDescent="0.2">
      <c r="A645" s="12">
        <v>70042</v>
      </c>
      <c r="B645" s="16" t="s">
        <v>852</v>
      </c>
      <c r="C645" s="2" t="s">
        <v>800</v>
      </c>
      <c r="D645" s="12">
        <v>42</v>
      </c>
      <c r="E645" s="12">
        <v>7</v>
      </c>
      <c r="F645" s="12">
        <f t="shared" ref="F645:S645" si="654">F285</f>
        <v>42</v>
      </c>
      <c r="G645" s="12">
        <f t="shared" si="654"/>
        <v>20185</v>
      </c>
      <c r="H645" s="12">
        <f t="shared" si="654"/>
        <v>3</v>
      </c>
      <c r="I645" s="12">
        <f t="shared" si="654"/>
        <v>2</v>
      </c>
      <c r="J645" s="12">
        <f t="shared" si="654"/>
        <v>5</v>
      </c>
      <c r="K645" s="12">
        <f t="shared" si="654"/>
        <v>36210827115</v>
      </c>
      <c r="L645" s="12">
        <f t="shared" si="654"/>
        <v>36210827115</v>
      </c>
      <c r="M645" s="12">
        <f t="shared" si="654"/>
        <v>36210827115</v>
      </c>
      <c r="N645" s="12">
        <f t="shared" si="654"/>
        <v>0</v>
      </c>
      <c r="O645" s="12">
        <f t="shared" si="654"/>
        <v>0</v>
      </c>
      <c r="P645" s="12">
        <f t="shared" si="654"/>
        <v>0</v>
      </c>
      <c r="Q645" s="12">
        <f t="shared" si="654"/>
        <v>4.6745014187892703E+19</v>
      </c>
      <c r="R645" s="12">
        <f t="shared" si="654"/>
        <v>0</v>
      </c>
      <c r="S645" s="12">
        <f t="shared" si="654"/>
        <v>60</v>
      </c>
      <c r="T645" s="17" t="s">
        <v>851</v>
      </c>
    </row>
    <row r="646" spans="1:20" x14ac:dyDescent="0.2">
      <c r="A646" s="12">
        <v>70043</v>
      </c>
      <c r="B646" s="16" t="s">
        <v>853</v>
      </c>
      <c r="C646" s="2" t="s">
        <v>800</v>
      </c>
      <c r="D646" s="12">
        <v>43</v>
      </c>
      <c r="E646" s="12">
        <v>7</v>
      </c>
      <c r="F646" s="12">
        <f t="shared" ref="F646:S646" si="655">F286</f>
        <v>43</v>
      </c>
      <c r="G646" s="12">
        <f t="shared" si="655"/>
        <v>30035</v>
      </c>
      <c r="H646" s="12">
        <f t="shared" si="655"/>
        <v>2</v>
      </c>
      <c r="I646" s="12">
        <f t="shared" si="655"/>
        <v>2</v>
      </c>
      <c r="J646" s="12">
        <f t="shared" si="655"/>
        <v>5</v>
      </c>
      <c r="K646" s="12">
        <f t="shared" si="655"/>
        <v>40524480255</v>
      </c>
      <c r="L646" s="12">
        <f t="shared" si="655"/>
        <v>40524480255</v>
      </c>
      <c r="M646" s="12">
        <f t="shared" si="655"/>
        <v>40524480255</v>
      </c>
      <c r="N646" s="12">
        <f t="shared" si="655"/>
        <v>0</v>
      </c>
      <c r="O646" s="12">
        <f t="shared" si="655"/>
        <v>0</v>
      </c>
      <c r="P646" s="12">
        <f t="shared" si="655"/>
        <v>0</v>
      </c>
      <c r="Q646" s="12">
        <f t="shared" si="655"/>
        <v>6.0115197558181503E+19</v>
      </c>
      <c r="R646" s="12">
        <f t="shared" si="655"/>
        <v>0</v>
      </c>
      <c r="S646" s="12">
        <f t="shared" si="655"/>
        <v>60</v>
      </c>
      <c r="T646" s="17" t="s">
        <v>851</v>
      </c>
    </row>
    <row r="647" spans="1:20" x14ac:dyDescent="0.2">
      <c r="A647" s="12">
        <v>70044</v>
      </c>
      <c r="B647" s="16" t="s">
        <v>854</v>
      </c>
      <c r="C647" s="2" t="s">
        <v>800</v>
      </c>
      <c r="D647" s="12">
        <v>44</v>
      </c>
      <c r="E647" s="12">
        <v>7</v>
      </c>
      <c r="F647" s="12">
        <f t="shared" ref="F647:S647" si="656">F287</f>
        <v>44</v>
      </c>
      <c r="G647" s="12">
        <f t="shared" si="656"/>
        <v>30085</v>
      </c>
      <c r="H647" s="12">
        <f t="shared" si="656"/>
        <v>1</v>
      </c>
      <c r="I647" s="12">
        <f t="shared" si="656"/>
        <v>2</v>
      </c>
      <c r="J647" s="12">
        <f t="shared" si="656"/>
        <v>5</v>
      </c>
      <c r="K647" s="12">
        <f t="shared" si="656"/>
        <v>45192474355</v>
      </c>
      <c r="L647" s="12">
        <f t="shared" si="656"/>
        <v>45192474355</v>
      </c>
      <c r="M647" s="12">
        <f t="shared" si="656"/>
        <v>45192474355</v>
      </c>
      <c r="N647" s="12">
        <f t="shared" si="656"/>
        <v>0</v>
      </c>
      <c r="O647" s="12">
        <f t="shared" si="656"/>
        <v>0</v>
      </c>
      <c r="P647" s="12">
        <f t="shared" si="656"/>
        <v>0</v>
      </c>
      <c r="Q647" s="12">
        <f t="shared" si="656"/>
        <v>7.7888400343511499E+19</v>
      </c>
      <c r="R647" s="12">
        <f t="shared" si="656"/>
        <v>0</v>
      </c>
      <c r="S647" s="12">
        <f t="shared" si="656"/>
        <v>60</v>
      </c>
      <c r="T647" s="17" t="s">
        <v>851</v>
      </c>
    </row>
    <row r="648" spans="1:20" x14ac:dyDescent="0.2">
      <c r="A648" s="12">
        <v>70045</v>
      </c>
      <c r="B648" s="16" t="s">
        <v>855</v>
      </c>
      <c r="C648" s="2" t="s">
        <v>800</v>
      </c>
      <c r="D648" s="12">
        <v>45</v>
      </c>
      <c r="E648" s="12">
        <v>7</v>
      </c>
      <c r="F648" s="12">
        <f t="shared" ref="F648:S648" si="657">F288</f>
        <v>45</v>
      </c>
      <c r="G648" s="12">
        <f t="shared" si="657"/>
        <v>30135</v>
      </c>
      <c r="H648" s="12">
        <f t="shared" si="657"/>
        <v>3</v>
      </c>
      <c r="I648" s="12">
        <f t="shared" si="657"/>
        <v>2</v>
      </c>
      <c r="J648" s="12">
        <f t="shared" si="657"/>
        <v>5</v>
      </c>
      <c r="K648" s="12">
        <f t="shared" si="657"/>
        <v>50974213845</v>
      </c>
      <c r="L648" s="12">
        <f t="shared" si="657"/>
        <v>50974213845</v>
      </c>
      <c r="M648" s="12">
        <f t="shared" si="657"/>
        <v>50974213845</v>
      </c>
      <c r="N648" s="12">
        <f t="shared" si="657"/>
        <v>0</v>
      </c>
      <c r="O648" s="12">
        <f t="shared" si="657"/>
        <v>0</v>
      </c>
      <c r="P648" s="12">
        <f t="shared" si="657"/>
        <v>0</v>
      </c>
      <c r="Q648" s="12">
        <f t="shared" si="657"/>
        <v>1.03932646043157E+20</v>
      </c>
      <c r="R648" s="12">
        <f t="shared" si="657"/>
        <v>0</v>
      </c>
      <c r="S648" s="12">
        <f t="shared" si="657"/>
        <v>60</v>
      </c>
      <c r="T648" s="17" t="s">
        <v>856</v>
      </c>
    </row>
    <row r="649" spans="1:20" x14ac:dyDescent="0.2">
      <c r="A649" s="12">
        <v>70046</v>
      </c>
      <c r="B649" s="16" t="s">
        <v>857</v>
      </c>
      <c r="C649" s="2" t="s">
        <v>800</v>
      </c>
      <c r="D649" s="12">
        <v>46</v>
      </c>
      <c r="E649" s="12">
        <v>7</v>
      </c>
      <c r="F649" s="12">
        <f t="shared" ref="F649:S649" si="658">F289</f>
        <v>46</v>
      </c>
      <c r="G649" s="12">
        <f t="shared" si="658"/>
        <v>30185</v>
      </c>
      <c r="H649" s="12">
        <f t="shared" si="658"/>
        <v>2</v>
      </c>
      <c r="I649" s="12">
        <f t="shared" si="658"/>
        <v>2</v>
      </c>
      <c r="J649" s="12">
        <f t="shared" si="658"/>
        <v>5</v>
      </c>
      <c r="K649" s="12">
        <f t="shared" si="658"/>
        <v>57273255040</v>
      </c>
      <c r="L649" s="12">
        <f t="shared" si="658"/>
        <v>57273255040</v>
      </c>
      <c r="M649" s="12">
        <f t="shared" si="658"/>
        <v>57273255040</v>
      </c>
      <c r="N649" s="12">
        <f t="shared" si="658"/>
        <v>0</v>
      </c>
      <c r="O649" s="12">
        <f t="shared" si="658"/>
        <v>0</v>
      </c>
      <c r="P649" s="12">
        <f t="shared" si="658"/>
        <v>0</v>
      </c>
      <c r="Q649" s="12">
        <f t="shared" si="658"/>
        <v>1.3954245208691501E+20</v>
      </c>
      <c r="R649" s="12">
        <f t="shared" si="658"/>
        <v>0</v>
      </c>
      <c r="S649" s="12">
        <f t="shared" si="658"/>
        <v>60</v>
      </c>
      <c r="T649" s="17" t="s">
        <v>856</v>
      </c>
    </row>
    <row r="650" spans="1:20" x14ac:dyDescent="0.2">
      <c r="A650" s="12">
        <v>70047</v>
      </c>
      <c r="B650" s="16" t="s">
        <v>858</v>
      </c>
      <c r="C650" s="2" t="s">
        <v>800</v>
      </c>
      <c r="D650" s="12">
        <v>47</v>
      </c>
      <c r="E650" s="12">
        <v>7</v>
      </c>
      <c r="F650" s="12">
        <f t="shared" ref="F650:S650" si="659">F290</f>
        <v>47</v>
      </c>
      <c r="G650" s="12">
        <f t="shared" si="659"/>
        <v>40035</v>
      </c>
      <c r="H650" s="12">
        <f t="shared" si="659"/>
        <v>1</v>
      </c>
      <c r="I650" s="12">
        <f t="shared" si="659"/>
        <v>2</v>
      </c>
      <c r="J650" s="12">
        <f t="shared" si="659"/>
        <v>5</v>
      </c>
      <c r="K650" s="12">
        <f t="shared" si="659"/>
        <v>64276150605</v>
      </c>
      <c r="L650" s="12">
        <f t="shared" si="659"/>
        <v>64276150605</v>
      </c>
      <c r="M650" s="12">
        <f t="shared" si="659"/>
        <v>64276150605</v>
      </c>
      <c r="N650" s="12">
        <f t="shared" si="659"/>
        <v>0</v>
      </c>
      <c r="O650" s="12">
        <f t="shared" si="659"/>
        <v>0</v>
      </c>
      <c r="P650" s="12">
        <f t="shared" si="659"/>
        <v>0</v>
      </c>
      <c r="Q650" s="12">
        <f t="shared" si="659"/>
        <v>1.84550037154706E+20</v>
      </c>
      <c r="R650" s="12">
        <f t="shared" si="659"/>
        <v>0</v>
      </c>
      <c r="S650" s="12">
        <f t="shared" si="659"/>
        <v>60</v>
      </c>
      <c r="T650" s="17" t="s">
        <v>856</v>
      </c>
    </row>
    <row r="651" spans="1:20" x14ac:dyDescent="0.2">
      <c r="A651" s="12">
        <v>70048</v>
      </c>
      <c r="B651" s="16" t="s">
        <v>859</v>
      </c>
      <c r="C651" s="2" t="s">
        <v>800</v>
      </c>
      <c r="D651" s="12">
        <v>48</v>
      </c>
      <c r="E651" s="12">
        <v>7</v>
      </c>
      <c r="F651" s="12">
        <f t="shared" ref="F651:S651" si="660">F291</f>
        <v>48</v>
      </c>
      <c r="G651" s="12">
        <f t="shared" si="660"/>
        <v>40085</v>
      </c>
      <c r="H651" s="12">
        <f t="shared" si="660"/>
        <v>3</v>
      </c>
      <c r="I651" s="12">
        <f t="shared" si="660"/>
        <v>2</v>
      </c>
      <c r="J651" s="12">
        <f t="shared" si="660"/>
        <v>5</v>
      </c>
      <c r="K651" s="12">
        <f t="shared" si="660"/>
        <v>71872179505</v>
      </c>
      <c r="L651" s="12">
        <f t="shared" si="660"/>
        <v>71872179505</v>
      </c>
      <c r="M651" s="12">
        <f t="shared" si="660"/>
        <v>71872179505</v>
      </c>
      <c r="N651" s="12">
        <f t="shared" si="660"/>
        <v>0</v>
      </c>
      <c r="O651" s="12">
        <f t="shared" si="660"/>
        <v>0</v>
      </c>
      <c r="P651" s="12">
        <f t="shared" si="660"/>
        <v>0</v>
      </c>
      <c r="Q651" s="12">
        <f t="shared" si="660"/>
        <v>2.4520549723172199E+20</v>
      </c>
      <c r="R651" s="12">
        <f t="shared" si="660"/>
        <v>0</v>
      </c>
      <c r="S651" s="12">
        <f t="shared" si="660"/>
        <v>60</v>
      </c>
      <c r="T651" s="17" t="s">
        <v>856</v>
      </c>
    </row>
    <row r="652" spans="1:20" x14ac:dyDescent="0.2">
      <c r="A652" s="12">
        <v>70049</v>
      </c>
      <c r="B652" s="16" t="s">
        <v>860</v>
      </c>
      <c r="C652" s="2" t="s">
        <v>800</v>
      </c>
      <c r="D652" s="12">
        <v>49</v>
      </c>
      <c r="E652" s="12">
        <v>7</v>
      </c>
      <c r="F652" s="12">
        <f t="shared" ref="F652:S652" si="661">F292</f>
        <v>49</v>
      </c>
      <c r="G652" s="12">
        <f t="shared" si="661"/>
        <v>40135</v>
      </c>
      <c r="H652" s="12">
        <f t="shared" si="661"/>
        <v>2</v>
      </c>
      <c r="I652" s="12">
        <f t="shared" si="661"/>
        <v>2</v>
      </c>
      <c r="J652" s="12">
        <f t="shared" si="661"/>
        <v>5</v>
      </c>
      <c r="K652" s="12">
        <f t="shared" si="661"/>
        <v>80659950855</v>
      </c>
      <c r="L652" s="12">
        <f t="shared" si="661"/>
        <v>80659950855</v>
      </c>
      <c r="M652" s="12">
        <f t="shared" si="661"/>
        <v>80659950855</v>
      </c>
      <c r="N652" s="12">
        <f t="shared" si="661"/>
        <v>0</v>
      </c>
      <c r="O652" s="12">
        <f t="shared" si="661"/>
        <v>0</v>
      </c>
      <c r="P652" s="12">
        <f t="shared" si="661"/>
        <v>0</v>
      </c>
      <c r="Q652" s="12">
        <f t="shared" si="661"/>
        <v>3.32194458119875E+20</v>
      </c>
      <c r="R652" s="12">
        <f t="shared" si="661"/>
        <v>0</v>
      </c>
      <c r="S652" s="12">
        <f t="shared" si="661"/>
        <v>60</v>
      </c>
      <c r="T652" s="17" t="s">
        <v>861</v>
      </c>
    </row>
    <row r="653" spans="1:20" x14ac:dyDescent="0.2">
      <c r="A653" s="12">
        <v>70050</v>
      </c>
      <c r="B653" s="16" t="s">
        <v>862</v>
      </c>
      <c r="C653" s="2" t="s">
        <v>800</v>
      </c>
      <c r="D653" s="12">
        <v>50</v>
      </c>
      <c r="E653" s="12">
        <v>7</v>
      </c>
      <c r="F653" s="12">
        <f t="shared" ref="F653:S653" si="662">F293</f>
        <v>50</v>
      </c>
      <c r="G653" s="12">
        <f t="shared" si="662"/>
        <v>40185</v>
      </c>
      <c r="H653" s="12">
        <f t="shared" si="662"/>
        <v>1</v>
      </c>
      <c r="I653" s="12">
        <f t="shared" si="662"/>
        <v>2</v>
      </c>
      <c r="J653" s="12">
        <f t="shared" si="662"/>
        <v>5</v>
      </c>
      <c r="K653" s="12">
        <f t="shared" si="662"/>
        <v>89316558810</v>
      </c>
      <c r="L653" s="12">
        <f t="shared" si="662"/>
        <v>89316558810</v>
      </c>
      <c r="M653" s="12">
        <f t="shared" si="662"/>
        <v>89316558810</v>
      </c>
      <c r="N653" s="12">
        <f t="shared" si="662"/>
        <v>0</v>
      </c>
      <c r="O653" s="12">
        <f t="shared" si="662"/>
        <v>0</v>
      </c>
      <c r="P653" s="12">
        <f t="shared" si="662"/>
        <v>0</v>
      </c>
      <c r="Q653" s="12">
        <f t="shared" si="662"/>
        <v>4.3178479409735801E+20</v>
      </c>
      <c r="R653" s="12">
        <f t="shared" si="662"/>
        <v>0</v>
      </c>
      <c r="S653" s="12">
        <f t="shared" si="662"/>
        <v>60</v>
      </c>
      <c r="T653" s="17" t="s">
        <v>861</v>
      </c>
    </row>
    <row r="654" spans="1:20" x14ac:dyDescent="0.2">
      <c r="A654" s="12">
        <v>70051</v>
      </c>
      <c r="B654" s="16" t="s">
        <v>863</v>
      </c>
      <c r="C654" s="2" t="s">
        <v>800</v>
      </c>
      <c r="D654" s="12">
        <v>51</v>
      </c>
      <c r="E654" s="12">
        <v>7</v>
      </c>
      <c r="F654" s="12">
        <f t="shared" ref="F654:S654" si="663">F294</f>
        <v>51</v>
      </c>
      <c r="G654" s="12">
        <f t="shared" si="663"/>
        <v>50035</v>
      </c>
      <c r="H654" s="12">
        <f t="shared" si="663"/>
        <v>3</v>
      </c>
      <c r="I654" s="12">
        <f t="shared" si="663"/>
        <v>2</v>
      </c>
      <c r="J654" s="12">
        <f t="shared" si="663"/>
        <v>5</v>
      </c>
      <c r="K654" s="12">
        <f t="shared" si="663"/>
        <v>99551542835</v>
      </c>
      <c r="L654" s="12">
        <f t="shared" si="663"/>
        <v>99551542835</v>
      </c>
      <c r="M654" s="12">
        <f t="shared" si="663"/>
        <v>99551542835</v>
      </c>
      <c r="N654" s="12">
        <f t="shared" si="663"/>
        <v>0</v>
      </c>
      <c r="O654" s="12">
        <f t="shared" si="663"/>
        <v>0</v>
      </c>
      <c r="P654" s="12">
        <f t="shared" si="663"/>
        <v>0</v>
      </c>
      <c r="Q654" s="12">
        <f t="shared" si="663"/>
        <v>5.62370147730003E+20</v>
      </c>
      <c r="R654" s="12">
        <f t="shared" si="663"/>
        <v>0</v>
      </c>
      <c r="S654" s="12">
        <f t="shared" si="663"/>
        <v>60</v>
      </c>
      <c r="T654" s="17" t="s">
        <v>861</v>
      </c>
    </row>
    <row r="655" spans="1:20" x14ac:dyDescent="0.2">
      <c r="A655" s="12">
        <v>70052</v>
      </c>
      <c r="B655" s="16" t="s">
        <v>864</v>
      </c>
      <c r="C655" s="2" t="s">
        <v>800</v>
      </c>
      <c r="D655" s="12">
        <v>52</v>
      </c>
      <c r="E655" s="12">
        <v>7</v>
      </c>
      <c r="F655" s="12">
        <f t="shared" ref="F655:S655" si="664">F295</f>
        <v>52</v>
      </c>
      <c r="G655" s="12">
        <f t="shared" si="664"/>
        <v>10025</v>
      </c>
      <c r="H655" s="12">
        <f t="shared" si="664"/>
        <v>2</v>
      </c>
      <c r="I655" s="12">
        <f t="shared" si="664"/>
        <v>2</v>
      </c>
      <c r="J655" s="12">
        <f t="shared" si="664"/>
        <v>5</v>
      </c>
      <c r="K655" s="12">
        <f t="shared" si="664"/>
        <v>107660367945</v>
      </c>
      <c r="L655" s="12">
        <f t="shared" si="664"/>
        <v>107660367945</v>
      </c>
      <c r="M655" s="12">
        <f t="shared" si="664"/>
        <v>107660367945</v>
      </c>
      <c r="N655" s="12">
        <f t="shared" si="664"/>
        <v>0</v>
      </c>
      <c r="O655" s="12">
        <f t="shared" si="664"/>
        <v>0</v>
      </c>
      <c r="P655" s="12">
        <f t="shared" si="664"/>
        <v>0</v>
      </c>
      <c r="Q655" s="12">
        <f t="shared" si="664"/>
        <v>7.1164885106501196E+20</v>
      </c>
      <c r="R655" s="12">
        <f t="shared" si="664"/>
        <v>0</v>
      </c>
      <c r="S655" s="12">
        <f t="shared" si="664"/>
        <v>60</v>
      </c>
      <c r="T655" s="17" t="s">
        <v>861</v>
      </c>
    </row>
    <row r="656" spans="1:20" x14ac:dyDescent="0.2">
      <c r="A656" s="12">
        <v>70053</v>
      </c>
      <c r="B656" s="16" t="s">
        <v>865</v>
      </c>
      <c r="C656" s="2" t="s">
        <v>800</v>
      </c>
      <c r="D656" s="12">
        <v>53</v>
      </c>
      <c r="E656" s="12">
        <v>7</v>
      </c>
      <c r="F656" s="12">
        <f t="shared" ref="F656:S656" si="665">F296</f>
        <v>53</v>
      </c>
      <c r="G656" s="12">
        <f t="shared" si="665"/>
        <v>10075</v>
      </c>
      <c r="H656" s="12">
        <f t="shared" si="665"/>
        <v>1</v>
      </c>
      <c r="I656" s="12">
        <f t="shared" si="665"/>
        <v>2</v>
      </c>
      <c r="J656" s="12">
        <f t="shared" si="665"/>
        <v>5</v>
      </c>
      <c r="K656" s="12">
        <f t="shared" si="665"/>
        <v>118277046610</v>
      </c>
      <c r="L656" s="12">
        <f t="shared" si="665"/>
        <v>118277046610</v>
      </c>
      <c r="M656" s="12">
        <f t="shared" si="665"/>
        <v>118277046610</v>
      </c>
      <c r="N656" s="12">
        <f t="shared" si="665"/>
        <v>0</v>
      </c>
      <c r="O656" s="12">
        <f t="shared" si="665"/>
        <v>0</v>
      </c>
      <c r="P656" s="12">
        <f t="shared" si="665"/>
        <v>0</v>
      </c>
      <c r="Q656" s="12">
        <f t="shared" si="665"/>
        <v>1.7524396436742501E+21</v>
      </c>
      <c r="R656" s="12">
        <f t="shared" si="665"/>
        <v>0</v>
      </c>
      <c r="S656" s="12">
        <f t="shared" si="665"/>
        <v>60</v>
      </c>
      <c r="T656" s="17" t="s">
        <v>866</v>
      </c>
    </row>
    <row r="657" spans="1:20" x14ac:dyDescent="0.2">
      <c r="A657" s="12">
        <v>70054</v>
      </c>
      <c r="B657" s="16" t="s">
        <v>867</v>
      </c>
      <c r="C657" s="2" t="s">
        <v>800</v>
      </c>
      <c r="D657" s="12">
        <v>54</v>
      </c>
      <c r="E657" s="12">
        <v>7</v>
      </c>
      <c r="F657" s="12">
        <f t="shared" ref="F657:S657" si="666">F297</f>
        <v>54</v>
      </c>
      <c r="G657" s="12">
        <f t="shared" si="666"/>
        <v>10125</v>
      </c>
      <c r="H657" s="12">
        <f t="shared" si="666"/>
        <v>3</v>
      </c>
      <c r="I657" s="12">
        <f t="shared" si="666"/>
        <v>2</v>
      </c>
      <c r="J657" s="12">
        <f t="shared" si="666"/>
        <v>5</v>
      </c>
      <c r="K657" s="12">
        <f t="shared" si="666"/>
        <v>128666764360</v>
      </c>
      <c r="L657" s="12">
        <f t="shared" si="666"/>
        <v>128666764360</v>
      </c>
      <c r="M657" s="12">
        <f t="shared" si="666"/>
        <v>128666764360</v>
      </c>
      <c r="N657" s="12">
        <f t="shared" si="666"/>
        <v>0</v>
      </c>
      <c r="O657" s="12">
        <f t="shared" si="666"/>
        <v>0</v>
      </c>
      <c r="P657" s="12">
        <f t="shared" si="666"/>
        <v>0</v>
      </c>
      <c r="Q657" s="12">
        <f t="shared" si="666"/>
        <v>2.2101461747248299E+21</v>
      </c>
      <c r="R657" s="12">
        <f t="shared" si="666"/>
        <v>0</v>
      </c>
      <c r="S657" s="12">
        <f t="shared" si="666"/>
        <v>60</v>
      </c>
      <c r="T657" s="17" t="s">
        <v>866</v>
      </c>
    </row>
    <row r="658" spans="1:20" x14ac:dyDescent="0.2">
      <c r="A658" s="12">
        <v>70055</v>
      </c>
      <c r="B658" s="16" t="s">
        <v>868</v>
      </c>
      <c r="C658" s="2" t="s">
        <v>800</v>
      </c>
      <c r="D658" s="12">
        <v>55</v>
      </c>
      <c r="E658" s="12">
        <v>7</v>
      </c>
      <c r="F658" s="12">
        <f t="shared" ref="F658:S658" si="667">F298</f>
        <v>55</v>
      </c>
      <c r="G658" s="12">
        <f t="shared" si="667"/>
        <v>10175</v>
      </c>
      <c r="H658" s="12">
        <f t="shared" si="667"/>
        <v>2</v>
      </c>
      <c r="I658" s="12">
        <f t="shared" si="667"/>
        <v>2</v>
      </c>
      <c r="J658" s="12">
        <f t="shared" si="667"/>
        <v>5</v>
      </c>
      <c r="K658" s="12">
        <f t="shared" si="667"/>
        <v>140718989180</v>
      </c>
      <c r="L658" s="12">
        <f t="shared" si="667"/>
        <v>140718989180</v>
      </c>
      <c r="M658" s="12">
        <f t="shared" si="667"/>
        <v>140718989180</v>
      </c>
      <c r="N658" s="12">
        <f t="shared" si="667"/>
        <v>0</v>
      </c>
      <c r="O658" s="12">
        <f t="shared" si="667"/>
        <v>0</v>
      </c>
      <c r="P658" s="12">
        <f t="shared" si="667"/>
        <v>0</v>
      </c>
      <c r="Q658" s="12">
        <f t="shared" si="667"/>
        <v>2.7898641802647998E+21</v>
      </c>
      <c r="R658" s="12">
        <f t="shared" si="667"/>
        <v>0</v>
      </c>
      <c r="S658" s="12">
        <f t="shared" si="667"/>
        <v>60</v>
      </c>
      <c r="T658" s="17" t="s">
        <v>866</v>
      </c>
    </row>
    <row r="659" spans="1:20" x14ac:dyDescent="0.2">
      <c r="A659" s="12">
        <v>70056</v>
      </c>
      <c r="B659" s="16" t="s">
        <v>869</v>
      </c>
      <c r="C659" s="2" t="s">
        <v>800</v>
      </c>
      <c r="D659" s="12">
        <v>56</v>
      </c>
      <c r="E659" s="12">
        <v>7</v>
      </c>
      <c r="F659" s="12">
        <f t="shared" ref="F659:S659" si="668">F299</f>
        <v>56</v>
      </c>
      <c r="G659" s="12">
        <f t="shared" si="668"/>
        <v>20025</v>
      </c>
      <c r="H659" s="12">
        <f t="shared" si="668"/>
        <v>1</v>
      </c>
      <c r="I659" s="12">
        <f t="shared" si="668"/>
        <v>2</v>
      </c>
      <c r="J659" s="12">
        <f t="shared" si="668"/>
        <v>5</v>
      </c>
      <c r="K659" s="12">
        <f t="shared" si="668"/>
        <v>152475215170</v>
      </c>
      <c r="L659" s="12">
        <f t="shared" si="668"/>
        <v>152475215170</v>
      </c>
      <c r="M659" s="12">
        <f t="shared" si="668"/>
        <v>152475215170</v>
      </c>
      <c r="N659" s="12">
        <f t="shared" si="668"/>
        <v>0</v>
      </c>
      <c r="O659" s="12">
        <f t="shared" si="668"/>
        <v>0</v>
      </c>
      <c r="P659" s="12">
        <f t="shared" si="668"/>
        <v>0</v>
      </c>
      <c r="Q659" s="12">
        <f t="shared" si="668"/>
        <v>3.4925942661933999E+21</v>
      </c>
      <c r="R659" s="12">
        <f t="shared" si="668"/>
        <v>0</v>
      </c>
      <c r="S659" s="12">
        <f t="shared" si="668"/>
        <v>60</v>
      </c>
      <c r="T659" s="17" t="s">
        <v>866</v>
      </c>
    </row>
    <row r="660" spans="1:20" x14ac:dyDescent="0.2">
      <c r="A660" s="12">
        <v>70057</v>
      </c>
      <c r="B660" s="16" t="s">
        <v>870</v>
      </c>
      <c r="C660" s="2" t="s">
        <v>800</v>
      </c>
      <c r="D660" s="12">
        <v>57</v>
      </c>
      <c r="E660" s="12">
        <v>7</v>
      </c>
      <c r="F660" s="12">
        <f t="shared" ref="F660:S660" si="669">F300</f>
        <v>57</v>
      </c>
      <c r="G660" s="12">
        <f t="shared" si="669"/>
        <v>20075</v>
      </c>
      <c r="H660" s="12">
        <f t="shared" si="669"/>
        <v>3</v>
      </c>
      <c r="I660" s="12">
        <f t="shared" si="669"/>
        <v>2</v>
      </c>
      <c r="J660" s="12">
        <f t="shared" si="669"/>
        <v>5</v>
      </c>
      <c r="K660" s="12">
        <f t="shared" si="669"/>
        <v>166757015875</v>
      </c>
      <c r="L660" s="12">
        <f t="shared" si="669"/>
        <v>166757015875</v>
      </c>
      <c r="M660" s="12">
        <f t="shared" si="669"/>
        <v>166757015875</v>
      </c>
      <c r="N660" s="12">
        <f t="shared" si="669"/>
        <v>0</v>
      </c>
      <c r="O660" s="12">
        <f t="shared" si="669"/>
        <v>0</v>
      </c>
      <c r="P660" s="12">
        <f t="shared" si="669"/>
        <v>0</v>
      </c>
      <c r="Q660" s="12">
        <f t="shared" si="669"/>
        <v>4.5149541879004702E+21</v>
      </c>
      <c r="R660" s="12">
        <f t="shared" si="669"/>
        <v>0</v>
      </c>
      <c r="S660" s="12">
        <f t="shared" si="669"/>
        <v>60</v>
      </c>
      <c r="T660" s="17" t="s">
        <v>871</v>
      </c>
    </row>
    <row r="661" spans="1:20" x14ac:dyDescent="0.2">
      <c r="A661" s="12">
        <v>70058</v>
      </c>
      <c r="B661" s="16" t="s">
        <v>872</v>
      </c>
      <c r="C661" s="2" t="s">
        <v>800</v>
      </c>
      <c r="D661" s="12">
        <v>58</v>
      </c>
      <c r="E661" s="12">
        <v>7</v>
      </c>
      <c r="F661" s="12">
        <f t="shared" ref="F661:S661" si="670">F301</f>
        <v>58</v>
      </c>
      <c r="G661" s="12">
        <f t="shared" si="670"/>
        <v>20125</v>
      </c>
      <c r="H661" s="12">
        <f t="shared" si="670"/>
        <v>2</v>
      </c>
      <c r="I661" s="12">
        <f t="shared" si="670"/>
        <v>2</v>
      </c>
      <c r="J661" s="12">
        <f t="shared" si="670"/>
        <v>5</v>
      </c>
      <c r="K661" s="12">
        <f t="shared" si="670"/>
        <v>180087885525</v>
      </c>
      <c r="L661" s="12">
        <f t="shared" si="670"/>
        <v>180087885525</v>
      </c>
      <c r="M661" s="12">
        <f t="shared" si="670"/>
        <v>180087885525</v>
      </c>
      <c r="N661" s="12">
        <f t="shared" si="670"/>
        <v>0</v>
      </c>
      <c r="O661" s="12">
        <f t="shared" si="670"/>
        <v>0</v>
      </c>
      <c r="P661" s="12">
        <f t="shared" si="670"/>
        <v>0</v>
      </c>
      <c r="Q661" s="12">
        <f t="shared" si="670"/>
        <v>5.61440124078562E+21</v>
      </c>
      <c r="R661" s="12">
        <f t="shared" si="670"/>
        <v>0</v>
      </c>
      <c r="S661" s="12">
        <f t="shared" si="670"/>
        <v>60</v>
      </c>
      <c r="T661" s="17" t="s">
        <v>871</v>
      </c>
    </row>
    <row r="662" spans="1:20" x14ac:dyDescent="0.2">
      <c r="A662" s="12">
        <v>70059</v>
      </c>
      <c r="B662" s="16" t="s">
        <v>873</v>
      </c>
      <c r="C662" s="2" t="s">
        <v>800</v>
      </c>
      <c r="D662" s="12">
        <v>59</v>
      </c>
      <c r="E662" s="12">
        <v>7</v>
      </c>
      <c r="F662" s="12">
        <f t="shared" ref="F662:S662" si="671">F302</f>
        <v>59</v>
      </c>
      <c r="G662" s="12">
        <f t="shared" si="671"/>
        <v>20175</v>
      </c>
      <c r="H662" s="12">
        <f t="shared" si="671"/>
        <v>1</v>
      </c>
      <c r="I662" s="12">
        <f t="shared" si="671"/>
        <v>2</v>
      </c>
      <c r="J662" s="12">
        <f t="shared" si="671"/>
        <v>5</v>
      </c>
      <c r="K662" s="12">
        <f t="shared" si="671"/>
        <v>195581306730</v>
      </c>
      <c r="L662" s="12">
        <f t="shared" si="671"/>
        <v>195581306730</v>
      </c>
      <c r="M662" s="12">
        <f t="shared" si="671"/>
        <v>195581306730</v>
      </c>
      <c r="N662" s="12">
        <f t="shared" si="671"/>
        <v>0</v>
      </c>
      <c r="O662" s="12">
        <f t="shared" si="671"/>
        <v>0</v>
      </c>
      <c r="P662" s="12">
        <f t="shared" si="671"/>
        <v>0</v>
      </c>
      <c r="Q662" s="12">
        <f t="shared" si="671"/>
        <v>7.0016471625807996E+21</v>
      </c>
      <c r="R662" s="12">
        <f t="shared" si="671"/>
        <v>0</v>
      </c>
      <c r="S662" s="12">
        <f t="shared" si="671"/>
        <v>60</v>
      </c>
      <c r="T662" s="17" t="s">
        <v>871</v>
      </c>
    </row>
    <row r="663" spans="1:20" x14ac:dyDescent="0.2">
      <c r="A663" s="12">
        <v>70060</v>
      </c>
      <c r="B663" s="16" t="s">
        <v>874</v>
      </c>
      <c r="C663" s="2" t="s">
        <v>800</v>
      </c>
      <c r="D663" s="12">
        <v>60</v>
      </c>
      <c r="E663" s="12">
        <v>7</v>
      </c>
      <c r="F663" s="12">
        <f t="shared" ref="F663:S663" si="672">F303</f>
        <v>60</v>
      </c>
      <c r="G663" s="12">
        <f t="shared" si="672"/>
        <v>30025</v>
      </c>
      <c r="H663" s="12">
        <f t="shared" si="672"/>
        <v>3</v>
      </c>
      <c r="I663" s="12">
        <f t="shared" si="672"/>
        <v>2</v>
      </c>
      <c r="J663" s="12">
        <f t="shared" si="672"/>
        <v>5</v>
      </c>
      <c r="K663" s="12">
        <f t="shared" si="672"/>
        <v>210590038610</v>
      </c>
      <c r="L663" s="12">
        <f t="shared" si="672"/>
        <v>210590038610</v>
      </c>
      <c r="M663" s="12">
        <f t="shared" si="672"/>
        <v>210590038610</v>
      </c>
      <c r="N663" s="12">
        <f t="shared" si="672"/>
        <v>0</v>
      </c>
      <c r="O663" s="12">
        <f t="shared" si="672"/>
        <v>0</v>
      </c>
      <c r="P663" s="12">
        <f t="shared" si="672"/>
        <v>0</v>
      </c>
      <c r="Q663" s="12">
        <f t="shared" si="672"/>
        <v>8.6983560869698003E+21</v>
      </c>
      <c r="R663" s="12">
        <f t="shared" si="672"/>
        <v>0</v>
      </c>
      <c r="S663" s="12">
        <f t="shared" si="672"/>
        <v>60</v>
      </c>
      <c r="T663" s="17" t="s">
        <v>871</v>
      </c>
    </row>
    <row r="664" spans="1:20" x14ac:dyDescent="0.2">
      <c r="A664" s="12">
        <v>70061</v>
      </c>
      <c r="B664" s="16" t="s">
        <v>875</v>
      </c>
      <c r="C664" s="2" t="s">
        <v>800</v>
      </c>
      <c r="D664" s="12">
        <v>61</v>
      </c>
      <c r="E664" s="12">
        <v>7</v>
      </c>
      <c r="F664" s="12">
        <f t="shared" ref="F664:S664" si="673">F304</f>
        <v>61</v>
      </c>
      <c r="G664" s="12">
        <f t="shared" si="673"/>
        <v>30075</v>
      </c>
      <c r="H664" s="12">
        <f t="shared" si="673"/>
        <v>2</v>
      </c>
      <c r="I664" s="12">
        <f t="shared" si="673"/>
        <v>2</v>
      </c>
      <c r="J664" s="12">
        <f t="shared" si="673"/>
        <v>5</v>
      </c>
      <c r="K664" s="12">
        <f t="shared" si="673"/>
        <v>380144579500</v>
      </c>
      <c r="L664" s="12">
        <f t="shared" si="673"/>
        <v>380144579500</v>
      </c>
      <c r="M664" s="12">
        <f t="shared" si="673"/>
        <v>380144579500</v>
      </c>
      <c r="N664" s="12">
        <f t="shared" si="673"/>
        <v>0</v>
      </c>
      <c r="O664" s="12">
        <f t="shared" si="673"/>
        <v>0</v>
      </c>
      <c r="P664" s="12">
        <f t="shared" si="673"/>
        <v>0</v>
      </c>
      <c r="Q664" s="12">
        <f t="shared" si="673"/>
        <v>3.4917056376026801E+22</v>
      </c>
      <c r="R664" s="12">
        <f t="shared" si="673"/>
        <v>0</v>
      </c>
      <c r="S664" s="12">
        <f t="shared" si="673"/>
        <v>60</v>
      </c>
      <c r="T664" s="17" t="s">
        <v>876</v>
      </c>
    </row>
    <row r="665" spans="1:20" x14ac:dyDescent="0.2">
      <c r="A665" s="12">
        <v>70062</v>
      </c>
      <c r="B665" s="16" t="s">
        <v>877</v>
      </c>
      <c r="C665" s="2" t="s">
        <v>800</v>
      </c>
      <c r="D665" s="12">
        <v>62</v>
      </c>
      <c r="E665" s="12">
        <v>7</v>
      </c>
      <c r="F665" s="12">
        <f t="shared" ref="F665:S665" si="674">F305</f>
        <v>62</v>
      </c>
      <c r="G665" s="12">
        <f t="shared" si="674"/>
        <v>30125</v>
      </c>
      <c r="H665" s="12">
        <f t="shared" si="674"/>
        <v>1</v>
      </c>
      <c r="I665" s="12">
        <f t="shared" si="674"/>
        <v>2</v>
      </c>
      <c r="J665" s="12">
        <f t="shared" si="674"/>
        <v>5</v>
      </c>
      <c r="K665" s="12">
        <f t="shared" si="674"/>
        <v>406254291110</v>
      </c>
      <c r="L665" s="12">
        <f t="shared" si="674"/>
        <v>406254291110</v>
      </c>
      <c r="M665" s="12">
        <f t="shared" si="674"/>
        <v>406254291110</v>
      </c>
      <c r="N665" s="12">
        <f t="shared" si="674"/>
        <v>0</v>
      </c>
      <c r="O665" s="12">
        <f t="shared" si="674"/>
        <v>0</v>
      </c>
      <c r="P665" s="12">
        <f t="shared" si="674"/>
        <v>0</v>
      </c>
      <c r="Q665" s="12">
        <f t="shared" si="674"/>
        <v>4.2337243088893797E+22</v>
      </c>
      <c r="R665" s="12">
        <f t="shared" si="674"/>
        <v>0</v>
      </c>
      <c r="S665" s="12">
        <f t="shared" si="674"/>
        <v>60</v>
      </c>
      <c r="T665" s="17" t="s">
        <v>876</v>
      </c>
    </row>
    <row r="666" spans="1:20" x14ac:dyDescent="0.2">
      <c r="A666" s="12">
        <v>70063</v>
      </c>
      <c r="B666" s="16" t="s">
        <v>878</v>
      </c>
      <c r="C666" s="2" t="s">
        <v>800</v>
      </c>
      <c r="D666" s="12">
        <v>63</v>
      </c>
      <c r="E666" s="12">
        <v>7</v>
      </c>
      <c r="F666" s="12">
        <f t="shared" ref="F666:S666" si="675">F306</f>
        <v>63</v>
      </c>
      <c r="G666" s="12">
        <f t="shared" si="675"/>
        <v>30175</v>
      </c>
      <c r="H666" s="12">
        <f t="shared" si="675"/>
        <v>3</v>
      </c>
      <c r="I666" s="12">
        <f t="shared" si="675"/>
        <v>2</v>
      </c>
      <c r="J666" s="12">
        <f t="shared" si="675"/>
        <v>5</v>
      </c>
      <c r="K666" s="12">
        <f t="shared" si="675"/>
        <v>436597890710</v>
      </c>
      <c r="L666" s="12">
        <f t="shared" si="675"/>
        <v>436597890710</v>
      </c>
      <c r="M666" s="12">
        <f t="shared" si="675"/>
        <v>436597890710</v>
      </c>
      <c r="N666" s="12">
        <f t="shared" si="675"/>
        <v>0</v>
      </c>
      <c r="O666" s="12">
        <f t="shared" si="675"/>
        <v>0</v>
      </c>
      <c r="P666" s="12">
        <f t="shared" si="675"/>
        <v>0</v>
      </c>
      <c r="Q666" s="12">
        <f t="shared" si="675"/>
        <v>5.1416847673219697E+22</v>
      </c>
      <c r="R666" s="12">
        <f t="shared" si="675"/>
        <v>0</v>
      </c>
      <c r="S666" s="12">
        <f t="shared" si="675"/>
        <v>60</v>
      </c>
      <c r="T666" s="17" t="s">
        <v>876</v>
      </c>
    </row>
    <row r="667" spans="1:20" x14ac:dyDescent="0.2">
      <c r="A667" s="12">
        <v>70064</v>
      </c>
      <c r="B667" s="16" t="s">
        <v>879</v>
      </c>
      <c r="C667" s="2" t="s">
        <v>800</v>
      </c>
      <c r="D667" s="12">
        <v>64</v>
      </c>
      <c r="E667" s="12">
        <v>7</v>
      </c>
      <c r="F667" s="12">
        <f t="shared" ref="F667:S667" si="676">F307</f>
        <v>64</v>
      </c>
      <c r="G667" s="12">
        <f t="shared" si="676"/>
        <v>40025</v>
      </c>
      <c r="H667" s="12">
        <f t="shared" si="676"/>
        <v>2</v>
      </c>
      <c r="I667" s="12">
        <f t="shared" si="676"/>
        <v>2</v>
      </c>
      <c r="J667" s="12">
        <f t="shared" si="676"/>
        <v>5</v>
      </c>
      <c r="K667" s="12">
        <f t="shared" si="676"/>
        <v>465641810800</v>
      </c>
      <c r="L667" s="12">
        <f t="shared" si="676"/>
        <v>465641810800</v>
      </c>
      <c r="M667" s="12">
        <f t="shared" si="676"/>
        <v>465641810800</v>
      </c>
      <c r="N667" s="12">
        <f t="shared" si="676"/>
        <v>0</v>
      </c>
      <c r="O667" s="12">
        <f t="shared" si="676"/>
        <v>0</v>
      </c>
      <c r="P667" s="12">
        <f t="shared" si="676"/>
        <v>0</v>
      </c>
      <c r="Q667" s="12">
        <f t="shared" si="676"/>
        <v>6.2095043642641198E+22</v>
      </c>
      <c r="R667" s="12">
        <f t="shared" si="676"/>
        <v>0</v>
      </c>
      <c r="S667" s="12">
        <f t="shared" si="676"/>
        <v>60</v>
      </c>
      <c r="T667" s="17" t="s">
        <v>876</v>
      </c>
    </row>
    <row r="668" spans="1:20" x14ac:dyDescent="0.2">
      <c r="A668" s="12">
        <v>70065</v>
      </c>
      <c r="B668" s="16" t="s">
        <v>880</v>
      </c>
      <c r="C668" s="2" t="s">
        <v>800</v>
      </c>
      <c r="D668" s="12">
        <v>65</v>
      </c>
      <c r="E668" s="12">
        <v>7</v>
      </c>
      <c r="F668" s="12">
        <f t="shared" ref="F668:S668" si="677">F308</f>
        <v>65</v>
      </c>
      <c r="G668" s="12">
        <f t="shared" si="677"/>
        <v>40075</v>
      </c>
      <c r="H668" s="12">
        <f t="shared" si="677"/>
        <v>1</v>
      </c>
      <c r="I668" s="12">
        <f t="shared" si="677"/>
        <v>2</v>
      </c>
      <c r="J668" s="12">
        <f t="shared" si="677"/>
        <v>5</v>
      </c>
      <c r="K668" s="12">
        <f t="shared" si="677"/>
        <v>547117431495</v>
      </c>
      <c r="L668" s="12">
        <f t="shared" si="677"/>
        <v>547117431495</v>
      </c>
      <c r="M668" s="12">
        <f t="shared" si="677"/>
        <v>547117431495</v>
      </c>
      <c r="N668" s="12">
        <f t="shared" si="677"/>
        <v>0</v>
      </c>
      <c r="O668" s="12">
        <f t="shared" si="677"/>
        <v>0</v>
      </c>
      <c r="P668" s="12">
        <f t="shared" si="677"/>
        <v>0</v>
      </c>
      <c r="Q668" s="12">
        <f t="shared" si="677"/>
        <v>7.8202588154703806E+22</v>
      </c>
      <c r="R668" s="12">
        <f t="shared" si="677"/>
        <v>0</v>
      </c>
      <c r="S668" s="12">
        <f t="shared" si="677"/>
        <v>60</v>
      </c>
      <c r="T668" s="17" t="s">
        <v>881</v>
      </c>
    </row>
    <row r="669" spans="1:20" x14ac:dyDescent="0.2">
      <c r="A669" s="12">
        <v>70066</v>
      </c>
      <c r="B669" s="16" t="s">
        <v>882</v>
      </c>
      <c r="C669" s="2" t="s">
        <v>800</v>
      </c>
      <c r="D669" s="12">
        <v>66</v>
      </c>
      <c r="E669" s="12">
        <v>7</v>
      </c>
      <c r="F669" s="12">
        <f t="shared" ref="F669:S669" si="678">F309</f>
        <v>66</v>
      </c>
      <c r="G669" s="12">
        <f t="shared" si="678"/>
        <v>40125</v>
      </c>
      <c r="H669" s="12">
        <f t="shared" si="678"/>
        <v>3</v>
      </c>
      <c r="I669" s="12">
        <f t="shared" si="678"/>
        <v>2</v>
      </c>
      <c r="J669" s="12">
        <f t="shared" si="678"/>
        <v>5</v>
      </c>
      <c r="K669" s="12">
        <f t="shared" si="678"/>
        <v>582928054315</v>
      </c>
      <c r="L669" s="12">
        <f t="shared" si="678"/>
        <v>582928054315</v>
      </c>
      <c r="M669" s="12">
        <f t="shared" si="678"/>
        <v>582928054315</v>
      </c>
      <c r="N669" s="12">
        <f t="shared" si="678"/>
        <v>0</v>
      </c>
      <c r="O669" s="12">
        <f t="shared" si="678"/>
        <v>0</v>
      </c>
      <c r="P669" s="12">
        <f t="shared" si="678"/>
        <v>0</v>
      </c>
      <c r="Q669" s="12">
        <f t="shared" si="678"/>
        <v>9.42776497330198E+22</v>
      </c>
      <c r="R669" s="12">
        <f t="shared" si="678"/>
        <v>0</v>
      </c>
      <c r="S669" s="12">
        <f t="shared" si="678"/>
        <v>60</v>
      </c>
      <c r="T669" s="17" t="s">
        <v>881</v>
      </c>
    </row>
    <row r="670" spans="1:20" x14ac:dyDescent="0.2">
      <c r="A670" s="12">
        <v>70067</v>
      </c>
      <c r="B670" s="16" t="s">
        <v>883</v>
      </c>
      <c r="C670" s="2" t="s">
        <v>800</v>
      </c>
      <c r="D670" s="12">
        <v>67</v>
      </c>
      <c r="E670" s="12">
        <v>7</v>
      </c>
      <c r="F670" s="12">
        <f t="shared" ref="F670:S670" si="679">F310</f>
        <v>67</v>
      </c>
      <c r="G670" s="12">
        <f t="shared" si="679"/>
        <v>40175</v>
      </c>
      <c r="H670" s="12">
        <f t="shared" si="679"/>
        <v>2</v>
      </c>
      <c r="I670" s="12">
        <f t="shared" si="679"/>
        <v>2</v>
      </c>
      <c r="J670" s="12">
        <f t="shared" si="679"/>
        <v>5</v>
      </c>
      <c r="K670" s="12">
        <f t="shared" si="679"/>
        <v>624574908810</v>
      </c>
      <c r="L670" s="12">
        <f t="shared" si="679"/>
        <v>624574908810</v>
      </c>
      <c r="M670" s="12">
        <f t="shared" si="679"/>
        <v>624574908810</v>
      </c>
      <c r="N670" s="12">
        <f t="shared" si="679"/>
        <v>0</v>
      </c>
      <c r="O670" s="12">
        <f t="shared" si="679"/>
        <v>0</v>
      </c>
      <c r="P670" s="12">
        <f t="shared" si="679"/>
        <v>0</v>
      </c>
      <c r="Q670" s="12">
        <f t="shared" si="679"/>
        <v>1.13882481298603E+23</v>
      </c>
      <c r="R670" s="12">
        <f t="shared" si="679"/>
        <v>0</v>
      </c>
      <c r="S670" s="12">
        <f t="shared" si="679"/>
        <v>60</v>
      </c>
      <c r="T670" s="17" t="s">
        <v>881</v>
      </c>
    </row>
    <row r="671" spans="1:20" x14ac:dyDescent="0.2">
      <c r="A671" s="12">
        <v>70068</v>
      </c>
      <c r="B671" s="16" t="s">
        <v>884</v>
      </c>
      <c r="C671" s="2" t="s">
        <v>800</v>
      </c>
      <c r="D671" s="12">
        <v>68</v>
      </c>
      <c r="E671" s="12">
        <v>7</v>
      </c>
      <c r="F671" s="12">
        <f t="shared" ref="F671:S671" si="680">F311</f>
        <v>68</v>
      </c>
      <c r="G671" s="12">
        <f t="shared" si="680"/>
        <v>50025</v>
      </c>
      <c r="H671" s="12">
        <f t="shared" si="680"/>
        <v>1</v>
      </c>
      <c r="I671" s="12">
        <f t="shared" si="680"/>
        <v>2</v>
      </c>
      <c r="J671" s="12">
        <f t="shared" si="680"/>
        <v>5</v>
      </c>
      <c r="K671" s="12">
        <f t="shared" si="680"/>
        <v>664250592050</v>
      </c>
      <c r="L671" s="12">
        <f t="shared" si="680"/>
        <v>664250592050</v>
      </c>
      <c r="M671" s="12">
        <f t="shared" si="680"/>
        <v>664250592050</v>
      </c>
      <c r="N671" s="12">
        <f t="shared" si="680"/>
        <v>0</v>
      </c>
      <c r="O671" s="12">
        <f t="shared" si="680"/>
        <v>0</v>
      </c>
      <c r="P671" s="12">
        <f t="shared" si="680"/>
        <v>0</v>
      </c>
      <c r="Q671" s="12">
        <f t="shared" si="680"/>
        <v>1.3685466632864499E+23</v>
      </c>
      <c r="R671" s="12">
        <f t="shared" si="680"/>
        <v>0</v>
      </c>
      <c r="S671" s="12">
        <f t="shared" si="680"/>
        <v>60</v>
      </c>
      <c r="T671" s="17" t="s">
        <v>881</v>
      </c>
    </row>
    <row r="672" spans="1:20" x14ac:dyDescent="0.2">
      <c r="A672" s="12">
        <v>70069</v>
      </c>
      <c r="B672" s="16" t="s">
        <v>885</v>
      </c>
      <c r="C672" s="2" t="s">
        <v>800</v>
      </c>
      <c r="D672" s="12">
        <v>69</v>
      </c>
      <c r="E672" s="12">
        <v>7</v>
      </c>
      <c r="F672" s="12">
        <f t="shared" ref="F672:S672" si="681">F312</f>
        <v>69</v>
      </c>
      <c r="G672" s="12">
        <f t="shared" si="681"/>
        <v>50075</v>
      </c>
      <c r="H672" s="12">
        <f t="shared" si="681"/>
        <v>3</v>
      </c>
      <c r="I672" s="12">
        <f t="shared" si="681"/>
        <v>2</v>
      </c>
      <c r="J672" s="12">
        <f t="shared" si="681"/>
        <v>5</v>
      </c>
      <c r="K672" s="12">
        <f t="shared" si="681"/>
        <v>710540723350</v>
      </c>
      <c r="L672" s="12">
        <f t="shared" si="681"/>
        <v>710540723350</v>
      </c>
      <c r="M672" s="12">
        <f t="shared" si="681"/>
        <v>710540723350</v>
      </c>
      <c r="N672" s="12">
        <f t="shared" si="681"/>
        <v>0</v>
      </c>
      <c r="O672" s="12">
        <f t="shared" si="681"/>
        <v>0</v>
      </c>
      <c r="P672" s="12">
        <f t="shared" si="681"/>
        <v>0</v>
      </c>
      <c r="Q672" s="12">
        <f t="shared" si="681"/>
        <v>1.64819605967886E+23</v>
      </c>
      <c r="R672" s="12">
        <f t="shared" si="681"/>
        <v>0</v>
      </c>
      <c r="S672" s="12">
        <f t="shared" si="681"/>
        <v>60</v>
      </c>
      <c r="T672" s="17" t="s">
        <v>886</v>
      </c>
    </row>
    <row r="673" spans="1:20" x14ac:dyDescent="0.2">
      <c r="A673" s="12">
        <v>70070</v>
      </c>
      <c r="B673" s="16" t="s">
        <v>887</v>
      </c>
      <c r="C673" s="2" t="s">
        <v>800</v>
      </c>
      <c r="D673" s="12">
        <v>70</v>
      </c>
      <c r="E673" s="12">
        <v>7</v>
      </c>
      <c r="F673" s="12">
        <f t="shared" ref="F673:S673" si="682">F313</f>
        <v>70</v>
      </c>
      <c r="G673" s="12">
        <f t="shared" si="682"/>
        <v>10065</v>
      </c>
      <c r="H673" s="12">
        <f t="shared" si="682"/>
        <v>2</v>
      </c>
      <c r="I673" s="12">
        <f t="shared" si="682"/>
        <v>2</v>
      </c>
      <c r="J673" s="12">
        <f t="shared" si="682"/>
        <v>5</v>
      </c>
      <c r="K673" s="12">
        <f t="shared" si="682"/>
        <v>754588569150</v>
      </c>
      <c r="L673" s="12">
        <f t="shared" si="682"/>
        <v>754588569150</v>
      </c>
      <c r="M673" s="12">
        <f t="shared" si="682"/>
        <v>754588569150</v>
      </c>
      <c r="N673" s="12">
        <f t="shared" si="682"/>
        <v>0</v>
      </c>
      <c r="O673" s="12">
        <f t="shared" si="682"/>
        <v>0</v>
      </c>
      <c r="P673" s="12">
        <f t="shared" si="682"/>
        <v>0</v>
      </c>
      <c r="Q673" s="12">
        <f t="shared" si="682"/>
        <v>1.9741355213334801E+23</v>
      </c>
      <c r="R673" s="12">
        <f t="shared" si="682"/>
        <v>0</v>
      </c>
      <c r="S673" s="12">
        <f t="shared" si="682"/>
        <v>60</v>
      </c>
      <c r="T673" s="17" t="s">
        <v>886</v>
      </c>
    </row>
    <row r="674" spans="1:20" x14ac:dyDescent="0.2">
      <c r="A674" s="12">
        <v>70071</v>
      </c>
      <c r="B674" s="16" t="s">
        <v>888</v>
      </c>
      <c r="C674" s="2" t="s">
        <v>800</v>
      </c>
      <c r="D674" s="12">
        <v>71</v>
      </c>
      <c r="E674" s="12">
        <v>7</v>
      </c>
      <c r="F674" s="12">
        <f t="shared" ref="F674:S674" si="683">F314</f>
        <v>71</v>
      </c>
      <c r="G674" s="12">
        <f t="shared" si="683"/>
        <v>10115</v>
      </c>
      <c r="H674" s="12">
        <f t="shared" si="683"/>
        <v>1</v>
      </c>
      <c r="I674" s="12">
        <f t="shared" si="683"/>
        <v>2</v>
      </c>
      <c r="J674" s="12">
        <f t="shared" si="683"/>
        <v>5</v>
      </c>
      <c r="K674" s="12">
        <f t="shared" si="683"/>
        <v>805881371825</v>
      </c>
      <c r="L674" s="12">
        <f t="shared" si="683"/>
        <v>805881371825</v>
      </c>
      <c r="M674" s="12">
        <f t="shared" si="683"/>
        <v>805881371825</v>
      </c>
      <c r="N674" s="12">
        <f t="shared" si="683"/>
        <v>0</v>
      </c>
      <c r="O674" s="12">
        <f t="shared" si="683"/>
        <v>0</v>
      </c>
      <c r="P674" s="12">
        <f t="shared" si="683"/>
        <v>0</v>
      </c>
      <c r="Q674" s="12">
        <f t="shared" si="683"/>
        <v>2.3700701263284499E+23</v>
      </c>
      <c r="R674" s="12">
        <f t="shared" si="683"/>
        <v>0</v>
      </c>
      <c r="S674" s="12">
        <f t="shared" si="683"/>
        <v>60</v>
      </c>
      <c r="T674" s="17" t="s">
        <v>886</v>
      </c>
    </row>
    <row r="675" spans="1:20" x14ac:dyDescent="0.2">
      <c r="A675" s="12">
        <v>70072</v>
      </c>
      <c r="B675" s="16" t="s">
        <v>889</v>
      </c>
      <c r="C675" s="2" t="s">
        <v>800</v>
      </c>
      <c r="D675" s="12">
        <v>72</v>
      </c>
      <c r="E675" s="12">
        <v>7</v>
      </c>
      <c r="F675" s="12">
        <f t="shared" ref="F675:S675" si="684">F315</f>
        <v>72</v>
      </c>
      <c r="G675" s="12">
        <f t="shared" si="684"/>
        <v>10165</v>
      </c>
      <c r="H675" s="12">
        <f t="shared" si="684"/>
        <v>3</v>
      </c>
      <c r="I675" s="12">
        <f t="shared" si="684"/>
        <v>2</v>
      </c>
      <c r="J675" s="12">
        <f t="shared" si="684"/>
        <v>5</v>
      </c>
      <c r="K675" s="12">
        <f t="shared" si="684"/>
        <v>849349846460</v>
      </c>
      <c r="L675" s="12">
        <f t="shared" si="684"/>
        <v>849349846460</v>
      </c>
      <c r="M675" s="12">
        <f t="shared" si="684"/>
        <v>849349846460</v>
      </c>
      <c r="N675" s="12">
        <f t="shared" si="684"/>
        <v>0</v>
      </c>
      <c r="O675" s="12">
        <f t="shared" si="684"/>
        <v>0</v>
      </c>
      <c r="P675" s="12">
        <f t="shared" si="684"/>
        <v>0</v>
      </c>
      <c r="Q675" s="12">
        <f t="shared" si="684"/>
        <v>2.8020918789288E+23</v>
      </c>
      <c r="R675" s="12">
        <f t="shared" si="684"/>
        <v>0</v>
      </c>
      <c r="S675" s="12">
        <f t="shared" si="684"/>
        <v>60</v>
      </c>
      <c r="T675" s="17" t="s">
        <v>886</v>
      </c>
    </row>
    <row r="676" spans="1:20" x14ac:dyDescent="0.2">
      <c r="A676" s="12">
        <v>70073</v>
      </c>
      <c r="B676" s="16" t="s">
        <v>890</v>
      </c>
      <c r="C676" s="2" t="s">
        <v>800</v>
      </c>
      <c r="D676" s="12">
        <v>73</v>
      </c>
      <c r="E676" s="12">
        <v>7</v>
      </c>
      <c r="F676" s="12">
        <f t="shared" ref="F676:S676" si="685">F316</f>
        <v>73</v>
      </c>
      <c r="G676" s="12">
        <f t="shared" si="685"/>
        <v>20015</v>
      </c>
      <c r="H676" s="12">
        <f t="shared" si="685"/>
        <v>2</v>
      </c>
      <c r="I676" s="12">
        <f t="shared" si="685"/>
        <v>2</v>
      </c>
      <c r="J676" s="12">
        <f t="shared" si="685"/>
        <v>5</v>
      </c>
      <c r="K676" s="12">
        <f t="shared" si="685"/>
        <v>904812627005</v>
      </c>
      <c r="L676" s="12">
        <f t="shared" si="685"/>
        <v>904812627005</v>
      </c>
      <c r="M676" s="12">
        <f t="shared" si="685"/>
        <v>904812627005</v>
      </c>
      <c r="N676" s="12">
        <f t="shared" si="685"/>
        <v>0</v>
      </c>
      <c r="O676" s="12">
        <f t="shared" si="685"/>
        <v>0</v>
      </c>
      <c r="P676" s="12">
        <f t="shared" si="685"/>
        <v>0</v>
      </c>
      <c r="Q676" s="12">
        <f t="shared" si="685"/>
        <v>3.4512116020382499E+23</v>
      </c>
      <c r="R676" s="12">
        <f t="shared" si="685"/>
        <v>0</v>
      </c>
      <c r="S676" s="12">
        <f t="shared" si="685"/>
        <v>60</v>
      </c>
      <c r="T676" s="17" t="s">
        <v>891</v>
      </c>
    </row>
    <row r="677" spans="1:20" x14ac:dyDescent="0.2">
      <c r="A677" s="12">
        <v>70074</v>
      </c>
      <c r="B677" s="16" t="s">
        <v>892</v>
      </c>
      <c r="C677" s="2" t="s">
        <v>800</v>
      </c>
      <c r="D677" s="12">
        <v>74</v>
      </c>
      <c r="E677" s="12">
        <v>7</v>
      </c>
      <c r="F677" s="12">
        <f t="shared" ref="F677:S677" si="686">F317</f>
        <v>74</v>
      </c>
      <c r="G677" s="12">
        <f t="shared" si="686"/>
        <v>20065</v>
      </c>
      <c r="H677" s="12">
        <f t="shared" si="686"/>
        <v>1</v>
      </c>
      <c r="I677" s="12">
        <f t="shared" si="686"/>
        <v>2</v>
      </c>
      <c r="J677" s="12">
        <f t="shared" si="686"/>
        <v>5</v>
      </c>
      <c r="K677" s="12">
        <f t="shared" si="686"/>
        <v>952363500030</v>
      </c>
      <c r="L677" s="12">
        <f t="shared" si="686"/>
        <v>952363500030</v>
      </c>
      <c r="M677" s="12">
        <f t="shared" si="686"/>
        <v>952363500030</v>
      </c>
      <c r="N677" s="12">
        <f t="shared" si="686"/>
        <v>0</v>
      </c>
      <c r="O677" s="12">
        <f t="shared" si="686"/>
        <v>0</v>
      </c>
      <c r="P677" s="12">
        <f t="shared" si="686"/>
        <v>0</v>
      </c>
      <c r="Q677" s="12">
        <f t="shared" si="686"/>
        <v>4.0672903940712002E+23</v>
      </c>
      <c r="R677" s="12">
        <f t="shared" si="686"/>
        <v>0</v>
      </c>
      <c r="S677" s="12">
        <f t="shared" si="686"/>
        <v>60</v>
      </c>
      <c r="T677" s="17" t="s">
        <v>891</v>
      </c>
    </row>
    <row r="678" spans="1:20" x14ac:dyDescent="0.2">
      <c r="A678" s="12">
        <v>70075</v>
      </c>
      <c r="B678" s="16" t="s">
        <v>893</v>
      </c>
      <c r="C678" s="2" t="s">
        <v>800</v>
      </c>
      <c r="D678" s="12">
        <v>75</v>
      </c>
      <c r="E678" s="12">
        <v>7</v>
      </c>
      <c r="F678" s="12">
        <f t="shared" ref="F678:S678" si="687">F318</f>
        <v>75</v>
      </c>
      <c r="G678" s="12">
        <f t="shared" si="687"/>
        <v>20115</v>
      </c>
      <c r="H678" s="12">
        <f t="shared" si="687"/>
        <v>3</v>
      </c>
      <c r="I678" s="12">
        <f t="shared" si="687"/>
        <v>2</v>
      </c>
      <c r="J678" s="12">
        <f t="shared" si="687"/>
        <v>5</v>
      </c>
      <c r="K678" s="12">
        <f t="shared" si="687"/>
        <v>1008111382920</v>
      </c>
      <c r="L678" s="12">
        <f t="shared" si="687"/>
        <v>1008111382920</v>
      </c>
      <c r="M678" s="12">
        <f t="shared" si="687"/>
        <v>1008111382920</v>
      </c>
      <c r="N678" s="12">
        <f t="shared" si="687"/>
        <v>0</v>
      </c>
      <c r="O678" s="12">
        <f t="shared" si="687"/>
        <v>0</v>
      </c>
      <c r="P678" s="12">
        <f t="shared" si="687"/>
        <v>0</v>
      </c>
      <c r="Q678" s="12">
        <f t="shared" si="687"/>
        <v>4.8075464821218798E+23</v>
      </c>
      <c r="R678" s="12">
        <f t="shared" si="687"/>
        <v>0</v>
      </c>
      <c r="S678" s="12">
        <f t="shared" si="687"/>
        <v>60</v>
      </c>
      <c r="T678" s="17" t="s">
        <v>891</v>
      </c>
    </row>
    <row r="679" spans="1:20" x14ac:dyDescent="0.2">
      <c r="A679" s="12">
        <v>70076</v>
      </c>
      <c r="B679" s="16" t="s">
        <v>894</v>
      </c>
      <c r="C679" s="2" t="s">
        <v>800</v>
      </c>
      <c r="D679" s="12">
        <v>76</v>
      </c>
      <c r="E679" s="12">
        <v>7</v>
      </c>
      <c r="F679" s="12">
        <f t="shared" ref="F679:S679" si="688">F319</f>
        <v>76</v>
      </c>
      <c r="G679" s="12">
        <f t="shared" si="688"/>
        <v>20165</v>
      </c>
      <c r="H679" s="12">
        <f t="shared" si="688"/>
        <v>2</v>
      </c>
      <c r="I679" s="12">
        <f t="shared" si="688"/>
        <v>2</v>
      </c>
      <c r="J679" s="12">
        <f t="shared" si="688"/>
        <v>5</v>
      </c>
      <c r="K679" s="12">
        <f t="shared" si="688"/>
        <v>1059810100115</v>
      </c>
      <c r="L679" s="12">
        <f t="shared" si="688"/>
        <v>1059810100115</v>
      </c>
      <c r="M679" s="12">
        <f t="shared" si="688"/>
        <v>1059810100115</v>
      </c>
      <c r="N679" s="12">
        <f t="shared" si="688"/>
        <v>0</v>
      </c>
      <c r="O679" s="12">
        <f t="shared" si="688"/>
        <v>0</v>
      </c>
      <c r="P679" s="12">
        <f t="shared" si="688"/>
        <v>0</v>
      </c>
      <c r="Q679" s="12">
        <f t="shared" si="688"/>
        <v>5.65212178883448E+23</v>
      </c>
      <c r="R679" s="12">
        <f t="shared" si="688"/>
        <v>0</v>
      </c>
      <c r="S679" s="12">
        <f t="shared" si="688"/>
        <v>60</v>
      </c>
      <c r="T679" s="17" t="s">
        <v>891</v>
      </c>
    </row>
    <row r="680" spans="1:20" x14ac:dyDescent="0.2">
      <c r="A680" s="12">
        <v>70077</v>
      </c>
      <c r="B680" s="16" t="s">
        <v>895</v>
      </c>
      <c r="C680" s="2" t="s">
        <v>800</v>
      </c>
      <c r="D680" s="12">
        <v>77</v>
      </c>
      <c r="E680" s="12">
        <v>7</v>
      </c>
      <c r="F680" s="12">
        <f t="shared" ref="F680:S680" si="689">F320</f>
        <v>77</v>
      </c>
      <c r="G680" s="12">
        <f t="shared" si="689"/>
        <v>30015</v>
      </c>
      <c r="H680" s="12">
        <f t="shared" si="689"/>
        <v>1</v>
      </c>
      <c r="I680" s="12">
        <f t="shared" si="689"/>
        <v>2</v>
      </c>
      <c r="J680" s="12">
        <f t="shared" si="689"/>
        <v>6</v>
      </c>
      <c r="K680" s="12">
        <f t="shared" si="689"/>
        <v>1134628706000</v>
      </c>
      <c r="L680" s="12">
        <f t="shared" si="689"/>
        <v>1134628706000</v>
      </c>
      <c r="M680" s="12">
        <f t="shared" si="689"/>
        <v>1134628706000</v>
      </c>
      <c r="N680" s="12">
        <f t="shared" si="689"/>
        <v>0</v>
      </c>
      <c r="O680" s="12">
        <f t="shared" si="689"/>
        <v>0</v>
      </c>
      <c r="P680" s="12">
        <f t="shared" si="689"/>
        <v>0</v>
      </c>
      <c r="Q680" s="12">
        <f t="shared" si="689"/>
        <v>7.8219779662600306E+23</v>
      </c>
      <c r="R680" s="12">
        <f t="shared" si="689"/>
        <v>0</v>
      </c>
      <c r="S680" s="12">
        <f t="shared" si="689"/>
        <v>60</v>
      </c>
      <c r="T680" s="17" t="s">
        <v>896</v>
      </c>
    </row>
    <row r="681" spans="1:20" x14ac:dyDescent="0.2">
      <c r="A681" s="12">
        <v>70078</v>
      </c>
      <c r="B681" s="16" t="s">
        <v>897</v>
      </c>
      <c r="C681" s="2" t="s">
        <v>800</v>
      </c>
      <c r="D681" s="12">
        <v>78</v>
      </c>
      <c r="E681" s="12">
        <v>7</v>
      </c>
      <c r="F681" s="12">
        <f t="shared" ref="F681:S681" si="690">F321</f>
        <v>78</v>
      </c>
      <c r="G681" s="12">
        <f t="shared" si="690"/>
        <v>30065</v>
      </c>
      <c r="H681" s="12">
        <f t="shared" si="690"/>
        <v>3</v>
      </c>
      <c r="I681" s="12">
        <f t="shared" si="690"/>
        <v>2</v>
      </c>
      <c r="J681" s="12">
        <f t="shared" si="690"/>
        <v>6</v>
      </c>
      <c r="K681" s="12">
        <f t="shared" si="690"/>
        <v>1205945077255</v>
      </c>
      <c r="L681" s="12">
        <f t="shared" si="690"/>
        <v>1205945077255</v>
      </c>
      <c r="M681" s="12">
        <f t="shared" si="690"/>
        <v>1205945077255</v>
      </c>
      <c r="N681" s="12">
        <f t="shared" si="690"/>
        <v>0</v>
      </c>
      <c r="O681" s="12">
        <f t="shared" si="690"/>
        <v>0</v>
      </c>
      <c r="P681" s="12">
        <f t="shared" si="690"/>
        <v>0</v>
      </c>
      <c r="Q681" s="12">
        <f t="shared" si="690"/>
        <v>9.55255852469745E+23</v>
      </c>
      <c r="R681" s="12">
        <f t="shared" si="690"/>
        <v>0</v>
      </c>
      <c r="S681" s="12">
        <f t="shared" si="690"/>
        <v>60</v>
      </c>
      <c r="T681" s="17" t="s">
        <v>896</v>
      </c>
    </row>
    <row r="682" spans="1:20" x14ac:dyDescent="0.2">
      <c r="A682" s="12">
        <v>70079</v>
      </c>
      <c r="B682" s="16" t="s">
        <v>898</v>
      </c>
      <c r="C682" s="2" t="s">
        <v>800</v>
      </c>
      <c r="D682" s="12">
        <v>79</v>
      </c>
      <c r="E682" s="12">
        <v>7</v>
      </c>
      <c r="F682" s="12">
        <f t="shared" ref="F682:S682" si="691">F322</f>
        <v>79</v>
      </c>
      <c r="G682" s="12">
        <f t="shared" si="691"/>
        <v>30115</v>
      </c>
      <c r="H682" s="12">
        <f t="shared" si="691"/>
        <v>2</v>
      </c>
      <c r="I682" s="12">
        <f t="shared" si="691"/>
        <v>2</v>
      </c>
      <c r="J682" s="12">
        <f t="shared" si="691"/>
        <v>6</v>
      </c>
      <c r="K682" s="12">
        <f t="shared" si="691"/>
        <v>1294309474850</v>
      </c>
      <c r="L682" s="12">
        <f t="shared" si="691"/>
        <v>1294309474850</v>
      </c>
      <c r="M682" s="12">
        <f t="shared" si="691"/>
        <v>1294309474850</v>
      </c>
      <c r="N682" s="12">
        <f t="shared" si="691"/>
        <v>0</v>
      </c>
      <c r="O682" s="12">
        <f t="shared" si="691"/>
        <v>0</v>
      </c>
      <c r="P682" s="12">
        <f t="shared" si="691"/>
        <v>0</v>
      </c>
      <c r="Q682" s="12">
        <f t="shared" si="691"/>
        <v>1.1914452634738601E+24</v>
      </c>
      <c r="R682" s="12">
        <f t="shared" si="691"/>
        <v>0</v>
      </c>
      <c r="S682" s="12">
        <f t="shared" si="691"/>
        <v>60</v>
      </c>
      <c r="T682" s="17" t="s">
        <v>896</v>
      </c>
    </row>
    <row r="683" spans="1:20" x14ac:dyDescent="0.2">
      <c r="A683" s="12">
        <v>70080</v>
      </c>
      <c r="B683" s="16" t="s">
        <v>899</v>
      </c>
      <c r="C683" s="2" t="s">
        <v>800</v>
      </c>
      <c r="D683" s="12">
        <v>80</v>
      </c>
      <c r="E683" s="12">
        <v>7</v>
      </c>
      <c r="F683" s="12">
        <f t="shared" ref="F683:S683" si="692">F323</f>
        <v>80</v>
      </c>
      <c r="G683" s="12">
        <f t="shared" si="692"/>
        <v>30165</v>
      </c>
      <c r="H683" s="12">
        <f t="shared" si="692"/>
        <v>1</v>
      </c>
      <c r="I683" s="12">
        <f t="shared" si="692"/>
        <v>2</v>
      </c>
      <c r="J683" s="12">
        <f t="shared" si="692"/>
        <v>6</v>
      </c>
      <c r="K683" s="12">
        <f t="shared" si="692"/>
        <v>1372844889330</v>
      </c>
      <c r="L683" s="12">
        <f t="shared" si="692"/>
        <v>1372844889330</v>
      </c>
      <c r="M683" s="12">
        <f t="shared" si="692"/>
        <v>1372844889330</v>
      </c>
      <c r="N683" s="12">
        <f t="shared" si="692"/>
        <v>0</v>
      </c>
      <c r="O683" s="12">
        <f t="shared" si="692"/>
        <v>0</v>
      </c>
      <c r="P683" s="12">
        <f t="shared" si="692"/>
        <v>0</v>
      </c>
      <c r="Q683" s="12">
        <f t="shared" si="692"/>
        <v>1.4550930861503199E+24</v>
      </c>
      <c r="R683" s="12">
        <f t="shared" si="692"/>
        <v>0</v>
      </c>
      <c r="S683" s="12">
        <f t="shared" si="692"/>
        <v>60</v>
      </c>
      <c r="T683" s="17" t="s">
        <v>896</v>
      </c>
    </row>
    <row r="684" spans="1:20" x14ac:dyDescent="0.2">
      <c r="A684" s="12">
        <v>70081</v>
      </c>
      <c r="B684" s="16" t="s">
        <v>900</v>
      </c>
      <c r="C684" s="2" t="s">
        <v>800</v>
      </c>
      <c r="D684" s="12">
        <v>81</v>
      </c>
      <c r="E684" s="12">
        <v>7</v>
      </c>
      <c r="F684" s="12">
        <f t="shared" ref="F684:S684" si="693">F324</f>
        <v>81</v>
      </c>
      <c r="G684" s="12">
        <f t="shared" si="693"/>
        <v>40015</v>
      </c>
      <c r="H684" s="12">
        <f t="shared" si="693"/>
        <v>3</v>
      </c>
      <c r="I684" s="12">
        <f t="shared" si="693"/>
        <v>2</v>
      </c>
      <c r="J684" s="12">
        <f t="shared" si="693"/>
        <v>6</v>
      </c>
      <c r="K684" s="12">
        <f t="shared" si="693"/>
        <v>2461957151705</v>
      </c>
      <c r="L684" s="12">
        <f t="shared" si="693"/>
        <v>2461957151705</v>
      </c>
      <c r="M684" s="12">
        <f t="shared" si="693"/>
        <v>2461957151705</v>
      </c>
      <c r="N684" s="12">
        <f t="shared" si="693"/>
        <v>0</v>
      </c>
      <c r="O684" s="12">
        <f t="shared" si="693"/>
        <v>0</v>
      </c>
      <c r="P684" s="12">
        <f t="shared" si="693"/>
        <v>0</v>
      </c>
      <c r="Q684" s="12">
        <f t="shared" si="693"/>
        <v>7.0714605345934501E+24</v>
      </c>
      <c r="R684" s="12">
        <f t="shared" si="693"/>
        <v>0</v>
      </c>
      <c r="S684" s="12">
        <f t="shared" si="693"/>
        <v>60</v>
      </c>
      <c r="T684" s="17" t="s">
        <v>901</v>
      </c>
    </row>
    <row r="685" spans="1:20" x14ac:dyDescent="0.2">
      <c r="A685" s="12">
        <v>70082</v>
      </c>
      <c r="B685" s="16" t="s">
        <v>902</v>
      </c>
      <c r="C685" s="2" t="s">
        <v>800</v>
      </c>
      <c r="D685" s="12">
        <v>82</v>
      </c>
      <c r="E685" s="12">
        <v>7</v>
      </c>
      <c r="F685" s="12">
        <f t="shared" ref="F685:S685" si="694">F325</f>
        <v>82</v>
      </c>
      <c r="G685" s="12">
        <f t="shared" si="694"/>
        <v>40065</v>
      </c>
      <c r="H685" s="12">
        <f t="shared" si="694"/>
        <v>2</v>
      </c>
      <c r="I685" s="12">
        <f t="shared" si="694"/>
        <v>2</v>
      </c>
      <c r="J685" s="12">
        <f t="shared" si="694"/>
        <v>6</v>
      </c>
      <c r="K685" s="12">
        <f t="shared" si="694"/>
        <v>2588284473940</v>
      </c>
      <c r="L685" s="12">
        <f t="shared" si="694"/>
        <v>2588284473940</v>
      </c>
      <c r="M685" s="12">
        <f t="shared" si="694"/>
        <v>2588284473940</v>
      </c>
      <c r="N685" s="12">
        <f t="shared" si="694"/>
        <v>0</v>
      </c>
      <c r="O685" s="12">
        <f t="shared" si="694"/>
        <v>0</v>
      </c>
      <c r="P685" s="12">
        <f t="shared" si="694"/>
        <v>0</v>
      </c>
      <c r="Q685" s="12">
        <f t="shared" si="694"/>
        <v>8.3719565113977004E+24</v>
      </c>
      <c r="R685" s="12">
        <f t="shared" si="694"/>
        <v>0</v>
      </c>
      <c r="S685" s="12">
        <f t="shared" si="694"/>
        <v>60</v>
      </c>
      <c r="T685" s="17" t="s">
        <v>901</v>
      </c>
    </row>
    <row r="686" spans="1:20" x14ac:dyDescent="0.2">
      <c r="A686" s="12">
        <v>70083</v>
      </c>
      <c r="B686" s="16" t="s">
        <v>903</v>
      </c>
      <c r="C686" s="2" t="s">
        <v>800</v>
      </c>
      <c r="D686" s="12">
        <v>83</v>
      </c>
      <c r="E686" s="12">
        <v>7</v>
      </c>
      <c r="F686" s="12">
        <f t="shared" ref="F686:S686" si="695">F326</f>
        <v>83</v>
      </c>
      <c r="G686" s="12">
        <f t="shared" si="695"/>
        <v>40115</v>
      </c>
      <c r="H686" s="12">
        <f t="shared" si="695"/>
        <v>1</v>
      </c>
      <c r="I686" s="12">
        <f t="shared" si="695"/>
        <v>2</v>
      </c>
      <c r="J686" s="12">
        <f t="shared" si="695"/>
        <v>6</v>
      </c>
      <c r="K686" s="12">
        <f t="shared" si="695"/>
        <v>2745613625505</v>
      </c>
      <c r="L686" s="12">
        <f t="shared" si="695"/>
        <v>2745613625505</v>
      </c>
      <c r="M686" s="12">
        <f t="shared" si="695"/>
        <v>2745613625505</v>
      </c>
      <c r="N686" s="12">
        <f t="shared" si="695"/>
        <v>0</v>
      </c>
      <c r="O686" s="12">
        <f t="shared" si="695"/>
        <v>0</v>
      </c>
      <c r="P686" s="12">
        <f t="shared" si="695"/>
        <v>0</v>
      </c>
      <c r="Q686" s="12">
        <f t="shared" si="695"/>
        <v>1.0080074778702601E+25</v>
      </c>
      <c r="R686" s="12">
        <f t="shared" si="695"/>
        <v>0</v>
      </c>
      <c r="S686" s="12">
        <f t="shared" si="695"/>
        <v>60</v>
      </c>
      <c r="T686" s="17" t="s">
        <v>901</v>
      </c>
    </row>
    <row r="687" spans="1:20" x14ac:dyDescent="0.2">
      <c r="A687" s="12">
        <v>70084</v>
      </c>
      <c r="B687" s="16" t="s">
        <v>904</v>
      </c>
      <c r="C687" s="2" t="s">
        <v>800</v>
      </c>
      <c r="D687" s="12">
        <v>84</v>
      </c>
      <c r="E687" s="12">
        <v>7</v>
      </c>
      <c r="F687" s="12">
        <f t="shared" ref="F687:S687" si="696">F327</f>
        <v>84</v>
      </c>
      <c r="G687" s="12">
        <f t="shared" si="696"/>
        <v>40165</v>
      </c>
      <c r="H687" s="12">
        <f t="shared" si="696"/>
        <v>3</v>
      </c>
      <c r="I687" s="12">
        <f t="shared" si="696"/>
        <v>2</v>
      </c>
      <c r="J687" s="12">
        <f t="shared" si="696"/>
        <v>6</v>
      </c>
      <c r="K687" s="12">
        <f t="shared" si="696"/>
        <v>2882604907570</v>
      </c>
      <c r="L687" s="12">
        <f t="shared" si="696"/>
        <v>2882604907570</v>
      </c>
      <c r="M687" s="12">
        <f t="shared" si="696"/>
        <v>2882604907570</v>
      </c>
      <c r="N687" s="12">
        <f t="shared" si="696"/>
        <v>0</v>
      </c>
      <c r="O687" s="12">
        <f t="shared" si="696"/>
        <v>0</v>
      </c>
      <c r="P687" s="12">
        <f t="shared" si="696"/>
        <v>0</v>
      </c>
      <c r="Q687" s="12">
        <f t="shared" si="696"/>
        <v>1.1883311941363501E+25</v>
      </c>
      <c r="R687" s="12">
        <f t="shared" si="696"/>
        <v>0</v>
      </c>
      <c r="S687" s="12">
        <f t="shared" si="696"/>
        <v>60</v>
      </c>
      <c r="T687" s="17" t="s">
        <v>901</v>
      </c>
    </row>
    <row r="688" spans="1:20" x14ac:dyDescent="0.2">
      <c r="A688" s="12">
        <v>70085</v>
      </c>
      <c r="B688" s="16" t="s">
        <v>905</v>
      </c>
      <c r="C688" s="2" t="s">
        <v>800</v>
      </c>
      <c r="D688" s="12">
        <v>85</v>
      </c>
      <c r="E688" s="12">
        <v>7</v>
      </c>
      <c r="F688" s="12">
        <f t="shared" ref="F688:S688" si="697">F328</f>
        <v>85</v>
      </c>
      <c r="G688" s="12">
        <f t="shared" si="697"/>
        <v>50015</v>
      </c>
      <c r="H688" s="12">
        <f t="shared" si="697"/>
        <v>2</v>
      </c>
      <c r="I688" s="12">
        <f t="shared" si="697"/>
        <v>2</v>
      </c>
      <c r="J688" s="12">
        <f t="shared" si="697"/>
        <v>6</v>
      </c>
      <c r="K688" s="12">
        <f t="shared" si="697"/>
        <v>3053641376600</v>
      </c>
      <c r="L688" s="12">
        <f t="shared" si="697"/>
        <v>3053641376600</v>
      </c>
      <c r="M688" s="12">
        <f t="shared" si="697"/>
        <v>3053641376600</v>
      </c>
      <c r="N688" s="12">
        <f t="shared" si="697"/>
        <v>0</v>
      </c>
      <c r="O688" s="12">
        <f t="shared" si="697"/>
        <v>0</v>
      </c>
      <c r="P688" s="12">
        <f t="shared" si="697"/>
        <v>0</v>
      </c>
      <c r="Q688" s="12">
        <f t="shared" si="697"/>
        <v>1.4252640047693299E+25</v>
      </c>
      <c r="R688" s="12">
        <f t="shared" si="697"/>
        <v>0</v>
      </c>
      <c r="S688" s="12">
        <f t="shared" si="697"/>
        <v>60</v>
      </c>
      <c r="T688" s="17" t="s">
        <v>906</v>
      </c>
    </row>
    <row r="689" spans="1:20" x14ac:dyDescent="0.2">
      <c r="A689" s="12">
        <v>70086</v>
      </c>
      <c r="B689" s="16" t="s">
        <v>907</v>
      </c>
      <c r="C689" s="2" t="s">
        <v>800</v>
      </c>
      <c r="D689" s="12">
        <v>86</v>
      </c>
      <c r="E689" s="12">
        <v>7</v>
      </c>
      <c r="F689" s="12">
        <f t="shared" ref="F689:S689" si="698">F329</f>
        <v>86</v>
      </c>
      <c r="G689" s="12">
        <f t="shared" si="698"/>
        <v>50065</v>
      </c>
      <c r="H689" s="12">
        <f t="shared" si="698"/>
        <v>1</v>
      </c>
      <c r="I689" s="12">
        <f t="shared" si="698"/>
        <v>2</v>
      </c>
      <c r="J689" s="12">
        <f t="shared" si="698"/>
        <v>6</v>
      </c>
      <c r="K689" s="12">
        <f t="shared" si="698"/>
        <v>3202434456735</v>
      </c>
      <c r="L689" s="12">
        <f t="shared" si="698"/>
        <v>3202434456735</v>
      </c>
      <c r="M689" s="12">
        <f t="shared" si="698"/>
        <v>3202434456735</v>
      </c>
      <c r="N689" s="12">
        <f t="shared" si="698"/>
        <v>0</v>
      </c>
      <c r="O689" s="12">
        <f t="shared" si="698"/>
        <v>0</v>
      </c>
      <c r="P689" s="12">
        <f t="shared" si="698"/>
        <v>0</v>
      </c>
      <c r="Q689" s="12">
        <f t="shared" si="698"/>
        <v>1.6740516257197599E+25</v>
      </c>
      <c r="R689" s="12">
        <f t="shared" si="698"/>
        <v>0</v>
      </c>
      <c r="S689" s="12">
        <f t="shared" si="698"/>
        <v>60</v>
      </c>
      <c r="T689" s="17" t="s">
        <v>906</v>
      </c>
    </row>
    <row r="690" spans="1:20" x14ac:dyDescent="0.2">
      <c r="A690" s="12">
        <v>70087</v>
      </c>
      <c r="B690" s="16" t="s">
        <v>908</v>
      </c>
      <c r="C690" s="2" t="s">
        <v>800</v>
      </c>
      <c r="D690" s="12">
        <v>87</v>
      </c>
      <c r="E690" s="12">
        <v>7</v>
      </c>
      <c r="F690" s="12">
        <f t="shared" ref="F690:S690" si="699">F330</f>
        <v>87</v>
      </c>
      <c r="G690" s="12">
        <f t="shared" si="699"/>
        <v>10055</v>
      </c>
      <c r="H690" s="12">
        <f t="shared" si="699"/>
        <v>3</v>
      </c>
      <c r="I690" s="12">
        <f t="shared" si="699"/>
        <v>2</v>
      </c>
      <c r="J690" s="12">
        <f t="shared" si="699"/>
        <v>6</v>
      </c>
      <c r="K690" s="12">
        <f t="shared" si="699"/>
        <v>3387794342615</v>
      </c>
      <c r="L690" s="12">
        <f t="shared" si="699"/>
        <v>3387794342615</v>
      </c>
      <c r="M690" s="12">
        <f t="shared" si="699"/>
        <v>3387794342615</v>
      </c>
      <c r="N690" s="12">
        <f t="shared" si="699"/>
        <v>0</v>
      </c>
      <c r="O690" s="12">
        <f t="shared" si="699"/>
        <v>0</v>
      </c>
      <c r="P690" s="12">
        <f t="shared" si="699"/>
        <v>0</v>
      </c>
      <c r="Q690" s="12">
        <f t="shared" si="699"/>
        <v>1.9998397804482501E+25</v>
      </c>
      <c r="R690" s="12">
        <f t="shared" si="699"/>
        <v>0</v>
      </c>
      <c r="S690" s="12">
        <f t="shared" si="699"/>
        <v>60</v>
      </c>
      <c r="T690" s="17" t="s">
        <v>906</v>
      </c>
    </row>
    <row r="691" spans="1:20" x14ac:dyDescent="0.2">
      <c r="A691" s="12">
        <v>70088</v>
      </c>
      <c r="B691" s="16" t="s">
        <v>909</v>
      </c>
      <c r="C691" s="2" t="s">
        <v>800</v>
      </c>
      <c r="D691" s="12">
        <v>88</v>
      </c>
      <c r="E691" s="12">
        <v>7</v>
      </c>
      <c r="F691" s="12">
        <f t="shared" ref="F691:S691" si="700">F331</f>
        <v>88</v>
      </c>
      <c r="G691" s="12">
        <f t="shared" si="700"/>
        <v>10105</v>
      </c>
      <c r="H691" s="12">
        <f t="shared" si="700"/>
        <v>2</v>
      </c>
      <c r="I691" s="12">
        <f t="shared" si="700"/>
        <v>2</v>
      </c>
      <c r="J691" s="12">
        <f t="shared" si="700"/>
        <v>6</v>
      </c>
      <c r="K691" s="12">
        <f t="shared" si="700"/>
        <v>3548746057450</v>
      </c>
      <c r="L691" s="12">
        <f t="shared" si="700"/>
        <v>3548746057450</v>
      </c>
      <c r="M691" s="12">
        <f t="shared" si="700"/>
        <v>3548746057450</v>
      </c>
      <c r="N691" s="12">
        <f t="shared" si="700"/>
        <v>0</v>
      </c>
      <c r="O691" s="12">
        <f t="shared" si="700"/>
        <v>0</v>
      </c>
      <c r="P691" s="12">
        <f t="shared" si="700"/>
        <v>0</v>
      </c>
      <c r="Q691" s="12">
        <f t="shared" si="700"/>
        <v>2.3407992690310998E+25</v>
      </c>
      <c r="R691" s="12">
        <f t="shared" si="700"/>
        <v>0</v>
      </c>
      <c r="S691" s="12">
        <f t="shared" si="700"/>
        <v>60</v>
      </c>
      <c r="T691" s="17" t="s">
        <v>906</v>
      </c>
    </row>
    <row r="692" spans="1:20" x14ac:dyDescent="0.2">
      <c r="A692" s="12">
        <v>70089</v>
      </c>
      <c r="B692" s="16" t="s">
        <v>910</v>
      </c>
      <c r="C692" s="2" t="s">
        <v>800</v>
      </c>
      <c r="D692" s="12">
        <v>89</v>
      </c>
      <c r="E692" s="12">
        <v>7</v>
      </c>
      <c r="F692" s="12">
        <f t="shared" ref="F692:S692" si="701">F332</f>
        <v>89</v>
      </c>
      <c r="G692" s="12">
        <f t="shared" si="701"/>
        <v>10155</v>
      </c>
      <c r="H692" s="12">
        <f t="shared" si="701"/>
        <v>1</v>
      </c>
      <c r="I692" s="12">
        <f t="shared" si="701"/>
        <v>2</v>
      </c>
      <c r="J692" s="12">
        <f t="shared" si="701"/>
        <v>6</v>
      </c>
      <c r="K692" s="12">
        <f t="shared" si="701"/>
        <v>3790743992825</v>
      </c>
      <c r="L692" s="12">
        <f t="shared" si="701"/>
        <v>3790743992825</v>
      </c>
      <c r="M692" s="12">
        <f t="shared" si="701"/>
        <v>3790743992825</v>
      </c>
      <c r="N692" s="12">
        <f t="shared" si="701"/>
        <v>0</v>
      </c>
      <c r="O692" s="12">
        <f t="shared" si="701"/>
        <v>0</v>
      </c>
      <c r="P692" s="12">
        <f t="shared" si="701"/>
        <v>0</v>
      </c>
      <c r="Q692" s="12">
        <f t="shared" si="701"/>
        <v>3.1759650506535298E+25</v>
      </c>
      <c r="R692" s="12">
        <f t="shared" si="701"/>
        <v>0</v>
      </c>
      <c r="S692" s="12">
        <f t="shared" si="701"/>
        <v>60</v>
      </c>
      <c r="T692" s="17" t="s">
        <v>911</v>
      </c>
    </row>
    <row r="693" spans="1:20" x14ac:dyDescent="0.2">
      <c r="A693" s="12">
        <v>70090</v>
      </c>
      <c r="B693" s="16" t="s">
        <v>912</v>
      </c>
      <c r="C693" s="2" t="s">
        <v>800</v>
      </c>
      <c r="D693" s="12">
        <v>90</v>
      </c>
      <c r="E693" s="12">
        <v>7</v>
      </c>
      <c r="F693" s="12">
        <f t="shared" ref="F693:S693" si="702">F333</f>
        <v>90</v>
      </c>
      <c r="G693" s="12">
        <f t="shared" si="702"/>
        <v>10205</v>
      </c>
      <c r="H693" s="12">
        <f t="shared" si="702"/>
        <v>3</v>
      </c>
      <c r="I693" s="12">
        <f t="shared" si="702"/>
        <v>2</v>
      </c>
      <c r="J693" s="12">
        <f t="shared" si="702"/>
        <v>6</v>
      </c>
      <c r="K693" s="12">
        <f t="shared" si="702"/>
        <v>3977775902135</v>
      </c>
      <c r="L693" s="12">
        <f t="shared" si="702"/>
        <v>3977775902135</v>
      </c>
      <c r="M693" s="12">
        <f t="shared" si="702"/>
        <v>3977775902135</v>
      </c>
      <c r="N693" s="12">
        <f t="shared" si="702"/>
        <v>0</v>
      </c>
      <c r="O693" s="12">
        <f t="shared" si="702"/>
        <v>0</v>
      </c>
      <c r="P693" s="12">
        <f t="shared" si="702"/>
        <v>0</v>
      </c>
      <c r="Q693" s="12">
        <f t="shared" si="702"/>
        <v>3.7090901245188002E+25</v>
      </c>
      <c r="R693" s="12">
        <f t="shared" si="702"/>
        <v>0</v>
      </c>
      <c r="S693" s="12">
        <f t="shared" si="702"/>
        <v>60</v>
      </c>
      <c r="T693" s="17" t="s">
        <v>911</v>
      </c>
    </row>
    <row r="694" spans="1:20" x14ac:dyDescent="0.2">
      <c r="A694" s="12">
        <v>70091</v>
      </c>
      <c r="B694" s="16" t="s">
        <v>913</v>
      </c>
      <c r="C694" s="2" t="s">
        <v>800</v>
      </c>
      <c r="D694" s="12">
        <v>91</v>
      </c>
      <c r="E694" s="12">
        <v>7</v>
      </c>
      <c r="F694" s="12">
        <f t="shared" ref="F694:S694" si="703">F334</f>
        <v>91</v>
      </c>
      <c r="G694" s="12">
        <f t="shared" si="703"/>
        <v>20055</v>
      </c>
      <c r="H694" s="12">
        <f t="shared" si="703"/>
        <v>2</v>
      </c>
      <c r="I694" s="12">
        <f t="shared" si="703"/>
        <v>2</v>
      </c>
      <c r="J694" s="12">
        <f t="shared" si="703"/>
        <v>6</v>
      </c>
      <c r="K694" s="12">
        <f t="shared" si="703"/>
        <v>4209031655790</v>
      </c>
      <c r="L694" s="12">
        <f t="shared" si="703"/>
        <v>4209031655790</v>
      </c>
      <c r="M694" s="12">
        <f t="shared" si="703"/>
        <v>4209031655790</v>
      </c>
      <c r="N694" s="12">
        <f t="shared" si="703"/>
        <v>0</v>
      </c>
      <c r="O694" s="12">
        <f t="shared" si="703"/>
        <v>0</v>
      </c>
      <c r="P694" s="12">
        <f t="shared" si="703"/>
        <v>0</v>
      </c>
      <c r="Q694" s="12">
        <f t="shared" si="703"/>
        <v>4.4010730798787202E+25</v>
      </c>
      <c r="R694" s="12">
        <f t="shared" si="703"/>
        <v>0</v>
      </c>
      <c r="S694" s="12">
        <f t="shared" si="703"/>
        <v>60</v>
      </c>
      <c r="T694" s="17" t="s">
        <v>911</v>
      </c>
    </row>
    <row r="695" spans="1:20" x14ac:dyDescent="0.2">
      <c r="A695" s="12">
        <v>70092</v>
      </c>
      <c r="B695" s="16" t="s">
        <v>914</v>
      </c>
      <c r="C695" s="2" t="s">
        <v>800</v>
      </c>
      <c r="D695" s="12">
        <v>92</v>
      </c>
      <c r="E695" s="12">
        <v>7</v>
      </c>
      <c r="F695" s="12">
        <f t="shared" ref="F695:S695" si="704">F335</f>
        <v>92</v>
      </c>
      <c r="G695" s="12">
        <f t="shared" si="704"/>
        <v>20105</v>
      </c>
      <c r="H695" s="12">
        <f t="shared" si="704"/>
        <v>1</v>
      </c>
      <c r="I695" s="12">
        <f t="shared" si="704"/>
        <v>2</v>
      </c>
      <c r="J695" s="12">
        <f t="shared" si="704"/>
        <v>6</v>
      </c>
      <c r="K695" s="12">
        <f t="shared" si="704"/>
        <v>4390567734460</v>
      </c>
      <c r="L695" s="12">
        <f t="shared" si="704"/>
        <v>4390567734460</v>
      </c>
      <c r="M695" s="12">
        <f t="shared" si="704"/>
        <v>4390567734460</v>
      </c>
      <c r="N695" s="12">
        <f t="shared" si="704"/>
        <v>0</v>
      </c>
      <c r="O695" s="12">
        <f t="shared" si="704"/>
        <v>0</v>
      </c>
      <c r="P695" s="12">
        <f t="shared" si="704"/>
        <v>0</v>
      </c>
      <c r="Q695" s="12">
        <f t="shared" si="704"/>
        <v>5.1009316917705497E+25</v>
      </c>
      <c r="R695" s="12">
        <f t="shared" si="704"/>
        <v>0</v>
      </c>
      <c r="S695" s="12">
        <f t="shared" si="704"/>
        <v>60</v>
      </c>
      <c r="T695" s="17" t="s">
        <v>911</v>
      </c>
    </row>
    <row r="696" spans="1:20" x14ac:dyDescent="0.2">
      <c r="A696" s="12">
        <v>70093</v>
      </c>
      <c r="B696" s="16" t="s">
        <v>915</v>
      </c>
      <c r="C696" s="2" t="s">
        <v>800</v>
      </c>
      <c r="D696" s="12">
        <v>93</v>
      </c>
      <c r="E696" s="12">
        <v>7</v>
      </c>
      <c r="F696" s="12">
        <f t="shared" ref="F696:S696" si="705">F336</f>
        <v>93</v>
      </c>
      <c r="G696" s="12">
        <f t="shared" si="705"/>
        <v>20155</v>
      </c>
      <c r="H696" s="12">
        <f t="shared" si="705"/>
        <v>3</v>
      </c>
      <c r="I696" s="12">
        <f t="shared" si="705"/>
        <v>2</v>
      </c>
      <c r="J696" s="12">
        <f t="shared" si="705"/>
        <v>6</v>
      </c>
      <c r="K696" s="12">
        <f t="shared" si="705"/>
        <v>4618858859285</v>
      </c>
      <c r="L696" s="12">
        <f t="shared" si="705"/>
        <v>4618858859285</v>
      </c>
      <c r="M696" s="12">
        <f t="shared" si="705"/>
        <v>4618858859285</v>
      </c>
      <c r="N696" s="12">
        <f t="shared" si="705"/>
        <v>0</v>
      </c>
      <c r="O696" s="12">
        <f t="shared" si="705"/>
        <v>0</v>
      </c>
      <c r="P696" s="12">
        <f t="shared" si="705"/>
        <v>0</v>
      </c>
      <c r="Q696" s="12">
        <f t="shared" si="705"/>
        <v>6.0064017512025198E+25</v>
      </c>
      <c r="R696" s="12">
        <f t="shared" si="705"/>
        <v>0</v>
      </c>
      <c r="S696" s="12">
        <f t="shared" si="705"/>
        <v>60</v>
      </c>
      <c r="T696" s="17" t="s">
        <v>916</v>
      </c>
    </row>
    <row r="697" spans="1:20" x14ac:dyDescent="0.2">
      <c r="A697" s="12">
        <v>70094</v>
      </c>
      <c r="B697" s="16" t="s">
        <v>917</v>
      </c>
      <c r="C697" s="2" t="s">
        <v>800</v>
      </c>
      <c r="D697" s="12">
        <v>94</v>
      </c>
      <c r="E697" s="12">
        <v>7</v>
      </c>
      <c r="F697" s="12">
        <f t="shared" ref="F697:S697" si="706">F337</f>
        <v>94</v>
      </c>
      <c r="G697" s="12">
        <f t="shared" si="706"/>
        <v>20205</v>
      </c>
      <c r="H697" s="12">
        <f t="shared" si="706"/>
        <v>2</v>
      </c>
      <c r="I697" s="12">
        <f t="shared" si="706"/>
        <v>2</v>
      </c>
      <c r="J697" s="12">
        <f t="shared" si="706"/>
        <v>6</v>
      </c>
      <c r="K697" s="12">
        <f t="shared" si="706"/>
        <v>4814211024075</v>
      </c>
      <c r="L697" s="12">
        <f t="shared" si="706"/>
        <v>4814211024075</v>
      </c>
      <c r="M697" s="12">
        <f t="shared" si="706"/>
        <v>4814211024075</v>
      </c>
      <c r="N697" s="12">
        <f t="shared" si="706"/>
        <v>0</v>
      </c>
      <c r="O697" s="12">
        <f t="shared" si="706"/>
        <v>0</v>
      </c>
      <c r="P697" s="12">
        <f t="shared" si="706"/>
        <v>0</v>
      </c>
      <c r="Q697" s="12">
        <f t="shared" si="706"/>
        <v>6.9430962616219302E+25</v>
      </c>
      <c r="R697" s="12">
        <f t="shared" si="706"/>
        <v>0</v>
      </c>
      <c r="S697" s="12">
        <f t="shared" si="706"/>
        <v>60</v>
      </c>
      <c r="T697" s="17" t="s">
        <v>916</v>
      </c>
    </row>
    <row r="698" spans="1:20" x14ac:dyDescent="0.2">
      <c r="A698" s="12">
        <v>70095</v>
      </c>
      <c r="B698" s="16" t="s">
        <v>918</v>
      </c>
      <c r="C698" s="2" t="s">
        <v>800</v>
      </c>
      <c r="D698" s="12">
        <v>95</v>
      </c>
      <c r="E698" s="12">
        <v>7</v>
      </c>
      <c r="F698" s="12">
        <f t="shared" ref="F698:S698" si="707">F338</f>
        <v>95</v>
      </c>
      <c r="G698" s="12">
        <f t="shared" si="707"/>
        <v>30055</v>
      </c>
      <c r="H698" s="12">
        <f t="shared" si="707"/>
        <v>1</v>
      </c>
      <c r="I698" s="12">
        <f t="shared" si="707"/>
        <v>2</v>
      </c>
      <c r="J698" s="12">
        <f t="shared" si="707"/>
        <v>6</v>
      </c>
      <c r="K698" s="12">
        <f t="shared" si="707"/>
        <v>5059325002640</v>
      </c>
      <c r="L698" s="12">
        <f t="shared" si="707"/>
        <v>5059325002640</v>
      </c>
      <c r="M698" s="12">
        <f t="shared" si="707"/>
        <v>5059325002640</v>
      </c>
      <c r="N698" s="12">
        <f t="shared" si="707"/>
        <v>0</v>
      </c>
      <c r="O698" s="12">
        <f t="shared" si="707"/>
        <v>0</v>
      </c>
      <c r="P698" s="12">
        <f t="shared" si="707"/>
        <v>0</v>
      </c>
      <c r="Q698" s="12">
        <f t="shared" si="707"/>
        <v>8.1531349980173196E+25</v>
      </c>
      <c r="R698" s="12">
        <f t="shared" si="707"/>
        <v>0</v>
      </c>
      <c r="S698" s="12">
        <f t="shared" si="707"/>
        <v>60</v>
      </c>
      <c r="T698" s="17" t="s">
        <v>916</v>
      </c>
    </row>
    <row r="699" spans="1:20" x14ac:dyDescent="0.2">
      <c r="A699" s="12">
        <v>70096</v>
      </c>
      <c r="B699" s="16" t="s">
        <v>919</v>
      </c>
      <c r="C699" s="2" t="s">
        <v>800</v>
      </c>
      <c r="D699" s="12">
        <v>96</v>
      </c>
      <c r="E699" s="12">
        <v>7</v>
      </c>
      <c r="F699" s="12">
        <f t="shared" ref="F699:S699" si="708">F339</f>
        <v>96</v>
      </c>
      <c r="G699" s="12">
        <f t="shared" si="708"/>
        <v>30105</v>
      </c>
      <c r="H699" s="12">
        <f t="shared" si="708"/>
        <v>3</v>
      </c>
      <c r="I699" s="12">
        <f t="shared" si="708"/>
        <v>2</v>
      </c>
      <c r="J699" s="12">
        <f t="shared" si="708"/>
        <v>6</v>
      </c>
      <c r="K699" s="12">
        <f t="shared" si="708"/>
        <v>5268705194615</v>
      </c>
      <c r="L699" s="12">
        <f t="shared" si="708"/>
        <v>5268705194615</v>
      </c>
      <c r="M699" s="12">
        <f t="shared" si="708"/>
        <v>5268705194615</v>
      </c>
      <c r="N699" s="12">
        <f t="shared" si="708"/>
        <v>0</v>
      </c>
      <c r="O699" s="12">
        <f t="shared" si="708"/>
        <v>0</v>
      </c>
      <c r="P699" s="12">
        <f t="shared" si="708"/>
        <v>0</v>
      </c>
      <c r="Q699" s="12">
        <f t="shared" si="708"/>
        <v>9.4021305615157502E+25</v>
      </c>
      <c r="R699" s="12">
        <f t="shared" si="708"/>
        <v>0</v>
      </c>
      <c r="S699" s="12">
        <f t="shared" si="708"/>
        <v>60</v>
      </c>
      <c r="T699" s="17" t="s">
        <v>916</v>
      </c>
    </row>
    <row r="700" spans="1:20" x14ac:dyDescent="0.2">
      <c r="A700" s="12">
        <v>70097</v>
      </c>
      <c r="B700" s="16" t="s">
        <v>920</v>
      </c>
      <c r="C700" s="2" t="s">
        <v>800</v>
      </c>
      <c r="D700" s="12">
        <v>97</v>
      </c>
      <c r="E700" s="12">
        <v>7</v>
      </c>
      <c r="F700" s="12">
        <f t="shared" ref="F700:S700" si="709">F340</f>
        <v>97</v>
      </c>
      <c r="G700" s="12">
        <f t="shared" si="709"/>
        <v>30155</v>
      </c>
      <c r="H700" s="12">
        <f t="shared" si="709"/>
        <v>2</v>
      </c>
      <c r="I700" s="12">
        <f t="shared" si="709"/>
        <v>2</v>
      </c>
      <c r="J700" s="12">
        <f t="shared" si="709"/>
        <v>6</v>
      </c>
      <c r="K700" s="12">
        <f t="shared" si="709"/>
        <v>5585255444475</v>
      </c>
      <c r="L700" s="12">
        <f t="shared" si="709"/>
        <v>5585255444475</v>
      </c>
      <c r="M700" s="12">
        <f t="shared" si="709"/>
        <v>5585255444475</v>
      </c>
      <c r="N700" s="12">
        <f t="shared" si="709"/>
        <v>0</v>
      </c>
      <c r="O700" s="12">
        <f t="shared" si="709"/>
        <v>0</v>
      </c>
      <c r="P700" s="12">
        <f t="shared" si="709"/>
        <v>0</v>
      </c>
      <c r="Q700" s="12">
        <f t="shared" si="709"/>
        <v>1.15686189664004E+26</v>
      </c>
      <c r="R700" s="12">
        <f t="shared" si="709"/>
        <v>0</v>
      </c>
      <c r="S700" s="12">
        <f t="shared" si="709"/>
        <v>60</v>
      </c>
      <c r="T700" s="17" t="s">
        <v>921</v>
      </c>
    </row>
    <row r="701" spans="1:20" x14ac:dyDescent="0.2">
      <c r="A701" s="12">
        <v>70098</v>
      </c>
      <c r="B701" s="16" t="s">
        <v>922</v>
      </c>
      <c r="C701" s="2" t="s">
        <v>800</v>
      </c>
      <c r="D701" s="12">
        <v>98</v>
      </c>
      <c r="E701" s="12">
        <v>7</v>
      </c>
      <c r="F701" s="12">
        <f t="shared" ref="F701:S701" si="710">F341</f>
        <v>98</v>
      </c>
      <c r="G701" s="12">
        <f t="shared" si="710"/>
        <v>30205</v>
      </c>
      <c r="H701" s="12">
        <f t="shared" si="710"/>
        <v>1</v>
      </c>
      <c r="I701" s="12">
        <f t="shared" si="710"/>
        <v>2</v>
      </c>
      <c r="J701" s="12">
        <f t="shared" si="710"/>
        <v>6</v>
      </c>
      <c r="K701" s="12">
        <f t="shared" si="710"/>
        <v>5811142901955</v>
      </c>
      <c r="L701" s="12">
        <f t="shared" si="710"/>
        <v>5811142901955</v>
      </c>
      <c r="M701" s="12">
        <f t="shared" si="710"/>
        <v>5811142901955</v>
      </c>
      <c r="N701" s="12">
        <f t="shared" si="710"/>
        <v>0</v>
      </c>
      <c r="O701" s="12">
        <f t="shared" si="710"/>
        <v>0</v>
      </c>
      <c r="P701" s="12">
        <f t="shared" si="710"/>
        <v>0</v>
      </c>
      <c r="Q701" s="12">
        <f t="shared" si="710"/>
        <v>1.3301125377336599E+26</v>
      </c>
      <c r="R701" s="12">
        <f t="shared" si="710"/>
        <v>0</v>
      </c>
      <c r="S701" s="12">
        <f t="shared" si="710"/>
        <v>60</v>
      </c>
      <c r="T701" s="17" t="s">
        <v>921</v>
      </c>
    </row>
    <row r="702" spans="1:20" x14ac:dyDescent="0.2">
      <c r="A702" s="12">
        <v>70099</v>
      </c>
      <c r="B702" s="16" t="s">
        <v>923</v>
      </c>
      <c r="C702" s="2" t="s">
        <v>800</v>
      </c>
      <c r="D702" s="12">
        <v>99</v>
      </c>
      <c r="E702" s="12">
        <v>7</v>
      </c>
      <c r="F702" s="12">
        <f t="shared" ref="F702:S702" si="711">F342</f>
        <v>99</v>
      </c>
      <c r="G702" s="12">
        <f t="shared" si="711"/>
        <v>40055</v>
      </c>
      <c r="H702" s="12">
        <f t="shared" si="711"/>
        <v>3</v>
      </c>
      <c r="I702" s="12">
        <f t="shared" si="711"/>
        <v>2</v>
      </c>
      <c r="J702" s="12">
        <f t="shared" si="711"/>
        <v>6</v>
      </c>
      <c r="K702" s="12">
        <f t="shared" si="711"/>
        <v>6094929519090</v>
      </c>
      <c r="L702" s="12">
        <f t="shared" si="711"/>
        <v>6094929519090</v>
      </c>
      <c r="M702" s="12">
        <f t="shared" si="711"/>
        <v>6094929519090</v>
      </c>
      <c r="N702" s="12">
        <f t="shared" si="711"/>
        <v>0</v>
      </c>
      <c r="O702" s="12">
        <f t="shared" si="711"/>
        <v>0</v>
      </c>
      <c r="P702" s="12">
        <f t="shared" si="711"/>
        <v>0</v>
      </c>
      <c r="Q702" s="12">
        <f t="shared" si="711"/>
        <v>1.55266789907417E+26</v>
      </c>
      <c r="R702" s="12">
        <f t="shared" si="711"/>
        <v>0</v>
      </c>
      <c r="S702" s="12">
        <f t="shared" si="711"/>
        <v>60</v>
      </c>
      <c r="T702" s="17" t="s">
        <v>921</v>
      </c>
    </row>
    <row r="703" spans="1:20" x14ac:dyDescent="0.2">
      <c r="A703" s="12">
        <v>70100</v>
      </c>
      <c r="B703" s="16" t="s">
        <v>924</v>
      </c>
      <c r="C703" s="2" t="s">
        <v>800</v>
      </c>
      <c r="D703" s="12">
        <v>100</v>
      </c>
      <c r="E703" s="12">
        <v>7</v>
      </c>
      <c r="F703" s="12">
        <f t="shared" ref="F703:S703" si="712">F343</f>
        <v>100</v>
      </c>
      <c r="G703" s="12">
        <f t="shared" si="712"/>
        <v>40105</v>
      </c>
      <c r="H703" s="12">
        <f t="shared" si="712"/>
        <v>2</v>
      </c>
      <c r="I703" s="12">
        <f t="shared" si="712"/>
        <v>2</v>
      </c>
      <c r="J703" s="12">
        <f t="shared" si="712"/>
        <v>6</v>
      </c>
      <c r="K703" s="12">
        <f t="shared" si="712"/>
        <v>6336616535085</v>
      </c>
      <c r="L703" s="12">
        <f t="shared" si="712"/>
        <v>6336616535085</v>
      </c>
      <c r="M703" s="12">
        <f t="shared" si="712"/>
        <v>6336616535085</v>
      </c>
      <c r="N703" s="12">
        <f t="shared" si="712"/>
        <v>0</v>
      </c>
      <c r="O703" s="12">
        <f t="shared" si="712"/>
        <v>0</v>
      </c>
      <c r="P703" s="12">
        <f t="shared" si="712"/>
        <v>0</v>
      </c>
      <c r="Q703" s="12">
        <f t="shared" si="712"/>
        <v>1.7814326725985201E+26</v>
      </c>
      <c r="R703" s="12">
        <f t="shared" si="712"/>
        <v>0</v>
      </c>
      <c r="S703" s="12">
        <f t="shared" si="712"/>
        <v>60</v>
      </c>
      <c r="T703" s="17" t="s">
        <v>921</v>
      </c>
    </row>
    <row r="704" spans="1:20" x14ac:dyDescent="0.2">
      <c r="A704" s="12">
        <v>70101</v>
      </c>
      <c r="B704" s="16" t="s">
        <v>925</v>
      </c>
      <c r="C704" s="2" t="s">
        <v>800</v>
      </c>
      <c r="D704" s="12">
        <v>101</v>
      </c>
      <c r="E704" s="12">
        <v>7</v>
      </c>
      <c r="F704" s="12">
        <f t="shared" ref="F704:S704" si="713">F344</f>
        <v>101</v>
      </c>
      <c r="G704" s="12">
        <f t="shared" si="713"/>
        <v>40155</v>
      </c>
      <c r="H704" s="12">
        <f t="shared" si="713"/>
        <v>1</v>
      </c>
      <c r="I704" s="12">
        <f t="shared" si="713"/>
        <v>2</v>
      </c>
      <c r="J704" s="12">
        <f t="shared" si="713"/>
        <v>6</v>
      </c>
      <c r="K704" s="12">
        <f t="shared" si="713"/>
        <v>7020838380415</v>
      </c>
      <c r="L704" s="12">
        <f t="shared" si="713"/>
        <v>7020838380415</v>
      </c>
      <c r="M704" s="12">
        <f t="shared" si="713"/>
        <v>7020838380415</v>
      </c>
      <c r="N704" s="12">
        <f t="shared" si="713"/>
        <v>0</v>
      </c>
      <c r="O704" s="12">
        <f t="shared" si="713"/>
        <v>0</v>
      </c>
      <c r="P704" s="12">
        <f t="shared" si="713"/>
        <v>0</v>
      </c>
      <c r="Q704" s="12">
        <f t="shared" si="713"/>
        <v>2.0920534762014999E+26</v>
      </c>
      <c r="R704" s="12">
        <f t="shared" si="713"/>
        <v>0</v>
      </c>
      <c r="S704" s="12">
        <f t="shared" si="713"/>
        <v>60</v>
      </c>
      <c r="T704" s="17" t="s">
        <v>926</v>
      </c>
    </row>
    <row r="705" spans="1:20" x14ac:dyDescent="0.2">
      <c r="A705" s="12">
        <v>70102</v>
      </c>
      <c r="B705" s="16" t="s">
        <v>927</v>
      </c>
      <c r="C705" s="2" t="s">
        <v>800</v>
      </c>
      <c r="D705" s="12">
        <v>102</v>
      </c>
      <c r="E705" s="12">
        <v>7</v>
      </c>
      <c r="F705" s="12">
        <f t="shared" ref="F705:S705" si="714">F345</f>
        <v>102</v>
      </c>
      <c r="G705" s="12">
        <f t="shared" si="714"/>
        <v>40205</v>
      </c>
      <c r="H705" s="12">
        <f t="shared" si="714"/>
        <v>3</v>
      </c>
      <c r="I705" s="12">
        <f t="shared" si="714"/>
        <v>2</v>
      </c>
      <c r="J705" s="12">
        <f t="shared" si="714"/>
        <v>6</v>
      </c>
      <c r="K705" s="12">
        <f t="shared" si="714"/>
        <v>7287240847470</v>
      </c>
      <c r="L705" s="12">
        <f t="shared" si="714"/>
        <v>7287240847470</v>
      </c>
      <c r="M705" s="12">
        <f t="shared" si="714"/>
        <v>7287240847470</v>
      </c>
      <c r="N705" s="12">
        <f t="shared" si="714"/>
        <v>0</v>
      </c>
      <c r="O705" s="12">
        <f t="shared" si="714"/>
        <v>0</v>
      </c>
      <c r="P705" s="12">
        <f t="shared" si="714"/>
        <v>0</v>
      </c>
      <c r="Q705" s="12">
        <f t="shared" si="714"/>
        <v>2.3720052308028801E+26</v>
      </c>
      <c r="R705" s="12">
        <f t="shared" si="714"/>
        <v>0</v>
      </c>
      <c r="S705" s="12">
        <f t="shared" si="714"/>
        <v>60</v>
      </c>
      <c r="T705" s="17" t="s">
        <v>926</v>
      </c>
    </row>
    <row r="706" spans="1:20" x14ac:dyDescent="0.2">
      <c r="A706" s="12">
        <v>70103</v>
      </c>
      <c r="B706" s="16" t="s">
        <v>928</v>
      </c>
      <c r="C706" s="2" t="s">
        <v>800</v>
      </c>
      <c r="D706" s="12">
        <v>103</v>
      </c>
      <c r="E706" s="12">
        <v>7</v>
      </c>
      <c r="F706" s="12">
        <f t="shared" ref="F706:S706" si="715">F346</f>
        <v>103</v>
      </c>
      <c r="G706" s="12">
        <f t="shared" si="715"/>
        <v>50055</v>
      </c>
      <c r="H706" s="12">
        <f t="shared" si="715"/>
        <v>2</v>
      </c>
      <c r="I706" s="12">
        <f t="shared" si="715"/>
        <v>2</v>
      </c>
      <c r="J706" s="12">
        <f t="shared" si="715"/>
        <v>6</v>
      </c>
      <c r="K706" s="12">
        <f t="shared" si="715"/>
        <v>5799404485480</v>
      </c>
      <c r="L706" s="12">
        <f t="shared" si="715"/>
        <v>5799404485480</v>
      </c>
      <c r="M706" s="12">
        <f t="shared" si="715"/>
        <v>5799404485480</v>
      </c>
      <c r="N706" s="12">
        <f t="shared" si="715"/>
        <v>0</v>
      </c>
      <c r="O706" s="12">
        <f t="shared" si="715"/>
        <v>0</v>
      </c>
      <c r="P706" s="12">
        <f t="shared" si="715"/>
        <v>0</v>
      </c>
      <c r="Q706" s="12">
        <f t="shared" si="715"/>
        <v>2.7227144073533001E+26</v>
      </c>
      <c r="R706" s="12">
        <f t="shared" si="715"/>
        <v>0</v>
      </c>
      <c r="S706" s="12">
        <f t="shared" si="715"/>
        <v>60</v>
      </c>
      <c r="T706" s="17" t="s">
        <v>926</v>
      </c>
    </row>
    <row r="707" spans="1:20" x14ac:dyDescent="0.2">
      <c r="A707" s="12">
        <v>70104</v>
      </c>
      <c r="B707" s="16" t="s">
        <v>929</v>
      </c>
      <c r="C707" s="2" t="s">
        <v>800</v>
      </c>
      <c r="D707" s="12">
        <v>104</v>
      </c>
      <c r="E707" s="12">
        <v>7</v>
      </c>
      <c r="F707" s="12">
        <f t="shared" ref="F707:S707" si="716">F347</f>
        <v>104</v>
      </c>
      <c r="G707" s="12">
        <f t="shared" si="716"/>
        <v>10045</v>
      </c>
      <c r="H707" s="12">
        <f t="shared" si="716"/>
        <v>1</v>
      </c>
      <c r="I707" s="12">
        <f t="shared" si="716"/>
        <v>2</v>
      </c>
      <c r="J707" s="12">
        <f t="shared" si="716"/>
        <v>6</v>
      </c>
      <c r="K707" s="12">
        <f t="shared" si="716"/>
        <v>6018885713370</v>
      </c>
      <c r="L707" s="12">
        <f t="shared" si="716"/>
        <v>6018885713370</v>
      </c>
      <c r="M707" s="12">
        <f t="shared" si="716"/>
        <v>6018885713370</v>
      </c>
      <c r="N707" s="12">
        <f t="shared" si="716"/>
        <v>0</v>
      </c>
      <c r="O707" s="12">
        <f t="shared" si="716"/>
        <v>0</v>
      </c>
      <c r="P707" s="12">
        <f t="shared" si="716"/>
        <v>0</v>
      </c>
      <c r="Q707" s="12">
        <f t="shared" si="716"/>
        <v>3.0813781349454499E+26</v>
      </c>
      <c r="R707" s="12">
        <f t="shared" si="716"/>
        <v>0</v>
      </c>
      <c r="S707" s="12">
        <f t="shared" si="716"/>
        <v>60</v>
      </c>
      <c r="T707" s="17" t="s">
        <v>926</v>
      </c>
    </row>
    <row r="708" spans="1:20" x14ac:dyDescent="0.2">
      <c r="A708" s="12">
        <v>70105</v>
      </c>
      <c r="B708" s="16" t="s">
        <v>930</v>
      </c>
      <c r="C708" s="2" t="s">
        <v>800</v>
      </c>
      <c r="D708" s="12">
        <v>105</v>
      </c>
      <c r="E708" s="12">
        <v>7</v>
      </c>
      <c r="F708" s="12">
        <f t="shared" ref="F708:S708" si="717">F348</f>
        <v>105</v>
      </c>
      <c r="G708" s="12">
        <f t="shared" si="717"/>
        <v>10095</v>
      </c>
      <c r="H708" s="12">
        <f t="shared" si="717"/>
        <v>3</v>
      </c>
      <c r="I708" s="12">
        <f t="shared" si="717"/>
        <v>2</v>
      </c>
      <c r="J708" s="12">
        <f t="shared" si="717"/>
        <v>6</v>
      </c>
      <c r="K708" s="12">
        <f t="shared" si="717"/>
        <v>6341101143930</v>
      </c>
      <c r="L708" s="12">
        <f t="shared" si="717"/>
        <v>6341101143930</v>
      </c>
      <c r="M708" s="12">
        <f t="shared" si="717"/>
        <v>6341101143930</v>
      </c>
      <c r="N708" s="12">
        <f t="shared" si="717"/>
        <v>0</v>
      </c>
      <c r="O708" s="12">
        <f t="shared" si="717"/>
        <v>0</v>
      </c>
      <c r="P708" s="12">
        <f t="shared" si="717"/>
        <v>0</v>
      </c>
      <c r="Q708" s="12">
        <f t="shared" si="717"/>
        <v>3.7276331404618E+26</v>
      </c>
      <c r="R708" s="12">
        <f t="shared" si="717"/>
        <v>0</v>
      </c>
      <c r="S708" s="12">
        <f t="shared" si="717"/>
        <v>60</v>
      </c>
      <c r="T708" s="17" t="s">
        <v>931</v>
      </c>
    </row>
    <row r="709" spans="1:20" x14ac:dyDescent="0.2">
      <c r="A709" s="12">
        <v>70106</v>
      </c>
      <c r="B709" s="16" t="s">
        <v>932</v>
      </c>
      <c r="C709" s="2" t="s">
        <v>800</v>
      </c>
      <c r="D709" s="12">
        <v>106</v>
      </c>
      <c r="E709" s="12">
        <v>7</v>
      </c>
      <c r="F709" s="12">
        <f t="shared" ref="F709:S709" si="718">F349</f>
        <v>106</v>
      </c>
      <c r="G709" s="12">
        <f t="shared" si="718"/>
        <v>10145</v>
      </c>
      <c r="H709" s="12">
        <f t="shared" si="718"/>
        <v>2</v>
      </c>
      <c r="I709" s="12">
        <f t="shared" si="718"/>
        <v>2</v>
      </c>
      <c r="J709" s="12">
        <f t="shared" si="718"/>
        <v>6</v>
      </c>
      <c r="K709" s="12">
        <f t="shared" si="718"/>
        <v>6576408858185</v>
      </c>
      <c r="L709" s="12">
        <f t="shared" si="718"/>
        <v>6576408858185</v>
      </c>
      <c r="M709" s="12">
        <f t="shared" si="718"/>
        <v>6576408858185</v>
      </c>
      <c r="N709" s="12">
        <f t="shared" si="718"/>
        <v>0</v>
      </c>
      <c r="O709" s="12">
        <f t="shared" si="718"/>
        <v>0</v>
      </c>
      <c r="P709" s="12">
        <f t="shared" si="718"/>
        <v>0</v>
      </c>
      <c r="Q709" s="12">
        <f t="shared" si="718"/>
        <v>4.20841642240028E+26</v>
      </c>
      <c r="R709" s="12">
        <f t="shared" si="718"/>
        <v>0</v>
      </c>
      <c r="S709" s="12">
        <f t="shared" si="718"/>
        <v>60</v>
      </c>
      <c r="T709" s="17" t="s">
        <v>931</v>
      </c>
    </row>
    <row r="710" spans="1:20" x14ac:dyDescent="0.2">
      <c r="A710" s="12">
        <v>70107</v>
      </c>
      <c r="B710" s="16" t="s">
        <v>933</v>
      </c>
      <c r="C710" s="2" t="s">
        <v>800</v>
      </c>
      <c r="D710" s="12">
        <v>107</v>
      </c>
      <c r="E710" s="12">
        <v>7</v>
      </c>
      <c r="F710" s="12">
        <f t="shared" ref="F710:S710" si="719">F350</f>
        <v>107</v>
      </c>
      <c r="G710" s="12">
        <f t="shared" si="719"/>
        <v>10195</v>
      </c>
      <c r="H710" s="12">
        <f t="shared" si="719"/>
        <v>1</v>
      </c>
      <c r="I710" s="12">
        <f t="shared" si="719"/>
        <v>2</v>
      </c>
      <c r="J710" s="12">
        <f t="shared" si="719"/>
        <v>6</v>
      </c>
      <c r="K710" s="12">
        <f t="shared" si="719"/>
        <v>6840833275900</v>
      </c>
      <c r="L710" s="12">
        <f t="shared" si="719"/>
        <v>6840833275900</v>
      </c>
      <c r="M710" s="12">
        <f t="shared" si="719"/>
        <v>6840833275900</v>
      </c>
      <c r="N710" s="12">
        <f t="shared" si="719"/>
        <v>0</v>
      </c>
      <c r="O710" s="12">
        <f t="shared" si="719"/>
        <v>0</v>
      </c>
      <c r="P710" s="12">
        <f t="shared" si="719"/>
        <v>0</v>
      </c>
      <c r="Q710" s="12">
        <f t="shared" si="719"/>
        <v>4.8083041634106298E+26</v>
      </c>
      <c r="R710" s="12">
        <f t="shared" si="719"/>
        <v>0</v>
      </c>
      <c r="S710" s="12">
        <f t="shared" si="719"/>
        <v>60</v>
      </c>
      <c r="T710" s="17" t="s">
        <v>931</v>
      </c>
    </row>
    <row r="711" spans="1:20" x14ac:dyDescent="0.2">
      <c r="A711" s="12">
        <v>70108</v>
      </c>
      <c r="B711" s="16" t="s">
        <v>934</v>
      </c>
      <c r="C711" s="2" t="s">
        <v>800</v>
      </c>
      <c r="D711" s="12">
        <v>108</v>
      </c>
      <c r="E711" s="12">
        <v>7</v>
      </c>
      <c r="F711" s="12">
        <f t="shared" ref="F711:S711" si="720">F351</f>
        <v>108</v>
      </c>
      <c r="G711" s="12">
        <f t="shared" si="720"/>
        <v>20045</v>
      </c>
      <c r="H711" s="12">
        <f t="shared" si="720"/>
        <v>3</v>
      </c>
      <c r="I711" s="12">
        <f t="shared" si="720"/>
        <v>2</v>
      </c>
      <c r="J711" s="12">
        <f t="shared" si="720"/>
        <v>6</v>
      </c>
      <c r="K711" s="12">
        <f t="shared" si="720"/>
        <v>7090857446025</v>
      </c>
      <c r="L711" s="12">
        <f t="shared" si="720"/>
        <v>7090857446025</v>
      </c>
      <c r="M711" s="12">
        <f t="shared" si="720"/>
        <v>7090857446025</v>
      </c>
      <c r="N711" s="12">
        <f t="shared" si="720"/>
        <v>0</v>
      </c>
      <c r="O711" s="12">
        <f t="shared" si="720"/>
        <v>0</v>
      </c>
      <c r="P711" s="12">
        <f t="shared" si="720"/>
        <v>0</v>
      </c>
      <c r="Q711" s="12">
        <f t="shared" si="720"/>
        <v>5.4199435353420198E+26</v>
      </c>
      <c r="R711" s="12">
        <f t="shared" si="720"/>
        <v>0</v>
      </c>
      <c r="S711" s="12">
        <f t="shared" si="720"/>
        <v>60</v>
      </c>
      <c r="T711" s="17" t="s">
        <v>931</v>
      </c>
    </row>
    <row r="712" spans="1:20" x14ac:dyDescent="0.2">
      <c r="A712" s="12">
        <v>70109</v>
      </c>
      <c r="B712" s="16" t="s">
        <v>935</v>
      </c>
      <c r="C712" s="2" t="s">
        <v>800</v>
      </c>
      <c r="D712" s="12">
        <v>109</v>
      </c>
      <c r="E712" s="12">
        <v>7</v>
      </c>
      <c r="F712" s="12">
        <f t="shared" ref="F712:S712" si="721">F352</f>
        <v>109</v>
      </c>
      <c r="G712" s="12">
        <f t="shared" si="721"/>
        <v>20095</v>
      </c>
      <c r="H712" s="12">
        <f t="shared" si="721"/>
        <v>2</v>
      </c>
      <c r="I712" s="12">
        <f t="shared" si="721"/>
        <v>2</v>
      </c>
      <c r="J712" s="12">
        <f t="shared" si="721"/>
        <v>6</v>
      </c>
      <c r="K712" s="12">
        <f t="shared" si="721"/>
        <v>7372649905835</v>
      </c>
      <c r="L712" s="12">
        <f t="shared" si="721"/>
        <v>7372649905835</v>
      </c>
      <c r="M712" s="12">
        <f t="shared" si="721"/>
        <v>7372649905835</v>
      </c>
      <c r="N712" s="12">
        <f t="shared" si="721"/>
        <v>0</v>
      </c>
      <c r="O712" s="12">
        <f t="shared" si="721"/>
        <v>0</v>
      </c>
      <c r="P712" s="12">
        <f t="shared" si="721"/>
        <v>0</v>
      </c>
      <c r="Q712" s="12">
        <f t="shared" si="721"/>
        <v>6.1817460828511497E+26</v>
      </c>
      <c r="R712" s="12">
        <f t="shared" si="721"/>
        <v>0</v>
      </c>
      <c r="S712" s="12">
        <f t="shared" si="721"/>
        <v>60</v>
      </c>
      <c r="T712" s="17" t="s">
        <v>936</v>
      </c>
    </row>
    <row r="713" spans="1:20" x14ac:dyDescent="0.2">
      <c r="A713" s="12">
        <v>70110</v>
      </c>
      <c r="B713" s="16" t="s">
        <v>937</v>
      </c>
      <c r="C713" s="2" t="s">
        <v>800</v>
      </c>
      <c r="D713" s="12">
        <v>110</v>
      </c>
      <c r="E713" s="12">
        <v>7</v>
      </c>
      <c r="F713" s="12">
        <f t="shared" ref="F713:S713" si="722">F353</f>
        <v>110</v>
      </c>
      <c r="G713" s="12">
        <f t="shared" si="722"/>
        <v>20145</v>
      </c>
      <c r="H713" s="12">
        <f t="shared" si="722"/>
        <v>1</v>
      </c>
      <c r="I713" s="12">
        <f t="shared" si="722"/>
        <v>2</v>
      </c>
      <c r="J713" s="12">
        <f t="shared" si="722"/>
        <v>6</v>
      </c>
      <c r="K713" s="12">
        <f t="shared" si="722"/>
        <v>7639048870225</v>
      </c>
      <c r="L713" s="12">
        <f t="shared" si="722"/>
        <v>7639048870225</v>
      </c>
      <c r="M713" s="12">
        <f t="shared" si="722"/>
        <v>7639048870225</v>
      </c>
      <c r="N713" s="12">
        <f t="shared" si="722"/>
        <v>0</v>
      </c>
      <c r="O713" s="12">
        <f t="shared" si="722"/>
        <v>0</v>
      </c>
      <c r="P713" s="12">
        <f t="shared" si="722"/>
        <v>0</v>
      </c>
      <c r="Q713" s="12">
        <f t="shared" si="722"/>
        <v>6.9583585996201498E+26</v>
      </c>
      <c r="R713" s="12">
        <f t="shared" si="722"/>
        <v>0</v>
      </c>
      <c r="S713" s="12">
        <f t="shared" si="722"/>
        <v>60</v>
      </c>
      <c r="T713" s="17" t="s">
        <v>936</v>
      </c>
    </row>
    <row r="714" spans="1:20" x14ac:dyDescent="0.2">
      <c r="A714" s="12">
        <v>70111</v>
      </c>
      <c r="B714" s="16" t="s">
        <v>938</v>
      </c>
      <c r="C714" s="2" t="s">
        <v>800</v>
      </c>
      <c r="D714" s="12">
        <v>111</v>
      </c>
      <c r="E714" s="12">
        <v>7</v>
      </c>
      <c r="F714" s="12">
        <f t="shared" ref="F714:S714" si="723">F354</f>
        <v>111</v>
      </c>
      <c r="G714" s="12">
        <f t="shared" si="723"/>
        <v>20195</v>
      </c>
      <c r="H714" s="12">
        <f t="shared" si="723"/>
        <v>3</v>
      </c>
      <c r="I714" s="12">
        <f t="shared" si="723"/>
        <v>2</v>
      </c>
      <c r="J714" s="12">
        <f t="shared" si="723"/>
        <v>6</v>
      </c>
      <c r="K714" s="12">
        <f t="shared" si="723"/>
        <v>7938387725105</v>
      </c>
      <c r="L714" s="12">
        <f t="shared" si="723"/>
        <v>7938387725105</v>
      </c>
      <c r="M714" s="12">
        <f t="shared" si="723"/>
        <v>7938387725105</v>
      </c>
      <c r="N714" s="12">
        <f t="shared" si="723"/>
        <v>0</v>
      </c>
      <c r="O714" s="12">
        <f t="shared" si="723"/>
        <v>0</v>
      </c>
      <c r="P714" s="12">
        <f t="shared" si="723"/>
        <v>0</v>
      </c>
      <c r="Q714" s="12">
        <f t="shared" si="723"/>
        <v>7.9233775288308293E+26</v>
      </c>
      <c r="R714" s="12">
        <f t="shared" si="723"/>
        <v>0</v>
      </c>
      <c r="S714" s="12">
        <f t="shared" si="723"/>
        <v>60</v>
      </c>
      <c r="T714" s="17" t="s">
        <v>936</v>
      </c>
    </row>
    <row r="715" spans="1:20" x14ac:dyDescent="0.2">
      <c r="A715" s="12">
        <v>70112</v>
      </c>
      <c r="B715" s="16" t="s">
        <v>939</v>
      </c>
      <c r="C715" s="2" t="s">
        <v>800</v>
      </c>
      <c r="D715" s="12">
        <v>112</v>
      </c>
      <c r="E715" s="12">
        <v>7</v>
      </c>
      <c r="F715" s="12">
        <f t="shared" ref="F715:S715" si="724">F355</f>
        <v>112</v>
      </c>
      <c r="G715" s="12">
        <f t="shared" si="724"/>
        <v>30045</v>
      </c>
      <c r="H715" s="12">
        <f t="shared" si="724"/>
        <v>2</v>
      </c>
      <c r="I715" s="12">
        <f t="shared" si="724"/>
        <v>2</v>
      </c>
      <c r="J715" s="12">
        <f t="shared" si="724"/>
        <v>6</v>
      </c>
      <c r="K715" s="12">
        <f t="shared" si="724"/>
        <v>8221225274630</v>
      </c>
      <c r="L715" s="12">
        <f t="shared" si="724"/>
        <v>8221225274630</v>
      </c>
      <c r="M715" s="12">
        <f t="shared" si="724"/>
        <v>8221225274630</v>
      </c>
      <c r="N715" s="12">
        <f t="shared" si="724"/>
        <v>0</v>
      </c>
      <c r="O715" s="12">
        <f t="shared" si="724"/>
        <v>0</v>
      </c>
      <c r="P715" s="12">
        <f t="shared" si="724"/>
        <v>0</v>
      </c>
      <c r="Q715" s="12">
        <f t="shared" si="724"/>
        <v>8.9057893979743705E+26</v>
      </c>
      <c r="R715" s="12">
        <f t="shared" si="724"/>
        <v>0</v>
      </c>
      <c r="S715" s="12">
        <f t="shared" si="724"/>
        <v>60</v>
      </c>
      <c r="T715" s="17" t="s">
        <v>936</v>
      </c>
    </row>
    <row r="716" spans="1:20" x14ac:dyDescent="0.2">
      <c r="A716" s="12">
        <v>70113</v>
      </c>
      <c r="B716" s="16" t="s">
        <v>940</v>
      </c>
      <c r="C716" s="2" t="s">
        <v>800</v>
      </c>
      <c r="D716" s="12">
        <v>113</v>
      </c>
      <c r="E716" s="12">
        <v>7</v>
      </c>
      <c r="F716" s="12">
        <f t="shared" ref="F716:S716" si="725">F356</f>
        <v>113</v>
      </c>
      <c r="G716" s="12">
        <f t="shared" si="725"/>
        <v>30095</v>
      </c>
      <c r="H716" s="12">
        <f t="shared" si="725"/>
        <v>1</v>
      </c>
      <c r="I716" s="12">
        <f t="shared" si="725"/>
        <v>2</v>
      </c>
      <c r="J716" s="12">
        <f t="shared" si="725"/>
        <v>6</v>
      </c>
      <c r="K716" s="12">
        <f t="shared" si="725"/>
        <v>8679849646845</v>
      </c>
      <c r="L716" s="12">
        <f t="shared" si="725"/>
        <v>8679849646845</v>
      </c>
      <c r="M716" s="12">
        <f t="shared" si="725"/>
        <v>8679849646845</v>
      </c>
      <c r="N716" s="12">
        <f t="shared" si="725"/>
        <v>0</v>
      </c>
      <c r="O716" s="12">
        <f t="shared" si="725"/>
        <v>0</v>
      </c>
      <c r="P716" s="12">
        <f t="shared" si="725"/>
        <v>0</v>
      </c>
      <c r="Q716" s="12">
        <f t="shared" si="725"/>
        <v>1.2088356875739901E+27</v>
      </c>
      <c r="R716" s="12">
        <f t="shared" si="725"/>
        <v>0</v>
      </c>
      <c r="S716" s="12">
        <f t="shared" si="725"/>
        <v>60</v>
      </c>
      <c r="T716" s="17" t="s">
        <v>941</v>
      </c>
    </row>
    <row r="717" spans="1:20" x14ac:dyDescent="0.2">
      <c r="A717" s="12">
        <v>70114</v>
      </c>
      <c r="B717" s="16" t="s">
        <v>942</v>
      </c>
      <c r="C717" s="2" t="s">
        <v>800</v>
      </c>
      <c r="D717" s="12">
        <v>114</v>
      </c>
      <c r="E717" s="12">
        <v>7</v>
      </c>
      <c r="F717" s="12">
        <f t="shared" ref="F717:S717" si="726">F357</f>
        <v>114</v>
      </c>
      <c r="G717" s="12">
        <f t="shared" si="726"/>
        <v>30145</v>
      </c>
      <c r="H717" s="12">
        <f t="shared" si="726"/>
        <v>3</v>
      </c>
      <c r="I717" s="12">
        <f t="shared" si="726"/>
        <v>2</v>
      </c>
      <c r="J717" s="12">
        <f t="shared" si="726"/>
        <v>6</v>
      </c>
      <c r="K717" s="12">
        <f t="shared" si="726"/>
        <v>8995482646770</v>
      </c>
      <c r="L717" s="12">
        <f t="shared" si="726"/>
        <v>8995482646770</v>
      </c>
      <c r="M717" s="12">
        <f t="shared" si="726"/>
        <v>8995482646770</v>
      </c>
      <c r="N717" s="12">
        <f t="shared" si="726"/>
        <v>0</v>
      </c>
      <c r="O717" s="12">
        <f t="shared" si="726"/>
        <v>0</v>
      </c>
      <c r="P717" s="12">
        <f t="shared" si="726"/>
        <v>0</v>
      </c>
      <c r="Q717" s="12">
        <f t="shared" si="726"/>
        <v>1.3568644490080901E+27</v>
      </c>
      <c r="R717" s="12">
        <f t="shared" si="726"/>
        <v>0</v>
      </c>
      <c r="S717" s="12">
        <f t="shared" si="726"/>
        <v>60</v>
      </c>
      <c r="T717" s="17" t="s">
        <v>941</v>
      </c>
    </row>
    <row r="718" spans="1:20" x14ac:dyDescent="0.2">
      <c r="A718" s="12">
        <v>70115</v>
      </c>
      <c r="B718" s="16" t="s">
        <v>943</v>
      </c>
      <c r="C718" s="2" t="s">
        <v>800</v>
      </c>
      <c r="D718" s="12">
        <v>115</v>
      </c>
      <c r="E718" s="12">
        <v>7</v>
      </c>
      <c r="F718" s="12">
        <f t="shared" ref="F718:S718" si="727">F358</f>
        <v>115</v>
      </c>
      <c r="G718" s="12">
        <f t="shared" si="727"/>
        <v>30195</v>
      </c>
      <c r="H718" s="12">
        <f t="shared" si="727"/>
        <v>2</v>
      </c>
      <c r="I718" s="12">
        <f t="shared" si="727"/>
        <v>2</v>
      </c>
      <c r="J718" s="12">
        <f t="shared" si="727"/>
        <v>6</v>
      </c>
      <c r="K718" s="12">
        <f t="shared" si="727"/>
        <v>9349156575210</v>
      </c>
      <c r="L718" s="12">
        <f t="shared" si="727"/>
        <v>9349156575210</v>
      </c>
      <c r="M718" s="12">
        <f t="shared" si="727"/>
        <v>9349156575210</v>
      </c>
      <c r="N718" s="12">
        <f t="shared" si="727"/>
        <v>0</v>
      </c>
      <c r="O718" s="12">
        <f t="shared" si="727"/>
        <v>0</v>
      </c>
      <c r="P718" s="12">
        <f t="shared" si="727"/>
        <v>0</v>
      </c>
      <c r="Q718" s="12">
        <f t="shared" si="727"/>
        <v>1.5400158152349601E+27</v>
      </c>
      <c r="R718" s="12">
        <f t="shared" si="727"/>
        <v>0</v>
      </c>
      <c r="S718" s="12">
        <f t="shared" si="727"/>
        <v>60</v>
      </c>
      <c r="T718" s="17" t="s">
        <v>941</v>
      </c>
    </row>
    <row r="719" spans="1:20" x14ac:dyDescent="0.2">
      <c r="A719" s="12">
        <v>70116</v>
      </c>
      <c r="B719" s="16" t="s">
        <v>944</v>
      </c>
      <c r="C719" s="2" t="s">
        <v>800</v>
      </c>
      <c r="D719" s="12">
        <v>116</v>
      </c>
      <c r="E719" s="12">
        <v>7</v>
      </c>
      <c r="F719" s="12">
        <f t="shared" ref="F719:S719" si="728">F359</f>
        <v>116</v>
      </c>
      <c r="G719" s="12">
        <f t="shared" si="728"/>
        <v>40045</v>
      </c>
      <c r="H719" s="12">
        <f t="shared" si="728"/>
        <v>1</v>
      </c>
      <c r="I719" s="12">
        <f t="shared" si="728"/>
        <v>2</v>
      </c>
      <c r="J719" s="12">
        <f t="shared" si="728"/>
        <v>6</v>
      </c>
      <c r="K719" s="12">
        <f t="shared" si="728"/>
        <v>9684325906050</v>
      </c>
      <c r="L719" s="12">
        <f t="shared" si="728"/>
        <v>9684325906050</v>
      </c>
      <c r="M719" s="12">
        <f t="shared" si="728"/>
        <v>9684325906050</v>
      </c>
      <c r="N719" s="12">
        <f t="shared" si="728"/>
        <v>0</v>
      </c>
      <c r="O719" s="12">
        <f t="shared" si="728"/>
        <v>0</v>
      </c>
      <c r="P719" s="12">
        <f t="shared" si="728"/>
        <v>0</v>
      </c>
      <c r="Q719" s="12">
        <f t="shared" si="728"/>
        <v>1.72641385128131E+27</v>
      </c>
      <c r="R719" s="12">
        <f t="shared" si="728"/>
        <v>0</v>
      </c>
      <c r="S719" s="12">
        <f t="shared" si="728"/>
        <v>60</v>
      </c>
      <c r="T719" s="17" t="s">
        <v>941</v>
      </c>
    </row>
    <row r="720" spans="1:20" x14ac:dyDescent="0.2">
      <c r="A720" s="12">
        <v>70117</v>
      </c>
      <c r="B720" s="16" t="s">
        <v>945</v>
      </c>
      <c r="C720" s="2" t="s">
        <v>800</v>
      </c>
      <c r="D720" s="12">
        <v>117</v>
      </c>
      <c r="E720" s="12">
        <v>7</v>
      </c>
      <c r="F720" s="12">
        <f t="shared" ref="F720:S720" si="729">F360</f>
        <v>117</v>
      </c>
      <c r="G720" s="12">
        <f t="shared" si="729"/>
        <v>40095</v>
      </c>
      <c r="H720" s="12">
        <f t="shared" si="729"/>
        <v>3</v>
      </c>
      <c r="I720" s="12">
        <f t="shared" si="729"/>
        <v>2</v>
      </c>
      <c r="J720" s="12">
        <f t="shared" si="729"/>
        <v>6</v>
      </c>
      <c r="K720" s="12">
        <f t="shared" si="729"/>
        <v>10061017902095</v>
      </c>
      <c r="L720" s="12">
        <f t="shared" si="729"/>
        <v>10061017902095</v>
      </c>
      <c r="M720" s="12">
        <f t="shared" si="729"/>
        <v>10061017902095</v>
      </c>
      <c r="N720" s="12">
        <f t="shared" si="729"/>
        <v>0</v>
      </c>
      <c r="O720" s="12">
        <f t="shared" si="729"/>
        <v>0</v>
      </c>
      <c r="P720" s="12">
        <f t="shared" si="729"/>
        <v>0</v>
      </c>
      <c r="Q720" s="12">
        <f t="shared" si="729"/>
        <v>1.9569867613705499E+27</v>
      </c>
      <c r="R720" s="12">
        <f t="shared" si="729"/>
        <v>0</v>
      </c>
      <c r="S720" s="12">
        <f t="shared" si="729"/>
        <v>60</v>
      </c>
      <c r="T720" s="17" t="s">
        <v>946</v>
      </c>
    </row>
    <row r="721" spans="1:20" x14ac:dyDescent="0.2">
      <c r="A721" s="12">
        <v>70118</v>
      </c>
      <c r="B721" s="16" t="s">
        <v>947</v>
      </c>
      <c r="C721" s="2" t="s">
        <v>800</v>
      </c>
      <c r="D721" s="12">
        <v>118</v>
      </c>
      <c r="E721" s="12">
        <v>7</v>
      </c>
      <c r="F721" s="12">
        <f t="shared" ref="F721:S721" si="730">F361</f>
        <v>118</v>
      </c>
      <c r="G721" s="12">
        <f t="shared" si="730"/>
        <v>40145</v>
      </c>
      <c r="H721" s="12">
        <f t="shared" si="730"/>
        <v>2</v>
      </c>
      <c r="I721" s="12">
        <f t="shared" si="730"/>
        <v>2</v>
      </c>
      <c r="J721" s="12">
        <f t="shared" si="730"/>
        <v>6</v>
      </c>
      <c r="K721" s="12">
        <f t="shared" si="730"/>
        <v>10417853064515</v>
      </c>
      <c r="L721" s="12">
        <f t="shared" si="730"/>
        <v>10417853064515</v>
      </c>
      <c r="M721" s="12">
        <f t="shared" si="730"/>
        <v>10417853064515</v>
      </c>
      <c r="N721" s="12">
        <f t="shared" si="730"/>
        <v>0</v>
      </c>
      <c r="O721" s="12">
        <f t="shared" si="730"/>
        <v>0</v>
      </c>
      <c r="P721" s="12">
        <f t="shared" si="730"/>
        <v>0</v>
      </c>
      <c r="Q721" s="12">
        <f t="shared" si="730"/>
        <v>2.1913428769134401E+27</v>
      </c>
      <c r="R721" s="12">
        <f t="shared" si="730"/>
        <v>0</v>
      </c>
      <c r="S721" s="12">
        <f t="shared" si="730"/>
        <v>60</v>
      </c>
      <c r="T721" s="17" t="s">
        <v>946</v>
      </c>
    </row>
    <row r="722" spans="1:20" x14ac:dyDescent="0.2">
      <c r="A722" s="12">
        <v>70119</v>
      </c>
      <c r="B722" s="16" t="s">
        <v>948</v>
      </c>
      <c r="C722" s="2" t="s">
        <v>800</v>
      </c>
      <c r="D722" s="12">
        <v>119</v>
      </c>
      <c r="E722" s="12">
        <v>7</v>
      </c>
      <c r="F722" s="12">
        <f t="shared" ref="F722:S722" si="731">F362</f>
        <v>119</v>
      </c>
      <c r="G722" s="12">
        <f t="shared" si="731"/>
        <v>40195</v>
      </c>
      <c r="H722" s="12">
        <f t="shared" si="731"/>
        <v>1</v>
      </c>
      <c r="I722" s="12">
        <f t="shared" si="731"/>
        <v>2</v>
      </c>
      <c r="J722" s="12">
        <f t="shared" si="731"/>
        <v>6</v>
      </c>
      <c r="K722" s="12">
        <f t="shared" si="731"/>
        <v>10817881818100</v>
      </c>
      <c r="L722" s="12">
        <f t="shared" si="731"/>
        <v>10817881818100</v>
      </c>
      <c r="M722" s="12">
        <f t="shared" si="731"/>
        <v>10817881818100</v>
      </c>
      <c r="N722" s="12">
        <f t="shared" si="731"/>
        <v>0</v>
      </c>
      <c r="O722" s="12">
        <f t="shared" si="731"/>
        <v>0</v>
      </c>
      <c r="P722" s="12">
        <f t="shared" si="731"/>
        <v>0</v>
      </c>
      <c r="Q722" s="12">
        <f t="shared" si="731"/>
        <v>2.4806156616865397E+27</v>
      </c>
      <c r="R722" s="12">
        <f t="shared" si="731"/>
        <v>0</v>
      </c>
      <c r="S722" s="12">
        <f t="shared" si="731"/>
        <v>60</v>
      </c>
      <c r="T722" s="17" t="s">
        <v>946</v>
      </c>
    </row>
    <row r="723" spans="1:20" x14ac:dyDescent="0.2">
      <c r="A723" s="12">
        <v>70120</v>
      </c>
      <c r="B723" s="16" t="s">
        <v>949</v>
      </c>
      <c r="C723" s="2" t="s">
        <v>800</v>
      </c>
      <c r="D723" s="12">
        <v>120</v>
      </c>
      <c r="E723" s="12">
        <v>7</v>
      </c>
      <c r="F723" s="12">
        <f t="shared" ref="F723:S723" si="732">F363</f>
        <v>120</v>
      </c>
      <c r="G723" s="12">
        <f t="shared" si="732"/>
        <v>50045</v>
      </c>
      <c r="H723" s="12">
        <f t="shared" si="732"/>
        <v>3</v>
      </c>
      <c r="I723" s="12">
        <f t="shared" si="732"/>
        <v>2</v>
      </c>
      <c r="J723" s="12">
        <f t="shared" si="732"/>
        <v>6</v>
      </c>
      <c r="K723" s="12">
        <f t="shared" si="732"/>
        <v>11196545828205</v>
      </c>
      <c r="L723" s="12">
        <f t="shared" si="732"/>
        <v>11196545828205</v>
      </c>
      <c r="M723" s="12">
        <f t="shared" si="732"/>
        <v>11196545828205</v>
      </c>
      <c r="N723" s="12">
        <f t="shared" si="732"/>
        <v>0</v>
      </c>
      <c r="O723" s="12">
        <f t="shared" si="732"/>
        <v>0</v>
      </c>
      <c r="P723" s="12">
        <f t="shared" si="732"/>
        <v>0</v>
      </c>
      <c r="Q723" s="12">
        <f t="shared" si="732"/>
        <v>2.6968238110057798E+27</v>
      </c>
      <c r="R723" s="12">
        <f t="shared" si="732"/>
        <v>0</v>
      </c>
      <c r="S723" s="12">
        <f t="shared" si="732"/>
        <v>60</v>
      </c>
      <c r="T723" s="17" t="s">
        <v>946</v>
      </c>
    </row>
    <row r="724" spans="1:20" x14ac:dyDescent="0.2">
      <c r="A724" s="12">
        <v>80001</v>
      </c>
      <c r="B724" s="16" t="s">
        <v>950</v>
      </c>
      <c r="C724" s="2" t="s">
        <v>951</v>
      </c>
      <c r="D724" s="12">
        <v>1</v>
      </c>
      <c r="E724" s="12">
        <v>8</v>
      </c>
      <c r="F724" s="12">
        <f t="shared" ref="F724:S724" si="733">F364</f>
        <v>1</v>
      </c>
      <c r="G724" s="12">
        <f t="shared" si="733"/>
        <v>20155</v>
      </c>
      <c r="H724" s="12">
        <f t="shared" si="733"/>
        <v>2</v>
      </c>
      <c r="I724" s="12">
        <f t="shared" si="733"/>
        <v>0</v>
      </c>
      <c r="J724" s="12">
        <f t="shared" si="733"/>
        <v>4</v>
      </c>
      <c r="K724" s="12">
        <f t="shared" si="733"/>
        <v>2125</v>
      </c>
      <c r="L724" s="12">
        <f t="shared" si="733"/>
        <v>2125</v>
      </c>
      <c r="M724" s="12">
        <f t="shared" si="733"/>
        <v>2125</v>
      </c>
      <c r="N724" s="12">
        <f t="shared" si="733"/>
        <v>0</v>
      </c>
      <c r="O724" s="12">
        <f t="shared" si="733"/>
        <v>0</v>
      </c>
      <c r="P724" s="12">
        <f t="shared" si="733"/>
        <v>0</v>
      </c>
      <c r="Q724" s="12">
        <f t="shared" si="733"/>
        <v>18975</v>
      </c>
      <c r="R724" s="12">
        <f t="shared" si="733"/>
        <v>0</v>
      </c>
      <c r="S724" s="12">
        <f t="shared" si="733"/>
        <v>60</v>
      </c>
      <c r="T724" s="25" t="s">
        <v>952</v>
      </c>
    </row>
    <row r="725" spans="1:20" x14ac:dyDescent="0.2">
      <c r="A725" s="12">
        <v>80002</v>
      </c>
      <c r="B725" s="16" t="s">
        <v>953</v>
      </c>
      <c r="C725" s="2" t="s">
        <v>951</v>
      </c>
      <c r="D725" s="12">
        <v>2</v>
      </c>
      <c r="E725" s="12">
        <v>8</v>
      </c>
      <c r="F725" s="12">
        <f t="shared" ref="F725:S725" si="734">F365</f>
        <v>2</v>
      </c>
      <c r="G725" s="12">
        <f t="shared" si="734"/>
        <v>20205</v>
      </c>
      <c r="H725" s="12">
        <f t="shared" si="734"/>
        <v>1</v>
      </c>
      <c r="I725" s="12">
        <f t="shared" si="734"/>
        <v>0</v>
      </c>
      <c r="J725" s="12">
        <f t="shared" si="734"/>
        <v>4</v>
      </c>
      <c r="K725" s="12">
        <f t="shared" si="734"/>
        <v>21420</v>
      </c>
      <c r="L725" s="12">
        <f t="shared" si="734"/>
        <v>21420</v>
      </c>
      <c r="M725" s="12">
        <f t="shared" si="734"/>
        <v>21420</v>
      </c>
      <c r="N725" s="12">
        <f t="shared" si="734"/>
        <v>0</v>
      </c>
      <c r="O725" s="12">
        <f t="shared" si="734"/>
        <v>0</v>
      </c>
      <c r="P725" s="12">
        <f t="shared" si="734"/>
        <v>0</v>
      </c>
      <c r="Q725" s="12">
        <f t="shared" si="734"/>
        <v>480400</v>
      </c>
      <c r="R725" s="12">
        <f t="shared" si="734"/>
        <v>0</v>
      </c>
      <c r="S725" s="12">
        <f t="shared" si="734"/>
        <v>60</v>
      </c>
      <c r="T725" s="17" t="s">
        <v>952</v>
      </c>
    </row>
    <row r="726" spans="1:20" x14ac:dyDescent="0.2">
      <c r="A726" s="12">
        <v>80003</v>
      </c>
      <c r="B726" s="16" t="s">
        <v>954</v>
      </c>
      <c r="C726" s="2" t="s">
        <v>951</v>
      </c>
      <c r="D726" s="12">
        <v>3</v>
      </c>
      <c r="E726" s="12">
        <v>8</v>
      </c>
      <c r="F726" s="12">
        <f t="shared" ref="F726:S726" si="735">F366</f>
        <v>3</v>
      </c>
      <c r="G726" s="12">
        <f t="shared" si="735"/>
        <v>30055</v>
      </c>
      <c r="H726" s="12">
        <f t="shared" si="735"/>
        <v>3</v>
      </c>
      <c r="I726" s="12">
        <f t="shared" si="735"/>
        <v>0</v>
      </c>
      <c r="J726" s="12">
        <f t="shared" si="735"/>
        <v>4</v>
      </c>
      <c r="K726" s="12">
        <f t="shared" si="735"/>
        <v>96540</v>
      </c>
      <c r="L726" s="12">
        <f t="shared" si="735"/>
        <v>96540</v>
      </c>
      <c r="M726" s="12">
        <f t="shared" si="735"/>
        <v>96540</v>
      </c>
      <c r="N726" s="12">
        <f t="shared" si="735"/>
        <v>0</v>
      </c>
      <c r="O726" s="12">
        <f t="shared" si="735"/>
        <v>0</v>
      </c>
      <c r="P726" s="12">
        <f t="shared" si="735"/>
        <v>0</v>
      </c>
      <c r="Q726" s="12">
        <f t="shared" si="735"/>
        <v>7033975</v>
      </c>
      <c r="R726" s="12">
        <f t="shared" si="735"/>
        <v>0</v>
      </c>
      <c r="S726" s="12">
        <f t="shared" si="735"/>
        <v>60</v>
      </c>
      <c r="T726" s="17" t="s">
        <v>952</v>
      </c>
    </row>
    <row r="727" spans="1:20" x14ac:dyDescent="0.2">
      <c r="A727" s="12">
        <v>80004</v>
      </c>
      <c r="B727" s="16" t="s">
        <v>955</v>
      </c>
      <c r="C727" s="2" t="s">
        <v>951</v>
      </c>
      <c r="D727" s="12">
        <v>4</v>
      </c>
      <c r="E727" s="12">
        <v>8</v>
      </c>
      <c r="F727" s="12">
        <f t="shared" ref="F727:S727" si="736">F367</f>
        <v>4</v>
      </c>
      <c r="G727" s="12">
        <f t="shared" si="736"/>
        <v>30105</v>
      </c>
      <c r="H727" s="12">
        <f t="shared" si="736"/>
        <v>2</v>
      </c>
      <c r="I727" s="12">
        <f t="shared" si="736"/>
        <v>0</v>
      </c>
      <c r="J727" s="12">
        <f t="shared" si="736"/>
        <v>4</v>
      </c>
      <c r="K727" s="12">
        <f t="shared" si="736"/>
        <v>208495</v>
      </c>
      <c r="L727" s="12">
        <f t="shared" si="736"/>
        <v>208495</v>
      </c>
      <c r="M727" s="12">
        <f t="shared" si="736"/>
        <v>208495</v>
      </c>
      <c r="N727" s="12">
        <f t="shared" si="736"/>
        <v>0</v>
      </c>
      <c r="O727" s="12">
        <f t="shared" si="736"/>
        <v>0</v>
      </c>
      <c r="P727" s="12">
        <f t="shared" si="736"/>
        <v>0</v>
      </c>
      <c r="Q727" s="12">
        <f t="shared" si="736"/>
        <v>27080900</v>
      </c>
      <c r="R727" s="12">
        <f t="shared" si="736"/>
        <v>0</v>
      </c>
      <c r="S727" s="12">
        <f t="shared" si="736"/>
        <v>60</v>
      </c>
      <c r="T727" s="17" t="s">
        <v>952</v>
      </c>
    </row>
    <row r="728" spans="1:20" x14ac:dyDescent="0.2">
      <c r="A728" s="12">
        <v>80005</v>
      </c>
      <c r="B728" s="16" t="s">
        <v>956</v>
      </c>
      <c r="C728" s="2" t="s">
        <v>951</v>
      </c>
      <c r="D728" s="12">
        <v>5</v>
      </c>
      <c r="E728" s="12">
        <v>8</v>
      </c>
      <c r="F728" s="12">
        <f t="shared" ref="F728:S728" si="737">F368</f>
        <v>5</v>
      </c>
      <c r="G728" s="12">
        <f t="shared" si="737"/>
        <v>30155</v>
      </c>
      <c r="H728" s="12">
        <f t="shared" si="737"/>
        <v>1</v>
      </c>
      <c r="I728" s="12">
        <f t="shared" si="737"/>
        <v>2</v>
      </c>
      <c r="J728" s="12">
        <f t="shared" si="737"/>
        <v>4</v>
      </c>
      <c r="K728" s="12">
        <f t="shared" si="737"/>
        <v>685670</v>
      </c>
      <c r="L728" s="12">
        <f t="shared" si="737"/>
        <v>685670</v>
      </c>
      <c r="M728" s="12">
        <f t="shared" si="737"/>
        <v>685670</v>
      </c>
      <c r="N728" s="12">
        <f t="shared" si="737"/>
        <v>0</v>
      </c>
      <c r="O728" s="12">
        <f t="shared" si="737"/>
        <v>0</v>
      </c>
      <c r="P728" s="12">
        <f t="shared" si="737"/>
        <v>0</v>
      </c>
      <c r="Q728" s="12">
        <f t="shared" si="737"/>
        <v>495343500</v>
      </c>
      <c r="R728" s="12">
        <f t="shared" si="737"/>
        <v>0</v>
      </c>
      <c r="S728" s="12">
        <f t="shared" si="737"/>
        <v>60</v>
      </c>
      <c r="T728" s="17" t="s">
        <v>957</v>
      </c>
    </row>
    <row r="729" spans="1:20" x14ac:dyDescent="0.2">
      <c r="A729" s="12">
        <v>80006</v>
      </c>
      <c r="B729" s="16" t="s">
        <v>958</v>
      </c>
      <c r="C729" s="2" t="s">
        <v>951</v>
      </c>
      <c r="D729" s="12">
        <v>6</v>
      </c>
      <c r="E729" s="12">
        <v>8</v>
      </c>
      <c r="F729" s="12">
        <f t="shared" ref="F729:S729" si="738">F369</f>
        <v>6</v>
      </c>
      <c r="G729" s="12">
        <f t="shared" si="738"/>
        <v>30205</v>
      </c>
      <c r="H729" s="12">
        <f t="shared" si="738"/>
        <v>3</v>
      </c>
      <c r="I729" s="12">
        <f t="shared" si="738"/>
        <v>2</v>
      </c>
      <c r="J729" s="12">
        <f t="shared" si="738"/>
        <v>4</v>
      </c>
      <c r="K729" s="12">
        <f t="shared" si="738"/>
        <v>1067940</v>
      </c>
      <c r="L729" s="12">
        <f t="shared" si="738"/>
        <v>1067940</v>
      </c>
      <c r="M729" s="12">
        <f t="shared" si="738"/>
        <v>1067940</v>
      </c>
      <c r="N729" s="12">
        <f t="shared" si="738"/>
        <v>0</v>
      </c>
      <c r="O729" s="12">
        <f t="shared" si="738"/>
        <v>0</v>
      </c>
      <c r="P729" s="12">
        <f t="shared" si="738"/>
        <v>0</v>
      </c>
      <c r="Q729" s="12">
        <f t="shared" si="738"/>
        <v>973025250</v>
      </c>
      <c r="R729" s="12">
        <f t="shared" si="738"/>
        <v>0</v>
      </c>
      <c r="S729" s="12">
        <f t="shared" si="738"/>
        <v>60</v>
      </c>
      <c r="T729" s="17" t="s">
        <v>957</v>
      </c>
    </row>
    <row r="730" spans="1:20" x14ac:dyDescent="0.2">
      <c r="A730" s="12">
        <v>80007</v>
      </c>
      <c r="B730" s="16" t="s">
        <v>959</v>
      </c>
      <c r="C730" s="2" t="s">
        <v>951</v>
      </c>
      <c r="D730" s="12">
        <v>7</v>
      </c>
      <c r="E730" s="12">
        <v>8</v>
      </c>
      <c r="F730" s="12">
        <f t="shared" ref="F730:S730" si="739">F370</f>
        <v>7</v>
      </c>
      <c r="G730" s="12">
        <f t="shared" si="739"/>
        <v>40055</v>
      </c>
      <c r="H730" s="12">
        <f t="shared" si="739"/>
        <v>2</v>
      </c>
      <c r="I730" s="12">
        <f t="shared" si="739"/>
        <v>2</v>
      </c>
      <c r="J730" s="12">
        <f t="shared" si="739"/>
        <v>4</v>
      </c>
      <c r="K730" s="12">
        <f t="shared" si="739"/>
        <v>1574180</v>
      </c>
      <c r="L730" s="12">
        <f t="shared" si="739"/>
        <v>1574180</v>
      </c>
      <c r="M730" s="12">
        <f t="shared" si="739"/>
        <v>1574180</v>
      </c>
      <c r="N730" s="12">
        <f t="shared" si="739"/>
        <v>0</v>
      </c>
      <c r="O730" s="12">
        <f t="shared" si="739"/>
        <v>0</v>
      </c>
      <c r="P730" s="12">
        <f t="shared" si="739"/>
        <v>0</v>
      </c>
      <c r="Q730" s="12">
        <f t="shared" si="739"/>
        <v>2134528150</v>
      </c>
      <c r="R730" s="12">
        <f t="shared" si="739"/>
        <v>0</v>
      </c>
      <c r="S730" s="12">
        <f t="shared" si="739"/>
        <v>60</v>
      </c>
      <c r="T730" s="17" t="s">
        <v>957</v>
      </c>
    </row>
    <row r="731" spans="1:20" x14ac:dyDescent="0.2">
      <c r="A731" s="12">
        <v>80008</v>
      </c>
      <c r="B731" s="16" t="s">
        <v>960</v>
      </c>
      <c r="C731" s="2" t="s">
        <v>951</v>
      </c>
      <c r="D731" s="12">
        <v>8</v>
      </c>
      <c r="E731" s="12">
        <v>8</v>
      </c>
      <c r="F731" s="12">
        <f t="shared" ref="F731:S731" si="740">F371</f>
        <v>8</v>
      </c>
      <c r="G731" s="12">
        <f t="shared" si="740"/>
        <v>40105</v>
      </c>
      <c r="H731" s="12">
        <f t="shared" si="740"/>
        <v>1</v>
      </c>
      <c r="I731" s="12">
        <f t="shared" si="740"/>
        <v>2</v>
      </c>
      <c r="J731" s="12">
        <f t="shared" si="740"/>
        <v>4</v>
      </c>
      <c r="K731" s="12">
        <f t="shared" si="740"/>
        <v>2244425</v>
      </c>
      <c r="L731" s="12">
        <f t="shared" si="740"/>
        <v>2244425</v>
      </c>
      <c r="M731" s="12">
        <f t="shared" si="740"/>
        <v>2244425</v>
      </c>
      <c r="N731" s="12">
        <f t="shared" si="740"/>
        <v>0</v>
      </c>
      <c r="O731" s="12">
        <f t="shared" si="740"/>
        <v>0</v>
      </c>
      <c r="P731" s="12">
        <f t="shared" si="740"/>
        <v>0</v>
      </c>
      <c r="Q731" s="12">
        <f t="shared" si="740"/>
        <v>4136039450</v>
      </c>
      <c r="R731" s="12">
        <f t="shared" si="740"/>
        <v>0</v>
      </c>
      <c r="S731" s="12">
        <f t="shared" si="740"/>
        <v>60</v>
      </c>
      <c r="T731" s="17" t="s">
        <v>957</v>
      </c>
    </row>
    <row r="732" spans="1:20" x14ac:dyDescent="0.2">
      <c r="A732" s="12">
        <v>80009</v>
      </c>
      <c r="B732" s="16" t="s">
        <v>961</v>
      </c>
      <c r="C732" s="2" t="s">
        <v>951</v>
      </c>
      <c r="D732" s="12">
        <v>9</v>
      </c>
      <c r="E732" s="12">
        <v>8</v>
      </c>
      <c r="F732" s="12">
        <f t="shared" ref="F732:S732" si="741">F372</f>
        <v>9</v>
      </c>
      <c r="G732" s="12">
        <f t="shared" si="741"/>
        <v>40155</v>
      </c>
      <c r="H732" s="12">
        <f t="shared" si="741"/>
        <v>3</v>
      </c>
      <c r="I732" s="12">
        <f t="shared" si="741"/>
        <v>2</v>
      </c>
      <c r="J732" s="12">
        <f t="shared" si="741"/>
        <v>4</v>
      </c>
      <c r="K732" s="12">
        <f t="shared" si="741"/>
        <v>7392785</v>
      </c>
      <c r="L732" s="12">
        <f t="shared" si="741"/>
        <v>7392785</v>
      </c>
      <c r="M732" s="12">
        <f t="shared" si="741"/>
        <v>7392785</v>
      </c>
      <c r="N732" s="12">
        <f t="shared" si="741"/>
        <v>0</v>
      </c>
      <c r="O732" s="12">
        <f t="shared" si="741"/>
        <v>0</v>
      </c>
      <c r="P732" s="12">
        <f t="shared" si="741"/>
        <v>0</v>
      </c>
      <c r="Q732" s="12">
        <f t="shared" si="741"/>
        <v>17071043050</v>
      </c>
      <c r="R732" s="12">
        <f t="shared" si="741"/>
        <v>0</v>
      </c>
      <c r="S732" s="12">
        <f t="shared" si="741"/>
        <v>60</v>
      </c>
      <c r="T732" s="17" t="s">
        <v>962</v>
      </c>
    </row>
    <row r="733" spans="1:20" x14ac:dyDescent="0.2">
      <c r="A733" s="12">
        <v>80010</v>
      </c>
      <c r="B733" s="16" t="s">
        <v>963</v>
      </c>
      <c r="C733" s="2" t="s">
        <v>951</v>
      </c>
      <c r="D733" s="12">
        <v>10</v>
      </c>
      <c r="E733" s="12">
        <v>8</v>
      </c>
      <c r="F733" s="12">
        <f t="shared" ref="F733:S733" si="742">F373</f>
        <v>10</v>
      </c>
      <c r="G733" s="12">
        <f t="shared" si="742"/>
        <v>40205</v>
      </c>
      <c r="H733" s="12">
        <f t="shared" si="742"/>
        <v>2</v>
      </c>
      <c r="I733" s="12">
        <f t="shared" si="742"/>
        <v>2</v>
      </c>
      <c r="J733" s="12">
        <f t="shared" si="742"/>
        <v>4</v>
      </c>
      <c r="K733" s="12">
        <f t="shared" si="742"/>
        <v>9690620</v>
      </c>
      <c r="L733" s="12">
        <f t="shared" si="742"/>
        <v>9690620</v>
      </c>
      <c r="M733" s="12">
        <f t="shared" si="742"/>
        <v>9690620</v>
      </c>
      <c r="N733" s="12">
        <f t="shared" si="742"/>
        <v>0</v>
      </c>
      <c r="O733" s="12">
        <f t="shared" si="742"/>
        <v>0</v>
      </c>
      <c r="P733" s="12">
        <f t="shared" si="742"/>
        <v>0</v>
      </c>
      <c r="Q733" s="12">
        <f t="shared" si="742"/>
        <v>32665383950</v>
      </c>
      <c r="R733" s="12">
        <f t="shared" si="742"/>
        <v>0</v>
      </c>
      <c r="S733" s="12">
        <f t="shared" si="742"/>
        <v>60</v>
      </c>
      <c r="T733" s="17" t="s">
        <v>962</v>
      </c>
    </row>
    <row r="734" spans="1:20" x14ac:dyDescent="0.2">
      <c r="A734" s="12">
        <v>80011</v>
      </c>
      <c r="B734" s="16" t="s">
        <v>964</v>
      </c>
      <c r="C734" s="2" t="s">
        <v>951</v>
      </c>
      <c r="D734" s="12">
        <v>11</v>
      </c>
      <c r="E734" s="12">
        <v>8</v>
      </c>
      <c r="F734" s="12">
        <f t="shared" ref="F734:S734" si="743">F374</f>
        <v>11</v>
      </c>
      <c r="G734" s="12">
        <f t="shared" si="743"/>
        <v>50055</v>
      </c>
      <c r="H734" s="12">
        <f t="shared" si="743"/>
        <v>1</v>
      </c>
      <c r="I734" s="12">
        <f t="shared" si="743"/>
        <v>2</v>
      </c>
      <c r="J734" s="12">
        <f t="shared" si="743"/>
        <v>4</v>
      </c>
      <c r="K734" s="12">
        <f t="shared" si="743"/>
        <v>12472805</v>
      </c>
      <c r="L734" s="12">
        <f t="shared" si="743"/>
        <v>12472805</v>
      </c>
      <c r="M734" s="12">
        <f t="shared" si="743"/>
        <v>12472805</v>
      </c>
      <c r="N734" s="12">
        <f t="shared" si="743"/>
        <v>0</v>
      </c>
      <c r="O734" s="12">
        <f t="shared" si="743"/>
        <v>0</v>
      </c>
      <c r="P734" s="12">
        <f t="shared" si="743"/>
        <v>0</v>
      </c>
      <c r="Q734" s="12">
        <f t="shared" si="743"/>
        <v>56612113850</v>
      </c>
      <c r="R734" s="12">
        <f t="shared" si="743"/>
        <v>0</v>
      </c>
      <c r="S734" s="12">
        <f t="shared" si="743"/>
        <v>60</v>
      </c>
      <c r="T734" s="17" t="s">
        <v>962</v>
      </c>
    </row>
    <row r="735" spans="1:20" x14ac:dyDescent="0.2">
      <c r="A735" s="12">
        <v>80012</v>
      </c>
      <c r="B735" s="16" t="s">
        <v>965</v>
      </c>
      <c r="C735" s="2" t="s">
        <v>951</v>
      </c>
      <c r="D735" s="12">
        <v>12</v>
      </c>
      <c r="E735" s="12">
        <v>8</v>
      </c>
      <c r="F735" s="12">
        <f t="shared" ref="F735:S735" si="744">F375</f>
        <v>12</v>
      </c>
      <c r="G735" s="12">
        <f t="shared" si="744"/>
        <v>10045</v>
      </c>
      <c r="H735" s="12">
        <f t="shared" si="744"/>
        <v>3</v>
      </c>
      <c r="I735" s="12">
        <f t="shared" si="744"/>
        <v>2</v>
      </c>
      <c r="J735" s="12">
        <f t="shared" si="744"/>
        <v>4</v>
      </c>
      <c r="K735" s="12">
        <f t="shared" si="744"/>
        <v>15756730</v>
      </c>
      <c r="L735" s="12">
        <f t="shared" si="744"/>
        <v>15756730</v>
      </c>
      <c r="M735" s="12">
        <f t="shared" si="744"/>
        <v>15756730</v>
      </c>
      <c r="N735" s="12">
        <f t="shared" si="744"/>
        <v>0</v>
      </c>
      <c r="O735" s="12">
        <f t="shared" si="744"/>
        <v>0</v>
      </c>
      <c r="P735" s="12">
        <f t="shared" si="744"/>
        <v>0</v>
      </c>
      <c r="Q735" s="12">
        <f t="shared" si="744"/>
        <v>90093679900</v>
      </c>
      <c r="R735" s="12">
        <f t="shared" si="744"/>
        <v>0</v>
      </c>
      <c r="S735" s="12">
        <f t="shared" si="744"/>
        <v>60</v>
      </c>
      <c r="T735" s="17" t="s">
        <v>962</v>
      </c>
    </row>
    <row r="736" spans="1:20" x14ac:dyDescent="0.2">
      <c r="A736" s="12">
        <v>80013</v>
      </c>
      <c r="B736" s="16" t="s">
        <v>966</v>
      </c>
      <c r="C736" s="2" t="s">
        <v>951</v>
      </c>
      <c r="D736" s="12">
        <v>13</v>
      </c>
      <c r="E736" s="12">
        <v>8</v>
      </c>
      <c r="F736" s="12">
        <f t="shared" ref="F736:S736" si="745">F376</f>
        <v>13</v>
      </c>
      <c r="G736" s="12">
        <f t="shared" si="745"/>
        <v>10095</v>
      </c>
      <c r="H736" s="12">
        <f t="shared" si="745"/>
        <v>2</v>
      </c>
      <c r="I736" s="12">
        <f t="shared" si="745"/>
        <v>2</v>
      </c>
      <c r="J736" s="12">
        <f t="shared" si="745"/>
        <v>4</v>
      </c>
      <c r="K736" s="12">
        <f t="shared" si="745"/>
        <v>19639855</v>
      </c>
      <c r="L736" s="12">
        <f t="shared" si="745"/>
        <v>19639855</v>
      </c>
      <c r="M736" s="12">
        <f t="shared" si="745"/>
        <v>19639855</v>
      </c>
      <c r="N736" s="12">
        <f t="shared" si="745"/>
        <v>0</v>
      </c>
      <c r="O736" s="12">
        <f t="shared" si="745"/>
        <v>0</v>
      </c>
      <c r="P736" s="12">
        <f t="shared" si="745"/>
        <v>0</v>
      </c>
      <c r="Q736" s="12">
        <f t="shared" si="745"/>
        <v>144102587600</v>
      </c>
      <c r="R736" s="12">
        <f t="shared" si="745"/>
        <v>0</v>
      </c>
      <c r="S736" s="12">
        <f t="shared" si="745"/>
        <v>60</v>
      </c>
      <c r="T736" s="17" t="s">
        <v>967</v>
      </c>
    </row>
    <row r="737" spans="1:20" x14ac:dyDescent="0.2">
      <c r="A737" s="12">
        <v>80014</v>
      </c>
      <c r="B737" s="16" t="s">
        <v>968</v>
      </c>
      <c r="C737" s="2" t="s">
        <v>951</v>
      </c>
      <c r="D737" s="12">
        <v>14</v>
      </c>
      <c r="E737" s="12">
        <v>8</v>
      </c>
      <c r="F737" s="12">
        <f t="shared" ref="F737:S737" si="746">F377</f>
        <v>14</v>
      </c>
      <c r="G737" s="12">
        <f t="shared" si="746"/>
        <v>10145</v>
      </c>
      <c r="H737" s="12">
        <f t="shared" si="746"/>
        <v>1</v>
      </c>
      <c r="I737" s="12">
        <f t="shared" si="746"/>
        <v>2</v>
      </c>
      <c r="J737" s="12">
        <f t="shared" si="746"/>
        <v>4</v>
      </c>
      <c r="K737" s="12">
        <f t="shared" si="746"/>
        <v>24205880</v>
      </c>
      <c r="L737" s="12">
        <f t="shared" si="746"/>
        <v>24205880</v>
      </c>
      <c r="M737" s="12">
        <f t="shared" si="746"/>
        <v>24205880</v>
      </c>
      <c r="N737" s="12">
        <f t="shared" si="746"/>
        <v>0</v>
      </c>
      <c r="O737" s="12">
        <f t="shared" si="746"/>
        <v>0</v>
      </c>
      <c r="P737" s="12">
        <f t="shared" si="746"/>
        <v>0</v>
      </c>
      <c r="Q737" s="12">
        <f t="shared" si="746"/>
        <v>220536880700</v>
      </c>
      <c r="R737" s="12">
        <f t="shared" si="746"/>
        <v>0</v>
      </c>
      <c r="S737" s="12">
        <f t="shared" si="746"/>
        <v>60</v>
      </c>
      <c r="T737" s="17" t="s">
        <v>967</v>
      </c>
    </row>
    <row r="738" spans="1:20" x14ac:dyDescent="0.2">
      <c r="A738" s="12">
        <v>80015</v>
      </c>
      <c r="B738" s="16" t="s">
        <v>969</v>
      </c>
      <c r="C738" s="2" t="s">
        <v>951</v>
      </c>
      <c r="D738" s="12">
        <v>15</v>
      </c>
      <c r="E738" s="12">
        <v>8</v>
      </c>
      <c r="F738" s="12">
        <f t="shared" ref="F738:S738" si="747">F378</f>
        <v>15</v>
      </c>
      <c r="G738" s="12">
        <f t="shared" si="747"/>
        <v>10195</v>
      </c>
      <c r="H738" s="12">
        <f t="shared" si="747"/>
        <v>3</v>
      </c>
      <c r="I738" s="12">
        <f t="shared" si="747"/>
        <v>2</v>
      </c>
      <c r="J738" s="12">
        <f t="shared" si="747"/>
        <v>4</v>
      </c>
      <c r="K738" s="12">
        <f t="shared" si="747"/>
        <v>31164265</v>
      </c>
      <c r="L738" s="12">
        <f t="shared" si="747"/>
        <v>31164265</v>
      </c>
      <c r="M738" s="12">
        <f t="shared" si="747"/>
        <v>31164265</v>
      </c>
      <c r="N738" s="12">
        <f t="shared" si="747"/>
        <v>0</v>
      </c>
      <c r="O738" s="12">
        <f t="shared" si="747"/>
        <v>0</v>
      </c>
      <c r="P738" s="12">
        <f t="shared" si="747"/>
        <v>0</v>
      </c>
      <c r="Q738" s="12">
        <f t="shared" si="747"/>
        <v>389457399875</v>
      </c>
      <c r="R738" s="12">
        <f t="shared" si="747"/>
        <v>0</v>
      </c>
      <c r="S738" s="12">
        <f t="shared" si="747"/>
        <v>60</v>
      </c>
      <c r="T738" s="17" t="s">
        <v>967</v>
      </c>
    </row>
    <row r="739" spans="1:20" x14ac:dyDescent="0.2">
      <c r="A739" s="12">
        <v>80016</v>
      </c>
      <c r="B739" s="16" t="s">
        <v>970</v>
      </c>
      <c r="C739" s="2" t="s">
        <v>951</v>
      </c>
      <c r="D739" s="12">
        <v>16</v>
      </c>
      <c r="E739" s="12">
        <v>8</v>
      </c>
      <c r="F739" s="12">
        <f t="shared" ref="F739:S739" si="748">F379</f>
        <v>16</v>
      </c>
      <c r="G739" s="12">
        <f t="shared" si="748"/>
        <v>20045</v>
      </c>
      <c r="H739" s="12">
        <f t="shared" si="748"/>
        <v>2</v>
      </c>
      <c r="I739" s="12">
        <f t="shared" si="748"/>
        <v>2</v>
      </c>
      <c r="J739" s="12">
        <f t="shared" si="748"/>
        <v>4</v>
      </c>
      <c r="K739" s="12">
        <f t="shared" si="748"/>
        <v>38620260</v>
      </c>
      <c r="L739" s="12">
        <f t="shared" si="748"/>
        <v>38620260</v>
      </c>
      <c r="M739" s="12">
        <f t="shared" si="748"/>
        <v>38620260</v>
      </c>
      <c r="N739" s="12">
        <f t="shared" si="748"/>
        <v>0</v>
      </c>
      <c r="O739" s="12">
        <f t="shared" si="748"/>
        <v>0</v>
      </c>
      <c r="P739" s="12">
        <f t="shared" si="748"/>
        <v>0</v>
      </c>
      <c r="Q739" s="12">
        <f t="shared" si="748"/>
        <v>654774441975</v>
      </c>
      <c r="R739" s="12">
        <f t="shared" si="748"/>
        <v>0</v>
      </c>
      <c r="S739" s="12">
        <f t="shared" si="748"/>
        <v>60</v>
      </c>
      <c r="T739" s="17" t="s">
        <v>967</v>
      </c>
    </row>
    <row r="740" spans="1:20" x14ac:dyDescent="0.2">
      <c r="A740" s="12">
        <v>80017</v>
      </c>
      <c r="B740" s="16" t="s">
        <v>971</v>
      </c>
      <c r="C740" s="2" t="s">
        <v>951</v>
      </c>
      <c r="D740" s="12">
        <v>17</v>
      </c>
      <c r="E740" s="12">
        <v>8</v>
      </c>
      <c r="F740" s="12">
        <f t="shared" ref="F740:S740" si="749">F380</f>
        <v>17</v>
      </c>
      <c r="G740" s="12">
        <f t="shared" si="749"/>
        <v>20095</v>
      </c>
      <c r="H740" s="12">
        <f t="shared" si="749"/>
        <v>1</v>
      </c>
      <c r="I740" s="12">
        <f t="shared" si="749"/>
        <v>2</v>
      </c>
      <c r="J740" s="12">
        <f t="shared" si="749"/>
        <v>4</v>
      </c>
      <c r="K740" s="12">
        <f t="shared" si="749"/>
        <v>166514100</v>
      </c>
      <c r="L740" s="12">
        <f t="shared" si="749"/>
        <v>166514100</v>
      </c>
      <c r="M740" s="12">
        <f t="shared" si="749"/>
        <v>166514100</v>
      </c>
      <c r="N740" s="12">
        <f t="shared" si="749"/>
        <v>0</v>
      </c>
      <c r="O740" s="12">
        <f t="shared" si="749"/>
        <v>0</v>
      </c>
      <c r="P740" s="12">
        <f t="shared" si="749"/>
        <v>0</v>
      </c>
      <c r="Q740" s="12">
        <f t="shared" si="749"/>
        <v>57958370565525</v>
      </c>
      <c r="R740" s="12">
        <f t="shared" si="749"/>
        <v>0</v>
      </c>
      <c r="S740" s="12">
        <f t="shared" si="749"/>
        <v>60</v>
      </c>
      <c r="T740" s="17" t="s">
        <v>972</v>
      </c>
    </row>
    <row r="741" spans="1:20" x14ac:dyDescent="0.2">
      <c r="A741" s="12">
        <v>80018</v>
      </c>
      <c r="B741" s="16" t="s">
        <v>973</v>
      </c>
      <c r="C741" s="2" t="s">
        <v>951</v>
      </c>
      <c r="D741" s="12">
        <v>18</v>
      </c>
      <c r="E741" s="12">
        <v>8</v>
      </c>
      <c r="F741" s="12">
        <f t="shared" ref="F741:S741" si="750">F381</f>
        <v>18</v>
      </c>
      <c r="G741" s="12">
        <f t="shared" si="750"/>
        <v>20145</v>
      </c>
      <c r="H741" s="12">
        <f t="shared" si="750"/>
        <v>3</v>
      </c>
      <c r="I741" s="12">
        <f t="shared" si="750"/>
        <v>2</v>
      </c>
      <c r="J741" s="12">
        <f t="shared" si="750"/>
        <v>4</v>
      </c>
      <c r="K741" s="12">
        <f t="shared" si="750"/>
        <v>200401195</v>
      </c>
      <c r="L741" s="12">
        <f t="shared" si="750"/>
        <v>200401195</v>
      </c>
      <c r="M741" s="12">
        <f t="shared" si="750"/>
        <v>200401195</v>
      </c>
      <c r="N741" s="12">
        <f t="shared" si="750"/>
        <v>0</v>
      </c>
      <c r="O741" s="12">
        <f t="shared" si="750"/>
        <v>0</v>
      </c>
      <c r="P741" s="12">
        <f t="shared" si="750"/>
        <v>0</v>
      </c>
      <c r="Q741" s="12">
        <f t="shared" si="750"/>
        <v>86635109542075</v>
      </c>
      <c r="R741" s="12">
        <f t="shared" si="750"/>
        <v>0</v>
      </c>
      <c r="S741" s="12">
        <f t="shared" si="750"/>
        <v>60</v>
      </c>
      <c r="T741" s="17" t="s">
        <v>972</v>
      </c>
    </row>
    <row r="742" spans="1:20" x14ac:dyDescent="0.2">
      <c r="A742" s="12">
        <v>80019</v>
      </c>
      <c r="B742" s="16" t="s">
        <v>974</v>
      </c>
      <c r="C742" s="2" t="s">
        <v>951</v>
      </c>
      <c r="D742" s="12">
        <v>19</v>
      </c>
      <c r="E742" s="12">
        <v>8</v>
      </c>
      <c r="F742" s="12">
        <f t="shared" ref="F742:S742" si="751">F382</f>
        <v>19</v>
      </c>
      <c r="G742" s="12">
        <f t="shared" si="751"/>
        <v>20195</v>
      </c>
      <c r="H742" s="12">
        <f t="shared" si="751"/>
        <v>2</v>
      </c>
      <c r="I742" s="12">
        <f t="shared" si="751"/>
        <v>2</v>
      </c>
      <c r="J742" s="12">
        <f t="shared" si="751"/>
        <v>4</v>
      </c>
      <c r="K742" s="12">
        <f t="shared" si="751"/>
        <v>253221165</v>
      </c>
      <c r="L742" s="12">
        <f t="shared" si="751"/>
        <v>253221165</v>
      </c>
      <c r="M742" s="12">
        <f t="shared" si="751"/>
        <v>253221165</v>
      </c>
      <c r="N742" s="12">
        <f t="shared" si="751"/>
        <v>0</v>
      </c>
      <c r="O742" s="12">
        <f t="shared" si="751"/>
        <v>0</v>
      </c>
      <c r="P742" s="12">
        <f t="shared" si="751"/>
        <v>0</v>
      </c>
      <c r="Q742" s="12">
        <f t="shared" si="751"/>
        <v>152037195553375</v>
      </c>
      <c r="R742" s="12">
        <f t="shared" si="751"/>
        <v>0</v>
      </c>
      <c r="S742" s="12">
        <f t="shared" si="751"/>
        <v>60</v>
      </c>
      <c r="T742" s="17" t="s">
        <v>972</v>
      </c>
    </row>
    <row r="743" spans="1:20" x14ac:dyDescent="0.2">
      <c r="A743" s="12">
        <v>80020</v>
      </c>
      <c r="B743" s="16" t="s">
        <v>975</v>
      </c>
      <c r="C743" s="2" t="s">
        <v>951</v>
      </c>
      <c r="D743" s="12">
        <v>20</v>
      </c>
      <c r="E743" s="12">
        <v>8</v>
      </c>
      <c r="F743" s="12">
        <f t="shared" ref="F743:S743" si="752">F383</f>
        <v>20</v>
      </c>
      <c r="G743" s="12">
        <f t="shared" si="752"/>
        <v>30045</v>
      </c>
      <c r="H743" s="12">
        <f t="shared" si="752"/>
        <v>1</v>
      </c>
      <c r="I743" s="12">
        <f t="shared" si="752"/>
        <v>2</v>
      </c>
      <c r="J743" s="12">
        <f t="shared" si="752"/>
        <v>4</v>
      </c>
      <c r="K743" s="12">
        <f t="shared" si="752"/>
        <v>300735140</v>
      </c>
      <c r="L743" s="12">
        <f t="shared" si="752"/>
        <v>300735140</v>
      </c>
      <c r="M743" s="12">
        <f t="shared" si="752"/>
        <v>300735140</v>
      </c>
      <c r="N743" s="12">
        <f t="shared" si="752"/>
        <v>0</v>
      </c>
      <c r="O743" s="12">
        <f t="shared" si="752"/>
        <v>0</v>
      </c>
      <c r="P743" s="12">
        <f t="shared" si="752"/>
        <v>0</v>
      </c>
      <c r="Q743" s="12">
        <f t="shared" si="752"/>
        <v>226843648238075</v>
      </c>
      <c r="R743" s="12">
        <f t="shared" si="752"/>
        <v>0</v>
      </c>
      <c r="S743" s="12">
        <f t="shared" si="752"/>
        <v>60</v>
      </c>
      <c r="T743" s="17" t="s">
        <v>972</v>
      </c>
    </row>
    <row r="744" spans="1:20" x14ac:dyDescent="0.2">
      <c r="A744" s="12">
        <v>80021</v>
      </c>
      <c r="B744" s="16" t="s">
        <v>976</v>
      </c>
      <c r="C744" s="2" t="s">
        <v>951</v>
      </c>
      <c r="D744" s="12">
        <v>21</v>
      </c>
      <c r="E744" s="12">
        <v>8</v>
      </c>
      <c r="F744" s="12">
        <f t="shared" ref="F744:S744" si="753">F384</f>
        <v>21</v>
      </c>
      <c r="G744" s="12">
        <f t="shared" si="753"/>
        <v>30095</v>
      </c>
      <c r="H744" s="12">
        <f t="shared" si="753"/>
        <v>3</v>
      </c>
      <c r="I744" s="12">
        <f t="shared" si="753"/>
        <v>2</v>
      </c>
      <c r="J744" s="12">
        <f t="shared" si="753"/>
        <v>4</v>
      </c>
      <c r="K744" s="12">
        <f t="shared" si="753"/>
        <v>391089655</v>
      </c>
      <c r="L744" s="12">
        <f t="shared" si="753"/>
        <v>391089655</v>
      </c>
      <c r="M744" s="12">
        <f t="shared" si="753"/>
        <v>391089655</v>
      </c>
      <c r="N744" s="12">
        <f t="shared" si="753"/>
        <v>0</v>
      </c>
      <c r="O744" s="12">
        <f t="shared" si="753"/>
        <v>0</v>
      </c>
      <c r="P744" s="12">
        <f t="shared" si="753"/>
        <v>0</v>
      </c>
      <c r="Q744" s="12">
        <f t="shared" si="753"/>
        <v>618514479172800</v>
      </c>
      <c r="R744" s="12">
        <f t="shared" si="753"/>
        <v>0</v>
      </c>
      <c r="S744" s="12">
        <f t="shared" si="753"/>
        <v>60</v>
      </c>
      <c r="T744" s="17" t="s">
        <v>977</v>
      </c>
    </row>
    <row r="745" spans="1:20" x14ac:dyDescent="0.2">
      <c r="A745" s="12">
        <v>80022</v>
      </c>
      <c r="B745" s="16" t="s">
        <v>978</v>
      </c>
      <c r="C745" s="2" t="s">
        <v>951</v>
      </c>
      <c r="D745" s="12">
        <v>22</v>
      </c>
      <c r="E745" s="12">
        <v>8</v>
      </c>
      <c r="F745" s="12">
        <f t="shared" ref="F745:S745" si="754">F385</f>
        <v>22</v>
      </c>
      <c r="G745" s="12">
        <f t="shared" si="754"/>
        <v>30145</v>
      </c>
      <c r="H745" s="12">
        <f t="shared" si="754"/>
        <v>2</v>
      </c>
      <c r="I745" s="12">
        <f t="shared" si="754"/>
        <v>2</v>
      </c>
      <c r="J745" s="12">
        <f t="shared" si="754"/>
        <v>4</v>
      </c>
      <c r="K745" s="12">
        <f t="shared" si="754"/>
        <v>451518515</v>
      </c>
      <c r="L745" s="12">
        <f t="shared" si="754"/>
        <v>451518515</v>
      </c>
      <c r="M745" s="12">
        <f t="shared" si="754"/>
        <v>451518515</v>
      </c>
      <c r="N745" s="12">
        <f t="shared" si="754"/>
        <v>0</v>
      </c>
      <c r="O745" s="12">
        <f t="shared" si="754"/>
        <v>0</v>
      </c>
      <c r="P745" s="12">
        <f t="shared" si="754"/>
        <v>0</v>
      </c>
      <c r="Q745" s="12">
        <f t="shared" si="754"/>
        <v>815227301527675</v>
      </c>
      <c r="R745" s="12">
        <f t="shared" si="754"/>
        <v>0</v>
      </c>
      <c r="S745" s="12">
        <f t="shared" si="754"/>
        <v>60</v>
      </c>
      <c r="T745" s="17" t="s">
        <v>977</v>
      </c>
    </row>
    <row r="746" spans="1:20" x14ac:dyDescent="0.2">
      <c r="A746" s="12">
        <v>80023</v>
      </c>
      <c r="B746" s="16" t="s">
        <v>979</v>
      </c>
      <c r="C746" s="2" t="s">
        <v>951</v>
      </c>
      <c r="D746" s="12">
        <v>23</v>
      </c>
      <c r="E746" s="12">
        <v>8</v>
      </c>
      <c r="F746" s="12">
        <f t="shared" ref="F746:S746" si="755">F386</f>
        <v>23</v>
      </c>
      <c r="G746" s="12">
        <f t="shared" si="755"/>
        <v>30195</v>
      </c>
      <c r="H746" s="12">
        <f t="shared" si="755"/>
        <v>1</v>
      </c>
      <c r="I746" s="12">
        <f t="shared" si="755"/>
        <v>2</v>
      </c>
      <c r="J746" s="12">
        <f t="shared" si="755"/>
        <v>4</v>
      </c>
      <c r="K746" s="12">
        <f t="shared" si="755"/>
        <v>545358950</v>
      </c>
      <c r="L746" s="12">
        <f t="shared" si="755"/>
        <v>545358950</v>
      </c>
      <c r="M746" s="12">
        <f t="shared" si="755"/>
        <v>545358950</v>
      </c>
      <c r="N746" s="12">
        <f t="shared" si="755"/>
        <v>0</v>
      </c>
      <c r="O746" s="12">
        <f t="shared" si="755"/>
        <v>0</v>
      </c>
      <c r="P746" s="12">
        <f t="shared" si="755"/>
        <v>0</v>
      </c>
      <c r="Q746" s="12">
        <f t="shared" si="755"/>
        <v>1190168929539300</v>
      </c>
      <c r="R746" s="12">
        <f t="shared" si="755"/>
        <v>0</v>
      </c>
      <c r="S746" s="12">
        <f t="shared" si="755"/>
        <v>60</v>
      </c>
      <c r="T746" s="17" t="s">
        <v>977</v>
      </c>
    </row>
    <row r="747" spans="1:20" x14ac:dyDescent="0.2">
      <c r="A747" s="12">
        <v>80024</v>
      </c>
      <c r="B747" s="16" t="s">
        <v>980</v>
      </c>
      <c r="C747" s="2" t="s">
        <v>951</v>
      </c>
      <c r="D747" s="12">
        <v>24</v>
      </c>
      <c r="E747" s="12">
        <v>8</v>
      </c>
      <c r="F747" s="12">
        <f t="shared" ref="F747:S747" si="756">F387</f>
        <v>24</v>
      </c>
      <c r="G747" s="12">
        <f t="shared" si="756"/>
        <v>40045</v>
      </c>
      <c r="H747" s="12">
        <f t="shared" si="756"/>
        <v>3</v>
      </c>
      <c r="I747" s="12">
        <f t="shared" si="756"/>
        <v>2</v>
      </c>
      <c r="J747" s="12">
        <f t="shared" si="756"/>
        <v>4</v>
      </c>
      <c r="K747" s="12">
        <f t="shared" si="756"/>
        <v>624877470</v>
      </c>
      <c r="L747" s="12">
        <f t="shared" si="756"/>
        <v>624877470</v>
      </c>
      <c r="M747" s="12">
        <f t="shared" si="756"/>
        <v>624877470</v>
      </c>
      <c r="N747" s="12">
        <f t="shared" si="756"/>
        <v>0</v>
      </c>
      <c r="O747" s="12">
        <f t="shared" si="756"/>
        <v>0</v>
      </c>
      <c r="P747" s="12">
        <f t="shared" si="756"/>
        <v>0</v>
      </c>
      <c r="Q747" s="12">
        <f t="shared" si="756"/>
        <v>1561202533964850</v>
      </c>
      <c r="R747" s="12">
        <f t="shared" si="756"/>
        <v>0</v>
      </c>
      <c r="S747" s="12">
        <f t="shared" si="756"/>
        <v>60</v>
      </c>
      <c r="T747" s="17" t="s">
        <v>977</v>
      </c>
    </row>
    <row r="748" spans="1:20" x14ac:dyDescent="0.2">
      <c r="A748" s="12">
        <v>80025</v>
      </c>
      <c r="B748" s="16" t="s">
        <v>981</v>
      </c>
      <c r="C748" s="2" t="s">
        <v>951</v>
      </c>
      <c r="D748" s="12">
        <v>25</v>
      </c>
      <c r="E748" s="12">
        <v>8</v>
      </c>
      <c r="F748" s="12">
        <f t="shared" ref="F748:S748" si="757">F388</f>
        <v>25</v>
      </c>
      <c r="G748" s="12">
        <f t="shared" si="757"/>
        <v>40095</v>
      </c>
      <c r="H748" s="12">
        <f t="shared" si="757"/>
        <v>2</v>
      </c>
      <c r="I748" s="12">
        <f t="shared" si="757"/>
        <v>2</v>
      </c>
      <c r="J748" s="12">
        <f t="shared" si="757"/>
        <v>4</v>
      </c>
      <c r="K748" s="12">
        <f t="shared" si="757"/>
        <v>1169283855</v>
      </c>
      <c r="L748" s="12">
        <f t="shared" si="757"/>
        <v>1169283855</v>
      </c>
      <c r="M748" s="12">
        <f t="shared" si="757"/>
        <v>1169283855</v>
      </c>
      <c r="N748" s="12">
        <f t="shared" si="757"/>
        <v>0</v>
      </c>
      <c r="O748" s="12">
        <f t="shared" si="757"/>
        <v>0</v>
      </c>
      <c r="P748" s="12">
        <f t="shared" si="757"/>
        <v>0</v>
      </c>
      <c r="Q748" s="12">
        <f t="shared" si="757"/>
        <v>6571493659479170</v>
      </c>
      <c r="R748" s="12">
        <f t="shared" si="757"/>
        <v>0</v>
      </c>
      <c r="S748" s="12">
        <f t="shared" si="757"/>
        <v>60</v>
      </c>
      <c r="T748" s="17" t="s">
        <v>982</v>
      </c>
    </row>
    <row r="749" spans="1:20" x14ac:dyDescent="0.2">
      <c r="A749" s="12">
        <v>80026</v>
      </c>
      <c r="B749" s="16" t="s">
        <v>983</v>
      </c>
      <c r="C749" s="2" t="s">
        <v>951</v>
      </c>
      <c r="D749" s="12">
        <v>26</v>
      </c>
      <c r="E749" s="12">
        <v>8</v>
      </c>
      <c r="F749" s="12">
        <f t="shared" ref="F749:S749" si="758">F389</f>
        <v>26</v>
      </c>
      <c r="G749" s="12">
        <f t="shared" si="758"/>
        <v>40145</v>
      </c>
      <c r="H749" s="12">
        <f t="shared" si="758"/>
        <v>1</v>
      </c>
      <c r="I749" s="12">
        <f t="shared" si="758"/>
        <v>2</v>
      </c>
      <c r="J749" s="12">
        <f t="shared" si="758"/>
        <v>4</v>
      </c>
      <c r="K749" s="12">
        <f t="shared" si="758"/>
        <v>1353713560</v>
      </c>
      <c r="L749" s="12">
        <f t="shared" si="758"/>
        <v>1353713560</v>
      </c>
      <c r="M749" s="12">
        <f t="shared" si="758"/>
        <v>1353713560</v>
      </c>
      <c r="N749" s="12">
        <f t="shared" si="758"/>
        <v>0</v>
      </c>
      <c r="O749" s="12">
        <f t="shared" si="758"/>
        <v>0</v>
      </c>
      <c r="P749" s="12">
        <f t="shared" si="758"/>
        <v>0</v>
      </c>
      <c r="Q749" s="12">
        <f t="shared" si="758"/>
        <v>8625060463698750</v>
      </c>
      <c r="R749" s="12">
        <f t="shared" si="758"/>
        <v>0</v>
      </c>
      <c r="S749" s="12">
        <f t="shared" si="758"/>
        <v>60</v>
      </c>
      <c r="T749" s="17" t="s">
        <v>982</v>
      </c>
    </row>
    <row r="750" spans="1:20" x14ac:dyDescent="0.2">
      <c r="A750" s="12">
        <v>80027</v>
      </c>
      <c r="B750" s="16" t="s">
        <v>984</v>
      </c>
      <c r="C750" s="2" t="s">
        <v>951</v>
      </c>
      <c r="D750" s="12">
        <v>27</v>
      </c>
      <c r="E750" s="12">
        <v>8</v>
      </c>
      <c r="F750" s="12">
        <f t="shared" ref="F750:S750" si="759">F390</f>
        <v>27</v>
      </c>
      <c r="G750" s="12">
        <f t="shared" si="759"/>
        <v>40195</v>
      </c>
      <c r="H750" s="12">
        <f t="shared" si="759"/>
        <v>3</v>
      </c>
      <c r="I750" s="12">
        <f t="shared" si="759"/>
        <v>2</v>
      </c>
      <c r="J750" s="12">
        <f t="shared" si="759"/>
        <v>4</v>
      </c>
      <c r="K750" s="12">
        <f t="shared" si="759"/>
        <v>1609474560</v>
      </c>
      <c r="L750" s="12">
        <f t="shared" si="759"/>
        <v>1609474560</v>
      </c>
      <c r="M750" s="12">
        <f t="shared" si="759"/>
        <v>1609474560</v>
      </c>
      <c r="N750" s="12">
        <f t="shared" si="759"/>
        <v>0</v>
      </c>
      <c r="O750" s="12">
        <f t="shared" si="759"/>
        <v>0</v>
      </c>
      <c r="P750" s="12">
        <f t="shared" si="759"/>
        <v>0</v>
      </c>
      <c r="Q750" s="12">
        <f t="shared" si="759"/>
        <v>1.21748365012717E+16</v>
      </c>
      <c r="R750" s="12">
        <f t="shared" si="759"/>
        <v>0</v>
      </c>
      <c r="S750" s="12">
        <f t="shared" si="759"/>
        <v>60</v>
      </c>
      <c r="T750" s="17" t="s">
        <v>982</v>
      </c>
    </row>
    <row r="751" spans="1:20" x14ac:dyDescent="0.2">
      <c r="A751" s="12">
        <v>80028</v>
      </c>
      <c r="B751" s="16" t="s">
        <v>985</v>
      </c>
      <c r="C751" s="2" t="s">
        <v>951</v>
      </c>
      <c r="D751" s="12">
        <v>28</v>
      </c>
      <c r="E751" s="12">
        <v>8</v>
      </c>
      <c r="F751" s="12">
        <f t="shared" ref="F751:S751" si="760">F391</f>
        <v>28</v>
      </c>
      <c r="G751" s="12">
        <f t="shared" si="760"/>
        <v>50045</v>
      </c>
      <c r="H751" s="12">
        <f t="shared" si="760"/>
        <v>2</v>
      </c>
      <c r="I751" s="12">
        <f t="shared" si="760"/>
        <v>2</v>
      </c>
      <c r="J751" s="12">
        <f t="shared" si="760"/>
        <v>4</v>
      </c>
      <c r="K751" s="12">
        <f t="shared" si="760"/>
        <v>1846695020</v>
      </c>
      <c r="L751" s="12">
        <f t="shared" si="760"/>
        <v>1846695020</v>
      </c>
      <c r="M751" s="12">
        <f t="shared" si="760"/>
        <v>1846695020</v>
      </c>
      <c r="N751" s="12">
        <f t="shared" si="760"/>
        <v>0</v>
      </c>
      <c r="O751" s="12">
        <f t="shared" si="760"/>
        <v>0</v>
      </c>
      <c r="P751" s="12">
        <f t="shared" si="760"/>
        <v>0</v>
      </c>
      <c r="Q751" s="12">
        <f t="shared" si="760"/>
        <v>1.59251562944154E+16</v>
      </c>
      <c r="R751" s="12">
        <f t="shared" si="760"/>
        <v>0</v>
      </c>
      <c r="S751" s="12">
        <f t="shared" si="760"/>
        <v>60</v>
      </c>
      <c r="T751" s="17" t="s">
        <v>982</v>
      </c>
    </row>
    <row r="752" spans="1:20" x14ac:dyDescent="0.2">
      <c r="A752" s="12">
        <v>80029</v>
      </c>
      <c r="B752" s="16" t="s">
        <v>986</v>
      </c>
      <c r="C752" s="2" t="s">
        <v>951</v>
      </c>
      <c r="D752" s="12">
        <v>29</v>
      </c>
      <c r="E752" s="12">
        <v>8</v>
      </c>
      <c r="F752" s="12">
        <f t="shared" ref="F752:S752" si="761">F392</f>
        <v>29</v>
      </c>
      <c r="G752" s="12">
        <f t="shared" si="761"/>
        <v>10035</v>
      </c>
      <c r="H752" s="12">
        <f t="shared" si="761"/>
        <v>1</v>
      </c>
      <c r="I752" s="12">
        <f t="shared" si="761"/>
        <v>2</v>
      </c>
      <c r="J752" s="12">
        <f t="shared" si="761"/>
        <v>4</v>
      </c>
      <c r="K752" s="12">
        <f t="shared" si="761"/>
        <v>2355403275</v>
      </c>
      <c r="L752" s="12">
        <f t="shared" si="761"/>
        <v>2355403275</v>
      </c>
      <c r="M752" s="12">
        <f t="shared" si="761"/>
        <v>2355403275</v>
      </c>
      <c r="N752" s="12">
        <f t="shared" si="761"/>
        <v>0</v>
      </c>
      <c r="O752" s="12">
        <f t="shared" si="761"/>
        <v>0</v>
      </c>
      <c r="P752" s="12">
        <f t="shared" si="761"/>
        <v>0</v>
      </c>
      <c r="Q752" s="12">
        <f t="shared" si="761"/>
        <v>5.42932995511708E+16</v>
      </c>
      <c r="R752" s="12">
        <f t="shared" si="761"/>
        <v>0</v>
      </c>
      <c r="S752" s="12">
        <f t="shared" si="761"/>
        <v>60</v>
      </c>
      <c r="T752" s="17" t="s">
        <v>987</v>
      </c>
    </row>
    <row r="753" spans="1:20" x14ac:dyDescent="0.2">
      <c r="A753" s="12">
        <v>80030</v>
      </c>
      <c r="B753" s="16" t="s">
        <v>988</v>
      </c>
      <c r="C753" s="2" t="s">
        <v>951</v>
      </c>
      <c r="D753" s="12">
        <v>30</v>
      </c>
      <c r="E753" s="12">
        <v>8</v>
      </c>
      <c r="F753" s="12">
        <f t="shared" ref="F753:S753" si="762">F393</f>
        <v>30</v>
      </c>
      <c r="G753" s="12">
        <f t="shared" si="762"/>
        <v>10085</v>
      </c>
      <c r="H753" s="12">
        <f t="shared" si="762"/>
        <v>3</v>
      </c>
      <c r="I753" s="12">
        <f t="shared" si="762"/>
        <v>2</v>
      </c>
      <c r="J753" s="12">
        <f t="shared" si="762"/>
        <v>4</v>
      </c>
      <c r="K753" s="12">
        <f t="shared" si="762"/>
        <v>2877535435</v>
      </c>
      <c r="L753" s="12">
        <f t="shared" si="762"/>
        <v>2877535435</v>
      </c>
      <c r="M753" s="12">
        <f t="shared" si="762"/>
        <v>2877535435</v>
      </c>
      <c r="N753" s="12">
        <f t="shared" si="762"/>
        <v>0</v>
      </c>
      <c r="O753" s="12">
        <f t="shared" si="762"/>
        <v>0</v>
      </c>
      <c r="P753" s="12">
        <f t="shared" si="762"/>
        <v>0</v>
      </c>
      <c r="Q753" s="12">
        <f t="shared" si="762"/>
        <v>8.4981450803142496E+16</v>
      </c>
      <c r="R753" s="12">
        <f t="shared" si="762"/>
        <v>0</v>
      </c>
      <c r="S753" s="12">
        <f t="shared" si="762"/>
        <v>60</v>
      </c>
      <c r="T753" s="17" t="s">
        <v>987</v>
      </c>
    </row>
    <row r="754" spans="1:20" x14ac:dyDescent="0.2">
      <c r="A754" s="12">
        <v>80031</v>
      </c>
      <c r="B754" s="16" t="s">
        <v>989</v>
      </c>
      <c r="C754" s="2" t="s">
        <v>951</v>
      </c>
      <c r="D754" s="12">
        <v>31</v>
      </c>
      <c r="E754" s="12">
        <v>8</v>
      </c>
      <c r="F754" s="12">
        <f t="shared" ref="F754:S754" si="763">F394</f>
        <v>31</v>
      </c>
      <c r="G754" s="12">
        <f t="shared" si="763"/>
        <v>10135</v>
      </c>
      <c r="H754" s="12">
        <f t="shared" si="763"/>
        <v>2</v>
      </c>
      <c r="I754" s="12">
        <f t="shared" si="763"/>
        <v>2</v>
      </c>
      <c r="J754" s="12">
        <f t="shared" si="763"/>
        <v>4</v>
      </c>
      <c r="K754" s="12">
        <f t="shared" si="763"/>
        <v>3471246540</v>
      </c>
      <c r="L754" s="12">
        <f t="shared" si="763"/>
        <v>3471246540</v>
      </c>
      <c r="M754" s="12">
        <f t="shared" si="763"/>
        <v>3471246540</v>
      </c>
      <c r="N754" s="12">
        <f t="shared" si="763"/>
        <v>0</v>
      </c>
      <c r="O754" s="12">
        <f t="shared" si="763"/>
        <v>0</v>
      </c>
      <c r="P754" s="12">
        <f t="shared" si="763"/>
        <v>0</v>
      </c>
      <c r="Q754" s="12">
        <f t="shared" si="763"/>
        <v>1.2804243823414E+17</v>
      </c>
      <c r="R754" s="12">
        <f t="shared" si="763"/>
        <v>0</v>
      </c>
      <c r="S754" s="12">
        <f t="shared" si="763"/>
        <v>60</v>
      </c>
      <c r="T754" s="17" t="s">
        <v>987</v>
      </c>
    </row>
    <row r="755" spans="1:20" x14ac:dyDescent="0.2">
      <c r="A755" s="12">
        <v>80032</v>
      </c>
      <c r="B755" s="16" t="s">
        <v>990</v>
      </c>
      <c r="C755" s="2" t="s">
        <v>951</v>
      </c>
      <c r="D755" s="12">
        <v>32</v>
      </c>
      <c r="E755" s="12">
        <v>8</v>
      </c>
      <c r="F755" s="12">
        <f t="shared" ref="F755:S755" si="764">F395</f>
        <v>32</v>
      </c>
      <c r="G755" s="12">
        <f t="shared" si="764"/>
        <v>10185</v>
      </c>
      <c r="H755" s="12">
        <f t="shared" si="764"/>
        <v>1</v>
      </c>
      <c r="I755" s="12">
        <f t="shared" si="764"/>
        <v>2</v>
      </c>
      <c r="J755" s="12">
        <f t="shared" si="764"/>
        <v>4</v>
      </c>
      <c r="K755" s="12">
        <f t="shared" si="764"/>
        <v>4070616465</v>
      </c>
      <c r="L755" s="12">
        <f t="shared" si="764"/>
        <v>4070616465</v>
      </c>
      <c r="M755" s="12">
        <f t="shared" si="764"/>
        <v>4070616465</v>
      </c>
      <c r="N755" s="12">
        <f t="shared" si="764"/>
        <v>0</v>
      </c>
      <c r="O755" s="12">
        <f t="shared" si="764"/>
        <v>0</v>
      </c>
      <c r="P755" s="12">
        <f t="shared" si="764"/>
        <v>0</v>
      </c>
      <c r="Q755" s="12">
        <f t="shared" si="764"/>
        <v>1.8553532413018202E+17</v>
      </c>
      <c r="R755" s="12">
        <f t="shared" si="764"/>
        <v>0</v>
      </c>
      <c r="S755" s="12">
        <f t="shared" si="764"/>
        <v>60</v>
      </c>
      <c r="T755" s="17" t="s">
        <v>987</v>
      </c>
    </row>
    <row r="756" spans="1:20" x14ac:dyDescent="0.2">
      <c r="A756" s="12">
        <v>80033</v>
      </c>
      <c r="B756" s="16" t="s">
        <v>991</v>
      </c>
      <c r="C756" s="2" t="s">
        <v>951</v>
      </c>
      <c r="D756" s="12">
        <v>33</v>
      </c>
      <c r="E756" s="12">
        <v>8</v>
      </c>
      <c r="F756" s="12">
        <f t="shared" ref="F756:S756" si="765">F396</f>
        <v>33</v>
      </c>
      <c r="G756" s="12">
        <f t="shared" si="765"/>
        <v>20035</v>
      </c>
      <c r="H756" s="12">
        <f t="shared" si="765"/>
        <v>3</v>
      </c>
      <c r="I756" s="12">
        <f t="shared" si="765"/>
        <v>2</v>
      </c>
      <c r="J756" s="12">
        <f t="shared" si="765"/>
        <v>4</v>
      </c>
      <c r="K756" s="12">
        <f t="shared" si="765"/>
        <v>4947931560</v>
      </c>
      <c r="L756" s="12">
        <f t="shared" si="765"/>
        <v>4947931560</v>
      </c>
      <c r="M756" s="12">
        <f t="shared" si="765"/>
        <v>4947931560</v>
      </c>
      <c r="N756" s="12">
        <f t="shared" si="765"/>
        <v>0</v>
      </c>
      <c r="O756" s="12">
        <f t="shared" si="765"/>
        <v>0</v>
      </c>
      <c r="P756" s="12">
        <f t="shared" si="765"/>
        <v>0</v>
      </c>
      <c r="Q756" s="12">
        <f t="shared" si="765"/>
        <v>3.2261314513479002E+17</v>
      </c>
      <c r="R756" s="12">
        <f t="shared" si="765"/>
        <v>0</v>
      </c>
      <c r="S756" s="12">
        <f t="shared" si="765"/>
        <v>60</v>
      </c>
      <c r="T756" s="17" t="s">
        <v>992</v>
      </c>
    </row>
    <row r="757" spans="1:20" x14ac:dyDescent="0.2">
      <c r="A757" s="12">
        <v>80034</v>
      </c>
      <c r="B757" s="16" t="s">
        <v>993</v>
      </c>
      <c r="C757" s="2" t="s">
        <v>951</v>
      </c>
      <c r="D757" s="12">
        <v>34</v>
      </c>
      <c r="E757" s="12">
        <v>8</v>
      </c>
      <c r="F757" s="12">
        <f t="shared" ref="F757:S757" si="766">F397</f>
        <v>34</v>
      </c>
      <c r="G757" s="12">
        <f t="shared" si="766"/>
        <v>20085</v>
      </c>
      <c r="H757" s="12">
        <f t="shared" si="766"/>
        <v>2</v>
      </c>
      <c r="I757" s="12">
        <f t="shared" si="766"/>
        <v>2</v>
      </c>
      <c r="J757" s="12">
        <f t="shared" si="766"/>
        <v>4</v>
      </c>
      <c r="K757" s="12">
        <f t="shared" si="766"/>
        <v>5657919940</v>
      </c>
      <c r="L757" s="12">
        <f t="shared" si="766"/>
        <v>5657919940</v>
      </c>
      <c r="M757" s="12">
        <f t="shared" si="766"/>
        <v>5657919940</v>
      </c>
      <c r="N757" s="12">
        <f t="shared" si="766"/>
        <v>0</v>
      </c>
      <c r="O757" s="12">
        <f t="shared" si="766"/>
        <v>0</v>
      </c>
      <c r="P757" s="12">
        <f t="shared" si="766"/>
        <v>0</v>
      </c>
      <c r="Q757" s="12">
        <f t="shared" si="766"/>
        <v>4.2750877848275501E+17</v>
      </c>
      <c r="R757" s="12">
        <f t="shared" si="766"/>
        <v>0</v>
      </c>
      <c r="S757" s="12">
        <f t="shared" si="766"/>
        <v>60</v>
      </c>
      <c r="T757" s="17" t="s">
        <v>992</v>
      </c>
    </row>
    <row r="758" spans="1:20" x14ac:dyDescent="0.2">
      <c r="A758" s="12">
        <v>80035</v>
      </c>
      <c r="B758" s="16" t="s">
        <v>994</v>
      </c>
      <c r="C758" s="2" t="s">
        <v>951</v>
      </c>
      <c r="D758" s="12">
        <v>35</v>
      </c>
      <c r="E758" s="12">
        <v>8</v>
      </c>
      <c r="F758" s="12">
        <f t="shared" ref="F758:S758" si="767">F398</f>
        <v>35</v>
      </c>
      <c r="G758" s="12">
        <f t="shared" si="767"/>
        <v>20135</v>
      </c>
      <c r="H758" s="12">
        <f t="shared" si="767"/>
        <v>1</v>
      </c>
      <c r="I758" s="12">
        <f t="shared" si="767"/>
        <v>2</v>
      </c>
      <c r="J758" s="12">
        <f t="shared" si="767"/>
        <v>4</v>
      </c>
      <c r="K758" s="12">
        <f t="shared" si="767"/>
        <v>6742295590</v>
      </c>
      <c r="L758" s="12">
        <f t="shared" si="767"/>
        <v>6742295590</v>
      </c>
      <c r="M758" s="12">
        <f t="shared" si="767"/>
        <v>6742295590</v>
      </c>
      <c r="N758" s="12">
        <f t="shared" si="767"/>
        <v>0</v>
      </c>
      <c r="O758" s="12">
        <f t="shared" si="767"/>
        <v>0</v>
      </c>
      <c r="P758" s="12">
        <f t="shared" si="767"/>
        <v>0</v>
      </c>
      <c r="Q758" s="12">
        <f t="shared" si="767"/>
        <v>6.4115108048770995E+17</v>
      </c>
      <c r="R758" s="12">
        <f t="shared" si="767"/>
        <v>0</v>
      </c>
      <c r="S758" s="12">
        <f t="shared" si="767"/>
        <v>60</v>
      </c>
      <c r="T758" s="17" t="s">
        <v>992</v>
      </c>
    </row>
    <row r="759" spans="1:20" x14ac:dyDescent="0.2">
      <c r="A759" s="12">
        <v>80036</v>
      </c>
      <c r="B759" s="16" t="s">
        <v>995</v>
      </c>
      <c r="C759" s="2" t="s">
        <v>951</v>
      </c>
      <c r="D759" s="12">
        <v>36</v>
      </c>
      <c r="E759" s="12">
        <v>8</v>
      </c>
      <c r="F759" s="12">
        <f t="shared" ref="F759:S759" si="768">F399</f>
        <v>36</v>
      </c>
      <c r="G759" s="12">
        <f t="shared" si="768"/>
        <v>20185</v>
      </c>
      <c r="H759" s="12">
        <f t="shared" si="768"/>
        <v>3</v>
      </c>
      <c r="I759" s="12">
        <f t="shared" si="768"/>
        <v>2</v>
      </c>
      <c r="J759" s="12">
        <f t="shared" si="768"/>
        <v>4</v>
      </c>
      <c r="K759" s="12">
        <f t="shared" si="768"/>
        <v>7813858040</v>
      </c>
      <c r="L759" s="12">
        <f t="shared" si="768"/>
        <v>7813858040</v>
      </c>
      <c r="M759" s="12">
        <f t="shared" si="768"/>
        <v>7813858040</v>
      </c>
      <c r="N759" s="12">
        <f t="shared" si="768"/>
        <v>0</v>
      </c>
      <c r="O759" s="12">
        <f t="shared" si="768"/>
        <v>0</v>
      </c>
      <c r="P759" s="12">
        <f t="shared" si="768"/>
        <v>0</v>
      </c>
      <c r="Q759" s="12">
        <f t="shared" si="768"/>
        <v>8.9984243497634995E+17</v>
      </c>
      <c r="R759" s="12">
        <f t="shared" si="768"/>
        <v>0</v>
      </c>
      <c r="S759" s="12">
        <f t="shared" si="768"/>
        <v>60</v>
      </c>
      <c r="T759" s="17" t="s">
        <v>992</v>
      </c>
    </row>
    <row r="760" spans="1:20" x14ac:dyDescent="0.2">
      <c r="A760" s="12">
        <v>80037</v>
      </c>
      <c r="B760" s="16" t="s">
        <v>996</v>
      </c>
      <c r="C760" s="2" t="s">
        <v>951</v>
      </c>
      <c r="D760" s="12">
        <v>37</v>
      </c>
      <c r="E760" s="12">
        <v>8</v>
      </c>
      <c r="F760" s="12">
        <f t="shared" ref="F760:S760" si="769">F400</f>
        <v>37</v>
      </c>
      <c r="G760" s="12">
        <f t="shared" si="769"/>
        <v>30035</v>
      </c>
      <c r="H760" s="12">
        <f t="shared" si="769"/>
        <v>2</v>
      </c>
      <c r="I760" s="12">
        <f t="shared" si="769"/>
        <v>2</v>
      </c>
      <c r="J760" s="12">
        <f t="shared" si="769"/>
        <v>5</v>
      </c>
      <c r="K760" s="12">
        <f t="shared" si="769"/>
        <v>9022904075</v>
      </c>
      <c r="L760" s="12">
        <f t="shared" si="769"/>
        <v>9022904075</v>
      </c>
      <c r="M760" s="12">
        <f t="shared" si="769"/>
        <v>9022904075</v>
      </c>
      <c r="N760" s="12">
        <f t="shared" si="769"/>
        <v>0</v>
      </c>
      <c r="O760" s="12">
        <f t="shared" si="769"/>
        <v>0</v>
      </c>
      <c r="P760" s="12">
        <f t="shared" si="769"/>
        <v>0</v>
      </c>
      <c r="Q760" s="12">
        <f t="shared" si="769"/>
        <v>1.2748232271778401E+18</v>
      </c>
      <c r="R760" s="12">
        <f t="shared" si="769"/>
        <v>0</v>
      </c>
      <c r="S760" s="12">
        <f t="shared" si="769"/>
        <v>60</v>
      </c>
      <c r="T760" s="17" t="s">
        <v>997</v>
      </c>
    </row>
    <row r="761" spans="1:20" x14ac:dyDescent="0.2">
      <c r="A761" s="12">
        <v>80038</v>
      </c>
      <c r="B761" s="16" t="s">
        <v>998</v>
      </c>
      <c r="C761" s="2" t="s">
        <v>951</v>
      </c>
      <c r="D761" s="12">
        <v>38</v>
      </c>
      <c r="E761" s="12">
        <v>8</v>
      </c>
      <c r="F761" s="12">
        <f t="shared" ref="F761:S761" si="770">F401</f>
        <v>38</v>
      </c>
      <c r="G761" s="12">
        <f t="shared" si="770"/>
        <v>30085</v>
      </c>
      <c r="H761" s="12">
        <f t="shared" si="770"/>
        <v>1</v>
      </c>
      <c r="I761" s="12">
        <f t="shared" si="770"/>
        <v>2</v>
      </c>
      <c r="J761" s="12">
        <f t="shared" si="770"/>
        <v>5</v>
      </c>
      <c r="K761" s="12">
        <f t="shared" si="770"/>
        <v>10357481865</v>
      </c>
      <c r="L761" s="12">
        <f t="shared" si="770"/>
        <v>10357481865</v>
      </c>
      <c r="M761" s="12">
        <f t="shared" si="770"/>
        <v>10357481865</v>
      </c>
      <c r="N761" s="12">
        <f t="shared" si="770"/>
        <v>0</v>
      </c>
      <c r="O761" s="12">
        <f t="shared" si="770"/>
        <v>0</v>
      </c>
      <c r="P761" s="12">
        <f t="shared" si="770"/>
        <v>0</v>
      </c>
      <c r="Q761" s="12">
        <f t="shared" si="770"/>
        <v>1.76085702278608E+18</v>
      </c>
      <c r="R761" s="12">
        <f t="shared" si="770"/>
        <v>0</v>
      </c>
      <c r="S761" s="12">
        <f t="shared" si="770"/>
        <v>60</v>
      </c>
      <c r="T761" s="17" t="s">
        <v>997</v>
      </c>
    </row>
    <row r="762" spans="1:20" x14ac:dyDescent="0.2">
      <c r="A762" s="12">
        <v>80039</v>
      </c>
      <c r="B762" s="16" t="s">
        <v>999</v>
      </c>
      <c r="C762" s="2" t="s">
        <v>951</v>
      </c>
      <c r="D762" s="12">
        <v>39</v>
      </c>
      <c r="E762" s="12">
        <v>8</v>
      </c>
      <c r="F762" s="12">
        <f t="shared" ref="F762:S762" si="771">F402</f>
        <v>39</v>
      </c>
      <c r="G762" s="12">
        <f t="shared" si="771"/>
        <v>30135</v>
      </c>
      <c r="H762" s="12">
        <f t="shared" si="771"/>
        <v>3</v>
      </c>
      <c r="I762" s="12">
        <f t="shared" si="771"/>
        <v>2</v>
      </c>
      <c r="J762" s="12">
        <f t="shared" si="771"/>
        <v>5</v>
      </c>
      <c r="K762" s="12">
        <f t="shared" si="771"/>
        <v>12054912440</v>
      </c>
      <c r="L762" s="12">
        <f t="shared" si="771"/>
        <v>12054912440</v>
      </c>
      <c r="M762" s="12">
        <f t="shared" si="771"/>
        <v>12054912440</v>
      </c>
      <c r="N762" s="12">
        <f t="shared" si="771"/>
        <v>0</v>
      </c>
      <c r="O762" s="12">
        <f t="shared" si="771"/>
        <v>0</v>
      </c>
      <c r="P762" s="12">
        <f t="shared" si="771"/>
        <v>0</v>
      </c>
      <c r="Q762" s="12">
        <f t="shared" si="771"/>
        <v>2.5382198702505001E+18</v>
      </c>
      <c r="R762" s="12">
        <f t="shared" si="771"/>
        <v>0</v>
      </c>
      <c r="S762" s="12">
        <f t="shared" si="771"/>
        <v>60</v>
      </c>
      <c r="T762" s="17" t="s">
        <v>997</v>
      </c>
    </row>
    <row r="763" spans="1:20" x14ac:dyDescent="0.2">
      <c r="A763" s="12">
        <v>80040</v>
      </c>
      <c r="B763" s="16" t="s">
        <v>1000</v>
      </c>
      <c r="C763" s="2" t="s">
        <v>951</v>
      </c>
      <c r="D763" s="12">
        <v>40</v>
      </c>
      <c r="E763" s="12">
        <v>8</v>
      </c>
      <c r="F763" s="12">
        <f t="shared" ref="F763:S763" si="772">F403</f>
        <v>40</v>
      </c>
      <c r="G763" s="12">
        <f t="shared" si="772"/>
        <v>30185</v>
      </c>
      <c r="H763" s="12">
        <f t="shared" si="772"/>
        <v>2</v>
      </c>
      <c r="I763" s="12">
        <f t="shared" si="772"/>
        <v>2</v>
      </c>
      <c r="J763" s="12">
        <f t="shared" si="772"/>
        <v>5</v>
      </c>
      <c r="K763" s="12">
        <f t="shared" si="772"/>
        <v>13460310890</v>
      </c>
      <c r="L763" s="12">
        <f t="shared" si="772"/>
        <v>13460310890</v>
      </c>
      <c r="M763" s="12">
        <f t="shared" si="772"/>
        <v>13460310890</v>
      </c>
      <c r="N763" s="12">
        <f t="shared" si="772"/>
        <v>0</v>
      </c>
      <c r="O763" s="12">
        <f t="shared" si="772"/>
        <v>0</v>
      </c>
      <c r="P763" s="12">
        <f t="shared" si="772"/>
        <v>0</v>
      </c>
      <c r="Q763" s="12">
        <f t="shared" si="772"/>
        <v>3.2738742301717202E+18</v>
      </c>
      <c r="R763" s="12">
        <f t="shared" si="772"/>
        <v>0</v>
      </c>
      <c r="S763" s="12">
        <f t="shared" si="772"/>
        <v>60</v>
      </c>
      <c r="T763" s="17" t="s">
        <v>997</v>
      </c>
    </row>
    <row r="764" spans="1:20" x14ac:dyDescent="0.2">
      <c r="A764" s="12">
        <v>80041</v>
      </c>
      <c r="B764" s="16" t="s">
        <v>1001</v>
      </c>
      <c r="C764" s="2" t="s">
        <v>951</v>
      </c>
      <c r="D764" s="12">
        <v>41</v>
      </c>
      <c r="E764" s="12">
        <v>8</v>
      </c>
      <c r="F764" s="12">
        <f t="shared" ref="F764:S764" si="773">F404</f>
        <v>41</v>
      </c>
      <c r="G764" s="12">
        <f t="shared" si="773"/>
        <v>40035</v>
      </c>
      <c r="H764" s="12">
        <f t="shared" si="773"/>
        <v>1</v>
      </c>
      <c r="I764" s="12">
        <f t="shared" si="773"/>
        <v>2</v>
      </c>
      <c r="J764" s="12">
        <f t="shared" si="773"/>
        <v>5</v>
      </c>
      <c r="K764" s="12">
        <f t="shared" si="773"/>
        <v>32286211905</v>
      </c>
      <c r="L764" s="12">
        <f t="shared" si="773"/>
        <v>32286211905</v>
      </c>
      <c r="M764" s="12">
        <f t="shared" si="773"/>
        <v>32286211905</v>
      </c>
      <c r="N764" s="12">
        <f t="shared" si="773"/>
        <v>0</v>
      </c>
      <c r="O764" s="12">
        <f t="shared" si="773"/>
        <v>0</v>
      </c>
      <c r="P764" s="12">
        <f t="shared" si="773"/>
        <v>0</v>
      </c>
      <c r="Q764" s="12">
        <f t="shared" si="773"/>
        <v>3.58664099545122E+19</v>
      </c>
      <c r="R764" s="12">
        <f t="shared" si="773"/>
        <v>0</v>
      </c>
      <c r="S764" s="12">
        <f t="shared" si="773"/>
        <v>60</v>
      </c>
      <c r="T764" s="17" t="s">
        <v>1002</v>
      </c>
    </row>
    <row r="765" spans="1:20" x14ac:dyDescent="0.2">
      <c r="A765" s="12">
        <v>80042</v>
      </c>
      <c r="B765" s="16" t="s">
        <v>1003</v>
      </c>
      <c r="C765" s="2" t="s">
        <v>951</v>
      </c>
      <c r="D765" s="12">
        <v>42</v>
      </c>
      <c r="E765" s="12">
        <v>8</v>
      </c>
      <c r="F765" s="12">
        <f t="shared" ref="F765:S765" si="774">F405</f>
        <v>42</v>
      </c>
      <c r="G765" s="12">
        <f t="shared" si="774"/>
        <v>40085</v>
      </c>
      <c r="H765" s="12">
        <f t="shared" si="774"/>
        <v>3</v>
      </c>
      <c r="I765" s="12">
        <f t="shared" si="774"/>
        <v>2</v>
      </c>
      <c r="J765" s="12">
        <f t="shared" si="774"/>
        <v>5</v>
      </c>
      <c r="K765" s="12">
        <f t="shared" si="774"/>
        <v>36210827115</v>
      </c>
      <c r="L765" s="12">
        <f t="shared" si="774"/>
        <v>36210827115</v>
      </c>
      <c r="M765" s="12">
        <f t="shared" si="774"/>
        <v>36210827115</v>
      </c>
      <c r="N765" s="12">
        <f t="shared" si="774"/>
        <v>0</v>
      </c>
      <c r="O765" s="12">
        <f t="shared" si="774"/>
        <v>0</v>
      </c>
      <c r="P765" s="12">
        <f t="shared" si="774"/>
        <v>0</v>
      </c>
      <c r="Q765" s="12">
        <f t="shared" si="774"/>
        <v>4.6745014187892703E+19</v>
      </c>
      <c r="R765" s="12">
        <f t="shared" si="774"/>
        <v>0</v>
      </c>
      <c r="S765" s="12">
        <f t="shared" si="774"/>
        <v>60</v>
      </c>
      <c r="T765" s="17" t="s">
        <v>1002</v>
      </c>
    </row>
    <row r="766" spans="1:20" x14ac:dyDescent="0.2">
      <c r="A766" s="12">
        <v>80043</v>
      </c>
      <c r="B766" s="16" t="s">
        <v>1004</v>
      </c>
      <c r="C766" s="2" t="s">
        <v>951</v>
      </c>
      <c r="D766" s="12">
        <v>43</v>
      </c>
      <c r="E766" s="12">
        <v>8</v>
      </c>
      <c r="F766" s="12">
        <f t="shared" ref="F766:S766" si="775">F406</f>
        <v>43</v>
      </c>
      <c r="G766" s="12">
        <f t="shared" si="775"/>
        <v>40135</v>
      </c>
      <c r="H766" s="12">
        <f t="shared" si="775"/>
        <v>2</v>
      </c>
      <c r="I766" s="12">
        <f t="shared" si="775"/>
        <v>2</v>
      </c>
      <c r="J766" s="12">
        <f t="shared" si="775"/>
        <v>5</v>
      </c>
      <c r="K766" s="12">
        <f t="shared" si="775"/>
        <v>40524480255</v>
      </c>
      <c r="L766" s="12">
        <f t="shared" si="775"/>
        <v>40524480255</v>
      </c>
      <c r="M766" s="12">
        <f t="shared" si="775"/>
        <v>40524480255</v>
      </c>
      <c r="N766" s="12">
        <f t="shared" si="775"/>
        <v>0</v>
      </c>
      <c r="O766" s="12">
        <f t="shared" si="775"/>
        <v>0</v>
      </c>
      <c r="P766" s="12">
        <f t="shared" si="775"/>
        <v>0</v>
      </c>
      <c r="Q766" s="12">
        <f t="shared" si="775"/>
        <v>6.0115197558181503E+19</v>
      </c>
      <c r="R766" s="12">
        <f t="shared" si="775"/>
        <v>0</v>
      </c>
      <c r="S766" s="12">
        <f t="shared" si="775"/>
        <v>60</v>
      </c>
      <c r="T766" s="17" t="s">
        <v>1002</v>
      </c>
    </row>
    <row r="767" spans="1:20" x14ac:dyDescent="0.2">
      <c r="A767" s="12">
        <v>80044</v>
      </c>
      <c r="B767" s="16" t="s">
        <v>1005</v>
      </c>
      <c r="C767" s="2" t="s">
        <v>951</v>
      </c>
      <c r="D767" s="12">
        <v>44</v>
      </c>
      <c r="E767" s="12">
        <v>8</v>
      </c>
      <c r="F767" s="12">
        <f t="shared" ref="F767:S767" si="776">F407</f>
        <v>44</v>
      </c>
      <c r="G767" s="12">
        <f t="shared" si="776"/>
        <v>40185</v>
      </c>
      <c r="H767" s="12">
        <f t="shared" si="776"/>
        <v>1</v>
      </c>
      <c r="I767" s="12">
        <f t="shared" si="776"/>
        <v>2</v>
      </c>
      <c r="J767" s="12">
        <f t="shared" si="776"/>
        <v>5</v>
      </c>
      <c r="K767" s="12">
        <f t="shared" si="776"/>
        <v>45192474355</v>
      </c>
      <c r="L767" s="12">
        <f t="shared" si="776"/>
        <v>45192474355</v>
      </c>
      <c r="M767" s="12">
        <f t="shared" si="776"/>
        <v>45192474355</v>
      </c>
      <c r="N767" s="12">
        <f t="shared" si="776"/>
        <v>0</v>
      </c>
      <c r="O767" s="12">
        <f t="shared" si="776"/>
        <v>0</v>
      </c>
      <c r="P767" s="12">
        <f t="shared" si="776"/>
        <v>0</v>
      </c>
      <c r="Q767" s="12">
        <f t="shared" si="776"/>
        <v>7.7888400343511499E+19</v>
      </c>
      <c r="R767" s="12">
        <f t="shared" si="776"/>
        <v>0</v>
      </c>
      <c r="S767" s="12">
        <f t="shared" si="776"/>
        <v>60</v>
      </c>
      <c r="T767" s="17" t="s">
        <v>1002</v>
      </c>
    </row>
    <row r="768" spans="1:20" x14ac:dyDescent="0.2">
      <c r="A768" s="12">
        <v>80045</v>
      </c>
      <c r="B768" s="16" t="s">
        <v>1006</v>
      </c>
      <c r="C768" s="2" t="s">
        <v>951</v>
      </c>
      <c r="D768" s="12">
        <v>45</v>
      </c>
      <c r="E768" s="12">
        <v>8</v>
      </c>
      <c r="F768" s="12">
        <f t="shared" ref="F768:S768" si="777">F408</f>
        <v>45</v>
      </c>
      <c r="G768" s="12">
        <f t="shared" si="777"/>
        <v>50035</v>
      </c>
      <c r="H768" s="12">
        <f t="shared" si="777"/>
        <v>3</v>
      </c>
      <c r="I768" s="12">
        <f t="shared" si="777"/>
        <v>2</v>
      </c>
      <c r="J768" s="12">
        <f t="shared" si="777"/>
        <v>5</v>
      </c>
      <c r="K768" s="12">
        <f t="shared" si="777"/>
        <v>50974213845</v>
      </c>
      <c r="L768" s="12">
        <f t="shared" si="777"/>
        <v>50974213845</v>
      </c>
      <c r="M768" s="12">
        <f t="shared" si="777"/>
        <v>50974213845</v>
      </c>
      <c r="N768" s="12">
        <f t="shared" si="777"/>
        <v>0</v>
      </c>
      <c r="O768" s="12">
        <f t="shared" si="777"/>
        <v>0</v>
      </c>
      <c r="P768" s="12">
        <f t="shared" si="777"/>
        <v>0</v>
      </c>
      <c r="Q768" s="12">
        <f t="shared" si="777"/>
        <v>1.03932646043157E+20</v>
      </c>
      <c r="R768" s="12">
        <f t="shared" si="777"/>
        <v>0</v>
      </c>
      <c r="S768" s="12">
        <f t="shared" si="777"/>
        <v>60</v>
      </c>
      <c r="T768" s="17" t="s">
        <v>1007</v>
      </c>
    </row>
    <row r="769" spans="1:20" x14ac:dyDescent="0.2">
      <c r="A769" s="12">
        <v>80046</v>
      </c>
      <c r="B769" s="16" t="s">
        <v>1008</v>
      </c>
      <c r="C769" s="2" t="s">
        <v>951</v>
      </c>
      <c r="D769" s="12">
        <v>46</v>
      </c>
      <c r="E769" s="12">
        <v>8</v>
      </c>
      <c r="F769" s="12">
        <f t="shared" ref="F769:S769" si="778">F409</f>
        <v>46</v>
      </c>
      <c r="G769" s="12">
        <f t="shared" si="778"/>
        <v>10025</v>
      </c>
      <c r="H769" s="12">
        <f t="shared" si="778"/>
        <v>2</v>
      </c>
      <c r="I769" s="12">
        <f t="shared" si="778"/>
        <v>2</v>
      </c>
      <c r="J769" s="12">
        <f t="shared" si="778"/>
        <v>5</v>
      </c>
      <c r="K769" s="12">
        <f t="shared" si="778"/>
        <v>57273255040</v>
      </c>
      <c r="L769" s="12">
        <f t="shared" si="778"/>
        <v>57273255040</v>
      </c>
      <c r="M769" s="12">
        <f t="shared" si="778"/>
        <v>57273255040</v>
      </c>
      <c r="N769" s="12">
        <f t="shared" si="778"/>
        <v>0</v>
      </c>
      <c r="O769" s="12">
        <f t="shared" si="778"/>
        <v>0</v>
      </c>
      <c r="P769" s="12">
        <f t="shared" si="778"/>
        <v>0</v>
      </c>
      <c r="Q769" s="12">
        <f t="shared" si="778"/>
        <v>1.3954245208691501E+20</v>
      </c>
      <c r="R769" s="12">
        <f t="shared" si="778"/>
        <v>0</v>
      </c>
      <c r="S769" s="12">
        <f t="shared" si="778"/>
        <v>60</v>
      </c>
      <c r="T769" s="17" t="s">
        <v>1007</v>
      </c>
    </row>
    <row r="770" spans="1:20" x14ac:dyDescent="0.2">
      <c r="A770" s="12">
        <v>80047</v>
      </c>
      <c r="B770" s="16" t="s">
        <v>1009</v>
      </c>
      <c r="C770" s="2" t="s">
        <v>951</v>
      </c>
      <c r="D770" s="12">
        <v>47</v>
      </c>
      <c r="E770" s="12">
        <v>8</v>
      </c>
      <c r="F770" s="12">
        <f t="shared" ref="F770:S770" si="779">F410</f>
        <v>47</v>
      </c>
      <c r="G770" s="12">
        <f t="shared" si="779"/>
        <v>10075</v>
      </c>
      <c r="H770" s="12">
        <f t="shared" si="779"/>
        <v>1</v>
      </c>
      <c r="I770" s="12">
        <f t="shared" si="779"/>
        <v>2</v>
      </c>
      <c r="J770" s="12">
        <f t="shared" si="779"/>
        <v>5</v>
      </c>
      <c r="K770" s="12">
        <f t="shared" si="779"/>
        <v>64276150605</v>
      </c>
      <c r="L770" s="12">
        <f t="shared" si="779"/>
        <v>64276150605</v>
      </c>
      <c r="M770" s="12">
        <f t="shared" si="779"/>
        <v>64276150605</v>
      </c>
      <c r="N770" s="12">
        <f t="shared" si="779"/>
        <v>0</v>
      </c>
      <c r="O770" s="12">
        <f t="shared" si="779"/>
        <v>0</v>
      </c>
      <c r="P770" s="12">
        <f t="shared" si="779"/>
        <v>0</v>
      </c>
      <c r="Q770" s="12">
        <f t="shared" si="779"/>
        <v>1.84550037154706E+20</v>
      </c>
      <c r="R770" s="12">
        <f t="shared" si="779"/>
        <v>0</v>
      </c>
      <c r="S770" s="12">
        <f t="shared" si="779"/>
        <v>60</v>
      </c>
      <c r="T770" s="17" t="s">
        <v>1007</v>
      </c>
    </row>
    <row r="771" spans="1:20" x14ac:dyDescent="0.2">
      <c r="A771" s="12">
        <v>80048</v>
      </c>
      <c r="B771" s="16" t="s">
        <v>1010</v>
      </c>
      <c r="C771" s="2" t="s">
        <v>951</v>
      </c>
      <c r="D771" s="12">
        <v>48</v>
      </c>
      <c r="E771" s="12">
        <v>8</v>
      </c>
      <c r="F771" s="12">
        <f t="shared" ref="F771:S771" si="780">F411</f>
        <v>48</v>
      </c>
      <c r="G771" s="12">
        <f t="shared" si="780"/>
        <v>10125</v>
      </c>
      <c r="H771" s="12">
        <f t="shared" si="780"/>
        <v>3</v>
      </c>
      <c r="I771" s="12">
        <f t="shared" si="780"/>
        <v>2</v>
      </c>
      <c r="J771" s="12">
        <f t="shared" si="780"/>
        <v>5</v>
      </c>
      <c r="K771" s="12">
        <f t="shared" si="780"/>
        <v>71872179505</v>
      </c>
      <c r="L771" s="12">
        <f t="shared" si="780"/>
        <v>71872179505</v>
      </c>
      <c r="M771" s="12">
        <f t="shared" si="780"/>
        <v>71872179505</v>
      </c>
      <c r="N771" s="12">
        <f t="shared" si="780"/>
        <v>0</v>
      </c>
      <c r="O771" s="12">
        <f t="shared" si="780"/>
        <v>0</v>
      </c>
      <c r="P771" s="12">
        <f t="shared" si="780"/>
        <v>0</v>
      </c>
      <c r="Q771" s="12">
        <f t="shared" si="780"/>
        <v>2.4520549723172199E+20</v>
      </c>
      <c r="R771" s="12">
        <f t="shared" si="780"/>
        <v>0</v>
      </c>
      <c r="S771" s="12">
        <f t="shared" si="780"/>
        <v>60</v>
      </c>
      <c r="T771" s="17" t="s">
        <v>1007</v>
      </c>
    </row>
    <row r="772" spans="1:20" x14ac:dyDescent="0.2">
      <c r="A772" s="12">
        <v>80049</v>
      </c>
      <c r="B772" s="16" t="s">
        <v>1011</v>
      </c>
      <c r="C772" s="2" t="s">
        <v>951</v>
      </c>
      <c r="D772" s="12">
        <v>49</v>
      </c>
      <c r="E772" s="12">
        <v>8</v>
      </c>
      <c r="F772" s="12">
        <f t="shared" ref="F772:S772" si="781">F412</f>
        <v>49</v>
      </c>
      <c r="G772" s="12">
        <f t="shared" si="781"/>
        <v>10175</v>
      </c>
      <c r="H772" s="12">
        <f t="shared" si="781"/>
        <v>2</v>
      </c>
      <c r="I772" s="12">
        <f t="shared" si="781"/>
        <v>2</v>
      </c>
      <c r="J772" s="12">
        <f t="shared" si="781"/>
        <v>5</v>
      </c>
      <c r="K772" s="12">
        <f t="shared" si="781"/>
        <v>80659950855</v>
      </c>
      <c r="L772" s="12">
        <f t="shared" si="781"/>
        <v>80659950855</v>
      </c>
      <c r="M772" s="12">
        <f t="shared" si="781"/>
        <v>80659950855</v>
      </c>
      <c r="N772" s="12">
        <f t="shared" si="781"/>
        <v>0</v>
      </c>
      <c r="O772" s="12">
        <f t="shared" si="781"/>
        <v>0</v>
      </c>
      <c r="P772" s="12">
        <f t="shared" si="781"/>
        <v>0</v>
      </c>
      <c r="Q772" s="12">
        <f t="shared" si="781"/>
        <v>3.32194458119875E+20</v>
      </c>
      <c r="R772" s="12">
        <f t="shared" si="781"/>
        <v>0</v>
      </c>
      <c r="S772" s="12">
        <f t="shared" si="781"/>
        <v>60</v>
      </c>
      <c r="T772" s="17" t="s">
        <v>1012</v>
      </c>
    </row>
    <row r="773" spans="1:20" x14ac:dyDescent="0.2">
      <c r="A773" s="12">
        <v>80050</v>
      </c>
      <c r="B773" s="16" t="s">
        <v>1013</v>
      </c>
      <c r="C773" s="2" t="s">
        <v>951</v>
      </c>
      <c r="D773" s="12">
        <v>50</v>
      </c>
      <c r="E773" s="12">
        <v>8</v>
      </c>
      <c r="F773" s="12">
        <f t="shared" ref="F773:S773" si="782">F413</f>
        <v>50</v>
      </c>
      <c r="G773" s="12">
        <f t="shared" si="782"/>
        <v>20025</v>
      </c>
      <c r="H773" s="12">
        <f t="shared" si="782"/>
        <v>1</v>
      </c>
      <c r="I773" s="12">
        <f t="shared" si="782"/>
        <v>2</v>
      </c>
      <c r="J773" s="12">
        <f t="shared" si="782"/>
        <v>5</v>
      </c>
      <c r="K773" s="12">
        <f t="shared" si="782"/>
        <v>89316558810</v>
      </c>
      <c r="L773" s="12">
        <f t="shared" si="782"/>
        <v>89316558810</v>
      </c>
      <c r="M773" s="12">
        <f t="shared" si="782"/>
        <v>89316558810</v>
      </c>
      <c r="N773" s="12">
        <f t="shared" si="782"/>
        <v>0</v>
      </c>
      <c r="O773" s="12">
        <f t="shared" si="782"/>
        <v>0</v>
      </c>
      <c r="P773" s="12">
        <f t="shared" si="782"/>
        <v>0</v>
      </c>
      <c r="Q773" s="12">
        <f t="shared" si="782"/>
        <v>4.3178479409735801E+20</v>
      </c>
      <c r="R773" s="12">
        <f t="shared" si="782"/>
        <v>0</v>
      </c>
      <c r="S773" s="12">
        <f t="shared" si="782"/>
        <v>60</v>
      </c>
      <c r="T773" s="17" t="s">
        <v>1012</v>
      </c>
    </row>
    <row r="774" spans="1:20" x14ac:dyDescent="0.2">
      <c r="A774" s="12">
        <v>80051</v>
      </c>
      <c r="B774" s="16" t="s">
        <v>1014</v>
      </c>
      <c r="C774" s="2" t="s">
        <v>951</v>
      </c>
      <c r="D774" s="12">
        <v>51</v>
      </c>
      <c r="E774" s="12">
        <v>8</v>
      </c>
      <c r="F774" s="12">
        <f t="shared" ref="F774:S774" si="783">F414</f>
        <v>51</v>
      </c>
      <c r="G774" s="12">
        <f t="shared" si="783"/>
        <v>20075</v>
      </c>
      <c r="H774" s="12">
        <f t="shared" si="783"/>
        <v>3</v>
      </c>
      <c r="I774" s="12">
        <f t="shared" si="783"/>
        <v>2</v>
      </c>
      <c r="J774" s="12">
        <f t="shared" si="783"/>
        <v>5</v>
      </c>
      <c r="K774" s="12">
        <f t="shared" si="783"/>
        <v>99551542835</v>
      </c>
      <c r="L774" s="12">
        <f t="shared" si="783"/>
        <v>99551542835</v>
      </c>
      <c r="M774" s="12">
        <f t="shared" si="783"/>
        <v>99551542835</v>
      </c>
      <c r="N774" s="12">
        <f t="shared" si="783"/>
        <v>0</v>
      </c>
      <c r="O774" s="12">
        <f t="shared" si="783"/>
        <v>0</v>
      </c>
      <c r="P774" s="12">
        <f t="shared" si="783"/>
        <v>0</v>
      </c>
      <c r="Q774" s="12">
        <f t="shared" si="783"/>
        <v>5.62370147730003E+20</v>
      </c>
      <c r="R774" s="12">
        <f t="shared" si="783"/>
        <v>0</v>
      </c>
      <c r="S774" s="12">
        <f t="shared" si="783"/>
        <v>60</v>
      </c>
      <c r="T774" s="17" t="s">
        <v>1012</v>
      </c>
    </row>
    <row r="775" spans="1:20" x14ac:dyDescent="0.2">
      <c r="A775" s="12">
        <v>80052</v>
      </c>
      <c r="B775" s="16" t="s">
        <v>1015</v>
      </c>
      <c r="C775" s="2" t="s">
        <v>951</v>
      </c>
      <c r="D775" s="12">
        <v>52</v>
      </c>
      <c r="E775" s="12">
        <v>8</v>
      </c>
      <c r="F775" s="12">
        <f t="shared" ref="F775:S775" si="784">F415</f>
        <v>52</v>
      </c>
      <c r="G775" s="12">
        <f t="shared" si="784"/>
        <v>20125</v>
      </c>
      <c r="H775" s="12">
        <f t="shared" si="784"/>
        <v>2</v>
      </c>
      <c r="I775" s="12">
        <f t="shared" si="784"/>
        <v>2</v>
      </c>
      <c r="J775" s="12">
        <f t="shared" si="784"/>
        <v>5</v>
      </c>
      <c r="K775" s="12">
        <f t="shared" si="784"/>
        <v>107660367945</v>
      </c>
      <c r="L775" s="12">
        <f t="shared" si="784"/>
        <v>107660367945</v>
      </c>
      <c r="M775" s="12">
        <f t="shared" si="784"/>
        <v>107660367945</v>
      </c>
      <c r="N775" s="12">
        <f t="shared" si="784"/>
        <v>0</v>
      </c>
      <c r="O775" s="12">
        <f t="shared" si="784"/>
        <v>0</v>
      </c>
      <c r="P775" s="12">
        <f t="shared" si="784"/>
        <v>0</v>
      </c>
      <c r="Q775" s="12">
        <f t="shared" si="784"/>
        <v>7.1164885106501196E+20</v>
      </c>
      <c r="R775" s="12">
        <f t="shared" si="784"/>
        <v>0</v>
      </c>
      <c r="S775" s="12">
        <f t="shared" si="784"/>
        <v>60</v>
      </c>
      <c r="T775" s="17" t="s">
        <v>1012</v>
      </c>
    </row>
    <row r="776" spans="1:20" x14ac:dyDescent="0.2">
      <c r="A776" s="12">
        <v>80053</v>
      </c>
      <c r="B776" s="16" t="s">
        <v>1016</v>
      </c>
      <c r="C776" s="2" t="s">
        <v>951</v>
      </c>
      <c r="D776" s="12">
        <v>53</v>
      </c>
      <c r="E776" s="12">
        <v>8</v>
      </c>
      <c r="F776" s="12">
        <f t="shared" ref="F776:S776" si="785">F416</f>
        <v>53</v>
      </c>
      <c r="G776" s="12">
        <f t="shared" si="785"/>
        <v>20175</v>
      </c>
      <c r="H776" s="12">
        <f t="shared" si="785"/>
        <v>1</v>
      </c>
      <c r="I776" s="12">
        <f t="shared" si="785"/>
        <v>2</v>
      </c>
      <c r="J776" s="12">
        <f t="shared" si="785"/>
        <v>5</v>
      </c>
      <c r="K776" s="12">
        <f t="shared" si="785"/>
        <v>118277046610</v>
      </c>
      <c r="L776" s="12">
        <f t="shared" si="785"/>
        <v>118277046610</v>
      </c>
      <c r="M776" s="12">
        <f t="shared" si="785"/>
        <v>118277046610</v>
      </c>
      <c r="N776" s="12">
        <f t="shared" si="785"/>
        <v>0</v>
      </c>
      <c r="O776" s="12">
        <f t="shared" si="785"/>
        <v>0</v>
      </c>
      <c r="P776" s="12">
        <f t="shared" si="785"/>
        <v>0</v>
      </c>
      <c r="Q776" s="12">
        <f t="shared" si="785"/>
        <v>1.7524396436742501E+21</v>
      </c>
      <c r="R776" s="12">
        <f t="shared" si="785"/>
        <v>0</v>
      </c>
      <c r="S776" s="12">
        <f t="shared" si="785"/>
        <v>60</v>
      </c>
      <c r="T776" s="17" t="s">
        <v>1017</v>
      </c>
    </row>
    <row r="777" spans="1:20" x14ac:dyDescent="0.2">
      <c r="A777" s="12">
        <v>80054</v>
      </c>
      <c r="B777" s="16" t="s">
        <v>1018</v>
      </c>
      <c r="C777" s="2" t="s">
        <v>951</v>
      </c>
      <c r="D777" s="12">
        <v>54</v>
      </c>
      <c r="E777" s="12">
        <v>8</v>
      </c>
      <c r="F777" s="12">
        <f t="shared" ref="F777:S777" si="786">F417</f>
        <v>54</v>
      </c>
      <c r="G777" s="12">
        <f t="shared" si="786"/>
        <v>30025</v>
      </c>
      <c r="H777" s="12">
        <f t="shared" si="786"/>
        <v>3</v>
      </c>
      <c r="I777" s="12">
        <f t="shared" si="786"/>
        <v>2</v>
      </c>
      <c r="J777" s="12">
        <f t="shared" si="786"/>
        <v>5</v>
      </c>
      <c r="K777" s="12">
        <f t="shared" si="786"/>
        <v>128666764360</v>
      </c>
      <c r="L777" s="12">
        <f t="shared" si="786"/>
        <v>128666764360</v>
      </c>
      <c r="M777" s="12">
        <f t="shared" si="786"/>
        <v>128666764360</v>
      </c>
      <c r="N777" s="12">
        <f t="shared" si="786"/>
        <v>0</v>
      </c>
      <c r="O777" s="12">
        <f t="shared" si="786"/>
        <v>0</v>
      </c>
      <c r="P777" s="12">
        <f t="shared" si="786"/>
        <v>0</v>
      </c>
      <c r="Q777" s="12">
        <f t="shared" si="786"/>
        <v>2.2101461747248299E+21</v>
      </c>
      <c r="R777" s="12">
        <f t="shared" si="786"/>
        <v>0</v>
      </c>
      <c r="S777" s="12">
        <f t="shared" si="786"/>
        <v>60</v>
      </c>
      <c r="T777" s="17" t="s">
        <v>1017</v>
      </c>
    </row>
    <row r="778" spans="1:20" x14ac:dyDescent="0.2">
      <c r="A778" s="12">
        <v>80055</v>
      </c>
      <c r="B778" s="16" t="s">
        <v>1019</v>
      </c>
      <c r="C778" s="2" t="s">
        <v>951</v>
      </c>
      <c r="D778" s="12">
        <v>55</v>
      </c>
      <c r="E778" s="12">
        <v>8</v>
      </c>
      <c r="F778" s="12">
        <f t="shared" ref="F778:S778" si="787">F418</f>
        <v>55</v>
      </c>
      <c r="G778" s="12">
        <f t="shared" si="787"/>
        <v>30075</v>
      </c>
      <c r="H778" s="12">
        <f t="shared" si="787"/>
        <v>2</v>
      </c>
      <c r="I778" s="12">
        <f t="shared" si="787"/>
        <v>2</v>
      </c>
      <c r="J778" s="12">
        <f t="shared" si="787"/>
        <v>5</v>
      </c>
      <c r="K778" s="12">
        <f t="shared" si="787"/>
        <v>140718989180</v>
      </c>
      <c r="L778" s="12">
        <f t="shared" si="787"/>
        <v>140718989180</v>
      </c>
      <c r="M778" s="12">
        <f t="shared" si="787"/>
        <v>140718989180</v>
      </c>
      <c r="N778" s="12">
        <f t="shared" si="787"/>
        <v>0</v>
      </c>
      <c r="O778" s="12">
        <f t="shared" si="787"/>
        <v>0</v>
      </c>
      <c r="P778" s="12">
        <f t="shared" si="787"/>
        <v>0</v>
      </c>
      <c r="Q778" s="12">
        <f t="shared" si="787"/>
        <v>2.7898641802647998E+21</v>
      </c>
      <c r="R778" s="12">
        <f t="shared" si="787"/>
        <v>0</v>
      </c>
      <c r="S778" s="12">
        <f t="shared" si="787"/>
        <v>60</v>
      </c>
      <c r="T778" s="17" t="s">
        <v>1017</v>
      </c>
    </row>
    <row r="779" spans="1:20" x14ac:dyDescent="0.2">
      <c r="A779" s="12">
        <v>80056</v>
      </c>
      <c r="B779" s="16" t="s">
        <v>1020</v>
      </c>
      <c r="C779" s="2" t="s">
        <v>951</v>
      </c>
      <c r="D779" s="12">
        <v>56</v>
      </c>
      <c r="E779" s="12">
        <v>8</v>
      </c>
      <c r="F779" s="12">
        <f t="shared" ref="F779:S779" si="788">F419</f>
        <v>56</v>
      </c>
      <c r="G779" s="12">
        <f t="shared" si="788"/>
        <v>30125</v>
      </c>
      <c r="H779" s="12">
        <f t="shared" si="788"/>
        <v>1</v>
      </c>
      <c r="I779" s="12">
        <f t="shared" si="788"/>
        <v>2</v>
      </c>
      <c r="J779" s="12">
        <f t="shared" si="788"/>
        <v>5</v>
      </c>
      <c r="K779" s="12">
        <f t="shared" si="788"/>
        <v>152475215170</v>
      </c>
      <c r="L779" s="12">
        <f t="shared" si="788"/>
        <v>152475215170</v>
      </c>
      <c r="M779" s="12">
        <f t="shared" si="788"/>
        <v>152475215170</v>
      </c>
      <c r="N779" s="12">
        <f t="shared" si="788"/>
        <v>0</v>
      </c>
      <c r="O779" s="12">
        <f t="shared" si="788"/>
        <v>0</v>
      </c>
      <c r="P779" s="12">
        <f t="shared" si="788"/>
        <v>0</v>
      </c>
      <c r="Q779" s="12">
        <f t="shared" si="788"/>
        <v>3.4925942661933999E+21</v>
      </c>
      <c r="R779" s="12">
        <f t="shared" si="788"/>
        <v>0</v>
      </c>
      <c r="S779" s="12">
        <f t="shared" si="788"/>
        <v>60</v>
      </c>
      <c r="T779" s="17" t="s">
        <v>1017</v>
      </c>
    </row>
    <row r="780" spans="1:20" x14ac:dyDescent="0.2">
      <c r="A780" s="12">
        <v>80057</v>
      </c>
      <c r="B780" s="16" t="s">
        <v>1021</v>
      </c>
      <c r="C780" s="2" t="s">
        <v>951</v>
      </c>
      <c r="D780" s="12">
        <v>57</v>
      </c>
      <c r="E780" s="12">
        <v>8</v>
      </c>
      <c r="F780" s="12">
        <f t="shared" ref="F780:S780" si="789">F420</f>
        <v>57</v>
      </c>
      <c r="G780" s="12">
        <f t="shared" si="789"/>
        <v>30175</v>
      </c>
      <c r="H780" s="12">
        <f t="shared" si="789"/>
        <v>3</v>
      </c>
      <c r="I780" s="12">
        <f t="shared" si="789"/>
        <v>2</v>
      </c>
      <c r="J780" s="12">
        <f t="shared" si="789"/>
        <v>5</v>
      </c>
      <c r="K780" s="12">
        <f t="shared" si="789"/>
        <v>166757015875</v>
      </c>
      <c r="L780" s="12">
        <f t="shared" si="789"/>
        <v>166757015875</v>
      </c>
      <c r="M780" s="12">
        <f t="shared" si="789"/>
        <v>166757015875</v>
      </c>
      <c r="N780" s="12">
        <f t="shared" si="789"/>
        <v>0</v>
      </c>
      <c r="O780" s="12">
        <f t="shared" si="789"/>
        <v>0</v>
      </c>
      <c r="P780" s="12">
        <f t="shared" si="789"/>
        <v>0</v>
      </c>
      <c r="Q780" s="12">
        <f t="shared" si="789"/>
        <v>4.5149541879004702E+21</v>
      </c>
      <c r="R780" s="12">
        <f t="shared" si="789"/>
        <v>0</v>
      </c>
      <c r="S780" s="12">
        <f t="shared" si="789"/>
        <v>60</v>
      </c>
      <c r="T780" s="17" t="s">
        <v>1022</v>
      </c>
    </row>
    <row r="781" spans="1:20" x14ac:dyDescent="0.2">
      <c r="A781" s="12">
        <v>80058</v>
      </c>
      <c r="B781" s="16" t="s">
        <v>1023</v>
      </c>
      <c r="C781" s="2" t="s">
        <v>951</v>
      </c>
      <c r="D781" s="12">
        <v>58</v>
      </c>
      <c r="E781" s="12">
        <v>8</v>
      </c>
      <c r="F781" s="12">
        <f t="shared" ref="F781:S781" si="790">F421</f>
        <v>58</v>
      </c>
      <c r="G781" s="12">
        <f t="shared" si="790"/>
        <v>40025</v>
      </c>
      <c r="H781" s="12">
        <f t="shared" si="790"/>
        <v>2</v>
      </c>
      <c r="I781" s="12">
        <f t="shared" si="790"/>
        <v>2</v>
      </c>
      <c r="J781" s="12">
        <f t="shared" si="790"/>
        <v>5</v>
      </c>
      <c r="K781" s="12">
        <f t="shared" si="790"/>
        <v>180087885525</v>
      </c>
      <c r="L781" s="12">
        <f t="shared" si="790"/>
        <v>180087885525</v>
      </c>
      <c r="M781" s="12">
        <f t="shared" si="790"/>
        <v>180087885525</v>
      </c>
      <c r="N781" s="12">
        <f t="shared" si="790"/>
        <v>0</v>
      </c>
      <c r="O781" s="12">
        <f t="shared" si="790"/>
        <v>0</v>
      </c>
      <c r="P781" s="12">
        <f t="shared" si="790"/>
        <v>0</v>
      </c>
      <c r="Q781" s="12">
        <f t="shared" si="790"/>
        <v>5.61440124078562E+21</v>
      </c>
      <c r="R781" s="12">
        <f t="shared" si="790"/>
        <v>0</v>
      </c>
      <c r="S781" s="12">
        <f t="shared" si="790"/>
        <v>60</v>
      </c>
      <c r="T781" s="17" t="s">
        <v>1022</v>
      </c>
    </row>
    <row r="782" spans="1:20" x14ac:dyDescent="0.2">
      <c r="A782" s="12">
        <v>80059</v>
      </c>
      <c r="B782" s="16" t="s">
        <v>1024</v>
      </c>
      <c r="C782" s="2" t="s">
        <v>951</v>
      </c>
      <c r="D782" s="12">
        <v>59</v>
      </c>
      <c r="E782" s="12">
        <v>8</v>
      </c>
      <c r="F782" s="12">
        <f t="shared" ref="F782:S782" si="791">F422</f>
        <v>59</v>
      </c>
      <c r="G782" s="12">
        <f t="shared" si="791"/>
        <v>40075</v>
      </c>
      <c r="H782" s="12">
        <f t="shared" si="791"/>
        <v>1</v>
      </c>
      <c r="I782" s="12">
        <f t="shared" si="791"/>
        <v>2</v>
      </c>
      <c r="J782" s="12">
        <f t="shared" si="791"/>
        <v>5</v>
      </c>
      <c r="K782" s="12">
        <f t="shared" si="791"/>
        <v>195581306730</v>
      </c>
      <c r="L782" s="12">
        <f t="shared" si="791"/>
        <v>195581306730</v>
      </c>
      <c r="M782" s="12">
        <f t="shared" si="791"/>
        <v>195581306730</v>
      </c>
      <c r="N782" s="12">
        <f t="shared" si="791"/>
        <v>0</v>
      </c>
      <c r="O782" s="12">
        <f t="shared" si="791"/>
        <v>0</v>
      </c>
      <c r="P782" s="12">
        <f t="shared" si="791"/>
        <v>0</v>
      </c>
      <c r="Q782" s="12">
        <f t="shared" si="791"/>
        <v>7.0016471625807996E+21</v>
      </c>
      <c r="R782" s="12">
        <f t="shared" si="791"/>
        <v>0</v>
      </c>
      <c r="S782" s="12">
        <f t="shared" si="791"/>
        <v>60</v>
      </c>
      <c r="T782" s="17" t="s">
        <v>1022</v>
      </c>
    </row>
    <row r="783" spans="1:20" x14ac:dyDescent="0.2">
      <c r="A783" s="12">
        <v>80060</v>
      </c>
      <c r="B783" s="16" t="s">
        <v>1025</v>
      </c>
      <c r="C783" s="2" t="s">
        <v>951</v>
      </c>
      <c r="D783" s="12">
        <v>60</v>
      </c>
      <c r="E783" s="12">
        <v>8</v>
      </c>
      <c r="F783" s="12">
        <f t="shared" ref="F783:S783" si="792">F423</f>
        <v>60</v>
      </c>
      <c r="G783" s="12">
        <f t="shared" si="792"/>
        <v>40125</v>
      </c>
      <c r="H783" s="12">
        <f t="shared" si="792"/>
        <v>3</v>
      </c>
      <c r="I783" s="12">
        <f t="shared" si="792"/>
        <v>2</v>
      </c>
      <c r="J783" s="12">
        <f t="shared" si="792"/>
        <v>5</v>
      </c>
      <c r="K783" s="12">
        <f t="shared" si="792"/>
        <v>210590038610</v>
      </c>
      <c r="L783" s="12">
        <f t="shared" si="792"/>
        <v>210590038610</v>
      </c>
      <c r="M783" s="12">
        <f t="shared" si="792"/>
        <v>210590038610</v>
      </c>
      <c r="N783" s="12">
        <f t="shared" si="792"/>
        <v>0</v>
      </c>
      <c r="O783" s="12">
        <f t="shared" si="792"/>
        <v>0</v>
      </c>
      <c r="P783" s="12">
        <f t="shared" si="792"/>
        <v>0</v>
      </c>
      <c r="Q783" s="12">
        <f t="shared" si="792"/>
        <v>8.6983560869698003E+21</v>
      </c>
      <c r="R783" s="12">
        <f t="shared" si="792"/>
        <v>0</v>
      </c>
      <c r="S783" s="12">
        <f t="shared" si="792"/>
        <v>60</v>
      </c>
      <c r="T783" s="17" t="s">
        <v>1022</v>
      </c>
    </row>
    <row r="784" spans="1:20" x14ac:dyDescent="0.2">
      <c r="A784" s="12">
        <v>80061</v>
      </c>
      <c r="B784" s="16" t="s">
        <v>1026</v>
      </c>
      <c r="C784" s="2" t="s">
        <v>951</v>
      </c>
      <c r="D784" s="12">
        <v>61</v>
      </c>
      <c r="E784" s="12">
        <v>8</v>
      </c>
      <c r="F784" s="12">
        <f t="shared" ref="F784:S784" si="793">F424</f>
        <v>61</v>
      </c>
      <c r="G784" s="12">
        <f t="shared" si="793"/>
        <v>40175</v>
      </c>
      <c r="H784" s="12">
        <f t="shared" si="793"/>
        <v>2</v>
      </c>
      <c r="I784" s="12">
        <f t="shared" si="793"/>
        <v>2</v>
      </c>
      <c r="J784" s="12">
        <f t="shared" si="793"/>
        <v>5</v>
      </c>
      <c r="K784" s="12">
        <f t="shared" si="793"/>
        <v>380144579500</v>
      </c>
      <c r="L784" s="12">
        <f t="shared" si="793"/>
        <v>380144579500</v>
      </c>
      <c r="M784" s="12">
        <f t="shared" si="793"/>
        <v>380144579500</v>
      </c>
      <c r="N784" s="12">
        <f t="shared" si="793"/>
        <v>0</v>
      </c>
      <c r="O784" s="12">
        <f t="shared" si="793"/>
        <v>0</v>
      </c>
      <c r="P784" s="12">
        <f t="shared" si="793"/>
        <v>0</v>
      </c>
      <c r="Q784" s="12">
        <f t="shared" si="793"/>
        <v>3.4917056376026801E+22</v>
      </c>
      <c r="R784" s="12">
        <f t="shared" si="793"/>
        <v>0</v>
      </c>
      <c r="S784" s="12">
        <f t="shared" si="793"/>
        <v>60</v>
      </c>
      <c r="T784" s="17" t="s">
        <v>1027</v>
      </c>
    </row>
    <row r="785" spans="1:20" x14ac:dyDescent="0.2">
      <c r="A785" s="12">
        <v>80062</v>
      </c>
      <c r="B785" s="16" t="s">
        <v>1028</v>
      </c>
      <c r="C785" s="2" t="s">
        <v>951</v>
      </c>
      <c r="D785" s="12">
        <v>62</v>
      </c>
      <c r="E785" s="12">
        <v>8</v>
      </c>
      <c r="F785" s="12">
        <f t="shared" ref="F785:S785" si="794">F425</f>
        <v>62</v>
      </c>
      <c r="G785" s="12">
        <f t="shared" si="794"/>
        <v>50025</v>
      </c>
      <c r="H785" s="12">
        <f t="shared" si="794"/>
        <v>1</v>
      </c>
      <c r="I785" s="12">
        <f t="shared" si="794"/>
        <v>2</v>
      </c>
      <c r="J785" s="12">
        <f t="shared" si="794"/>
        <v>5</v>
      </c>
      <c r="K785" s="12">
        <f t="shared" si="794"/>
        <v>406254291110</v>
      </c>
      <c r="L785" s="12">
        <f t="shared" si="794"/>
        <v>406254291110</v>
      </c>
      <c r="M785" s="12">
        <f t="shared" si="794"/>
        <v>406254291110</v>
      </c>
      <c r="N785" s="12">
        <f t="shared" si="794"/>
        <v>0</v>
      </c>
      <c r="O785" s="12">
        <f t="shared" si="794"/>
        <v>0</v>
      </c>
      <c r="P785" s="12">
        <f t="shared" si="794"/>
        <v>0</v>
      </c>
      <c r="Q785" s="12">
        <f t="shared" si="794"/>
        <v>4.2337243088893797E+22</v>
      </c>
      <c r="R785" s="12">
        <f t="shared" si="794"/>
        <v>0</v>
      </c>
      <c r="S785" s="12">
        <f t="shared" si="794"/>
        <v>60</v>
      </c>
      <c r="T785" s="17" t="s">
        <v>1027</v>
      </c>
    </row>
    <row r="786" spans="1:20" x14ac:dyDescent="0.2">
      <c r="A786" s="12">
        <v>80063</v>
      </c>
      <c r="B786" s="16" t="s">
        <v>1029</v>
      </c>
      <c r="C786" s="2" t="s">
        <v>951</v>
      </c>
      <c r="D786" s="12">
        <v>63</v>
      </c>
      <c r="E786" s="12">
        <v>8</v>
      </c>
      <c r="F786" s="12">
        <f t="shared" ref="F786:S786" si="795">F426</f>
        <v>63</v>
      </c>
      <c r="G786" s="12">
        <f t="shared" si="795"/>
        <v>50075</v>
      </c>
      <c r="H786" s="12">
        <f t="shared" si="795"/>
        <v>3</v>
      </c>
      <c r="I786" s="12">
        <f t="shared" si="795"/>
        <v>2</v>
      </c>
      <c r="J786" s="12">
        <f t="shared" si="795"/>
        <v>5</v>
      </c>
      <c r="K786" s="12">
        <f t="shared" si="795"/>
        <v>436597890710</v>
      </c>
      <c r="L786" s="12">
        <f t="shared" si="795"/>
        <v>436597890710</v>
      </c>
      <c r="M786" s="12">
        <f t="shared" si="795"/>
        <v>436597890710</v>
      </c>
      <c r="N786" s="12">
        <f t="shared" si="795"/>
        <v>0</v>
      </c>
      <c r="O786" s="12">
        <f t="shared" si="795"/>
        <v>0</v>
      </c>
      <c r="P786" s="12">
        <f t="shared" si="795"/>
        <v>0</v>
      </c>
      <c r="Q786" s="12">
        <f t="shared" si="795"/>
        <v>5.1416847673219697E+22</v>
      </c>
      <c r="R786" s="12">
        <f t="shared" si="795"/>
        <v>0</v>
      </c>
      <c r="S786" s="12">
        <f t="shared" si="795"/>
        <v>60</v>
      </c>
      <c r="T786" s="17" t="s">
        <v>1027</v>
      </c>
    </row>
    <row r="787" spans="1:20" x14ac:dyDescent="0.2">
      <c r="A787" s="12">
        <v>80064</v>
      </c>
      <c r="B787" s="16" t="s">
        <v>1030</v>
      </c>
      <c r="C787" s="2" t="s">
        <v>951</v>
      </c>
      <c r="D787" s="12">
        <v>64</v>
      </c>
      <c r="E787" s="12">
        <v>8</v>
      </c>
      <c r="F787" s="12">
        <f t="shared" ref="F787:S787" si="796">F427</f>
        <v>64</v>
      </c>
      <c r="G787" s="12">
        <f t="shared" si="796"/>
        <v>10065</v>
      </c>
      <c r="H787" s="12">
        <f t="shared" si="796"/>
        <v>2</v>
      </c>
      <c r="I787" s="12">
        <f t="shared" si="796"/>
        <v>2</v>
      </c>
      <c r="J787" s="12">
        <f t="shared" si="796"/>
        <v>5</v>
      </c>
      <c r="K787" s="12">
        <f t="shared" si="796"/>
        <v>465641810800</v>
      </c>
      <c r="L787" s="12">
        <f t="shared" si="796"/>
        <v>465641810800</v>
      </c>
      <c r="M787" s="12">
        <f t="shared" si="796"/>
        <v>465641810800</v>
      </c>
      <c r="N787" s="12">
        <f t="shared" si="796"/>
        <v>0</v>
      </c>
      <c r="O787" s="12">
        <f t="shared" si="796"/>
        <v>0</v>
      </c>
      <c r="P787" s="12">
        <f t="shared" si="796"/>
        <v>0</v>
      </c>
      <c r="Q787" s="12">
        <f t="shared" si="796"/>
        <v>6.2095043642641198E+22</v>
      </c>
      <c r="R787" s="12">
        <f t="shared" si="796"/>
        <v>0</v>
      </c>
      <c r="S787" s="12">
        <f t="shared" si="796"/>
        <v>60</v>
      </c>
      <c r="T787" s="17" t="s">
        <v>1027</v>
      </c>
    </row>
    <row r="788" spans="1:20" x14ac:dyDescent="0.2">
      <c r="A788" s="12">
        <v>80065</v>
      </c>
      <c r="B788" s="16" t="s">
        <v>1031</v>
      </c>
      <c r="C788" s="2" t="s">
        <v>951</v>
      </c>
      <c r="D788" s="12">
        <v>65</v>
      </c>
      <c r="E788" s="12">
        <v>8</v>
      </c>
      <c r="F788" s="12">
        <f t="shared" ref="F788:S788" si="797">F428</f>
        <v>65</v>
      </c>
      <c r="G788" s="12">
        <f t="shared" si="797"/>
        <v>10115</v>
      </c>
      <c r="H788" s="12">
        <f t="shared" si="797"/>
        <v>1</v>
      </c>
      <c r="I788" s="12">
        <f t="shared" si="797"/>
        <v>2</v>
      </c>
      <c r="J788" s="12">
        <f t="shared" si="797"/>
        <v>5</v>
      </c>
      <c r="K788" s="12">
        <f t="shared" si="797"/>
        <v>547117431495</v>
      </c>
      <c r="L788" s="12">
        <f t="shared" si="797"/>
        <v>547117431495</v>
      </c>
      <c r="M788" s="12">
        <f t="shared" si="797"/>
        <v>547117431495</v>
      </c>
      <c r="N788" s="12">
        <f t="shared" si="797"/>
        <v>0</v>
      </c>
      <c r="O788" s="12">
        <f t="shared" si="797"/>
        <v>0</v>
      </c>
      <c r="P788" s="12">
        <f t="shared" si="797"/>
        <v>0</v>
      </c>
      <c r="Q788" s="12">
        <f t="shared" si="797"/>
        <v>7.8202588154703806E+22</v>
      </c>
      <c r="R788" s="12">
        <f t="shared" si="797"/>
        <v>0</v>
      </c>
      <c r="S788" s="12">
        <f t="shared" si="797"/>
        <v>60</v>
      </c>
      <c r="T788" s="17" t="s">
        <v>1032</v>
      </c>
    </row>
    <row r="789" spans="1:20" x14ac:dyDescent="0.2">
      <c r="A789" s="12">
        <v>80066</v>
      </c>
      <c r="B789" s="16" t="s">
        <v>1033</v>
      </c>
      <c r="C789" s="2" t="s">
        <v>951</v>
      </c>
      <c r="D789" s="12">
        <v>66</v>
      </c>
      <c r="E789" s="12">
        <v>8</v>
      </c>
      <c r="F789" s="12">
        <f t="shared" ref="F789:S789" si="798">F429</f>
        <v>66</v>
      </c>
      <c r="G789" s="12">
        <f t="shared" si="798"/>
        <v>10165</v>
      </c>
      <c r="H789" s="12">
        <f t="shared" si="798"/>
        <v>3</v>
      </c>
      <c r="I789" s="12">
        <f t="shared" si="798"/>
        <v>2</v>
      </c>
      <c r="J789" s="12">
        <f t="shared" si="798"/>
        <v>5</v>
      </c>
      <c r="K789" s="12">
        <f t="shared" si="798"/>
        <v>582928054315</v>
      </c>
      <c r="L789" s="12">
        <f t="shared" si="798"/>
        <v>582928054315</v>
      </c>
      <c r="M789" s="12">
        <f t="shared" si="798"/>
        <v>582928054315</v>
      </c>
      <c r="N789" s="12">
        <f t="shared" si="798"/>
        <v>0</v>
      </c>
      <c r="O789" s="12">
        <f t="shared" si="798"/>
        <v>0</v>
      </c>
      <c r="P789" s="12">
        <f t="shared" si="798"/>
        <v>0</v>
      </c>
      <c r="Q789" s="12">
        <f t="shared" si="798"/>
        <v>9.42776497330198E+22</v>
      </c>
      <c r="R789" s="12">
        <f t="shared" si="798"/>
        <v>0</v>
      </c>
      <c r="S789" s="12">
        <f t="shared" si="798"/>
        <v>60</v>
      </c>
      <c r="T789" s="17" t="s">
        <v>1032</v>
      </c>
    </row>
    <row r="790" spans="1:20" x14ac:dyDescent="0.2">
      <c r="A790" s="12">
        <v>80067</v>
      </c>
      <c r="B790" s="16" t="s">
        <v>1034</v>
      </c>
      <c r="C790" s="2" t="s">
        <v>951</v>
      </c>
      <c r="D790" s="12">
        <v>67</v>
      </c>
      <c r="E790" s="12">
        <v>8</v>
      </c>
      <c r="F790" s="12">
        <f t="shared" ref="F790:S790" si="799">F430</f>
        <v>67</v>
      </c>
      <c r="G790" s="12">
        <f t="shared" si="799"/>
        <v>20015</v>
      </c>
      <c r="H790" s="12">
        <f t="shared" si="799"/>
        <v>2</v>
      </c>
      <c r="I790" s="12">
        <f t="shared" si="799"/>
        <v>2</v>
      </c>
      <c r="J790" s="12">
        <f t="shared" si="799"/>
        <v>5</v>
      </c>
      <c r="K790" s="12">
        <f t="shared" si="799"/>
        <v>624574908810</v>
      </c>
      <c r="L790" s="12">
        <f t="shared" si="799"/>
        <v>624574908810</v>
      </c>
      <c r="M790" s="12">
        <f t="shared" si="799"/>
        <v>624574908810</v>
      </c>
      <c r="N790" s="12">
        <f t="shared" si="799"/>
        <v>0</v>
      </c>
      <c r="O790" s="12">
        <f t="shared" si="799"/>
        <v>0</v>
      </c>
      <c r="P790" s="12">
        <f t="shared" si="799"/>
        <v>0</v>
      </c>
      <c r="Q790" s="12">
        <f t="shared" si="799"/>
        <v>1.13882481298603E+23</v>
      </c>
      <c r="R790" s="12">
        <f t="shared" si="799"/>
        <v>0</v>
      </c>
      <c r="S790" s="12">
        <f t="shared" si="799"/>
        <v>60</v>
      </c>
      <c r="T790" s="17" t="s">
        <v>1032</v>
      </c>
    </row>
    <row r="791" spans="1:20" x14ac:dyDescent="0.2">
      <c r="A791" s="12">
        <v>80068</v>
      </c>
      <c r="B791" s="16" t="s">
        <v>1035</v>
      </c>
      <c r="C791" s="2" t="s">
        <v>951</v>
      </c>
      <c r="D791" s="12">
        <v>68</v>
      </c>
      <c r="E791" s="12">
        <v>8</v>
      </c>
      <c r="F791" s="12">
        <f t="shared" ref="F791:S791" si="800">F431</f>
        <v>68</v>
      </c>
      <c r="G791" s="12">
        <f t="shared" si="800"/>
        <v>20065</v>
      </c>
      <c r="H791" s="12">
        <f t="shared" si="800"/>
        <v>1</v>
      </c>
      <c r="I791" s="12">
        <f t="shared" si="800"/>
        <v>2</v>
      </c>
      <c r="J791" s="12">
        <f t="shared" si="800"/>
        <v>5</v>
      </c>
      <c r="K791" s="12">
        <f t="shared" si="800"/>
        <v>664250592050</v>
      </c>
      <c r="L791" s="12">
        <f t="shared" si="800"/>
        <v>664250592050</v>
      </c>
      <c r="M791" s="12">
        <f t="shared" si="800"/>
        <v>664250592050</v>
      </c>
      <c r="N791" s="12">
        <f t="shared" si="800"/>
        <v>0</v>
      </c>
      <c r="O791" s="12">
        <f t="shared" si="800"/>
        <v>0</v>
      </c>
      <c r="P791" s="12">
        <f t="shared" si="800"/>
        <v>0</v>
      </c>
      <c r="Q791" s="12">
        <f t="shared" si="800"/>
        <v>1.3685466632864499E+23</v>
      </c>
      <c r="R791" s="12">
        <f t="shared" si="800"/>
        <v>0</v>
      </c>
      <c r="S791" s="12">
        <f t="shared" si="800"/>
        <v>60</v>
      </c>
      <c r="T791" s="17" t="s">
        <v>1032</v>
      </c>
    </row>
    <row r="792" spans="1:20" x14ac:dyDescent="0.2">
      <c r="A792" s="12">
        <v>80069</v>
      </c>
      <c r="B792" s="16" t="s">
        <v>1036</v>
      </c>
      <c r="C792" s="2" t="s">
        <v>951</v>
      </c>
      <c r="D792" s="12">
        <v>69</v>
      </c>
      <c r="E792" s="12">
        <v>8</v>
      </c>
      <c r="F792" s="12">
        <f t="shared" ref="F792:S792" si="801">F432</f>
        <v>69</v>
      </c>
      <c r="G792" s="12">
        <f t="shared" si="801"/>
        <v>20115</v>
      </c>
      <c r="H792" s="12">
        <f t="shared" si="801"/>
        <v>3</v>
      </c>
      <c r="I792" s="12">
        <f t="shared" si="801"/>
        <v>2</v>
      </c>
      <c r="J792" s="12">
        <f t="shared" si="801"/>
        <v>5</v>
      </c>
      <c r="K792" s="12">
        <f t="shared" si="801"/>
        <v>710540723350</v>
      </c>
      <c r="L792" s="12">
        <f t="shared" si="801"/>
        <v>710540723350</v>
      </c>
      <c r="M792" s="12">
        <f t="shared" si="801"/>
        <v>710540723350</v>
      </c>
      <c r="N792" s="12">
        <f t="shared" si="801"/>
        <v>0</v>
      </c>
      <c r="O792" s="12">
        <f t="shared" si="801"/>
        <v>0</v>
      </c>
      <c r="P792" s="12">
        <f t="shared" si="801"/>
        <v>0</v>
      </c>
      <c r="Q792" s="12">
        <f t="shared" si="801"/>
        <v>1.64819605967886E+23</v>
      </c>
      <c r="R792" s="12">
        <f t="shared" si="801"/>
        <v>0</v>
      </c>
      <c r="S792" s="12">
        <f t="shared" si="801"/>
        <v>60</v>
      </c>
      <c r="T792" s="17" t="s">
        <v>1037</v>
      </c>
    </row>
    <row r="793" spans="1:20" x14ac:dyDescent="0.2">
      <c r="A793" s="12">
        <v>80070</v>
      </c>
      <c r="B793" s="16" t="s">
        <v>1038</v>
      </c>
      <c r="C793" s="2" t="s">
        <v>951</v>
      </c>
      <c r="D793" s="12">
        <v>70</v>
      </c>
      <c r="E793" s="12">
        <v>8</v>
      </c>
      <c r="F793" s="12">
        <f t="shared" ref="F793:S793" si="802">F433</f>
        <v>70</v>
      </c>
      <c r="G793" s="12">
        <f t="shared" si="802"/>
        <v>20165</v>
      </c>
      <c r="H793" s="12">
        <f t="shared" si="802"/>
        <v>2</v>
      </c>
      <c r="I793" s="12">
        <f t="shared" si="802"/>
        <v>2</v>
      </c>
      <c r="J793" s="12">
        <f t="shared" si="802"/>
        <v>5</v>
      </c>
      <c r="K793" s="12">
        <f t="shared" si="802"/>
        <v>754588569150</v>
      </c>
      <c r="L793" s="12">
        <f t="shared" si="802"/>
        <v>754588569150</v>
      </c>
      <c r="M793" s="12">
        <f t="shared" si="802"/>
        <v>754588569150</v>
      </c>
      <c r="N793" s="12">
        <f t="shared" si="802"/>
        <v>0</v>
      </c>
      <c r="O793" s="12">
        <f t="shared" si="802"/>
        <v>0</v>
      </c>
      <c r="P793" s="12">
        <f t="shared" si="802"/>
        <v>0</v>
      </c>
      <c r="Q793" s="12">
        <f t="shared" si="802"/>
        <v>1.9741355213334801E+23</v>
      </c>
      <c r="R793" s="12">
        <f t="shared" si="802"/>
        <v>0</v>
      </c>
      <c r="S793" s="12">
        <f t="shared" si="802"/>
        <v>60</v>
      </c>
      <c r="T793" s="17" t="s">
        <v>1037</v>
      </c>
    </row>
    <row r="794" spans="1:20" x14ac:dyDescent="0.2">
      <c r="A794" s="12">
        <v>80071</v>
      </c>
      <c r="B794" s="16" t="s">
        <v>1039</v>
      </c>
      <c r="C794" s="2" t="s">
        <v>951</v>
      </c>
      <c r="D794" s="12">
        <v>71</v>
      </c>
      <c r="E794" s="12">
        <v>8</v>
      </c>
      <c r="F794" s="12">
        <f t="shared" ref="F794:S794" si="803">F434</f>
        <v>71</v>
      </c>
      <c r="G794" s="12">
        <f t="shared" si="803"/>
        <v>30015</v>
      </c>
      <c r="H794" s="12">
        <f t="shared" si="803"/>
        <v>1</v>
      </c>
      <c r="I794" s="12">
        <f t="shared" si="803"/>
        <v>2</v>
      </c>
      <c r="J794" s="12">
        <f t="shared" si="803"/>
        <v>5</v>
      </c>
      <c r="K794" s="12">
        <f t="shared" si="803"/>
        <v>805881371825</v>
      </c>
      <c r="L794" s="12">
        <f t="shared" si="803"/>
        <v>805881371825</v>
      </c>
      <c r="M794" s="12">
        <f t="shared" si="803"/>
        <v>805881371825</v>
      </c>
      <c r="N794" s="12">
        <f t="shared" si="803"/>
        <v>0</v>
      </c>
      <c r="O794" s="12">
        <f t="shared" si="803"/>
        <v>0</v>
      </c>
      <c r="P794" s="12">
        <f t="shared" si="803"/>
        <v>0</v>
      </c>
      <c r="Q794" s="12">
        <f t="shared" si="803"/>
        <v>2.3700701263284499E+23</v>
      </c>
      <c r="R794" s="12">
        <f t="shared" si="803"/>
        <v>0</v>
      </c>
      <c r="S794" s="12">
        <f t="shared" si="803"/>
        <v>60</v>
      </c>
      <c r="T794" s="17" t="s">
        <v>1037</v>
      </c>
    </row>
    <row r="795" spans="1:20" x14ac:dyDescent="0.2">
      <c r="A795" s="12">
        <v>80072</v>
      </c>
      <c r="B795" s="16" t="s">
        <v>1040</v>
      </c>
      <c r="C795" s="2" t="s">
        <v>951</v>
      </c>
      <c r="D795" s="12">
        <v>72</v>
      </c>
      <c r="E795" s="12">
        <v>8</v>
      </c>
      <c r="F795" s="12">
        <f t="shared" ref="F795:S795" si="804">F435</f>
        <v>72</v>
      </c>
      <c r="G795" s="12">
        <f t="shared" si="804"/>
        <v>30065</v>
      </c>
      <c r="H795" s="12">
        <f t="shared" si="804"/>
        <v>3</v>
      </c>
      <c r="I795" s="12">
        <f t="shared" si="804"/>
        <v>2</v>
      </c>
      <c r="J795" s="12">
        <f t="shared" si="804"/>
        <v>5</v>
      </c>
      <c r="K795" s="12">
        <f t="shared" si="804"/>
        <v>849349846460</v>
      </c>
      <c r="L795" s="12">
        <f t="shared" si="804"/>
        <v>849349846460</v>
      </c>
      <c r="M795" s="12">
        <f t="shared" si="804"/>
        <v>849349846460</v>
      </c>
      <c r="N795" s="12">
        <f t="shared" si="804"/>
        <v>0</v>
      </c>
      <c r="O795" s="12">
        <f t="shared" si="804"/>
        <v>0</v>
      </c>
      <c r="P795" s="12">
        <f t="shared" si="804"/>
        <v>0</v>
      </c>
      <c r="Q795" s="12">
        <f t="shared" si="804"/>
        <v>2.8020918789288E+23</v>
      </c>
      <c r="R795" s="12">
        <f t="shared" si="804"/>
        <v>0</v>
      </c>
      <c r="S795" s="12">
        <f t="shared" si="804"/>
        <v>60</v>
      </c>
      <c r="T795" s="17" t="s">
        <v>1037</v>
      </c>
    </row>
    <row r="796" spans="1:20" x14ac:dyDescent="0.2">
      <c r="A796" s="12">
        <v>80073</v>
      </c>
      <c r="B796" s="16" t="s">
        <v>1041</v>
      </c>
      <c r="C796" s="2" t="s">
        <v>951</v>
      </c>
      <c r="D796" s="12">
        <v>73</v>
      </c>
      <c r="E796" s="12">
        <v>8</v>
      </c>
      <c r="F796" s="12">
        <f t="shared" ref="F796:S796" si="805">F436</f>
        <v>73</v>
      </c>
      <c r="G796" s="12">
        <f t="shared" si="805"/>
        <v>30115</v>
      </c>
      <c r="H796" s="12">
        <f t="shared" si="805"/>
        <v>2</v>
      </c>
      <c r="I796" s="12">
        <f t="shared" si="805"/>
        <v>2</v>
      </c>
      <c r="J796" s="12">
        <f t="shared" si="805"/>
        <v>5</v>
      </c>
      <c r="K796" s="12">
        <f t="shared" si="805"/>
        <v>904812627005</v>
      </c>
      <c r="L796" s="12">
        <f t="shared" si="805"/>
        <v>904812627005</v>
      </c>
      <c r="M796" s="12">
        <f t="shared" si="805"/>
        <v>904812627005</v>
      </c>
      <c r="N796" s="12">
        <f t="shared" si="805"/>
        <v>0</v>
      </c>
      <c r="O796" s="12">
        <f t="shared" si="805"/>
        <v>0</v>
      </c>
      <c r="P796" s="12">
        <f t="shared" si="805"/>
        <v>0</v>
      </c>
      <c r="Q796" s="12">
        <f t="shared" si="805"/>
        <v>3.4512116020382499E+23</v>
      </c>
      <c r="R796" s="12">
        <f t="shared" si="805"/>
        <v>0</v>
      </c>
      <c r="S796" s="12">
        <f t="shared" si="805"/>
        <v>60</v>
      </c>
      <c r="T796" s="17" t="s">
        <v>1042</v>
      </c>
    </row>
    <row r="797" spans="1:20" x14ac:dyDescent="0.2">
      <c r="A797" s="12">
        <v>80074</v>
      </c>
      <c r="B797" s="16" t="s">
        <v>1043</v>
      </c>
      <c r="C797" s="2" t="s">
        <v>951</v>
      </c>
      <c r="D797" s="12">
        <v>74</v>
      </c>
      <c r="E797" s="12">
        <v>8</v>
      </c>
      <c r="F797" s="12">
        <f t="shared" ref="F797:S797" si="806">F437</f>
        <v>74</v>
      </c>
      <c r="G797" s="12">
        <f t="shared" si="806"/>
        <v>30165</v>
      </c>
      <c r="H797" s="12">
        <f t="shared" si="806"/>
        <v>1</v>
      </c>
      <c r="I797" s="12">
        <f t="shared" si="806"/>
        <v>2</v>
      </c>
      <c r="J797" s="12">
        <f t="shared" si="806"/>
        <v>5</v>
      </c>
      <c r="K797" s="12">
        <f t="shared" si="806"/>
        <v>952363500030</v>
      </c>
      <c r="L797" s="12">
        <f t="shared" si="806"/>
        <v>952363500030</v>
      </c>
      <c r="M797" s="12">
        <f t="shared" si="806"/>
        <v>952363500030</v>
      </c>
      <c r="N797" s="12">
        <f t="shared" si="806"/>
        <v>0</v>
      </c>
      <c r="O797" s="12">
        <f t="shared" si="806"/>
        <v>0</v>
      </c>
      <c r="P797" s="12">
        <f t="shared" si="806"/>
        <v>0</v>
      </c>
      <c r="Q797" s="12">
        <f t="shared" si="806"/>
        <v>4.0672903940712002E+23</v>
      </c>
      <c r="R797" s="12">
        <f t="shared" si="806"/>
        <v>0</v>
      </c>
      <c r="S797" s="12">
        <f t="shared" si="806"/>
        <v>60</v>
      </c>
      <c r="T797" s="17" t="s">
        <v>1042</v>
      </c>
    </row>
    <row r="798" spans="1:20" x14ac:dyDescent="0.2">
      <c r="A798" s="12">
        <v>80075</v>
      </c>
      <c r="B798" s="16" t="s">
        <v>1044</v>
      </c>
      <c r="C798" s="2" t="s">
        <v>951</v>
      </c>
      <c r="D798" s="12">
        <v>75</v>
      </c>
      <c r="E798" s="12">
        <v>8</v>
      </c>
      <c r="F798" s="12">
        <f t="shared" ref="F798:S798" si="807">F438</f>
        <v>75</v>
      </c>
      <c r="G798" s="12">
        <f t="shared" si="807"/>
        <v>40015</v>
      </c>
      <c r="H798" s="12">
        <f t="shared" si="807"/>
        <v>3</v>
      </c>
      <c r="I798" s="12">
        <f t="shared" si="807"/>
        <v>2</v>
      </c>
      <c r="J798" s="12">
        <f t="shared" si="807"/>
        <v>5</v>
      </c>
      <c r="K798" s="12">
        <f t="shared" si="807"/>
        <v>1008111382920</v>
      </c>
      <c r="L798" s="12">
        <f t="shared" si="807"/>
        <v>1008111382920</v>
      </c>
      <c r="M798" s="12">
        <f t="shared" si="807"/>
        <v>1008111382920</v>
      </c>
      <c r="N798" s="12">
        <f t="shared" si="807"/>
        <v>0</v>
      </c>
      <c r="O798" s="12">
        <f t="shared" si="807"/>
        <v>0</v>
      </c>
      <c r="P798" s="12">
        <f t="shared" si="807"/>
        <v>0</v>
      </c>
      <c r="Q798" s="12">
        <f t="shared" si="807"/>
        <v>4.8075464821218798E+23</v>
      </c>
      <c r="R798" s="12">
        <f t="shared" si="807"/>
        <v>0</v>
      </c>
      <c r="S798" s="12">
        <f t="shared" si="807"/>
        <v>60</v>
      </c>
      <c r="T798" s="17" t="s">
        <v>1042</v>
      </c>
    </row>
    <row r="799" spans="1:20" x14ac:dyDescent="0.2">
      <c r="A799" s="12">
        <v>80076</v>
      </c>
      <c r="B799" s="16" t="s">
        <v>1045</v>
      </c>
      <c r="C799" s="2" t="s">
        <v>951</v>
      </c>
      <c r="D799" s="12">
        <v>76</v>
      </c>
      <c r="E799" s="12">
        <v>8</v>
      </c>
      <c r="F799" s="12">
        <f t="shared" ref="F799:S799" si="808">F439</f>
        <v>76</v>
      </c>
      <c r="G799" s="12">
        <f t="shared" si="808"/>
        <v>40065</v>
      </c>
      <c r="H799" s="12">
        <f t="shared" si="808"/>
        <v>2</v>
      </c>
      <c r="I799" s="12">
        <f t="shared" si="808"/>
        <v>2</v>
      </c>
      <c r="J799" s="12">
        <f t="shared" si="808"/>
        <v>5</v>
      </c>
      <c r="K799" s="12">
        <f t="shared" si="808"/>
        <v>1059810100115</v>
      </c>
      <c r="L799" s="12">
        <f t="shared" si="808"/>
        <v>1059810100115</v>
      </c>
      <c r="M799" s="12">
        <f t="shared" si="808"/>
        <v>1059810100115</v>
      </c>
      <c r="N799" s="12">
        <f t="shared" si="808"/>
        <v>0</v>
      </c>
      <c r="O799" s="12">
        <f t="shared" si="808"/>
        <v>0</v>
      </c>
      <c r="P799" s="12">
        <f t="shared" si="808"/>
        <v>0</v>
      </c>
      <c r="Q799" s="12">
        <f t="shared" si="808"/>
        <v>5.65212178883448E+23</v>
      </c>
      <c r="R799" s="12">
        <f t="shared" si="808"/>
        <v>0</v>
      </c>
      <c r="S799" s="12">
        <f t="shared" si="808"/>
        <v>60</v>
      </c>
      <c r="T799" s="17" t="s">
        <v>1042</v>
      </c>
    </row>
    <row r="800" spans="1:20" x14ac:dyDescent="0.2">
      <c r="A800" s="12">
        <v>80077</v>
      </c>
      <c r="B800" s="16" t="s">
        <v>1046</v>
      </c>
      <c r="C800" s="2" t="s">
        <v>951</v>
      </c>
      <c r="D800" s="12">
        <v>77</v>
      </c>
      <c r="E800" s="12">
        <v>8</v>
      </c>
      <c r="F800" s="12">
        <f t="shared" ref="F800:S800" si="809">F440</f>
        <v>77</v>
      </c>
      <c r="G800" s="12">
        <f t="shared" si="809"/>
        <v>40115</v>
      </c>
      <c r="H800" s="12">
        <f t="shared" si="809"/>
        <v>1</v>
      </c>
      <c r="I800" s="12">
        <f t="shared" si="809"/>
        <v>2</v>
      </c>
      <c r="J800" s="12">
        <f t="shared" si="809"/>
        <v>6</v>
      </c>
      <c r="K800" s="12">
        <f t="shared" si="809"/>
        <v>1134628706000</v>
      </c>
      <c r="L800" s="12">
        <f t="shared" si="809"/>
        <v>1134628706000</v>
      </c>
      <c r="M800" s="12">
        <f t="shared" si="809"/>
        <v>1134628706000</v>
      </c>
      <c r="N800" s="12">
        <f t="shared" si="809"/>
        <v>0</v>
      </c>
      <c r="O800" s="12">
        <f t="shared" si="809"/>
        <v>0</v>
      </c>
      <c r="P800" s="12">
        <f t="shared" si="809"/>
        <v>0</v>
      </c>
      <c r="Q800" s="12">
        <f t="shared" si="809"/>
        <v>7.8219779662600306E+23</v>
      </c>
      <c r="R800" s="12">
        <f t="shared" si="809"/>
        <v>0</v>
      </c>
      <c r="S800" s="12">
        <f t="shared" si="809"/>
        <v>60</v>
      </c>
      <c r="T800" s="17" t="s">
        <v>1047</v>
      </c>
    </row>
    <row r="801" spans="1:20" x14ac:dyDescent="0.2">
      <c r="A801" s="12">
        <v>80078</v>
      </c>
      <c r="B801" s="16" t="s">
        <v>1048</v>
      </c>
      <c r="C801" s="2" t="s">
        <v>951</v>
      </c>
      <c r="D801" s="12">
        <v>78</v>
      </c>
      <c r="E801" s="12">
        <v>8</v>
      </c>
      <c r="F801" s="12">
        <f t="shared" ref="F801:S801" si="810">F441</f>
        <v>78</v>
      </c>
      <c r="G801" s="12">
        <f t="shared" si="810"/>
        <v>40165</v>
      </c>
      <c r="H801" s="12">
        <f t="shared" si="810"/>
        <v>3</v>
      </c>
      <c r="I801" s="12">
        <f t="shared" si="810"/>
        <v>2</v>
      </c>
      <c r="J801" s="12">
        <f t="shared" si="810"/>
        <v>6</v>
      </c>
      <c r="K801" s="12">
        <f t="shared" si="810"/>
        <v>1205945077255</v>
      </c>
      <c r="L801" s="12">
        <f t="shared" si="810"/>
        <v>1205945077255</v>
      </c>
      <c r="M801" s="12">
        <f t="shared" si="810"/>
        <v>1205945077255</v>
      </c>
      <c r="N801" s="12">
        <f t="shared" si="810"/>
        <v>0</v>
      </c>
      <c r="O801" s="12">
        <f t="shared" si="810"/>
        <v>0</v>
      </c>
      <c r="P801" s="12">
        <f t="shared" si="810"/>
        <v>0</v>
      </c>
      <c r="Q801" s="12">
        <f t="shared" si="810"/>
        <v>9.55255852469745E+23</v>
      </c>
      <c r="R801" s="12">
        <f t="shared" si="810"/>
        <v>0</v>
      </c>
      <c r="S801" s="12">
        <f t="shared" si="810"/>
        <v>60</v>
      </c>
      <c r="T801" s="17" t="s">
        <v>1047</v>
      </c>
    </row>
    <row r="802" spans="1:20" x14ac:dyDescent="0.2">
      <c r="A802" s="12">
        <v>80079</v>
      </c>
      <c r="B802" s="16" t="s">
        <v>1049</v>
      </c>
      <c r="C802" s="2" t="s">
        <v>951</v>
      </c>
      <c r="D802" s="12">
        <v>79</v>
      </c>
      <c r="E802" s="12">
        <v>8</v>
      </c>
      <c r="F802" s="12">
        <f t="shared" ref="F802:S802" si="811">F442</f>
        <v>79</v>
      </c>
      <c r="G802" s="12">
        <f t="shared" si="811"/>
        <v>50015</v>
      </c>
      <c r="H802" s="12">
        <f t="shared" si="811"/>
        <v>2</v>
      </c>
      <c r="I802" s="12">
        <f t="shared" si="811"/>
        <v>2</v>
      </c>
      <c r="J802" s="12">
        <f t="shared" si="811"/>
        <v>6</v>
      </c>
      <c r="K802" s="12">
        <f t="shared" si="811"/>
        <v>1294309474850</v>
      </c>
      <c r="L802" s="12">
        <f t="shared" si="811"/>
        <v>1294309474850</v>
      </c>
      <c r="M802" s="12">
        <f t="shared" si="811"/>
        <v>1294309474850</v>
      </c>
      <c r="N802" s="12">
        <f t="shared" si="811"/>
        <v>0</v>
      </c>
      <c r="O802" s="12">
        <f t="shared" si="811"/>
        <v>0</v>
      </c>
      <c r="P802" s="12">
        <f t="shared" si="811"/>
        <v>0</v>
      </c>
      <c r="Q802" s="12">
        <f t="shared" si="811"/>
        <v>1.1914452634738601E+24</v>
      </c>
      <c r="R802" s="12">
        <f t="shared" si="811"/>
        <v>0</v>
      </c>
      <c r="S802" s="12">
        <f t="shared" si="811"/>
        <v>60</v>
      </c>
      <c r="T802" s="17" t="s">
        <v>1047</v>
      </c>
    </row>
    <row r="803" spans="1:20" x14ac:dyDescent="0.2">
      <c r="A803" s="12">
        <v>80080</v>
      </c>
      <c r="B803" s="16" t="s">
        <v>1050</v>
      </c>
      <c r="C803" s="2" t="s">
        <v>951</v>
      </c>
      <c r="D803" s="12">
        <v>80</v>
      </c>
      <c r="E803" s="12">
        <v>8</v>
      </c>
      <c r="F803" s="12">
        <f t="shared" ref="F803:S803" si="812">F443</f>
        <v>80</v>
      </c>
      <c r="G803" s="12">
        <f t="shared" si="812"/>
        <v>50065</v>
      </c>
      <c r="H803" s="12">
        <f t="shared" si="812"/>
        <v>1</v>
      </c>
      <c r="I803" s="12">
        <f t="shared" si="812"/>
        <v>2</v>
      </c>
      <c r="J803" s="12">
        <f t="shared" si="812"/>
        <v>6</v>
      </c>
      <c r="K803" s="12">
        <f t="shared" si="812"/>
        <v>1372844889330</v>
      </c>
      <c r="L803" s="12">
        <f t="shared" si="812"/>
        <v>1372844889330</v>
      </c>
      <c r="M803" s="12">
        <f t="shared" si="812"/>
        <v>1372844889330</v>
      </c>
      <c r="N803" s="12">
        <f t="shared" si="812"/>
        <v>0</v>
      </c>
      <c r="O803" s="12">
        <f t="shared" si="812"/>
        <v>0</v>
      </c>
      <c r="P803" s="12">
        <f t="shared" si="812"/>
        <v>0</v>
      </c>
      <c r="Q803" s="12">
        <f t="shared" si="812"/>
        <v>1.4550930861503199E+24</v>
      </c>
      <c r="R803" s="12">
        <f t="shared" si="812"/>
        <v>0</v>
      </c>
      <c r="S803" s="12">
        <f t="shared" si="812"/>
        <v>60</v>
      </c>
      <c r="T803" s="17" t="s">
        <v>1047</v>
      </c>
    </row>
    <row r="804" spans="1:20" x14ac:dyDescent="0.2">
      <c r="A804" s="12">
        <v>80081</v>
      </c>
      <c r="B804" s="16" t="s">
        <v>1051</v>
      </c>
      <c r="C804" s="2" t="s">
        <v>951</v>
      </c>
      <c r="D804" s="12">
        <v>81</v>
      </c>
      <c r="E804" s="12">
        <v>8</v>
      </c>
      <c r="F804" s="12">
        <f t="shared" ref="F804:S804" si="813">F444</f>
        <v>81</v>
      </c>
      <c r="G804" s="12">
        <f t="shared" si="813"/>
        <v>10055</v>
      </c>
      <c r="H804" s="12">
        <f t="shared" si="813"/>
        <v>3</v>
      </c>
      <c r="I804" s="12">
        <f t="shared" si="813"/>
        <v>2</v>
      </c>
      <c r="J804" s="12">
        <f t="shared" si="813"/>
        <v>6</v>
      </c>
      <c r="K804" s="12">
        <f t="shared" si="813"/>
        <v>2461957151705</v>
      </c>
      <c r="L804" s="12">
        <f t="shared" si="813"/>
        <v>2461957151705</v>
      </c>
      <c r="M804" s="12">
        <f t="shared" si="813"/>
        <v>2461957151705</v>
      </c>
      <c r="N804" s="12">
        <f t="shared" si="813"/>
        <v>0</v>
      </c>
      <c r="O804" s="12">
        <f t="shared" si="813"/>
        <v>0</v>
      </c>
      <c r="P804" s="12">
        <f t="shared" si="813"/>
        <v>0</v>
      </c>
      <c r="Q804" s="12">
        <f t="shared" si="813"/>
        <v>7.0714605345934501E+24</v>
      </c>
      <c r="R804" s="12">
        <f t="shared" si="813"/>
        <v>0</v>
      </c>
      <c r="S804" s="12">
        <f t="shared" si="813"/>
        <v>60</v>
      </c>
      <c r="T804" s="17" t="s">
        <v>1052</v>
      </c>
    </row>
    <row r="805" spans="1:20" x14ac:dyDescent="0.2">
      <c r="A805" s="12">
        <v>80082</v>
      </c>
      <c r="B805" s="16" t="s">
        <v>1053</v>
      </c>
      <c r="C805" s="2" t="s">
        <v>951</v>
      </c>
      <c r="D805" s="12">
        <v>82</v>
      </c>
      <c r="E805" s="12">
        <v>8</v>
      </c>
      <c r="F805" s="12">
        <f t="shared" ref="F805:S805" si="814">F445</f>
        <v>82</v>
      </c>
      <c r="G805" s="12">
        <f t="shared" si="814"/>
        <v>10105</v>
      </c>
      <c r="H805" s="12">
        <f t="shared" si="814"/>
        <v>2</v>
      </c>
      <c r="I805" s="12">
        <f t="shared" si="814"/>
        <v>2</v>
      </c>
      <c r="J805" s="12">
        <f t="shared" si="814"/>
        <v>6</v>
      </c>
      <c r="K805" s="12">
        <f t="shared" si="814"/>
        <v>2588284473940</v>
      </c>
      <c r="L805" s="12">
        <f t="shared" si="814"/>
        <v>2588284473940</v>
      </c>
      <c r="M805" s="12">
        <f t="shared" si="814"/>
        <v>2588284473940</v>
      </c>
      <c r="N805" s="12">
        <f t="shared" si="814"/>
        <v>0</v>
      </c>
      <c r="O805" s="12">
        <f t="shared" si="814"/>
        <v>0</v>
      </c>
      <c r="P805" s="12">
        <f t="shared" si="814"/>
        <v>0</v>
      </c>
      <c r="Q805" s="12">
        <f t="shared" si="814"/>
        <v>8.3719565113977004E+24</v>
      </c>
      <c r="R805" s="12">
        <f t="shared" si="814"/>
        <v>0</v>
      </c>
      <c r="S805" s="12">
        <f t="shared" si="814"/>
        <v>60</v>
      </c>
      <c r="T805" s="17" t="s">
        <v>1052</v>
      </c>
    </row>
    <row r="806" spans="1:20" x14ac:dyDescent="0.2">
      <c r="A806" s="12">
        <v>80083</v>
      </c>
      <c r="B806" s="16" t="s">
        <v>1054</v>
      </c>
      <c r="C806" s="2" t="s">
        <v>951</v>
      </c>
      <c r="D806" s="12">
        <v>83</v>
      </c>
      <c r="E806" s="12">
        <v>8</v>
      </c>
      <c r="F806" s="12">
        <f t="shared" ref="F806:S806" si="815">F446</f>
        <v>83</v>
      </c>
      <c r="G806" s="12">
        <f t="shared" si="815"/>
        <v>10155</v>
      </c>
      <c r="H806" s="12">
        <f t="shared" si="815"/>
        <v>1</v>
      </c>
      <c r="I806" s="12">
        <f t="shared" si="815"/>
        <v>2</v>
      </c>
      <c r="J806" s="12">
        <f t="shared" si="815"/>
        <v>6</v>
      </c>
      <c r="K806" s="12">
        <f t="shared" si="815"/>
        <v>2745613625505</v>
      </c>
      <c r="L806" s="12">
        <f t="shared" si="815"/>
        <v>2745613625505</v>
      </c>
      <c r="M806" s="12">
        <f t="shared" si="815"/>
        <v>2745613625505</v>
      </c>
      <c r="N806" s="12">
        <f t="shared" si="815"/>
        <v>0</v>
      </c>
      <c r="O806" s="12">
        <f t="shared" si="815"/>
        <v>0</v>
      </c>
      <c r="P806" s="12">
        <f t="shared" si="815"/>
        <v>0</v>
      </c>
      <c r="Q806" s="12">
        <f t="shared" si="815"/>
        <v>1.0080074778702601E+25</v>
      </c>
      <c r="R806" s="12">
        <f t="shared" si="815"/>
        <v>0</v>
      </c>
      <c r="S806" s="12">
        <f t="shared" si="815"/>
        <v>60</v>
      </c>
      <c r="T806" s="17" t="s">
        <v>1052</v>
      </c>
    </row>
    <row r="807" spans="1:20" x14ac:dyDescent="0.2">
      <c r="A807" s="12">
        <v>80084</v>
      </c>
      <c r="B807" s="16" t="s">
        <v>1055</v>
      </c>
      <c r="C807" s="2" t="s">
        <v>951</v>
      </c>
      <c r="D807" s="12">
        <v>84</v>
      </c>
      <c r="E807" s="12">
        <v>8</v>
      </c>
      <c r="F807" s="12">
        <f t="shared" ref="F807:S807" si="816">F447</f>
        <v>84</v>
      </c>
      <c r="G807" s="12">
        <f t="shared" si="816"/>
        <v>10205</v>
      </c>
      <c r="H807" s="12">
        <f t="shared" si="816"/>
        <v>3</v>
      </c>
      <c r="I807" s="12">
        <f t="shared" si="816"/>
        <v>2</v>
      </c>
      <c r="J807" s="12">
        <f t="shared" si="816"/>
        <v>6</v>
      </c>
      <c r="K807" s="12">
        <f t="shared" si="816"/>
        <v>2882604907570</v>
      </c>
      <c r="L807" s="12">
        <f t="shared" si="816"/>
        <v>2882604907570</v>
      </c>
      <c r="M807" s="12">
        <f t="shared" si="816"/>
        <v>2882604907570</v>
      </c>
      <c r="N807" s="12">
        <f t="shared" si="816"/>
        <v>0</v>
      </c>
      <c r="O807" s="12">
        <f t="shared" si="816"/>
        <v>0</v>
      </c>
      <c r="P807" s="12">
        <f t="shared" si="816"/>
        <v>0</v>
      </c>
      <c r="Q807" s="12">
        <f t="shared" si="816"/>
        <v>1.1883311941363501E+25</v>
      </c>
      <c r="R807" s="12">
        <f t="shared" si="816"/>
        <v>0</v>
      </c>
      <c r="S807" s="12">
        <f t="shared" si="816"/>
        <v>60</v>
      </c>
      <c r="T807" s="17" t="s">
        <v>1052</v>
      </c>
    </row>
    <row r="808" spans="1:20" x14ac:dyDescent="0.2">
      <c r="A808" s="12">
        <v>80085</v>
      </c>
      <c r="B808" s="16" t="s">
        <v>1056</v>
      </c>
      <c r="C808" s="2" t="s">
        <v>951</v>
      </c>
      <c r="D808" s="12">
        <v>85</v>
      </c>
      <c r="E808" s="12">
        <v>8</v>
      </c>
      <c r="F808" s="12">
        <f t="shared" ref="F808:S808" si="817">F448</f>
        <v>85</v>
      </c>
      <c r="G808" s="12">
        <f t="shared" si="817"/>
        <v>20055</v>
      </c>
      <c r="H808" s="12">
        <f t="shared" si="817"/>
        <v>2</v>
      </c>
      <c r="I808" s="12">
        <f t="shared" si="817"/>
        <v>2</v>
      </c>
      <c r="J808" s="12">
        <f t="shared" si="817"/>
        <v>6</v>
      </c>
      <c r="K808" s="12">
        <f t="shared" si="817"/>
        <v>3053641376600</v>
      </c>
      <c r="L808" s="12">
        <f t="shared" si="817"/>
        <v>3053641376600</v>
      </c>
      <c r="M808" s="12">
        <f t="shared" si="817"/>
        <v>3053641376600</v>
      </c>
      <c r="N808" s="12">
        <f t="shared" si="817"/>
        <v>0</v>
      </c>
      <c r="O808" s="12">
        <f t="shared" si="817"/>
        <v>0</v>
      </c>
      <c r="P808" s="12">
        <f t="shared" si="817"/>
        <v>0</v>
      </c>
      <c r="Q808" s="12">
        <f t="shared" si="817"/>
        <v>1.4252640047693299E+25</v>
      </c>
      <c r="R808" s="12">
        <f t="shared" si="817"/>
        <v>0</v>
      </c>
      <c r="S808" s="12">
        <f t="shared" si="817"/>
        <v>60</v>
      </c>
      <c r="T808" s="17" t="s">
        <v>1057</v>
      </c>
    </row>
    <row r="809" spans="1:20" x14ac:dyDescent="0.2">
      <c r="A809" s="12">
        <v>80086</v>
      </c>
      <c r="B809" s="16" t="s">
        <v>1058</v>
      </c>
      <c r="C809" s="2" t="s">
        <v>951</v>
      </c>
      <c r="D809" s="12">
        <v>86</v>
      </c>
      <c r="E809" s="12">
        <v>8</v>
      </c>
      <c r="F809" s="12">
        <f t="shared" ref="F809:S809" si="818">F449</f>
        <v>86</v>
      </c>
      <c r="G809" s="12">
        <f t="shared" si="818"/>
        <v>20105</v>
      </c>
      <c r="H809" s="12">
        <f t="shared" si="818"/>
        <v>1</v>
      </c>
      <c r="I809" s="12">
        <f t="shared" si="818"/>
        <v>2</v>
      </c>
      <c r="J809" s="12">
        <f t="shared" si="818"/>
        <v>6</v>
      </c>
      <c r="K809" s="12">
        <f t="shared" si="818"/>
        <v>3202434456735</v>
      </c>
      <c r="L809" s="12">
        <f t="shared" si="818"/>
        <v>3202434456735</v>
      </c>
      <c r="M809" s="12">
        <f t="shared" si="818"/>
        <v>3202434456735</v>
      </c>
      <c r="N809" s="12">
        <f t="shared" si="818"/>
        <v>0</v>
      </c>
      <c r="O809" s="12">
        <f t="shared" si="818"/>
        <v>0</v>
      </c>
      <c r="P809" s="12">
        <f t="shared" si="818"/>
        <v>0</v>
      </c>
      <c r="Q809" s="12">
        <f t="shared" si="818"/>
        <v>1.6740516257197599E+25</v>
      </c>
      <c r="R809" s="12">
        <f t="shared" si="818"/>
        <v>0</v>
      </c>
      <c r="S809" s="12">
        <f t="shared" si="818"/>
        <v>60</v>
      </c>
      <c r="T809" s="17" t="s">
        <v>1057</v>
      </c>
    </row>
    <row r="810" spans="1:20" x14ac:dyDescent="0.2">
      <c r="A810" s="12">
        <v>80087</v>
      </c>
      <c r="B810" s="16" t="s">
        <v>1059</v>
      </c>
      <c r="C810" s="2" t="s">
        <v>951</v>
      </c>
      <c r="D810" s="12">
        <v>87</v>
      </c>
      <c r="E810" s="12">
        <v>8</v>
      </c>
      <c r="F810" s="12">
        <f t="shared" ref="F810:S810" si="819">F450</f>
        <v>87</v>
      </c>
      <c r="G810" s="12">
        <f t="shared" si="819"/>
        <v>20155</v>
      </c>
      <c r="H810" s="12">
        <f t="shared" si="819"/>
        <v>3</v>
      </c>
      <c r="I810" s="12">
        <f t="shared" si="819"/>
        <v>2</v>
      </c>
      <c r="J810" s="12">
        <f t="shared" si="819"/>
        <v>6</v>
      </c>
      <c r="K810" s="12">
        <f t="shared" si="819"/>
        <v>3387794342615</v>
      </c>
      <c r="L810" s="12">
        <f t="shared" si="819"/>
        <v>3387794342615</v>
      </c>
      <c r="M810" s="12">
        <f t="shared" si="819"/>
        <v>3387794342615</v>
      </c>
      <c r="N810" s="12">
        <f t="shared" si="819"/>
        <v>0</v>
      </c>
      <c r="O810" s="12">
        <f t="shared" si="819"/>
        <v>0</v>
      </c>
      <c r="P810" s="12">
        <f t="shared" si="819"/>
        <v>0</v>
      </c>
      <c r="Q810" s="12">
        <f t="shared" si="819"/>
        <v>1.9998397804482501E+25</v>
      </c>
      <c r="R810" s="12">
        <f t="shared" si="819"/>
        <v>0</v>
      </c>
      <c r="S810" s="12">
        <f t="shared" si="819"/>
        <v>60</v>
      </c>
      <c r="T810" s="17" t="s">
        <v>1057</v>
      </c>
    </row>
    <row r="811" spans="1:20" x14ac:dyDescent="0.2">
      <c r="A811" s="12">
        <v>80088</v>
      </c>
      <c r="B811" s="16" t="s">
        <v>1060</v>
      </c>
      <c r="C811" s="2" t="s">
        <v>951</v>
      </c>
      <c r="D811" s="12">
        <v>88</v>
      </c>
      <c r="E811" s="12">
        <v>8</v>
      </c>
      <c r="F811" s="12">
        <f t="shared" ref="F811:S811" si="820">F451</f>
        <v>88</v>
      </c>
      <c r="G811" s="12">
        <f t="shared" si="820"/>
        <v>20205</v>
      </c>
      <c r="H811" s="12">
        <f t="shared" si="820"/>
        <v>2</v>
      </c>
      <c r="I811" s="12">
        <f t="shared" si="820"/>
        <v>2</v>
      </c>
      <c r="J811" s="12">
        <f t="shared" si="820"/>
        <v>6</v>
      </c>
      <c r="K811" s="12">
        <f t="shared" si="820"/>
        <v>3548746057450</v>
      </c>
      <c r="L811" s="12">
        <f t="shared" si="820"/>
        <v>3548746057450</v>
      </c>
      <c r="M811" s="12">
        <f t="shared" si="820"/>
        <v>3548746057450</v>
      </c>
      <c r="N811" s="12">
        <f t="shared" si="820"/>
        <v>0</v>
      </c>
      <c r="O811" s="12">
        <f t="shared" si="820"/>
        <v>0</v>
      </c>
      <c r="P811" s="12">
        <f t="shared" si="820"/>
        <v>0</v>
      </c>
      <c r="Q811" s="12">
        <f t="shared" si="820"/>
        <v>2.3407992690310998E+25</v>
      </c>
      <c r="R811" s="12">
        <f t="shared" si="820"/>
        <v>0</v>
      </c>
      <c r="S811" s="12">
        <f t="shared" si="820"/>
        <v>60</v>
      </c>
      <c r="T811" s="17" t="s">
        <v>1057</v>
      </c>
    </row>
    <row r="812" spans="1:20" x14ac:dyDescent="0.2">
      <c r="A812" s="12">
        <v>80089</v>
      </c>
      <c r="B812" s="16" t="s">
        <v>1061</v>
      </c>
      <c r="C812" s="2" t="s">
        <v>951</v>
      </c>
      <c r="D812" s="12">
        <v>89</v>
      </c>
      <c r="E812" s="12">
        <v>8</v>
      </c>
      <c r="F812" s="12">
        <f t="shared" ref="F812:S812" si="821">F452</f>
        <v>89</v>
      </c>
      <c r="G812" s="12">
        <f t="shared" si="821"/>
        <v>30055</v>
      </c>
      <c r="H812" s="12">
        <f t="shared" si="821"/>
        <v>1</v>
      </c>
      <c r="I812" s="12">
        <f t="shared" si="821"/>
        <v>2</v>
      </c>
      <c r="J812" s="12">
        <f t="shared" si="821"/>
        <v>6</v>
      </c>
      <c r="K812" s="12">
        <f t="shared" si="821"/>
        <v>3790743992825</v>
      </c>
      <c r="L812" s="12">
        <f t="shared" si="821"/>
        <v>3790743992825</v>
      </c>
      <c r="M812" s="12">
        <f t="shared" si="821"/>
        <v>3790743992825</v>
      </c>
      <c r="N812" s="12">
        <f t="shared" si="821"/>
        <v>0</v>
      </c>
      <c r="O812" s="12">
        <f t="shared" si="821"/>
        <v>0</v>
      </c>
      <c r="P812" s="12">
        <f t="shared" si="821"/>
        <v>0</v>
      </c>
      <c r="Q812" s="12">
        <f t="shared" si="821"/>
        <v>3.1759650506535298E+25</v>
      </c>
      <c r="R812" s="12">
        <f t="shared" si="821"/>
        <v>0</v>
      </c>
      <c r="S812" s="12">
        <f t="shared" si="821"/>
        <v>60</v>
      </c>
      <c r="T812" s="17" t="s">
        <v>1062</v>
      </c>
    </row>
    <row r="813" spans="1:20" x14ac:dyDescent="0.2">
      <c r="A813" s="12">
        <v>80090</v>
      </c>
      <c r="B813" s="16" t="s">
        <v>1063</v>
      </c>
      <c r="C813" s="2" t="s">
        <v>951</v>
      </c>
      <c r="D813" s="12">
        <v>90</v>
      </c>
      <c r="E813" s="12">
        <v>8</v>
      </c>
      <c r="F813" s="12">
        <f t="shared" ref="F813:S813" si="822">F453</f>
        <v>90</v>
      </c>
      <c r="G813" s="12">
        <f t="shared" si="822"/>
        <v>30105</v>
      </c>
      <c r="H813" s="12">
        <f t="shared" si="822"/>
        <v>3</v>
      </c>
      <c r="I813" s="12">
        <f t="shared" si="822"/>
        <v>2</v>
      </c>
      <c r="J813" s="12">
        <f t="shared" si="822"/>
        <v>6</v>
      </c>
      <c r="K813" s="12">
        <f t="shared" si="822"/>
        <v>3977775902135</v>
      </c>
      <c r="L813" s="12">
        <f t="shared" si="822"/>
        <v>3977775902135</v>
      </c>
      <c r="M813" s="12">
        <f t="shared" si="822"/>
        <v>3977775902135</v>
      </c>
      <c r="N813" s="12">
        <f t="shared" si="822"/>
        <v>0</v>
      </c>
      <c r="O813" s="12">
        <f t="shared" si="822"/>
        <v>0</v>
      </c>
      <c r="P813" s="12">
        <f t="shared" si="822"/>
        <v>0</v>
      </c>
      <c r="Q813" s="12">
        <f t="shared" si="822"/>
        <v>3.7090901245188002E+25</v>
      </c>
      <c r="R813" s="12">
        <f t="shared" si="822"/>
        <v>0</v>
      </c>
      <c r="S813" s="12">
        <f t="shared" si="822"/>
        <v>60</v>
      </c>
      <c r="T813" s="17" t="s">
        <v>1062</v>
      </c>
    </row>
    <row r="814" spans="1:20" x14ac:dyDescent="0.2">
      <c r="A814" s="12">
        <v>80091</v>
      </c>
      <c r="B814" s="16" t="s">
        <v>1064</v>
      </c>
      <c r="C814" s="2" t="s">
        <v>951</v>
      </c>
      <c r="D814" s="12">
        <v>91</v>
      </c>
      <c r="E814" s="12">
        <v>8</v>
      </c>
      <c r="F814" s="12">
        <f t="shared" ref="F814:S814" si="823">F454</f>
        <v>91</v>
      </c>
      <c r="G814" s="12">
        <f t="shared" si="823"/>
        <v>30155</v>
      </c>
      <c r="H814" s="12">
        <f t="shared" si="823"/>
        <v>2</v>
      </c>
      <c r="I814" s="12">
        <f t="shared" si="823"/>
        <v>2</v>
      </c>
      <c r="J814" s="12">
        <f t="shared" si="823"/>
        <v>6</v>
      </c>
      <c r="K814" s="12">
        <f t="shared" si="823"/>
        <v>4209031655790</v>
      </c>
      <c r="L814" s="12">
        <f t="shared" si="823"/>
        <v>4209031655790</v>
      </c>
      <c r="M814" s="12">
        <f t="shared" si="823"/>
        <v>4209031655790</v>
      </c>
      <c r="N814" s="12">
        <f t="shared" si="823"/>
        <v>0</v>
      </c>
      <c r="O814" s="12">
        <f t="shared" si="823"/>
        <v>0</v>
      </c>
      <c r="P814" s="12">
        <f t="shared" si="823"/>
        <v>0</v>
      </c>
      <c r="Q814" s="12">
        <f t="shared" si="823"/>
        <v>4.4010730798787202E+25</v>
      </c>
      <c r="R814" s="12">
        <f t="shared" si="823"/>
        <v>0</v>
      </c>
      <c r="S814" s="12">
        <f t="shared" si="823"/>
        <v>60</v>
      </c>
      <c r="T814" s="17" t="s">
        <v>1062</v>
      </c>
    </row>
    <row r="815" spans="1:20" x14ac:dyDescent="0.2">
      <c r="A815" s="12">
        <v>80092</v>
      </c>
      <c r="B815" s="16" t="s">
        <v>1065</v>
      </c>
      <c r="C815" s="2" t="s">
        <v>951</v>
      </c>
      <c r="D815" s="12">
        <v>92</v>
      </c>
      <c r="E815" s="12">
        <v>8</v>
      </c>
      <c r="F815" s="12">
        <f t="shared" ref="F815:S815" si="824">F455</f>
        <v>92</v>
      </c>
      <c r="G815" s="12">
        <f t="shared" si="824"/>
        <v>30205</v>
      </c>
      <c r="H815" s="12">
        <f t="shared" si="824"/>
        <v>1</v>
      </c>
      <c r="I815" s="12">
        <f t="shared" si="824"/>
        <v>2</v>
      </c>
      <c r="J815" s="12">
        <f t="shared" si="824"/>
        <v>6</v>
      </c>
      <c r="K815" s="12">
        <f t="shared" si="824"/>
        <v>4390567734460</v>
      </c>
      <c r="L815" s="12">
        <f t="shared" si="824"/>
        <v>4390567734460</v>
      </c>
      <c r="M815" s="12">
        <f t="shared" si="824"/>
        <v>4390567734460</v>
      </c>
      <c r="N815" s="12">
        <f t="shared" si="824"/>
        <v>0</v>
      </c>
      <c r="O815" s="12">
        <f t="shared" si="824"/>
        <v>0</v>
      </c>
      <c r="P815" s="12">
        <f t="shared" si="824"/>
        <v>0</v>
      </c>
      <c r="Q815" s="12">
        <f t="shared" si="824"/>
        <v>5.1009316917705497E+25</v>
      </c>
      <c r="R815" s="12">
        <f t="shared" si="824"/>
        <v>0</v>
      </c>
      <c r="S815" s="12">
        <f t="shared" si="824"/>
        <v>60</v>
      </c>
      <c r="T815" s="17" t="s">
        <v>1062</v>
      </c>
    </row>
    <row r="816" spans="1:20" x14ac:dyDescent="0.2">
      <c r="A816" s="12">
        <v>80093</v>
      </c>
      <c r="B816" s="16" t="s">
        <v>1066</v>
      </c>
      <c r="C816" s="2" t="s">
        <v>951</v>
      </c>
      <c r="D816" s="12">
        <v>93</v>
      </c>
      <c r="E816" s="12">
        <v>8</v>
      </c>
      <c r="F816" s="12">
        <f t="shared" ref="F816:S816" si="825">F456</f>
        <v>93</v>
      </c>
      <c r="G816" s="12">
        <f t="shared" si="825"/>
        <v>40055</v>
      </c>
      <c r="H816" s="12">
        <f t="shared" si="825"/>
        <v>3</v>
      </c>
      <c r="I816" s="12">
        <f t="shared" si="825"/>
        <v>2</v>
      </c>
      <c r="J816" s="12">
        <f t="shared" si="825"/>
        <v>6</v>
      </c>
      <c r="K816" s="12">
        <f t="shared" si="825"/>
        <v>4618858859285</v>
      </c>
      <c r="L816" s="12">
        <f t="shared" si="825"/>
        <v>4618858859285</v>
      </c>
      <c r="M816" s="12">
        <f t="shared" si="825"/>
        <v>4618858859285</v>
      </c>
      <c r="N816" s="12">
        <f t="shared" si="825"/>
        <v>0</v>
      </c>
      <c r="O816" s="12">
        <f t="shared" si="825"/>
        <v>0</v>
      </c>
      <c r="P816" s="12">
        <f t="shared" si="825"/>
        <v>0</v>
      </c>
      <c r="Q816" s="12">
        <f t="shared" si="825"/>
        <v>6.0064017512025198E+25</v>
      </c>
      <c r="R816" s="12">
        <f t="shared" si="825"/>
        <v>0</v>
      </c>
      <c r="S816" s="12">
        <f t="shared" si="825"/>
        <v>60</v>
      </c>
      <c r="T816" s="17" t="s">
        <v>1067</v>
      </c>
    </row>
    <row r="817" spans="1:20" x14ac:dyDescent="0.2">
      <c r="A817" s="12">
        <v>80094</v>
      </c>
      <c r="B817" s="16" t="s">
        <v>1068</v>
      </c>
      <c r="C817" s="2" t="s">
        <v>951</v>
      </c>
      <c r="D817" s="12">
        <v>94</v>
      </c>
      <c r="E817" s="12">
        <v>8</v>
      </c>
      <c r="F817" s="12">
        <f t="shared" ref="F817:S817" si="826">F457</f>
        <v>94</v>
      </c>
      <c r="G817" s="12">
        <f t="shared" si="826"/>
        <v>40105</v>
      </c>
      <c r="H817" s="12">
        <f t="shared" si="826"/>
        <v>2</v>
      </c>
      <c r="I817" s="12">
        <f t="shared" si="826"/>
        <v>2</v>
      </c>
      <c r="J817" s="12">
        <f t="shared" si="826"/>
        <v>6</v>
      </c>
      <c r="K817" s="12">
        <f t="shared" si="826"/>
        <v>4814211024075</v>
      </c>
      <c r="L817" s="12">
        <f t="shared" si="826"/>
        <v>4814211024075</v>
      </c>
      <c r="M817" s="12">
        <f t="shared" si="826"/>
        <v>4814211024075</v>
      </c>
      <c r="N817" s="12">
        <f t="shared" si="826"/>
        <v>0</v>
      </c>
      <c r="O817" s="12">
        <f t="shared" si="826"/>
        <v>0</v>
      </c>
      <c r="P817" s="12">
        <f t="shared" si="826"/>
        <v>0</v>
      </c>
      <c r="Q817" s="12">
        <f t="shared" si="826"/>
        <v>6.9430962616219302E+25</v>
      </c>
      <c r="R817" s="12">
        <f t="shared" si="826"/>
        <v>0</v>
      </c>
      <c r="S817" s="12">
        <f t="shared" si="826"/>
        <v>60</v>
      </c>
      <c r="T817" s="17" t="s">
        <v>1067</v>
      </c>
    </row>
    <row r="818" spans="1:20" x14ac:dyDescent="0.2">
      <c r="A818" s="12">
        <v>80095</v>
      </c>
      <c r="B818" s="16" t="s">
        <v>1069</v>
      </c>
      <c r="C818" s="2" t="s">
        <v>951</v>
      </c>
      <c r="D818" s="12">
        <v>95</v>
      </c>
      <c r="E818" s="12">
        <v>8</v>
      </c>
      <c r="F818" s="12">
        <f t="shared" ref="F818:S818" si="827">F458</f>
        <v>95</v>
      </c>
      <c r="G818" s="12">
        <f t="shared" si="827"/>
        <v>40155</v>
      </c>
      <c r="H818" s="12">
        <f t="shared" si="827"/>
        <v>1</v>
      </c>
      <c r="I818" s="12">
        <f t="shared" si="827"/>
        <v>2</v>
      </c>
      <c r="J818" s="12">
        <f t="shared" si="827"/>
        <v>6</v>
      </c>
      <c r="K818" s="12">
        <f t="shared" si="827"/>
        <v>5059325002640</v>
      </c>
      <c r="L818" s="12">
        <f t="shared" si="827"/>
        <v>5059325002640</v>
      </c>
      <c r="M818" s="12">
        <f t="shared" si="827"/>
        <v>5059325002640</v>
      </c>
      <c r="N818" s="12">
        <f t="shared" si="827"/>
        <v>0</v>
      </c>
      <c r="O818" s="12">
        <f t="shared" si="827"/>
        <v>0</v>
      </c>
      <c r="P818" s="12">
        <f t="shared" si="827"/>
        <v>0</v>
      </c>
      <c r="Q818" s="12">
        <f t="shared" si="827"/>
        <v>8.1531349980173196E+25</v>
      </c>
      <c r="R818" s="12">
        <f t="shared" si="827"/>
        <v>0</v>
      </c>
      <c r="S818" s="12">
        <f t="shared" si="827"/>
        <v>60</v>
      </c>
      <c r="T818" s="17" t="s">
        <v>1067</v>
      </c>
    </row>
    <row r="819" spans="1:20" x14ac:dyDescent="0.2">
      <c r="A819" s="12">
        <v>80096</v>
      </c>
      <c r="B819" s="16" t="s">
        <v>1070</v>
      </c>
      <c r="C819" s="2" t="s">
        <v>951</v>
      </c>
      <c r="D819" s="12">
        <v>96</v>
      </c>
      <c r="E819" s="12">
        <v>8</v>
      </c>
      <c r="F819" s="12">
        <f t="shared" ref="F819:S819" si="828">F459</f>
        <v>96</v>
      </c>
      <c r="G819" s="12">
        <f t="shared" si="828"/>
        <v>40205</v>
      </c>
      <c r="H819" s="12">
        <f t="shared" si="828"/>
        <v>3</v>
      </c>
      <c r="I819" s="12">
        <f t="shared" si="828"/>
        <v>2</v>
      </c>
      <c r="J819" s="12">
        <f t="shared" si="828"/>
        <v>6</v>
      </c>
      <c r="K819" s="12">
        <f t="shared" si="828"/>
        <v>5268705194615</v>
      </c>
      <c r="L819" s="12">
        <f t="shared" si="828"/>
        <v>5268705194615</v>
      </c>
      <c r="M819" s="12">
        <f t="shared" si="828"/>
        <v>5268705194615</v>
      </c>
      <c r="N819" s="12">
        <f t="shared" si="828"/>
        <v>0</v>
      </c>
      <c r="O819" s="12">
        <f t="shared" si="828"/>
        <v>0</v>
      </c>
      <c r="P819" s="12">
        <f t="shared" si="828"/>
        <v>0</v>
      </c>
      <c r="Q819" s="12">
        <f t="shared" si="828"/>
        <v>9.4021305615157502E+25</v>
      </c>
      <c r="R819" s="12">
        <f t="shared" si="828"/>
        <v>0</v>
      </c>
      <c r="S819" s="12">
        <f t="shared" si="828"/>
        <v>60</v>
      </c>
      <c r="T819" s="17" t="s">
        <v>1067</v>
      </c>
    </row>
    <row r="820" spans="1:20" x14ac:dyDescent="0.2">
      <c r="A820" s="12">
        <v>80097</v>
      </c>
      <c r="B820" s="16" t="s">
        <v>1071</v>
      </c>
      <c r="C820" s="2" t="s">
        <v>951</v>
      </c>
      <c r="D820" s="12">
        <v>97</v>
      </c>
      <c r="E820" s="12">
        <v>8</v>
      </c>
      <c r="F820" s="12">
        <f t="shared" ref="F820:S820" si="829">F460</f>
        <v>97</v>
      </c>
      <c r="G820" s="12">
        <f t="shared" si="829"/>
        <v>50055</v>
      </c>
      <c r="H820" s="12">
        <f t="shared" si="829"/>
        <v>2</v>
      </c>
      <c r="I820" s="12">
        <f t="shared" si="829"/>
        <v>2</v>
      </c>
      <c r="J820" s="12">
        <f t="shared" si="829"/>
        <v>6</v>
      </c>
      <c r="K820" s="12">
        <f t="shared" si="829"/>
        <v>5585255444475</v>
      </c>
      <c r="L820" s="12">
        <f t="shared" si="829"/>
        <v>5585255444475</v>
      </c>
      <c r="M820" s="12">
        <f t="shared" si="829"/>
        <v>5585255444475</v>
      </c>
      <c r="N820" s="12">
        <f t="shared" si="829"/>
        <v>0</v>
      </c>
      <c r="O820" s="12">
        <f t="shared" si="829"/>
        <v>0</v>
      </c>
      <c r="P820" s="12">
        <f t="shared" si="829"/>
        <v>0</v>
      </c>
      <c r="Q820" s="12">
        <f t="shared" si="829"/>
        <v>1.15686189664004E+26</v>
      </c>
      <c r="R820" s="12">
        <f t="shared" si="829"/>
        <v>0</v>
      </c>
      <c r="S820" s="12">
        <f t="shared" si="829"/>
        <v>60</v>
      </c>
      <c r="T820" s="17" t="s">
        <v>1072</v>
      </c>
    </row>
    <row r="821" spans="1:20" x14ac:dyDescent="0.2">
      <c r="A821" s="12">
        <v>80098</v>
      </c>
      <c r="B821" s="16" t="s">
        <v>1073</v>
      </c>
      <c r="C821" s="2" t="s">
        <v>951</v>
      </c>
      <c r="D821" s="12">
        <v>98</v>
      </c>
      <c r="E821" s="12">
        <v>8</v>
      </c>
      <c r="F821" s="12">
        <f t="shared" ref="F821:S821" si="830">F461</f>
        <v>98</v>
      </c>
      <c r="G821" s="12">
        <f t="shared" si="830"/>
        <v>10045</v>
      </c>
      <c r="H821" s="12">
        <f t="shared" si="830"/>
        <v>1</v>
      </c>
      <c r="I821" s="12">
        <f t="shared" si="830"/>
        <v>2</v>
      </c>
      <c r="J821" s="12">
        <f t="shared" si="830"/>
        <v>6</v>
      </c>
      <c r="K821" s="12">
        <f t="shared" si="830"/>
        <v>5811142901955</v>
      </c>
      <c r="L821" s="12">
        <f t="shared" si="830"/>
        <v>5811142901955</v>
      </c>
      <c r="M821" s="12">
        <f t="shared" si="830"/>
        <v>5811142901955</v>
      </c>
      <c r="N821" s="12">
        <f t="shared" si="830"/>
        <v>0</v>
      </c>
      <c r="O821" s="12">
        <f t="shared" si="830"/>
        <v>0</v>
      </c>
      <c r="P821" s="12">
        <f t="shared" si="830"/>
        <v>0</v>
      </c>
      <c r="Q821" s="12">
        <f t="shared" si="830"/>
        <v>1.3301125377336599E+26</v>
      </c>
      <c r="R821" s="12">
        <f t="shared" si="830"/>
        <v>0</v>
      </c>
      <c r="S821" s="12">
        <f t="shared" si="830"/>
        <v>60</v>
      </c>
      <c r="T821" s="17" t="s">
        <v>1072</v>
      </c>
    </row>
    <row r="822" spans="1:20" x14ac:dyDescent="0.2">
      <c r="A822" s="12">
        <v>80099</v>
      </c>
      <c r="B822" s="16" t="s">
        <v>1074</v>
      </c>
      <c r="C822" s="2" t="s">
        <v>951</v>
      </c>
      <c r="D822" s="12">
        <v>99</v>
      </c>
      <c r="E822" s="12">
        <v>8</v>
      </c>
      <c r="F822" s="12">
        <f t="shared" ref="F822:S822" si="831">F462</f>
        <v>99</v>
      </c>
      <c r="G822" s="12">
        <f t="shared" si="831"/>
        <v>10095</v>
      </c>
      <c r="H822" s="12">
        <f t="shared" si="831"/>
        <v>3</v>
      </c>
      <c r="I822" s="12">
        <f t="shared" si="831"/>
        <v>2</v>
      </c>
      <c r="J822" s="12">
        <f t="shared" si="831"/>
        <v>6</v>
      </c>
      <c r="K822" s="12">
        <f t="shared" si="831"/>
        <v>6094929519090</v>
      </c>
      <c r="L822" s="12">
        <f t="shared" si="831"/>
        <v>6094929519090</v>
      </c>
      <c r="M822" s="12">
        <f t="shared" si="831"/>
        <v>6094929519090</v>
      </c>
      <c r="N822" s="12">
        <f t="shared" si="831"/>
        <v>0</v>
      </c>
      <c r="O822" s="12">
        <f t="shared" si="831"/>
        <v>0</v>
      </c>
      <c r="P822" s="12">
        <f t="shared" si="831"/>
        <v>0</v>
      </c>
      <c r="Q822" s="12">
        <f t="shared" si="831"/>
        <v>1.55266789907417E+26</v>
      </c>
      <c r="R822" s="12">
        <f t="shared" si="831"/>
        <v>0</v>
      </c>
      <c r="S822" s="12">
        <f t="shared" si="831"/>
        <v>60</v>
      </c>
      <c r="T822" s="17" t="s">
        <v>1072</v>
      </c>
    </row>
    <row r="823" spans="1:20" x14ac:dyDescent="0.2">
      <c r="A823" s="12">
        <v>80100</v>
      </c>
      <c r="B823" s="16" t="s">
        <v>1075</v>
      </c>
      <c r="C823" s="2" t="s">
        <v>951</v>
      </c>
      <c r="D823" s="12">
        <v>100</v>
      </c>
      <c r="E823" s="12">
        <v>8</v>
      </c>
      <c r="F823" s="12">
        <f t="shared" ref="F823:S823" si="832">F463</f>
        <v>100</v>
      </c>
      <c r="G823" s="12">
        <f t="shared" si="832"/>
        <v>10145</v>
      </c>
      <c r="H823" s="12">
        <f t="shared" si="832"/>
        <v>2</v>
      </c>
      <c r="I823" s="12">
        <f t="shared" si="832"/>
        <v>2</v>
      </c>
      <c r="J823" s="12">
        <f t="shared" si="832"/>
        <v>6</v>
      </c>
      <c r="K823" s="12">
        <f t="shared" si="832"/>
        <v>6336616535085</v>
      </c>
      <c r="L823" s="12">
        <f t="shared" si="832"/>
        <v>6336616535085</v>
      </c>
      <c r="M823" s="12">
        <f t="shared" si="832"/>
        <v>6336616535085</v>
      </c>
      <c r="N823" s="12">
        <f t="shared" si="832"/>
        <v>0</v>
      </c>
      <c r="O823" s="12">
        <f t="shared" si="832"/>
        <v>0</v>
      </c>
      <c r="P823" s="12">
        <f t="shared" si="832"/>
        <v>0</v>
      </c>
      <c r="Q823" s="12">
        <f t="shared" si="832"/>
        <v>1.7814326725985201E+26</v>
      </c>
      <c r="R823" s="12">
        <f t="shared" si="832"/>
        <v>0</v>
      </c>
      <c r="S823" s="12">
        <f t="shared" si="832"/>
        <v>60</v>
      </c>
      <c r="T823" s="17" t="s">
        <v>1072</v>
      </c>
    </row>
    <row r="824" spans="1:20" x14ac:dyDescent="0.2">
      <c r="A824" s="12">
        <v>80101</v>
      </c>
      <c r="B824" s="16" t="s">
        <v>1076</v>
      </c>
      <c r="C824" s="2" t="s">
        <v>951</v>
      </c>
      <c r="D824" s="12">
        <v>101</v>
      </c>
      <c r="E824" s="12">
        <v>8</v>
      </c>
      <c r="F824" s="12">
        <f t="shared" ref="F824:S824" si="833">F464</f>
        <v>101</v>
      </c>
      <c r="G824" s="12">
        <f t="shared" si="833"/>
        <v>10195</v>
      </c>
      <c r="H824" s="12">
        <f t="shared" si="833"/>
        <v>1</v>
      </c>
      <c r="I824" s="12">
        <f t="shared" si="833"/>
        <v>2</v>
      </c>
      <c r="J824" s="12">
        <f t="shared" si="833"/>
        <v>6</v>
      </c>
      <c r="K824" s="12">
        <f t="shared" si="833"/>
        <v>7020838380415</v>
      </c>
      <c r="L824" s="12">
        <f t="shared" si="833"/>
        <v>7020838380415</v>
      </c>
      <c r="M824" s="12">
        <f t="shared" si="833"/>
        <v>7020838380415</v>
      </c>
      <c r="N824" s="12">
        <f t="shared" si="833"/>
        <v>0</v>
      </c>
      <c r="O824" s="12">
        <f t="shared" si="833"/>
        <v>0</v>
      </c>
      <c r="P824" s="12">
        <f t="shared" si="833"/>
        <v>0</v>
      </c>
      <c r="Q824" s="12">
        <f t="shared" si="833"/>
        <v>2.0920534762014999E+26</v>
      </c>
      <c r="R824" s="12">
        <f t="shared" si="833"/>
        <v>0</v>
      </c>
      <c r="S824" s="12">
        <f t="shared" si="833"/>
        <v>60</v>
      </c>
      <c r="T824" s="17" t="s">
        <v>1077</v>
      </c>
    </row>
    <row r="825" spans="1:20" x14ac:dyDescent="0.2">
      <c r="A825" s="12">
        <v>80102</v>
      </c>
      <c r="B825" s="16" t="s">
        <v>1078</v>
      </c>
      <c r="C825" s="2" t="s">
        <v>951</v>
      </c>
      <c r="D825" s="12">
        <v>102</v>
      </c>
      <c r="E825" s="12">
        <v>8</v>
      </c>
      <c r="F825" s="12">
        <f t="shared" ref="F825:S825" si="834">F465</f>
        <v>102</v>
      </c>
      <c r="G825" s="12">
        <f t="shared" si="834"/>
        <v>20045</v>
      </c>
      <c r="H825" s="12">
        <f t="shared" si="834"/>
        <v>3</v>
      </c>
      <c r="I825" s="12">
        <f t="shared" si="834"/>
        <v>2</v>
      </c>
      <c r="J825" s="12">
        <f t="shared" si="834"/>
        <v>6</v>
      </c>
      <c r="K825" s="12">
        <f t="shared" si="834"/>
        <v>7287240847470</v>
      </c>
      <c r="L825" s="12">
        <f t="shared" si="834"/>
        <v>7287240847470</v>
      </c>
      <c r="M825" s="12">
        <f t="shared" si="834"/>
        <v>7287240847470</v>
      </c>
      <c r="N825" s="12">
        <f t="shared" si="834"/>
        <v>0</v>
      </c>
      <c r="O825" s="12">
        <f t="shared" si="834"/>
        <v>0</v>
      </c>
      <c r="P825" s="12">
        <f t="shared" si="834"/>
        <v>0</v>
      </c>
      <c r="Q825" s="12">
        <f t="shared" si="834"/>
        <v>2.3720052308028801E+26</v>
      </c>
      <c r="R825" s="12">
        <f t="shared" si="834"/>
        <v>0</v>
      </c>
      <c r="S825" s="12">
        <f t="shared" si="834"/>
        <v>60</v>
      </c>
      <c r="T825" s="17" t="s">
        <v>1077</v>
      </c>
    </row>
    <row r="826" spans="1:20" x14ac:dyDescent="0.2">
      <c r="A826" s="12">
        <v>80103</v>
      </c>
      <c r="B826" s="16" t="s">
        <v>1079</v>
      </c>
      <c r="C826" s="2" t="s">
        <v>951</v>
      </c>
      <c r="D826" s="12">
        <v>103</v>
      </c>
      <c r="E826" s="12">
        <v>8</v>
      </c>
      <c r="F826" s="12">
        <f t="shared" ref="F826:S826" si="835">F466</f>
        <v>103</v>
      </c>
      <c r="G826" s="12">
        <f t="shared" si="835"/>
        <v>20095</v>
      </c>
      <c r="H826" s="12">
        <f t="shared" si="835"/>
        <v>2</v>
      </c>
      <c r="I826" s="12">
        <f t="shared" si="835"/>
        <v>2</v>
      </c>
      <c r="J826" s="12">
        <f t="shared" si="835"/>
        <v>6</v>
      </c>
      <c r="K826" s="12">
        <f t="shared" si="835"/>
        <v>5799404485480</v>
      </c>
      <c r="L826" s="12">
        <f t="shared" si="835"/>
        <v>5799404485480</v>
      </c>
      <c r="M826" s="12">
        <f t="shared" si="835"/>
        <v>5799404485480</v>
      </c>
      <c r="N826" s="12">
        <f t="shared" si="835"/>
        <v>0</v>
      </c>
      <c r="O826" s="12">
        <f t="shared" si="835"/>
        <v>0</v>
      </c>
      <c r="P826" s="12">
        <f t="shared" si="835"/>
        <v>0</v>
      </c>
      <c r="Q826" s="12">
        <f t="shared" si="835"/>
        <v>2.7227144073533001E+26</v>
      </c>
      <c r="R826" s="12">
        <f t="shared" si="835"/>
        <v>0</v>
      </c>
      <c r="S826" s="12">
        <f t="shared" si="835"/>
        <v>60</v>
      </c>
      <c r="T826" s="17" t="s">
        <v>1077</v>
      </c>
    </row>
    <row r="827" spans="1:20" x14ac:dyDescent="0.2">
      <c r="A827" s="12">
        <v>80104</v>
      </c>
      <c r="B827" s="16" t="s">
        <v>1080</v>
      </c>
      <c r="C827" s="2" t="s">
        <v>951</v>
      </c>
      <c r="D827" s="12">
        <v>104</v>
      </c>
      <c r="E827" s="12">
        <v>8</v>
      </c>
      <c r="F827" s="12">
        <f t="shared" ref="F827:S827" si="836">F467</f>
        <v>104</v>
      </c>
      <c r="G827" s="12">
        <f t="shared" si="836"/>
        <v>20145</v>
      </c>
      <c r="H827" s="12">
        <f t="shared" si="836"/>
        <v>1</v>
      </c>
      <c r="I827" s="12">
        <f t="shared" si="836"/>
        <v>2</v>
      </c>
      <c r="J827" s="12">
        <f t="shared" si="836"/>
        <v>6</v>
      </c>
      <c r="K827" s="12">
        <f t="shared" si="836"/>
        <v>6018885713370</v>
      </c>
      <c r="L827" s="12">
        <f t="shared" si="836"/>
        <v>6018885713370</v>
      </c>
      <c r="M827" s="12">
        <f t="shared" si="836"/>
        <v>6018885713370</v>
      </c>
      <c r="N827" s="12">
        <f t="shared" si="836"/>
        <v>0</v>
      </c>
      <c r="O827" s="12">
        <f t="shared" si="836"/>
        <v>0</v>
      </c>
      <c r="P827" s="12">
        <f t="shared" si="836"/>
        <v>0</v>
      </c>
      <c r="Q827" s="12">
        <f t="shared" si="836"/>
        <v>3.0813781349454499E+26</v>
      </c>
      <c r="R827" s="12">
        <f t="shared" si="836"/>
        <v>0</v>
      </c>
      <c r="S827" s="12">
        <f t="shared" si="836"/>
        <v>60</v>
      </c>
      <c r="T827" s="17" t="s">
        <v>1077</v>
      </c>
    </row>
    <row r="828" spans="1:20" x14ac:dyDescent="0.2">
      <c r="A828" s="12">
        <v>80105</v>
      </c>
      <c r="B828" s="16" t="s">
        <v>1081</v>
      </c>
      <c r="C828" s="2" t="s">
        <v>951</v>
      </c>
      <c r="D828" s="12">
        <v>105</v>
      </c>
      <c r="E828" s="12">
        <v>8</v>
      </c>
      <c r="F828" s="12">
        <f t="shared" ref="F828:S828" si="837">F468</f>
        <v>105</v>
      </c>
      <c r="G828" s="12">
        <f t="shared" si="837"/>
        <v>20195</v>
      </c>
      <c r="H828" s="12">
        <f t="shared" si="837"/>
        <v>3</v>
      </c>
      <c r="I828" s="12">
        <f t="shared" si="837"/>
        <v>2</v>
      </c>
      <c r="J828" s="12">
        <f t="shared" si="837"/>
        <v>6</v>
      </c>
      <c r="K828" s="12">
        <f t="shared" si="837"/>
        <v>6341101143930</v>
      </c>
      <c r="L828" s="12">
        <f t="shared" si="837"/>
        <v>6341101143930</v>
      </c>
      <c r="M828" s="12">
        <f t="shared" si="837"/>
        <v>6341101143930</v>
      </c>
      <c r="N828" s="12">
        <f t="shared" si="837"/>
        <v>0</v>
      </c>
      <c r="O828" s="12">
        <f t="shared" si="837"/>
        <v>0</v>
      </c>
      <c r="P828" s="12">
        <f t="shared" si="837"/>
        <v>0</v>
      </c>
      <c r="Q828" s="12">
        <f t="shared" si="837"/>
        <v>3.7276331404618E+26</v>
      </c>
      <c r="R828" s="12">
        <f t="shared" si="837"/>
        <v>0</v>
      </c>
      <c r="S828" s="12">
        <f t="shared" si="837"/>
        <v>60</v>
      </c>
      <c r="T828" s="17" t="s">
        <v>1082</v>
      </c>
    </row>
    <row r="829" spans="1:20" x14ac:dyDescent="0.2">
      <c r="A829" s="12">
        <v>80106</v>
      </c>
      <c r="B829" s="16" t="s">
        <v>1083</v>
      </c>
      <c r="C829" s="2" t="s">
        <v>951</v>
      </c>
      <c r="D829" s="12">
        <v>106</v>
      </c>
      <c r="E829" s="12">
        <v>8</v>
      </c>
      <c r="F829" s="12">
        <f t="shared" ref="F829:S829" si="838">F469</f>
        <v>106</v>
      </c>
      <c r="G829" s="12">
        <f t="shared" si="838"/>
        <v>30045</v>
      </c>
      <c r="H829" s="12">
        <f t="shared" si="838"/>
        <v>2</v>
      </c>
      <c r="I829" s="12">
        <f t="shared" si="838"/>
        <v>2</v>
      </c>
      <c r="J829" s="12">
        <f t="shared" si="838"/>
        <v>6</v>
      </c>
      <c r="K829" s="12">
        <f t="shared" si="838"/>
        <v>6576408858185</v>
      </c>
      <c r="L829" s="12">
        <f t="shared" si="838"/>
        <v>6576408858185</v>
      </c>
      <c r="M829" s="12">
        <f t="shared" si="838"/>
        <v>6576408858185</v>
      </c>
      <c r="N829" s="12">
        <f t="shared" si="838"/>
        <v>0</v>
      </c>
      <c r="O829" s="12">
        <f t="shared" si="838"/>
        <v>0</v>
      </c>
      <c r="P829" s="12">
        <f t="shared" si="838"/>
        <v>0</v>
      </c>
      <c r="Q829" s="12">
        <f t="shared" si="838"/>
        <v>4.20841642240028E+26</v>
      </c>
      <c r="R829" s="12">
        <f t="shared" si="838"/>
        <v>0</v>
      </c>
      <c r="S829" s="12">
        <f t="shared" si="838"/>
        <v>60</v>
      </c>
      <c r="T829" s="17" t="s">
        <v>1082</v>
      </c>
    </row>
    <row r="830" spans="1:20" x14ac:dyDescent="0.2">
      <c r="A830" s="12">
        <v>80107</v>
      </c>
      <c r="B830" s="16" t="s">
        <v>1084</v>
      </c>
      <c r="C830" s="2" t="s">
        <v>951</v>
      </c>
      <c r="D830" s="12">
        <v>107</v>
      </c>
      <c r="E830" s="12">
        <v>8</v>
      </c>
      <c r="F830" s="12">
        <f t="shared" ref="F830:S830" si="839">F470</f>
        <v>107</v>
      </c>
      <c r="G830" s="12">
        <f t="shared" si="839"/>
        <v>30095</v>
      </c>
      <c r="H830" s="12">
        <f t="shared" si="839"/>
        <v>1</v>
      </c>
      <c r="I830" s="12">
        <f t="shared" si="839"/>
        <v>2</v>
      </c>
      <c r="J830" s="12">
        <f t="shared" si="839"/>
        <v>6</v>
      </c>
      <c r="K830" s="12">
        <f t="shared" si="839"/>
        <v>6840833275900</v>
      </c>
      <c r="L830" s="12">
        <f t="shared" si="839"/>
        <v>6840833275900</v>
      </c>
      <c r="M830" s="12">
        <f t="shared" si="839"/>
        <v>6840833275900</v>
      </c>
      <c r="N830" s="12">
        <f t="shared" si="839"/>
        <v>0</v>
      </c>
      <c r="O830" s="12">
        <f t="shared" si="839"/>
        <v>0</v>
      </c>
      <c r="P830" s="12">
        <f t="shared" si="839"/>
        <v>0</v>
      </c>
      <c r="Q830" s="12">
        <f t="shared" si="839"/>
        <v>4.8083041634106298E+26</v>
      </c>
      <c r="R830" s="12">
        <f t="shared" si="839"/>
        <v>0</v>
      </c>
      <c r="S830" s="12">
        <f t="shared" si="839"/>
        <v>60</v>
      </c>
      <c r="T830" s="17" t="s">
        <v>1082</v>
      </c>
    </row>
    <row r="831" spans="1:20" x14ac:dyDescent="0.2">
      <c r="A831" s="12">
        <v>80108</v>
      </c>
      <c r="B831" s="16" t="s">
        <v>1085</v>
      </c>
      <c r="C831" s="2" t="s">
        <v>951</v>
      </c>
      <c r="D831" s="12">
        <v>108</v>
      </c>
      <c r="E831" s="12">
        <v>8</v>
      </c>
      <c r="F831" s="12">
        <f t="shared" ref="F831:S831" si="840">F471</f>
        <v>108</v>
      </c>
      <c r="G831" s="12">
        <f t="shared" si="840"/>
        <v>30145</v>
      </c>
      <c r="H831" s="12">
        <f t="shared" si="840"/>
        <v>3</v>
      </c>
      <c r="I831" s="12">
        <f t="shared" si="840"/>
        <v>2</v>
      </c>
      <c r="J831" s="12">
        <f t="shared" si="840"/>
        <v>6</v>
      </c>
      <c r="K831" s="12">
        <f t="shared" si="840"/>
        <v>7090857446025</v>
      </c>
      <c r="L831" s="12">
        <f t="shared" si="840"/>
        <v>7090857446025</v>
      </c>
      <c r="M831" s="12">
        <f t="shared" si="840"/>
        <v>7090857446025</v>
      </c>
      <c r="N831" s="12">
        <f t="shared" si="840"/>
        <v>0</v>
      </c>
      <c r="O831" s="12">
        <f t="shared" si="840"/>
        <v>0</v>
      </c>
      <c r="P831" s="12">
        <f t="shared" si="840"/>
        <v>0</v>
      </c>
      <c r="Q831" s="12">
        <f t="shared" si="840"/>
        <v>5.4199435353420198E+26</v>
      </c>
      <c r="R831" s="12">
        <f t="shared" si="840"/>
        <v>0</v>
      </c>
      <c r="S831" s="12">
        <f t="shared" si="840"/>
        <v>60</v>
      </c>
      <c r="T831" s="17" t="s">
        <v>1082</v>
      </c>
    </row>
    <row r="832" spans="1:20" x14ac:dyDescent="0.2">
      <c r="A832" s="12">
        <v>80109</v>
      </c>
      <c r="B832" s="16" t="s">
        <v>1086</v>
      </c>
      <c r="C832" s="2" t="s">
        <v>951</v>
      </c>
      <c r="D832" s="12">
        <v>109</v>
      </c>
      <c r="E832" s="12">
        <v>8</v>
      </c>
      <c r="F832" s="12">
        <f t="shared" ref="F832:S832" si="841">F472</f>
        <v>109</v>
      </c>
      <c r="G832" s="12">
        <f t="shared" si="841"/>
        <v>30195</v>
      </c>
      <c r="H832" s="12">
        <f t="shared" si="841"/>
        <v>2</v>
      </c>
      <c r="I832" s="12">
        <f t="shared" si="841"/>
        <v>2</v>
      </c>
      <c r="J832" s="12">
        <f t="shared" si="841"/>
        <v>6</v>
      </c>
      <c r="K832" s="12">
        <f t="shared" si="841"/>
        <v>7372649905835</v>
      </c>
      <c r="L832" s="12">
        <f t="shared" si="841"/>
        <v>7372649905835</v>
      </c>
      <c r="M832" s="12">
        <f t="shared" si="841"/>
        <v>7372649905835</v>
      </c>
      <c r="N832" s="12">
        <f t="shared" si="841"/>
        <v>0</v>
      </c>
      <c r="O832" s="12">
        <f t="shared" si="841"/>
        <v>0</v>
      </c>
      <c r="P832" s="12">
        <f t="shared" si="841"/>
        <v>0</v>
      </c>
      <c r="Q832" s="12">
        <f t="shared" si="841"/>
        <v>6.1817460828511497E+26</v>
      </c>
      <c r="R832" s="12">
        <f t="shared" si="841"/>
        <v>0</v>
      </c>
      <c r="S832" s="12">
        <f t="shared" si="841"/>
        <v>60</v>
      </c>
      <c r="T832" s="17" t="s">
        <v>1087</v>
      </c>
    </row>
    <row r="833" spans="1:20" x14ac:dyDescent="0.2">
      <c r="A833" s="12">
        <v>80110</v>
      </c>
      <c r="B833" s="16" t="s">
        <v>1088</v>
      </c>
      <c r="C833" s="2" t="s">
        <v>951</v>
      </c>
      <c r="D833" s="12">
        <v>110</v>
      </c>
      <c r="E833" s="12">
        <v>8</v>
      </c>
      <c r="F833" s="12">
        <f t="shared" ref="F833:S833" si="842">F473</f>
        <v>110</v>
      </c>
      <c r="G833" s="12">
        <f t="shared" si="842"/>
        <v>40045</v>
      </c>
      <c r="H833" s="12">
        <f t="shared" si="842"/>
        <v>1</v>
      </c>
      <c r="I833" s="12">
        <f t="shared" si="842"/>
        <v>2</v>
      </c>
      <c r="J833" s="12">
        <f t="shared" si="842"/>
        <v>6</v>
      </c>
      <c r="K833" s="12">
        <f t="shared" si="842"/>
        <v>7639048870225</v>
      </c>
      <c r="L833" s="12">
        <f t="shared" si="842"/>
        <v>7639048870225</v>
      </c>
      <c r="M833" s="12">
        <f t="shared" si="842"/>
        <v>7639048870225</v>
      </c>
      <c r="N833" s="12">
        <f t="shared" si="842"/>
        <v>0</v>
      </c>
      <c r="O833" s="12">
        <f t="shared" si="842"/>
        <v>0</v>
      </c>
      <c r="P833" s="12">
        <f t="shared" si="842"/>
        <v>0</v>
      </c>
      <c r="Q833" s="12">
        <f t="shared" si="842"/>
        <v>6.9583585996201498E+26</v>
      </c>
      <c r="R833" s="12">
        <f t="shared" si="842"/>
        <v>0</v>
      </c>
      <c r="S833" s="12">
        <f t="shared" si="842"/>
        <v>60</v>
      </c>
      <c r="T833" s="17" t="s">
        <v>1087</v>
      </c>
    </row>
    <row r="834" spans="1:20" x14ac:dyDescent="0.2">
      <c r="A834" s="12">
        <v>80111</v>
      </c>
      <c r="B834" s="16" t="s">
        <v>1089</v>
      </c>
      <c r="C834" s="2" t="s">
        <v>951</v>
      </c>
      <c r="D834" s="12">
        <v>111</v>
      </c>
      <c r="E834" s="12">
        <v>8</v>
      </c>
      <c r="F834" s="12">
        <f t="shared" ref="F834:S834" si="843">F474</f>
        <v>111</v>
      </c>
      <c r="G834" s="12">
        <f t="shared" si="843"/>
        <v>40095</v>
      </c>
      <c r="H834" s="12">
        <f t="shared" si="843"/>
        <v>3</v>
      </c>
      <c r="I834" s="12">
        <f t="shared" si="843"/>
        <v>2</v>
      </c>
      <c r="J834" s="12">
        <f t="shared" si="843"/>
        <v>6</v>
      </c>
      <c r="K834" s="12">
        <f t="shared" si="843"/>
        <v>7938387725105</v>
      </c>
      <c r="L834" s="12">
        <f t="shared" si="843"/>
        <v>7938387725105</v>
      </c>
      <c r="M834" s="12">
        <f t="shared" si="843"/>
        <v>7938387725105</v>
      </c>
      <c r="N834" s="12">
        <f t="shared" si="843"/>
        <v>0</v>
      </c>
      <c r="O834" s="12">
        <f t="shared" si="843"/>
        <v>0</v>
      </c>
      <c r="P834" s="12">
        <f t="shared" si="843"/>
        <v>0</v>
      </c>
      <c r="Q834" s="12">
        <f t="shared" si="843"/>
        <v>7.9233775288308293E+26</v>
      </c>
      <c r="R834" s="12">
        <f t="shared" si="843"/>
        <v>0</v>
      </c>
      <c r="S834" s="12">
        <f t="shared" si="843"/>
        <v>60</v>
      </c>
      <c r="T834" s="17" t="s">
        <v>1087</v>
      </c>
    </row>
    <row r="835" spans="1:20" x14ac:dyDescent="0.2">
      <c r="A835" s="12">
        <v>80112</v>
      </c>
      <c r="B835" s="16" t="s">
        <v>1090</v>
      </c>
      <c r="C835" s="2" t="s">
        <v>951</v>
      </c>
      <c r="D835" s="12">
        <v>112</v>
      </c>
      <c r="E835" s="12">
        <v>8</v>
      </c>
      <c r="F835" s="12">
        <f t="shared" ref="F835:S835" si="844">F475</f>
        <v>112</v>
      </c>
      <c r="G835" s="12">
        <f t="shared" si="844"/>
        <v>40145</v>
      </c>
      <c r="H835" s="12">
        <f t="shared" si="844"/>
        <v>2</v>
      </c>
      <c r="I835" s="12">
        <f t="shared" si="844"/>
        <v>2</v>
      </c>
      <c r="J835" s="12">
        <f t="shared" si="844"/>
        <v>6</v>
      </c>
      <c r="K835" s="12">
        <f t="shared" si="844"/>
        <v>8221225274630</v>
      </c>
      <c r="L835" s="12">
        <f t="shared" si="844"/>
        <v>8221225274630</v>
      </c>
      <c r="M835" s="12">
        <f t="shared" si="844"/>
        <v>8221225274630</v>
      </c>
      <c r="N835" s="12">
        <f t="shared" si="844"/>
        <v>0</v>
      </c>
      <c r="O835" s="12">
        <f t="shared" si="844"/>
        <v>0</v>
      </c>
      <c r="P835" s="12">
        <f t="shared" si="844"/>
        <v>0</v>
      </c>
      <c r="Q835" s="12">
        <f t="shared" si="844"/>
        <v>8.9057893979743705E+26</v>
      </c>
      <c r="R835" s="12">
        <f t="shared" si="844"/>
        <v>0</v>
      </c>
      <c r="S835" s="12">
        <f t="shared" si="844"/>
        <v>60</v>
      </c>
      <c r="T835" s="17" t="s">
        <v>1087</v>
      </c>
    </row>
    <row r="836" spans="1:20" x14ac:dyDescent="0.2">
      <c r="A836" s="12">
        <v>80113</v>
      </c>
      <c r="B836" s="16" t="s">
        <v>1091</v>
      </c>
      <c r="C836" s="2" t="s">
        <v>951</v>
      </c>
      <c r="D836" s="12">
        <v>113</v>
      </c>
      <c r="E836" s="12">
        <v>8</v>
      </c>
      <c r="F836" s="12">
        <f t="shared" ref="F836:S836" si="845">F476</f>
        <v>113</v>
      </c>
      <c r="G836" s="12">
        <f t="shared" si="845"/>
        <v>40195</v>
      </c>
      <c r="H836" s="12">
        <f t="shared" si="845"/>
        <v>1</v>
      </c>
      <c r="I836" s="12">
        <f t="shared" si="845"/>
        <v>2</v>
      </c>
      <c r="J836" s="12">
        <f t="shared" si="845"/>
        <v>6</v>
      </c>
      <c r="K836" s="12">
        <f t="shared" si="845"/>
        <v>8679849646845</v>
      </c>
      <c r="L836" s="12">
        <f t="shared" si="845"/>
        <v>8679849646845</v>
      </c>
      <c r="M836" s="12">
        <f t="shared" si="845"/>
        <v>8679849646845</v>
      </c>
      <c r="N836" s="12">
        <f t="shared" si="845"/>
        <v>0</v>
      </c>
      <c r="O836" s="12">
        <f t="shared" si="845"/>
        <v>0</v>
      </c>
      <c r="P836" s="12">
        <f t="shared" si="845"/>
        <v>0</v>
      </c>
      <c r="Q836" s="12">
        <f t="shared" si="845"/>
        <v>1.2088356875739901E+27</v>
      </c>
      <c r="R836" s="12">
        <f t="shared" si="845"/>
        <v>0</v>
      </c>
      <c r="S836" s="12">
        <f t="shared" si="845"/>
        <v>60</v>
      </c>
      <c r="T836" s="17" t="s">
        <v>1092</v>
      </c>
    </row>
    <row r="837" spans="1:20" x14ac:dyDescent="0.2">
      <c r="A837" s="12">
        <v>80114</v>
      </c>
      <c r="B837" s="16" t="s">
        <v>1093</v>
      </c>
      <c r="C837" s="2" t="s">
        <v>951</v>
      </c>
      <c r="D837" s="12">
        <v>114</v>
      </c>
      <c r="E837" s="12">
        <v>8</v>
      </c>
      <c r="F837" s="12">
        <f t="shared" ref="F837:S837" si="846">F477</f>
        <v>114</v>
      </c>
      <c r="G837" s="12">
        <f t="shared" si="846"/>
        <v>50045</v>
      </c>
      <c r="H837" s="12">
        <f t="shared" si="846"/>
        <v>3</v>
      </c>
      <c r="I837" s="12">
        <f t="shared" si="846"/>
        <v>2</v>
      </c>
      <c r="J837" s="12">
        <f t="shared" si="846"/>
        <v>6</v>
      </c>
      <c r="K837" s="12">
        <f t="shared" si="846"/>
        <v>8995482646770</v>
      </c>
      <c r="L837" s="12">
        <f t="shared" si="846"/>
        <v>8995482646770</v>
      </c>
      <c r="M837" s="12">
        <f t="shared" si="846"/>
        <v>8995482646770</v>
      </c>
      <c r="N837" s="12">
        <f t="shared" si="846"/>
        <v>0</v>
      </c>
      <c r="O837" s="12">
        <f t="shared" si="846"/>
        <v>0</v>
      </c>
      <c r="P837" s="12">
        <f t="shared" si="846"/>
        <v>0</v>
      </c>
      <c r="Q837" s="12">
        <f t="shared" si="846"/>
        <v>1.3568644490080901E+27</v>
      </c>
      <c r="R837" s="12">
        <f t="shared" si="846"/>
        <v>0</v>
      </c>
      <c r="S837" s="12">
        <f t="shared" si="846"/>
        <v>60</v>
      </c>
      <c r="T837" s="17" t="s">
        <v>1092</v>
      </c>
    </row>
    <row r="838" spans="1:20" x14ac:dyDescent="0.2">
      <c r="A838" s="12">
        <v>80115</v>
      </c>
      <c r="B838" s="16" t="s">
        <v>1094</v>
      </c>
      <c r="C838" s="2" t="s">
        <v>951</v>
      </c>
      <c r="D838" s="12">
        <v>115</v>
      </c>
      <c r="E838" s="12">
        <v>8</v>
      </c>
      <c r="F838" s="12">
        <f t="shared" ref="F838:S838" si="847">F478</f>
        <v>115</v>
      </c>
      <c r="G838" s="12">
        <f t="shared" si="847"/>
        <v>20155</v>
      </c>
      <c r="H838" s="12">
        <f t="shared" si="847"/>
        <v>2</v>
      </c>
      <c r="I838" s="12">
        <f t="shared" si="847"/>
        <v>2</v>
      </c>
      <c r="J838" s="12">
        <f t="shared" si="847"/>
        <v>6</v>
      </c>
      <c r="K838" s="12">
        <f t="shared" si="847"/>
        <v>9349156575210</v>
      </c>
      <c r="L838" s="12">
        <f t="shared" si="847"/>
        <v>9349156575210</v>
      </c>
      <c r="M838" s="12">
        <f t="shared" si="847"/>
        <v>9349156575210</v>
      </c>
      <c r="N838" s="12">
        <f t="shared" si="847"/>
        <v>0</v>
      </c>
      <c r="O838" s="12">
        <f t="shared" si="847"/>
        <v>0</v>
      </c>
      <c r="P838" s="12">
        <f t="shared" si="847"/>
        <v>0</v>
      </c>
      <c r="Q838" s="12">
        <f t="shared" si="847"/>
        <v>1.5400158152349601E+27</v>
      </c>
      <c r="R838" s="12">
        <f t="shared" si="847"/>
        <v>0</v>
      </c>
      <c r="S838" s="12">
        <f t="shared" si="847"/>
        <v>60</v>
      </c>
      <c r="T838" s="17" t="s">
        <v>1092</v>
      </c>
    </row>
    <row r="839" spans="1:20" x14ac:dyDescent="0.2">
      <c r="A839" s="12">
        <v>80116</v>
      </c>
      <c r="B839" s="16" t="s">
        <v>1095</v>
      </c>
      <c r="C839" s="2" t="s">
        <v>951</v>
      </c>
      <c r="D839" s="12">
        <v>116</v>
      </c>
      <c r="E839" s="12">
        <v>8</v>
      </c>
      <c r="F839" s="12">
        <f t="shared" ref="F839:S839" si="848">F479</f>
        <v>116</v>
      </c>
      <c r="G839" s="12">
        <f t="shared" si="848"/>
        <v>20205</v>
      </c>
      <c r="H839" s="12">
        <f t="shared" si="848"/>
        <v>1</v>
      </c>
      <c r="I839" s="12">
        <f t="shared" si="848"/>
        <v>2</v>
      </c>
      <c r="J839" s="12">
        <f t="shared" si="848"/>
        <v>6</v>
      </c>
      <c r="K839" s="12">
        <f t="shared" si="848"/>
        <v>9684325906050</v>
      </c>
      <c r="L839" s="12">
        <f t="shared" si="848"/>
        <v>9684325906050</v>
      </c>
      <c r="M839" s="12">
        <f t="shared" si="848"/>
        <v>9684325906050</v>
      </c>
      <c r="N839" s="12">
        <f t="shared" si="848"/>
        <v>0</v>
      </c>
      <c r="O839" s="12">
        <f t="shared" si="848"/>
        <v>0</v>
      </c>
      <c r="P839" s="12">
        <f t="shared" si="848"/>
        <v>0</v>
      </c>
      <c r="Q839" s="12">
        <f t="shared" si="848"/>
        <v>1.72641385128131E+27</v>
      </c>
      <c r="R839" s="12">
        <f t="shared" si="848"/>
        <v>0</v>
      </c>
      <c r="S839" s="12">
        <f t="shared" si="848"/>
        <v>60</v>
      </c>
      <c r="T839" s="17" t="s">
        <v>1092</v>
      </c>
    </row>
    <row r="840" spans="1:20" x14ac:dyDescent="0.2">
      <c r="A840" s="12">
        <v>80117</v>
      </c>
      <c r="B840" s="16" t="s">
        <v>1096</v>
      </c>
      <c r="C840" s="2" t="s">
        <v>951</v>
      </c>
      <c r="D840" s="12">
        <v>117</v>
      </c>
      <c r="E840" s="12">
        <v>8</v>
      </c>
      <c r="F840" s="12">
        <f t="shared" ref="F840:S840" si="849">F480</f>
        <v>117</v>
      </c>
      <c r="G840" s="12">
        <f t="shared" si="849"/>
        <v>30055</v>
      </c>
      <c r="H840" s="12">
        <f t="shared" si="849"/>
        <v>3</v>
      </c>
      <c r="I840" s="12">
        <f t="shared" si="849"/>
        <v>2</v>
      </c>
      <c r="J840" s="12">
        <f t="shared" si="849"/>
        <v>6</v>
      </c>
      <c r="K840" s="12">
        <f t="shared" si="849"/>
        <v>10061017902095</v>
      </c>
      <c r="L840" s="12">
        <f t="shared" si="849"/>
        <v>10061017902095</v>
      </c>
      <c r="M840" s="12">
        <f t="shared" si="849"/>
        <v>10061017902095</v>
      </c>
      <c r="N840" s="12">
        <f t="shared" si="849"/>
        <v>0</v>
      </c>
      <c r="O840" s="12">
        <f t="shared" si="849"/>
        <v>0</v>
      </c>
      <c r="P840" s="12">
        <f t="shared" si="849"/>
        <v>0</v>
      </c>
      <c r="Q840" s="12">
        <f t="shared" si="849"/>
        <v>1.9569867613705499E+27</v>
      </c>
      <c r="R840" s="12">
        <f t="shared" si="849"/>
        <v>0</v>
      </c>
      <c r="S840" s="12">
        <f t="shared" si="849"/>
        <v>60</v>
      </c>
      <c r="T840" s="25" t="s">
        <v>1097</v>
      </c>
    </row>
    <row r="841" spans="1:20" x14ac:dyDescent="0.2">
      <c r="A841" s="12">
        <v>80118</v>
      </c>
      <c r="B841" s="16" t="s">
        <v>1098</v>
      </c>
      <c r="C841" s="2" t="s">
        <v>951</v>
      </c>
      <c r="D841" s="12">
        <v>118</v>
      </c>
      <c r="E841" s="12">
        <v>8</v>
      </c>
      <c r="F841" s="12">
        <f t="shared" ref="F841:S841" si="850">F481</f>
        <v>118</v>
      </c>
      <c r="G841" s="12">
        <f t="shared" si="850"/>
        <v>30105</v>
      </c>
      <c r="H841" s="12">
        <f t="shared" si="850"/>
        <v>2</v>
      </c>
      <c r="I841" s="12">
        <f t="shared" si="850"/>
        <v>2</v>
      </c>
      <c r="J841" s="12">
        <f t="shared" si="850"/>
        <v>6</v>
      </c>
      <c r="K841" s="12">
        <f t="shared" si="850"/>
        <v>10417853064515</v>
      </c>
      <c r="L841" s="12">
        <f t="shared" si="850"/>
        <v>10417853064515</v>
      </c>
      <c r="M841" s="12">
        <f t="shared" si="850"/>
        <v>10417853064515</v>
      </c>
      <c r="N841" s="12">
        <f t="shared" si="850"/>
        <v>0</v>
      </c>
      <c r="O841" s="12">
        <f t="shared" si="850"/>
        <v>0</v>
      </c>
      <c r="P841" s="12">
        <f t="shared" si="850"/>
        <v>0</v>
      </c>
      <c r="Q841" s="12">
        <f t="shared" si="850"/>
        <v>2.1913428769134401E+27</v>
      </c>
      <c r="R841" s="12">
        <f t="shared" si="850"/>
        <v>0</v>
      </c>
      <c r="S841" s="12">
        <f t="shared" si="850"/>
        <v>60</v>
      </c>
      <c r="T841" s="25" t="s">
        <v>1097</v>
      </c>
    </row>
    <row r="842" spans="1:20" x14ac:dyDescent="0.2">
      <c r="A842" s="12">
        <v>80119</v>
      </c>
      <c r="B842" s="16" t="s">
        <v>1099</v>
      </c>
      <c r="C842" s="2" t="s">
        <v>951</v>
      </c>
      <c r="D842" s="12">
        <v>119</v>
      </c>
      <c r="E842" s="12">
        <v>8</v>
      </c>
      <c r="F842" s="12">
        <f t="shared" ref="F842:S842" si="851">F482</f>
        <v>119</v>
      </c>
      <c r="G842" s="12">
        <f t="shared" si="851"/>
        <v>30155</v>
      </c>
      <c r="H842" s="12">
        <f t="shared" si="851"/>
        <v>1</v>
      </c>
      <c r="I842" s="12">
        <f t="shared" si="851"/>
        <v>2</v>
      </c>
      <c r="J842" s="12">
        <f t="shared" si="851"/>
        <v>6</v>
      </c>
      <c r="K842" s="12">
        <f t="shared" si="851"/>
        <v>10817881818100</v>
      </c>
      <c r="L842" s="12">
        <f t="shared" si="851"/>
        <v>10817881818100</v>
      </c>
      <c r="M842" s="12">
        <f t="shared" si="851"/>
        <v>10817881818100</v>
      </c>
      <c r="N842" s="12">
        <f t="shared" si="851"/>
        <v>0</v>
      </c>
      <c r="O842" s="12">
        <f t="shared" si="851"/>
        <v>0</v>
      </c>
      <c r="P842" s="12">
        <f t="shared" si="851"/>
        <v>0</v>
      </c>
      <c r="Q842" s="12">
        <f t="shared" si="851"/>
        <v>2.4806156616865397E+27</v>
      </c>
      <c r="R842" s="12">
        <f t="shared" si="851"/>
        <v>0</v>
      </c>
      <c r="S842" s="12">
        <f t="shared" si="851"/>
        <v>60</v>
      </c>
      <c r="T842" s="25" t="s">
        <v>1097</v>
      </c>
    </row>
    <row r="843" spans="1:20" x14ac:dyDescent="0.2">
      <c r="A843" s="12">
        <v>80120</v>
      </c>
      <c r="B843" s="16" t="s">
        <v>1100</v>
      </c>
      <c r="C843" s="2" t="s">
        <v>951</v>
      </c>
      <c r="D843" s="12">
        <v>120</v>
      </c>
      <c r="E843" s="12">
        <v>8</v>
      </c>
      <c r="F843" s="12">
        <f t="shared" ref="F843:S843" si="852">F483</f>
        <v>120</v>
      </c>
      <c r="G843" s="12">
        <f t="shared" si="852"/>
        <v>30205</v>
      </c>
      <c r="H843" s="12">
        <f t="shared" si="852"/>
        <v>3</v>
      </c>
      <c r="I843" s="12">
        <f t="shared" si="852"/>
        <v>2</v>
      </c>
      <c r="J843" s="12">
        <f t="shared" si="852"/>
        <v>6</v>
      </c>
      <c r="K843" s="12">
        <f t="shared" si="852"/>
        <v>11196545828205</v>
      </c>
      <c r="L843" s="12">
        <f t="shared" si="852"/>
        <v>11196545828205</v>
      </c>
      <c r="M843" s="12">
        <f t="shared" si="852"/>
        <v>11196545828205</v>
      </c>
      <c r="N843" s="12">
        <f t="shared" si="852"/>
        <v>0</v>
      </c>
      <c r="O843" s="12">
        <f t="shared" si="852"/>
        <v>0</v>
      </c>
      <c r="P843" s="12">
        <f t="shared" si="852"/>
        <v>0</v>
      </c>
      <c r="Q843" s="12">
        <f t="shared" si="852"/>
        <v>2.6968238110057798E+27</v>
      </c>
      <c r="R843" s="12">
        <f t="shared" si="852"/>
        <v>0</v>
      </c>
      <c r="S843" s="12">
        <f t="shared" si="852"/>
        <v>60</v>
      </c>
      <c r="T843" s="25" t="s">
        <v>1097</v>
      </c>
    </row>
    <row r="844" spans="1:20" x14ac:dyDescent="0.2">
      <c r="A844" s="29">
        <v>1000001</v>
      </c>
      <c r="B844" s="29" t="s">
        <v>1101</v>
      </c>
      <c r="C844" s="29" t="s">
        <v>1102</v>
      </c>
      <c r="D844" s="29">
        <v>1</v>
      </c>
      <c r="E844" s="29">
        <v>100</v>
      </c>
      <c r="F844" s="29">
        <v>1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  <c r="M844" s="30">
        <v>0</v>
      </c>
      <c r="N844" s="30">
        <v>0</v>
      </c>
      <c r="O844" s="30">
        <v>0</v>
      </c>
      <c r="P844" s="30">
        <v>0</v>
      </c>
      <c r="Q844" s="30">
        <v>0</v>
      </c>
      <c r="R844" s="30">
        <v>0</v>
      </c>
      <c r="S844" s="29">
        <v>60</v>
      </c>
      <c r="T844" s="31" t="s">
        <v>1103</v>
      </c>
    </row>
    <row r="845" spans="1:20" x14ac:dyDescent="0.2">
      <c r="A845" s="29">
        <v>1000002</v>
      </c>
      <c r="B845" s="29" t="s">
        <v>1101</v>
      </c>
      <c r="C845" s="29" t="s">
        <v>1102</v>
      </c>
      <c r="D845" s="29">
        <v>1</v>
      </c>
      <c r="E845" s="29">
        <v>101</v>
      </c>
      <c r="F845" s="29">
        <v>1</v>
      </c>
      <c r="G845" s="30">
        <v>0</v>
      </c>
      <c r="H845" s="30">
        <v>0</v>
      </c>
      <c r="I845" s="30">
        <v>0</v>
      </c>
      <c r="J845" s="30">
        <v>0</v>
      </c>
      <c r="K845" s="30">
        <v>0</v>
      </c>
      <c r="L845" s="30">
        <v>0</v>
      </c>
      <c r="M845" s="30">
        <v>0</v>
      </c>
      <c r="N845" s="30">
        <v>0</v>
      </c>
      <c r="O845" s="30">
        <v>0</v>
      </c>
      <c r="P845" s="30">
        <v>0</v>
      </c>
      <c r="Q845" s="30">
        <v>0</v>
      </c>
      <c r="R845" s="30">
        <v>0</v>
      </c>
      <c r="S845" s="29">
        <v>60</v>
      </c>
      <c r="T845" s="31" t="s">
        <v>1103</v>
      </c>
    </row>
  </sheetData>
  <phoneticPr fontId="9" type="noConversion"/>
  <conditionalFormatting sqref="I2">
    <cfRule type="duplicateValues" dxfId="20" priority="2"/>
  </conditionalFormatting>
  <conditionalFormatting sqref="J2">
    <cfRule type="duplicateValues" dxfId="19" priority="3"/>
  </conditionalFormatting>
  <conditionalFormatting sqref="K2">
    <cfRule type="duplicateValues" dxfId="18" priority="9"/>
  </conditionalFormatting>
  <conditionalFormatting sqref="L2">
    <cfRule type="duplicateValues" dxfId="17" priority="8"/>
  </conditionalFormatting>
  <conditionalFormatting sqref="N2">
    <cfRule type="duplicateValues" dxfId="16" priority="7"/>
  </conditionalFormatting>
  <conditionalFormatting sqref="O2">
    <cfRule type="duplicateValues" dxfId="15" priority="5"/>
  </conditionalFormatting>
  <conditionalFormatting sqref="P2">
    <cfRule type="duplicateValues" dxfId="14" priority="6"/>
  </conditionalFormatting>
  <conditionalFormatting sqref="Q3">
    <cfRule type="duplicateValues" dxfId="13" priority="4"/>
  </conditionalFormatting>
  <conditionalFormatting sqref="R3">
    <cfRule type="duplicateValues" dxfId="12" priority="1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opLeftCell="A109" workbookViewId="0">
      <selection activeCell="I124" sqref="I124"/>
    </sheetView>
  </sheetViews>
  <sheetFormatPr defaultColWidth="9" defaultRowHeight="14.25" x14ac:dyDescent="0.2"/>
  <cols>
    <col min="3" max="3" width="10.875" customWidth="1"/>
    <col min="5" max="5" width="13.125" customWidth="1"/>
  </cols>
  <sheetData>
    <row r="1" spans="1:5" x14ac:dyDescent="0.2">
      <c r="A1" s="9" t="s">
        <v>1104</v>
      </c>
      <c r="B1" s="9" t="s">
        <v>1105</v>
      </c>
      <c r="C1" s="9" t="s">
        <v>1106</v>
      </c>
      <c r="D1" s="9" t="s">
        <v>1107</v>
      </c>
      <c r="E1" s="15"/>
    </row>
    <row r="2" spans="1:5" x14ac:dyDescent="0.2">
      <c r="A2" s="12">
        <v>1</v>
      </c>
      <c r="B2">
        <f>VLOOKUP(A:A,[2]钻石产出!$B$28:$C$147,2,FALSE)</f>
        <v>300</v>
      </c>
      <c r="C2">
        <v>1000</v>
      </c>
      <c r="D2" s="9" t="s">
        <v>1108</v>
      </c>
      <c r="E2" t="str">
        <f>C2&amp;D2&amp;B2</f>
        <v>1000,300</v>
      </c>
    </row>
    <row r="3" spans="1:5" x14ac:dyDescent="0.2">
      <c r="A3" s="12">
        <v>2</v>
      </c>
      <c r="B3">
        <f>VLOOKUP(A:A,[2]钻石产出!$B$28:$C$147,2,FALSE)</f>
        <v>300</v>
      </c>
      <c r="C3">
        <v>1000</v>
      </c>
      <c r="D3" s="9" t="s">
        <v>1108</v>
      </c>
      <c r="E3" t="str">
        <f t="shared" ref="E3:E66" si="0">C3&amp;D3&amp;B3</f>
        <v>1000,300</v>
      </c>
    </row>
    <row r="4" spans="1:5" x14ac:dyDescent="0.2">
      <c r="A4" s="12">
        <v>3</v>
      </c>
      <c r="B4">
        <f>VLOOKUP(A:A,[2]钻石产出!$B$28:$C$147,2,FALSE)</f>
        <v>300</v>
      </c>
      <c r="C4">
        <v>1000</v>
      </c>
      <c r="D4" s="9" t="s">
        <v>1108</v>
      </c>
      <c r="E4" t="str">
        <f t="shared" si="0"/>
        <v>1000,300</v>
      </c>
    </row>
    <row r="5" spans="1:5" x14ac:dyDescent="0.2">
      <c r="A5" s="12">
        <v>4</v>
      </c>
      <c r="B5">
        <f>VLOOKUP(A:A,[2]钻石产出!$B$28:$C$147,2,FALSE)</f>
        <v>300</v>
      </c>
      <c r="C5">
        <v>1000</v>
      </c>
      <c r="D5" s="9" t="s">
        <v>1108</v>
      </c>
      <c r="E5" t="str">
        <f t="shared" si="0"/>
        <v>1000,300</v>
      </c>
    </row>
    <row r="6" spans="1:5" x14ac:dyDescent="0.2">
      <c r="A6" s="12">
        <v>5</v>
      </c>
      <c r="B6">
        <f>VLOOKUP(A:A,[2]钻石产出!$B$28:$C$147,2,FALSE)</f>
        <v>310</v>
      </c>
      <c r="C6">
        <v>1000</v>
      </c>
      <c r="D6" s="9" t="s">
        <v>1108</v>
      </c>
      <c r="E6" t="str">
        <f t="shared" si="0"/>
        <v>1000,310</v>
      </c>
    </row>
    <row r="7" spans="1:5" x14ac:dyDescent="0.2">
      <c r="A7" s="12">
        <v>6</v>
      </c>
      <c r="B7">
        <f>VLOOKUP(A:A,[2]钻石产出!$B$28:$C$147,2,FALSE)</f>
        <v>310</v>
      </c>
      <c r="C7">
        <v>1000</v>
      </c>
      <c r="D7" s="9" t="s">
        <v>1108</v>
      </c>
      <c r="E7" t="str">
        <f t="shared" si="0"/>
        <v>1000,310</v>
      </c>
    </row>
    <row r="8" spans="1:5" x14ac:dyDescent="0.2">
      <c r="A8" s="12">
        <v>7</v>
      </c>
      <c r="B8">
        <f>VLOOKUP(A:A,[2]钻石产出!$B$28:$C$147,2,FALSE)</f>
        <v>310</v>
      </c>
      <c r="C8">
        <v>1000</v>
      </c>
      <c r="D8" s="9" t="s">
        <v>1108</v>
      </c>
      <c r="E8" t="str">
        <f t="shared" si="0"/>
        <v>1000,310</v>
      </c>
    </row>
    <row r="9" spans="1:5" x14ac:dyDescent="0.2">
      <c r="A9" s="12">
        <v>8</v>
      </c>
      <c r="B9">
        <f>VLOOKUP(A:A,[2]钻石产出!$B$28:$C$147,2,FALSE)</f>
        <v>310</v>
      </c>
      <c r="C9">
        <v>1000</v>
      </c>
      <c r="D9" s="9" t="s">
        <v>1108</v>
      </c>
      <c r="E9" t="str">
        <f t="shared" si="0"/>
        <v>1000,310</v>
      </c>
    </row>
    <row r="10" spans="1:5" x14ac:dyDescent="0.2">
      <c r="A10" s="12">
        <v>9</v>
      </c>
      <c r="B10">
        <f>VLOOKUP(A:A,[2]钻石产出!$B$28:$C$147,2,FALSE)</f>
        <v>320</v>
      </c>
      <c r="C10">
        <v>1000</v>
      </c>
      <c r="D10" s="9" t="s">
        <v>1108</v>
      </c>
      <c r="E10" t="str">
        <f t="shared" si="0"/>
        <v>1000,320</v>
      </c>
    </row>
    <row r="11" spans="1:5" x14ac:dyDescent="0.2">
      <c r="A11" s="12">
        <v>10</v>
      </c>
      <c r="B11">
        <f>VLOOKUP(A:A,[2]钻石产出!$B$28:$C$147,2,FALSE)</f>
        <v>320</v>
      </c>
      <c r="C11">
        <v>1000</v>
      </c>
      <c r="D11" s="9" t="s">
        <v>1108</v>
      </c>
      <c r="E11" t="str">
        <f t="shared" si="0"/>
        <v>1000,320</v>
      </c>
    </row>
    <row r="12" spans="1:5" x14ac:dyDescent="0.2">
      <c r="A12" s="12">
        <v>11</v>
      </c>
      <c r="B12">
        <f>VLOOKUP(A:A,[2]钻石产出!$B$28:$C$147,2,FALSE)</f>
        <v>320</v>
      </c>
      <c r="C12">
        <v>1000</v>
      </c>
      <c r="D12" s="9" t="s">
        <v>1108</v>
      </c>
      <c r="E12" t="str">
        <f t="shared" si="0"/>
        <v>1000,320</v>
      </c>
    </row>
    <row r="13" spans="1:5" x14ac:dyDescent="0.2">
      <c r="A13" s="12">
        <v>12</v>
      </c>
      <c r="B13">
        <f>VLOOKUP(A:A,[2]钻石产出!$B$28:$C$147,2,FALSE)</f>
        <v>320</v>
      </c>
      <c r="C13">
        <v>1000</v>
      </c>
      <c r="D13" s="9" t="s">
        <v>1108</v>
      </c>
      <c r="E13" t="str">
        <f t="shared" si="0"/>
        <v>1000,320</v>
      </c>
    </row>
    <row r="14" spans="1:5" x14ac:dyDescent="0.2">
      <c r="A14" s="12">
        <v>13</v>
      </c>
      <c r="B14">
        <f>VLOOKUP(A:A,[2]钻石产出!$B$28:$C$147,2,FALSE)</f>
        <v>330</v>
      </c>
      <c r="C14">
        <v>1000</v>
      </c>
      <c r="D14" s="9" t="s">
        <v>1108</v>
      </c>
      <c r="E14" t="str">
        <f t="shared" si="0"/>
        <v>1000,330</v>
      </c>
    </row>
    <row r="15" spans="1:5" x14ac:dyDescent="0.2">
      <c r="A15" s="12">
        <v>14</v>
      </c>
      <c r="B15">
        <f>VLOOKUP(A:A,[2]钻石产出!$B$28:$C$147,2,FALSE)</f>
        <v>330</v>
      </c>
      <c r="C15">
        <v>1000</v>
      </c>
      <c r="D15" s="9" t="s">
        <v>1108</v>
      </c>
      <c r="E15" t="str">
        <f t="shared" si="0"/>
        <v>1000,330</v>
      </c>
    </row>
    <row r="16" spans="1:5" x14ac:dyDescent="0.2">
      <c r="A16" s="12">
        <v>15</v>
      </c>
      <c r="B16">
        <f>VLOOKUP(A:A,[2]钻石产出!$B$28:$C$147,2,FALSE)</f>
        <v>330</v>
      </c>
      <c r="C16">
        <v>1000</v>
      </c>
      <c r="D16" s="9" t="s">
        <v>1108</v>
      </c>
      <c r="E16" t="str">
        <f t="shared" si="0"/>
        <v>1000,330</v>
      </c>
    </row>
    <row r="17" spans="1:5" x14ac:dyDescent="0.2">
      <c r="A17" s="12">
        <v>16</v>
      </c>
      <c r="B17">
        <f>VLOOKUP(A:A,[2]钻石产出!$B$28:$C$147,2,FALSE)</f>
        <v>330</v>
      </c>
      <c r="C17">
        <v>1000</v>
      </c>
      <c r="D17" s="9" t="s">
        <v>1108</v>
      </c>
      <c r="E17" t="str">
        <f t="shared" si="0"/>
        <v>1000,330</v>
      </c>
    </row>
    <row r="18" spans="1:5" x14ac:dyDescent="0.2">
      <c r="A18" s="12">
        <v>17</v>
      </c>
      <c r="B18">
        <f>VLOOKUP(A:A,[2]钻石产出!$B$28:$C$147,2,FALSE)</f>
        <v>340</v>
      </c>
      <c r="C18">
        <v>1000</v>
      </c>
      <c r="D18" s="9" t="s">
        <v>1108</v>
      </c>
      <c r="E18" t="str">
        <f t="shared" si="0"/>
        <v>1000,340</v>
      </c>
    </row>
    <row r="19" spans="1:5" x14ac:dyDescent="0.2">
      <c r="A19" s="12">
        <v>18</v>
      </c>
      <c r="B19">
        <f>VLOOKUP(A:A,[2]钻石产出!$B$28:$C$147,2,FALSE)</f>
        <v>340</v>
      </c>
      <c r="C19">
        <v>1000</v>
      </c>
      <c r="D19" s="9" t="s">
        <v>1108</v>
      </c>
      <c r="E19" t="str">
        <f t="shared" si="0"/>
        <v>1000,340</v>
      </c>
    </row>
    <row r="20" spans="1:5" x14ac:dyDescent="0.2">
      <c r="A20" s="12">
        <v>19</v>
      </c>
      <c r="B20">
        <f>VLOOKUP(A:A,[2]钻石产出!$B$28:$C$147,2,FALSE)</f>
        <v>340</v>
      </c>
      <c r="C20">
        <v>1000</v>
      </c>
      <c r="D20" s="9" t="s">
        <v>1108</v>
      </c>
      <c r="E20" t="str">
        <f t="shared" si="0"/>
        <v>1000,340</v>
      </c>
    </row>
    <row r="21" spans="1:5" x14ac:dyDescent="0.2">
      <c r="A21" s="12">
        <v>20</v>
      </c>
      <c r="B21">
        <f>VLOOKUP(A:A,[2]钻石产出!$B$28:$C$147,2,FALSE)</f>
        <v>340</v>
      </c>
      <c r="C21">
        <v>1000</v>
      </c>
      <c r="D21" s="9" t="s">
        <v>1108</v>
      </c>
      <c r="E21" t="str">
        <f t="shared" si="0"/>
        <v>1000,340</v>
      </c>
    </row>
    <row r="22" spans="1:5" x14ac:dyDescent="0.2">
      <c r="A22" s="12">
        <v>21</v>
      </c>
      <c r="B22">
        <f>VLOOKUP(A:A,[2]钻石产出!$B$28:$C$147,2,FALSE)</f>
        <v>350</v>
      </c>
      <c r="C22">
        <v>1000</v>
      </c>
      <c r="D22" s="9" t="s">
        <v>1108</v>
      </c>
      <c r="E22" t="str">
        <f t="shared" si="0"/>
        <v>1000,350</v>
      </c>
    </row>
    <row r="23" spans="1:5" x14ac:dyDescent="0.2">
      <c r="A23" s="12">
        <v>22</v>
      </c>
      <c r="B23">
        <f>VLOOKUP(A:A,[2]钻石产出!$B$28:$C$147,2,FALSE)</f>
        <v>350</v>
      </c>
      <c r="C23">
        <v>1000</v>
      </c>
      <c r="D23" s="9" t="s">
        <v>1108</v>
      </c>
      <c r="E23" t="str">
        <f t="shared" si="0"/>
        <v>1000,350</v>
      </c>
    </row>
    <row r="24" spans="1:5" x14ac:dyDescent="0.2">
      <c r="A24" s="12">
        <v>23</v>
      </c>
      <c r="B24">
        <f>VLOOKUP(A:A,[2]钻石产出!$B$28:$C$147,2,FALSE)</f>
        <v>350</v>
      </c>
      <c r="C24">
        <v>1000</v>
      </c>
      <c r="D24" s="9" t="s">
        <v>1108</v>
      </c>
      <c r="E24" t="str">
        <f t="shared" si="0"/>
        <v>1000,350</v>
      </c>
    </row>
    <row r="25" spans="1:5" x14ac:dyDescent="0.2">
      <c r="A25" s="12">
        <v>24</v>
      </c>
      <c r="B25">
        <f>VLOOKUP(A:A,[2]钻石产出!$B$28:$C$147,2,FALSE)</f>
        <v>350</v>
      </c>
      <c r="C25">
        <v>1000</v>
      </c>
      <c r="D25" s="9" t="s">
        <v>1108</v>
      </c>
      <c r="E25" t="str">
        <f t="shared" si="0"/>
        <v>1000,350</v>
      </c>
    </row>
    <row r="26" spans="1:5" x14ac:dyDescent="0.2">
      <c r="A26" s="12">
        <v>25</v>
      </c>
      <c r="B26">
        <f>VLOOKUP(A:A,[2]钻石产出!$B$28:$C$147,2,FALSE)</f>
        <v>360</v>
      </c>
      <c r="C26">
        <v>1000</v>
      </c>
      <c r="D26" s="9" t="s">
        <v>1108</v>
      </c>
      <c r="E26" t="str">
        <f t="shared" si="0"/>
        <v>1000,360</v>
      </c>
    </row>
    <row r="27" spans="1:5" x14ac:dyDescent="0.2">
      <c r="A27" s="12">
        <v>26</v>
      </c>
      <c r="B27">
        <f>VLOOKUP(A:A,[2]钻石产出!$B$28:$C$147,2,FALSE)</f>
        <v>360</v>
      </c>
      <c r="C27">
        <v>1000</v>
      </c>
      <c r="D27" s="9" t="s">
        <v>1108</v>
      </c>
      <c r="E27" t="str">
        <f t="shared" si="0"/>
        <v>1000,360</v>
      </c>
    </row>
    <row r="28" spans="1:5" x14ac:dyDescent="0.2">
      <c r="A28" s="12">
        <v>27</v>
      </c>
      <c r="B28">
        <f>VLOOKUP(A:A,[2]钻石产出!$B$28:$C$147,2,FALSE)</f>
        <v>360</v>
      </c>
      <c r="C28">
        <v>1000</v>
      </c>
      <c r="D28" s="9" t="s">
        <v>1108</v>
      </c>
      <c r="E28" t="str">
        <f t="shared" si="0"/>
        <v>1000,360</v>
      </c>
    </row>
    <row r="29" spans="1:5" x14ac:dyDescent="0.2">
      <c r="A29" s="12">
        <v>28</v>
      </c>
      <c r="B29">
        <f>VLOOKUP(A:A,[2]钻石产出!$B$28:$C$147,2,FALSE)</f>
        <v>360</v>
      </c>
      <c r="C29">
        <v>1000</v>
      </c>
      <c r="D29" s="9" t="s">
        <v>1108</v>
      </c>
      <c r="E29" t="str">
        <f t="shared" si="0"/>
        <v>1000,360</v>
      </c>
    </row>
    <row r="30" spans="1:5" x14ac:dyDescent="0.2">
      <c r="A30" s="12">
        <v>29</v>
      </c>
      <c r="B30">
        <f>VLOOKUP(A:A,[2]钻石产出!$B$28:$C$147,2,FALSE)</f>
        <v>370</v>
      </c>
      <c r="C30">
        <v>1000</v>
      </c>
      <c r="D30" s="9" t="s">
        <v>1108</v>
      </c>
      <c r="E30" t="str">
        <f t="shared" si="0"/>
        <v>1000,370</v>
      </c>
    </row>
    <row r="31" spans="1:5" x14ac:dyDescent="0.2">
      <c r="A31" s="12">
        <v>30</v>
      </c>
      <c r="B31">
        <f>VLOOKUP(A:A,[2]钻石产出!$B$28:$C$147,2,FALSE)</f>
        <v>370</v>
      </c>
      <c r="C31">
        <v>1000</v>
      </c>
      <c r="D31" s="9" t="s">
        <v>1108</v>
      </c>
      <c r="E31" t="str">
        <f t="shared" si="0"/>
        <v>1000,370</v>
      </c>
    </row>
    <row r="32" spans="1:5" x14ac:dyDescent="0.2">
      <c r="A32" s="12">
        <v>31</v>
      </c>
      <c r="B32">
        <f>VLOOKUP(A:A,[2]钻石产出!$B$28:$C$147,2,FALSE)</f>
        <v>370</v>
      </c>
      <c r="C32">
        <v>1000</v>
      </c>
      <c r="D32" s="9" t="s">
        <v>1108</v>
      </c>
      <c r="E32" t="str">
        <f t="shared" si="0"/>
        <v>1000,370</v>
      </c>
    </row>
    <row r="33" spans="1:5" x14ac:dyDescent="0.2">
      <c r="A33" s="12">
        <v>32</v>
      </c>
      <c r="B33">
        <f>VLOOKUP(A:A,[2]钻石产出!$B$28:$C$147,2,FALSE)</f>
        <v>370</v>
      </c>
      <c r="C33">
        <v>1000</v>
      </c>
      <c r="D33" s="9" t="s">
        <v>1108</v>
      </c>
      <c r="E33" t="str">
        <f t="shared" si="0"/>
        <v>1000,370</v>
      </c>
    </row>
    <row r="34" spans="1:5" x14ac:dyDescent="0.2">
      <c r="A34" s="12">
        <v>33</v>
      </c>
      <c r="B34">
        <f>VLOOKUP(A:A,[2]钻石产出!$B$28:$C$147,2,FALSE)</f>
        <v>380</v>
      </c>
      <c r="C34">
        <v>1000</v>
      </c>
      <c r="D34" s="9" t="s">
        <v>1108</v>
      </c>
      <c r="E34" t="str">
        <f t="shared" si="0"/>
        <v>1000,380</v>
      </c>
    </row>
    <row r="35" spans="1:5" x14ac:dyDescent="0.2">
      <c r="A35" s="12">
        <v>34</v>
      </c>
      <c r="B35">
        <f>VLOOKUP(A:A,[2]钻石产出!$B$28:$C$147,2,FALSE)</f>
        <v>380</v>
      </c>
      <c r="C35">
        <v>1000</v>
      </c>
      <c r="D35" s="9" t="s">
        <v>1108</v>
      </c>
      <c r="E35" t="str">
        <f t="shared" si="0"/>
        <v>1000,380</v>
      </c>
    </row>
    <row r="36" spans="1:5" x14ac:dyDescent="0.2">
      <c r="A36" s="12">
        <v>35</v>
      </c>
      <c r="B36">
        <f>VLOOKUP(A:A,[2]钻石产出!$B$28:$C$147,2,FALSE)</f>
        <v>380</v>
      </c>
      <c r="C36">
        <v>1000</v>
      </c>
      <c r="D36" s="9" t="s">
        <v>1108</v>
      </c>
      <c r="E36" t="str">
        <f t="shared" si="0"/>
        <v>1000,380</v>
      </c>
    </row>
    <row r="37" spans="1:5" x14ac:dyDescent="0.2">
      <c r="A37" s="12">
        <v>36</v>
      </c>
      <c r="B37">
        <f>VLOOKUP(A:A,[2]钻石产出!$B$28:$C$147,2,FALSE)</f>
        <v>380</v>
      </c>
      <c r="C37">
        <v>1000</v>
      </c>
      <c r="D37" s="9" t="s">
        <v>1108</v>
      </c>
      <c r="E37" t="str">
        <f t="shared" si="0"/>
        <v>1000,380</v>
      </c>
    </row>
    <row r="38" spans="1:5" x14ac:dyDescent="0.2">
      <c r="A38" s="12">
        <v>37</v>
      </c>
      <c r="B38">
        <f>VLOOKUP(A:A,[2]钻石产出!$B$28:$C$147,2,FALSE)</f>
        <v>390</v>
      </c>
      <c r="C38">
        <v>1000</v>
      </c>
      <c r="D38" s="9" t="s">
        <v>1108</v>
      </c>
      <c r="E38" t="str">
        <f t="shared" si="0"/>
        <v>1000,390</v>
      </c>
    </row>
    <row r="39" spans="1:5" x14ac:dyDescent="0.2">
      <c r="A39" s="12">
        <v>38</v>
      </c>
      <c r="B39">
        <f>VLOOKUP(A:A,[2]钻石产出!$B$28:$C$147,2,FALSE)</f>
        <v>390</v>
      </c>
      <c r="C39">
        <v>1000</v>
      </c>
      <c r="D39" s="9" t="s">
        <v>1108</v>
      </c>
      <c r="E39" t="str">
        <f t="shared" si="0"/>
        <v>1000,390</v>
      </c>
    </row>
    <row r="40" spans="1:5" x14ac:dyDescent="0.2">
      <c r="A40" s="12">
        <v>39</v>
      </c>
      <c r="B40">
        <f>VLOOKUP(A:A,[2]钻石产出!$B$28:$C$147,2,FALSE)</f>
        <v>390</v>
      </c>
      <c r="C40">
        <v>1000</v>
      </c>
      <c r="D40" s="9" t="s">
        <v>1108</v>
      </c>
      <c r="E40" t="str">
        <f t="shared" si="0"/>
        <v>1000,390</v>
      </c>
    </row>
    <row r="41" spans="1:5" x14ac:dyDescent="0.2">
      <c r="A41" s="12">
        <v>40</v>
      </c>
      <c r="B41">
        <f>VLOOKUP(A:A,[2]钻石产出!$B$28:$C$147,2,FALSE)</f>
        <v>390</v>
      </c>
      <c r="C41">
        <v>1000</v>
      </c>
      <c r="D41" s="9" t="s">
        <v>1108</v>
      </c>
      <c r="E41" t="str">
        <f t="shared" si="0"/>
        <v>1000,390</v>
      </c>
    </row>
    <row r="42" spans="1:5" x14ac:dyDescent="0.2">
      <c r="A42" s="12">
        <v>41</v>
      </c>
      <c r="B42">
        <f>VLOOKUP(A:A,[2]钻石产出!$B$28:$C$147,2,FALSE)</f>
        <v>400</v>
      </c>
      <c r="C42">
        <v>1000</v>
      </c>
      <c r="D42" s="9" t="s">
        <v>1108</v>
      </c>
      <c r="E42" t="str">
        <f t="shared" si="0"/>
        <v>1000,400</v>
      </c>
    </row>
    <row r="43" spans="1:5" x14ac:dyDescent="0.2">
      <c r="A43" s="12">
        <v>42</v>
      </c>
      <c r="B43">
        <f>VLOOKUP(A:A,[2]钻石产出!$B$28:$C$147,2,FALSE)</f>
        <v>400</v>
      </c>
      <c r="C43">
        <v>1000</v>
      </c>
      <c r="D43" s="9" t="s">
        <v>1108</v>
      </c>
      <c r="E43" t="str">
        <f t="shared" si="0"/>
        <v>1000,400</v>
      </c>
    </row>
    <row r="44" spans="1:5" x14ac:dyDescent="0.2">
      <c r="A44" s="12">
        <v>43</v>
      </c>
      <c r="B44">
        <f>VLOOKUP(A:A,[2]钻石产出!$B$28:$C$147,2,FALSE)</f>
        <v>400</v>
      </c>
      <c r="C44">
        <v>1000</v>
      </c>
      <c r="D44" s="9" t="s">
        <v>1108</v>
      </c>
      <c r="E44" t="str">
        <f t="shared" si="0"/>
        <v>1000,400</v>
      </c>
    </row>
    <row r="45" spans="1:5" x14ac:dyDescent="0.2">
      <c r="A45" s="12">
        <v>44</v>
      </c>
      <c r="B45">
        <f>VLOOKUP(A:A,[2]钻石产出!$B$28:$C$147,2,FALSE)</f>
        <v>400</v>
      </c>
      <c r="C45">
        <v>1000</v>
      </c>
      <c r="D45" s="9" t="s">
        <v>1108</v>
      </c>
      <c r="E45" t="str">
        <f t="shared" si="0"/>
        <v>1000,400</v>
      </c>
    </row>
    <row r="46" spans="1:5" x14ac:dyDescent="0.2">
      <c r="A46" s="12">
        <v>45</v>
      </c>
      <c r="B46">
        <f>VLOOKUP(A:A,[2]钻石产出!$B$28:$C$147,2,FALSE)</f>
        <v>410</v>
      </c>
      <c r="C46">
        <v>1000</v>
      </c>
      <c r="D46" s="9" t="s">
        <v>1108</v>
      </c>
      <c r="E46" t="str">
        <f t="shared" si="0"/>
        <v>1000,410</v>
      </c>
    </row>
    <row r="47" spans="1:5" x14ac:dyDescent="0.2">
      <c r="A47" s="12">
        <v>46</v>
      </c>
      <c r="B47">
        <f>VLOOKUP(A:A,[2]钻石产出!$B$28:$C$147,2,FALSE)</f>
        <v>410</v>
      </c>
      <c r="C47">
        <v>1000</v>
      </c>
      <c r="D47" s="9" t="s">
        <v>1108</v>
      </c>
      <c r="E47" t="str">
        <f t="shared" si="0"/>
        <v>1000,410</v>
      </c>
    </row>
    <row r="48" spans="1:5" x14ac:dyDescent="0.2">
      <c r="A48" s="12">
        <v>47</v>
      </c>
      <c r="B48">
        <f>VLOOKUP(A:A,[2]钻石产出!$B$28:$C$147,2,FALSE)</f>
        <v>410</v>
      </c>
      <c r="C48">
        <v>1000</v>
      </c>
      <c r="D48" s="9" t="s">
        <v>1108</v>
      </c>
      <c r="E48" t="str">
        <f t="shared" si="0"/>
        <v>1000,410</v>
      </c>
    </row>
    <row r="49" spans="1:5" x14ac:dyDescent="0.2">
      <c r="A49" s="12">
        <v>48</v>
      </c>
      <c r="B49">
        <f>VLOOKUP(A:A,[2]钻石产出!$B$28:$C$147,2,FALSE)</f>
        <v>410</v>
      </c>
      <c r="C49">
        <v>1000</v>
      </c>
      <c r="D49" s="9" t="s">
        <v>1108</v>
      </c>
      <c r="E49" t="str">
        <f t="shared" si="0"/>
        <v>1000,410</v>
      </c>
    </row>
    <row r="50" spans="1:5" x14ac:dyDescent="0.2">
      <c r="A50" s="12">
        <v>49</v>
      </c>
      <c r="B50">
        <f>VLOOKUP(A:A,[2]钻石产出!$B$28:$C$147,2,FALSE)</f>
        <v>420</v>
      </c>
      <c r="C50">
        <v>1000</v>
      </c>
      <c r="D50" s="9" t="s">
        <v>1108</v>
      </c>
      <c r="E50" t="str">
        <f t="shared" si="0"/>
        <v>1000,420</v>
      </c>
    </row>
    <row r="51" spans="1:5" x14ac:dyDescent="0.2">
      <c r="A51" s="12">
        <v>50</v>
      </c>
      <c r="B51">
        <f>VLOOKUP(A:A,[2]钻石产出!$B$28:$C$147,2,FALSE)</f>
        <v>420</v>
      </c>
      <c r="C51">
        <v>1000</v>
      </c>
      <c r="D51" s="9" t="s">
        <v>1108</v>
      </c>
      <c r="E51" t="str">
        <f t="shared" si="0"/>
        <v>1000,420</v>
      </c>
    </row>
    <row r="52" spans="1:5" x14ac:dyDescent="0.2">
      <c r="A52" s="12">
        <v>51</v>
      </c>
      <c r="B52">
        <f>VLOOKUP(A:A,[2]钻石产出!$B$28:$C$147,2,FALSE)</f>
        <v>420</v>
      </c>
      <c r="C52">
        <v>1000</v>
      </c>
      <c r="D52" s="9" t="s">
        <v>1108</v>
      </c>
      <c r="E52" t="str">
        <f t="shared" si="0"/>
        <v>1000,420</v>
      </c>
    </row>
    <row r="53" spans="1:5" x14ac:dyDescent="0.2">
      <c r="A53" s="12">
        <v>52</v>
      </c>
      <c r="B53">
        <f>VLOOKUP(A:A,[2]钻石产出!$B$28:$C$147,2,FALSE)</f>
        <v>420</v>
      </c>
      <c r="C53">
        <v>1000</v>
      </c>
      <c r="D53" s="9" t="s">
        <v>1108</v>
      </c>
      <c r="E53" t="str">
        <f t="shared" si="0"/>
        <v>1000,420</v>
      </c>
    </row>
    <row r="54" spans="1:5" x14ac:dyDescent="0.2">
      <c r="A54" s="12">
        <v>53</v>
      </c>
      <c r="B54">
        <f>VLOOKUP(A:A,[2]钻石产出!$B$28:$C$147,2,FALSE)</f>
        <v>430</v>
      </c>
      <c r="C54">
        <v>1000</v>
      </c>
      <c r="D54" s="9" t="s">
        <v>1108</v>
      </c>
      <c r="E54" t="str">
        <f t="shared" si="0"/>
        <v>1000,430</v>
      </c>
    </row>
    <row r="55" spans="1:5" x14ac:dyDescent="0.2">
      <c r="A55" s="12">
        <v>54</v>
      </c>
      <c r="B55">
        <f>VLOOKUP(A:A,[2]钻石产出!$B$28:$C$147,2,FALSE)</f>
        <v>430</v>
      </c>
      <c r="C55">
        <v>1000</v>
      </c>
      <c r="D55" s="9" t="s">
        <v>1108</v>
      </c>
      <c r="E55" t="str">
        <f t="shared" si="0"/>
        <v>1000,430</v>
      </c>
    </row>
    <row r="56" spans="1:5" x14ac:dyDescent="0.2">
      <c r="A56" s="12">
        <v>55</v>
      </c>
      <c r="B56">
        <f>VLOOKUP(A:A,[2]钻石产出!$B$28:$C$147,2,FALSE)</f>
        <v>430</v>
      </c>
      <c r="C56">
        <v>1000</v>
      </c>
      <c r="D56" s="9" t="s">
        <v>1108</v>
      </c>
      <c r="E56" t="str">
        <f t="shared" si="0"/>
        <v>1000,430</v>
      </c>
    </row>
    <row r="57" spans="1:5" x14ac:dyDescent="0.2">
      <c r="A57" s="12">
        <v>56</v>
      </c>
      <c r="B57">
        <f>VLOOKUP(A:A,[2]钻石产出!$B$28:$C$147,2,FALSE)</f>
        <v>430</v>
      </c>
      <c r="C57">
        <v>1000</v>
      </c>
      <c r="D57" s="9" t="s">
        <v>1108</v>
      </c>
      <c r="E57" t="str">
        <f t="shared" si="0"/>
        <v>1000,430</v>
      </c>
    </row>
    <row r="58" spans="1:5" x14ac:dyDescent="0.2">
      <c r="A58" s="12">
        <v>57</v>
      </c>
      <c r="B58">
        <f>VLOOKUP(A:A,[2]钻石产出!$B$28:$C$147,2,FALSE)</f>
        <v>440</v>
      </c>
      <c r="C58">
        <v>1000</v>
      </c>
      <c r="D58" s="9" t="s">
        <v>1108</v>
      </c>
      <c r="E58" t="str">
        <f t="shared" si="0"/>
        <v>1000,440</v>
      </c>
    </row>
    <row r="59" spans="1:5" x14ac:dyDescent="0.2">
      <c r="A59" s="12">
        <v>58</v>
      </c>
      <c r="B59">
        <f>VLOOKUP(A:A,[2]钻石产出!$B$28:$C$147,2,FALSE)</f>
        <v>440</v>
      </c>
      <c r="C59">
        <v>1000</v>
      </c>
      <c r="D59" s="9" t="s">
        <v>1108</v>
      </c>
      <c r="E59" t="str">
        <f t="shared" si="0"/>
        <v>1000,440</v>
      </c>
    </row>
    <row r="60" spans="1:5" x14ac:dyDescent="0.2">
      <c r="A60" s="12">
        <v>59</v>
      </c>
      <c r="B60">
        <f>VLOOKUP(A:A,[2]钻石产出!$B$28:$C$147,2,FALSE)</f>
        <v>440</v>
      </c>
      <c r="C60">
        <v>1000</v>
      </c>
      <c r="D60" s="9" t="s">
        <v>1108</v>
      </c>
      <c r="E60" t="str">
        <f t="shared" si="0"/>
        <v>1000,440</v>
      </c>
    </row>
    <row r="61" spans="1:5" x14ac:dyDescent="0.2">
      <c r="A61" s="12">
        <v>60</v>
      </c>
      <c r="B61">
        <f>VLOOKUP(A:A,[2]钻石产出!$B$28:$C$147,2,FALSE)</f>
        <v>440</v>
      </c>
      <c r="C61">
        <v>1000</v>
      </c>
      <c r="D61" s="9" t="s">
        <v>1108</v>
      </c>
      <c r="E61" t="str">
        <f t="shared" si="0"/>
        <v>1000,440</v>
      </c>
    </row>
    <row r="62" spans="1:5" x14ac:dyDescent="0.2">
      <c r="A62" s="12">
        <v>61</v>
      </c>
      <c r="B62">
        <f>VLOOKUP(A:A,[2]钻石产出!$B$28:$C$147,2,FALSE)</f>
        <v>450</v>
      </c>
      <c r="C62">
        <v>1000</v>
      </c>
      <c r="D62" s="9" t="s">
        <v>1108</v>
      </c>
      <c r="E62" t="str">
        <f t="shared" si="0"/>
        <v>1000,450</v>
      </c>
    </row>
    <row r="63" spans="1:5" x14ac:dyDescent="0.2">
      <c r="A63" s="12">
        <v>62</v>
      </c>
      <c r="B63">
        <f>VLOOKUP(A:A,[2]钻石产出!$B$28:$C$147,2,FALSE)</f>
        <v>450</v>
      </c>
      <c r="C63">
        <v>1000</v>
      </c>
      <c r="D63" s="9" t="s">
        <v>1108</v>
      </c>
      <c r="E63" t="str">
        <f t="shared" si="0"/>
        <v>1000,450</v>
      </c>
    </row>
    <row r="64" spans="1:5" x14ac:dyDescent="0.2">
      <c r="A64" s="12">
        <v>63</v>
      </c>
      <c r="B64">
        <f>VLOOKUP(A:A,[2]钻石产出!$B$28:$C$147,2,FALSE)</f>
        <v>450</v>
      </c>
      <c r="C64">
        <v>1000</v>
      </c>
      <c r="D64" s="9" t="s">
        <v>1108</v>
      </c>
      <c r="E64" t="str">
        <f t="shared" si="0"/>
        <v>1000,450</v>
      </c>
    </row>
    <row r="65" spans="1:5" x14ac:dyDescent="0.2">
      <c r="A65" s="12">
        <v>64</v>
      </c>
      <c r="B65">
        <f>VLOOKUP(A:A,[2]钻石产出!$B$28:$C$147,2,FALSE)</f>
        <v>450</v>
      </c>
      <c r="C65">
        <v>1000</v>
      </c>
      <c r="D65" s="9" t="s">
        <v>1108</v>
      </c>
      <c r="E65" t="str">
        <f t="shared" si="0"/>
        <v>1000,450</v>
      </c>
    </row>
    <row r="66" spans="1:5" x14ac:dyDescent="0.2">
      <c r="A66" s="12">
        <v>65</v>
      </c>
      <c r="B66">
        <f>VLOOKUP(A:A,[2]钻石产出!$B$28:$C$147,2,FALSE)</f>
        <v>460</v>
      </c>
      <c r="C66">
        <v>1000</v>
      </c>
      <c r="D66" s="9" t="s">
        <v>1108</v>
      </c>
      <c r="E66" t="str">
        <f t="shared" si="0"/>
        <v>1000,460</v>
      </c>
    </row>
    <row r="67" spans="1:5" x14ac:dyDescent="0.2">
      <c r="A67" s="12">
        <v>66</v>
      </c>
      <c r="B67">
        <f>VLOOKUP(A:A,[2]钻石产出!$B$28:$C$147,2,FALSE)</f>
        <v>460</v>
      </c>
      <c r="C67">
        <v>1000</v>
      </c>
      <c r="D67" s="9" t="s">
        <v>1108</v>
      </c>
      <c r="E67" t="str">
        <f t="shared" ref="E67:E121" si="1">C67&amp;D67&amp;B67</f>
        <v>1000,460</v>
      </c>
    </row>
    <row r="68" spans="1:5" x14ac:dyDescent="0.2">
      <c r="A68" s="12">
        <v>67</v>
      </c>
      <c r="B68">
        <f>VLOOKUP(A:A,[2]钻石产出!$B$28:$C$147,2,FALSE)</f>
        <v>460</v>
      </c>
      <c r="C68">
        <v>1000</v>
      </c>
      <c r="D68" s="9" t="s">
        <v>1108</v>
      </c>
      <c r="E68" t="str">
        <f t="shared" si="1"/>
        <v>1000,460</v>
      </c>
    </row>
    <row r="69" spans="1:5" x14ac:dyDescent="0.2">
      <c r="A69" s="12">
        <v>68</v>
      </c>
      <c r="B69">
        <f>VLOOKUP(A:A,[2]钻石产出!$B$28:$C$147,2,FALSE)</f>
        <v>460</v>
      </c>
      <c r="C69">
        <v>1000</v>
      </c>
      <c r="D69" s="9" t="s">
        <v>1108</v>
      </c>
      <c r="E69" t="str">
        <f t="shared" si="1"/>
        <v>1000,460</v>
      </c>
    </row>
    <row r="70" spans="1:5" x14ac:dyDescent="0.2">
      <c r="A70" s="12">
        <v>69</v>
      </c>
      <c r="B70">
        <f>VLOOKUP(A:A,[2]钻石产出!$B$28:$C$147,2,FALSE)</f>
        <v>470</v>
      </c>
      <c r="C70">
        <v>1000</v>
      </c>
      <c r="D70" s="9" t="s">
        <v>1108</v>
      </c>
      <c r="E70" t="str">
        <f t="shared" si="1"/>
        <v>1000,470</v>
      </c>
    </row>
    <row r="71" spans="1:5" x14ac:dyDescent="0.2">
      <c r="A71" s="12">
        <v>70</v>
      </c>
      <c r="B71">
        <f>VLOOKUP(A:A,[2]钻石产出!$B$28:$C$147,2,FALSE)</f>
        <v>470</v>
      </c>
      <c r="C71">
        <v>1000</v>
      </c>
      <c r="D71" s="9" t="s">
        <v>1108</v>
      </c>
      <c r="E71" t="str">
        <f t="shared" si="1"/>
        <v>1000,470</v>
      </c>
    </row>
    <row r="72" spans="1:5" x14ac:dyDescent="0.2">
      <c r="A72" s="12">
        <v>71</v>
      </c>
      <c r="B72">
        <f>VLOOKUP(A:A,[2]钻石产出!$B$28:$C$147,2,FALSE)</f>
        <v>470</v>
      </c>
      <c r="C72">
        <v>1000</v>
      </c>
      <c r="D72" s="9" t="s">
        <v>1108</v>
      </c>
      <c r="E72" t="str">
        <f t="shared" si="1"/>
        <v>1000,470</v>
      </c>
    </row>
    <row r="73" spans="1:5" x14ac:dyDescent="0.2">
      <c r="A73" s="12">
        <v>72</v>
      </c>
      <c r="B73">
        <f>VLOOKUP(A:A,[2]钻石产出!$B$28:$C$147,2,FALSE)</f>
        <v>470</v>
      </c>
      <c r="C73">
        <v>1000</v>
      </c>
      <c r="D73" s="9" t="s">
        <v>1108</v>
      </c>
      <c r="E73" t="str">
        <f t="shared" si="1"/>
        <v>1000,470</v>
      </c>
    </row>
    <row r="74" spans="1:5" x14ac:dyDescent="0.2">
      <c r="A74" s="12">
        <v>73</v>
      </c>
      <c r="B74">
        <f>VLOOKUP(A:A,[2]钻石产出!$B$28:$C$147,2,FALSE)</f>
        <v>480</v>
      </c>
      <c r="C74">
        <v>1000</v>
      </c>
      <c r="D74" s="9" t="s">
        <v>1108</v>
      </c>
      <c r="E74" t="str">
        <f t="shared" si="1"/>
        <v>1000,480</v>
      </c>
    </row>
    <row r="75" spans="1:5" x14ac:dyDescent="0.2">
      <c r="A75" s="12">
        <v>74</v>
      </c>
      <c r="B75">
        <f>VLOOKUP(A:A,[2]钻石产出!$B$28:$C$147,2,FALSE)</f>
        <v>480</v>
      </c>
      <c r="C75">
        <v>1000</v>
      </c>
      <c r="D75" s="9" t="s">
        <v>1108</v>
      </c>
      <c r="E75" t="str">
        <f t="shared" si="1"/>
        <v>1000,480</v>
      </c>
    </row>
    <row r="76" spans="1:5" x14ac:dyDescent="0.2">
      <c r="A76" s="12">
        <v>75</v>
      </c>
      <c r="B76">
        <f>VLOOKUP(A:A,[2]钻石产出!$B$28:$C$147,2,FALSE)</f>
        <v>480</v>
      </c>
      <c r="C76">
        <v>1000</v>
      </c>
      <c r="D76" s="9" t="s">
        <v>1108</v>
      </c>
      <c r="E76" t="str">
        <f t="shared" si="1"/>
        <v>1000,480</v>
      </c>
    </row>
    <row r="77" spans="1:5" x14ac:dyDescent="0.2">
      <c r="A77" s="12">
        <v>76</v>
      </c>
      <c r="B77">
        <f>VLOOKUP(A:A,[2]钻石产出!$B$28:$C$147,2,FALSE)</f>
        <v>480</v>
      </c>
      <c r="C77">
        <v>1000</v>
      </c>
      <c r="D77" s="9" t="s">
        <v>1108</v>
      </c>
      <c r="E77" t="str">
        <f t="shared" si="1"/>
        <v>1000,480</v>
      </c>
    </row>
    <row r="78" spans="1:5" x14ac:dyDescent="0.2">
      <c r="A78" s="12">
        <v>77</v>
      </c>
      <c r="B78">
        <f>VLOOKUP(A:A,[2]钻石产出!$B$28:$C$147,2,FALSE)</f>
        <v>490</v>
      </c>
      <c r="C78">
        <v>1000</v>
      </c>
      <c r="D78" s="9" t="s">
        <v>1108</v>
      </c>
      <c r="E78" t="str">
        <f t="shared" si="1"/>
        <v>1000,490</v>
      </c>
    </row>
    <row r="79" spans="1:5" x14ac:dyDescent="0.2">
      <c r="A79" s="12">
        <v>78</v>
      </c>
      <c r="B79">
        <f>VLOOKUP(A:A,[2]钻石产出!$B$28:$C$147,2,FALSE)</f>
        <v>490</v>
      </c>
      <c r="C79">
        <v>1000</v>
      </c>
      <c r="D79" s="9" t="s">
        <v>1108</v>
      </c>
      <c r="E79" t="str">
        <f t="shared" si="1"/>
        <v>1000,490</v>
      </c>
    </row>
    <row r="80" spans="1:5" x14ac:dyDescent="0.2">
      <c r="A80" s="12">
        <v>79</v>
      </c>
      <c r="B80">
        <f>VLOOKUP(A:A,[2]钻石产出!$B$28:$C$147,2,FALSE)</f>
        <v>490</v>
      </c>
      <c r="C80">
        <v>1000</v>
      </c>
      <c r="D80" s="9" t="s">
        <v>1108</v>
      </c>
      <c r="E80" t="str">
        <f t="shared" si="1"/>
        <v>1000,490</v>
      </c>
    </row>
    <row r="81" spans="1:5" x14ac:dyDescent="0.2">
      <c r="A81" s="12">
        <v>80</v>
      </c>
      <c r="B81">
        <f>VLOOKUP(A:A,[2]钻石产出!$B$28:$C$147,2,FALSE)</f>
        <v>490</v>
      </c>
      <c r="C81">
        <v>1000</v>
      </c>
      <c r="D81" s="9" t="s">
        <v>1108</v>
      </c>
      <c r="E81" t="str">
        <f t="shared" si="1"/>
        <v>1000,490</v>
      </c>
    </row>
    <row r="82" spans="1:5" x14ac:dyDescent="0.2">
      <c r="A82" s="12">
        <v>81</v>
      </c>
      <c r="B82">
        <f>VLOOKUP(A:A,[2]钻石产出!$B$28:$C$147,2,FALSE)</f>
        <v>500</v>
      </c>
      <c r="C82">
        <v>1000</v>
      </c>
      <c r="D82" s="9" t="s">
        <v>1108</v>
      </c>
      <c r="E82" t="str">
        <f t="shared" si="1"/>
        <v>1000,500</v>
      </c>
    </row>
    <row r="83" spans="1:5" x14ac:dyDescent="0.2">
      <c r="A83" s="12">
        <v>82</v>
      </c>
      <c r="B83">
        <f>VLOOKUP(A:A,[2]钻石产出!$B$28:$C$147,2,FALSE)</f>
        <v>500</v>
      </c>
      <c r="C83">
        <v>1000</v>
      </c>
      <c r="D83" s="9" t="s">
        <v>1108</v>
      </c>
      <c r="E83" t="str">
        <f t="shared" si="1"/>
        <v>1000,500</v>
      </c>
    </row>
    <row r="84" spans="1:5" x14ac:dyDescent="0.2">
      <c r="A84" s="12">
        <v>83</v>
      </c>
      <c r="B84">
        <f>VLOOKUP(A:A,[2]钻石产出!$B$28:$C$147,2,FALSE)</f>
        <v>500</v>
      </c>
      <c r="C84">
        <v>1000</v>
      </c>
      <c r="D84" s="9" t="s">
        <v>1108</v>
      </c>
      <c r="E84" t="str">
        <f t="shared" si="1"/>
        <v>1000,500</v>
      </c>
    </row>
    <row r="85" spans="1:5" x14ac:dyDescent="0.2">
      <c r="A85" s="12">
        <v>84</v>
      </c>
      <c r="B85">
        <f>VLOOKUP(A:A,[2]钻石产出!$B$28:$C$147,2,FALSE)</f>
        <v>500</v>
      </c>
      <c r="C85">
        <v>1000</v>
      </c>
      <c r="D85" s="9" t="s">
        <v>1108</v>
      </c>
      <c r="E85" t="str">
        <f t="shared" si="1"/>
        <v>1000,500</v>
      </c>
    </row>
    <row r="86" spans="1:5" x14ac:dyDescent="0.2">
      <c r="A86" s="12">
        <v>85</v>
      </c>
      <c r="B86">
        <f>VLOOKUP(A:A,[2]钻石产出!$B$28:$C$147,2,FALSE)</f>
        <v>510</v>
      </c>
      <c r="C86">
        <v>1000</v>
      </c>
      <c r="D86" s="9" t="s">
        <v>1108</v>
      </c>
      <c r="E86" t="str">
        <f t="shared" si="1"/>
        <v>1000,510</v>
      </c>
    </row>
    <row r="87" spans="1:5" x14ac:dyDescent="0.2">
      <c r="A87" s="12">
        <v>86</v>
      </c>
      <c r="B87">
        <f>VLOOKUP(A:A,[2]钻石产出!$B$28:$C$147,2,FALSE)</f>
        <v>510</v>
      </c>
      <c r="C87">
        <v>1000</v>
      </c>
      <c r="D87" s="9" t="s">
        <v>1108</v>
      </c>
      <c r="E87" t="str">
        <f t="shared" si="1"/>
        <v>1000,510</v>
      </c>
    </row>
    <row r="88" spans="1:5" x14ac:dyDescent="0.2">
      <c r="A88" s="12">
        <v>87</v>
      </c>
      <c r="B88">
        <f>VLOOKUP(A:A,[2]钻石产出!$B$28:$C$147,2,FALSE)</f>
        <v>510</v>
      </c>
      <c r="C88">
        <v>1000</v>
      </c>
      <c r="D88" s="9" t="s">
        <v>1108</v>
      </c>
      <c r="E88" t="str">
        <f t="shared" si="1"/>
        <v>1000,510</v>
      </c>
    </row>
    <row r="89" spans="1:5" x14ac:dyDescent="0.2">
      <c r="A89" s="12">
        <v>88</v>
      </c>
      <c r="B89">
        <f>VLOOKUP(A:A,[2]钻石产出!$B$28:$C$147,2,FALSE)</f>
        <v>510</v>
      </c>
      <c r="C89">
        <v>1000</v>
      </c>
      <c r="D89" s="9" t="s">
        <v>1108</v>
      </c>
      <c r="E89" t="str">
        <f t="shared" si="1"/>
        <v>1000,510</v>
      </c>
    </row>
    <row r="90" spans="1:5" x14ac:dyDescent="0.2">
      <c r="A90" s="12">
        <v>89</v>
      </c>
      <c r="B90">
        <f>VLOOKUP(A:A,[2]钻石产出!$B$28:$C$147,2,FALSE)</f>
        <v>520</v>
      </c>
      <c r="C90">
        <v>1000</v>
      </c>
      <c r="D90" s="9" t="s">
        <v>1108</v>
      </c>
      <c r="E90" t="str">
        <f t="shared" si="1"/>
        <v>1000,520</v>
      </c>
    </row>
    <row r="91" spans="1:5" x14ac:dyDescent="0.2">
      <c r="A91" s="12">
        <v>90</v>
      </c>
      <c r="B91">
        <f>VLOOKUP(A:A,[2]钻石产出!$B$28:$C$147,2,FALSE)</f>
        <v>520</v>
      </c>
      <c r="C91">
        <v>1000</v>
      </c>
      <c r="D91" s="9" t="s">
        <v>1108</v>
      </c>
      <c r="E91" t="str">
        <f t="shared" si="1"/>
        <v>1000,520</v>
      </c>
    </row>
    <row r="92" spans="1:5" x14ac:dyDescent="0.2">
      <c r="A92" s="12">
        <v>91</v>
      </c>
      <c r="B92">
        <f>VLOOKUP(A:A,[2]钻石产出!$B$28:$C$147,2,FALSE)</f>
        <v>520</v>
      </c>
      <c r="C92">
        <v>1000</v>
      </c>
      <c r="D92" s="9" t="s">
        <v>1108</v>
      </c>
      <c r="E92" t="str">
        <f t="shared" si="1"/>
        <v>1000,520</v>
      </c>
    </row>
    <row r="93" spans="1:5" x14ac:dyDescent="0.2">
      <c r="A93" s="12">
        <v>92</v>
      </c>
      <c r="B93">
        <f>VLOOKUP(A:A,[2]钻石产出!$B$28:$C$147,2,FALSE)</f>
        <v>520</v>
      </c>
      <c r="C93">
        <v>1000</v>
      </c>
      <c r="D93" s="9" t="s">
        <v>1108</v>
      </c>
      <c r="E93" t="str">
        <f t="shared" si="1"/>
        <v>1000,520</v>
      </c>
    </row>
    <row r="94" spans="1:5" x14ac:dyDescent="0.2">
      <c r="A94" s="12">
        <v>93</v>
      </c>
      <c r="B94">
        <f>VLOOKUP(A:A,[2]钻石产出!$B$28:$C$147,2,FALSE)</f>
        <v>530</v>
      </c>
      <c r="C94">
        <v>1000</v>
      </c>
      <c r="D94" s="9" t="s">
        <v>1108</v>
      </c>
      <c r="E94" t="str">
        <f t="shared" si="1"/>
        <v>1000,530</v>
      </c>
    </row>
    <row r="95" spans="1:5" x14ac:dyDescent="0.2">
      <c r="A95" s="12">
        <v>94</v>
      </c>
      <c r="B95">
        <f>VLOOKUP(A:A,[2]钻石产出!$B$28:$C$147,2,FALSE)</f>
        <v>530</v>
      </c>
      <c r="C95">
        <v>1000</v>
      </c>
      <c r="D95" s="9" t="s">
        <v>1108</v>
      </c>
      <c r="E95" t="str">
        <f t="shared" si="1"/>
        <v>1000,530</v>
      </c>
    </row>
    <row r="96" spans="1:5" x14ac:dyDescent="0.2">
      <c r="A96" s="12">
        <v>95</v>
      </c>
      <c r="B96">
        <f>VLOOKUP(A:A,[2]钻石产出!$B$28:$C$147,2,FALSE)</f>
        <v>530</v>
      </c>
      <c r="C96">
        <v>1000</v>
      </c>
      <c r="D96" s="9" t="s">
        <v>1108</v>
      </c>
      <c r="E96" t="str">
        <f t="shared" si="1"/>
        <v>1000,530</v>
      </c>
    </row>
    <row r="97" spans="1:5" x14ac:dyDescent="0.2">
      <c r="A97" s="12">
        <v>96</v>
      </c>
      <c r="B97">
        <f>VLOOKUP(A:A,[2]钻石产出!$B$28:$C$147,2,FALSE)</f>
        <v>530</v>
      </c>
      <c r="C97">
        <v>1000</v>
      </c>
      <c r="D97" s="9" t="s">
        <v>1108</v>
      </c>
      <c r="E97" t="str">
        <f t="shared" si="1"/>
        <v>1000,530</v>
      </c>
    </row>
    <row r="98" spans="1:5" x14ac:dyDescent="0.2">
      <c r="A98" s="12">
        <v>97</v>
      </c>
      <c r="B98">
        <f>VLOOKUP(A:A,[2]钻石产出!$B$28:$C$147,2,FALSE)</f>
        <v>540</v>
      </c>
      <c r="C98">
        <v>1000</v>
      </c>
      <c r="D98" s="9" t="s">
        <v>1108</v>
      </c>
      <c r="E98" t="str">
        <f t="shared" si="1"/>
        <v>1000,540</v>
      </c>
    </row>
    <row r="99" spans="1:5" x14ac:dyDescent="0.2">
      <c r="A99" s="12">
        <v>98</v>
      </c>
      <c r="B99">
        <f>VLOOKUP(A:A,[2]钻石产出!$B$28:$C$147,2,FALSE)</f>
        <v>540</v>
      </c>
      <c r="C99">
        <v>1000</v>
      </c>
      <c r="D99" s="9" t="s">
        <v>1108</v>
      </c>
      <c r="E99" t="str">
        <f t="shared" si="1"/>
        <v>1000,540</v>
      </c>
    </row>
    <row r="100" spans="1:5" x14ac:dyDescent="0.2">
      <c r="A100" s="12">
        <v>99</v>
      </c>
      <c r="B100">
        <f>VLOOKUP(A:A,[2]钻石产出!$B$28:$C$147,2,FALSE)</f>
        <v>540</v>
      </c>
      <c r="C100">
        <v>1000</v>
      </c>
      <c r="D100" s="9" t="s">
        <v>1108</v>
      </c>
      <c r="E100" t="str">
        <f t="shared" si="1"/>
        <v>1000,540</v>
      </c>
    </row>
    <row r="101" spans="1:5" x14ac:dyDescent="0.2">
      <c r="A101" s="12">
        <v>100</v>
      </c>
      <c r="B101">
        <f>VLOOKUP(A:A,[2]钻石产出!$B$28:$C$147,2,FALSE)</f>
        <v>540</v>
      </c>
      <c r="C101">
        <v>1000</v>
      </c>
      <c r="D101" s="9" t="s">
        <v>1108</v>
      </c>
      <c r="E101" t="str">
        <f t="shared" si="1"/>
        <v>1000,540</v>
      </c>
    </row>
    <row r="102" spans="1:5" x14ac:dyDescent="0.2">
      <c r="A102" s="12">
        <v>101</v>
      </c>
      <c r="B102">
        <f>VLOOKUP(A:A,[2]钻石产出!$B$28:$C$147,2,FALSE)</f>
        <v>550</v>
      </c>
      <c r="C102">
        <v>1000</v>
      </c>
      <c r="D102" s="9" t="s">
        <v>1108</v>
      </c>
      <c r="E102" t="str">
        <f t="shared" si="1"/>
        <v>1000,550</v>
      </c>
    </row>
    <row r="103" spans="1:5" x14ac:dyDescent="0.2">
      <c r="A103" s="12">
        <v>102</v>
      </c>
      <c r="B103">
        <f>VLOOKUP(A:A,[2]钻石产出!$B$28:$C$147,2,FALSE)</f>
        <v>550</v>
      </c>
      <c r="C103">
        <v>1000</v>
      </c>
      <c r="D103" s="9" t="s">
        <v>1108</v>
      </c>
      <c r="E103" t="str">
        <f t="shared" si="1"/>
        <v>1000,550</v>
      </c>
    </row>
    <row r="104" spans="1:5" x14ac:dyDescent="0.2">
      <c r="A104" s="12">
        <v>103</v>
      </c>
      <c r="B104">
        <f>VLOOKUP(A:A,[2]钻石产出!$B$28:$C$147,2,FALSE)</f>
        <v>550</v>
      </c>
      <c r="C104">
        <v>1000</v>
      </c>
      <c r="D104" s="9" t="s">
        <v>1108</v>
      </c>
      <c r="E104" t="str">
        <f t="shared" si="1"/>
        <v>1000,550</v>
      </c>
    </row>
    <row r="105" spans="1:5" x14ac:dyDescent="0.2">
      <c r="A105" s="12">
        <v>104</v>
      </c>
      <c r="B105">
        <f>VLOOKUP(A:A,[2]钻石产出!$B$28:$C$147,2,FALSE)</f>
        <v>550</v>
      </c>
      <c r="C105">
        <v>1000</v>
      </c>
      <c r="D105" s="9" t="s">
        <v>1108</v>
      </c>
      <c r="E105" t="str">
        <f t="shared" si="1"/>
        <v>1000,550</v>
      </c>
    </row>
    <row r="106" spans="1:5" x14ac:dyDescent="0.2">
      <c r="A106" s="12">
        <v>105</v>
      </c>
      <c r="B106">
        <f>VLOOKUP(A:A,[2]钻石产出!$B$28:$C$147,2,FALSE)</f>
        <v>560</v>
      </c>
      <c r="C106">
        <v>1000</v>
      </c>
      <c r="D106" s="9" t="s">
        <v>1108</v>
      </c>
      <c r="E106" t="str">
        <f t="shared" si="1"/>
        <v>1000,560</v>
      </c>
    </row>
    <row r="107" spans="1:5" x14ac:dyDescent="0.2">
      <c r="A107" s="12">
        <v>106</v>
      </c>
      <c r="B107">
        <f>VLOOKUP(A:A,[2]钻石产出!$B$28:$C$147,2,FALSE)</f>
        <v>560</v>
      </c>
      <c r="C107">
        <v>1000</v>
      </c>
      <c r="D107" s="9" t="s">
        <v>1108</v>
      </c>
      <c r="E107" t="str">
        <f t="shared" si="1"/>
        <v>1000,560</v>
      </c>
    </row>
    <row r="108" spans="1:5" x14ac:dyDescent="0.2">
      <c r="A108" s="12">
        <v>107</v>
      </c>
      <c r="B108">
        <f>VLOOKUP(A:A,[2]钻石产出!$B$28:$C$147,2,FALSE)</f>
        <v>560</v>
      </c>
      <c r="C108">
        <v>1000</v>
      </c>
      <c r="D108" s="9" t="s">
        <v>1108</v>
      </c>
      <c r="E108" t="str">
        <f t="shared" si="1"/>
        <v>1000,560</v>
      </c>
    </row>
    <row r="109" spans="1:5" x14ac:dyDescent="0.2">
      <c r="A109" s="12">
        <v>108</v>
      </c>
      <c r="B109">
        <f>VLOOKUP(A:A,[2]钻石产出!$B$28:$C$147,2,FALSE)</f>
        <v>560</v>
      </c>
      <c r="C109">
        <v>1000</v>
      </c>
      <c r="D109" s="9" t="s">
        <v>1108</v>
      </c>
      <c r="E109" t="str">
        <f t="shared" si="1"/>
        <v>1000,560</v>
      </c>
    </row>
    <row r="110" spans="1:5" x14ac:dyDescent="0.2">
      <c r="A110" s="12">
        <v>109</v>
      </c>
      <c r="B110">
        <f>VLOOKUP(A:A,[2]钻石产出!$B$28:$C$147,2,FALSE)</f>
        <v>570</v>
      </c>
      <c r="C110">
        <v>1000</v>
      </c>
      <c r="D110" s="9" t="s">
        <v>1108</v>
      </c>
      <c r="E110" t="str">
        <f t="shared" si="1"/>
        <v>1000,570</v>
      </c>
    </row>
    <row r="111" spans="1:5" x14ac:dyDescent="0.2">
      <c r="A111" s="12">
        <v>110</v>
      </c>
      <c r="B111">
        <f>VLOOKUP(A:A,[2]钻石产出!$B$28:$C$147,2,FALSE)</f>
        <v>570</v>
      </c>
      <c r="C111">
        <v>1000</v>
      </c>
      <c r="D111" s="9" t="s">
        <v>1108</v>
      </c>
      <c r="E111" t="str">
        <f t="shared" si="1"/>
        <v>1000,570</v>
      </c>
    </row>
    <row r="112" spans="1:5" x14ac:dyDescent="0.2">
      <c r="A112" s="12">
        <v>111</v>
      </c>
      <c r="B112">
        <f>VLOOKUP(A:A,[2]钻石产出!$B$28:$C$147,2,FALSE)</f>
        <v>570</v>
      </c>
      <c r="C112">
        <v>1000</v>
      </c>
      <c r="D112" s="9" t="s">
        <v>1108</v>
      </c>
      <c r="E112" t="str">
        <f t="shared" si="1"/>
        <v>1000,570</v>
      </c>
    </row>
    <row r="113" spans="1:5" x14ac:dyDescent="0.2">
      <c r="A113" s="12">
        <v>112</v>
      </c>
      <c r="B113">
        <f>VLOOKUP(A:A,[2]钻石产出!$B$28:$C$147,2,FALSE)</f>
        <v>570</v>
      </c>
      <c r="C113">
        <v>1000</v>
      </c>
      <c r="D113" s="9" t="s">
        <v>1108</v>
      </c>
      <c r="E113" t="str">
        <f t="shared" si="1"/>
        <v>1000,570</v>
      </c>
    </row>
    <row r="114" spans="1:5" x14ac:dyDescent="0.2">
      <c r="A114" s="12">
        <v>113</v>
      </c>
      <c r="B114">
        <f>VLOOKUP(A:A,[2]钻石产出!$B$28:$C$147,2,FALSE)</f>
        <v>580</v>
      </c>
      <c r="C114">
        <v>1000</v>
      </c>
      <c r="D114" s="9" t="s">
        <v>1108</v>
      </c>
      <c r="E114" t="str">
        <f t="shared" si="1"/>
        <v>1000,580</v>
      </c>
    </row>
    <row r="115" spans="1:5" x14ac:dyDescent="0.2">
      <c r="A115" s="12">
        <v>114</v>
      </c>
      <c r="B115">
        <f>VLOOKUP(A:A,[2]钻石产出!$B$28:$C$147,2,FALSE)</f>
        <v>580</v>
      </c>
      <c r="C115">
        <v>1000</v>
      </c>
      <c r="D115" s="9" t="s">
        <v>1108</v>
      </c>
      <c r="E115" t="str">
        <f t="shared" si="1"/>
        <v>1000,580</v>
      </c>
    </row>
    <row r="116" spans="1:5" x14ac:dyDescent="0.2">
      <c r="A116" s="12">
        <v>115</v>
      </c>
      <c r="B116">
        <f>VLOOKUP(A:A,[2]钻石产出!$B$28:$C$147,2,FALSE)</f>
        <v>580</v>
      </c>
      <c r="C116">
        <v>1000</v>
      </c>
      <c r="D116" s="9" t="s">
        <v>1108</v>
      </c>
      <c r="E116" t="str">
        <f t="shared" si="1"/>
        <v>1000,580</v>
      </c>
    </row>
    <row r="117" spans="1:5" x14ac:dyDescent="0.2">
      <c r="A117" s="12">
        <v>116</v>
      </c>
      <c r="B117">
        <f>VLOOKUP(A:A,[2]钻石产出!$B$28:$C$147,2,FALSE)</f>
        <v>580</v>
      </c>
      <c r="C117">
        <v>1000</v>
      </c>
      <c r="D117" s="9" t="s">
        <v>1108</v>
      </c>
      <c r="E117" t="str">
        <f t="shared" si="1"/>
        <v>1000,580</v>
      </c>
    </row>
    <row r="118" spans="1:5" x14ac:dyDescent="0.2">
      <c r="A118" s="12">
        <v>117</v>
      </c>
      <c r="B118">
        <f>VLOOKUP(A:A,[2]钻石产出!$B$28:$C$147,2,FALSE)</f>
        <v>590</v>
      </c>
      <c r="C118">
        <v>1000</v>
      </c>
      <c r="D118" s="9" t="s">
        <v>1108</v>
      </c>
      <c r="E118" t="str">
        <f t="shared" si="1"/>
        <v>1000,590</v>
      </c>
    </row>
    <row r="119" spans="1:5" x14ac:dyDescent="0.2">
      <c r="A119" s="12">
        <v>118</v>
      </c>
      <c r="B119">
        <f>VLOOKUP(A:A,[2]钻石产出!$B$28:$C$147,2,FALSE)</f>
        <v>590</v>
      </c>
      <c r="C119">
        <v>1000</v>
      </c>
      <c r="D119" s="9" t="s">
        <v>1108</v>
      </c>
      <c r="E119" t="str">
        <f t="shared" si="1"/>
        <v>1000,590</v>
      </c>
    </row>
    <row r="120" spans="1:5" x14ac:dyDescent="0.2">
      <c r="A120" s="12">
        <v>119</v>
      </c>
      <c r="B120">
        <f>VLOOKUP(A:A,[2]钻石产出!$B$28:$C$147,2,FALSE)</f>
        <v>590</v>
      </c>
      <c r="C120">
        <v>1000</v>
      </c>
      <c r="D120" s="9" t="s">
        <v>1108</v>
      </c>
      <c r="E120" t="str">
        <f t="shared" si="1"/>
        <v>1000,590</v>
      </c>
    </row>
    <row r="121" spans="1:5" x14ac:dyDescent="0.2">
      <c r="A121" s="12">
        <v>120</v>
      </c>
      <c r="B121">
        <f>VLOOKUP(A:A,[2]钻石产出!$B$28:$C$147,2,FALSE)</f>
        <v>590</v>
      </c>
      <c r="C121">
        <v>1000</v>
      </c>
      <c r="D121" s="9" t="s">
        <v>1108</v>
      </c>
      <c r="E121" t="str">
        <f t="shared" si="1"/>
        <v>1000,590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activeCell="G29" sqref="G29"/>
    </sheetView>
  </sheetViews>
  <sheetFormatPr defaultColWidth="9" defaultRowHeight="14.25" x14ac:dyDescent="0.2"/>
  <cols>
    <col min="3" max="3" width="10.875" customWidth="1"/>
    <col min="5" max="5" width="13.125" customWidth="1"/>
  </cols>
  <sheetData>
    <row r="1" spans="1:5" x14ac:dyDescent="0.2">
      <c r="A1" s="9" t="s">
        <v>1109</v>
      </c>
      <c r="B1" s="9" t="s">
        <v>1110</v>
      </c>
      <c r="C1" s="9" t="s">
        <v>1111</v>
      </c>
      <c r="D1" s="9" t="s">
        <v>1107</v>
      </c>
      <c r="E1" s="15"/>
    </row>
    <row r="2" spans="1:5" x14ac:dyDescent="0.2">
      <c r="A2" s="12">
        <v>1</v>
      </c>
      <c r="B2">
        <f>VLOOKUP(A:A,[2]金币产出!$O$37:$R$157,4,FALSE)</f>
        <v>408960</v>
      </c>
      <c r="C2">
        <v>2000</v>
      </c>
      <c r="D2" s="9" t="s">
        <v>1108</v>
      </c>
      <c r="E2" t="str">
        <f>C2&amp;D2&amp;B2</f>
        <v>2000,408960</v>
      </c>
    </row>
    <row r="3" spans="1:5" x14ac:dyDescent="0.2">
      <c r="A3" s="12">
        <v>2</v>
      </c>
      <c r="B3">
        <f>VLOOKUP(A:A,[2]金币产出!$O$37:$R$157,4,FALSE)</f>
        <v>442800</v>
      </c>
      <c r="C3">
        <v>2000</v>
      </c>
      <c r="D3" s="9" t="s">
        <v>1108</v>
      </c>
      <c r="E3" t="str">
        <f t="shared" ref="E3:E66" si="0">C3&amp;D3&amp;B3</f>
        <v>2000,442800</v>
      </c>
    </row>
    <row r="4" spans="1:5" x14ac:dyDescent="0.2">
      <c r="A4" s="12">
        <v>3</v>
      </c>
      <c r="B4">
        <f>VLOOKUP(A:A,[2]金币产出!$O$37:$R$157,4,FALSE)</f>
        <v>461520</v>
      </c>
      <c r="C4">
        <v>2000</v>
      </c>
      <c r="D4" s="9" t="s">
        <v>1108</v>
      </c>
      <c r="E4" t="str">
        <f t="shared" si="0"/>
        <v>2000,461520</v>
      </c>
    </row>
    <row r="5" spans="1:5" x14ac:dyDescent="0.2">
      <c r="A5" s="12">
        <v>4</v>
      </c>
      <c r="B5">
        <f>VLOOKUP(A:A,[2]金币产出!$O$37:$R$157,4,FALSE)</f>
        <v>461520</v>
      </c>
      <c r="C5">
        <v>2000</v>
      </c>
      <c r="D5" s="9" t="s">
        <v>1108</v>
      </c>
      <c r="E5" t="str">
        <f t="shared" si="0"/>
        <v>2000,461520</v>
      </c>
    </row>
    <row r="6" spans="1:5" x14ac:dyDescent="0.2">
      <c r="A6" s="12">
        <v>5</v>
      </c>
      <c r="B6">
        <f>VLOOKUP(A:A,[2]金币产出!$O$37:$R$157,4,FALSE)</f>
        <v>465120</v>
      </c>
      <c r="C6">
        <v>2000</v>
      </c>
      <c r="D6" s="9" t="s">
        <v>1108</v>
      </c>
      <c r="E6" t="str">
        <f t="shared" si="0"/>
        <v>2000,465120</v>
      </c>
    </row>
    <row r="7" spans="1:5" x14ac:dyDescent="0.2">
      <c r="A7" s="12">
        <v>6</v>
      </c>
      <c r="B7">
        <f>VLOOKUP(A:A,[2]金币产出!$O$37:$R$157,4,FALSE)</f>
        <v>474120</v>
      </c>
      <c r="C7">
        <v>2000</v>
      </c>
      <c r="D7" s="9" t="s">
        <v>1108</v>
      </c>
      <c r="E7" t="str">
        <f t="shared" si="0"/>
        <v>2000,474120</v>
      </c>
    </row>
    <row r="8" spans="1:5" x14ac:dyDescent="0.2">
      <c r="A8" s="12">
        <v>7</v>
      </c>
      <c r="B8">
        <f>VLOOKUP(A:A,[2]金币产出!$O$37:$R$157,4,FALSE)</f>
        <v>474120</v>
      </c>
      <c r="C8">
        <v>2000</v>
      </c>
      <c r="D8" s="9" t="s">
        <v>1108</v>
      </c>
      <c r="E8" t="str">
        <f t="shared" si="0"/>
        <v>2000,474120</v>
      </c>
    </row>
    <row r="9" spans="1:5" x14ac:dyDescent="0.2">
      <c r="A9" s="12">
        <v>8</v>
      </c>
      <c r="B9">
        <f>VLOOKUP(A:A,[2]金币产出!$O$37:$R$157,4,FALSE)</f>
        <v>474120</v>
      </c>
      <c r="C9">
        <v>2000</v>
      </c>
      <c r="D9" s="9" t="s">
        <v>1108</v>
      </c>
      <c r="E9" t="str">
        <f t="shared" si="0"/>
        <v>2000,474120</v>
      </c>
    </row>
    <row r="10" spans="1:5" x14ac:dyDescent="0.2">
      <c r="A10" s="12">
        <v>9</v>
      </c>
      <c r="B10">
        <f>VLOOKUP(A:A,[2]金币产出!$O$37:$R$157,4,FALSE)</f>
        <v>717840</v>
      </c>
      <c r="C10">
        <v>2000</v>
      </c>
      <c r="D10" s="9" t="s">
        <v>1108</v>
      </c>
      <c r="E10" t="str">
        <f t="shared" si="0"/>
        <v>2000,717840</v>
      </c>
    </row>
    <row r="11" spans="1:5" x14ac:dyDescent="0.2">
      <c r="A11" s="12">
        <v>10</v>
      </c>
      <c r="B11">
        <f>VLOOKUP(A:A,[2]金币产出!$O$37:$R$157,4,FALSE)</f>
        <v>717840</v>
      </c>
      <c r="C11">
        <v>2000</v>
      </c>
      <c r="D11" s="9" t="s">
        <v>1108</v>
      </c>
      <c r="E11" t="str">
        <f t="shared" si="0"/>
        <v>2000,717840</v>
      </c>
    </row>
    <row r="12" spans="1:5" x14ac:dyDescent="0.2">
      <c r="A12" s="12">
        <v>11</v>
      </c>
      <c r="B12">
        <f>VLOOKUP(A:A,[2]金币产出!$O$37:$R$157,4,FALSE)</f>
        <v>717840</v>
      </c>
      <c r="C12">
        <v>2000</v>
      </c>
      <c r="D12" s="9" t="s">
        <v>1108</v>
      </c>
      <c r="E12" t="str">
        <f t="shared" si="0"/>
        <v>2000,717840</v>
      </c>
    </row>
    <row r="13" spans="1:5" x14ac:dyDescent="0.2">
      <c r="A13" s="12">
        <v>12</v>
      </c>
      <c r="B13">
        <f>VLOOKUP(A:A,[2]金币产出!$O$37:$R$157,4,FALSE)</f>
        <v>717840</v>
      </c>
      <c r="C13">
        <v>2000</v>
      </c>
      <c r="D13" s="9" t="s">
        <v>1108</v>
      </c>
      <c r="E13" t="str">
        <f t="shared" si="0"/>
        <v>2000,717840</v>
      </c>
    </row>
    <row r="14" spans="1:5" x14ac:dyDescent="0.2">
      <c r="A14" s="12">
        <v>13</v>
      </c>
      <c r="B14">
        <f>VLOOKUP(A:A,[2]金币产出!$O$37:$R$157,4,FALSE)</f>
        <v>717840</v>
      </c>
      <c r="C14">
        <v>2000</v>
      </c>
      <c r="D14" s="9" t="s">
        <v>1108</v>
      </c>
      <c r="E14" t="str">
        <f t="shared" si="0"/>
        <v>2000,717840</v>
      </c>
    </row>
    <row r="15" spans="1:5" x14ac:dyDescent="0.2">
      <c r="A15" s="12">
        <v>14</v>
      </c>
      <c r="B15">
        <f>VLOOKUP(A:A,[2]金币产出!$O$37:$R$157,4,FALSE)</f>
        <v>717840</v>
      </c>
      <c r="C15">
        <v>2000</v>
      </c>
      <c r="D15" s="9" t="s">
        <v>1108</v>
      </c>
      <c r="E15" t="str">
        <f t="shared" si="0"/>
        <v>2000,717840</v>
      </c>
    </row>
    <row r="16" spans="1:5" x14ac:dyDescent="0.2">
      <c r="A16" s="12">
        <v>15</v>
      </c>
      <c r="B16">
        <f>VLOOKUP(A:A,[2]金币产出!$O$37:$R$157,4,FALSE)</f>
        <v>717840</v>
      </c>
      <c r="C16">
        <v>2000</v>
      </c>
      <c r="D16" s="9" t="s">
        <v>1108</v>
      </c>
      <c r="E16" t="str">
        <f t="shared" si="0"/>
        <v>2000,717840</v>
      </c>
    </row>
    <row r="17" spans="1:5" x14ac:dyDescent="0.2">
      <c r="A17" s="12">
        <v>16</v>
      </c>
      <c r="B17">
        <f>VLOOKUP(A:A,[2]金币产出!$O$37:$R$157,4,FALSE)</f>
        <v>740520</v>
      </c>
      <c r="C17">
        <v>2000</v>
      </c>
      <c r="D17" s="9" t="s">
        <v>1108</v>
      </c>
      <c r="E17" t="str">
        <f t="shared" si="0"/>
        <v>2000,740520</v>
      </c>
    </row>
    <row r="18" spans="1:5" x14ac:dyDescent="0.2">
      <c r="A18" s="12">
        <v>17</v>
      </c>
      <c r="B18">
        <f>VLOOKUP(A:A,[2]金币产出!$O$37:$R$157,4,FALSE)</f>
        <v>995400</v>
      </c>
      <c r="C18">
        <v>2000</v>
      </c>
      <c r="D18" s="9" t="s">
        <v>1108</v>
      </c>
      <c r="E18" t="str">
        <f t="shared" si="0"/>
        <v>2000,995400</v>
      </c>
    </row>
    <row r="19" spans="1:5" x14ac:dyDescent="0.2">
      <c r="A19" s="12">
        <v>18</v>
      </c>
      <c r="B19">
        <f>VLOOKUP(A:A,[2]金币产出!$O$37:$R$157,4,FALSE)</f>
        <v>1029240</v>
      </c>
      <c r="C19">
        <v>2000</v>
      </c>
      <c r="D19" s="9" t="s">
        <v>1108</v>
      </c>
      <c r="E19" t="str">
        <f t="shared" si="0"/>
        <v>2000,1029240</v>
      </c>
    </row>
    <row r="20" spans="1:5" x14ac:dyDescent="0.2">
      <c r="A20" s="12">
        <v>19</v>
      </c>
      <c r="B20">
        <f>VLOOKUP(A:A,[2]金币产出!$O$37:$R$157,4,FALSE)</f>
        <v>1029240</v>
      </c>
      <c r="C20">
        <v>2000</v>
      </c>
      <c r="D20" s="9" t="s">
        <v>1108</v>
      </c>
      <c r="E20" t="str">
        <f t="shared" si="0"/>
        <v>2000,1029240</v>
      </c>
    </row>
    <row r="21" spans="1:5" x14ac:dyDescent="0.2">
      <c r="A21" s="12">
        <v>20</v>
      </c>
      <c r="B21">
        <f>VLOOKUP(A:A,[2]金币产出!$O$37:$R$157,4,FALSE)</f>
        <v>1032840</v>
      </c>
      <c r="C21">
        <v>2000</v>
      </c>
      <c r="D21" s="9" t="s">
        <v>1108</v>
      </c>
      <c r="E21" t="str">
        <f t="shared" si="0"/>
        <v>2000,1032840</v>
      </c>
    </row>
    <row r="22" spans="1:5" x14ac:dyDescent="0.2">
      <c r="A22" s="12">
        <v>21</v>
      </c>
      <c r="B22">
        <f>VLOOKUP(A:A,[2]金币产出!$O$37:$R$157,4,FALSE)</f>
        <v>1057320</v>
      </c>
      <c r="C22">
        <v>2000</v>
      </c>
      <c r="D22" s="9" t="s">
        <v>1108</v>
      </c>
      <c r="E22" t="str">
        <f t="shared" si="0"/>
        <v>2000,1057320</v>
      </c>
    </row>
    <row r="23" spans="1:5" x14ac:dyDescent="0.2">
      <c r="A23" s="12">
        <v>22</v>
      </c>
      <c r="B23">
        <f>VLOOKUP(A:A,[2]金币产出!$O$37:$R$157,4,FALSE)</f>
        <v>1100880</v>
      </c>
      <c r="C23">
        <v>2000</v>
      </c>
      <c r="D23" s="9" t="s">
        <v>1108</v>
      </c>
      <c r="E23" t="str">
        <f t="shared" si="0"/>
        <v>2000,1100880</v>
      </c>
    </row>
    <row r="24" spans="1:5" x14ac:dyDescent="0.2">
      <c r="A24" s="12">
        <v>23</v>
      </c>
      <c r="B24">
        <f>VLOOKUP(A:A,[2]金币产出!$O$37:$R$157,4,FALSE)</f>
        <v>1100880</v>
      </c>
      <c r="C24">
        <v>2000</v>
      </c>
      <c r="D24" s="9" t="s">
        <v>1108</v>
      </c>
      <c r="E24" t="str">
        <f t="shared" si="0"/>
        <v>2000,1100880</v>
      </c>
    </row>
    <row r="25" spans="1:5" x14ac:dyDescent="0.2">
      <c r="A25" s="12">
        <v>24</v>
      </c>
      <c r="B25">
        <f>VLOOKUP(A:A,[2]金币产出!$O$37:$R$157,4,FALSE)</f>
        <v>1104840</v>
      </c>
      <c r="C25">
        <v>2000</v>
      </c>
      <c r="D25" s="9" t="s">
        <v>1108</v>
      </c>
      <c r="E25" t="str">
        <f t="shared" si="0"/>
        <v>2000,1104840</v>
      </c>
    </row>
    <row r="26" spans="1:5" x14ac:dyDescent="0.2">
      <c r="A26" s="12">
        <v>25</v>
      </c>
      <c r="B26">
        <f>VLOOKUP(A:A,[2]金币产出!$O$37:$R$157,4,FALSE)</f>
        <v>1493280</v>
      </c>
      <c r="C26">
        <v>2000</v>
      </c>
      <c r="D26" s="9" t="s">
        <v>1108</v>
      </c>
      <c r="E26" t="str">
        <f t="shared" si="0"/>
        <v>2000,1493280</v>
      </c>
    </row>
    <row r="27" spans="1:5" x14ac:dyDescent="0.2">
      <c r="A27" s="12">
        <v>26</v>
      </c>
      <c r="B27">
        <f>VLOOKUP(A:A,[2]金币产出!$O$37:$R$157,4,FALSE)</f>
        <v>1493280</v>
      </c>
      <c r="C27">
        <v>2000</v>
      </c>
      <c r="D27" s="9" t="s">
        <v>1108</v>
      </c>
      <c r="E27" t="str">
        <f t="shared" si="0"/>
        <v>2000,1493280</v>
      </c>
    </row>
    <row r="28" spans="1:5" x14ac:dyDescent="0.2">
      <c r="A28" s="12">
        <v>27</v>
      </c>
      <c r="B28">
        <f>VLOOKUP(A:A,[2]金币产出!$O$37:$R$157,4,FALSE)</f>
        <v>1498320</v>
      </c>
      <c r="C28">
        <v>2000</v>
      </c>
      <c r="D28" s="9" t="s">
        <v>1108</v>
      </c>
      <c r="E28" t="str">
        <f t="shared" si="0"/>
        <v>2000,1498320</v>
      </c>
    </row>
    <row r="29" spans="1:5" x14ac:dyDescent="0.2">
      <c r="A29" s="12">
        <v>28</v>
      </c>
      <c r="B29">
        <f>VLOOKUP(A:A,[2]金币产出!$O$37:$R$157,4,FALSE)</f>
        <v>1498320</v>
      </c>
      <c r="C29">
        <v>2000</v>
      </c>
      <c r="D29" s="9" t="s">
        <v>1108</v>
      </c>
      <c r="E29" t="str">
        <f t="shared" si="0"/>
        <v>2000,1498320</v>
      </c>
    </row>
    <row r="30" spans="1:5" x14ac:dyDescent="0.2">
      <c r="A30" s="12">
        <v>29</v>
      </c>
      <c r="B30">
        <f>VLOOKUP(A:A,[2]金币产出!$O$37:$R$157,4,FALSE)</f>
        <v>1521720</v>
      </c>
      <c r="C30">
        <v>2000</v>
      </c>
      <c r="D30" s="9" t="s">
        <v>1108</v>
      </c>
      <c r="E30" t="str">
        <f t="shared" si="0"/>
        <v>2000,1521720</v>
      </c>
    </row>
    <row r="31" spans="1:5" x14ac:dyDescent="0.2">
      <c r="A31" s="12">
        <v>30</v>
      </c>
      <c r="B31">
        <f>VLOOKUP(A:A,[2]金币产出!$O$37:$R$157,4,FALSE)</f>
        <v>1521720</v>
      </c>
      <c r="C31">
        <v>2000</v>
      </c>
      <c r="D31" s="9" t="s">
        <v>1108</v>
      </c>
      <c r="E31" t="str">
        <f t="shared" si="0"/>
        <v>2000,1521720</v>
      </c>
    </row>
    <row r="32" spans="1:5" x14ac:dyDescent="0.2">
      <c r="A32" s="12">
        <v>31</v>
      </c>
      <c r="B32">
        <f>VLOOKUP(A:A,[2]金币产出!$O$37:$R$157,4,FALSE)</f>
        <v>1526400</v>
      </c>
      <c r="C32">
        <v>2000</v>
      </c>
      <c r="D32" s="9" t="s">
        <v>1108</v>
      </c>
      <c r="E32" t="str">
        <f t="shared" si="0"/>
        <v>2000,1526400</v>
      </c>
    </row>
    <row r="33" spans="1:5" x14ac:dyDescent="0.2">
      <c r="A33" s="12">
        <v>32</v>
      </c>
      <c r="B33">
        <f>VLOOKUP(A:A,[2]金币产出!$O$37:$R$157,4,FALSE)</f>
        <v>1526400</v>
      </c>
      <c r="C33">
        <v>2000</v>
      </c>
      <c r="D33" s="9" t="s">
        <v>1108</v>
      </c>
      <c r="E33" t="str">
        <f t="shared" si="0"/>
        <v>2000,1526400</v>
      </c>
    </row>
    <row r="34" spans="1:5" x14ac:dyDescent="0.2">
      <c r="A34" s="12">
        <v>33</v>
      </c>
      <c r="B34">
        <f>VLOOKUP(A:A,[2]金币产出!$O$37:$R$157,4,FALSE)</f>
        <v>1859760</v>
      </c>
      <c r="C34">
        <v>2000</v>
      </c>
      <c r="D34" s="9" t="s">
        <v>1108</v>
      </c>
      <c r="E34" t="str">
        <f t="shared" si="0"/>
        <v>2000,1859760</v>
      </c>
    </row>
    <row r="35" spans="1:5" x14ac:dyDescent="0.2">
      <c r="A35" s="12">
        <v>34</v>
      </c>
      <c r="B35">
        <f>VLOOKUP(A:A,[2]金币产出!$O$37:$R$157,4,FALSE)</f>
        <v>1859760</v>
      </c>
      <c r="C35">
        <v>2000</v>
      </c>
      <c r="D35" s="9" t="s">
        <v>1108</v>
      </c>
      <c r="E35" t="str">
        <f t="shared" si="0"/>
        <v>2000,1859760</v>
      </c>
    </row>
    <row r="36" spans="1:5" x14ac:dyDescent="0.2">
      <c r="A36" s="12">
        <v>35</v>
      </c>
      <c r="B36">
        <f>VLOOKUP(A:A,[2]金币产出!$O$37:$R$157,4,FALSE)</f>
        <v>1865520</v>
      </c>
      <c r="C36">
        <v>2000</v>
      </c>
      <c r="D36" s="9" t="s">
        <v>1108</v>
      </c>
      <c r="E36" t="str">
        <f t="shared" si="0"/>
        <v>2000,1865520</v>
      </c>
    </row>
    <row r="37" spans="1:5" x14ac:dyDescent="0.2">
      <c r="A37" s="12">
        <v>36</v>
      </c>
      <c r="B37">
        <f>VLOOKUP(A:A,[2]金币产出!$O$37:$R$157,4,FALSE)</f>
        <v>1865520</v>
      </c>
      <c r="C37">
        <v>2000</v>
      </c>
      <c r="D37" s="9" t="s">
        <v>1108</v>
      </c>
      <c r="E37" t="str">
        <f t="shared" si="0"/>
        <v>2000,1865520</v>
      </c>
    </row>
    <row r="38" spans="1:5" x14ac:dyDescent="0.2">
      <c r="A38" s="12">
        <v>37</v>
      </c>
      <c r="B38">
        <f>VLOOKUP(A:A,[2]金币产出!$O$37:$R$157,4,FALSE)</f>
        <v>1893600</v>
      </c>
      <c r="C38">
        <v>2000</v>
      </c>
      <c r="D38" s="9" t="s">
        <v>1108</v>
      </c>
      <c r="E38" t="str">
        <f t="shared" si="0"/>
        <v>2000,1893600</v>
      </c>
    </row>
    <row r="39" spans="1:5" x14ac:dyDescent="0.2">
      <c r="A39" s="12">
        <v>38</v>
      </c>
      <c r="B39">
        <f>VLOOKUP(A:A,[2]金币产出!$O$37:$R$157,4,FALSE)</f>
        <v>1893600</v>
      </c>
      <c r="C39">
        <v>2000</v>
      </c>
      <c r="D39" s="9" t="s">
        <v>1108</v>
      </c>
      <c r="E39" t="str">
        <f t="shared" si="0"/>
        <v>2000,1893600</v>
      </c>
    </row>
    <row r="40" spans="1:5" x14ac:dyDescent="0.2">
      <c r="A40" s="12">
        <v>39</v>
      </c>
      <c r="B40">
        <f>VLOOKUP(A:A,[2]金币产出!$O$37:$R$157,4,FALSE)</f>
        <v>1899000</v>
      </c>
      <c r="C40">
        <v>2000</v>
      </c>
      <c r="D40" s="9" t="s">
        <v>1108</v>
      </c>
      <c r="E40" t="str">
        <f t="shared" si="0"/>
        <v>2000,1899000</v>
      </c>
    </row>
    <row r="41" spans="1:5" x14ac:dyDescent="0.2">
      <c r="A41" s="12">
        <v>40</v>
      </c>
      <c r="B41">
        <f>VLOOKUP(A:A,[2]金币产出!$O$37:$R$157,4,FALSE)</f>
        <v>1899000</v>
      </c>
      <c r="C41">
        <v>2000</v>
      </c>
      <c r="D41" s="9" t="s">
        <v>1108</v>
      </c>
      <c r="E41" t="str">
        <f t="shared" si="0"/>
        <v>2000,1899000</v>
      </c>
    </row>
    <row r="42" spans="1:5" x14ac:dyDescent="0.2">
      <c r="A42" s="12">
        <v>41</v>
      </c>
      <c r="B42">
        <f>VLOOKUP(A:A,[2]金币产出!$O$37:$R$157,4,FALSE)</f>
        <v>2336760</v>
      </c>
      <c r="C42">
        <v>2000</v>
      </c>
      <c r="D42" s="9" t="s">
        <v>1108</v>
      </c>
      <c r="E42" t="str">
        <f t="shared" si="0"/>
        <v>2000,2336760</v>
      </c>
    </row>
    <row r="43" spans="1:5" x14ac:dyDescent="0.2">
      <c r="A43" s="12">
        <v>42</v>
      </c>
      <c r="B43">
        <f>VLOOKUP(A:A,[2]金币产出!$O$37:$R$157,4,FALSE)</f>
        <v>2336760</v>
      </c>
      <c r="C43">
        <v>2000</v>
      </c>
      <c r="D43" s="9" t="s">
        <v>1108</v>
      </c>
      <c r="E43" t="str">
        <f t="shared" si="0"/>
        <v>2000,2336760</v>
      </c>
    </row>
    <row r="44" spans="1:5" x14ac:dyDescent="0.2">
      <c r="A44" s="12">
        <v>43</v>
      </c>
      <c r="B44">
        <f>VLOOKUP(A:A,[2]金币产出!$O$37:$R$157,4,FALSE)</f>
        <v>2343240</v>
      </c>
      <c r="C44">
        <v>2000</v>
      </c>
      <c r="D44" s="9" t="s">
        <v>1108</v>
      </c>
      <c r="E44" t="str">
        <f t="shared" si="0"/>
        <v>2000,2343240</v>
      </c>
    </row>
    <row r="45" spans="1:5" x14ac:dyDescent="0.2">
      <c r="A45" s="12">
        <v>44</v>
      </c>
      <c r="B45">
        <f>VLOOKUP(A:A,[2]金币产出!$O$37:$R$157,4,FALSE)</f>
        <v>2343240</v>
      </c>
      <c r="C45">
        <v>2000</v>
      </c>
      <c r="D45" s="9" t="s">
        <v>1108</v>
      </c>
      <c r="E45" t="str">
        <f t="shared" si="0"/>
        <v>2000,2343240</v>
      </c>
    </row>
    <row r="46" spans="1:5" x14ac:dyDescent="0.2">
      <c r="A46" s="12">
        <v>45</v>
      </c>
      <c r="B46">
        <f>VLOOKUP(A:A,[2]金币产出!$O$37:$R$157,4,FALSE)</f>
        <v>2376000</v>
      </c>
      <c r="C46">
        <v>2000</v>
      </c>
      <c r="D46" s="9" t="s">
        <v>1108</v>
      </c>
      <c r="E46" t="str">
        <f t="shared" si="0"/>
        <v>2000,2376000</v>
      </c>
    </row>
    <row r="47" spans="1:5" x14ac:dyDescent="0.2">
      <c r="A47" s="12">
        <v>46</v>
      </c>
      <c r="B47">
        <f>VLOOKUP(A:A,[2]金币产出!$O$37:$R$157,4,FALSE)</f>
        <v>2376000</v>
      </c>
      <c r="C47">
        <v>2000</v>
      </c>
      <c r="D47" s="9" t="s">
        <v>1108</v>
      </c>
      <c r="E47" t="str">
        <f t="shared" si="0"/>
        <v>2000,2376000</v>
      </c>
    </row>
    <row r="48" spans="1:5" x14ac:dyDescent="0.2">
      <c r="A48" s="12">
        <v>47</v>
      </c>
      <c r="B48">
        <f>VLOOKUP(A:A,[2]金币产出!$O$37:$R$157,4,FALSE)</f>
        <v>2382840</v>
      </c>
      <c r="C48">
        <v>2000</v>
      </c>
      <c r="D48" s="9" t="s">
        <v>1108</v>
      </c>
      <c r="E48" t="str">
        <f t="shared" si="0"/>
        <v>2000,2382840</v>
      </c>
    </row>
    <row r="49" spans="1:5" x14ac:dyDescent="0.2">
      <c r="A49" s="12">
        <v>48</v>
      </c>
      <c r="B49">
        <f>VLOOKUP(A:A,[2]金币产出!$O$37:$R$157,4,FALSE)</f>
        <v>2382840</v>
      </c>
      <c r="C49">
        <v>2000</v>
      </c>
      <c r="D49" s="9" t="s">
        <v>1108</v>
      </c>
      <c r="E49" t="str">
        <f t="shared" si="0"/>
        <v>2000,2382840</v>
      </c>
    </row>
    <row r="50" spans="1:5" x14ac:dyDescent="0.2">
      <c r="A50" s="12">
        <v>49</v>
      </c>
      <c r="B50">
        <f>VLOOKUP(A:A,[2]金币产出!$O$37:$R$157,4,FALSE)</f>
        <v>2415600</v>
      </c>
      <c r="C50">
        <v>2000</v>
      </c>
      <c r="D50" s="9" t="s">
        <v>1108</v>
      </c>
      <c r="E50" t="str">
        <f t="shared" si="0"/>
        <v>2000,2415600</v>
      </c>
    </row>
    <row r="51" spans="1:5" x14ac:dyDescent="0.2">
      <c r="A51" s="12">
        <v>50</v>
      </c>
      <c r="B51">
        <f>VLOOKUP(A:A,[2]金币产出!$O$37:$R$157,4,FALSE)</f>
        <v>2415600</v>
      </c>
      <c r="C51">
        <v>2000</v>
      </c>
      <c r="D51" s="9" t="s">
        <v>1108</v>
      </c>
      <c r="E51" t="str">
        <f t="shared" si="0"/>
        <v>2000,2415600</v>
      </c>
    </row>
    <row r="52" spans="1:5" x14ac:dyDescent="0.2">
      <c r="A52" s="12">
        <v>51</v>
      </c>
      <c r="B52">
        <f>VLOOKUP(A:A,[2]金币产出!$O$37:$R$157,4,FALSE)</f>
        <v>2422080</v>
      </c>
      <c r="C52">
        <v>2000</v>
      </c>
      <c r="D52" s="9" t="s">
        <v>1108</v>
      </c>
      <c r="E52" t="str">
        <f t="shared" si="0"/>
        <v>2000,2422080</v>
      </c>
    </row>
    <row r="53" spans="1:5" x14ac:dyDescent="0.2">
      <c r="A53" s="12">
        <v>52</v>
      </c>
      <c r="B53">
        <f>VLOOKUP(A:A,[2]金币产出!$O$37:$R$157,4,FALSE)</f>
        <v>2422080</v>
      </c>
      <c r="C53">
        <v>2000</v>
      </c>
      <c r="D53" s="9" t="s">
        <v>1108</v>
      </c>
      <c r="E53" t="str">
        <f t="shared" si="0"/>
        <v>2000,2422080</v>
      </c>
    </row>
    <row r="54" spans="1:5" x14ac:dyDescent="0.2">
      <c r="A54" s="12">
        <v>53</v>
      </c>
      <c r="B54">
        <f>VLOOKUP(A:A,[2]金币产出!$O$37:$R$157,4,FALSE)</f>
        <v>3110040</v>
      </c>
      <c r="C54">
        <v>2000</v>
      </c>
      <c r="D54" s="9" t="s">
        <v>1108</v>
      </c>
      <c r="E54" t="str">
        <f t="shared" si="0"/>
        <v>2000,3110040</v>
      </c>
    </row>
    <row r="55" spans="1:5" x14ac:dyDescent="0.2">
      <c r="A55" s="12">
        <v>54</v>
      </c>
      <c r="B55">
        <f>VLOOKUP(A:A,[2]金币产出!$O$37:$R$157,4,FALSE)</f>
        <v>3110040</v>
      </c>
      <c r="C55">
        <v>2000</v>
      </c>
      <c r="D55" s="9" t="s">
        <v>1108</v>
      </c>
      <c r="E55" t="str">
        <f t="shared" si="0"/>
        <v>2000,3110040</v>
      </c>
    </row>
    <row r="56" spans="1:5" x14ac:dyDescent="0.2">
      <c r="A56" s="12">
        <v>55</v>
      </c>
      <c r="B56">
        <f>VLOOKUP(A:A,[2]金币产出!$O$37:$R$157,4,FALSE)</f>
        <v>3117600</v>
      </c>
      <c r="C56">
        <v>2000</v>
      </c>
      <c r="D56" s="9" t="s">
        <v>1108</v>
      </c>
      <c r="E56" t="str">
        <f t="shared" si="0"/>
        <v>2000,3117600</v>
      </c>
    </row>
    <row r="57" spans="1:5" x14ac:dyDescent="0.2">
      <c r="A57" s="12">
        <v>56</v>
      </c>
      <c r="B57">
        <f>VLOOKUP(A:A,[2]金币产出!$O$37:$R$157,4,FALSE)</f>
        <v>3117600</v>
      </c>
      <c r="C57">
        <v>2000</v>
      </c>
      <c r="D57" s="9" t="s">
        <v>1108</v>
      </c>
      <c r="E57" t="str">
        <f t="shared" si="0"/>
        <v>2000,3117600</v>
      </c>
    </row>
    <row r="58" spans="1:5" x14ac:dyDescent="0.2">
      <c r="A58" s="12">
        <v>57</v>
      </c>
      <c r="B58">
        <f>VLOOKUP(A:A,[2]金币产出!$O$37:$R$157,4,FALSE)</f>
        <v>3155400</v>
      </c>
      <c r="C58">
        <v>2000</v>
      </c>
      <c r="D58" s="9" t="s">
        <v>1108</v>
      </c>
      <c r="E58" t="str">
        <f t="shared" si="0"/>
        <v>2000,3155400</v>
      </c>
    </row>
    <row r="59" spans="1:5" x14ac:dyDescent="0.2">
      <c r="A59" s="12">
        <v>58</v>
      </c>
      <c r="B59">
        <f>VLOOKUP(A:A,[2]金币产出!$O$37:$R$157,4,FALSE)</f>
        <v>3155400</v>
      </c>
      <c r="C59">
        <v>2000</v>
      </c>
      <c r="D59" s="9" t="s">
        <v>1108</v>
      </c>
      <c r="E59" t="str">
        <f t="shared" si="0"/>
        <v>2000,3155400</v>
      </c>
    </row>
    <row r="60" spans="1:5" x14ac:dyDescent="0.2">
      <c r="A60" s="12">
        <v>59</v>
      </c>
      <c r="B60">
        <f>VLOOKUP(A:A,[2]金币产出!$O$37:$R$157,4,FALSE)</f>
        <v>3162960</v>
      </c>
      <c r="C60">
        <v>2000</v>
      </c>
      <c r="D60" s="9" t="s">
        <v>1108</v>
      </c>
      <c r="E60" t="str">
        <f t="shared" si="0"/>
        <v>2000,3162960</v>
      </c>
    </row>
    <row r="61" spans="1:5" x14ac:dyDescent="0.2">
      <c r="A61" s="12">
        <v>60</v>
      </c>
      <c r="B61">
        <f>VLOOKUP(A:A,[2]金币产出!$O$37:$R$157,4,FALSE)</f>
        <v>3162960</v>
      </c>
      <c r="C61">
        <v>2000</v>
      </c>
      <c r="D61" s="9" t="s">
        <v>1108</v>
      </c>
      <c r="E61" t="str">
        <f t="shared" si="0"/>
        <v>2000,3162960</v>
      </c>
    </row>
    <row r="62" spans="1:5" x14ac:dyDescent="0.2">
      <c r="A62" s="12">
        <v>61</v>
      </c>
      <c r="B62">
        <f>VLOOKUP(A:A,[2]金币产出!$O$37:$R$157,4,FALSE)</f>
        <v>3248640</v>
      </c>
      <c r="C62">
        <v>2000</v>
      </c>
      <c r="D62" s="9" t="s">
        <v>1108</v>
      </c>
      <c r="E62" t="str">
        <f t="shared" si="0"/>
        <v>2000,3248640</v>
      </c>
    </row>
    <row r="63" spans="1:5" x14ac:dyDescent="0.2">
      <c r="A63" s="12">
        <v>62</v>
      </c>
      <c r="B63">
        <f>VLOOKUP(A:A,[2]金币产出!$O$37:$R$157,4,FALSE)</f>
        <v>3248640</v>
      </c>
      <c r="C63">
        <v>2000</v>
      </c>
      <c r="D63" s="9" t="s">
        <v>1108</v>
      </c>
      <c r="E63" t="str">
        <f t="shared" si="0"/>
        <v>2000,3248640</v>
      </c>
    </row>
    <row r="64" spans="1:5" x14ac:dyDescent="0.2">
      <c r="A64" s="12">
        <v>63</v>
      </c>
      <c r="B64">
        <f>VLOOKUP(A:A,[2]金币产出!$O$37:$R$157,4,FALSE)</f>
        <v>3256200</v>
      </c>
      <c r="C64">
        <v>2000</v>
      </c>
      <c r="D64" s="9" t="s">
        <v>1108</v>
      </c>
      <c r="E64" t="str">
        <f t="shared" si="0"/>
        <v>2000,3256200</v>
      </c>
    </row>
    <row r="65" spans="1:5" x14ac:dyDescent="0.2">
      <c r="A65" s="12">
        <v>64</v>
      </c>
      <c r="B65">
        <f>VLOOKUP(A:A,[2]金币产出!$O$37:$R$157,4,FALSE)</f>
        <v>3256200</v>
      </c>
      <c r="C65">
        <v>2000</v>
      </c>
      <c r="D65" s="9" t="s">
        <v>1108</v>
      </c>
      <c r="E65" t="str">
        <f t="shared" si="0"/>
        <v>2000,3256200</v>
      </c>
    </row>
    <row r="66" spans="1:5" x14ac:dyDescent="0.2">
      <c r="A66" s="12">
        <v>65</v>
      </c>
      <c r="B66">
        <f>VLOOKUP(A:A,[2]金币产出!$O$37:$R$157,4,FALSE)</f>
        <v>3705480</v>
      </c>
      <c r="C66">
        <v>2000</v>
      </c>
      <c r="D66" s="9" t="s">
        <v>1108</v>
      </c>
      <c r="E66" t="str">
        <f t="shared" si="0"/>
        <v>2000,3705480</v>
      </c>
    </row>
    <row r="67" spans="1:5" x14ac:dyDescent="0.2">
      <c r="A67" s="12">
        <v>66</v>
      </c>
      <c r="B67">
        <f>VLOOKUP(A:A,[2]金币产出!$O$37:$R$157,4,FALSE)</f>
        <v>3705480</v>
      </c>
      <c r="C67">
        <v>2000</v>
      </c>
      <c r="D67" s="9" t="s">
        <v>1108</v>
      </c>
      <c r="E67" t="str">
        <f t="shared" ref="E67:E121" si="1">C67&amp;D67&amp;B67</f>
        <v>2000,3705480</v>
      </c>
    </row>
    <row r="68" spans="1:5" x14ac:dyDescent="0.2">
      <c r="A68" s="12">
        <v>67</v>
      </c>
      <c r="B68">
        <f>VLOOKUP(A:A,[2]金币产出!$O$37:$R$157,4,FALSE)</f>
        <v>3714120</v>
      </c>
      <c r="C68">
        <v>2000</v>
      </c>
      <c r="D68" s="9" t="s">
        <v>1108</v>
      </c>
      <c r="E68" t="str">
        <f t="shared" si="1"/>
        <v>2000,3714120</v>
      </c>
    </row>
    <row r="69" spans="1:5" x14ac:dyDescent="0.2">
      <c r="A69" s="12">
        <v>68</v>
      </c>
      <c r="B69">
        <f>VLOOKUP(A:A,[2]金币产出!$O$37:$R$157,4,FALSE)</f>
        <v>3714120</v>
      </c>
      <c r="C69">
        <v>2000</v>
      </c>
      <c r="D69" s="9" t="s">
        <v>1108</v>
      </c>
      <c r="E69" t="str">
        <f t="shared" si="1"/>
        <v>2000,3714120</v>
      </c>
    </row>
    <row r="70" spans="1:5" x14ac:dyDescent="0.2">
      <c r="A70" s="12">
        <v>69</v>
      </c>
      <c r="B70">
        <f>VLOOKUP(A:A,[2]金币产出!$O$37:$R$157,4,FALSE)</f>
        <v>3756600</v>
      </c>
      <c r="C70">
        <v>2000</v>
      </c>
      <c r="D70" s="9" t="s">
        <v>1108</v>
      </c>
      <c r="E70" t="str">
        <f t="shared" si="1"/>
        <v>2000,3756600</v>
      </c>
    </row>
    <row r="71" spans="1:5" x14ac:dyDescent="0.2">
      <c r="A71" s="12">
        <v>70</v>
      </c>
      <c r="B71">
        <f>VLOOKUP(A:A,[2]金币产出!$O$37:$R$157,4,FALSE)</f>
        <v>3756600</v>
      </c>
      <c r="C71">
        <v>2000</v>
      </c>
      <c r="D71" s="9" t="s">
        <v>1108</v>
      </c>
      <c r="E71" t="str">
        <f t="shared" si="1"/>
        <v>2000,3756600</v>
      </c>
    </row>
    <row r="72" spans="1:5" x14ac:dyDescent="0.2">
      <c r="A72" s="12">
        <v>71</v>
      </c>
      <c r="B72">
        <f>VLOOKUP(A:A,[2]金币产出!$O$37:$R$157,4,FALSE)</f>
        <v>3764880</v>
      </c>
      <c r="C72">
        <v>2000</v>
      </c>
      <c r="D72" s="9" t="s">
        <v>1108</v>
      </c>
      <c r="E72" t="str">
        <f t="shared" si="1"/>
        <v>2000,3764880</v>
      </c>
    </row>
    <row r="73" spans="1:5" x14ac:dyDescent="0.2">
      <c r="A73" s="12">
        <v>72</v>
      </c>
      <c r="B73">
        <f>VLOOKUP(A:A,[2]金币产出!$O$37:$R$157,4,FALSE)</f>
        <v>3764880</v>
      </c>
      <c r="C73">
        <v>2000</v>
      </c>
      <c r="D73" s="9" t="s">
        <v>1108</v>
      </c>
      <c r="E73" t="str">
        <f t="shared" si="1"/>
        <v>2000,3764880</v>
      </c>
    </row>
    <row r="74" spans="1:5" x14ac:dyDescent="0.2">
      <c r="A74" s="12">
        <v>73</v>
      </c>
      <c r="B74">
        <f>VLOOKUP(A:A,[2]金币产出!$O$37:$R$157,4,FALSE)</f>
        <v>3807360</v>
      </c>
      <c r="C74">
        <v>2000</v>
      </c>
      <c r="D74" s="9" t="s">
        <v>1108</v>
      </c>
      <c r="E74" t="str">
        <f t="shared" si="1"/>
        <v>2000,3807360</v>
      </c>
    </row>
    <row r="75" spans="1:5" x14ac:dyDescent="0.2">
      <c r="A75" s="12">
        <v>74</v>
      </c>
      <c r="B75">
        <f>VLOOKUP(A:A,[2]金币产出!$O$37:$R$157,4,FALSE)</f>
        <v>3807360</v>
      </c>
      <c r="C75">
        <v>2000</v>
      </c>
      <c r="D75" s="9" t="s">
        <v>1108</v>
      </c>
      <c r="E75" t="str">
        <f t="shared" si="1"/>
        <v>2000,3807360</v>
      </c>
    </row>
    <row r="76" spans="1:5" x14ac:dyDescent="0.2">
      <c r="A76" s="12">
        <v>75</v>
      </c>
      <c r="B76">
        <f>VLOOKUP(A:A,[2]金币产出!$O$37:$R$157,4,FALSE)</f>
        <v>3815640</v>
      </c>
      <c r="C76">
        <v>2000</v>
      </c>
      <c r="D76" s="9" t="s">
        <v>1108</v>
      </c>
      <c r="E76" t="str">
        <f t="shared" si="1"/>
        <v>2000,3815640</v>
      </c>
    </row>
    <row r="77" spans="1:5" x14ac:dyDescent="0.2">
      <c r="A77" s="12">
        <v>76</v>
      </c>
      <c r="B77">
        <f>VLOOKUP(A:A,[2]金币产出!$O$37:$R$157,4,FALSE)</f>
        <v>3815640</v>
      </c>
      <c r="C77">
        <v>2000</v>
      </c>
      <c r="D77" s="9" t="s">
        <v>1108</v>
      </c>
      <c r="E77" t="str">
        <f t="shared" si="1"/>
        <v>2000,3815640</v>
      </c>
    </row>
    <row r="78" spans="1:5" x14ac:dyDescent="0.2">
      <c r="A78" s="12">
        <v>77</v>
      </c>
      <c r="B78">
        <f>VLOOKUP(A:A,[2]金币产出!$O$37:$R$157,4,FALSE)</f>
        <v>4294080</v>
      </c>
      <c r="C78">
        <v>2000</v>
      </c>
      <c r="D78" s="9" t="s">
        <v>1108</v>
      </c>
      <c r="E78" t="str">
        <f t="shared" si="1"/>
        <v>2000,4294080</v>
      </c>
    </row>
    <row r="79" spans="1:5" x14ac:dyDescent="0.2">
      <c r="A79" s="12">
        <v>78</v>
      </c>
      <c r="B79">
        <f>VLOOKUP(A:A,[2]金币产出!$O$37:$R$157,4,FALSE)</f>
        <v>4294080</v>
      </c>
      <c r="C79">
        <v>2000</v>
      </c>
      <c r="D79" s="9" t="s">
        <v>1108</v>
      </c>
      <c r="E79" t="str">
        <f t="shared" si="1"/>
        <v>2000,4294080</v>
      </c>
    </row>
    <row r="80" spans="1:5" x14ac:dyDescent="0.2">
      <c r="A80" s="12">
        <v>79</v>
      </c>
      <c r="B80">
        <f>VLOOKUP(A:A,[2]金币产出!$O$37:$R$157,4,FALSE)</f>
        <v>4303800</v>
      </c>
      <c r="C80">
        <v>2000</v>
      </c>
      <c r="D80" s="9" t="s">
        <v>1108</v>
      </c>
      <c r="E80" t="str">
        <f t="shared" si="1"/>
        <v>2000,4303800</v>
      </c>
    </row>
    <row r="81" spans="1:5" x14ac:dyDescent="0.2">
      <c r="A81" s="12">
        <v>80</v>
      </c>
      <c r="B81">
        <f>VLOOKUP(A:A,[2]金币产出!$O$37:$R$157,4,FALSE)</f>
        <v>4303800</v>
      </c>
      <c r="C81">
        <v>2000</v>
      </c>
      <c r="D81" s="9" t="s">
        <v>1108</v>
      </c>
      <c r="E81" t="str">
        <f t="shared" si="1"/>
        <v>2000,4303800</v>
      </c>
    </row>
    <row r="82" spans="1:5" x14ac:dyDescent="0.2">
      <c r="A82" s="12">
        <v>81</v>
      </c>
      <c r="B82">
        <f>VLOOKUP(A:A,[2]金币产出!$O$37:$R$157,4,FALSE)</f>
        <v>4554000</v>
      </c>
      <c r="C82">
        <v>2000</v>
      </c>
      <c r="D82" s="9" t="s">
        <v>1108</v>
      </c>
      <c r="E82" t="str">
        <f t="shared" si="1"/>
        <v>2000,4554000</v>
      </c>
    </row>
    <row r="83" spans="1:5" x14ac:dyDescent="0.2">
      <c r="A83" s="12">
        <v>82</v>
      </c>
      <c r="B83">
        <f>VLOOKUP(A:A,[2]金币产出!$O$37:$R$157,4,FALSE)</f>
        <v>4554000</v>
      </c>
      <c r="C83">
        <v>2000</v>
      </c>
      <c r="D83" s="9" t="s">
        <v>1108</v>
      </c>
      <c r="E83" t="str">
        <f t="shared" si="1"/>
        <v>2000,4554000</v>
      </c>
    </row>
    <row r="84" spans="1:5" x14ac:dyDescent="0.2">
      <c r="A84" s="12">
        <v>83</v>
      </c>
      <c r="B84">
        <f>VLOOKUP(A:A,[2]金币产出!$O$37:$R$157,4,FALSE)</f>
        <v>4563360</v>
      </c>
      <c r="C84">
        <v>2000</v>
      </c>
      <c r="D84" s="9" t="s">
        <v>1108</v>
      </c>
      <c r="E84" t="str">
        <f t="shared" si="1"/>
        <v>2000,4563360</v>
      </c>
    </row>
    <row r="85" spans="1:5" x14ac:dyDescent="0.2">
      <c r="A85" s="12">
        <v>84</v>
      </c>
      <c r="B85">
        <f>VLOOKUP(A:A,[2]金币产出!$O$37:$R$157,4,FALSE)</f>
        <v>4563360</v>
      </c>
      <c r="C85">
        <v>2000</v>
      </c>
      <c r="D85" s="9" t="s">
        <v>1108</v>
      </c>
      <c r="E85" t="str">
        <f t="shared" si="1"/>
        <v>2000,4563360</v>
      </c>
    </row>
    <row r="86" spans="1:5" x14ac:dyDescent="0.2">
      <c r="A86" s="12">
        <v>85</v>
      </c>
      <c r="B86">
        <f>VLOOKUP(A:A,[2]金币产出!$O$37:$R$157,4,FALSE)</f>
        <v>4610520</v>
      </c>
      <c r="C86">
        <v>2000</v>
      </c>
      <c r="D86" s="9" t="s">
        <v>1108</v>
      </c>
      <c r="E86" t="str">
        <f t="shared" si="1"/>
        <v>2000,4610520</v>
      </c>
    </row>
    <row r="87" spans="1:5" x14ac:dyDescent="0.2">
      <c r="A87" s="12">
        <v>86</v>
      </c>
      <c r="B87">
        <f>VLOOKUP(A:A,[2]金币产出!$O$37:$R$157,4,FALSE)</f>
        <v>4610520</v>
      </c>
      <c r="C87">
        <v>2000</v>
      </c>
      <c r="D87" s="9" t="s">
        <v>1108</v>
      </c>
      <c r="E87" t="str">
        <f t="shared" si="1"/>
        <v>2000,4610520</v>
      </c>
    </row>
    <row r="88" spans="1:5" x14ac:dyDescent="0.2">
      <c r="A88" s="12">
        <v>87</v>
      </c>
      <c r="B88">
        <f>VLOOKUP(A:A,[2]金币产出!$O$37:$R$157,4,FALSE)</f>
        <v>4619880</v>
      </c>
      <c r="C88">
        <v>2000</v>
      </c>
      <c r="D88" s="9" t="s">
        <v>1108</v>
      </c>
      <c r="E88" t="str">
        <f t="shared" si="1"/>
        <v>2000,4619880</v>
      </c>
    </row>
    <row r="89" spans="1:5" x14ac:dyDescent="0.2">
      <c r="A89" s="12">
        <v>88</v>
      </c>
      <c r="B89">
        <f>VLOOKUP(A:A,[2]金币产出!$O$37:$R$157,4,FALSE)</f>
        <v>4619880</v>
      </c>
      <c r="C89">
        <v>2000</v>
      </c>
      <c r="D89" s="9" t="s">
        <v>1108</v>
      </c>
      <c r="E89" t="str">
        <f t="shared" si="1"/>
        <v>2000,4619880</v>
      </c>
    </row>
    <row r="90" spans="1:5" x14ac:dyDescent="0.2">
      <c r="A90" s="12">
        <v>89</v>
      </c>
      <c r="B90">
        <f>VLOOKUP(A:A,[2]金币产出!$O$37:$R$157,4,FALSE)</f>
        <v>5773320</v>
      </c>
      <c r="C90">
        <v>2000</v>
      </c>
      <c r="D90" s="9" t="s">
        <v>1108</v>
      </c>
      <c r="E90" t="str">
        <f t="shared" si="1"/>
        <v>2000,5773320</v>
      </c>
    </row>
    <row r="91" spans="1:5" x14ac:dyDescent="0.2">
      <c r="A91" s="12">
        <v>90</v>
      </c>
      <c r="B91">
        <f>VLOOKUP(A:A,[2]金币产出!$O$37:$R$157,4,FALSE)</f>
        <v>5773320</v>
      </c>
      <c r="C91">
        <v>2000</v>
      </c>
      <c r="D91" s="9" t="s">
        <v>1108</v>
      </c>
      <c r="E91" t="str">
        <f t="shared" si="1"/>
        <v>2000,5773320</v>
      </c>
    </row>
    <row r="92" spans="1:5" x14ac:dyDescent="0.2">
      <c r="A92" s="12">
        <v>91</v>
      </c>
      <c r="B92">
        <f>VLOOKUP(A:A,[2]金币产出!$O$37:$R$157,4,FALSE)</f>
        <v>5783760</v>
      </c>
      <c r="C92">
        <v>2000</v>
      </c>
      <c r="D92" s="9" t="s">
        <v>1108</v>
      </c>
      <c r="E92" t="str">
        <f t="shared" si="1"/>
        <v>2000,5783760</v>
      </c>
    </row>
    <row r="93" spans="1:5" x14ac:dyDescent="0.2">
      <c r="A93" s="12">
        <v>92</v>
      </c>
      <c r="B93">
        <f>VLOOKUP(A:A,[2]金币产出!$O$37:$R$157,4,FALSE)</f>
        <v>5783760</v>
      </c>
      <c r="C93">
        <v>2000</v>
      </c>
      <c r="D93" s="9" t="s">
        <v>1108</v>
      </c>
      <c r="E93" t="str">
        <f t="shared" si="1"/>
        <v>2000,5783760</v>
      </c>
    </row>
    <row r="94" spans="1:5" x14ac:dyDescent="0.2">
      <c r="A94" s="12">
        <v>93</v>
      </c>
      <c r="B94">
        <f>VLOOKUP(A:A,[2]金币产出!$O$37:$R$157,4,FALSE)</f>
        <v>5835600</v>
      </c>
      <c r="C94">
        <v>2000</v>
      </c>
      <c r="D94" s="9" t="s">
        <v>1108</v>
      </c>
      <c r="E94" t="str">
        <f t="shared" si="1"/>
        <v>2000,5835600</v>
      </c>
    </row>
    <row r="95" spans="1:5" x14ac:dyDescent="0.2">
      <c r="A95" s="12">
        <v>94</v>
      </c>
      <c r="B95">
        <f>VLOOKUP(A:A,[2]金币产出!$O$37:$R$157,4,FALSE)</f>
        <v>5835600</v>
      </c>
      <c r="C95">
        <v>2000</v>
      </c>
      <c r="D95" s="9" t="s">
        <v>1108</v>
      </c>
      <c r="E95" t="str">
        <f t="shared" si="1"/>
        <v>2000,5835600</v>
      </c>
    </row>
    <row r="96" spans="1:5" x14ac:dyDescent="0.2">
      <c r="A96" s="12">
        <v>95</v>
      </c>
      <c r="B96">
        <f>VLOOKUP(A:A,[2]金币产出!$O$37:$R$157,4,FALSE)</f>
        <v>5846040</v>
      </c>
      <c r="C96">
        <v>2000</v>
      </c>
      <c r="D96" s="9" t="s">
        <v>1108</v>
      </c>
      <c r="E96" t="str">
        <f t="shared" si="1"/>
        <v>2000,5846040</v>
      </c>
    </row>
    <row r="97" spans="1:5" x14ac:dyDescent="0.2">
      <c r="A97" s="12">
        <v>96</v>
      </c>
      <c r="B97">
        <f>VLOOKUP(A:A,[2]金币产出!$O$37:$R$157,4,FALSE)</f>
        <v>5846040</v>
      </c>
      <c r="C97">
        <v>2000</v>
      </c>
      <c r="D97" s="9" t="s">
        <v>1108</v>
      </c>
      <c r="E97" t="str">
        <f t="shared" si="1"/>
        <v>2000,5846040</v>
      </c>
    </row>
    <row r="98" spans="1:5" x14ac:dyDescent="0.2">
      <c r="A98" s="12">
        <v>97</v>
      </c>
      <c r="B98">
        <f>VLOOKUP(A:A,[2]金币产出!$O$37:$R$157,4,FALSE)</f>
        <v>5897880</v>
      </c>
      <c r="C98">
        <v>2000</v>
      </c>
      <c r="D98" s="9" t="s">
        <v>1108</v>
      </c>
      <c r="E98" t="str">
        <f t="shared" si="1"/>
        <v>2000,5897880</v>
      </c>
    </row>
    <row r="99" spans="1:5" x14ac:dyDescent="0.2">
      <c r="A99" s="12">
        <v>98</v>
      </c>
      <c r="B99">
        <f>VLOOKUP(A:A,[2]金币产出!$O$37:$R$157,4,FALSE)</f>
        <v>5897880</v>
      </c>
      <c r="C99">
        <v>2000</v>
      </c>
      <c r="D99" s="9" t="s">
        <v>1108</v>
      </c>
      <c r="E99" t="str">
        <f t="shared" si="1"/>
        <v>2000,5897880</v>
      </c>
    </row>
    <row r="100" spans="1:5" x14ac:dyDescent="0.2">
      <c r="A100" s="12">
        <v>99</v>
      </c>
      <c r="B100">
        <f>VLOOKUP(A:A,[2]金币产出!$O$37:$R$157,4,FALSE)</f>
        <v>5908320</v>
      </c>
      <c r="C100">
        <v>2000</v>
      </c>
      <c r="D100" s="9" t="s">
        <v>1108</v>
      </c>
      <c r="E100" t="str">
        <f t="shared" si="1"/>
        <v>2000,5908320</v>
      </c>
    </row>
    <row r="101" spans="1:5" x14ac:dyDescent="0.2">
      <c r="A101" s="12">
        <v>100</v>
      </c>
      <c r="B101">
        <f>VLOOKUP(A:A,[2]金币产出!$O$37:$R$157,4,FALSE)</f>
        <v>5908320</v>
      </c>
      <c r="C101">
        <v>2000</v>
      </c>
      <c r="D101" s="9" t="s">
        <v>1108</v>
      </c>
      <c r="E101" t="str">
        <f t="shared" si="1"/>
        <v>2000,5908320</v>
      </c>
    </row>
    <row r="102" spans="1:5" x14ac:dyDescent="0.2">
      <c r="A102" s="12">
        <v>101</v>
      </c>
      <c r="B102">
        <f>VLOOKUP(A:A,[2]金币产出!$O$37:$R$157,4,FALSE)</f>
        <v>6501960</v>
      </c>
      <c r="C102">
        <v>2000</v>
      </c>
      <c r="D102" s="9" t="s">
        <v>1108</v>
      </c>
      <c r="E102" t="str">
        <f t="shared" si="1"/>
        <v>2000,6501960</v>
      </c>
    </row>
    <row r="103" spans="1:5" x14ac:dyDescent="0.2">
      <c r="A103" s="12">
        <v>102</v>
      </c>
      <c r="B103">
        <f>VLOOKUP(A:A,[2]金币产出!$O$37:$R$157,4,FALSE)</f>
        <v>6501960</v>
      </c>
      <c r="C103">
        <v>2000</v>
      </c>
      <c r="D103" s="9" t="s">
        <v>1108</v>
      </c>
      <c r="E103" t="str">
        <f t="shared" si="1"/>
        <v>2000,6501960</v>
      </c>
    </row>
    <row r="104" spans="1:5" x14ac:dyDescent="0.2">
      <c r="A104" s="12">
        <v>103</v>
      </c>
      <c r="B104">
        <f>VLOOKUP(A:A,[2]金币产出!$O$37:$R$157,4,FALSE)</f>
        <v>6513120</v>
      </c>
      <c r="C104">
        <v>2000</v>
      </c>
      <c r="D104" s="9" t="s">
        <v>1108</v>
      </c>
      <c r="E104" t="str">
        <f t="shared" si="1"/>
        <v>2000,6513120</v>
      </c>
    </row>
    <row r="105" spans="1:5" x14ac:dyDescent="0.2">
      <c r="A105" s="12">
        <v>104</v>
      </c>
      <c r="B105">
        <f>VLOOKUP(A:A,[2]金币产出!$O$37:$R$157,4,FALSE)</f>
        <v>6513120</v>
      </c>
      <c r="C105">
        <v>2000</v>
      </c>
      <c r="D105" s="9" t="s">
        <v>1108</v>
      </c>
      <c r="E105" t="str">
        <f t="shared" si="1"/>
        <v>2000,6513120</v>
      </c>
    </row>
    <row r="106" spans="1:5" x14ac:dyDescent="0.2">
      <c r="A106" s="12">
        <v>105</v>
      </c>
      <c r="B106">
        <f>VLOOKUP(A:A,[2]金币产出!$O$37:$R$157,4,FALSE)</f>
        <v>6570000</v>
      </c>
      <c r="C106">
        <v>2000</v>
      </c>
      <c r="D106" s="9" t="s">
        <v>1108</v>
      </c>
      <c r="E106" t="str">
        <f t="shared" si="1"/>
        <v>2000,6570000</v>
      </c>
    </row>
    <row r="107" spans="1:5" x14ac:dyDescent="0.2">
      <c r="A107" s="12">
        <v>106</v>
      </c>
      <c r="B107">
        <f>VLOOKUP(A:A,[2]金币产出!$O$37:$R$157,4,FALSE)</f>
        <v>6570000</v>
      </c>
      <c r="C107">
        <v>2000</v>
      </c>
      <c r="D107" s="9" t="s">
        <v>1108</v>
      </c>
      <c r="E107" t="str">
        <f t="shared" si="1"/>
        <v>2000,6570000</v>
      </c>
    </row>
    <row r="108" spans="1:5" x14ac:dyDescent="0.2">
      <c r="A108" s="12">
        <v>107</v>
      </c>
      <c r="B108">
        <f>VLOOKUP(A:A,[2]金币产出!$O$37:$R$157,4,FALSE)</f>
        <v>6581520</v>
      </c>
      <c r="C108">
        <v>2000</v>
      </c>
      <c r="D108" s="9" t="s">
        <v>1108</v>
      </c>
      <c r="E108" t="str">
        <f t="shared" si="1"/>
        <v>2000,6581520</v>
      </c>
    </row>
    <row r="109" spans="1:5" x14ac:dyDescent="0.2">
      <c r="A109" s="12">
        <v>108</v>
      </c>
      <c r="B109">
        <f>VLOOKUP(A:A,[2]金币产出!$O$37:$R$157,4,FALSE)</f>
        <v>6581520</v>
      </c>
      <c r="C109">
        <v>2000</v>
      </c>
      <c r="D109" s="9" t="s">
        <v>1108</v>
      </c>
      <c r="E109" t="str">
        <f t="shared" si="1"/>
        <v>2000,6581520</v>
      </c>
    </row>
    <row r="110" spans="1:5" x14ac:dyDescent="0.2">
      <c r="A110" s="12">
        <v>109</v>
      </c>
      <c r="B110">
        <f>VLOOKUP(A:A,[2]金币产出!$O$37:$R$157,4,FALSE)</f>
        <v>6638040</v>
      </c>
      <c r="C110">
        <v>2000</v>
      </c>
      <c r="D110" s="9" t="s">
        <v>1108</v>
      </c>
      <c r="E110" t="str">
        <f t="shared" si="1"/>
        <v>2000,6638040</v>
      </c>
    </row>
    <row r="111" spans="1:5" x14ac:dyDescent="0.2">
      <c r="A111" s="12">
        <v>110</v>
      </c>
      <c r="B111">
        <f>VLOOKUP(A:A,[2]金币产出!$O$37:$R$157,4,FALSE)</f>
        <v>6638040</v>
      </c>
      <c r="C111">
        <v>2000</v>
      </c>
      <c r="D111" s="9" t="s">
        <v>1108</v>
      </c>
      <c r="E111" t="str">
        <f t="shared" si="1"/>
        <v>2000,6638040</v>
      </c>
    </row>
    <row r="112" spans="1:5" x14ac:dyDescent="0.2">
      <c r="A112" s="12">
        <v>111</v>
      </c>
      <c r="B112">
        <f>VLOOKUP(A:A,[2]金币产出!$O$37:$R$157,4,FALSE)</f>
        <v>6649560</v>
      </c>
      <c r="C112">
        <v>2000</v>
      </c>
      <c r="D112" s="9" t="s">
        <v>1108</v>
      </c>
      <c r="E112" t="str">
        <f t="shared" si="1"/>
        <v>2000,6649560</v>
      </c>
    </row>
    <row r="113" spans="1:5" x14ac:dyDescent="0.2">
      <c r="A113" s="12">
        <v>112</v>
      </c>
      <c r="B113">
        <f>VLOOKUP(A:A,[2]金币产出!$O$37:$R$157,4,FALSE)</f>
        <v>6649560</v>
      </c>
      <c r="C113">
        <v>2000</v>
      </c>
      <c r="D113" s="9" t="s">
        <v>1108</v>
      </c>
      <c r="E113" t="str">
        <f t="shared" si="1"/>
        <v>2000,6649560</v>
      </c>
    </row>
    <row r="114" spans="1:5" x14ac:dyDescent="0.2">
      <c r="A114" s="12">
        <v>113</v>
      </c>
      <c r="B114">
        <f>VLOOKUP(A:A,[2]金币产出!$O$37:$R$157,4,FALSE)</f>
        <v>8247960</v>
      </c>
      <c r="C114">
        <v>2000</v>
      </c>
      <c r="D114" s="9" t="s">
        <v>1108</v>
      </c>
      <c r="E114" t="str">
        <f t="shared" si="1"/>
        <v>2000,8247960</v>
      </c>
    </row>
    <row r="115" spans="1:5" x14ac:dyDescent="0.2">
      <c r="A115" s="12">
        <v>114</v>
      </c>
      <c r="B115">
        <f>VLOOKUP(A:A,[2]金币产出!$O$37:$R$157,4,FALSE)</f>
        <v>8247960</v>
      </c>
      <c r="C115">
        <v>2000</v>
      </c>
      <c r="D115" s="9" t="s">
        <v>1108</v>
      </c>
      <c r="E115" t="str">
        <f t="shared" si="1"/>
        <v>2000,8247960</v>
      </c>
    </row>
    <row r="116" spans="1:5" x14ac:dyDescent="0.2">
      <c r="A116" s="12">
        <v>115</v>
      </c>
      <c r="B116">
        <f>VLOOKUP(A:A,[2]金币产出!$O$37:$R$157,4,FALSE)</f>
        <v>8260200</v>
      </c>
      <c r="C116">
        <v>2000</v>
      </c>
      <c r="D116" s="9" t="s">
        <v>1108</v>
      </c>
      <c r="E116" t="str">
        <f t="shared" si="1"/>
        <v>2000,8260200</v>
      </c>
    </row>
    <row r="117" spans="1:5" x14ac:dyDescent="0.2">
      <c r="A117" s="12">
        <v>116</v>
      </c>
      <c r="B117">
        <f>VLOOKUP(A:A,[2]金币产出!$O$37:$R$157,4,FALSE)</f>
        <v>8260200</v>
      </c>
      <c r="C117">
        <v>2000</v>
      </c>
      <c r="D117" s="9" t="s">
        <v>1108</v>
      </c>
      <c r="E117" t="str">
        <f t="shared" si="1"/>
        <v>2000,8260200</v>
      </c>
    </row>
    <row r="118" spans="1:5" x14ac:dyDescent="0.2">
      <c r="A118" s="12">
        <v>117</v>
      </c>
      <c r="B118">
        <f>VLOOKUP(A:A,[2]金币产出!$O$37:$R$157,4,FALSE)</f>
        <v>8321760</v>
      </c>
      <c r="C118">
        <v>2000</v>
      </c>
      <c r="D118" s="9" t="s">
        <v>1108</v>
      </c>
      <c r="E118" t="str">
        <f t="shared" si="1"/>
        <v>2000,8321760</v>
      </c>
    </row>
    <row r="119" spans="1:5" x14ac:dyDescent="0.2">
      <c r="A119" s="12">
        <v>118</v>
      </c>
      <c r="B119">
        <f>VLOOKUP(A:A,[2]金币产出!$O$37:$R$157,4,FALSE)</f>
        <v>8321760</v>
      </c>
      <c r="C119">
        <v>2000</v>
      </c>
      <c r="D119" s="9" t="s">
        <v>1108</v>
      </c>
      <c r="E119" t="str">
        <f t="shared" si="1"/>
        <v>2000,8321760</v>
      </c>
    </row>
    <row r="120" spans="1:5" x14ac:dyDescent="0.2">
      <c r="A120" s="12">
        <v>119</v>
      </c>
      <c r="B120">
        <f>VLOOKUP(A:A,[2]金币产出!$O$37:$R$157,4,FALSE)</f>
        <v>8334000</v>
      </c>
      <c r="C120">
        <v>2000</v>
      </c>
      <c r="D120" s="9" t="s">
        <v>1108</v>
      </c>
      <c r="E120" t="str">
        <f t="shared" si="1"/>
        <v>2000,8334000</v>
      </c>
    </row>
    <row r="121" spans="1:5" x14ac:dyDescent="0.2">
      <c r="A121" s="12">
        <v>120</v>
      </c>
      <c r="B121">
        <f>VLOOKUP(A:A,[2]金币产出!$O$37:$R$157,4,FALSE)</f>
        <v>8334000</v>
      </c>
      <c r="C121">
        <v>2000</v>
      </c>
      <c r="D121" s="9" t="s">
        <v>1108</v>
      </c>
      <c r="E121" t="str">
        <f t="shared" si="1"/>
        <v>2000,8334000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topLeftCell="A97" workbookViewId="0">
      <selection activeCell="A97" sqref="A1:E1048576"/>
    </sheetView>
  </sheetViews>
  <sheetFormatPr defaultColWidth="9" defaultRowHeight="14.25" x14ac:dyDescent="0.2"/>
  <cols>
    <col min="3" max="3" width="10.875" customWidth="1"/>
    <col min="9" max="9" width="29.25" customWidth="1"/>
    <col min="21" max="21" width="43.375" customWidth="1"/>
  </cols>
  <sheetData>
    <row r="1" spans="1:17" x14ac:dyDescent="0.2">
      <c r="A1" s="9" t="s">
        <v>1112</v>
      </c>
      <c r="B1" s="9" t="s">
        <v>1113</v>
      </c>
      <c r="C1" s="9" t="s">
        <v>1114</v>
      </c>
      <c r="D1" s="9" t="s">
        <v>1107</v>
      </c>
      <c r="E1" s="15"/>
      <c r="F1" s="12"/>
      <c r="G1" s="12"/>
      <c r="H1" s="12"/>
      <c r="I1" s="12"/>
      <c r="J1" s="9"/>
      <c r="K1" s="9"/>
      <c r="L1" s="9"/>
      <c r="M1" s="16"/>
      <c r="O1" s="9"/>
      <c r="Q1" s="16"/>
    </row>
    <row r="2" spans="1:17" x14ac:dyDescent="0.2">
      <c r="A2" s="12">
        <v>1</v>
      </c>
      <c r="B2">
        <f>VLOOKUP(A:A,[2]寻宝铲产出!$H$24:$I$144,2,FALSE)</f>
        <v>8</v>
      </c>
      <c r="C2">
        <v>10000001</v>
      </c>
      <c r="D2" s="9" t="s">
        <v>1108</v>
      </c>
      <c r="E2" t="str">
        <f>C2&amp;D2&amp;B2</f>
        <v>10000001,8</v>
      </c>
      <c r="F2" s="12"/>
      <c r="G2" s="16"/>
      <c r="H2" s="16"/>
      <c r="I2" s="16"/>
      <c r="K2" s="16"/>
      <c r="L2" s="16"/>
    </row>
    <row r="3" spans="1:17" x14ac:dyDescent="0.2">
      <c r="A3" s="12">
        <v>2</v>
      </c>
      <c r="B3">
        <f>VLOOKUP(A:A,[2]寻宝铲产出!$H$24:$I$144,2,FALSE)</f>
        <v>8</v>
      </c>
      <c r="C3">
        <v>10000001</v>
      </c>
      <c r="D3" s="9" t="s">
        <v>1108</v>
      </c>
      <c r="E3" t="str">
        <f t="shared" ref="E3:E66" si="0">C3&amp;D3&amp;B3</f>
        <v>10000001,8</v>
      </c>
      <c r="F3" s="12"/>
      <c r="G3" s="16"/>
      <c r="H3" s="16"/>
      <c r="I3" s="16"/>
      <c r="K3" s="16"/>
      <c r="L3" s="16"/>
    </row>
    <row r="4" spans="1:17" x14ac:dyDescent="0.2">
      <c r="A4" s="12">
        <v>3</v>
      </c>
      <c r="B4">
        <f>VLOOKUP(A:A,[2]寻宝铲产出!$H$24:$I$144,2,FALSE)</f>
        <v>8</v>
      </c>
      <c r="C4">
        <v>10000001</v>
      </c>
      <c r="D4" s="9" t="s">
        <v>1108</v>
      </c>
      <c r="E4" t="str">
        <f t="shared" si="0"/>
        <v>10000001,8</v>
      </c>
      <c r="F4" s="12"/>
      <c r="G4" s="16"/>
      <c r="H4" s="16"/>
      <c r="I4" s="16"/>
      <c r="K4" s="16"/>
      <c r="L4" s="16"/>
    </row>
    <row r="5" spans="1:17" x14ac:dyDescent="0.2">
      <c r="A5" s="12">
        <v>4</v>
      </c>
      <c r="B5">
        <f>VLOOKUP(A:A,[2]寻宝铲产出!$H$24:$I$144,2,FALSE)</f>
        <v>8</v>
      </c>
      <c r="C5">
        <v>10000001</v>
      </c>
      <c r="D5" s="9" t="s">
        <v>1108</v>
      </c>
      <c r="E5" t="str">
        <f t="shared" si="0"/>
        <v>10000001,8</v>
      </c>
      <c r="F5" s="12"/>
      <c r="G5" s="16"/>
      <c r="H5" s="16"/>
      <c r="I5" s="16"/>
      <c r="K5" s="16"/>
      <c r="L5" s="16"/>
    </row>
    <row r="6" spans="1:17" x14ac:dyDescent="0.2">
      <c r="A6" s="12">
        <v>5</v>
      </c>
      <c r="B6">
        <f>VLOOKUP(A:A,[2]寻宝铲产出!$H$24:$I$144,2,FALSE)</f>
        <v>9</v>
      </c>
      <c r="C6">
        <v>10000001</v>
      </c>
      <c r="D6" s="9" t="s">
        <v>1108</v>
      </c>
      <c r="E6" t="str">
        <f t="shared" si="0"/>
        <v>10000001,9</v>
      </c>
      <c r="F6" s="12"/>
      <c r="G6" s="16"/>
      <c r="H6" s="16"/>
      <c r="I6" s="16"/>
      <c r="K6" s="16"/>
      <c r="L6" s="16"/>
    </row>
    <row r="7" spans="1:17" x14ac:dyDescent="0.2">
      <c r="A7" s="12">
        <v>6</v>
      </c>
      <c r="B7">
        <f>VLOOKUP(A:A,[2]寻宝铲产出!$H$24:$I$144,2,FALSE)</f>
        <v>9</v>
      </c>
      <c r="C7">
        <v>10000001</v>
      </c>
      <c r="D7" s="9" t="s">
        <v>1108</v>
      </c>
      <c r="E7" t="str">
        <f t="shared" si="0"/>
        <v>10000001,9</v>
      </c>
      <c r="F7" s="12"/>
      <c r="G7" s="16"/>
      <c r="H7" s="16"/>
      <c r="I7" s="16"/>
      <c r="K7" s="16"/>
      <c r="L7" s="16"/>
    </row>
    <row r="8" spans="1:17" x14ac:dyDescent="0.2">
      <c r="A8" s="12">
        <v>7</v>
      </c>
      <c r="B8">
        <f>VLOOKUP(A:A,[2]寻宝铲产出!$H$24:$I$144,2,FALSE)</f>
        <v>9</v>
      </c>
      <c r="C8">
        <v>10000001</v>
      </c>
      <c r="D8" s="9" t="s">
        <v>1108</v>
      </c>
      <c r="E8" t="str">
        <f t="shared" si="0"/>
        <v>10000001,9</v>
      </c>
      <c r="F8" s="12"/>
      <c r="G8" s="16"/>
      <c r="H8" s="16"/>
      <c r="I8" s="16"/>
      <c r="K8" s="16"/>
      <c r="L8" s="16"/>
    </row>
    <row r="9" spans="1:17" x14ac:dyDescent="0.2">
      <c r="A9" s="12">
        <v>8</v>
      </c>
      <c r="B9">
        <f>VLOOKUP(A:A,[2]寻宝铲产出!$H$24:$I$144,2,FALSE)</f>
        <v>9</v>
      </c>
      <c r="C9">
        <v>10000001</v>
      </c>
      <c r="D9" s="9" t="s">
        <v>1108</v>
      </c>
      <c r="E9" t="str">
        <f t="shared" si="0"/>
        <v>10000001,9</v>
      </c>
      <c r="F9" s="12"/>
      <c r="G9" s="16"/>
      <c r="H9" s="16"/>
      <c r="I9" s="16"/>
      <c r="K9" s="16"/>
      <c r="L9" s="16"/>
    </row>
    <row r="10" spans="1:17" x14ac:dyDescent="0.2">
      <c r="A10" s="12">
        <v>9</v>
      </c>
      <c r="B10">
        <f>VLOOKUP(A:A,[2]寻宝铲产出!$H$24:$I$144,2,FALSE)</f>
        <v>10</v>
      </c>
      <c r="C10">
        <v>10000001</v>
      </c>
      <c r="D10" s="9" t="s">
        <v>1108</v>
      </c>
      <c r="E10" t="str">
        <f t="shared" si="0"/>
        <v>10000001,10</v>
      </c>
      <c r="F10" s="12"/>
      <c r="G10" s="16"/>
      <c r="H10" s="16"/>
      <c r="I10" s="16"/>
      <c r="K10" s="16"/>
      <c r="L10" s="16"/>
    </row>
    <row r="11" spans="1:17" x14ac:dyDescent="0.2">
      <c r="A11" s="12">
        <v>10</v>
      </c>
      <c r="B11">
        <f>VLOOKUP(A:A,[2]寻宝铲产出!$H$24:$I$144,2,FALSE)</f>
        <v>10</v>
      </c>
      <c r="C11">
        <v>10000001</v>
      </c>
      <c r="D11" s="9" t="s">
        <v>1108</v>
      </c>
      <c r="E11" t="str">
        <f t="shared" si="0"/>
        <v>10000001,10</v>
      </c>
      <c r="F11" s="12"/>
      <c r="G11" s="16"/>
      <c r="H11" s="16"/>
      <c r="I11" s="16"/>
      <c r="K11" s="16"/>
      <c r="L11" s="16"/>
    </row>
    <row r="12" spans="1:17" x14ac:dyDescent="0.2">
      <c r="A12" s="12">
        <v>11</v>
      </c>
      <c r="B12">
        <f>VLOOKUP(A:A,[2]寻宝铲产出!$H$24:$I$144,2,FALSE)</f>
        <v>10</v>
      </c>
      <c r="C12">
        <v>10000001</v>
      </c>
      <c r="D12" s="9" t="s">
        <v>1108</v>
      </c>
      <c r="E12" t="str">
        <f t="shared" si="0"/>
        <v>10000001,10</v>
      </c>
      <c r="F12" s="12"/>
      <c r="G12" s="16"/>
      <c r="H12" s="16"/>
      <c r="I12" s="16"/>
      <c r="K12" s="16"/>
      <c r="L12" s="16"/>
    </row>
    <row r="13" spans="1:17" x14ac:dyDescent="0.2">
      <c r="A13" s="12">
        <v>12</v>
      </c>
      <c r="B13">
        <f>VLOOKUP(A:A,[2]寻宝铲产出!$H$24:$I$144,2,FALSE)</f>
        <v>10</v>
      </c>
      <c r="C13">
        <v>10000001</v>
      </c>
      <c r="D13" s="9" t="s">
        <v>1108</v>
      </c>
      <c r="E13" t="str">
        <f t="shared" si="0"/>
        <v>10000001,10</v>
      </c>
      <c r="F13" s="12"/>
      <c r="G13" s="16"/>
      <c r="H13" s="16"/>
      <c r="I13" s="16"/>
      <c r="K13" s="16"/>
      <c r="L13" s="16"/>
    </row>
    <row r="14" spans="1:17" x14ac:dyDescent="0.2">
      <c r="A14" s="12">
        <v>13</v>
      </c>
      <c r="B14">
        <f>VLOOKUP(A:A,[2]寻宝铲产出!$H$24:$I$144,2,FALSE)</f>
        <v>11</v>
      </c>
      <c r="C14">
        <v>10000001</v>
      </c>
      <c r="D14" s="9" t="s">
        <v>1108</v>
      </c>
      <c r="E14" t="str">
        <f t="shared" si="0"/>
        <v>10000001,11</v>
      </c>
      <c r="F14" s="12"/>
      <c r="G14" s="16"/>
      <c r="H14" s="16"/>
      <c r="I14" s="16"/>
      <c r="K14" s="16"/>
      <c r="L14" s="16"/>
    </row>
    <row r="15" spans="1:17" x14ac:dyDescent="0.2">
      <c r="A15" s="12">
        <v>14</v>
      </c>
      <c r="B15">
        <f>VLOOKUP(A:A,[2]寻宝铲产出!$H$24:$I$144,2,FALSE)</f>
        <v>11</v>
      </c>
      <c r="C15">
        <v>10000001</v>
      </c>
      <c r="D15" s="9" t="s">
        <v>1108</v>
      </c>
      <c r="E15" t="str">
        <f t="shared" si="0"/>
        <v>10000001,11</v>
      </c>
      <c r="F15" s="12"/>
      <c r="G15" s="16"/>
      <c r="H15" s="16"/>
      <c r="I15" s="16"/>
      <c r="K15" s="16"/>
      <c r="L15" s="16"/>
    </row>
    <row r="16" spans="1:17" x14ac:dyDescent="0.2">
      <c r="A16" s="12">
        <v>15</v>
      </c>
      <c r="B16">
        <f>VLOOKUP(A:A,[2]寻宝铲产出!$H$24:$I$144,2,FALSE)</f>
        <v>11</v>
      </c>
      <c r="C16">
        <v>10000001</v>
      </c>
      <c r="D16" s="9" t="s">
        <v>1108</v>
      </c>
      <c r="E16" t="str">
        <f t="shared" si="0"/>
        <v>10000001,11</v>
      </c>
      <c r="F16" s="12"/>
      <c r="G16" s="16"/>
      <c r="H16" s="16"/>
      <c r="I16" s="16"/>
      <c r="K16" s="16"/>
      <c r="L16" s="16"/>
    </row>
    <row r="17" spans="1:12" x14ac:dyDescent="0.2">
      <c r="A17" s="12">
        <v>16</v>
      </c>
      <c r="B17">
        <f>VLOOKUP(A:A,[2]寻宝铲产出!$H$24:$I$144,2,FALSE)</f>
        <v>11</v>
      </c>
      <c r="C17">
        <v>10000001</v>
      </c>
      <c r="D17" s="9" t="s">
        <v>1108</v>
      </c>
      <c r="E17" t="str">
        <f t="shared" si="0"/>
        <v>10000001,11</v>
      </c>
      <c r="F17" s="12"/>
      <c r="G17" s="16"/>
      <c r="H17" s="16"/>
      <c r="I17" s="16"/>
      <c r="K17" s="16"/>
      <c r="L17" s="16"/>
    </row>
    <row r="18" spans="1:12" x14ac:dyDescent="0.2">
      <c r="A18" s="12">
        <v>17</v>
      </c>
      <c r="B18">
        <f>VLOOKUP(A:A,[2]寻宝铲产出!$H$24:$I$144,2,FALSE)</f>
        <v>12</v>
      </c>
      <c r="C18">
        <v>10000001</v>
      </c>
      <c r="D18" s="9" t="s">
        <v>1108</v>
      </c>
      <c r="E18" t="str">
        <f t="shared" si="0"/>
        <v>10000001,12</v>
      </c>
      <c r="F18" s="12"/>
      <c r="G18" s="16"/>
      <c r="H18" s="16"/>
      <c r="I18" s="16"/>
      <c r="K18" s="16"/>
      <c r="L18" s="16"/>
    </row>
    <row r="19" spans="1:12" x14ac:dyDescent="0.2">
      <c r="A19" s="12">
        <v>18</v>
      </c>
      <c r="B19">
        <f>VLOOKUP(A:A,[2]寻宝铲产出!$H$24:$I$144,2,FALSE)</f>
        <v>12</v>
      </c>
      <c r="C19">
        <v>10000001</v>
      </c>
      <c r="D19" s="9" t="s">
        <v>1108</v>
      </c>
      <c r="E19" t="str">
        <f t="shared" si="0"/>
        <v>10000001,12</v>
      </c>
      <c r="F19" s="12"/>
      <c r="G19" s="16"/>
      <c r="H19" s="16"/>
      <c r="I19" s="16"/>
      <c r="K19" s="16"/>
      <c r="L19" s="16"/>
    </row>
    <row r="20" spans="1:12" x14ac:dyDescent="0.2">
      <c r="A20" s="12">
        <v>19</v>
      </c>
      <c r="B20">
        <f>VLOOKUP(A:A,[2]寻宝铲产出!$H$24:$I$144,2,FALSE)</f>
        <v>12</v>
      </c>
      <c r="C20">
        <v>10000001</v>
      </c>
      <c r="D20" s="9" t="s">
        <v>1108</v>
      </c>
      <c r="E20" t="str">
        <f t="shared" si="0"/>
        <v>10000001,12</v>
      </c>
      <c r="F20" s="12"/>
      <c r="G20" s="16"/>
      <c r="H20" s="16"/>
      <c r="I20" s="16"/>
      <c r="K20" s="16"/>
      <c r="L20" s="16"/>
    </row>
    <row r="21" spans="1:12" x14ac:dyDescent="0.2">
      <c r="A21" s="12">
        <v>20</v>
      </c>
      <c r="B21">
        <f>VLOOKUP(A:A,[2]寻宝铲产出!$H$24:$I$144,2,FALSE)</f>
        <v>12</v>
      </c>
      <c r="C21">
        <v>10000001</v>
      </c>
      <c r="D21" s="9" t="s">
        <v>1108</v>
      </c>
      <c r="E21" t="str">
        <f t="shared" si="0"/>
        <v>10000001,12</v>
      </c>
      <c r="F21" s="12"/>
      <c r="G21" s="16"/>
      <c r="H21" s="16"/>
      <c r="I21" s="16"/>
      <c r="K21" s="16"/>
      <c r="L21" s="16"/>
    </row>
    <row r="22" spans="1:12" x14ac:dyDescent="0.2">
      <c r="A22" s="12">
        <v>21</v>
      </c>
      <c r="B22">
        <f>VLOOKUP(A:A,[2]寻宝铲产出!$H$24:$I$144,2,FALSE)</f>
        <v>13</v>
      </c>
      <c r="C22">
        <v>10000001</v>
      </c>
      <c r="D22" s="9" t="s">
        <v>1108</v>
      </c>
      <c r="E22" t="str">
        <f t="shared" si="0"/>
        <v>10000001,13</v>
      </c>
      <c r="F22" s="12"/>
      <c r="G22" s="16"/>
      <c r="H22" s="16"/>
      <c r="I22" s="16"/>
      <c r="K22" s="16"/>
      <c r="L22" s="16"/>
    </row>
    <row r="23" spans="1:12" x14ac:dyDescent="0.2">
      <c r="A23" s="12">
        <v>22</v>
      </c>
      <c r="B23">
        <f>VLOOKUP(A:A,[2]寻宝铲产出!$H$24:$I$144,2,FALSE)</f>
        <v>13</v>
      </c>
      <c r="C23">
        <v>10000001</v>
      </c>
      <c r="D23" s="9" t="s">
        <v>1108</v>
      </c>
      <c r="E23" t="str">
        <f t="shared" si="0"/>
        <v>10000001,13</v>
      </c>
      <c r="F23" s="12"/>
      <c r="G23" s="16"/>
      <c r="H23" s="16"/>
      <c r="I23" s="16"/>
      <c r="K23" s="16"/>
      <c r="L23" s="16"/>
    </row>
    <row r="24" spans="1:12" x14ac:dyDescent="0.2">
      <c r="A24" s="12">
        <v>23</v>
      </c>
      <c r="B24">
        <f>VLOOKUP(A:A,[2]寻宝铲产出!$H$24:$I$144,2,FALSE)</f>
        <v>13</v>
      </c>
      <c r="C24">
        <v>10000001</v>
      </c>
      <c r="D24" s="9" t="s">
        <v>1108</v>
      </c>
      <c r="E24" t="str">
        <f t="shared" si="0"/>
        <v>10000001,13</v>
      </c>
      <c r="F24" s="12"/>
      <c r="G24" s="16"/>
      <c r="H24" s="16"/>
      <c r="I24" s="16"/>
      <c r="K24" s="16"/>
      <c r="L24" s="16"/>
    </row>
    <row r="25" spans="1:12" x14ac:dyDescent="0.2">
      <c r="A25" s="12">
        <v>24</v>
      </c>
      <c r="B25">
        <f>VLOOKUP(A:A,[2]寻宝铲产出!$H$24:$I$144,2,FALSE)</f>
        <v>13</v>
      </c>
      <c r="C25">
        <v>10000001</v>
      </c>
      <c r="D25" s="9" t="s">
        <v>1108</v>
      </c>
      <c r="E25" t="str">
        <f t="shared" si="0"/>
        <v>10000001,13</v>
      </c>
      <c r="F25" s="12"/>
      <c r="G25" s="16"/>
      <c r="H25" s="16"/>
      <c r="I25" s="16"/>
      <c r="K25" s="16"/>
      <c r="L25" s="16"/>
    </row>
    <row r="26" spans="1:12" x14ac:dyDescent="0.2">
      <c r="A26" s="12">
        <v>25</v>
      </c>
      <c r="B26">
        <f>VLOOKUP(A:A,[2]寻宝铲产出!$H$24:$I$144,2,FALSE)</f>
        <v>14</v>
      </c>
      <c r="C26">
        <v>10000001</v>
      </c>
      <c r="D26" s="9" t="s">
        <v>1108</v>
      </c>
      <c r="E26" t="str">
        <f t="shared" si="0"/>
        <v>10000001,14</v>
      </c>
      <c r="F26" s="12"/>
      <c r="G26" s="16"/>
      <c r="H26" s="16"/>
      <c r="I26" s="16"/>
      <c r="K26" s="16"/>
      <c r="L26" s="16"/>
    </row>
    <row r="27" spans="1:12" x14ac:dyDescent="0.2">
      <c r="A27" s="12">
        <v>26</v>
      </c>
      <c r="B27">
        <f>VLOOKUP(A:A,[2]寻宝铲产出!$H$24:$I$144,2,FALSE)</f>
        <v>14</v>
      </c>
      <c r="C27">
        <v>10000001</v>
      </c>
      <c r="D27" s="9" t="s">
        <v>1108</v>
      </c>
      <c r="E27" t="str">
        <f t="shared" si="0"/>
        <v>10000001,14</v>
      </c>
      <c r="F27" s="12"/>
      <c r="G27" s="16"/>
      <c r="H27" s="16"/>
      <c r="I27" s="16"/>
      <c r="K27" s="16"/>
      <c r="L27" s="16"/>
    </row>
    <row r="28" spans="1:12" x14ac:dyDescent="0.2">
      <c r="A28" s="12">
        <v>27</v>
      </c>
      <c r="B28">
        <f>VLOOKUP(A:A,[2]寻宝铲产出!$H$24:$I$144,2,FALSE)</f>
        <v>14</v>
      </c>
      <c r="C28">
        <v>10000001</v>
      </c>
      <c r="D28" s="9" t="s">
        <v>1108</v>
      </c>
      <c r="E28" t="str">
        <f t="shared" si="0"/>
        <v>10000001,14</v>
      </c>
      <c r="F28" s="12"/>
      <c r="G28" s="16"/>
      <c r="H28" s="16"/>
      <c r="I28" s="16"/>
      <c r="K28" s="16"/>
      <c r="L28" s="16"/>
    </row>
    <row r="29" spans="1:12" x14ac:dyDescent="0.2">
      <c r="A29" s="12">
        <v>28</v>
      </c>
      <c r="B29">
        <f>VLOOKUP(A:A,[2]寻宝铲产出!$H$24:$I$144,2,FALSE)</f>
        <v>14</v>
      </c>
      <c r="C29">
        <v>10000001</v>
      </c>
      <c r="D29" s="9" t="s">
        <v>1108</v>
      </c>
      <c r="E29" t="str">
        <f t="shared" si="0"/>
        <v>10000001,14</v>
      </c>
      <c r="F29" s="12"/>
      <c r="G29" s="16"/>
      <c r="H29" s="16"/>
      <c r="I29" s="16"/>
      <c r="K29" s="16"/>
      <c r="L29" s="16"/>
    </row>
    <row r="30" spans="1:12" x14ac:dyDescent="0.2">
      <c r="A30" s="12">
        <v>29</v>
      </c>
      <c r="B30">
        <f>VLOOKUP(A:A,[2]寻宝铲产出!$H$24:$I$144,2,FALSE)</f>
        <v>15</v>
      </c>
      <c r="C30">
        <v>10000001</v>
      </c>
      <c r="D30" s="9" t="s">
        <v>1108</v>
      </c>
      <c r="E30" t="str">
        <f t="shared" si="0"/>
        <v>10000001,15</v>
      </c>
      <c r="F30" s="12"/>
      <c r="G30" s="16"/>
      <c r="H30" s="16"/>
      <c r="I30" s="16"/>
      <c r="K30" s="16"/>
      <c r="L30" s="16"/>
    </row>
    <row r="31" spans="1:12" x14ac:dyDescent="0.2">
      <c r="A31" s="12">
        <v>30</v>
      </c>
      <c r="B31">
        <f>VLOOKUP(A:A,[2]寻宝铲产出!$H$24:$I$144,2,FALSE)</f>
        <v>15</v>
      </c>
      <c r="C31">
        <v>10000001</v>
      </c>
      <c r="D31" s="9" t="s">
        <v>1108</v>
      </c>
      <c r="E31" t="str">
        <f t="shared" si="0"/>
        <v>10000001,15</v>
      </c>
      <c r="F31" s="12"/>
      <c r="G31" s="16"/>
      <c r="H31" s="16"/>
      <c r="I31" s="16"/>
      <c r="K31" s="16"/>
      <c r="L31" s="16"/>
    </row>
    <row r="32" spans="1:12" x14ac:dyDescent="0.2">
      <c r="A32" s="12">
        <v>31</v>
      </c>
      <c r="B32">
        <f>VLOOKUP(A:A,[2]寻宝铲产出!$H$24:$I$144,2,FALSE)</f>
        <v>15</v>
      </c>
      <c r="C32">
        <v>10000001</v>
      </c>
      <c r="D32" s="9" t="s">
        <v>1108</v>
      </c>
      <c r="E32" t="str">
        <f t="shared" si="0"/>
        <v>10000001,15</v>
      </c>
      <c r="F32" s="12"/>
      <c r="G32" s="16"/>
      <c r="H32" s="16"/>
      <c r="I32" s="16"/>
      <c r="K32" s="16"/>
      <c r="L32" s="16"/>
    </row>
    <row r="33" spans="1:12" x14ac:dyDescent="0.2">
      <c r="A33" s="12">
        <v>32</v>
      </c>
      <c r="B33">
        <f>VLOOKUP(A:A,[2]寻宝铲产出!$H$24:$I$144,2,FALSE)</f>
        <v>15</v>
      </c>
      <c r="C33">
        <v>10000001</v>
      </c>
      <c r="D33" s="9" t="s">
        <v>1108</v>
      </c>
      <c r="E33" t="str">
        <f t="shared" si="0"/>
        <v>10000001,15</v>
      </c>
      <c r="F33" s="12"/>
      <c r="G33" s="16"/>
      <c r="H33" s="16"/>
      <c r="I33" s="16"/>
      <c r="K33" s="16"/>
      <c r="L33" s="16"/>
    </row>
    <row r="34" spans="1:12" x14ac:dyDescent="0.2">
      <c r="A34" s="12">
        <v>33</v>
      </c>
      <c r="B34">
        <f>VLOOKUP(A:A,[2]寻宝铲产出!$H$24:$I$144,2,FALSE)</f>
        <v>16</v>
      </c>
      <c r="C34">
        <v>10000001</v>
      </c>
      <c r="D34" s="9" t="s">
        <v>1108</v>
      </c>
      <c r="E34" t="str">
        <f t="shared" si="0"/>
        <v>10000001,16</v>
      </c>
      <c r="F34" s="12"/>
      <c r="G34" s="16"/>
      <c r="H34" s="16"/>
      <c r="I34" s="16"/>
      <c r="K34" s="16"/>
      <c r="L34" s="16"/>
    </row>
    <row r="35" spans="1:12" x14ac:dyDescent="0.2">
      <c r="A35" s="12">
        <v>34</v>
      </c>
      <c r="B35">
        <f>VLOOKUP(A:A,[2]寻宝铲产出!$H$24:$I$144,2,FALSE)</f>
        <v>16</v>
      </c>
      <c r="C35">
        <v>10000001</v>
      </c>
      <c r="D35" s="9" t="s">
        <v>1108</v>
      </c>
      <c r="E35" t="str">
        <f t="shared" si="0"/>
        <v>10000001,16</v>
      </c>
      <c r="F35" s="12"/>
      <c r="G35" s="16"/>
      <c r="H35" s="16"/>
      <c r="I35" s="16"/>
      <c r="K35" s="16"/>
      <c r="L35" s="16"/>
    </row>
    <row r="36" spans="1:12" x14ac:dyDescent="0.2">
      <c r="A36" s="12">
        <v>35</v>
      </c>
      <c r="B36">
        <f>VLOOKUP(A:A,[2]寻宝铲产出!$H$24:$I$144,2,FALSE)</f>
        <v>16</v>
      </c>
      <c r="C36">
        <v>10000001</v>
      </c>
      <c r="D36" s="9" t="s">
        <v>1108</v>
      </c>
      <c r="E36" t="str">
        <f t="shared" si="0"/>
        <v>10000001,16</v>
      </c>
      <c r="F36" s="12"/>
      <c r="G36" s="16"/>
      <c r="H36" s="16"/>
      <c r="I36" s="16"/>
      <c r="K36" s="16"/>
      <c r="L36" s="16"/>
    </row>
    <row r="37" spans="1:12" x14ac:dyDescent="0.2">
      <c r="A37" s="12">
        <v>36</v>
      </c>
      <c r="B37">
        <f>VLOOKUP(A:A,[2]寻宝铲产出!$H$24:$I$144,2,FALSE)</f>
        <v>16</v>
      </c>
      <c r="C37">
        <v>10000001</v>
      </c>
      <c r="D37" s="9" t="s">
        <v>1108</v>
      </c>
      <c r="E37" t="str">
        <f t="shared" si="0"/>
        <v>10000001,16</v>
      </c>
      <c r="F37" s="12"/>
      <c r="G37" s="16"/>
      <c r="H37" s="16"/>
      <c r="I37" s="16"/>
      <c r="K37" s="16"/>
      <c r="L37" s="16"/>
    </row>
    <row r="38" spans="1:12" x14ac:dyDescent="0.2">
      <c r="A38" s="12">
        <v>37</v>
      </c>
      <c r="B38">
        <f>VLOOKUP(A:A,[2]寻宝铲产出!$H$24:$I$144,2,FALSE)</f>
        <v>17</v>
      </c>
      <c r="C38">
        <v>10000001</v>
      </c>
      <c r="D38" s="9" t="s">
        <v>1108</v>
      </c>
      <c r="E38" t="str">
        <f t="shared" si="0"/>
        <v>10000001,17</v>
      </c>
      <c r="F38" s="12"/>
      <c r="G38" s="16"/>
      <c r="H38" s="16"/>
      <c r="I38" s="16"/>
      <c r="K38" s="16"/>
      <c r="L38" s="16"/>
    </row>
    <row r="39" spans="1:12" x14ac:dyDescent="0.2">
      <c r="A39" s="12">
        <v>38</v>
      </c>
      <c r="B39">
        <f>VLOOKUP(A:A,[2]寻宝铲产出!$H$24:$I$144,2,FALSE)</f>
        <v>17</v>
      </c>
      <c r="C39">
        <v>10000001</v>
      </c>
      <c r="D39" s="9" t="s">
        <v>1108</v>
      </c>
      <c r="E39" t="str">
        <f t="shared" si="0"/>
        <v>10000001,17</v>
      </c>
      <c r="F39" s="12"/>
      <c r="G39" s="16"/>
      <c r="H39" s="16"/>
      <c r="I39" s="16"/>
      <c r="K39" s="16"/>
      <c r="L39" s="16"/>
    </row>
    <row r="40" spans="1:12" x14ac:dyDescent="0.2">
      <c r="A40" s="12">
        <v>39</v>
      </c>
      <c r="B40">
        <f>VLOOKUP(A:A,[2]寻宝铲产出!$H$24:$I$144,2,FALSE)</f>
        <v>17</v>
      </c>
      <c r="C40">
        <v>10000001</v>
      </c>
      <c r="D40" s="9" t="s">
        <v>1108</v>
      </c>
      <c r="E40" t="str">
        <f t="shared" si="0"/>
        <v>10000001,17</v>
      </c>
      <c r="F40" s="12"/>
      <c r="G40" s="16"/>
      <c r="H40" s="16"/>
      <c r="I40" s="16"/>
      <c r="K40" s="16"/>
      <c r="L40" s="16"/>
    </row>
    <row r="41" spans="1:12" x14ac:dyDescent="0.2">
      <c r="A41" s="12">
        <v>40</v>
      </c>
      <c r="B41">
        <f>VLOOKUP(A:A,[2]寻宝铲产出!$H$24:$I$144,2,FALSE)</f>
        <v>17</v>
      </c>
      <c r="C41">
        <v>10000001</v>
      </c>
      <c r="D41" s="9" t="s">
        <v>1108</v>
      </c>
      <c r="E41" t="str">
        <f t="shared" si="0"/>
        <v>10000001,17</v>
      </c>
      <c r="F41" s="12"/>
      <c r="G41" s="16"/>
      <c r="H41" s="16"/>
      <c r="I41" s="16"/>
      <c r="K41" s="16"/>
      <c r="L41" s="16"/>
    </row>
    <row r="42" spans="1:12" x14ac:dyDescent="0.2">
      <c r="A42" s="12">
        <v>41</v>
      </c>
      <c r="B42">
        <f>VLOOKUP(A:A,[2]寻宝铲产出!$H$24:$I$144,2,FALSE)</f>
        <v>18</v>
      </c>
      <c r="C42">
        <v>10000001</v>
      </c>
      <c r="D42" s="9" t="s">
        <v>1108</v>
      </c>
      <c r="E42" t="str">
        <f t="shared" si="0"/>
        <v>10000001,18</v>
      </c>
      <c r="F42" s="12"/>
      <c r="G42" s="16"/>
      <c r="H42" s="16"/>
      <c r="I42" s="16"/>
      <c r="K42" s="16"/>
      <c r="L42" s="16"/>
    </row>
    <row r="43" spans="1:12" x14ac:dyDescent="0.2">
      <c r="A43" s="12">
        <v>42</v>
      </c>
      <c r="B43">
        <f>VLOOKUP(A:A,[2]寻宝铲产出!$H$24:$I$144,2,FALSE)</f>
        <v>18</v>
      </c>
      <c r="C43">
        <v>10000001</v>
      </c>
      <c r="D43" s="9" t="s">
        <v>1108</v>
      </c>
      <c r="E43" t="str">
        <f t="shared" si="0"/>
        <v>10000001,18</v>
      </c>
      <c r="F43" s="12"/>
      <c r="G43" s="16"/>
      <c r="H43" s="16"/>
      <c r="I43" s="16"/>
      <c r="K43" s="16"/>
      <c r="L43" s="16"/>
    </row>
    <row r="44" spans="1:12" x14ac:dyDescent="0.2">
      <c r="A44" s="12">
        <v>43</v>
      </c>
      <c r="B44">
        <f>VLOOKUP(A:A,[2]寻宝铲产出!$H$24:$I$144,2,FALSE)</f>
        <v>18</v>
      </c>
      <c r="C44">
        <v>10000001</v>
      </c>
      <c r="D44" s="9" t="s">
        <v>1108</v>
      </c>
      <c r="E44" t="str">
        <f t="shared" si="0"/>
        <v>10000001,18</v>
      </c>
      <c r="F44" s="12"/>
      <c r="G44" s="16"/>
      <c r="H44" s="16"/>
      <c r="I44" s="16"/>
      <c r="K44" s="16"/>
      <c r="L44" s="16"/>
    </row>
    <row r="45" spans="1:12" x14ac:dyDescent="0.2">
      <c r="A45" s="12">
        <v>44</v>
      </c>
      <c r="B45">
        <f>VLOOKUP(A:A,[2]寻宝铲产出!$H$24:$I$144,2,FALSE)</f>
        <v>18</v>
      </c>
      <c r="C45">
        <v>10000001</v>
      </c>
      <c r="D45" s="9" t="s">
        <v>1108</v>
      </c>
      <c r="E45" t="str">
        <f t="shared" si="0"/>
        <v>10000001,18</v>
      </c>
      <c r="F45" s="12"/>
      <c r="G45" s="16"/>
      <c r="H45" s="16"/>
      <c r="I45" s="16"/>
      <c r="K45" s="16"/>
      <c r="L45" s="16"/>
    </row>
    <row r="46" spans="1:12" x14ac:dyDescent="0.2">
      <c r="A46" s="12">
        <v>45</v>
      </c>
      <c r="B46">
        <f>VLOOKUP(A:A,[2]寻宝铲产出!$H$24:$I$144,2,FALSE)</f>
        <v>19</v>
      </c>
      <c r="C46">
        <v>10000001</v>
      </c>
      <c r="D46" s="9" t="s">
        <v>1108</v>
      </c>
      <c r="E46" t="str">
        <f t="shared" si="0"/>
        <v>10000001,19</v>
      </c>
      <c r="F46" s="12"/>
      <c r="G46" s="16"/>
      <c r="H46" s="16"/>
      <c r="I46" s="16"/>
      <c r="K46" s="16"/>
      <c r="L46" s="16"/>
    </row>
    <row r="47" spans="1:12" x14ac:dyDescent="0.2">
      <c r="A47" s="12">
        <v>46</v>
      </c>
      <c r="B47">
        <f>VLOOKUP(A:A,[2]寻宝铲产出!$H$24:$I$144,2,FALSE)</f>
        <v>19</v>
      </c>
      <c r="C47">
        <v>10000001</v>
      </c>
      <c r="D47" s="9" t="s">
        <v>1108</v>
      </c>
      <c r="E47" t="str">
        <f t="shared" si="0"/>
        <v>10000001,19</v>
      </c>
      <c r="F47" s="12"/>
      <c r="G47" s="16"/>
      <c r="H47" s="16"/>
      <c r="I47" s="16"/>
      <c r="K47" s="16"/>
      <c r="L47" s="16"/>
    </row>
    <row r="48" spans="1:12" x14ac:dyDescent="0.2">
      <c r="A48" s="12">
        <v>47</v>
      </c>
      <c r="B48">
        <f>VLOOKUP(A:A,[2]寻宝铲产出!$H$24:$I$144,2,FALSE)</f>
        <v>19</v>
      </c>
      <c r="C48">
        <v>10000001</v>
      </c>
      <c r="D48" s="9" t="s">
        <v>1108</v>
      </c>
      <c r="E48" t="str">
        <f t="shared" si="0"/>
        <v>10000001,19</v>
      </c>
      <c r="F48" s="12"/>
      <c r="G48" s="16"/>
      <c r="H48" s="16"/>
      <c r="I48" s="16"/>
      <c r="K48" s="16"/>
      <c r="L48" s="16"/>
    </row>
    <row r="49" spans="1:12" x14ac:dyDescent="0.2">
      <c r="A49" s="12">
        <v>48</v>
      </c>
      <c r="B49">
        <f>VLOOKUP(A:A,[2]寻宝铲产出!$H$24:$I$144,2,FALSE)</f>
        <v>19</v>
      </c>
      <c r="C49">
        <v>10000001</v>
      </c>
      <c r="D49" s="9" t="s">
        <v>1108</v>
      </c>
      <c r="E49" t="str">
        <f t="shared" si="0"/>
        <v>10000001,19</v>
      </c>
      <c r="F49" s="12"/>
      <c r="G49" s="16"/>
      <c r="H49" s="16"/>
      <c r="I49" s="16"/>
      <c r="K49" s="16"/>
      <c r="L49" s="16"/>
    </row>
    <row r="50" spans="1:12" x14ac:dyDescent="0.2">
      <c r="A50" s="12">
        <v>49</v>
      </c>
      <c r="B50">
        <f>VLOOKUP(A:A,[2]寻宝铲产出!$H$24:$I$144,2,FALSE)</f>
        <v>20</v>
      </c>
      <c r="C50">
        <v>10000001</v>
      </c>
      <c r="D50" s="9" t="s">
        <v>1108</v>
      </c>
      <c r="E50" t="str">
        <f t="shared" si="0"/>
        <v>10000001,20</v>
      </c>
      <c r="F50" s="12"/>
      <c r="G50" s="16"/>
      <c r="H50" s="16"/>
      <c r="I50" s="16"/>
      <c r="K50" s="16"/>
      <c r="L50" s="16"/>
    </row>
    <row r="51" spans="1:12" x14ac:dyDescent="0.2">
      <c r="A51" s="12">
        <v>50</v>
      </c>
      <c r="B51">
        <f>VLOOKUP(A:A,[2]寻宝铲产出!$H$24:$I$144,2,FALSE)</f>
        <v>20</v>
      </c>
      <c r="C51">
        <v>10000001</v>
      </c>
      <c r="D51" s="9" t="s">
        <v>1108</v>
      </c>
      <c r="E51" t="str">
        <f t="shared" si="0"/>
        <v>10000001,20</v>
      </c>
      <c r="F51" s="12"/>
      <c r="G51" s="16"/>
      <c r="H51" s="16"/>
      <c r="I51" s="16"/>
      <c r="K51" s="16"/>
      <c r="L51" s="16"/>
    </row>
    <row r="52" spans="1:12" x14ac:dyDescent="0.2">
      <c r="A52" s="12">
        <v>51</v>
      </c>
      <c r="B52">
        <f>VLOOKUP(A:A,[2]寻宝铲产出!$H$24:$I$144,2,FALSE)</f>
        <v>20</v>
      </c>
      <c r="C52">
        <v>10000001</v>
      </c>
      <c r="D52" s="9" t="s">
        <v>1108</v>
      </c>
      <c r="E52" t="str">
        <f t="shared" si="0"/>
        <v>10000001,20</v>
      </c>
      <c r="F52" s="12"/>
      <c r="G52" s="16"/>
      <c r="H52" s="16"/>
      <c r="I52" s="16"/>
      <c r="K52" s="16"/>
      <c r="L52" s="16"/>
    </row>
    <row r="53" spans="1:12" x14ac:dyDescent="0.2">
      <c r="A53" s="12">
        <v>52</v>
      </c>
      <c r="B53">
        <f>VLOOKUP(A:A,[2]寻宝铲产出!$H$24:$I$144,2,FALSE)</f>
        <v>20</v>
      </c>
      <c r="C53">
        <v>10000001</v>
      </c>
      <c r="D53" s="9" t="s">
        <v>1108</v>
      </c>
      <c r="E53" t="str">
        <f t="shared" si="0"/>
        <v>10000001,20</v>
      </c>
      <c r="F53" s="12"/>
      <c r="G53" s="16"/>
      <c r="H53" s="16"/>
      <c r="I53" s="16"/>
      <c r="K53" s="16"/>
      <c r="L53" s="16"/>
    </row>
    <row r="54" spans="1:12" x14ac:dyDescent="0.2">
      <c r="A54" s="12">
        <v>53</v>
      </c>
      <c r="B54">
        <f>VLOOKUP(A:A,[2]寻宝铲产出!$H$24:$I$144,2,FALSE)</f>
        <v>21</v>
      </c>
      <c r="C54">
        <v>10000001</v>
      </c>
      <c r="D54" s="9" t="s">
        <v>1108</v>
      </c>
      <c r="E54" t="str">
        <f t="shared" si="0"/>
        <v>10000001,21</v>
      </c>
      <c r="F54" s="12"/>
      <c r="G54" s="16"/>
      <c r="H54" s="16"/>
      <c r="I54" s="16"/>
      <c r="K54" s="16"/>
      <c r="L54" s="16"/>
    </row>
    <row r="55" spans="1:12" x14ac:dyDescent="0.2">
      <c r="A55" s="12">
        <v>54</v>
      </c>
      <c r="B55">
        <f>VLOOKUP(A:A,[2]寻宝铲产出!$H$24:$I$144,2,FALSE)</f>
        <v>21</v>
      </c>
      <c r="C55">
        <v>10000001</v>
      </c>
      <c r="D55" s="9" t="s">
        <v>1108</v>
      </c>
      <c r="E55" t="str">
        <f t="shared" si="0"/>
        <v>10000001,21</v>
      </c>
      <c r="F55" s="12"/>
      <c r="G55" s="16"/>
      <c r="H55" s="16"/>
      <c r="I55" s="16"/>
      <c r="K55" s="16"/>
      <c r="L55" s="16"/>
    </row>
    <row r="56" spans="1:12" x14ac:dyDescent="0.2">
      <c r="A56" s="12">
        <v>55</v>
      </c>
      <c r="B56">
        <f>VLOOKUP(A:A,[2]寻宝铲产出!$H$24:$I$144,2,FALSE)</f>
        <v>21</v>
      </c>
      <c r="C56">
        <v>10000001</v>
      </c>
      <c r="D56" s="9" t="s">
        <v>1108</v>
      </c>
      <c r="E56" t="str">
        <f t="shared" si="0"/>
        <v>10000001,21</v>
      </c>
      <c r="F56" s="12"/>
      <c r="G56" s="16"/>
      <c r="H56" s="16"/>
      <c r="I56" s="16"/>
      <c r="K56" s="16"/>
      <c r="L56" s="16"/>
    </row>
    <row r="57" spans="1:12" x14ac:dyDescent="0.2">
      <c r="A57" s="12">
        <v>56</v>
      </c>
      <c r="B57">
        <f>VLOOKUP(A:A,[2]寻宝铲产出!$H$24:$I$144,2,FALSE)</f>
        <v>21</v>
      </c>
      <c r="C57">
        <v>10000001</v>
      </c>
      <c r="D57" s="9" t="s">
        <v>1108</v>
      </c>
      <c r="E57" t="str">
        <f t="shared" si="0"/>
        <v>10000001,21</v>
      </c>
      <c r="F57" s="12"/>
      <c r="G57" s="16"/>
      <c r="H57" s="16"/>
      <c r="I57" s="16"/>
      <c r="K57" s="16"/>
      <c r="L57" s="16"/>
    </row>
    <row r="58" spans="1:12" x14ac:dyDescent="0.2">
      <c r="A58" s="12">
        <v>57</v>
      </c>
      <c r="B58">
        <f>VLOOKUP(A:A,[2]寻宝铲产出!$H$24:$I$144,2,FALSE)</f>
        <v>22</v>
      </c>
      <c r="C58">
        <v>10000001</v>
      </c>
      <c r="D58" s="9" t="s">
        <v>1108</v>
      </c>
      <c r="E58" t="str">
        <f t="shared" si="0"/>
        <v>10000001,22</v>
      </c>
      <c r="F58" s="12"/>
      <c r="G58" s="16"/>
      <c r="H58" s="16"/>
      <c r="I58" s="16"/>
      <c r="K58" s="16"/>
      <c r="L58" s="16"/>
    </row>
    <row r="59" spans="1:12" x14ac:dyDescent="0.2">
      <c r="A59" s="12">
        <v>58</v>
      </c>
      <c r="B59">
        <f>VLOOKUP(A:A,[2]寻宝铲产出!$H$24:$I$144,2,FALSE)</f>
        <v>22</v>
      </c>
      <c r="C59">
        <v>10000001</v>
      </c>
      <c r="D59" s="9" t="s">
        <v>1108</v>
      </c>
      <c r="E59" t="str">
        <f t="shared" si="0"/>
        <v>10000001,22</v>
      </c>
      <c r="F59" s="12"/>
      <c r="G59" s="16"/>
      <c r="H59" s="16"/>
      <c r="I59" s="16"/>
      <c r="K59" s="16"/>
      <c r="L59" s="16"/>
    </row>
    <row r="60" spans="1:12" x14ac:dyDescent="0.2">
      <c r="A60" s="12">
        <v>59</v>
      </c>
      <c r="B60">
        <f>VLOOKUP(A:A,[2]寻宝铲产出!$H$24:$I$144,2,FALSE)</f>
        <v>22</v>
      </c>
      <c r="C60">
        <v>10000001</v>
      </c>
      <c r="D60" s="9" t="s">
        <v>1108</v>
      </c>
      <c r="E60" t="str">
        <f t="shared" si="0"/>
        <v>10000001,22</v>
      </c>
      <c r="F60" s="12"/>
      <c r="G60" s="16"/>
      <c r="H60" s="16"/>
      <c r="I60" s="16"/>
      <c r="K60" s="16"/>
      <c r="L60" s="16"/>
    </row>
    <row r="61" spans="1:12" x14ac:dyDescent="0.2">
      <c r="A61" s="12">
        <v>60</v>
      </c>
      <c r="B61">
        <f>VLOOKUP(A:A,[2]寻宝铲产出!$H$24:$I$144,2,FALSE)</f>
        <v>22</v>
      </c>
      <c r="C61">
        <v>10000001</v>
      </c>
      <c r="D61" s="9" t="s">
        <v>1108</v>
      </c>
      <c r="E61" t="str">
        <f t="shared" si="0"/>
        <v>10000001,22</v>
      </c>
      <c r="F61" s="12"/>
      <c r="G61" s="16"/>
      <c r="H61" s="16"/>
      <c r="I61" s="16"/>
      <c r="K61" s="16"/>
      <c r="L61" s="16"/>
    </row>
    <row r="62" spans="1:12" x14ac:dyDescent="0.2">
      <c r="A62" s="12">
        <v>61</v>
      </c>
      <c r="B62">
        <f>VLOOKUP(A:A,[2]寻宝铲产出!$H$24:$I$144,2,FALSE)</f>
        <v>23</v>
      </c>
      <c r="C62">
        <v>10000001</v>
      </c>
      <c r="D62" s="9" t="s">
        <v>1108</v>
      </c>
      <c r="E62" t="str">
        <f t="shared" si="0"/>
        <v>10000001,23</v>
      </c>
      <c r="F62" s="12"/>
      <c r="G62" s="16"/>
      <c r="H62" s="16"/>
      <c r="I62" s="16"/>
      <c r="K62" s="16"/>
      <c r="L62" s="16"/>
    </row>
    <row r="63" spans="1:12" x14ac:dyDescent="0.2">
      <c r="A63" s="12">
        <v>62</v>
      </c>
      <c r="B63">
        <f>VLOOKUP(A:A,[2]寻宝铲产出!$H$24:$I$144,2,FALSE)</f>
        <v>23</v>
      </c>
      <c r="C63">
        <v>10000001</v>
      </c>
      <c r="D63" s="9" t="s">
        <v>1108</v>
      </c>
      <c r="E63" t="str">
        <f t="shared" si="0"/>
        <v>10000001,23</v>
      </c>
      <c r="F63" s="12"/>
      <c r="G63" s="16"/>
      <c r="H63" s="16"/>
      <c r="I63" s="16"/>
      <c r="K63" s="16"/>
      <c r="L63" s="16"/>
    </row>
    <row r="64" spans="1:12" x14ac:dyDescent="0.2">
      <c r="A64" s="12">
        <v>63</v>
      </c>
      <c r="B64">
        <f>VLOOKUP(A:A,[2]寻宝铲产出!$H$24:$I$144,2,FALSE)</f>
        <v>23</v>
      </c>
      <c r="C64">
        <v>10000001</v>
      </c>
      <c r="D64" s="9" t="s">
        <v>1108</v>
      </c>
      <c r="E64" t="str">
        <f t="shared" si="0"/>
        <v>10000001,23</v>
      </c>
      <c r="F64" s="12"/>
      <c r="G64" s="16"/>
      <c r="H64" s="16"/>
      <c r="I64" s="16"/>
      <c r="K64" s="16"/>
      <c r="L64" s="16"/>
    </row>
    <row r="65" spans="1:12" x14ac:dyDescent="0.2">
      <c r="A65" s="12">
        <v>64</v>
      </c>
      <c r="B65">
        <f>VLOOKUP(A:A,[2]寻宝铲产出!$H$24:$I$144,2,FALSE)</f>
        <v>23</v>
      </c>
      <c r="C65">
        <v>10000001</v>
      </c>
      <c r="D65" s="9" t="s">
        <v>1108</v>
      </c>
      <c r="E65" t="str">
        <f t="shared" si="0"/>
        <v>10000001,23</v>
      </c>
      <c r="F65" s="12"/>
      <c r="G65" s="16"/>
      <c r="H65" s="16"/>
      <c r="I65" s="16"/>
      <c r="K65" s="16"/>
      <c r="L65" s="16"/>
    </row>
    <row r="66" spans="1:12" x14ac:dyDescent="0.2">
      <c r="A66" s="12">
        <v>65</v>
      </c>
      <c r="B66">
        <f>VLOOKUP(A:A,[2]寻宝铲产出!$H$24:$I$144,2,FALSE)</f>
        <v>24</v>
      </c>
      <c r="C66">
        <v>10000001</v>
      </c>
      <c r="D66" s="9" t="s">
        <v>1108</v>
      </c>
      <c r="E66" t="str">
        <f t="shared" si="0"/>
        <v>10000001,24</v>
      </c>
      <c r="F66" s="12"/>
      <c r="G66" s="16"/>
      <c r="H66" s="16"/>
      <c r="I66" s="16"/>
      <c r="K66" s="16"/>
      <c r="L66" s="16"/>
    </row>
    <row r="67" spans="1:12" x14ac:dyDescent="0.2">
      <c r="A67" s="12">
        <v>66</v>
      </c>
      <c r="B67">
        <f>VLOOKUP(A:A,[2]寻宝铲产出!$H$24:$I$144,2,FALSE)</f>
        <v>24</v>
      </c>
      <c r="C67">
        <v>10000001</v>
      </c>
      <c r="D67" s="9" t="s">
        <v>1108</v>
      </c>
      <c r="E67" t="str">
        <f t="shared" ref="E67:E121" si="1">C67&amp;D67&amp;B67</f>
        <v>10000001,24</v>
      </c>
      <c r="F67" s="12"/>
      <c r="G67" s="16"/>
      <c r="H67" s="16"/>
      <c r="I67" s="16"/>
      <c r="K67" s="16"/>
      <c r="L67" s="16"/>
    </row>
    <row r="68" spans="1:12" x14ac:dyDescent="0.2">
      <c r="A68" s="12">
        <v>67</v>
      </c>
      <c r="B68">
        <f>VLOOKUP(A:A,[2]寻宝铲产出!$H$24:$I$144,2,FALSE)</f>
        <v>24</v>
      </c>
      <c r="C68">
        <v>10000001</v>
      </c>
      <c r="D68" s="9" t="s">
        <v>1108</v>
      </c>
      <c r="E68" t="str">
        <f t="shared" si="1"/>
        <v>10000001,24</v>
      </c>
      <c r="F68" s="12"/>
      <c r="G68" s="16"/>
      <c r="H68" s="16"/>
      <c r="I68" s="16"/>
      <c r="K68" s="16"/>
      <c r="L68" s="16"/>
    </row>
    <row r="69" spans="1:12" x14ac:dyDescent="0.2">
      <c r="A69" s="12">
        <v>68</v>
      </c>
      <c r="B69">
        <f>VLOOKUP(A:A,[2]寻宝铲产出!$H$24:$I$144,2,FALSE)</f>
        <v>24</v>
      </c>
      <c r="C69">
        <v>10000001</v>
      </c>
      <c r="D69" s="9" t="s">
        <v>1108</v>
      </c>
      <c r="E69" t="str">
        <f t="shared" si="1"/>
        <v>10000001,24</v>
      </c>
      <c r="F69" s="12"/>
      <c r="G69" s="16"/>
      <c r="H69" s="16"/>
      <c r="I69" s="16"/>
      <c r="K69" s="16"/>
      <c r="L69" s="16"/>
    </row>
    <row r="70" spans="1:12" x14ac:dyDescent="0.2">
      <c r="A70" s="12">
        <v>69</v>
      </c>
      <c r="B70">
        <f>VLOOKUP(A:A,[2]寻宝铲产出!$H$24:$I$144,2,FALSE)</f>
        <v>25</v>
      </c>
      <c r="C70">
        <v>10000001</v>
      </c>
      <c r="D70" s="9" t="s">
        <v>1108</v>
      </c>
      <c r="E70" t="str">
        <f t="shared" si="1"/>
        <v>10000001,25</v>
      </c>
      <c r="F70" s="12"/>
      <c r="G70" s="16"/>
      <c r="H70" s="16"/>
      <c r="I70" s="16"/>
      <c r="K70" s="16"/>
      <c r="L70" s="16"/>
    </row>
    <row r="71" spans="1:12" x14ac:dyDescent="0.2">
      <c r="A71" s="12">
        <v>70</v>
      </c>
      <c r="B71">
        <f>VLOOKUP(A:A,[2]寻宝铲产出!$H$24:$I$144,2,FALSE)</f>
        <v>25</v>
      </c>
      <c r="C71">
        <v>10000001</v>
      </c>
      <c r="D71" s="9" t="s">
        <v>1108</v>
      </c>
      <c r="E71" t="str">
        <f t="shared" si="1"/>
        <v>10000001,25</v>
      </c>
      <c r="F71" s="12"/>
      <c r="G71" s="16"/>
      <c r="H71" s="16"/>
      <c r="I71" s="16"/>
      <c r="K71" s="16"/>
      <c r="L71" s="16"/>
    </row>
    <row r="72" spans="1:12" x14ac:dyDescent="0.2">
      <c r="A72" s="12">
        <v>71</v>
      </c>
      <c r="B72">
        <f>VLOOKUP(A:A,[2]寻宝铲产出!$H$24:$I$144,2,FALSE)</f>
        <v>25</v>
      </c>
      <c r="C72">
        <v>10000001</v>
      </c>
      <c r="D72" s="9" t="s">
        <v>1108</v>
      </c>
      <c r="E72" t="str">
        <f t="shared" si="1"/>
        <v>10000001,25</v>
      </c>
      <c r="F72" s="12"/>
      <c r="G72" s="16"/>
      <c r="H72" s="16"/>
      <c r="I72" s="16"/>
      <c r="K72" s="16"/>
      <c r="L72" s="16"/>
    </row>
    <row r="73" spans="1:12" x14ac:dyDescent="0.2">
      <c r="A73" s="12">
        <v>72</v>
      </c>
      <c r="B73">
        <f>VLOOKUP(A:A,[2]寻宝铲产出!$H$24:$I$144,2,FALSE)</f>
        <v>25</v>
      </c>
      <c r="C73">
        <v>10000001</v>
      </c>
      <c r="D73" s="9" t="s">
        <v>1108</v>
      </c>
      <c r="E73" t="str">
        <f t="shared" si="1"/>
        <v>10000001,25</v>
      </c>
      <c r="F73" s="12"/>
      <c r="G73" s="16"/>
      <c r="H73" s="16"/>
      <c r="I73" s="16"/>
      <c r="K73" s="16"/>
      <c r="L73" s="16"/>
    </row>
    <row r="74" spans="1:12" x14ac:dyDescent="0.2">
      <c r="A74" s="12">
        <v>73</v>
      </c>
      <c r="B74">
        <f>VLOOKUP(A:A,[2]寻宝铲产出!$H$24:$I$144,2,FALSE)</f>
        <v>26</v>
      </c>
      <c r="C74">
        <v>10000001</v>
      </c>
      <c r="D74" s="9" t="s">
        <v>1108</v>
      </c>
      <c r="E74" t="str">
        <f t="shared" si="1"/>
        <v>10000001,26</v>
      </c>
      <c r="F74" s="12"/>
      <c r="G74" s="16"/>
      <c r="H74" s="16"/>
      <c r="I74" s="16"/>
      <c r="K74" s="16"/>
      <c r="L74" s="16"/>
    </row>
    <row r="75" spans="1:12" x14ac:dyDescent="0.2">
      <c r="A75" s="12">
        <v>74</v>
      </c>
      <c r="B75">
        <f>VLOOKUP(A:A,[2]寻宝铲产出!$H$24:$I$144,2,FALSE)</f>
        <v>26</v>
      </c>
      <c r="C75">
        <v>10000001</v>
      </c>
      <c r="D75" s="9" t="s">
        <v>1108</v>
      </c>
      <c r="E75" t="str">
        <f t="shared" si="1"/>
        <v>10000001,26</v>
      </c>
      <c r="F75" s="12"/>
      <c r="G75" s="16"/>
      <c r="H75" s="16"/>
      <c r="I75" s="16"/>
      <c r="K75" s="16"/>
      <c r="L75" s="16"/>
    </row>
    <row r="76" spans="1:12" x14ac:dyDescent="0.2">
      <c r="A76" s="12">
        <v>75</v>
      </c>
      <c r="B76">
        <f>VLOOKUP(A:A,[2]寻宝铲产出!$H$24:$I$144,2,FALSE)</f>
        <v>26</v>
      </c>
      <c r="C76">
        <v>10000001</v>
      </c>
      <c r="D76" s="9" t="s">
        <v>1108</v>
      </c>
      <c r="E76" t="str">
        <f t="shared" si="1"/>
        <v>10000001,26</v>
      </c>
      <c r="F76" s="12"/>
      <c r="G76" s="16"/>
      <c r="H76" s="16"/>
      <c r="I76" s="16"/>
      <c r="K76" s="16"/>
      <c r="L76" s="16"/>
    </row>
    <row r="77" spans="1:12" x14ac:dyDescent="0.2">
      <c r="A77" s="12">
        <v>76</v>
      </c>
      <c r="B77">
        <f>VLOOKUP(A:A,[2]寻宝铲产出!$H$24:$I$144,2,FALSE)</f>
        <v>26</v>
      </c>
      <c r="C77">
        <v>10000001</v>
      </c>
      <c r="D77" s="9" t="s">
        <v>1108</v>
      </c>
      <c r="E77" t="str">
        <f t="shared" si="1"/>
        <v>10000001,26</v>
      </c>
      <c r="F77" s="12"/>
      <c r="G77" s="16"/>
      <c r="H77" s="16"/>
      <c r="I77" s="16"/>
      <c r="K77" s="16"/>
      <c r="L77" s="16"/>
    </row>
    <row r="78" spans="1:12" x14ac:dyDescent="0.2">
      <c r="A78" s="12">
        <v>77</v>
      </c>
      <c r="B78">
        <f>VLOOKUP(A:A,[2]寻宝铲产出!$H$24:$I$144,2,FALSE)</f>
        <v>27</v>
      </c>
      <c r="C78">
        <v>10000001</v>
      </c>
      <c r="D78" s="9" t="s">
        <v>1108</v>
      </c>
      <c r="E78" t="str">
        <f t="shared" si="1"/>
        <v>10000001,27</v>
      </c>
      <c r="F78" s="12"/>
      <c r="G78" s="16"/>
      <c r="H78" s="16"/>
      <c r="I78" s="16"/>
      <c r="K78" s="16"/>
      <c r="L78" s="16"/>
    </row>
    <row r="79" spans="1:12" x14ac:dyDescent="0.2">
      <c r="A79" s="12">
        <v>78</v>
      </c>
      <c r="B79">
        <f>VLOOKUP(A:A,[2]寻宝铲产出!$H$24:$I$144,2,FALSE)</f>
        <v>27</v>
      </c>
      <c r="C79">
        <v>10000001</v>
      </c>
      <c r="D79" s="9" t="s">
        <v>1108</v>
      </c>
      <c r="E79" t="str">
        <f t="shared" si="1"/>
        <v>10000001,27</v>
      </c>
      <c r="F79" s="12"/>
      <c r="G79" s="16"/>
      <c r="H79" s="16"/>
      <c r="I79" s="16"/>
      <c r="K79" s="16"/>
      <c r="L79" s="16"/>
    </row>
    <row r="80" spans="1:12" x14ac:dyDescent="0.2">
      <c r="A80" s="12">
        <v>79</v>
      </c>
      <c r="B80">
        <f>VLOOKUP(A:A,[2]寻宝铲产出!$H$24:$I$144,2,FALSE)</f>
        <v>27</v>
      </c>
      <c r="C80">
        <v>10000001</v>
      </c>
      <c r="D80" s="9" t="s">
        <v>1108</v>
      </c>
      <c r="E80" t="str">
        <f t="shared" si="1"/>
        <v>10000001,27</v>
      </c>
      <c r="F80" s="12"/>
      <c r="G80" s="16"/>
      <c r="H80" s="16"/>
      <c r="I80" s="16"/>
      <c r="K80" s="16"/>
      <c r="L80" s="16"/>
    </row>
    <row r="81" spans="1:12" x14ac:dyDescent="0.2">
      <c r="A81" s="12">
        <v>80</v>
      </c>
      <c r="B81">
        <f>VLOOKUP(A:A,[2]寻宝铲产出!$H$24:$I$144,2,FALSE)</f>
        <v>27</v>
      </c>
      <c r="C81">
        <v>10000001</v>
      </c>
      <c r="D81" s="9" t="s">
        <v>1108</v>
      </c>
      <c r="E81" t="str">
        <f t="shared" si="1"/>
        <v>10000001,27</v>
      </c>
      <c r="F81" s="12"/>
      <c r="G81" s="16"/>
      <c r="H81" s="16"/>
      <c r="I81" s="16"/>
      <c r="K81" s="16"/>
      <c r="L81" s="16"/>
    </row>
    <row r="82" spans="1:12" x14ac:dyDescent="0.2">
      <c r="A82" s="12">
        <v>81</v>
      </c>
      <c r="B82">
        <f>VLOOKUP(A:A,[2]寻宝铲产出!$H$24:$I$144,2,FALSE)</f>
        <v>28</v>
      </c>
      <c r="C82">
        <v>10000001</v>
      </c>
      <c r="D82" s="9" t="s">
        <v>1108</v>
      </c>
      <c r="E82" t="str">
        <f t="shared" si="1"/>
        <v>10000001,28</v>
      </c>
      <c r="F82" s="12"/>
      <c r="G82" s="16"/>
      <c r="H82" s="16"/>
      <c r="I82" s="16"/>
      <c r="K82" s="16"/>
      <c r="L82" s="16"/>
    </row>
    <row r="83" spans="1:12" x14ac:dyDescent="0.2">
      <c r="A83" s="12">
        <v>82</v>
      </c>
      <c r="B83">
        <f>VLOOKUP(A:A,[2]寻宝铲产出!$H$24:$I$144,2,FALSE)</f>
        <v>28</v>
      </c>
      <c r="C83">
        <v>10000001</v>
      </c>
      <c r="D83" s="9" t="s">
        <v>1108</v>
      </c>
      <c r="E83" t="str">
        <f t="shared" si="1"/>
        <v>10000001,28</v>
      </c>
      <c r="F83" s="12"/>
      <c r="G83" s="16"/>
      <c r="H83" s="16"/>
      <c r="I83" s="16"/>
      <c r="K83" s="16"/>
      <c r="L83" s="16"/>
    </row>
    <row r="84" spans="1:12" x14ac:dyDescent="0.2">
      <c r="A84" s="12">
        <v>83</v>
      </c>
      <c r="B84">
        <f>VLOOKUP(A:A,[2]寻宝铲产出!$H$24:$I$144,2,FALSE)</f>
        <v>28</v>
      </c>
      <c r="C84">
        <v>10000001</v>
      </c>
      <c r="D84" s="9" t="s">
        <v>1108</v>
      </c>
      <c r="E84" t="str">
        <f t="shared" si="1"/>
        <v>10000001,28</v>
      </c>
      <c r="F84" s="12"/>
      <c r="G84" s="16"/>
      <c r="H84" s="16"/>
      <c r="I84" s="16"/>
      <c r="K84" s="16"/>
      <c r="L84" s="16"/>
    </row>
    <row r="85" spans="1:12" x14ac:dyDescent="0.2">
      <c r="A85" s="12">
        <v>84</v>
      </c>
      <c r="B85">
        <f>VLOOKUP(A:A,[2]寻宝铲产出!$H$24:$I$144,2,FALSE)</f>
        <v>28</v>
      </c>
      <c r="C85">
        <v>10000001</v>
      </c>
      <c r="D85" s="9" t="s">
        <v>1108</v>
      </c>
      <c r="E85" t="str">
        <f t="shared" si="1"/>
        <v>10000001,28</v>
      </c>
      <c r="F85" s="12"/>
      <c r="G85" s="16"/>
      <c r="H85" s="16"/>
      <c r="I85" s="16"/>
      <c r="K85" s="16"/>
      <c r="L85" s="16"/>
    </row>
    <row r="86" spans="1:12" x14ac:dyDescent="0.2">
      <c r="A86" s="12">
        <v>85</v>
      </c>
      <c r="B86">
        <f>VLOOKUP(A:A,[2]寻宝铲产出!$H$24:$I$144,2,FALSE)</f>
        <v>29</v>
      </c>
      <c r="C86">
        <v>10000001</v>
      </c>
      <c r="D86" s="9" t="s">
        <v>1108</v>
      </c>
      <c r="E86" t="str">
        <f t="shared" si="1"/>
        <v>10000001,29</v>
      </c>
      <c r="F86" s="12"/>
      <c r="G86" s="16"/>
      <c r="H86" s="16"/>
      <c r="I86" s="16"/>
      <c r="K86" s="16"/>
      <c r="L86" s="16"/>
    </row>
    <row r="87" spans="1:12" x14ac:dyDescent="0.2">
      <c r="A87" s="12">
        <v>86</v>
      </c>
      <c r="B87">
        <f>VLOOKUP(A:A,[2]寻宝铲产出!$H$24:$I$144,2,FALSE)</f>
        <v>29</v>
      </c>
      <c r="C87">
        <v>10000001</v>
      </c>
      <c r="D87" s="9" t="s">
        <v>1108</v>
      </c>
      <c r="E87" t="str">
        <f t="shared" si="1"/>
        <v>10000001,29</v>
      </c>
      <c r="F87" s="12"/>
      <c r="G87" s="16"/>
      <c r="H87" s="16"/>
      <c r="I87" s="16"/>
      <c r="K87" s="16"/>
      <c r="L87" s="16"/>
    </row>
    <row r="88" spans="1:12" x14ac:dyDescent="0.2">
      <c r="A88" s="12">
        <v>87</v>
      </c>
      <c r="B88">
        <f>VLOOKUP(A:A,[2]寻宝铲产出!$H$24:$I$144,2,FALSE)</f>
        <v>29</v>
      </c>
      <c r="C88">
        <v>10000001</v>
      </c>
      <c r="D88" s="9" t="s">
        <v>1108</v>
      </c>
      <c r="E88" t="str">
        <f t="shared" si="1"/>
        <v>10000001,29</v>
      </c>
      <c r="F88" s="12"/>
      <c r="G88" s="16"/>
      <c r="H88" s="16"/>
      <c r="I88" s="16"/>
      <c r="K88" s="16"/>
      <c r="L88" s="16"/>
    </row>
    <row r="89" spans="1:12" x14ac:dyDescent="0.2">
      <c r="A89" s="12">
        <v>88</v>
      </c>
      <c r="B89">
        <f>VLOOKUP(A:A,[2]寻宝铲产出!$H$24:$I$144,2,FALSE)</f>
        <v>29</v>
      </c>
      <c r="C89">
        <v>10000001</v>
      </c>
      <c r="D89" s="9" t="s">
        <v>1108</v>
      </c>
      <c r="E89" t="str">
        <f t="shared" si="1"/>
        <v>10000001,29</v>
      </c>
      <c r="F89" s="12"/>
      <c r="G89" s="16"/>
      <c r="H89" s="16"/>
      <c r="I89" s="16"/>
      <c r="K89" s="16"/>
      <c r="L89" s="16"/>
    </row>
    <row r="90" spans="1:12" x14ac:dyDescent="0.2">
      <c r="A90" s="12">
        <v>89</v>
      </c>
      <c r="B90">
        <f>VLOOKUP(A:A,[2]寻宝铲产出!$H$24:$I$144,2,FALSE)</f>
        <v>30</v>
      </c>
      <c r="C90">
        <v>10000001</v>
      </c>
      <c r="D90" s="9" t="s">
        <v>1108</v>
      </c>
      <c r="E90" t="str">
        <f t="shared" si="1"/>
        <v>10000001,30</v>
      </c>
      <c r="F90" s="12"/>
      <c r="G90" s="16"/>
      <c r="H90" s="16"/>
      <c r="I90" s="16"/>
      <c r="K90" s="16"/>
      <c r="L90" s="16"/>
    </row>
    <row r="91" spans="1:12" x14ac:dyDescent="0.2">
      <c r="A91" s="12">
        <v>90</v>
      </c>
      <c r="B91">
        <f>VLOOKUP(A:A,[2]寻宝铲产出!$H$24:$I$144,2,FALSE)</f>
        <v>30</v>
      </c>
      <c r="C91">
        <v>10000001</v>
      </c>
      <c r="D91" s="9" t="s">
        <v>1108</v>
      </c>
      <c r="E91" t="str">
        <f t="shared" si="1"/>
        <v>10000001,30</v>
      </c>
      <c r="F91" s="12"/>
      <c r="G91" s="16"/>
      <c r="H91" s="16"/>
      <c r="I91" s="16"/>
      <c r="K91" s="16"/>
      <c r="L91" s="16"/>
    </row>
    <row r="92" spans="1:12" x14ac:dyDescent="0.2">
      <c r="A92" s="12">
        <v>91</v>
      </c>
      <c r="B92">
        <f>VLOOKUP(A:A,[2]寻宝铲产出!$H$24:$I$144,2,FALSE)</f>
        <v>30</v>
      </c>
      <c r="C92">
        <v>10000001</v>
      </c>
      <c r="D92" s="9" t="s">
        <v>1108</v>
      </c>
      <c r="E92" t="str">
        <f t="shared" si="1"/>
        <v>10000001,30</v>
      </c>
      <c r="F92" s="12"/>
      <c r="G92" s="16"/>
      <c r="H92" s="16"/>
      <c r="I92" s="16"/>
      <c r="K92" s="16"/>
      <c r="L92" s="16"/>
    </row>
    <row r="93" spans="1:12" x14ac:dyDescent="0.2">
      <c r="A93" s="12">
        <v>92</v>
      </c>
      <c r="B93">
        <f>VLOOKUP(A:A,[2]寻宝铲产出!$H$24:$I$144,2,FALSE)</f>
        <v>30</v>
      </c>
      <c r="C93">
        <v>10000001</v>
      </c>
      <c r="D93" s="9" t="s">
        <v>1108</v>
      </c>
      <c r="E93" t="str">
        <f t="shared" si="1"/>
        <v>10000001,30</v>
      </c>
      <c r="F93" s="12"/>
      <c r="G93" s="16"/>
      <c r="H93" s="16"/>
      <c r="I93" s="16"/>
      <c r="K93" s="16"/>
      <c r="L93" s="16"/>
    </row>
    <row r="94" spans="1:12" x14ac:dyDescent="0.2">
      <c r="A94" s="12">
        <v>93</v>
      </c>
      <c r="B94">
        <f>VLOOKUP(A:A,[2]寻宝铲产出!$H$24:$I$144,2,FALSE)</f>
        <v>31</v>
      </c>
      <c r="C94">
        <v>10000001</v>
      </c>
      <c r="D94" s="9" t="s">
        <v>1108</v>
      </c>
      <c r="E94" t="str">
        <f t="shared" si="1"/>
        <v>10000001,31</v>
      </c>
      <c r="F94" s="12"/>
      <c r="G94" s="16"/>
      <c r="H94" s="16"/>
      <c r="I94" s="16"/>
      <c r="K94" s="16"/>
      <c r="L94" s="16"/>
    </row>
    <row r="95" spans="1:12" x14ac:dyDescent="0.2">
      <c r="A95" s="12">
        <v>94</v>
      </c>
      <c r="B95">
        <f>VLOOKUP(A:A,[2]寻宝铲产出!$H$24:$I$144,2,FALSE)</f>
        <v>31</v>
      </c>
      <c r="C95">
        <v>10000001</v>
      </c>
      <c r="D95" s="9" t="s">
        <v>1108</v>
      </c>
      <c r="E95" t="str">
        <f t="shared" si="1"/>
        <v>10000001,31</v>
      </c>
      <c r="F95" s="12"/>
      <c r="G95" s="16"/>
      <c r="H95" s="16"/>
      <c r="I95" s="16"/>
      <c r="K95" s="16"/>
      <c r="L95" s="16"/>
    </row>
    <row r="96" spans="1:12" x14ac:dyDescent="0.2">
      <c r="A96" s="12">
        <v>95</v>
      </c>
      <c r="B96">
        <f>VLOOKUP(A:A,[2]寻宝铲产出!$H$24:$I$144,2,FALSE)</f>
        <v>31</v>
      </c>
      <c r="C96">
        <v>10000001</v>
      </c>
      <c r="D96" s="9" t="s">
        <v>1108</v>
      </c>
      <c r="E96" t="str">
        <f t="shared" si="1"/>
        <v>10000001,31</v>
      </c>
      <c r="F96" s="12"/>
      <c r="G96" s="16"/>
      <c r="H96" s="16"/>
      <c r="I96" s="16"/>
      <c r="K96" s="16"/>
      <c r="L96" s="16"/>
    </row>
    <row r="97" spans="1:12" x14ac:dyDescent="0.2">
      <c r="A97" s="12">
        <v>96</v>
      </c>
      <c r="B97">
        <f>VLOOKUP(A:A,[2]寻宝铲产出!$H$24:$I$144,2,FALSE)</f>
        <v>31</v>
      </c>
      <c r="C97">
        <v>10000001</v>
      </c>
      <c r="D97" s="9" t="s">
        <v>1108</v>
      </c>
      <c r="E97" t="str">
        <f t="shared" si="1"/>
        <v>10000001,31</v>
      </c>
      <c r="F97" s="12"/>
      <c r="G97" s="16"/>
      <c r="H97" s="16"/>
      <c r="I97" s="16"/>
      <c r="K97" s="16"/>
      <c r="L97" s="16"/>
    </row>
    <row r="98" spans="1:12" x14ac:dyDescent="0.2">
      <c r="A98" s="12">
        <v>97</v>
      </c>
      <c r="B98">
        <f>VLOOKUP(A:A,[2]寻宝铲产出!$H$24:$I$144,2,FALSE)</f>
        <v>32</v>
      </c>
      <c r="C98">
        <v>10000001</v>
      </c>
      <c r="D98" s="9" t="s">
        <v>1108</v>
      </c>
      <c r="E98" t="str">
        <f t="shared" si="1"/>
        <v>10000001,32</v>
      </c>
      <c r="F98" s="12"/>
      <c r="G98" s="16"/>
      <c r="H98" s="16"/>
      <c r="I98" s="16"/>
      <c r="K98" s="16"/>
      <c r="L98" s="16"/>
    </row>
    <row r="99" spans="1:12" x14ac:dyDescent="0.2">
      <c r="A99" s="12">
        <v>98</v>
      </c>
      <c r="B99">
        <f>VLOOKUP(A:A,[2]寻宝铲产出!$H$24:$I$144,2,FALSE)</f>
        <v>32</v>
      </c>
      <c r="C99">
        <v>10000001</v>
      </c>
      <c r="D99" s="9" t="s">
        <v>1108</v>
      </c>
      <c r="E99" t="str">
        <f t="shared" si="1"/>
        <v>10000001,32</v>
      </c>
      <c r="F99" s="12"/>
      <c r="G99" s="16"/>
      <c r="H99" s="16"/>
      <c r="I99" s="16"/>
      <c r="K99" s="16"/>
      <c r="L99" s="16"/>
    </row>
    <row r="100" spans="1:12" x14ac:dyDescent="0.2">
      <c r="A100" s="12">
        <v>99</v>
      </c>
      <c r="B100">
        <f>VLOOKUP(A:A,[2]寻宝铲产出!$H$24:$I$144,2,FALSE)</f>
        <v>32</v>
      </c>
      <c r="C100">
        <v>10000001</v>
      </c>
      <c r="D100" s="9" t="s">
        <v>1108</v>
      </c>
      <c r="E100" t="str">
        <f t="shared" si="1"/>
        <v>10000001,32</v>
      </c>
      <c r="F100" s="12"/>
      <c r="G100" s="16"/>
      <c r="H100" s="16"/>
      <c r="I100" s="16"/>
      <c r="K100" s="16"/>
      <c r="L100" s="16"/>
    </row>
    <row r="101" spans="1:12" x14ac:dyDescent="0.2">
      <c r="A101" s="12">
        <v>100</v>
      </c>
      <c r="B101">
        <f>VLOOKUP(A:A,[2]寻宝铲产出!$H$24:$I$144,2,FALSE)</f>
        <v>32</v>
      </c>
      <c r="C101">
        <v>10000001</v>
      </c>
      <c r="D101" s="9" t="s">
        <v>1108</v>
      </c>
      <c r="E101" t="str">
        <f t="shared" si="1"/>
        <v>10000001,32</v>
      </c>
      <c r="F101" s="12"/>
      <c r="G101" s="16"/>
      <c r="H101" s="16"/>
      <c r="I101" s="16"/>
      <c r="K101" s="16"/>
      <c r="L101" s="16"/>
    </row>
    <row r="102" spans="1:12" x14ac:dyDescent="0.2">
      <c r="A102" s="12">
        <v>101</v>
      </c>
      <c r="B102">
        <f>VLOOKUP(A:A,[2]寻宝铲产出!$H$24:$I$144,2,FALSE)</f>
        <v>33</v>
      </c>
      <c r="C102">
        <v>10000001</v>
      </c>
      <c r="D102" s="9" t="s">
        <v>1108</v>
      </c>
      <c r="E102" t="str">
        <f t="shared" si="1"/>
        <v>10000001,33</v>
      </c>
      <c r="F102" s="12"/>
      <c r="G102" s="16"/>
      <c r="H102" s="16"/>
      <c r="I102" s="16"/>
      <c r="K102" s="16"/>
      <c r="L102" s="16"/>
    </row>
    <row r="103" spans="1:12" x14ac:dyDescent="0.2">
      <c r="A103" s="12">
        <v>102</v>
      </c>
      <c r="B103">
        <f>VLOOKUP(A:A,[2]寻宝铲产出!$H$24:$I$144,2,FALSE)</f>
        <v>33</v>
      </c>
      <c r="C103">
        <v>10000001</v>
      </c>
      <c r="D103" s="9" t="s">
        <v>1108</v>
      </c>
      <c r="E103" t="str">
        <f t="shared" si="1"/>
        <v>10000001,33</v>
      </c>
      <c r="F103" s="12"/>
      <c r="G103" s="16"/>
      <c r="H103" s="16"/>
      <c r="I103" s="16"/>
      <c r="K103" s="16"/>
      <c r="L103" s="16"/>
    </row>
    <row r="104" spans="1:12" x14ac:dyDescent="0.2">
      <c r="A104" s="12">
        <v>103</v>
      </c>
      <c r="B104">
        <f>VLOOKUP(A:A,[2]寻宝铲产出!$H$24:$I$144,2,FALSE)</f>
        <v>33</v>
      </c>
      <c r="C104">
        <v>10000001</v>
      </c>
      <c r="D104" s="9" t="s">
        <v>1108</v>
      </c>
      <c r="E104" t="str">
        <f t="shared" si="1"/>
        <v>10000001,33</v>
      </c>
      <c r="F104" s="12"/>
      <c r="G104" s="16"/>
      <c r="H104" s="16"/>
      <c r="I104" s="16"/>
      <c r="K104" s="16"/>
      <c r="L104" s="16"/>
    </row>
    <row r="105" spans="1:12" x14ac:dyDescent="0.2">
      <c r="A105" s="12">
        <v>104</v>
      </c>
      <c r="B105">
        <f>VLOOKUP(A:A,[2]寻宝铲产出!$H$24:$I$144,2,FALSE)</f>
        <v>33</v>
      </c>
      <c r="C105">
        <v>10000001</v>
      </c>
      <c r="D105" s="9" t="s">
        <v>1108</v>
      </c>
      <c r="E105" t="str">
        <f t="shared" si="1"/>
        <v>10000001,33</v>
      </c>
      <c r="F105" s="12"/>
      <c r="G105" s="16"/>
      <c r="H105" s="16"/>
      <c r="I105" s="16"/>
      <c r="K105" s="16"/>
      <c r="L105" s="16"/>
    </row>
    <row r="106" spans="1:12" x14ac:dyDescent="0.2">
      <c r="A106" s="12">
        <v>105</v>
      </c>
      <c r="B106">
        <f>VLOOKUP(A:A,[2]寻宝铲产出!$H$24:$I$144,2,FALSE)</f>
        <v>34</v>
      </c>
      <c r="C106">
        <v>10000001</v>
      </c>
      <c r="D106" s="9" t="s">
        <v>1108</v>
      </c>
      <c r="E106" t="str">
        <f t="shared" si="1"/>
        <v>10000001,34</v>
      </c>
      <c r="F106" s="12"/>
      <c r="G106" s="16"/>
      <c r="H106" s="16"/>
      <c r="I106" s="16"/>
      <c r="K106" s="16"/>
      <c r="L106" s="16"/>
    </row>
    <row r="107" spans="1:12" x14ac:dyDescent="0.2">
      <c r="A107" s="12">
        <v>106</v>
      </c>
      <c r="B107">
        <f>VLOOKUP(A:A,[2]寻宝铲产出!$H$24:$I$144,2,FALSE)</f>
        <v>34</v>
      </c>
      <c r="C107">
        <v>10000001</v>
      </c>
      <c r="D107" s="9" t="s">
        <v>1108</v>
      </c>
      <c r="E107" t="str">
        <f t="shared" si="1"/>
        <v>10000001,34</v>
      </c>
      <c r="F107" s="12"/>
      <c r="G107" s="16"/>
      <c r="H107" s="16"/>
      <c r="I107" s="16"/>
      <c r="K107" s="16"/>
      <c r="L107" s="16"/>
    </row>
    <row r="108" spans="1:12" x14ac:dyDescent="0.2">
      <c r="A108" s="12">
        <v>107</v>
      </c>
      <c r="B108">
        <f>VLOOKUP(A:A,[2]寻宝铲产出!$H$24:$I$144,2,FALSE)</f>
        <v>34</v>
      </c>
      <c r="C108">
        <v>10000001</v>
      </c>
      <c r="D108" s="9" t="s">
        <v>1108</v>
      </c>
      <c r="E108" t="str">
        <f t="shared" si="1"/>
        <v>10000001,34</v>
      </c>
      <c r="F108" s="12"/>
      <c r="G108" s="16"/>
      <c r="H108" s="16"/>
      <c r="I108" s="16"/>
      <c r="K108" s="16"/>
      <c r="L108" s="16"/>
    </row>
    <row r="109" spans="1:12" x14ac:dyDescent="0.2">
      <c r="A109" s="12">
        <v>108</v>
      </c>
      <c r="B109">
        <f>VLOOKUP(A:A,[2]寻宝铲产出!$H$24:$I$144,2,FALSE)</f>
        <v>34</v>
      </c>
      <c r="C109">
        <v>10000001</v>
      </c>
      <c r="D109" s="9" t="s">
        <v>1108</v>
      </c>
      <c r="E109" t="str">
        <f t="shared" si="1"/>
        <v>10000001,34</v>
      </c>
      <c r="F109" s="12"/>
      <c r="G109" s="16"/>
      <c r="H109" s="16"/>
      <c r="I109" s="16"/>
      <c r="K109" s="16"/>
      <c r="L109" s="16"/>
    </row>
    <row r="110" spans="1:12" x14ac:dyDescent="0.2">
      <c r="A110" s="12">
        <v>109</v>
      </c>
      <c r="B110">
        <f>VLOOKUP(A:A,[2]寻宝铲产出!$H$24:$I$144,2,FALSE)</f>
        <v>35</v>
      </c>
      <c r="C110">
        <v>10000001</v>
      </c>
      <c r="D110" s="9" t="s">
        <v>1108</v>
      </c>
      <c r="E110" t="str">
        <f t="shared" si="1"/>
        <v>10000001,35</v>
      </c>
      <c r="F110" s="12"/>
      <c r="G110" s="16"/>
      <c r="H110" s="16"/>
      <c r="I110" s="16"/>
      <c r="K110" s="16"/>
      <c r="L110" s="16"/>
    </row>
    <row r="111" spans="1:12" x14ac:dyDescent="0.2">
      <c r="A111" s="12">
        <v>110</v>
      </c>
      <c r="B111">
        <f>VLOOKUP(A:A,[2]寻宝铲产出!$H$24:$I$144,2,FALSE)</f>
        <v>35</v>
      </c>
      <c r="C111">
        <v>10000001</v>
      </c>
      <c r="D111" s="9" t="s">
        <v>1108</v>
      </c>
      <c r="E111" t="str">
        <f t="shared" si="1"/>
        <v>10000001,35</v>
      </c>
      <c r="F111" s="12"/>
      <c r="G111" s="16"/>
      <c r="H111" s="16"/>
      <c r="I111" s="16"/>
      <c r="K111" s="16"/>
      <c r="L111" s="16"/>
    </row>
    <row r="112" spans="1:12" x14ac:dyDescent="0.2">
      <c r="A112" s="12">
        <v>111</v>
      </c>
      <c r="B112">
        <f>VLOOKUP(A:A,[2]寻宝铲产出!$H$24:$I$144,2,FALSE)</f>
        <v>35</v>
      </c>
      <c r="C112">
        <v>10000001</v>
      </c>
      <c r="D112" s="9" t="s">
        <v>1108</v>
      </c>
      <c r="E112" t="str">
        <f t="shared" si="1"/>
        <v>10000001,35</v>
      </c>
      <c r="F112" s="12"/>
      <c r="G112" s="16"/>
      <c r="H112" s="16"/>
      <c r="I112" s="16"/>
      <c r="K112" s="16"/>
      <c r="L112" s="16"/>
    </row>
    <row r="113" spans="1:12" x14ac:dyDescent="0.2">
      <c r="A113" s="12">
        <v>112</v>
      </c>
      <c r="B113">
        <f>VLOOKUP(A:A,[2]寻宝铲产出!$H$24:$I$144,2,FALSE)</f>
        <v>35</v>
      </c>
      <c r="C113">
        <v>10000001</v>
      </c>
      <c r="D113" s="9" t="s">
        <v>1108</v>
      </c>
      <c r="E113" t="str">
        <f t="shared" si="1"/>
        <v>10000001,35</v>
      </c>
      <c r="F113" s="12"/>
      <c r="G113" s="16"/>
      <c r="H113" s="16"/>
      <c r="I113" s="16"/>
      <c r="K113" s="16"/>
      <c r="L113" s="16"/>
    </row>
    <row r="114" spans="1:12" x14ac:dyDescent="0.2">
      <c r="A114" s="12">
        <v>113</v>
      </c>
      <c r="B114">
        <f>VLOOKUP(A:A,[2]寻宝铲产出!$H$24:$I$144,2,FALSE)</f>
        <v>36</v>
      </c>
      <c r="C114">
        <v>10000001</v>
      </c>
      <c r="D114" s="9" t="s">
        <v>1108</v>
      </c>
      <c r="E114" t="str">
        <f t="shared" si="1"/>
        <v>10000001,36</v>
      </c>
      <c r="F114" s="12"/>
      <c r="G114" s="16"/>
      <c r="H114" s="16"/>
      <c r="I114" s="16"/>
      <c r="K114" s="16"/>
      <c r="L114" s="16"/>
    </row>
    <row r="115" spans="1:12" x14ac:dyDescent="0.2">
      <c r="A115" s="12">
        <v>114</v>
      </c>
      <c r="B115">
        <f>VLOOKUP(A:A,[2]寻宝铲产出!$H$24:$I$144,2,FALSE)</f>
        <v>36</v>
      </c>
      <c r="C115">
        <v>10000001</v>
      </c>
      <c r="D115" s="9" t="s">
        <v>1108</v>
      </c>
      <c r="E115" t="str">
        <f t="shared" si="1"/>
        <v>10000001,36</v>
      </c>
      <c r="F115" s="12"/>
      <c r="G115" s="16"/>
      <c r="H115" s="16"/>
      <c r="I115" s="16"/>
      <c r="K115" s="16"/>
      <c r="L115" s="16"/>
    </row>
    <row r="116" spans="1:12" x14ac:dyDescent="0.2">
      <c r="A116" s="12">
        <v>115</v>
      </c>
      <c r="B116">
        <f>VLOOKUP(A:A,[2]寻宝铲产出!$H$24:$I$144,2,FALSE)</f>
        <v>36</v>
      </c>
      <c r="C116">
        <v>10000001</v>
      </c>
      <c r="D116" s="9" t="s">
        <v>1108</v>
      </c>
      <c r="E116" t="str">
        <f t="shared" si="1"/>
        <v>10000001,36</v>
      </c>
      <c r="F116" s="12"/>
      <c r="G116" s="16"/>
      <c r="H116" s="16"/>
      <c r="I116" s="16"/>
      <c r="K116" s="16"/>
      <c r="L116" s="16"/>
    </row>
    <row r="117" spans="1:12" x14ac:dyDescent="0.2">
      <c r="A117" s="12">
        <v>116</v>
      </c>
      <c r="B117">
        <f>VLOOKUP(A:A,[2]寻宝铲产出!$H$24:$I$144,2,FALSE)</f>
        <v>36</v>
      </c>
      <c r="C117">
        <v>10000001</v>
      </c>
      <c r="D117" s="9" t="s">
        <v>1108</v>
      </c>
      <c r="E117" t="str">
        <f t="shared" si="1"/>
        <v>10000001,36</v>
      </c>
      <c r="F117" s="12"/>
      <c r="G117" s="16"/>
      <c r="H117" s="16"/>
      <c r="I117" s="16"/>
      <c r="K117" s="16"/>
      <c r="L117" s="16"/>
    </row>
    <row r="118" spans="1:12" x14ac:dyDescent="0.2">
      <c r="A118" s="12">
        <v>117</v>
      </c>
      <c r="B118">
        <f>VLOOKUP(A:A,[2]寻宝铲产出!$H$24:$I$144,2,FALSE)</f>
        <v>37</v>
      </c>
      <c r="C118">
        <v>10000001</v>
      </c>
      <c r="D118" s="9" t="s">
        <v>1108</v>
      </c>
      <c r="E118" t="str">
        <f t="shared" si="1"/>
        <v>10000001,37</v>
      </c>
    </row>
    <row r="119" spans="1:12" x14ac:dyDescent="0.2">
      <c r="A119" s="12">
        <v>118</v>
      </c>
      <c r="B119">
        <f>VLOOKUP(A:A,[2]寻宝铲产出!$H$24:$I$144,2,FALSE)</f>
        <v>37</v>
      </c>
      <c r="C119">
        <v>10000001</v>
      </c>
      <c r="D119" s="9" t="s">
        <v>1108</v>
      </c>
      <c r="E119" t="str">
        <f t="shared" si="1"/>
        <v>10000001,37</v>
      </c>
    </row>
    <row r="120" spans="1:12" x14ac:dyDescent="0.2">
      <c r="A120" s="12">
        <v>119</v>
      </c>
      <c r="B120">
        <f>VLOOKUP(A:A,[2]寻宝铲产出!$H$24:$I$144,2,FALSE)</f>
        <v>37</v>
      </c>
      <c r="C120">
        <v>10000001</v>
      </c>
      <c r="D120" s="9" t="s">
        <v>1108</v>
      </c>
      <c r="E120" t="str">
        <f t="shared" si="1"/>
        <v>10000001,37</v>
      </c>
    </row>
    <row r="121" spans="1:12" x14ac:dyDescent="0.2">
      <c r="A121" s="12">
        <v>120</v>
      </c>
      <c r="B121">
        <f>VLOOKUP(A:A,[2]寻宝铲产出!$H$24:$I$144,2,FALSE)</f>
        <v>37</v>
      </c>
      <c r="C121">
        <v>10000001</v>
      </c>
      <c r="D121" s="9" t="s">
        <v>1108</v>
      </c>
      <c r="E121" t="str">
        <f t="shared" si="1"/>
        <v>10000001,37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topLeftCell="B1" workbookViewId="0">
      <selection activeCell="B1" sqref="B1:C1"/>
    </sheetView>
  </sheetViews>
  <sheetFormatPr defaultColWidth="9" defaultRowHeight="14.25" x14ac:dyDescent="0.2"/>
  <cols>
    <col min="1" max="1" width="11" style="1" customWidth="1"/>
    <col min="2" max="2" width="9" style="1"/>
    <col min="3" max="7" width="10.875" style="1" customWidth="1"/>
    <col min="8" max="13" width="15.125" style="1" customWidth="1"/>
    <col min="14" max="15" width="10.875" style="1" customWidth="1"/>
    <col min="16" max="16" width="9" style="1"/>
    <col min="17" max="17" width="40.125" style="1" customWidth="1"/>
    <col min="18" max="16384" width="9" style="1"/>
  </cols>
  <sheetData>
    <row r="1" spans="1:17" x14ac:dyDescent="0.2">
      <c r="A1" s="2" t="s">
        <v>1115</v>
      </c>
      <c r="B1" s="2" t="s">
        <v>1116</v>
      </c>
      <c r="C1" s="2" t="s">
        <v>1117</v>
      </c>
      <c r="D1" s="2"/>
      <c r="E1" s="2" t="s">
        <v>1118</v>
      </c>
      <c r="F1" s="2" t="s">
        <v>1119</v>
      </c>
      <c r="G1" s="2"/>
      <c r="H1" s="2" t="s">
        <v>1120</v>
      </c>
      <c r="I1" s="2" t="s">
        <v>1121</v>
      </c>
      <c r="J1" s="2"/>
      <c r="K1" s="13" t="s">
        <v>1122</v>
      </c>
      <c r="L1" s="13" t="s">
        <v>1123</v>
      </c>
      <c r="M1" s="2"/>
      <c r="N1" s="2"/>
      <c r="O1" s="2"/>
      <c r="P1" s="2" t="s">
        <v>1107</v>
      </c>
      <c r="Q1" s="14"/>
    </row>
    <row r="2" spans="1:17" x14ac:dyDescent="0.2">
      <c r="A2" s="12">
        <v>1</v>
      </c>
      <c r="B2" s="1">
        <f>VLOOKUP(A:A,[2]奶酪产出!$G$18:$H$138,2,FALSE)</f>
        <v>25</v>
      </c>
      <c r="C2" s="1">
        <v>1010001</v>
      </c>
      <c r="E2" s="1">
        <v>1</v>
      </c>
      <c r="F2" s="1">
        <v>1010002</v>
      </c>
      <c r="H2" s="1">
        <f>VLOOKUP(A:A,[2]技能强化石!$L$14:$M$133,2,2)</f>
        <v>8</v>
      </c>
      <c r="I2" s="2">
        <v>1010004</v>
      </c>
      <c r="J2" s="2"/>
      <c r="K2" s="2">
        <f>VLOOKUP(A:A,[2]天赋点产出!$G$18:$H$138,2,FALSE)</f>
        <v>4</v>
      </c>
      <c r="L2" s="2">
        <v>1010014</v>
      </c>
      <c r="M2" s="2"/>
      <c r="O2" s="2" t="s">
        <v>1124</v>
      </c>
      <c r="P2" s="2" t="s">
        <v>1108</v>
      </c>
      <c r="Q2" s="1" t="str">
        <f>C2&amp;P2&amp;B2&amp;O2&amp;F2&amp;P2&amp;E2&amp;O2&amp;I2&amp;P2&amp;H2&amp;O2&amp;L2&amp;P2&amp;K2</f>
        <v>1010001,25|1010002,1|1010004,8|1010014,4</v>
      </c>
    </row>
    <row r="3" spans="1:17" x14ac:dyDescent="0.2">
      <c r="A3" s="12">
        <v>2</v>
      </c>
      <c r="B3" s="1">
        <f>VLOOKUP(A:A,[2]奶酪产出!$G$18:$H$138,2,FALSE)</f>
        <v>25</v>
      </c>
      <c r="C3" s="1">
        <v>1010001</v>
      </c>
      <c r="E3" s="1">
        <v>1</v>
      </c>
      <c r="F3" s="1">
        <v>1010002</v>
      </c>
      <c r="H3" s="1">
        <f>VLOOKUP(A:A,[2]技能强化石!$L$14:$M$133,2,2)</f>
        <v>8</v>
      </c>
      <c r="I3" s="2">
        <v>1010004</v>
      </c>
      <c r="J3" s="2"/>
      <c r="K3" s="2">
        <f>VLOOKUP(A:A,[2]天赋点产出!$G$18:$H$138,2,FALSE)</f>
        <v>4</v>
      </c>
      <c r="L3" s="2">
        <v>1010014</v>
      </c>
      <c r="M3" s="2"/>
      <c r="O3" s="2" t="s">
        <v>1124</v>
      </c>
      <c r="P3" s="2" t="s">
        <v>1108</v>
      </c>
      <c r="Q3" s="1" t="str">
        <f t="shared" ref="Q3:Q66" si="0">C3&amp;P3&amp;B3&amp;O3&amp;F3&amp;P3&amp;E3&amp;O3&amp;I3&amp;P3&amp;H3&amp;O3&amp;L3&amp;P3&amp;K3</f>
        <v>1010001,25|1010002,1|1010004,8|1010014,4</v>
      </c>
    </row>
    <row r="4" spans="1:17" x14ac:dyDescent="0.2">
      <c r="A4" s="12">
        <v>3</v>
      </c>
      <c r="B4" s="1">
        <f>VLOOKUP(A:A,[2]奶酪产出!$G$18:$H$138,2,FALSE)</f>
        <v>25</v>
      </c>
      <c r="C4" s="1">
        <v>1010001</v>
      </c>
      <c r="E4" s="1">
        <v>1</v>
      </c>
      <c r="F4" s="1">
        <v>1010002</v>
      </c>
      <c r="H4" s="1">
        <f>VLOOKUP(A:A,[2]技能强化石!$L$14:$M$133,2,2)</f>
        <v>8</v>
      </c>
      <c r="I4" s="2">
        <v>1010004</v>
      </c>
      <c r="J4" s="2"/>
      <c r="K4" s="2">
        <f>VLOOKUP(A:A,[2]天赋点产出!$G$18:$H$138,2,FALSE)</f>
        <v>4</v>
      </c>
      <c r="L4" s="2">
        <v>1010014</v>
      </c>
      <c r="M4" s="2"/>
      <c r="O4" s="2" t="s">
        <v>1124</v>
      </c>
      <c r="P4" s="2" t="s">
        <v>1108</v>
      </c>
      <c r="Q4" s="1" t="str">
        <f t="shared" si="0"/>
        <v>1010001,25|1010002,1|1010004,8|1010014,4</v>
      </c>
    </row>
    <row r="5" spans="1:17" x14ac:dyDescent="0.2">
      <c r="A5" s="12">
        <v>4</v>
      </c>
      <c r="B5" s="1">
        <f>VLOOKUP(A:A,[2]奶酪产出!$G$18:$H$138,2,FALSE)</f>
        <v>25</v>
      </c>
      <c r="C5" s="1">
        <v>1010001</v>
      </c>
      <c r="E5" s="1">
        <v>1</v>
      </c>
      <c r="F5" s="1">
        <v>1010002</v>
      </c>
      <c r="H5" s="1">
        <f>VLOOKUP(A:A,[2]技能强化石!$L$14:$M$133,2,2)</f>
        <v>8</v>
      </c>
      <c r="I5" s="2">
        <v>1010004</v>
      </c>
      <c r="J5" s="2"/>
      <c r="K5" s="2">
        <f>VLOOKUP(A:A,[2]天赋点产出!$G$18:$H$138,2,FALSE)</f>
        <v>4</v>
      </c>
      <c r="L5" s="2">
        <v>1010014</v>
      </c>
      <c r="M5" s="2"/>
      <c r="O5" s="2" t="s">
        <v>1124</v>
      </c>
      <c r="P5" s="2" t="s">
        <v>1108</v>
      </c>
      <c r="Q5" s="1" t="str">
        <f t="shared" si="0"/>
        <v>1010001,25|1010002,1|1010004,8|1010014,4</v>
      </c>
    </row>
    <row r="6" spans="1:17" x14ac:dyDescent="0.2">
      <c r="A6" s="12">
        <v>5</v>
      </c>
      <c r="B6" s="1">
        <f>VLOOKUP(A:A,[2]奶酪产出!$G$18:$H$138,2,FALSE)</f>
        <v>26</v>
      </c>
      <c r="C6" s="1">
        <v>1010001</v>
      </c>
      <c r="E6" s="1">
        <v>1</v>
      </c>
      <c r="F6" s="1">
        <v>1010002</v>
      </c>
      <c r="H6" s="1">
        <f>VLOOKUP(A:A,[2]技能强化石!$L$14:$M$133,2,2)</f>
        <v>9</v>
      </c>
      <c r="I6" s="2">
        <v>1010004</v>
      </c>
      <c r="J6" s="2"/>
      <c r="K6" s="2">
        <f>VLOOKUP(A:A,[2]天赋点产出!$G$18:$H$138,2,FALSE)</f>
        <v>5</v>
      </c>
      <c r="L6" s="2">
        <v>1010014</v>
      </c>
      <c r="M6" s="2"/>
      <c r="O6" s="2" t="s">
        <v>1124</v>
      </c>
      <c r="P6" s="2" t="s">
        <v>1108</v>
      </c>
      <c r="Q6" s="1" t="str">
        <f t="shared" si="0"/>
        <v>1010001,26|1010002,1|1010004,9|1010014,5</v>
      </c>
    </row>
    <row r="7" spans="1:17" x14ac:dyDescent="0.2">
      <c r="A7" s="12">
        <v>6</v>
      </c>
      <c r="B7" s="1">
        <f>VLOOKUP(A:A,[2]奶酪产出!$G$18:$H$138,2,FALSE)</f>
        <v>26</v>
      </c>
      <c r="C7" s="1">
        <v>1010001</v>
      </c>
      <c r="E7" s="1">
        <v>1</v>
      </c>
      <c r="F7" s="1">
        <v>1010002</v>
      </c>
      <c r="H7" s="1">
        <f>VLOOKUP(A:A,[2]技能强化石!$L$14:$M$133,2,2)</f>
        <v>9</v>
      </c>
      <c r="I7" s="2">
        <v>1010004</v>
      </c>
      <c r="J7" s="2"/>
      <c r="K7" s="2">
        <f>VLOOKUP(A:A,[2]天赋点产出!$G$18:$H$138,2,FALSE)</f>
        <v>5</v>
      </c>
      <c r="L7" s="2">
        <v>1010014</v>
      </c>
      <c r="M7" s="2"/>
      <c r="O7" s="2" t="s">
        <v>1124</v>
      </c>
      <c r="P7" s="2" t="s">
        <v>1108</v>
      </c>
      <c r="Q7" s="1" t="str">
        <f t="shared" si="0"/>
        <v>1010001,26|1010002,1|1010004,9|1010014,5</v>
      </c>
    </row>
    <row r="8" spans="1:17" x14ac:dyDescent="0.2">
      <c r="A8" s="12">
        <v>7</v>
      </c>
      <c r="B8" s="1">
        <f>VLOOKUP(A:A,[2]奶酪产出!$G$18:$H$138,2,FALSE)</f>
        <v>26</v>
      </c>
      <c r="C8" s="1">
        <v>1010001</v>
      </c>
      <c r="E8" s="1">
        <v>1</v>
      </c>
      <c r="F8" s="1">
        <v>1010002</v>
      </c>
      <c r="H8" s="1">
        <f>VLOOKUP(A:A,[2]技能强化石!$L$14:$M$133,2,2)</f>
        <v>9</v>
      </c>
      <c r="I8" s="2">
        <v>1010004</v>
      </c>
      <c r="J8" s="2"/>
      <c r="K8" s="2">
        <f>VLOOKUP(A:A,[2]天赋点产出!$G$18:$H$138,2,FALSE)</f>
        <v>5</v>
      </c>
      <c r="L8" s="2">
        <v>1010014</v>
      </c>
      <c r="M8" s="2"/>
      <c r="O8" s="2" t="s">
        <v>1124</v>
      </c>
      <c r="P8" s="2" t="s">
        <v>1108</v>
      </c>
      <c r="Q8" s="1" t="str">
        <f t="shared" si="0"/>
        <v>1010001,26|1010002,1|1010004,9|1010014,5</v>
      </c>
    </row>
    <row r="9" spans="1:17" x14ac:dyDescent="0.2">
      <c r="A9" s="12">
        <v>8</v>
      </c>
      <c r="B9" s="1">
        <f>VLOOKUP(A:A,[2]奶酪产出!$G$18:$H$138,2,FALSE)</f>
        <v>26</v>
      </c>
      <c r="C9" s="1">
        <v>1010001</v>
      </c>
      <c r="E9" s="1">
        <v>1</v>
      </c>
      <c r="F9" s="1">
        <v>1010002</v>
      </c>
      <c r="H9" s="1">
        <f>VLOOKUP(A:A,[2]技能强化石!$L$14:$M$133,2,2)</f>
        <v>9</v>
      </c>
      <c r="I9" s="2">
        <v>1010004</v>
      </c>
      <c r="J9" s="2"/>
      <c r="K9" s="2">
        <f>VLOOKUP(A:A,[2]天赋点产出!$G$18:$H$138,2,FALSE)</f>
        <v>5</v>
      </c>
      <c r="L9" s="2">
        <v>1010014</v>
      </c>
      <c r="M9" s="2"/>
      <c r="O9" s="2" t="s">
        <v>1124</v>
      </c>
      <c r="P9" s="2" t="s">
        <v>1108</v>
      </c>
      <c r="Q9" s="1" t="str">
        <f t="shared" si="0"/>
        <v>1010001,26|1010002,1|1010004,9|1010014,5</v>
      </c>
    </row>
    <row r="10" spans="1:17" x14ac:dyDescent="0.2">
      <c r="A10" s="12">
        <v>9</v>
      </c>
      <c r="B10" s="1">
        <f>VLOOKUP(A:A,[2]奶酪产出!$G$18:$H$138,2,FALSE)</f>
        <v>27</v>
      </c>
      <c r="C10" s="1">
        <v>1010001</v>
      </c>
      <c r="E10" s="1">
        <v>1</v>
      </c>
      <c r="F10" s="1">
        <v>1010002</v>
      </c>
      <c r="H10" s="1">
        <f>VLOOKUP(A:A,[2]技能强化石!$L$14:$M$133,2,2)</f>
        <v>10</v>
      </c>
      <c r="I10" s="2">
        <v>1010004</v>
      </c>
      <c r="J10" s="2"/>
      <c r="K10" s="2">
        <f>VLOOKUP(A:A,[2]天赋点产出!$G$18:$H$138,2,FALSE)</f>
        <v>6</v>
      </c>
      <c r="L10" s="2">
        <v>1010014</v>
      </c>
      <c r="M10" s="2"/>
      <c r="O10" s="2" t="s">
        <v>1124</v>
      </c>
      <c r="P10" s="2" t="s">
        <v>1108</v>
      </c>
      <c r="Q10" s="1" t="str">
        <f t="shared" si="0"/>
        <v>1010001,27|1010002,1|1010004,10|1010014,6</v>
      </c>
    </row>
    <row r="11" spans="1:17" x14ac:dyDescent="0.2">
      <c r="A11" s="12">
        <v>10</v>
      </c>
      <c r="B11" s="1">
        <f>VLOOKUP(A:A,[2]奶酪产出!$G$18:$H$138,2,FALSE)</f>
        <v>27</v>
      </c>
      <c r="C11" s="1">
        <v>1010001</v>
      </c>
      <c r="E11" s="1">
        <v>1</v>
      </c>
      <c r="F11" s="1">
        <v>1010002</v>
      </c>
      <c r="H11" s="1">
        <f>VLOOKUP(A:A,[2]技能强化石!$L$14:$M$133,2,2)</f>
        <v>10</v>
      </c>
      <c r="I11" s="2">
        <v>1010004</v>
      </c>
      <c r="J11" s="2"/>
      <c r="K11" s="2">
        <f>VLOOKUP(A:A,[2]天赋点产出!$G$18:$H$138,2,FALSE)</f>
        <v>6</v>
      </c>
      <c r="L11" s="2">
        <v>1010014</v>
      </c>
      <c r="M11" s="2"/>
      <c r="O11" s="2" t="s">
        <v>1124</v>
      </c>
      <c r="P11" s="2" t="s">
        <v>1108</v>
      </c>
      <c r="Q11" s="1" t="str">
        <f t="shared" si="0"/>
        <v>1010001,27|1010002,1|1010004,10|1010014,6</v>
      </c>
    </row>
    <row r="12" spans="1:17" x14ac:dyDescent="0.2">
      <c r="A12" s="12">
        <v>11</v>
      </c>
      <c r="B12" s="1">
        <f>VLOOKUP(A:A,[2]奶酪产出!$G$18:$H$138,2,FALSE)</f>
        <v>27</v>
      </c>
      <c r="C12" s="1">
        <v>1010001</v>
      </c>
      <c r="E12" s="1">
        <v>1</v>
      </c>
      <c r="F12" s="1">
        <v>1010002</v>
      </c>
      <c r="H12" s="1">
        <f>VLOOKUP(A:A,[2]技能强化石!$L$14:$M$133,2,2)</f>
        <v>10</v>
      </c>
      <c r="I12" s="2">
        <v>1010004</v>
      </c>
      <c r="J12" s="2"/>
      <c r="K12" s="2">
        <f>VLOOKUP(A:A,[2]天赋点产出!$G$18:$H$138,2,FALSE)</f>
        <v>6</v>
      </c>
      <c r="L12" s="2">
        <v>1010014</v>
      </c>
      <c r="M12" s="2"/>
      <c r="O12" s="2" t="s">
        <v>1124</v>
      </c>
      <c r="P12" s="2" t="s">
        <v>1108</v>
      </c>
      <c r="Q12" s="1" t="str">
        <f t="shared" si="0"/>
        <v>1010001,27|1010002,1|1010004,10|1010014,6</v>
      </c>
    </row>
    <row r="13" spans="1:17" x14ac:dyDescent="0.2">
      <c r="A13" s="12">
        <v>12</v>
      </c>
      <c r="B13" s="1">
        <f>VLOOKUP(A:A,[2]奶酪产出!$G$18:$H$138,2,FALSE)</f>
        <v>27</v>
      </c>
      <c r="C13" s="1">
        <v>1010001</v>
      </c>
      <c r="E13" s="1">
        <v>1</v>
      </c>
      <c r="F13" s="1">
        <v>1010002</v>
      </c>
      <c r="H13" s="1">
        <f>VLOOKUP(A:A,[2]技能强化石!$L$14:$M$133,2,2)</f>
        <v>10</v>
      </c>
      <c r="I13" s="2">
        <v>1010004</v>
      </c>
      <c r="J13" s="2"/>
      <c r="K13" s="2">
        <f>VLOOKUP(A:A,[2]天赋点产出!$G$18:$H$138,2,FALSE)</f>
        <v>6</v>
      </c>
      <c r="L13" s="2">
        <v>1010014</v>
      </c>
      <c r="M13" s="2"/>
      <c r="O13" s="2" t="s">
        <v>1124</v>
      </c>
      <c r="P13" s="2" t="s">
        <v>1108</v>
      </c>
      <c r="Q13" s="1" t="str">
        <f t="shared" si="0"/>
        <v>1010001,27|1010002,1|1010004,10|1010014,6</v>
      </c>
    </row>
    <row r="14" spans="1:17" x14ac:dyDescent="0.2">
      <c r="A14" s="12">
        <v>13</v>
      </c>
      <c r="B14" s="1">
        <f>VLOOKUP(A:A,[2]奶酪产出!$G$18:$H$138,2,FALSE)</f>
        <v>28</v>
      </c>
      <c r="C14" s="1">
        <v>1010001</v>
      </c>
      <c r="E14" s="1">
        <v>1</v>
      </c>
      <c r="F14" s="1">
        <v>1010002</v>
      </c>
      <c r="H14" s="1">
        <f>VLOOKUP(A:A,[2]技能强化石!$L$14:$M$133,2,2)</f>
        <v>11</v>
      </c>
      <c r="I14" s="2">
        <v>1010004</v>
      </c>
      <c r="J14" s="2"/>
      <c r="K14" s="2">
        <f>VLOOKUP(A:A,[2]天赋点产出!$G$18:$H$138,2,FALSE)</f>
        <v>7</v>
      </c>
      <c r="L14" s="2">
        <v>1010014</v>
      </c>
      <c r="M14" s="2"/>
      <c r="O14" s="2" t="s">
        <v>1124</v>
      </c>
      <c r="P14" s="2" t="s">
        <v>1108</v>
      </c>
      <c r="Q14" s="1" t="str">
        <f t="shared" si="0"/>
        <v>1010001,28|1010002,1|1010004,11|1010014,7</v>
      </c>
    </row>
    <row r="15" spans="1:17" x14ac:dyDescent="0.2">
      <c r="A15" s="12">
        <v>14</v>
      </c>
      <c r="B15" s="1">
        <f>VLOOKUP(A:A,[2]奶酪产出!$G$18:$H$138,2,FALSE)</f>
        <v>28</v>
      </c>
      <c r="C15" s="1">
        <v>1010001</v>
      </c>
      <c r="E15" s="1">
        <v>1</v>
      </c>
      <c r="F15" s="1">
        <v>1010002</v>
      </c>
      <c r="H15" s="1">
        <f>VLOOKUP(A:A,[2]技能强化石!$L$14:$M$133,2,2)</f>
        <v>11</v>
      </c>
      <c r="I15" s="2">
        <v>1010004</v>
      </c>
      <c r="J15" s="2"/>
      <c r="K15" s="2">
        <f>VLOOKUP(A:A,[2]天赋点产出!$G$18:$H$138,2,FALSE)</f>
        <v>7</v>
      </c>
      <c r="L15" s="2">
        <v>1010014</v>
      </c>
      <c r="M15" s="2"/>
      <c r="O15" s="2" t="s">
        <v>1124</v>
      </c>
      <c r="P15" s="2" t="s">
        <v>1108</v>
      </c>
      <c r="Q15" s="1" t="str">
        <f t="shared" si="0"/>
        <v>1010001,28|1010002,1|1010004,11|1010014,7</v>
      </c>
    </row>
    <row r="16" spans="1:17" x14ac:dyDescent="0.2">
      <c r="A16" s="12">
        <v>15</v>
      </c>
      <c r="B16" s="1">
        <f>VLOOKUP(A:A,[2]奶酪产出!$G$18:$H$138,2,FALSE)</f>
        <v>28</v>
      </c>
      <c r="C16" s="1">
        <v>1010001</v>
      </c>
      <c r="E16" s="1">
        <v>1</v>
      </c>
      <c r="F16" s="1">
        <v>1010002</v>
      </c>
      <c r="H16" s="1">
        <f>VLOOKUP(A:A,[2]技能强化石!$L$14:$M$133,2,2)</f>
        <v>11</v>
      </c>
      <c r="I16" s="2">
        <v>1010004</v>
      </c>
      <c r="J16" s="2"/>
      <c r="K16" s="2">
        <f>VLOOKUP(A:A,[2]天赋点产出!$G$18:$H$138,2,FALSE)</f>
        <v>7</v>
      </c>
      <c r="L16" s="2">
        <v>1010014</v>
      </c>
      <c r="M16" s="2"/>
      <c r="O16" s="2" t="s">
        <v>1124</v>
      </c>
      <c r="P16" s="2" t="s">
        <v>1108</v>
      </c>
      <c r="Q16" s="1" t="str">
        <f t="shared" si="0"/>
        <v>1010001,28|1010002,1|1010004,11|1010014,7</v>
      </c>
    </row>
    <row r="17" spans="1:17" x14ac:dyDescent="0.2">
      <c r="A17" s="12">
        <v>16</v>
      </c>
      <c r="B17" s="1">
        <f>VLOOKUP(A:A,[2]奶酪产出!$G$18:$H$138,2,FALSE)</f>
        <v>28</v>
      </c>
      <c r="C17" s="1">
        <v>1010001</v>
      </c>
      <c r="E17" s="1">
        <v>1</v>
      </c>
      <c r="F17" s="1">
        <v>1010002</v>
      </c>
      <c r="H17" s="1">
        <f>VLOOKUP(A:A,[2]技能强化石!$L$14:$M$133,2,2)</f>
        <v>11</v>
      </c>
      <c r="I17" s="2">
        <v>1010004</v>
      </c>
      <c r="J17" s="2"/>
      <c r="K17" s="2">
        <f>VLOOKUP(A:A,[2]天赋点产出!$G$18:$H$138,2,FALSE)</f>
        <v>7</v>
      </c>
      <c r="L17" s="2">
        <v>1010014</v>
      </c>
      <c r="M17" s="2"/>
      <c r="O17" s="2" t="s">
        <v>1124</v>
      </c>
      <c r="P17" s="2" t="s">
        <v>1108</v>
      </c>
      <c r="Q17" s="1" t="str">
        <f t="shared" si="0"/>
        <v>1010001,28|1010002,1|1010004,11|1010014,7</v>
      </c>
    </row>
    <row r="18" spans="1:17" x14ac:dyDescent="0.2">
      <c r="A18" s="12">
        <v>17</v>
      </c>
      <c r="B18" s="1">
        <f>VLOOKUP(A:A,[2]奶酪产出!$G$18:$H$138,2,FALSE)</f>
        <v>29</v>
      </c>
      <c r="C18" s="1">
        <v>1010001</v>
      </c>
      <c r="E18" s="1">
        <v>1</v>
      </c>
      <c r="F18" s="1">
        <v>1010002</v>
      </c>
      <c r="H18" s="1">
        <f>VLOOKUP(A:A,[2]技能强化石!$L$14:$M$133,2,2)</f>
        <v>12</v>
      </c>
      <c r="I18" s="2">
        <v>1010004</v>
      </c>
      <c r="J18" s="2"/>
      <c r="K18" s="2">
        <f>VLOOKUP(A:A,[2]天赋点产出!$G$18:$H$138,2,FALSE)</f>
        <v>8</v>
      </c>
      <c r="L18" s="2">
        <v>1010014</v>
      </c>
      <c r="M18" s="2"/>
      <c r="O18" s="2" t="s">
        <v>1124</v>
      </c>
      <c r="P18" s="2" t="s">
        <v>1108</v>
      </c>
      <c r="Q18" s="1" t="str">
        <f t="shared" si="0"/>
        <v>1010001,29|1010002,1|1010004,12|1010014,8</v>
      </c>
    </row>
    <row r="19" spans="1:17" x14ac:dyDescent="0.2">
      <c r="A19" s="12">
        <v>18</v>
      </c>
      <c r="B19" s="1">
        <f>VLOOKUP(A:A,[2]奶酪产出!$G$18:$H$138,2,FALSE)</f>
        <v>29</v>
      </c>
      <c r="C19" s="1">
        <v>1010001</v>
      </c>
      <c r="E19" s="1">
        <v>1</v>
      </c>
      <c r="F19" s="1">
        <v>1010002</v>
      </c>
      <c r="H19" s="1">
        <f>VLOOKUP(A:A,[2]技能强化石!$L$14:$M$133,2,2)</f>
        <v>12</v>
      </c>
      <c r="I19" s="2">
        <v>1010004</v>
      </c>
      <c r="J19" s="2"/>
      <c r="K19" s="2">
        <f>VLOOKUP(A:A,[2]天赋点产出!$G$18:$H$138,2,FALSE)</f>
        <v>8</v>
      </c>
      <c r="L19" s="2">
        <v>1010014</v>
      </c>
      <c r="M19" s="2"/>
      <c r="O19" s="2" t="s">
        <v>1124</v>
      </c>
      <c r="P19" s="2" t="s">
        <v>1108</v>
      </c>
      <c r="Q19" s="1" t="str">
        <f t="shared" si="0"/>
        <v>1010001,29|1010002,1|1010004,12|1010014,8</v>
      </c>
    </row>
    <row r="20" spans="1:17" x14ac:dyDescent="0.2">
      <c r="A20" s="12">
        <v>19</v>
      </c>
      <c r="B20" s="1">
        <f>VLOOKUP(A:A,[2]奶酪产出!$G$18:$H$138,2,FALSE)</f>
        <v>29</v>
      </c>
      <c r="C20" s="1">
        <v>1010001</v>
      </c>
      <c r="E20" s="1">
        <v>1</v>
      </c>
      <c r="F20" s="1">
        <v>1010002</v>
      </c>
      <c r="H20" s="1">
        <f>VLOOKUP(A:A,[2]技能强化石!$L$14:$M$133,2,2)</f>
        <v>12</v>
      </c>
      <c r="I20" s="2">
        <v>1010004</v>
      </c>
      <c r="J20" s="2"/>
      <c r="K20" s="2">
        <f>VLOOKUP(A:A,[2]天赋点产出!$G$18:$H$138,2,FALSE)</f>
        <v>8</v>
      </c>
      <c r="L20" s="2">
        <v>1010014</v>
      </c>
      <c r="M20" s="2"/>
      <c r="O20" s="2" t="s">
        <v>1124</v>
      </c>
      <c r="P20" s="2" t="s">
        <v>1108</v>
      </c>
      <c r="Q20" s="1" t="str">
        <f t="shared" si="0"/>
        <v>1010001,29|1010002,1|1010004,12|1010014,8</v>
      </c>
    </row>
    <row r="21" spans="1:17" x14ac:dyDescent="0.2">
      <c r="A21" s="12">
        <v>20</v>
      </c>
      <c r="B21" s="1">
        <f>VLOOKUP(A:A,[2]奶酪产出!$G$18:$H$138,2,FALSE)</f>
        <v>29</v>
      </c>
      <c r="C21" s="1">
        <v>1010001</v>
      </c>
      <c r="E21" s="1">
        <v>1</v>
      </c>
      <c r="F21" s="1">
        <v>1010002</v>
      </c>
      <c r="H21" s="1">
        <f>VLOOKUP(A:A,[2]技能强化石!$L$14:$M$133,2,2)</f>
        <v>12</v>
      </c>
      <c r="I21" s="2">
        <v>1010004</v>
      </c>
      <c r="J21" s="2"/>
      <c r="K21" s="2">
        <f>VLOOKUP(A:A,[2]天赋点产出!$G$18:$H$138,2,FALSE)</f>
        <v>8</v>
      </c>
      <c r="L21" s="2">
        <v>1010014</v>
      </c>
      <c r="M21" s="2"/>
      <c r="O21" s="2" t="s">
        <v>1124</v>
      </c>
      <c r="P21" s="2" t="s">
        <v>1108</v>
      </c>
      <c r="Q21" s="1" t="str">
        <f t="shared" si="0"/>
        <v>1010001,29|1010002,1|1010004,12|1010014,8</v>
      </c>
    </row>
    <row r="22" spans="1:17" x14ac:dyDescent="0.2">
      <c r="A22" s="12">
        <v>21</v>
      </c>
      <c r="B22" s="1">
        <f>VLOOKUP(A:A,[2]奶酪产出!$G$18:$H$138,2,FALSE)</f>
        <v>30</v>
      </c>
      <c r="C22" s="1">
        <v>1010001</v>
      </c>
      <c r="E22" s="1">
        <v>1</v>
      </c>
      <c r="F22" s="1">
        <v>1010002</v>
      </c>
      <c r="H22" s="1">
        <f>VLOOKUP(A:A,[2]技能强化石!$L$14:$M$133,2,2)</f>
        <v>13</v>
      </c>
      <c r="I22" s="2">
        <v>1010004</v>
      </c>
      <c r="J22" s="2"/>
      <c r="K22" s="2">
        <f>VLOOKUP(A:A,[2]天赋点产出!$G$18:$H$138,2,FALSE)</f>
        <v>9</v>
      </c>
      <c r="L22" s="2">
        <v>1010014</v>
      </c>
      <c r="M22" s="2"/>
      <c r="O22" s="2" t="s">
        <v>1124</v>
      </c>
      <c r="P22" s="2" t="s">
        <v>1108</v>
      </c>
      <c r="Q22" s="1" t="str">
        <f t="shared" si="0"/>
        <v>1010001,30|1010002,1|1010004,13|1010014,9</v>
      </c>
    </row>
    <row r="23" spans="1:17" x14ac:dyDescent="0.2">
      <c r="A23" s="12">
        <v>22</v>
      </c>
      <c r="B23" s="1">
        <f>VLOOKUP(A:A,[2]奶酪产出!$G$18:$H$138,2,FALSE)</f>
        <v>30</v>
      </c>
      <c r="C23" s="1">
        <v>1010001</v>
      </c>
      <c r="E23" s="1">
        <v>1</v>
      </c>
      <c r="F23" s="1">
        <v>1010002</v>
      </c>
      <c r="H23" s="1">
        <f>VLOOKUP(A:A,[2]技能强化石!$L$14:$M$133,2,2)</f>
        <v>13</v>
      </c>
      <c r="I23" s="2">
        <v>1010004</v>
      </c>
      <c r="J23" s="2"/>
      <c r="K23" s="2">
        <f>VLOOKUP(A:A,[2]天赋点产出!$G$18:$H$138,2,FALSE)</f>
        <v>9</v>
      </c>
      <c r="L23" s="2">
        <v>1010014</v>
      </c>
      <c r="M23" s="2"/>
      <c r="O23" s="2" t="s">
        <v>1124</v>
      </c>
      <c r="P23" s="2" t="s">
        <v>1108</v>
      </c>
      <c r="Q23" s="1" t="str">
        <f t="shared" si="0"/>
        <v>1010001,30|1010002,1|1010004,13|1010014,9</v>
      </c>
    </row>
    <row r="24" spans="1:17" x14ac:dyDescent="0.2">
      <c r="A24" s="12">
        <v>23</v>
      </c>
      <c r="B24" s="1">
        <f>VLOOKUP(A:A,[2]奶酪产出!$G$18:$H$138,2,FALSE)</f>
        <v>30</v>
      </c>
      <c r="C24" s="1">
        <v>1010001</v>
      </c>
      <c r="E24" s="1">
        <v>1</v>
      </c>
      <c r="F24" s="1">
        <v>1010002</v>
      </c>
      <c r="H24" s="1">
        <f>VLOOKUP(A:A,[2]技能强化石!$L$14:$M$133,2,2)</f>
        <v>13</v>
      </c>
      <c r="I24" s="2">
        <v>1010004</v>
      </c>
      <c r="J24" s="2"/>
      <c r="K24" s="2">
        <f>VLOOKUP(A:A,[2]天赋点产出!$G$18:$H$138,2,FALSE)</f>
        <v>9</v>
      </c>
      <c r="L24" s="2">
        <v>1010014</v>
      </c>
      <c r="M24" s="2"/>
      <c r="O24" s="2" t="s">
        <v>1124</v>
      </c>
      <c r="P24" s="2" t="s">
        <v>1108</v>
      </c>
      <c r="Q24" s="1" t="str">
        <f t="shared" si="0"/>
        <v>1010001,30|1010002,1|1010004,13|1010014,9</v>
      </c>
    </row>
    <row r="25" spans="1:17" x14ac:dyDescent="0.2">
      <c r="A25" s="12">
        <v>24</v>
      </c>
      <c r="B25" s="1">
        <f>VLOOKUP(A:A,[2]奶酪产出!$G$18:$H$138,2,FALSE)</f>
        <v>30</v>
      </c>
      <c r="C25" s="1">
        <v>1010001</v>
      </c>
      <c r="E25" s="1">
        <v>1</v>
      </c>
      <c r="F25" s="1">
        <v>1010002</v>
      </c>
      <c r="H25" s="1">
        <f>VLOOKUP(A:A,[2]技能强化石!$L$14:$M$133,2,2)</f>
        <v>13</v>
      </c>
      <c r="I25" s="2">
        <v>1010004</v>
      </c>
      <c r="J25" s="2"/>
      <c r="K25" s="2">
        <f>VLOOKUP(A:A,[2]天赋点产出!$G$18:$H$138,2,FALSE)</f>
        <v>9</v>
      </c>
      <c r="L25" s="2">
        <v>1010014</v>
      </c>
      <c r="M25" s="2"/>
      <c r="O25" s="2" t="s">
        <v>1124</v>
      </c>
      <c r="P25" s="2" t="s">
        <v>1108</v>
      </c>
      <c r="Q25" s="1" t="str">
        <f t="shared" si="0"/>
        <v>1010001,30|1010002,1|1010004,13|1010014,9</v>
      </c>
    </row>
    <row r="26" spans="1:17" x14ac:dyDescent="0.2">
      <c r="A26" s="12">
        <v>25</v>
      </c>
      <c r="B26" s="1">
        <f>VLOOKUP(A:A,[2]奶酪产出!$G$18:$H$138,2,FALSE)</f>
        <v>31</v>
      </c>
      <c r="C26" s="1">
        <v>1010001</v>
      </c>
      <c r="E26" s="1">
        <v>1</v>
      </c>
      <c r="F26" s="1">
        <v>1010002</v>
      </c>
      <c r="H26" s="1">
        <f>VLOOKUP(A:A,[2]技能强化石!$L$14:$M$133,2,2)</f>
        <v>14</v>
      </c>
      <c r="I26" s="2">
        <v>1010004</v>
      </c>
      <c r="J26" s="2"/>
      <c r="K26" s="2">
        <f>VLOOKUP(A:A,[2]天赋点产出!$G$18:$H$138,2,FALSE)</f>
        <v>10</v>
      </c>
      <c r="L26" s="2">
        <v>1010014</v>
      </c>
      <c r="M26" s="2"/>
      <c r="O26" s="2" t="s">
        <v>1124</v>
      </c>
      <c r="P26" s="2" t="s">
        <v>1108</v>
      </c>
      <c r="Q26" s="1" t="str">
        <f t="shared" si="0"/>
        <v>1010001,31|1010002,1|1010004,14|1010014,10</v>
      </c>
    </row>
    <row r="27" spans="1:17" x14ac:dyDescent="0.2">
      <c r="A27" s="12">
        <v>26</v>
      </c>
      <c r="B27" s="1">
        <f>VLOOKUP(A:A,[2]奶酪产出!$G$18:$H$138,2,FALSE)</f>
        <v>31</v>
      </c>
      <c r="C27" s="1">
        <v>1010001</v>
      </c>
      <c r="E27" s="1">
        <v>1</v>
      </c>
      <c r="F27" s="1">
        <v>1010002</v>
      </c>
      <c r="H27" s="1">
        <f>VLOOKUP(A:A,[2]技能强化石!$L$14:$M$133,2,2)</f>
        <v>14</v>
      </c>
      <c r="I27" s="2">
        <v>1010004</v>
      </c>
      <c r="J27" s="2"/>
      <c r="K27" s="2">
        <f>VLOOKUP(A:A,[2]天赋点产出!$G$18:$H$138,2,FALSE)</f>
        <v>10</v>
      </c>
      <c r="L27" s="2">
        <v>1010014</v>
      </c>
      <c r="M27" s="2"/>
      <c r="O27" s="2" t="s">
        <v>1124</v>
      </c>
      <c r="P27" s="2" t="s">
        <v>1108</v>
      </c>
      <c r="Q27" s="1" t="str">
        <f t="shared" si="0"/>
        <v>1010001,31|1010002,1|1010004,14|1010014,10</v>
      </c>
    </row>
    <row r="28" spans="1:17" x14ac:dyDescent="0.2">
      <c r="A28" s="12">
        <v>27</v>
      </c>
      <c r="B28" s="1">
        <f>VLOOKUP(A:A,[2]奶酪产出!$G$18:$H$138,2,FALSE)</f>
        <v>31</v>
      </c>
      <c r="C28" s="1">
        <v>1010001</v>
      </c>
      <c r="E28" s="1">
        <v>1</v>
      </c>
      <c r="F28" s="1">
        <v>1010002</v>
      </c>
      <c r="H28" s="1">
        <f>VLOOKUP(A:A,[2]技能强化石!$L$14:$M$133,2,2)</f>
        <v>14</v>
      </c>
      <c r="I28" s="2">
        <v>1010004</v>
      </c>
      <c r="J28" s="2"/>
      <c r="K28" s="2">
        <f>VLOOKUP(A:A,[2]天赋点产出!$G$18:$H$138,2,FALSE)</f>
        <v>10</v>
      </c>
      <c r="L28" s="2">
        <v>1010014</v>
      </c>
      <c r="M28" s="2"/>
      <c r="O28" s="2" t="s">
        <v>1124</v>
      </c>
      <c r="P28" s="2" t="s">
        <v>1108</v>
      </c>
      <c r="Q28" s="1" t="str">
        <f t="shared" si="0"/>
        <v>1010001,31|1010002,1|1010004,14|1010014,10</v>
      </c>
    </row>
    <row r="29" spans="1:17" x14ac:dyDescent="0.2">
      <c r="A29" s="12">
        <v>28</v>
      </c>
      <c r="B29" s="1">
        <f>VLOOKUP(A:A,[2]奶酪产出!$G$18:$H$138,2,FALSE)</f>
        <v>31</v>
      </c>
      <c r="C29" s="1">
        <v>1010001</v>
      </c>
      <c r="E29" s="1">
        <v>1</v>
      </c>
      <c r="F29" s="1">
        <v>1010002</v>
      </c>
      <c r="H29" s="1">
        <f>VLOOKUP(A:A,[2]技能强化石!$L$14:$M$133,2,2)</f>
        <v>14</v>
      </c>
      <c r="I29" s="2">
        <v>1010004</v>
      </c>
      <c r="J29" s="2"/>
      <c r="K29" s="2">
        <f>VLOOKUP(A:A,[2]天赋点产出!$G$18:$H$138,2,FALSE)</f>
        <v>10</v>
      </c>
      <c r="L29" s="2">
        <v>1010014</v>
      </c>
      <c r="M29" s="2"/>
      <c r="O29" s="2" t="s">
        <v>1124</v>
      </c>
      <c r="P29" s="2" t="s">
        <v>1108</v>
      </c>
      <c r="Q29" s="1" t="str">
        <f t="shared" si="0"/>
        <v>1010001,31|1010002,1|1010004,14|1010014,10</v>
      </c>
    </row>
    <row r="30" spans="1:17" x14ac:dyDescent="0.2">
      <c r="A30" s="12">
        <v>29</v>
      </c>
      <c r="B30" s="1">
        <f>VLOOKUP(A:A,[2]奶酪产出!$G$18:$H$138,2,FALSE)</f>
        <v>32</v>
      </c>
      <c r="C30" s="1">
        <v>1010001</v>
      </c>
      <c r="E30" s="1">
        <v>1</v>
      </c>
      <c r="F30" s="1">
        <v>1010002</v>
      </c>
      <c r="H30" s="1">
        <f>VLOOKUP(A:A,[2]技能强化石!$L$14:$M$133,2,2)</f>
        <v>15</v>
      </c>
      <c r="I30" s="2">
        <v>1010004</v>
      </c>
      <c r="J30" s="2"/>
      <c r="K30" s="2">
        <f>VLOOKUP(A:A,[2]天赋点产出!$G$18:$H$138,2,FALSE)</f>
        <v>11</v>
      </c>
      <c r="L30" s="2">
        <v>1010014</v>
      </c>
      <c r="M30" s="2"/>
      <c r="O30" s="2" t="s">
        <v>1124</v>
      </c>
      <c r="P30" s="2" t="s">
        <v>1108</v>
      </c>
      <c r="Q30" s="1" t="str">
        <f t="shared" si="0"/>
        <v>1010001,32|1010002,1|1010004,15|1010014,11</v>
      </c>
    </row>
    <row r="31" spans="1:17" x14ac:dyDescent="0.2">
      <c r="A31" s="12">
        <v>30</v>
      </c>
      <c r="B31" s="1">
        <f>VLOOKUP(A:A,[2]奶酪产出!$G$18:$H$138,2,FALSE)</f>
        <v>32</v>
      </c>
      <c r="C31" s="1">
        <v>1010001</v>
      </c>
      <c r="E31" s="1">
        <v>1</v>
      </c>
      <c r="F31" s="1">
        <v>1010002</v>
      </c>
      <c r="H31" s="1">
        <f>VLOOKUP(A:A,[2]技能强化石!$L$14:$M$133,2,2)</f>
        <v>15</v>
      </c>
      <c r="I31" s="2">
        <v>1010004</v>
      </c>
      <c r="J31" s="2"/>
      <c r="K31" s="2">
        <f>VLOOKUP(A:A,[2]天赋点产出!$G$18:$H$138,2,FALSE)</f>
        <v>11</v>
      </c>
      <c r="L31" s="2">
        <v>1010014</v>
      </c>
      <c r="M31" s="2"/>
      <c r="O31" s="2" t="s">
        <v>1124</v>
      </c>
      <c r="P31" s="2" t="s">
        <v>1108</v>
      </c>
      <c r="Q31" s="1" t="str">
        <f t="shared" si="0"/>
        <v>1010001,32|1010002,1|1010004,15|1010014,11</v>
      </c>
    </row>
    <row r="32" spans="1:17" x14ac:dyDescent="0.2">
      <c r="A32" s="12">
        <v>31</v>
      </c>
      <c r="B32" s="1">
        <f>VLOOKUP(A:A,[2]奶酪产出!$G$18:$H$138,2,FALSE)</f>
        <v>32</v>
      </c>
      <c r="C32" s="1">
        <v>1010001</v>
      </c>
      <c r="E32" s="1">
        <v>1</v>
      </c>
      <c r="F32" s="1">
        <v>1010002</v>
      </c>
      <c r="H32" s="1">
        <f>VLOOKUP(A:A,[2]技能强化石!$L$14:$M$133,2,2)</f>
        <v>15</v>
      </c>
      <c r="I32" s="2">
        <v>1010004</v>
      </c>
      <c r="J32" s="2"/>
      <c r="K32" s="2">
        <f>VLOOKUP(A:A,[2]天赋点产出!$G$18:$H$138,2,FALSE)</f>
        <v>11</v>
      </c>
      <c r="L32" s="2">
        <v>1010014</v>
      </c>
      <c r="M32" s="2"/>
      <c r="O32" s="2" t="s">
        <v>1124</v>
      </c>
      <c r="P32" s="2" t="s">
        <v>1108</v>
      </c>
      <c r="Q32" s="1" t="str">
        <f t="shared" si="0"/>
        <v>1010001,32|1010002,1|1010004,15|1010014,11</v>
      </c>
    </row>
    <row r="33" spans="1:17" x14ac:dyDescent="0.2">
      <c r="A33" s="12">
        <v>32</v>
      </c>
      <c r="B33" s="1">
        <f>VLOOKUP(A:A,[2]奶酪产出!$G$18:$H$138,2,FALSE)</f>
        <v>32</v>
      </c>
      <c r="C33" s="1">
        <v>1010001</v>
      </c>
      <c r="E33" s="1">
        <v>1</v>
      </c>
      <c r="F33" s="1">
        <v>1010002</v>
      </c>
      <c r="H33" s="1">
        <f>VLOOKUP(A:A,[2]技能强化石!$L$14:$M$133,2,2)</f>
        <v>15</v>
      </c>
      <c r="I33" s="2">
        <v>1010004</v>
      </c>
      <c r="J33" s="2"/>
      <c r="K33" s="2">
        <f>VLOOKUP(A:A,[2]天赋点产出!$G$18:$H$138,2,FALSE)</f>
        <v>11</v>
      </c>
      <c r="L33" s="2">
        <v>1010014</v>
      </c>
      <c r="M33" s="2"/>
      <c r="O33" s="2" t="s">
        <v>1124</v>
      </c>
      <c r="P33" s="2" t="s">
        <v>1108</v>
      </c>
      <c r="Q33" s="1" t="str">
        <f t="shared" si="0"/>
        <v>1010001,32|1010002,1|1010004,15|1010014,11</v>
      </c>
    </row>
    <row r="34" spans="1:17" x14ac:dyDescent="0.2">
      <c r="A34" s="12">
        <v>33</v>
      </c>
      <c r="B34" s="1">
        <f>VLOOKUP(A:A,[2]奶酪产出!$G$18:$H$138,2,FALSE)</f>
        <v>33</v>
      </c>
      <c r="C34" s="1">
        <v>1010001</v>
      </c>
      <c r="E34" s="1">
        <v>1</v>
      </c>
      <c r="F34" s="1">
        <v>1010002</v>
      </c>
      <c r="H34" s="1">
        <f>VLOOKUP(A:A,[2]技能强化石!$L$14:$M$133,2,2)</f>
        <v>16</v>
      </c>
      <c r="I34" s="2">
        <v>1010004</v>
      </c>
      <c r="J34" s="2"/>
      <c r="K34" s="2">
        <f>VLOOKUP(A:A,[2]天赋点产出!$G$18:$H$138,2,FALSE)</f>
        <v>12</v>
      </c>
      <c r="L34" s="2">
        <v>1010014</v>
      </c>
      <c r="M34" s="2"/>
      <c r="O34" s="2" t="s">
        <v>1124</v>
      </c>
      <c r="P34" s="2" t="s">
        <v>1108</v>
      </c>
      <c r="Q34" s="1" t="str">
        <f t="shared" si="0"/>
        <v>1010001,33|1010002,1|1010004,16|1010014,12</v>
      </c>
    </row>
    <row r="35" spans="1:17" x14ac:dyDescent="0.2">
      <c r="A35" s="12">
        <v>34</v>
      </c>
      <c r="B35" s="1">
        <f>VLOOKUP(A:A,[2]奶酪产出!$G$18:$H$138,2,FALSE)</f>
        <v>33</v>
      </c>
      <c r="C35" s="1">
        <v>1010001</v>
      </c>
      <c r="E35" s="1">
        <v>1</v>
      </c>
      <c r="F35" s="1">
        <v>1010002</v>
      </c>
      <c r="H35" s="1">
        <f>VLOOKUP(A:A,[2]技能强化石!$L$14:$M$133,2,2)</f>
        <v>16</v>
      </c>
      <c r="I35" s="2">
        <v>1010004</v>
      </c>
      <c r="J35" s="2"/>
      <c r="K35" s="2">
        <f>VLOOKUP(A:A,[2]天赋点产出!$G$18:$H$138,2,FALSE)</f>
        <v>12</v>
      </c>
      <c r="L35" s="2">
        <v>1010014</v>
      </c>
      <c r="M35" s="2"/>
      <c r="O35" s="2" t="s">
        <v>1124</v>
      </c>
      <c r="P35" s="2" t="s">
        <v>1108</v>
      </c>
      <c r="Q35" s="1" t="str">
        <f t="shared" si="0"/>
        <v>1010001,33|1010002,1|1010004,16|1010014,12</v>
      </c>
    </row>
    <row r="36" spans="1:17" x14ac:dyDescent="0.2">
      <c r="A36" s="12">
        <v>35</v>
      </c>
      <c r="B36" s="1">
        <f>VLOOKUP(A:A,[2]奶酪产出!$G$18:$H$138,2,FALSE)</f>
        <v>33</v>
      </c>
      <c r="C36" s="1">
        <v>1010001</v>
      </c>
      <c r="E36" s="1">
        <v>1</v>
      </c>
      <c r="F36" s="1">
        <v>1010002</v>
      </c>
      <c r="H36" s="1">
        <f>VLOOKUP(A:A,[2]技能强化石!$L$14:$M$133,2,2)</f>
        <v>16</v>
      </c>
      <c r="I36" s="2">
        <v>1010004</v>
      </c>
      <c r="J36" s="2"/>
      <c r="K36" s="2">
        <f>VLOOKUP(A:A,[2]天赋点产出!$G$18:$H$138,2,FALSE)</f>
        <v>12</v>
      </c>
      <c r="L36" s="2">
        <v>1010014</v>
      </c>
      <c r="M36" s="2"/>
      <c r="O36" s="2" t="s">
        <v>1124</v>
      </c>
      <c r="P36" s="2" t="s">
        <v>1108</v>
      </c>
      <c r="Q36" s="1" t="str">
        <f t="shared" si="0"/>
        <v>1010001,33|1010002,1|1010004,16|1010014,12</v>
      </c>
    </row>
    <row r="37" spans="1:17" x14ac:dyDescent="0.2">
      <c r="A37" s="12">
        <v>36</v>
      </c>
      <c r="B37" s="1">
        <f>VLOOKUP(A:A,[2]奶酪产出!$G$18:$H$138,2,FALSE)</f>
        <v>33</v>
      </c>
      <c r="C37" s="1">
        <v>1010001</v>
      </c>
      <c r="E37" s="1">
        <v>1</v>
      </c>
      <c r="F37" s="1">
        <v>1010002</v>
      </c>
      <c r="H37" s="1">
        <f>VLOOKUP(A:A,[2]技能强化石!$L$14:$M$133,2,2)</f>
        <v>16</v>
      </c>
      <c r="I37" s="2">
        <v>1010004</v>
      </c>
      <c r="J37" s="2"/>
      <c r="K37" s="2">
        <f>VLOOKUP(A:A,[2]天赋点产出!$G$18:$H$138,2,FALSE)</f>
        <v>12</v>
      </c>
      <c r="L37" s="2">
        <v>1010014</v>
      </c>
      <c r="M37" s="2"/>
      <c r="O37" s="2" t="s">
        <v>1124</v>
      </c>
      <c r="P37" s="2" t="s">
        <v>1108</v>
      </c>
      <c r="Q37" s="1" t="str">
        <f t="shared" si="0"/>
        <v>1010001,33|1010002,1|1010004,16|1010014,12</v>
      </c>
    </row>
    <row r="38" spans="1:17" x14ac:dyDescent="0.2">
      <c r="A38" s="12">
        <v>37</v>
      </c>
      <c r="B38" s="1">
        <f>VLOOKUP(A:A,[2]奶酪产出!$G$18:$H$138,2,FALSE)</f>
        <v>34</v>
      </c>
      <c r="C38" s="1">
        <v>1010001</v>
      </c>
      <c r="E38" s="1">
        <v>1</v>
      </c>
      <c r="F38" s="1">
        <v>1010002</v>
      </c>
      <c r="H38" s="1">
        <f>VLOOKUP(A:A,[2]技能强化石!$L$14:$M$133,2,2)</f>
        <v>17</v>
      </c>
      <c r="I38" s="2">
        <v>1010004</v>
      </c>
      <c r="J38" s="2"/>
      <c r="K38" s="2">
        <f>VLOOKUP(A:A,[2]天赋点产出!$G$18:$H$138,2,FALSE)</f>
        <v>13</v>
      </c>
      <c r="L38" s="2">
        <v>1010014</v>
      </c>
      <c r="M38" s="2"/>
      <c r="O38" s="2" t="s">
        <v>1124</v>
      </c>
      <c r="P38" s="2" t="s">
        <v>1108</v>
      </c>
      <c r="Q38" s="1" t="str">
        <f t="shared" si="0"/>
        <v>1010001,34|1010002,1|1010004,17|1010014,13</v>
      </c>
    </row>
    <row r="39" spans="1:17" x14ac:dyDescent="0.2">
      <c r="A39" s="12">
        <v>38</v>
      </c>
      <c r="B39" s="1">
        <f>VLOOKUP(A:A,[2]奶酪产出!$G$18:$H$138,2,FALSE)</f>
        <v>34</v>
      </c>
      <c r="C39" s="1">
        <v>1010001</v>
      </c>
      <c r="E39" s="1">
        <v>1</v>
      </c>
      <c r="F39" s="1">
        <v>1010002</v>
      </c>
      <c r="H39" s="1">
        <f>VLOOKUP(A:A,[2]技能强化石!$L$14:$M$133,2,2)</f>
        <v>17</v>
      </c>
      <c r="I39" s="2">
        <v>1010004</v>
      </c>
      <c r="J39" s="2"/>
      <c r="K39" s="2">
        <f>VLOOKUP(A:A,[2]天赋点产出!$G$18:$H$138,2,FALSE)</f>
        <v>13</v>
      </c>
      <c r="L39" s="2">
        <v>1010014</v>
      </c>
      <c r="M39" s="2"/>
      <c r="O39" s="2" t="s">
        <v>1124</v>
      </c>
      <c r="P39" s="2" t="s">
        <v>1108</v>
      </c>
      <c r="Q39" s="1" t="str">
        <f t="shared" si="0"/>
        <v>1010001,34|1010002,1|1010004,17|1010014,13</v>
      </c>
    </row>
    <row r="40" spans="1:17" x14ac:dyDescent="0.2">
      <c r="A40" s="12">
        <v>39</v>
      </c>
      <c r="B40" s="1">
        <f>VLOOKUP(A:A,[2]奶酪产出!$G$18:$H$138,2,FALSE)</f>
        <v>34</v>
      </c>
      <c r="C40" s="1">
        <v>1010001</v>
      </c>
      <c r="E40" s="1">
        <v>1</v>
      </c>
      <c r="F40" s="1">
        <v>1010002</v>
      </c>
      <c r="H40" s="1">
        <f>VLOOKUP(A:A,[2]技能强化石!$L$14:$M$133,2,2)</f>
        <v>17</v>
      </c>
      <c r="I40" s="2">
        <v>1010004</v>
      </c>
      <c r="J40" s="2"/>
      <c r="K40" s="2">
        <f>VLOOKUP(A:A,[2]天赋点产出!$G$18:$H$138,2,FALSE)</f>
        <v>13</v>
      </c>
      <c r="L40" s="2">
        <v>1010014</v>
      </c>
      <c r="M40" s="2"/>
      <c r="O40" s="2" t="s">
        <v>1124</v>
      </c>
      <c r="P40" s="2" t="s">
        <v>1108</v>
      </c>
      <c r="Q40" s="1" t="str">
        <f t="shared" si="0"/>
        <v>1010001,34|1010002,1|1010004,17|1010014,13</v>
      </c>
    </row>
    <row r="41" spans="1:17" x14ac:dyDescent="0.2">
      <c r="A41" s="12">
        <v>40</v>
      </c>
      <c r="B41" s="1">
        <f>VLOOKUP(A:A,[2]奶酪产出!$G$18:$H$138,2,FALSE)</f>
        <v>34</v>
      </c>
      <c r="C41" s="1">
        <v>1010001</v>
      </c>
      <c r="E41" s="1">
        <v>1</v>
      </c>
      <c r="F41" s="1">
        <v>1010002</v>
      </c>
      <c r="H41" s="1">
        <f>VLOOKUP(A:A,[2]技能强化石!$L$14:$M$133,2,2)</f>
        <v>17</v>
      </c>
      <c r="I41" s="2">
        <v>1010004</v>
      </c>
      <c r="J41" s="2"/>
      <c r="K41" s="2">
        <f>VLOOKUP(A:A,[2]天赋点产出!$G$18:$H$138,2,FALSE)</f>
        <v>13</v>
      </c>
      <c r="L41" s="2">
        <v>1010014</v>
      </c>
      <c r="M41" s="2"/>
      <c r="O41" s="2" t="s">
        <v>1124</v>
      </c>
      <c r="P41" s="2" t="s">
        <v>1108</v>
      </c>
      <c r="Q41" s="1" t="str">
        <f t="shared" si="0"/>
        <v>1010001,34|1010002,1|1010004,17|1010014,13</v>
      </c>
    </row>
    <row r="42" spans="1:17" x14ac:dyDescent="0.2">
      <c r="A42" s="12">
        <v>41</v>
      </c>
      <c r="B42" s="1">
        <f>VLOOKUP(A:A,[2]奶酪产出!$G$18:$H$138,2,FALSE)</f>
        <v>35</v>
      </c>
      <c r="C42" s="1">
        <v>1010001</v>
      </c>
      <c r="E42" s="1">
        <v>1</v>
      </c>
      <c r="F42" s="1">
        <v>1010002</v>
      </c>
      <c r="H42" s="1">
        <f>VLOOKUP(A:A,[2]技能强化石!$L$14:$M$133,2,2)</f>
        <v>18</v>
      </c>
      <c r="I42" s="2">
        <v>1010004</v>
      </c>
      <c r="J42" s="2"/>
      <c r="K42" s="2">
        <f>VLOOKUP(A:A,[2]天赋点产出!$G$18:$H$138,2,FALSE)</f>
        <v>14</v>
      </c>
      <c r="L42" s="2">
        <v>1010014</v>
      </c>
      <c r="M42" s="2"/>
      <c r="O42" s="2" t="s">
        <v>1124</v>
      </c>
      <c r="P42" s="2" t="s">
        <v>1108</v>
      </c>
      <c r="Q42" s="1" t="str">
        <f t="shared" si="0"/>
        <v>1010001,35|1010002,1|1010004,18|1010014,14</v>
      </c>
    </row>
    <row r="43" spans="1:17" x14ac:dyDescent="0.2">
      <c r="A43" s="12">
        <v>42</v>
      </c>
      <c r="B43" s="1">
        <f>VLOOKUP(A:A,[2]奶酪产出!$G$18:$H$138,2,FALSE)</f>
        <v>35</v>
      </c>
      <c r="C43" s="1">
        <v>1010001</v>
      </c>
      <c r="E43" s="1">
        <v>1</v>
      </c>
      <c r="F43" s="1">
        <v>1010002</v>
      </c>
      <c r="H43" s="1">
        <f>VLOOKUP(A:A,[2]技能强化石!$L$14:$M$133,2,2)</f>
        <v>18</v>
      </c>
      <c r="I43" s="2">
        <v>1010004</v>
      </c>
      <c r="J43" s="2"/>
      <c r="K43" s="2">
        <f>VLOOKUP(A:A,[2]天赋点产出!$G$18:$H$138,2,FALSE)</f>
        <v>14</v>
      </c>
      <c r="L43" s="2">
        <v>1010014</v>
      </c>
      <c r="M43" s="2"/>
      <c r="O43" s="2" t="s">
        <v>1124</v>
      </c>
      <c r="P43" s="2" t="s">
        <v>1108</v>
      </c>
      <c r="Q43" s="1" t="str">
        <f t="shared" si="0"/>
        <v>1010001,35|1010002,1|1010004,18|1010014,14</v>
      </c>
    </row>
    <row r="44" spans="1:17" x14ac:dyDescent="0.2">
      <c r="A44" s="12">
        <v>43</v>
      </c>
      <c r="B44" s="1">
        <f>VLOOKUP(A:A,[2]奶酪产出!$G$18:$H$138,2,FALSE)</f>
        <v>35</v>
      </c>
      <c r="C44" s="1">
        <v>1010001</v>
      </c>
      <c r="E44" s="1">
        <v>1</v>
      </c>
      <c r="F44" s="1">
        <v>1010002</v>
      </c>
      <c r="H44" s="1">
        <f>VLOOKUP(A:A,[2]技能强化石!$L$14:$M$133,2,2)</f>
        <v>18</v>
      </c>
      <c r="I44" s="2">
        <v>1010004</v>
      </c>
      <c r="J44" s="2"/>
      <c r="K44" s="2">
        <f>VLOOKUP(A:A,[2]天赋点产出!$G$18:$H$138,2,FALSE)</f>
        <v>14</v>
      </c>
      <c r="L44" s="2">
        <v>1010014</v>
      </c>
      <c r="M44" s="2"/>
      <c r="O44" s="2" t="s">
        <v>1124</v>
      </c>
      <c r="P44" s="2" t="s">
        <v>1108</v>
      </c>
      <c r="Q44" s="1" t="str">
        <f t="shared" si="0"/>
        <v>1010001,35|1010002,1|1010004,18|1010014,14</v>
      </c>
    </row>
    <row r="45" spans="1:17" x14ac:dyDescent="0.2">
      <c r="A45" s="12">
        <v>44</v>
      </c>
      <c r="B45" s="1">
        <f>VLOOKUP(A:A,[2]奶酪产出!$G$18:$H$138,2,FALSE)</f>
        <v>35</v>
      </c>
      <c r="C45" s="1">
        <v>1010001</v>
      </c>
      <c r="E45" s="1">
        <v>1</v>
      </c>
      <c r="F45" s="1">
        <v>1010002</v>
      </c>
      <c r="H45" s="1">
        <f>VLOOKUP(A:A,[2]技能强化石!$L$14:$M$133,2,2)</f>
        <v>18</v>
      </c>
      <c r="I45" s="2">
        <v>1010004</v>
      </c>
      <c r="J45" s="2"/>
      <c r="K45" s="2">
        <f>VLOOKUP(A:A,[2]天赋点产出!$G$18:$H$138,2,FALSE)</f>
        <v>14</v>
      </c>
      <c r="L45" s="2">
        <v>1010014</v>
      </c>
      <c r="M45" s="2"/>
      <c r="O45" s="2" t="s">
        <v>1124</v>
      </c>
      <c r="P45" s="2" t="s">
        <v>1108</v>
      </c>
      <c r="Q45" s="1" t="str">
        <f t="shared" si="0"/>
        <v>1010001,35|1010002,1|1010004,18|1010014,14</v>
      </c>
    </row>
    <row r="46" spans="1:17" x14ac:dyDescent="0.2">
      <c r="A46" s="12">
        <v>45</v>
      </c>
      <c r="B46" s="1">
        <f>VLOOKUP(A:A,[2]奶酪产出!$G$18:$H$138,2,FALSE)</f>
        <v>36</v>
      </c>
      <c r="C46" s="1">
        <v>1010001</v>
      </c>
      <c r="E46" s="1">
        <v>1</v>
      </c>
      <c r="F46" s="1">
        <v>1010002</v>
      </c>
      <c r="H46" s="1">
        <f>VLOOKUP(A:A,[2]技能强化石!$L$14:$M$133,2,2)</f>
        <v>19</v>
      </c>
      <c r="I46" s="2">
        <v>1010004</v>
      </c>
      <c r="J46" s="2"/>
      <c r="K46" s="2">
        <f>VLOOKUP(A:A,[2]天赋点产出!$G$18:$H$138,2,FALSE)</f>
        <v>15</v>
      </c>
      <c r="L46" s="2">
        <v>1010014</v>
      </c>
      <c r="M46" s="2"/>
      <c r="O46" s="2" t="s">
        <v>1124</v>
      </c>
      <c r="P46" s="2" t="s">
        <v>1108</v>
      </c>
      <c r="Q46" s="1" t="str">
        <f t="shared" si="0"/>
        <v>1010001,36|1010002,1|1010004,19|1010014,15</v>
      </c>
    </row>
    <row r="47" spans="1:17" x14ac:dyDescent="0.2">
      <c r="A47" s="12">
        <v>46</v>
      </c>
      <c r="B47" s="1">
        <f>VLOOKUP(A:A,[2]奶酪产出!$G$18:$H$138,2,FALSE)</f>
        <v>36</v>
      </c>
      <c r="C47" s="1">
        <v>1010001</v>
      </c>
      <c r="E47" s="1">
        <v>1</v>
      </c>
      <c r="F47" s="1">
        <v>1010002</v>
      </c>
      <c r="H47" s="1">
        <f>VLOOKUP(A:A,[2]技能强化石!$L$14:$M$133,2,2)</f>
        <v>19</v>
      </c>
      <c r="I47" s="2">
        <v>1010004</v>
      </c>
      <c r="J47" s="2"/>
      <c r="K47" s="2">
        <f>VLOOKUP(A:A,[2]天赋点产出!$G$18:$H$138,2,FALSE)</f>
        <v>15</v>
      </c>
      <c r="L47" s="2">
        <v>1010014</v>
      </c>
      <c r="M47" s="2"/>
      <c r="O47" s="2" t="s">
        <v>1124</v>
      </c>
      <c r="P47" s="2" t="s">
        <v>1108</v>
      </c>
      <c r="Q47" s="1" t="str">
        <f t="shared" si="0"/>
        <v>1010001,36|1010002,1|1010004,19|1010014,15</v>
      </c>
    </row>
    <row r="48" spans="1:17" x14ac:dyDescent="0.2">
      <c r="A48" s="12">
        <v>47</v>
      </c>
      <c r="B48" s="1">
        <f>VLOOKUP(A:A,[2]奶酪产出!$G$18:$H$138,2,FALSE)</f>
        <v>36</v>
      </c>
      <c r="C48" s="1">
        <v>1010001</v>
      </c>
      <c r="E48" s="1">
        <v>1</v>
      </c>
      <c r="F48" s="1">
        <v>1010002</v>
      </c>
      <c r="H48" s="1">
        <f>VLOOKUP(A:A,[2]技能强化石!$L$14:$M$133,2,2)</f>
        <v>19</v>
      </c>
      <c r="I48" s="2">
        <v>1010004</v>
      </c>
      <c r="J48" s="2"/>
      <c r="K48" s="2">
        <f>VLOOKUP(A:A,[2]天赋点产出!$G$18:$H$138,2,FALSE)</f>
        <v>15</v>
      </c>
      <c r="L48" s="2">
        <v>1010014</v>
      </c>
      <c r="M48" s="2"/>
      <c r="O48" s="2" t="s">
        <v>1124</v>
      </c>
      <c r="P48" s="2" t="s">
        <v>1108</v>
      </c>
      <c r="Q48" s="1" t="str">
        <f t="shared" si="0"/>
        <v>1010001,36|1010002,1|1010004,19|1010014,15</v>
      </c>
    </row>
    <row r="49" spans="1:17" x14ac:dyDescent="0.2">
      <c r="A49" s="12">
        <v>48</v>
      </c>
      <c r="B49" s="1">
        <f>VLOOKUP(A:A,[2]奶酪产出!$G$18:$H$138,2,FALSE)</f>
        <v>36</v>
      </c>
      <c r="C49" s="1">
        <v>1010001</v>
      </c>
      <c r="E49" s="1">
        <v>1</v>
      </c>
      <c r="F49" s="1">
        <v>1010002</v>
      </c>
      <c r="H49" s="1">
        <f>VLOOKUP(A:A,[2]技能强化石!$L$14:$M$133,2,2)</f>
        <v>19</v>
      </c>
      <c r="I49" s="2">
        <v>1010004</v>
      </c>
      <c r="J49" s="2"/>
      <c r="K49" s="2">
        <f>VLOOKUP(A:A,[2]天赋点产出!$G$18:$H$138,2,FALSE)</f>
        <v>15</v>
      </c>
      <c r="L49" s="2">
        <v>1010014</v>
      </c>
      <c r="M49" s="2"/>
      <c r="O49" s="2" t="s">
        <v>1124</v>
      </c>
      <c r="P49" s="2" t="s">
        <v>1108</v>
      </c>
      <c r="Q49" s="1" t="str">
        <f t="shared" si="0"/>
        <v>1010001,36|1010002,1|1010004,19|1010014,15</v>
      </c>
    </row>
    <row r="50" spans="1:17" x14ac:dyDescent="0.2">
      <c r="A50" s="12">
        <v>49</v>
      </c>
      <c r="B50" s="1">
        <f>VLOOKUP(A:A,[2]奶酪产出!$G$18:$H$138,2,FALSE)</f>
        <v>37</v>
      </c>
      <c r="C50" s="1">
        <v>1010001</v>
      </c>
      <c r="E50" s="1">
        <v>1</v>
      </c>
      <c r="F50" s="1">
        <v>1010002</v>
      </c>
      <c r="H50" s="1">
        <f>VLOOKUP(A:A,[2]技能强化石!$L$14:$M$133,2,2)</f>
        <v>20</v>
      </c>
      <c r="I50" s="2">
        <v>1010004</v>
      </c>
      <c r="J50" s="2"/>
      <c r="K50" s="2">
        <f>VLOOKUP(A:A,[2]天赋点产出!$G$18:$H$138,2,FALSE)</f>
        <v>16</v>
      </c>
      <c r="L50" s="2">
        <v>1010014</v>
      </c>
      <c r="M50" s="2"/>
      <c r="O50" s="2" t="s">
        <v>1124</v>
      </c>
      <c r="P50" s="2" t="s">
        <v>1108</v>
      </c>
      <c r="Q50" s="1" t="str">
        <f t="shared" si="0"/>
        <v>1010001,37|1010002,1|1010004,20|1010014,16</v>
      </c>
    </row>
    <row r="51" spans="1:17" x14ac:dyDescent="0.2">
      <c r="A51" s="12">
        <v>50</v>
      </c>
      <c r="B51" s="1">
        <f>VLOOKUP(A:A,[2]奶酪产出!$G$18:$H$138,2,FALSE)</f>
        <v>37</v>
      </c>
      <c r="C51" s="1">
        <v>1010001</v>
      </c>
      <c r="E51" s="1">
        <v>1</v>
      </c>
      <c r="F51" s="1">
        <v>1010002</v>
      </c>
      <c r="H51" s="1">
        <f>VLOOKUP(A:A,[2]技能强化石!$L$14:$M$133,2,2)</f>
        <v>20</v>
      </c>
      <c r="I51" s="2">
        <v>1010004</v>
      </c>
      <c r="J51" s="2"/>
      <c r="K51" s="2">
        <f>VLOOKUP(A:A,[2]天赋点产出!$G$18:$H$138,2,FALSE)</f>
        <v>16</v>
      </c>
      <c r="L51" s="2">
        <v>1010014</v>
      </c>
      <c r="M51" s="2"/>
      <c r="O51" s="2" t="s">
        <v>1124</v>
      </c>
      <c r="P51" s="2" t="s">
        <v>1108</v>
      </c>
      <c r="Q51" s="1" t="str">
        <f t="shared" si="0"/>
        <v>1010001,37|1010002,1|1010004,20|1010014,16</v>
      </c>
    </row>
    <row r="52" spans="1:17" x14ac:dyDescent="0.2">
      <c r="A52" s="12">
        <v>51</v>
      </c>
      <c r="B52" s="1">
        <f>VLOOKUP(A:A,[2]奶酪产出!$G$18:$H$138,2,FALSE)</f>
        <v>37</v>
      </c>
      <c r="C52" s="1">
        <v>1010001</v>
      </c>
      <c r="E52" s="1">
        <v>1</v>
      </c>
      <c r="F52" s="1">
        <v>1010002</v>
      </c>
      <c r="H52" s="1">
        <f>VLOOKUP(A:A,[2]技能强化石!$L$14:$M$133,2,2)</f>
        <v>20</v>
      </c>
      <c r="I52" s="2">
        <v>1010004</v>
      </c>
      <c r="J52" s="2"/>
      <c r="K52" s="2">
        <f>VLOOKUP(A:A,[2]天赋点产出!$G$18:$H$138,2,FALSE)</f>
        <v>16</v>
      </c>
      <c r="L52" s="2">
        <v>1010014</v>
      </c>
      <c r="M52" s="2"/>
      <c r="O52" s="2" t="s">
        <v>1124</v>
      </c>
      <c r="P52" s="2" t="s">
        <v>1108</v>
      </c>
      <c r="Q52" s="1" t="str">
        <f t="shared" si="0"/>
        <v>1010001,37|1010002,1|1010004,20|1010014,16</v>
      </c>
    </row>
    <row r="53" spans="1:17" x14ac:dyDescent="0.2">
      <c r="A53" s="12">
        <v>52</v>
      </c>
      <c r="B53" s="1">
        <f>VLOOKUP(A:A,[2]奶酪产出!$G$18:$H$138,2,FALSE)</f>
        <v>37</v>
      </c>
      <c r="C53" s="1">
        <v>1010001</v>
      </c>
      <c r="E53" s="1">
        <v>1</v>
      </c>
      <c r="F53" s="1">
        <v>1010002</v>
      </c>
      <c r="H53" s="1">
        <f>VLOOKUP(A:A,[2]技能强化石!$L$14:$M$133,2,2)</f>
        <v>20</v>
      </c>
      <c r="I53" s="2">
        <v>1010004</v>
      </c>
      <c r="J53" s="2"/>
      <c r="K53" s="2">
        <f>VLOOKUP(A:A,[2]天赋点产出!$G$18:$H$138,2,FALSE)</f>
        <v>16</v>
      </c>
      <c r="L53" s="2">
        <v>1010014</v>
      </c>
      <c r="M53" s="2"/>
      <c r="O53" s="2" t="s">
        <v>1124</v>
      </c>
      <c r="P53" s="2" t="s">
        <v>1108</v>
      </c>
      <c r="Q53" s="1" t="str">
        <f t="shared" si="0"/>
        <v>1010001,37|1010002,1|1010004,20|1010014,16</v>
      </c>
    </row>
    <row r="54" spans="1:17" x14ac:dyDescent="0.2">
      <c r="A54" s="12">
        <v>53</v>
      </c>
      <c r="B54" s="1">
        <f>VLOOKUP(A:A,[2]奶酪产出!$G$18:$H$138,2,FALSE)</f>
        <v>38</v>
      </c>
      <c r="C54" s="1">
        <v>1010001</v>
      </c>
      <c r="E54" s="1">
        <v>1</v>
      </c>
      <c r="F54" s="1">
        <v>1010002</v>
      </c>
      <c r="H54" s="1">
        <f>VLOOKUP(A:A,[2]技能强化石!$L$14:$M$133,2,2)</f>
        <v>21</v>
      </c>
      <c r="I54" s="2">
        <v>1010004</v>
      </c>
      <c r="J54" s="2"/>
      <c r="K54" s="2">
        <f>VLOOKUP(A:A,[2]天赋点产出!$G$18:$H$138,2,FALSE)</f>
        <v>17</v>
      </c>
      <c r="L54" s="2">
        <v>1010014</v>
      </c>
      <c r="M54" s="2"/>
      <c r="O54" s="2" t="s">
        <v>1124</v>
      </c>
      <c r="P54" s="2" t="s">
        <v>1108</v>
      </c>
      <c r="Q54" s="1" t="str">
        <f t="shared" si="0"/>
        <v>1010001,38|1010002,1|1010004,21|1010014,17</v>
      </c>
    </row>
    <row r="55" spans="1:17" x14ac:dyDescent="0.2">
      <c r="A55" s="12">
        <v>54</v>
      </c>
      <c r="B55" s="1">
        <f>VLOOKUP(A:A,[2]奶酪产出!$G$18:$H$138,2,FALSE)</f>
        <v>38</v>
      </c>
      <c r="C55" s="1">
        <v>1010001</v>
      </c>
      <c r="E55" s="1">
        <v>1</v>
      </c>
      <c r="F55" s="1">
        <v>1010002</v>
      </c>
      <c r="H55" s="1">
        <f>VLOOKUP(A:A,[2]技能强化石!$L$14:$M$133,2,2)</f>
        <v>21</v>
      </c>
      <c r="I55" s="2">
        <v>1010004</v>
      </c>
      <c r="J55" s="2"/>
      <c r="K55" s="2">
        <f>VLOOKUP(A:A,[2]天赋点产出!$G$18:$H$138,2,FALSE)</f>
        <v>17</v>
      </c>
      <c r="L55" s="2">
        <v>1010014</v>
      </c>
      <c r="M55" s="2"/>
      <c r="O55" s="2" t="s">
        <v>1124</v>
      </c>
      <c r="P55" s="2" t="s">
        <v>1108</v>
      </c>
      <c r="Q55" s="1" t="str">
        <f t="shared" si="0"/>
        <v>1010001,38|1010002,1|1010004,21|1010014,17</v>
      </c>
    </row>
    <row r="56" spans="1:17" x14ac:dyDescent="0.2">
      <c r="A56" s="12">
        <v>55</v>
      </c>
      <c r="B56" s="1">
        <f>VLOOKUP(A:A,[2]奶酪产出!$G$18:$H$138,2,FALSE)</f>
        <v>38</v>
      </c>
      <c r="C56" s="1">
        <v>1010001</v>
      </c>
      <c r="E56" s="1">
        <v>1</v>
      </c>
      <c r="F56" s="1">
        <v>1010002</v>
      </c>
      <c r="H56" s="1">
        <f>VLOOKUP(A:A,[2]技能强化石!$L$14:$M$133,2,2)</f>
        <v>21</v>
      </c>
      <c r="I56" s="2">
        <v>1010004</v>
      </c>
      <c r="J56" s="2"/>
      <c r="K56" s="2">
        <f>VLOOKUP(A:A,[2]天赋点产出!$G$18:$H$138,2,FALSE)</f>
        <v>17</v>
      </c>
      <c r="L56" s="2">
        <v>1010014</v>
      </c>
      <c r="M56" s="2"/>
      <c r="O56" s="2" t="s">
        <v>1124</v>
      </c>
      <c r="P56" s="2" t="s">
        <v>1108</v>
      </c>
      <c r="Q56" s="1" t="str">
        <f t="shared" si="0"/>
        <v>1010001,38|1010002,1|1010004,21|1010014,17</v>
      </c>
    </row>
    <row r="57" spans="1:17" x14ac:dyDescent="0.2">
      <c r="A57" s="12">
        <v>56</v>
      </c>
      <c r="B57" s="1">
        <f>VLOOKUP(A:A,[2]奶酪产出!$G$18:$H$138,2,FALSE)</f>
        <v>38</v>
      </c>
      <c r="C57" s="1">
        <v>1010001</v>
      </c>
      <c r="E57" s="1">
        <v>1</v>
      </c>
      <c r="F57" s="1">
        <v>1010002</v>
      </c>
      <c r="H57" s="1">
        <f>VLOOKUP(A:A,[2]技能强化石!$L$14:$M$133,2,2)</f>
        <v>21</v>
      </c>
      <c r="I57" s="2">
        <v>1010004</v>
      </c>
      <c r="J57" s="2"/>
      <c r="K57" s="2">
        <f>VLOOKUP(A:A,[2]天赋点产出!$G$18:$H$138,2,FALSE)</f>
        <v>17</v>
      </c>
      <c r="L57" s="2">
        <v>1010014</v>
      </c>
      <c r="M57" s="2"/>
      <c r="O57" s="2" t="s">
        <v>1124</v>
      </c>
      <c r="P57" s="2" t="s">
        <v>1108</v>
      </c>
      <c r="Q57" s="1" t="str">
        <f t="shared" si="0"/>
        <v>1010001,38|1010002,1|1010004,21|1010014,17</v>
      </c>
    </row>
    <row r="58" spans="1:17" x14ac:dyDescent="0.2">
      <c r="A58" s="12">
        <v>57</v>
      </c>
      <c r="B58" s="1">
        <f>VLOOKUP(A:A,[2]奶酪产出!$G$18:$H$138,2,FALSE)</f>
        <v>39</v>
      </c>
      <c r="C58" s="1">
        <v>1010001</v>
      </c>
      <c r="E58" s="1">
        <v>1</v>
      </c>
      <c r="F58" s="1">
        <v>1010002</v>
      </c>
      <c r="H58" s="1">
        <f>VLOOKUP(A:A,[2]技能强化石!$L$14:$M$133,2,2)</f>
        <v>22</v>
      </c>
      <c r="I58" s="2">
        <v>1010004</v>
      </c>
      <c r="J58" s="2"/>
      <c r="K58" s="2">
        <f>VLOOKUP(A:A,[2]天赋点产出!$G$18:$H$138,2,FALSE)</f>
        <v>18</v>
      </c>
      <c r="L58" s="2">
        <v>1010014</v>
      </c>
      <c r="M58" s="2"/>
      <c r="O58" s="2" t="s">
        <v>1124</v>
      </c>
      <c r="P58" s="2" t="s">
        <v>1108</v>
      </c>
      <c r="Q58" s="1" t="str">
        <f t="shared" si="0"/>
        <v>1010001,39|1010002,1|1010004,22|1010014,18</v>
      </c>
    </row>
    <row r="59" spans="1:17" x14ac:dyDescent="0.2">
      <c r="A59" s="12">
        <v>58</v>
      </c>
      <c r="B59" s="1">
        <f>VLOOKUP(A:A,[2]奶酪产出!$G$18:$H$138,2,FALSE)</f>
        <v>39</v>
      </c>
      <c r="C59" s="1">
        <v>1010001</v>
      </c>
      <c r="E59" s="1">
        <v>1</v>
      </c>
      <c r="F59" s="1">
        <v>1010002</v>
      </c>
      <c r="H59" s="1">
        <f>VLOOKUP(A:A,[2]技能强化石!$L$14:$M$133,2,2)</f>
        <v>22</v>
      </c>
      <c r="I59" s="2">
        <v>1010004</v>
      </c>
      <c r="J59" s="2"/>
      <c r="K59" s="2">
        <f>VLOOKUP(A:A,[2]天赋点产出!$G$18:$H$138,2,FALSE)</f>
        <v>18</v>
      </c>
      <c r="L59" s="2">
        <v>1010014</v>
      </c>
      <c r="M59" s="2"/>
      <c r="O59" s="2" t="s">
        <v>1124</v>
      </c>
      <c r="P59" s="2" t="s">
        <v>1108</v>
      </c>
      <c r="Q59" s="1" t="str">
        <f t="shared" si="0"/>
        <v>1010001,39|1010002,1|1010004,22|1010014,18</v>
      </c>
    </row>
    <row r="60" spans="1:17" x14ac:dyDescent="0.2">
      <c r="A60" s="12">
        <v>59</v>
      </c>
      <c r="B60" s="1">
        <f>VLOOKUP(A:A,[2]奶酪产出!$G$18:$H$138,2,FALSE)</f>
        <v>39</v>
      </c>
      <c r="C60" s="1">
        <v>1010001</v>
      </c>
      <c r="E60" s="1">
        <v>1</v>
      </c>
      <c r="F60" s="1">
        <v>1010002</v>
      </c>
      <c r="H60" s="1">
        <f>VLOOKUP(A:A,[2]技能强化石!$L$14:$M$133,2,2)</f>
        <v>22</v>
      </c>
      <c r="I60" s="2">
        <v>1010004</v>
      </c>
      <c r="J60" s="2"/>
      <c r="K60" s="2">
        <f>VLOOKUP(A:A,[2]天赋点产出!$G$18:$H$138,2,FALSE)</f>
        <v>18</v>
      </c>
      <c r="L60" s="2">
        <v>1010014</v>
      </c>
      <c r="M60" s="2"/>
      <c r="O60" s="2" t="s">
        <v>1124</v>
      </c>
      <c r="P60" s="2" t="s">
        <v>1108</v>
      </c>
      <c r="Q60" s="1" t="str">
        <f t="shared" si="0"/>
        <v>1010001,39|1010002,1|1010004,22|1010014,18</v>
      </c>
    </row>
    <row r="61" spans="1:17" x14ac:dyDescent="0.2">
      <c r="A61" s="12">
        <v>60</v>
      </c>
      <c r="B61" s="1">
        <f>VLOOKUP(A:A,[2]奶酪产出!$G$18:$H$138,2,FALSE)</f>
        <v>39</v>
      </c>
      <c r="C61" s="1">
        <v>1010001</v>
      </c>
      <c r="E61" s="1">
        <v>1</v>
      </c>
      <c r="F61" s="1">
        <v>1010002</v>
      </c>
      <c r="H61" s="1">
        <f>VLOOKUP(A:A,[2]技能强化石!$L$14:$M$133,2,2)</f>
        <v>22</v>
      </c>
      <c r="I61" s="2">
        <v>1010004</v>
      </c>
      <c r="J61" s="2"/>
      <c r="K61" s="2">
        <f>VLOOKUP(A:A,[2]天赋点产出!$G$18:$H$138,2,FALSE)</f>
        <v>18</v>
      </c>
      <c r="L61" s="2">
        <v>1010014</v>
      </c>
      <c r="M61" s="2"/>
      <c r="O61" s="2" t="s">
        <v>1124</v>
      </c>
      <c r="P61" s="2" t="s">
        <v>1108</v>
      </c>
      <c r="Q61" s="1" t="str">
        <f t="shared" si="0"/>
        <v>1010001,39|1010002,1|1010004,22|1010014,18</v>
      </c>
    </row>
    <row r="62" spans="1:17" x14ac:dyDescent="0.2">
      <c r="A62" s="12">
        <v>61</v>
      </c>
      <c r="B62" s="1">
        <f>VLOOKUP(A:A,[2]奶酪产出!$G$18:$H$138,2,FALSE)</f>
        <v>40</v>
      </c>
      <c r="C62" s="1">
        <v>1010001</v>
      </c>
      <c r="E62" s="1">
        <v>1</v>
      </c>
      <c r="F62" s="1">
        <v>1010002</v>
      </c>
      <c r="H62" s="1">
        <f>VLOOKUP(A:A,[2]技能强化石!$L$14:$M$133,2,2)</f>
        <v>23</v>
      </c>
      <c r="I62" s="2">
        <v>1010004</v>
      </c>
      <c r="J62" s="2"/>
      <c r="K62" s="2">
        <f>VLOOKUP(A:A,[2]天赋点产出!$G$18:$H$138,2,FALSE)</f>
        <v>19</v>
      </c>
      <c r="L62" s="2">
        <v>1010014</v>
      </c>
      <c r="M62" s="2"/>
      <c r="O62" s="2" t="s">
        <v>1124</v>
      </c>
      <c r="P62" s="2" t="s">
        <v>1108</v>
      </c>
      <c r="Q62" s="1" t="str">
        <f t="shared" si="0"/>
        <v>1010001,40|1010002,1|1010004,23|1010014,19</v>
      </c>
    </row>
    <row r="63" spans="1:17" x14ac:dyDescent="0.2">
      <c r="A63" s="12">
        <v>62</v>
      </c>
      <c r="B63" s="1">
        <f>VLOOKUP(A:A,[2]奶酪产出!$G$18:$H$138,2,FALSE)</f>
        <v>40</v>
      </c>
      <c r="C63" s="1">
        <v>1010001</v>
      </c>
      <c r="E63" s="1">
        <v>1</v>
      </c>
      <c r="F63" s="1">
        <v>1010002</v>
      </c>
      <c r="H63" s="1">
        <f>VLOOKUP(A:A,[2]技能强化石!$L$14:$M$133,2,2)</f>
        <v>23</v>
      </c>
      <c r="I63" s="2">
        <v>1010004</v>
      </c>
      <c r="J63" s="2"/>
      <c r="K63" s="2">
        <f>VLOOKUP(A:A,[2]天赋点产出!$G$18:$H$138,2,FALSE)</f>
        <v>19</v>
      </c>
      <c r="L63" s="2">
        <v>1010014</v>
      </c>
      <c r="M63" s="2"/>
      <c r="O63" s="2" t="s">
        <v>1124</v>
      </c>
      <c r="P63" s="2" t="s">
        <v>1108</v>
      </c>
      <c r="Q63" s="1" t="str">
        <f t="shared" si="0"/>
        <v>1010001,40|1010002,1|1010004,23|1010014,19</v>
      </c>
    </row>
    <row r="64" spans="1:17" x14ac:dyDescent="0.2">
      <c r="A64" s="12">
        <v>63</v>
      </c>
      <c r="B64" s="1">
        <f>VLOOKUP(A:A,[2]奶酪产出!$G$18:$H$138,2,FALSE)</f>
        <v>40</v>
      </c>
      <c r="C64" s="1">
        <v>1010001</v>
      </c>
      <c r="E64" s="1">
        <v>1</v>
      </c>
      <c r="F64" s="1">
        <v>1010002</v>
      </c>
      <c r="H64" s="1">
        <f>VLOOKUP(A:A,[2]技能强化石!$L$14:$M$133,2,2)</f>
        <v>23</v>
      </c>
      <c r="I64" s="2">
        <v>1010004</v>
      </c>
      <c r="J64" s="2"/>
      <c r="K64" s="2">
        <f>VLOOKUP(A:A,[2]天赋点产出!$G$18:$H$138,2,FALSE)</f>
        <v>19</v>
      </c>
      <c r="L64" s="2">
        <v>1010014</v>
      </c>
      <c r="M64" s="2"/>
      <c r="O64" s="2" t="s">
        <v>1124</v>
      </c>
      <c r="P64" s="2" t="s">
        <v>1108</v>
      </c>
      <c r="Q64" s="1" t="str">
        <f t="shared" si="0"/>
        <v>1010001,40|1010002,1|1010004,23|1010014,19</v>
      </c>
    </row>
    <row r="65" spans="1:17" x14ac:dyDescent="0.2">
      <c r="A65" s="12">
        <v>64</v>
      </c>
      <c r="B65" s="1">
        <f>VLOOKUP(A:A,[2]奶酪产出!$G$18:$H$138,2,FALSE)</f>
        <v>40</v>
      </c>
      <c r="C65" s="1">
        <v>1010001</v>
      </c>
      <c r="E65" s="1">
        <v>1</v>
      </c>
      <c r="F65" s="1">
        <v>1010002</v>
      </c>
      <c r="H65" s="1">
        <f>VLOOKUP(A:A,[2]技能强化石!$L$14:$M$133,2,2)</f>
        <v>23</v>
      </c>
      <c r="I65" s="2">
        <v>1010004</v>
      </c>
      <c r="J65" s="2"/>
      <c r="K65" s="2">
        <f>VLOOKUP(A:A,[2]天赋点产出!$G$18:$H$138,2,FALSE)</f>
        <v>19</v>
      </c>
      <c r="L65" s="2">
        <v>1010014</v>
      </c>
      <c r="M65" s="2"/>
      <c r="O65" s="2" t="s">
        <v>1124</v>
      </c>
      <c r="P65" s="2" t="s">
        <v>1108</v>
      </c>
      <c r="Q65" s="1" t="str">
        <f t="shared" si="0"/>
        <v>1010001,40|1010002,1|1010004,23|1010014,19</v>
      </c>
    </row>
    <row r="66" spans="1:17" x14ac:dyDescent="0.2">
      <c r="A66" s="12">
        <v>65</v>
      </c>
      <c r="B66" s="1">
        <f>VLOOKUP(A:A,[2]奶酪产出!$G$18:$H$138,2,FALSE)</f>
        <v>41</v>
      </c>
      <c r="C66" s="1">
        <v>1010001</v>
      </c>
      <c r="E66" s="1">
        <v>1</v>
      </c>
      <c r="F66" s="1">
        <v>1010002</v>
      </c>
      <c r="H66" s="1">
        <f>VLOOKUP(A:A,[2]技能强化石!$L$14:$M$133,2,2)</f>
        <v>24</v>
      </c>
      <c r="I66" s="2">
        <v>1010004</v>
      </c>
      <c r="J66" s="2"/>
      <c r="K66" s="2">
        <f>VLOOKUP(A:A,[2]天赋点产出!$G$18:$H$138,2,FALSE)</f>
        <v>20</v>
      </c>
      <c r="L66" s="2">
        <v>1010014</v>
      </c>
      <c r="M66" s="2"/>
      <c r="O66" s="2" t="s">
        <v>1124</v>
      </c>
      <c r="P66" s="2" t="s">
        <v>1108</v>
      </c>
      <c r="Q66" s="1" t="str">
        <f t="shared" si="0"/>
        <v>1010001,41|1010002,1|1010004,24|1010014,20</v>
      </c>
    </row>
    <row r="67" spans="1:17" x14ac:dyDescent="0.2">
      <c r="A67" s="12">
        <v>66</v>
      </c>
      <c r="B67" s="1">
        <f>VLOOKUP(A:A,[2]奶酪产出!$G$18:$H$138,2,FALSE)</f>
        <v>41</v>
      </c>
      <c r="C67" s="1">
        <v>1010001</v>
      </c>
      <c r="E67" s="1">
        <v>1</v>
      </c>
      <c r="F67" s="1">
        <v>1010002</v>
      </c>
      <c r="H67" s="1">
        <f>VLOOKUP(A:A,[2]技能强化石!$L$14:$M$133,2,2)</f>
        <v>24</v>
      </c>
      <c r="I67" s="2">
        <v>1010004</v>
      </c>
      <c r="J67" s="2"/>
      <c r="K67" s="2">
        <f>VLOOKUP(A:A,[2]天赋点产出!$G$18:$H$138,2,FALSE)</f>
        <v>20</v>
      </c>
      <c r="L67" s="2">
        <v>1010014</v>
      </c>
      <c r="M67" s="2"/>
      <c r="O67" s="2" t="s">
        <v>1124</v>
      </c>
      <c r="P67" s="2" t="s">
        <v>1108</v>
      </c>
      <c r="Q67" s="1" t="str">
        <f t="shared" ref="Q67:Q121" si="1">C67&amp;P67&amp;B67&amp;O67&amp;F67&amp;P67&amp;E67&amp;O67&amp;I67&amp;P67&amp;H67&amp;O67&amp;L67&amp;P67&amp;K67</f>
        <v>1010001,41|1010002,1|1010004,24|1010014,20</v>
      </c>
    </row>
    <row r="68" spans="1:17" x14ac:dyDescent="0.2">
      <c r="A68" s="12">
        <v>67</v>
      </c>
      <c r="B68" s="1">
        <f>VLOOKUP(A:A,[2]奶酪产出!$G$18:$H$138,2,FALSE)</f>
        <v>41</v>
      </c>
      <c r="C68" s="1">
        <v>1010001</v>
      </c>
      <c r="E68" s="1">
        <v>1</v>
      </c>
      <c r="F68" s="1">
        <v>1010002</v>
      </c>
      <c r="H68" s="1">
        <f>VLOOKUP(A:A,[2]技能强化石!$L$14:$M$133,2,2)</f>
        <v>24</v>
      </c>
      <c r="I68" s="2">
        <v>1010004</v>
      </c>
      <c r="J68" s="2"/>
      <c r="K68" s="2">
        <f>VLOOKUP(A:A,[2]天赋点产出!$G$18:$H$138,2,FALSE)</f>
        <v>20</v>
      </c>
      <c r="L68" s="2">
        <v>1010014</v>
      </c>
      <c r="M68" s="2"/>
      <c r="O68" s="2" t="s">
        <v>1124</v>
      </c>
      <c r="P68" s="2" t="s">
        <v>1108</v>
      </c>
      <c r="Q68" s="1" t="str">
        <f t="shared" si="1"/>
        <v>1010001,41|1010002,1|1010004,24|1010014,20</v>
      </c>
    </row>
    <row r="69" spans="1:17" x14ac:dyDescent="0.2">
      <c r="A69" s="12">
        <v>68</v>
      </c>
      <c r="B69" s="1">
        <f>VLOOKUP(A:A,[2]奶酪产出!$G$18:$H$138,2,FALSE)</f>
        <v>41</v>
      </c>
      <c r="C69" s="1">
        <v>1010001</v>
      </c>
      <c r="E69" s="1">
        <v>1</v>
      </c>
      <c r="F69" s="1">
        <v>1010002</v>
      </c>
      <c r="H69" s="1">
        <f>VLOOKUP(A:A,[2]技能强化石!$L$14:$M$133,2,2)</f>
        <v>24</v>
      </c>
      <c r="I69" s="2">
        <v>1010004</v>
      </c>
      <c r="J69" s="2"/>
      <c r="K69" s="2">
        <f>VLOOKUP(A:A,[2]天赋点产出!$G$18:$H$138,2,FALSE)</f>
        <v>20</v>
      </c>
      <c r="L69" s="2">
        <v>1010014</v>
      </c>
      <c r="M69" s="2"/>
      <c r="O69" s="2" t="s">
        <v>1124</v>
      </c>
      <c r="P69" s="2" t="s">
        <v>1108</v>
      </c>
      <c r="Q69" s="1" t="str">
        <f t="shared" si="1"/>
        <v>1010001,41|1010002,1|1010004,24|1010014,20</v>
      </c>
    </row>
    <row r="70" spans="1:17" x14ac:dyDescent="0.2">
      <c r="A70" s="12">
        <v>69</v>
      </c>
      <c r="B70" s="1">
        <f>VLOOKUP(A:A,[2]奶酪产出!$G$18:$H$138,2,FALSE)</f>
        <v>42</v>
      </c>
      <c r="C70" s="1">
        <v>1010001</v>
      </c>
      <c r="E70" s="1">
        <v>1</v>
      </c>
      <c r="F70" s="1">
        <v>1010002</v>
      </c>
      <c r="H70" s="1">
        <f>VLOOKUP(A:A,[2]技能强化石!$L$14:$M$133,2,2)</f>
        <v>25</v>
      </c>
      <c r="I70" s="2">
        <v>1010004</v>
      </c>
      <c r="J70" s="2"/>
      <c r="K70" s="2">
        <f>VLOOKUP(A:A,[2]天赋点产出!$G$18:$H$138,2,FALSE)</f>
        <v>21</v>
      </c>
      <c r="L70" s="2">
        <v>1010014</v>
      </c>
      <c r="M70" s="2"/>
      <c r="O70" s="2" t="s">
        <v>1124</v>
      </c>
      <c r="P70" s="2" t="s">
        <v>1108</v>
      </c>
      <c r="Q70" s="1" t="str">
        <f t="shared" si="1"/>
        <v>1010001,42|1010002,1|1010004,25|1010014,21</v>
      </c>
    </row>
    <row r="71" spans="1:17" x14ac:dyDescent="0.2">
      <c r="A71" s="12">
        <v>70</v>
      </c>
      <c r="B71" s="1">
        <f>VLOOKUP(A:A,[2]奶酪产出!$G$18:$H$138,2,FALSE)</f>
        <v>42</v>
      </c>
      <c r="C71" s="1">
        <v>1010001</v>
      </c>
      <c r="E71" s="1">
        <v>1</v>
      </c>
      <c r="F71" s="1">
        <v>1010002</v>
      </c>
      <c r="H71" s="1">
        <f>VLOOKUP(A:A,[2]技能强化石!$L$14:$M$133,2,2)</f>
        <v>25</v>
      </c>
      <c r="I71" s="2">
        <v>1010004</v>
      </c>
      <c r="J71" s="2"/>
      <c r="K71" s="2">
        <f>VLOOKUP(A:A,[2]天赋点产出!$G$18:$H$138,2,FALSE)</f>
        <v>21</v>
      </c>
      <c r="L71" s="2">
        <v>1010014</v>
      </c>
      <c r="M71" s="2"/>
      <c r="O71" s="2" t="s">
        <v>1124</v>
      </c>
      <c r="P71" s="2" t="s">
        <v>1108</v>
      </c>
      <c r="Q71" s="1" t="str">
        <f t="shared" si="1"/>
        <v>1010001,42|1010002,1|1010004,25|1010014,21</v>
      </c>
    </row>
    <row r="72" spans="1:17" x14ac:dyDescent="0.2">
      <c r="A72" s="12">
        <v>71</v>
      </c>
      <c r="B72" s="1">
        <f>VLOOKUP(A:A,[2]奶酪产出!$G$18:$H$138,2,FALSE)</f>
        <v>42</v>
      </c>
      <c r="C72" s="1">
        <v>1010001</v>
      </c>
      <c r="E72" s="1">
        <v>1</v>
      </c>
      <c r="F72" s="1">
        <v>1010002</v>
      </c>
      <c r="H72" s="1">
        <f>VLOOKUP(A:A,[2]技能强化石!$L$14:$M$133,2,2)</f>
        <v>25</v>
      </c>
      <c r="I72" s="2">
        <v>1010004</v>
      </c>
      <c r="J72" s="2"/>
      <c r="K72" s="2">
        <f>VLOOKUP(A:A,[2]天赋点产出!$G$18:$H$138,2,FALSE)</f>
        <v>21</v>
      </c>
      <c r="L72" s="2">
        <v>1010014</v>
      </c>
      <c r="M72" s="2"/>
      <c r="O72" s="2" t="s">
        <v>1124</v>
      </c>
      <c r="P72" s="2" t="s">
        <v>1108</v>
      </c>
      <c r="Q72" s="1" t="str">
        <f t="shared" si="1"/>
        <v>1010001,42|1010002,1|1010004,25|1010014,21</v>
      </c>
    </row>
    <row r="73" spans="1:17" x14ac:dyDescent="0.2">
      <c r="A73" s="12">
        <v>72</v>
      </c>
      <c r="B73" s="1">
        <f>VLOOKUP(A:A,[2]奶酪产出!$G$18:$H$138,2,FALSE)</f>
        <v>42</v>
      </c>
      <c r="C73" s="1">
        <v>1010001</v>
      </c>
      <c r="E73" s="1">
        <v>1</v>
      </c>
      <c r="F73" s="1">
        <v>1010002</v>
      </c>
      <c r="H73" s="1">
        <f>VLOOKUP(A:A,[2]技能强化石!$L$14:$M$133,2,2)</f>
        <v>25</v>
      </c>
      <c r="I73" s="2">
        <v>1010004</v>
      </c>
      <c r="J73" s="2"/>
      <c r="K73" s="2">
        <f>VLOOKUP(A:A,[2]天赋点产出!$G$18:$H$138,2,FALSE)</f>
        <v>21</v>
      </c>
      <c r="L73" s="2">
        <v>1010014</v>
      </c>
      <c r="M73" s="2"/>
      <c r="O73" s="2" t="s">
        <v>1124</v>
      </c>
      <c r="P73" s="2" t="s">
        <v>1108</v>
      </c>
      <c r="Q73" s="1" t="str">
        <f t="shared" si="1"/>
        <v>1010001,42|1010002,1|1010004,25|1010014,21</v>
      </c>
    </row>
    <row r="74" spans="1:17" x14ac:dyDescent="0.2">
      <c r="A74" s="12">
        <v>73</v>
      </c>
      <c r="B74" s="1">
        <f>VLOOKUP(A:A,[2]奶酪产出!$G$18:$H$138,2,FALSE)</f>
        <v>43</v>
      </c>
      <c r="C74" s="1">
        <v>1010001</v>
      </c>
      <c r="E74" s="1">
        <v>1</v>
      </c>
      <c r="F74" s="1">
        <v>1010002</v>
      </c>
      <c r="H74" s="1">
        <f>VLOOKUP(A:A,[2]技能强化石!$L$14:$M$133,2,2)</f>
        <v>26</v>
      </c>
      <c r="I74" s="2">
        <v>1010004</v>
      </c>
      <c r="J74" s="2"/>
      <c r="K74" s="2">
        <f>VLOOKUP(A:A,[2]天赋点产出!$G$18:$H$138,2,FALSE)</f>
        <v>22</v>
      </c>
      <c r="L74" s="2">
        <v>1010014</v>
      </c>
      <c r="M74" s="2"/>
      <c r="O74" s="2" t="s">
        <v>1124</v>
      </c>
      <c r="P74" s="2" t="s">
        <v>1108</v>
      </c>
      <c r="Q74" s="1" t="str">
        <f t="shared" si="1"/>
        <v>1010001,43|1010002,1|1010004,26|1010014,22</v>
      </c>
    </row>
    <row r="75" spans="1:17" x14ac:dyDescent="0.2">
      <c r="A75" s="12">
        <v>74</v>
      </c>
      <c r="B75" s="1">
        <f>VLOOKUP(A:A,[2]奶酪产出!$G$18:$H$138,2,FALSE)</f>
        <v>43</v>
      </c>
      <c r="C75" s="1">
        <v>1010001</v>
      </c>
      <c r="E75" s="1">
        <v>1</v>
      </c>
      <c r="F75" s="1">
        <v>1010002</v>
      </c>
      <c r="H75" s="1">
        <f>VLOOKUP(A:A,[2]技能强化石!$L$14:$M$133,2,2)</f>
        <v>26</v>
      </c>
      <c r="I75" s="2">
        <v>1010004</v>
      </c>
      <c r="J75" s="2"/>
      <c r="K75" s="2">
        <f>VLOOKUP(A:A,[2]天赋点产出!$G$18:$H$138,2,FALSE)</f>
        <v>22</v>
      </c>
      <c r="L75" s="2">
        <v>1010014</v>
      </c>
      <c r="M75" s="2"/>
      <c r="O75" s="2" t="s">
        <v>1124</v>
      </c>
      <c r="P75" s="2" t="s">
        <v>1108</v>
      </c>
      <c r="Q75" s="1" t="str">
        <f t="shared" si="1"/>
        <v>1010001,43|1010002,1|1010004,26|1010014,22</v>
      </c>
    </row>
    <row r="76" spans="1:17" x14ac:dyDescent="0.2">
      <c r="A76" s="12">
        <v>75</v>
      </c>
      <c r="B76" s="1">
        <f>VLOOKUP(A:A,[2]奶酪产出!$G$18:$H$138,2,FALSE)</f>
        <v>43</v>
      </c>
      <c r="C76" s="1">
        <v>1010001</v>
      </c>
      <c r="E76" s="1">
        <v>1</v>
      </c>
      <c r="F76" s="1">
        <v>1010002</v>
      </c>
      <c r="H76" s="1">
        <f>VLOOKUP(A:A,[2]技能强化石!$L$14:$M$133,2,2)</f>
        <v>26</v>
      </c>
      <c r="I76" s="2">
        <v>1010004</v>
      </c>
      <c r="J76" s="2"/>
      <c r="K76" s="2">
        <f>VLOOKUP(A:A,[2]天赋点产出!$G$18:$H$138,2,FALSE)</f>
        <v>22</v>
      </c>
      <c r="L76" s="2">
        <v>1010014</v>
      </c>
      <c r="M76" s="2"/>
      <c r="O76" s="2" t="s">
        <v>1124</v>
      </c>
      <c r="P76" s="2" t="s">
        <v>1108</v>
      </c>
      <c r="Q76" s="1" t="str">
        <f t="shared" si="1"/>
        <v>1010001,43|1010002,1|1010004,26|1010014,22</v>
      </c>
    </row>
    <row r="77" spans="1:17" x14ac:dyDescent="0.2">
      <c r="A77" s="12">
        <v>76</v>
      </c>
      <c r="B77" s="1">
        <f>VLOOKUP(A:A,[2]奶酪产出!$G$18:$H$138,2,FALSE)</f>
        <v>43</v>
      </c>
      <c r="C77" s="1">
        <v>1010001</v>
      </c>
      <c r="E77" s="1">
        <v>1</v>
      </c>
      <c r="F77" s="1">
        <v>1010002</v>
      </c>
      <c r="H77" s="1">
        <f>VLOOKUP(A:A,[2]技能强化石!$L$14:$M$133,2,2)</f>
        <v>26</v>
      </c>
      <c r="I77" s="2">
        <v>1010004</v>
      </c>
      <c r="J77" s="2"/>
      <c r="K77" s="2">
        <f>VLOOKUP(A:A,[2]天赋点产出!$G$18:$H$138,2,FALSE)</f>
        <v>22</v>
      </c>
      <c r="L77" s="2">
        <v>1010014</v>
      </c>
      <c r="M77" s="2"/>
      <c r="O77" s="2" t="s">
        <v>1124</v>
      </c>
      <c r="P77" s="2" t="s">
        <v>1108</v>
      </c>
      <c r="Q77" s="1" t="str">
        <f t="shared" si="1"/>
        <v>1010001,43|1010002,1|1010004,26|1010014,22</v>
      </c>
    </row>
    <row r="78" spans="1:17" x14ac:dyDescent="0.2">
      <c r="A78" s="12">
        <v>77</v>
      </c>
      <c r="B78" s="1">
        <f>VLOOKUP(A:A,[2]奶酪产出!$G$18:$H$138,2,FALSE)</f>
        <v>44</v>
      </c>
      <c r="C78" s="1">
        <v>1010001</v>
      </c>
      <c r="E78" s="1">
        <v>1</v>
      </c>
      <c r="F78" s="1">
        <v>1010002</v>
      </c>
      <c r="H78" s="1">
        <f>VLOOKUP(A:A,[2]技能强化石!$L$14:$M$133,2,2)</f>
        <v>27</v>
      </c>
      <c r="I78" s="2">
        <v>1010004</v>
      </c>
      <c r="J78" s="2"/>
      <c r="K78" s="2">
        <f>VLOOKUP(A:A,[2]天赋点产出!$G$18:$H$138,2,FALSE)</f>
        <v>23</v>
      </c>
      <c r="L78" s="2">
        <v>1010014</v>
      </c>
      <c r="M78" s="2"/>
      <c r="O78" s="2" t="s">
        <v>1124</v>
      </c>
      <c r="P78" s="2" t="s">
        <v>1108</v>
      </c>
      <c r="Q78" s="1" t="str">
        <f t="shared" si="1"/>
        <v>1010001,44|1010002,1|1010004,27|1010014,23</v>
      </c>
    </row>
    <row r="79" spans="1:17" x14ac:dyDescent="0.2">
      <c r="A79" s="12">
        <v>78</v>
      </c>
      <c r="B79" s="1">
        <f>VLOOKUP(A:A,[2]奶酪产出!$G$18:$H$138,2,FALSE)</f>
        <v>44</v>
      </c>
      <c r="C79" s="1">
        <v>1010001</v>
      </c>
      <c r="E79" s="1">
        <v>1</v>
      </c>
      <c r="F79" s="1">
        <v>1010002</v>
      </c>
      <c r="H79" s="1">
        <f>VLOOKUP(A:A,[2]技能强化石!$L$14:$M$133,2,2)</f>
        <v>27</v>
      </c>
      <c r="I79" s="2">
        <v>1010004</v>
      </c>
      <c r="J79" s="2"/>
      <c r="K79" s="2">
        <f>VLOOKUP(A:A,[2]天赋点产出!$G$18:$H$138,2,FALSE)</f>
        <v>23</v>
      </c>
      <c r="L79" s="2">
        <v>1010014</v>
      </c>
      <c r="M79" s="2"/>
      <c r="O79" s="2" t="s">
        <v>1124</v>
      </c>
      <c r="P79" s="2" t="s">
        <v>1108</v>
      </c>
      <c r="Q79" s="1" t="str">
        <f t="shared" si="1"/>
        <v>1010001,44|1010002,1|1010004,27|1010014,23</v>
      </c>
    </row>
    <row r="80" spans="1:17" x14ac:dyDescent="0.2">
      <c r="A80" s="12">
        <v>79</v>
      </c>
      <c r="B80" s="1">
        <f>VLOOKUP(A:A,[2]奶酪产出!$G$18:$H$138,2,FALSE)</f>
        <v>44</v>
      </c>
      <c r="C80" s="1">
        <v>1010001</v>
      </c>
      <c r="E80" s="1">
        <v>1</v>
      </c>
      <c r="F80" s="1">
        <v>1010002</v>
      </c>
      <c r="H80" s="1">
        <f>VLOOKUP(A:A,[2]技能强化石!$L$14:$M$133,2,2)</f>
        <v>27</v>
      </c>
      <c r="I80" s="2">
        <v>1010004</v>
      </c>
      <c r="J80" s="2"/>
      <c r="K80" s="2">
        <f>VLOOKUP(A:A,[2]天赋点产出!$G$18:$H$138,2,FALSE)</f>
        <v>23</v>
      </c>
      <c r="L80" s="2">
        <v>1010014</v>
      </c>
      <c r="M80" s="2"/>
      <c r="O80" s="2" t="s">
        <v>1124</v>
      </c>
      <c r="P80" s="2" t="s">
        <v>1108</v>
      </c>
      <c r="Q80" s="1" t="str">
        <f t="shared" si="1"/>
        <v>1010001,44|1010002,1|1010004,27|1010014,23</v>
      </c>
    </row>
    <row r="81" spans="1:17" x14ac:dyDescent="0.2">
      <c r="A81" s="12">
        <v>80</v>
      </c>
      <c r="B81" s="1">
        <f>VLOOKUP(A:A,[2]奶酪产出!$G$18:$H$138,2,FALSE)</f>
        <v>44</v>
      </c>
      <c r="C81" s="1">
        <v>1010001</v>
      </c>
      <c r="E81" s="1">
        <v>1</v>
      </c>
      <c r="F81" s="1">
        <v>1010002</v>
      </c>
      <c r="H81" s="1">
        <f>VLOOKUP(A:A,[2]技能强化石!$L$14:$M$133,2,2)</f>
        <v>27</v>
      </c>
      <c r="I81" s="2">
        <v>1010004</v>
      </c>
      <c r="J81" s="2"/>
      <c r="K81" s="2">
        <f>VLOOKUP(A:A,[2]天赋点产出!$G$18:$H$138,2,FALSE)</f>
        <v>23</v>
      </c>
      <c r="L81" s="2">
        <v>1010014</v>
      </c>
      <c r="M81" s="2"/>
      <c r="O81" s="2" t="s">
        <v>1124</v>
      </c>
      <c r="P81" s="2" t="s">
        <v>1108</v>
      </c>
      <c r="Q81" s="1" t="str">
        <f t="shared" si="1"/>
        <v>1010001,44|1010002,1|1010004,27|1010014,23</v>
      </c>
    </row>
    <row r="82" spans="1:17" x14ac:dyDescent="0.2">
      <c r="A82" s="12">
        <v>81</v>
      </c>
      <c r="B82" s="1">
        <f>VLOOKUP(A:A,[2]奶酪产出!$G$18:$H$138,2,FALSE)</f>
        <v>45</v>
      </c>
      <c r="C82" s="1">
        <v>1010001</v>
      </c>
      <c r="E82" s="1">
        <v>1</v>
      </c>
      <c r="F82" s="1">
        <v>1010002</v>
      </c>
      <c r="H82" s="1">
        <f>VLOOKUP(A:A,[2]技能强化石!$L$14:$M$133,2,2)</f>
        <v>28</v>
      </c>
      <c r="I82" s="2">
        <v>1010004</v>
      </c>
      <c r="J82" s="2"/>
      <c r="K82" s="2">
        <f>VLOOKUP(A:A,[2]天赋点产出!$G$18:$H$138,2,FALSE)</f>
        <v>24</v>
      </c>
      <c r="L82" s="2">
        <v>1010014</v>
      </c>
      <c r="M82" s="2"/>
      <c r="O82" s="2" t="s">
        <v>1124</v>
      </c>
      <c r="P82" s="2" t="s">
        <v>1108</v>
      </c>
      <c r="Q82" s="1" t="str">
        <f t="shared" si="1"/>
        <v>1010001,45|1010002,1|1010004,28|1010014,24</v>
      </c>
    </row>
    <row r="83" spans="1:17" x14ac:dyDescent="0.2">
      <c r="A83" s="12">
        <v>82</v>
      </c>
      <c r="B83" s="1">
        <f>VLOOKUP(A:A,[2]奶酪产出!$G$18:$H$138,2,FALSE)</f>
        <v>45</v>
      </c>
      <c r="C83" s="1">
        <v>1010001</v>
      </c>
      <c r="E83" s="1">
        <v>1</v>
      </c>
      <c r="F83" s="1">
        <v>1010002</v>
      </c>
      <c r="H83" s="1">
        <f>VLOOKUP(A:A,[2]技能强化石!$L$14:$M$133,2,2)</f>
        <v>28</v>
      </c>
      <c r="I83" s="2">
        <v>1010004</v>
      </c>
      <c r="J83" s="2"/>
      <c r="K83" s="2">
        <f>VLOOKUP(A:A,[2]天赋点产出!$G$18:$H$138,2,FALSE)</f>
        <v>24</v>
      </c>
      <c r="L83" s="2">
        <v>1010014</v>
      </c>
      <c r="M83" s="2"/>
      <c r="O83" s="2" t="s">
        <v>1124</v>
      </c>
      <c r="P83" s="2" t="s">
        <v>1108</v>
      </c>
      <c r="Q83" s="1" t="str">
        <f t="shared" si="1"/>
        <v>1010001,45|1010002,1|1010004,28|1010014,24</v>
      </c>
    </row>
    <row r="84" spans="1:17" x14ac:dyDescent="0.2">
      <c r="A84" s="12">
        <v>83</v>
      </c>
      <c r="B84" s="1">
        <f>VLOOKUP(A:A,[2]奶酪产出!$G$18:$H$138,2,FALSE)</f>
        <v>45</v>
      </c>
      <c r="C84" s="1">
        <v>1010001</v>
      </c>
      <c r="E84" s="1">
        <v>1</v>
      </c>
      <c r="F84" s="1">
        <v>1010002</v>
      </c>
      <c r="H84" s="1">
        <f>VLOOKUP(A:A,[2]技能强化石!$L$14:$M$133,2,2)</f>
        <v>28</v>
      </c>
      <c r="I84" s="2">
        <v>1010004</v>
      </c>
      <c r="J84" s="2"/>
      <c r="K84" s="2">
        <f>VLOOKUP(A:A,[2]天赋点产出!$G$18:$H$138,2,FALSE)</f>
        <v>24</v>
      </c>
      <c r="L84" s="2">
        <v>1010014</v>
      </c>
      <c r="M84" s="2"/>
      <c r="O84" s="2" t="s">
        <v>1124</v>
      </c>
      <c r="P84" s="2" t="s">
        <v>1108</v>
      </c>
      <c r="Q84" s="1" t="str">
        <f t="shared" si="1"/>
        <v>1010001,45|1010002,1|1010004,28|1010014,24</v>
      </c>
    </row>
    <row r="85" spans="1:17" x14ac:dyDescent="0.2">
      <c r="A85" s="12">
        <v>84</v>
      </c>
      <c r="B85" s="1">
        <f>VLOOKUP(A:A,[2]奶酪产出!$G$18:$H$138,2,FALSE)</f>
        <v>45</v>
      </c>
      <c r="C85" s="1">
        <v>1010001</v>
      </c>
      <c r="E85" s="1">
        <v>1</v>
      </c>
      <c r="F85" s="1">
        <v>1010002</v>
      </c>
      <c r="H85" s="1">
        <f>VLOOKUP(A:A,[2]技能强化石!$L$14:$M$133,2,2)</f>
        <v>28</v>
      </c>
      <c r="I85" s="2">
        <v>1010004</v>
      </c>
      <c r="J85" s="2"/>
      <c r="K85" s="2">
        <f>VLOOKUP(A:A,[2]天赋点产出!$G$18:$H$138,2,FALSE)</f>
        <v>24</v>
      </c>
      <c r="L85" s="2">
        <v>1010014</v>
      </c>
      <c r="M85" s="2"/>
      <c r="O85" s="2" t="s">
        <v>1124</v>
      </c>
      <c r="P85" s="2" t="s">
        <v>1108</v>
      </c>
      <c r="Q85" s="1" t="str">
        <f t="shared" si="1"/>
        <v>1010001,45|1010002,1|1010004,28|1010014,24</v>
      </c>
    </row>
    <row r="86" spans="1:17" x14ac:dyDescent="0.2">
      <c r="A86" s="12">
        <v>85</v>
      </c>
      <c r="B86" s="1">
        <f>VLOOKUP(A:A,[2]奶酪产出!$G$18:$H$138,2,FALSE)</f>
        <v>46</v>
      </c>
      <c r="C86" s="1">
        <v>1010001</v>
      </c>
      <c r="E86" s="1">
        <v>1</v>
      </c>
      <c r="F86" s="1">
        <v>1010002</v>
      </c>
      <c r="H86" s="1">
        <f>VLOOKUP(A:A,[2]技能强化石!$L$14:$M$133,2,2)</f>
        <v>29</v>
      </c>
      <c r="I86" s="2">
        <v>1010004</v>
      </c>
      <c r="J86" s="2"/>
      <c r="K86" s="2">
        <f>VLOOKUP(A:A,[2]天赋点产出!$G$18:$H$138,2,FALSE)</f>
        <v>25</v>
      </c>
      <c r="L86" s="2">
        <v>1010014</v>
      </c>
      <c r="M86" s="2"/>
      <c r="O86" s="2" t="s">
        <v>1124</v>
      </c>
      <c r="P86" s="2" t="s">
        <v>1108</v>
      </c>
      <c r="Q86" s="1" t="str">
        <f t="shared" si="1"/>
        <v>1010001,46|1010002,1|1010004,29|1010014,25</v>
      </c>
    </row>
    <row r="87" spans="1:17" x14ac:dyDescent="0.2">
      <c r="A87" s="12">
        <v>86</v>
      </c>
      <c r="B87" s="1">
        <f>VLOOKUP(A:A,[2]奶酪产出!$G$18:$H$138,2,FALSE)</f>
        <v>46</v>
      </c>
      <c r="C87" s="1">
        <v>1010001</v>
      </c>
      <c r="E87" s="1">
        <v>1</v>
      </c>
      <c r="F87" s="1">
        <v>1010002</v>
      </c>
      <c r="H87" s="1">
        <f>VLOOKUP(A:A,[2]技能强化石!$L$14:$M$133,2,2)</f>
        <v>29</v>
      </c>
      <c r="I87" s="2">
        <v>1010004</v>
      </c>
      <c r="J87" s="2"/>
      <c r="K87" s="2">
        <f>VLOOKUP(A:A,[2]天赋点产出!$G$18:$H$138,2,FALSE)</f>
        <v>25</v>
      </c>
      <c r="L87" s="2">
        <v>1010014</v>
      </c>
      <c r="M87" s="2"/>
      <c r="O87" s="2" t="s">
        <v>1124</v>
      </c>
      <c r="P87" s="2" t="s">
        <v>1108</v>
      </c>
      <c r="Q87" s="1" t="str">
        <f t="shared" si="1"/>
        <v>1010001,46|1010002,1|1010004,29|1010014,25</v>
      </c>
    </row>
    <row r="88" spans="1:17" x14ac:dyDescent="0.2">
      <c r="A88" s="12">
        <v>87</v>
      </c>
      <c r="B88" s="1">
        <f>VLOOKUP(A:A,[2]奶酪产出!$G$18:$H$138,2,FALSE)</f>
        <v>46</v>
      </c>
      <c r="C88" s="1">
        <v>1010001</v>
      </c>
      <c r="E88" s="1">
        <v>1</v>
      </c>
      <c r="F88" s="1">
        <v>1010002</v>
      </c>
      <c r="H88" s="1">
        <f>VLOOKUP(A:A,[2]技能强化石!$L$14:$M$133,2,2)</f>
        <v>29</v>
      </c>
      <c r="I88" s="2">
        <v>1010004</v>
      </c>
      <c r="J88" s="2"/>
      <c r="K88" s="2">
        <f>VLOOKUP(A:A,[2]天赋点产出!$G$18:$H$138,2,FALSE)</f>
        <v>25</v>
      </c>
      <c r="L88" s="2">
        <v>1010014</v>
      </c>
      <c r="M88" s="2"/>
      <c r="O88" s="2" t="s">
        <v>1124</v>
      </c>
      <c r="P88" s="2" t="s">
        <v>1108</v>
      </c>
      <c r="Q88" s="1" t="str">
        <f t="shared" si="1"/>
        <v>1010001,46|1010002,1|1010004,29|1010014,25</v>
      </c>
    </row>
    <row r="89" spans="1:17" x14ac:dyDescent="0.2">
      <c r="A89" s="12">
        <v>88</v>
      </c>
      <c r="B89" s="1">
        <f>VLOOKUP(A:A,[2]奶酪产出!$G$18:$H$138,2,FALSE)</f>
        <v>46</v>
      </c>
      <c r="C89" s="1">
        <v>1010001</v>
      </c>
      <c r="E89" s="1">
        <v>1</v>
      </c>
      <c r="F89" s="1">
        <v>1010002</v>
      </c>
      <c r="H89" s="1">
        <f>VLOOKUP(A:A,[2]技能强化石!$L$14:$M$133,2,2)</f>
        <v>29</v>
      </c>
      <c r="I89" s="2">
        <v>1010004</v>
      </c>
      <c r="J89" s="2"/>
      <c r="K89" s="2">
        <f>VLOOKUP(A:A,[2]天赋点产出!$G$18:$H$138,2,FALSE)</f>
        <v>25</v>
      </c>
      <c r="L89" s="2">
        <v>1010014</v>
      </c>
      <c r="M89" s="2"/>
      <c r="O89" s="2" t="s">
        <v>1124</v>
      </c>
      <c r="P89" s="2" t="s">
        <v>1108</v>
      </c>
      <c r="Q89" s="1" t="str">
        <f t="shared" si="1"/>
        <v>1010001,46|1010002,1|1010004,29|1010014,25</v>
      </c>
    </row>
    <row r="90" spans="1:17" x14ac:dyDescent="0.2">
      <c r="A90" s="12">
        <v>89</v>
      </c>
      <c r="B90" s="1">
        <f>VLOOKUP(A:A,[2]奶酪产出!$G$18:$H$138,2,FALSE)</f>
        <v>47</v>
      </c>
      <c r="C90" s="1">
        <v>1010001</v>
      </c>
      <c r="E90" s="1">
        <v>1</v>
      </c>
      <c r="F90" s="1">
        <v>1010002</v>
      </c>
      <c r="H90" s="1">
        <f>VLOOKUP(A:A,[2]技能强化石!$L$14:$M$133,2,2)</f>
        <v>30</v>
      </c>
      <c r="I90" s="2">
        <v>1010004</v>
      </c>
      <c r="J90" s="2"/>
      <c r="K90" s="2">
        <f>VLOOKUP(A:A,[2]天赋点产出!$G$18:$H$138,2,FALSE)</f>
        <v>26</v>
      </c>
      <c r="L90" s="2">
        <v>1010014</v>
      </c>
      <c r="M90" s="2"/>
      <c r="O90" s="2" t="s">
        <v>1124</v>
      </c>
      <c r="P90" s="2" t="s">
        <v>1108</v>
      </c>
      <c r="Q90" s="1" t="str">
        <f t="shared" si="1"/>
        <v>1010001,47|1010002,1|1010004,30|1010014,26</v>
      </c>
    </row>
    <row r="91" spans="1:17" x14ac:dyDescent="0.2">
      <c r="A91" s="12">
        <v>90</v>
      </c>
      <c r="B91" s="1">
        <f>VLOOKUP(A:A,[2]奶酪产出!$G$18:$H$138,2,FALSE)</f>
        <v>47</v>
      </c>
      <c r="C91" s="1">
        <v>1010001</v>
      </c>
      <c r="E91" s="1">
        <v>1</v>
      </c>
      <c r="F91" s="1">
        <v>1010002</v>
      </c>
      <c r="H91" s="1">
        <f>VLOOKUP(A:A,[2]技能强化石!$L$14:$M$133,2,2)</f>
        <v>30</v>
      </c>
      <c r="I91" s="2">
        <v>1010004</v>
      </c>
      <c r="J91" s="2"/>
      <c r="K91" s="2">
        <f>VLOOKUP(A:A,[2]天赋点产出!$G$18:$H$138,2,FALSE)</f>
        <v>26</v>
      </c>
      <c r="L91" s="2">
        <v>1010014</v>
      </c>
      <c r="M91" s="2"/>
      <c r="O91" s="2" t="s">
        <v>1124</v>
      </c>
      <c r="P91" s="2" t="s">
        <v>1108</v>
      </c>
      <c r="Q91" s="1" t="str">
        <f t="shared" si="1"/>
        <v>1010001,47|1010002,1|1010004,30|1010014,26</v>
      </c>
    </row>
    <row r="92" spans="1:17" x14ac:dyDescent="0.2">
      <c r="A92" s="12">
        <v>91</v>
      </c>
      <c r="B92" s="1">
        <f>VLOOKUP(A:A,[2]奶酪产出!$G$18:$H$138,2,FALSE)</f>
        <v>47</v>
      </c>
      <c r="C92" s="1">
        <v>1010001</v>
      </c>
      <c r="E92" s="1">
        <v>1</v>
      </c>
      <c r="F92" s="1">
        <v>1010002</v>
      </c>
      <c r="H92" s="1">
        <f>VLOOKUP(A:A,[2]技能强化石!$L$14:$M$133,2,2)</f>
        <v>30</v>
      </c>
      <c r="I92" s="2">
        <v>1010004</v>
      </c>
      <c r="J92" s="2"/>
      <c r="K92" s="2">
        <f>VLOOKUP(A:A,[2]天赋点产出!$G$18:$H$138,2,FALSE)</f>
        <v>26</v>
      </c>
      <c r="L92" s="2">
        <v>1010014</v>
      </c>
      <c r="M92" s="2"/>
      <c r="O92" s="2" t="s">
        <v>1124</v>
      </c>
      <c r="P92" s="2" t="s">
        <v>1108</v>
      </c>
      <c r="Q92" s="1" t="str">
        <f t="shared" si="1"/>
        <v>1010001,47|1010002,1|1010004,30|1010014,26</v>
      </c>
    </row>
    <row r="93" spans="1:17" x14ac:dyDescent="0.2">
      <c r="A93" s="12">
        <v>92</v>
      </c>
      <c r="B93" s="1">
        <f>VLOOKUP(A:A,[2]奶酪产出!$G$18:$H$138,2,FALSE)</f>
        <v>47</v>
      </c>
      <c r="C93" s="1">
        <v>1010001</v>
      </c>
      <c r="E93" s="1">
        <v>1</v>
      </c>
      <c r="F93" s="1">
        <v>1010002</v>
      </c>
      <c r="H93" s="1">
        <f>VLOOKUP(A:A,[2]技能强化石!$L$14:$M$133,2,2)</f>
        <v>30</v>
      </c>
      <c r="I93" s="2">
        <v>1010004</v>
      </c>
      <c r="J93" s="2"/>
      <c r="K93" s="2">
        <f>VLOOKUP(A:A,[2]天赋点产出!$G$18:$H$138,2,FALSE)</f>
        <v>26</v>
      </c>
      <c r="L93" s="2">
        <v>1010014</v>
      </c>
      <c r="M93" s="2"/>
      <c r="O93" s="2" t="s">
        <v>1124</v>
      </c>
      <c r="P93" s="2" t="s">
        <v>1108</v>
      </c>
      <c r="Q93" s="1" t="str">
        <f t="shared" si="1"/>
        <v>1010001,47|1010002,1|1010004,30|1010014,26</v>
      </c>
    </row>
    <row r="94" spans="1:17" x14ac:dyDescent="0.2">
      <c r="A94" s="12">
        <v>93</v>
      </c>
      <c r="B94" s="1">
        <f>VLOOKUP(A:A,[2]奶酪产出!$G$18:$H$138,2,FALSE)</f>
        <v>48</v>
      </c>
      <c r="C94" s="1">
        <v>1010001</v>
      </c>
      <c r="E94" s="1">
        <v>1</v>
      </c>
      <c r="F94" s="1">
        <v>1010002</v>
      </c>
      <c r="H94" s="1">
        <f>VLOOKUP(A:A,[2]技能强化石!$L$14:$M$133,2,2)</f>
        <v>31</v>
      </c>
      <c r="I94" s="2">
        <v>1010004</v>
      </c>
      <c r="J94" s="2"/>
      <c r="K94" s="2">
        <f>VLOOKUP(A:A,[2]天赋点产出!$G$18:$H$138,2,FALSE)</f>
        <v>27</v>
      </c>
      <c r="L94" s="2">
        <v>1010014</v>
      </c>
      <c r="M94" s="2"/>
      <c r="O94" s="2" t="s">
        <v>1124</v>
      </c>
      <c r="P94" s="2" t="s">
        <v>1108</v>
      </c>
      <c r="Q94" s="1" t="str">
        <f t="shared" si="1"/>
        <v>1010001,48|1010002,1|1010004,31|1010014,27</v>
      </c>
    </row>
    <row r="95" spans="1:17" x14ac:dyDescent="0.2">
      <c r="A95" s="12">
        <v>94</v>
      </c>
      <c r="B95" s="1">
        <f>VLOOKUP(A:A,[2]奶酪产出!$G$18:$H$138,2,FALSE)</f>
        <v>48</v>
      </c>
      <c r="C95" s="1">
        <v>1010001</v>
      </c>
      <c r="E95" s="1">
        <v>1</v>
      </c>
      <c r="F95" s="1">
        <v>1010002</v>
      </c>
      <c r="H95" s="1">
        <f>VLOOKUP(A:A,[2]技能强化石!$L$14:$M$133,2,2)</f>
        <v>31</v>
      </c>
      <c r="I95" s="2">
        <v>1010004</v>
      </c>
      <c r="J95" s="2"/>
      <c r="K95" s="2">
        <f>VLOOKUP(A:A,[2]天赋点产出!$G$18:$H$138,2,FALSE)</f>
        <v>27</v>
      </c>
      <c r="L95" s="2">
        <v>1010014</v>
      </c>
      <c r="M95" s="2"/>
      <c r="O95" s="2" t="s">
        <v>1124</v>
      </c>
      <c r="P95" s="2" t="s">
        <v>1108</v>
      </c>
      <c r="Q95" s="1" t="str">
        <f t="shared" si="1"/>
        <v>1010001,48|1010002,1|1010004,31|1010014,27</v>
      </c>
    </row>
    <row r="96" spans="1:17" x14ac:dyDescent="0.2">
      <c r="A96" s="12">
        <v>95</v>
      </c>
      <c r="B96" s="1">
        <f>VLOOKUP(A:A,[2]奶酪产出!$G$18:$H$138,2,FALSE)</f>
        <v>48</v>
      </c>
      <c r="C96" s="1">
        <v>1010001</v>
      </c>
      <c r="E96" s="1">
        <v>1</v>
      </c>
      <c r="F96" s="1">
        <v>1010002</v>
      </c>
      <c r="H96" s="1">
        <f>VLOOKUP(A:A,[2]技能强化石!$L$14:$M$133,2,2)</f>
        <v>31</v>
      </c>
      <c r="I96" s="2">
        <v>1010004</v>
      </c>
      <c r="J96" s="2"/>
      <c r="K96" s="2">
        <f>VLOOKUP(A:A,[2]天赋点产出!$G$18:$H$138,2,FALSE)</f>
        <v>27</v>
      </c>
      <c r="L96" s="2">
        <v>1010014</v>
      </c>
      <c r="M96" s="2"/>
      <c r="O96" s="2" t="s">
        <v>1124</v>
      </c>
      <c r="P96" s="2" t="s">
        <v>1108</v>
      </c>
      <c r="Q96" s="1" t="str">
        <f t="shared" si="1"/>
        <v>1010001,48|1010002,1|1010004,31|1010014,27</v>
      </c>
    </row>
    <row r="97" spans="1:17" x14ac:dyDescent="0.2">
      <c r="A97" s="12">
        <v>96</v>
      </c>
      <c r="B97" s="1">
        <f>VLOOKUP(A:A,[2]奶酪产出!$G$18:$H$138,2,FALSE)</f>
        <v>48</v>
      </c>
      <c r="C97" s="1">
        <v>1010001</v>
      </c>
      <c r="E97" s="1">
        <v>1</v>
      </c>
      <c r="F97" s="1">
        <v>1010002</v>
      </c>
      <c r="H97" s="1">
        <f>VLOOKUP(A:A,[2]技能强化石!$L$14:$M$133,2,2)</f>
        <v>31</v>
      </c>
      <c r="I97" s="2">
        <v>1010004</v>
      </c>
      <c r="J97" s="2"/>
      <c r="K97" s="2">
        <f>VLOOKUP(A:A,[2]天赋点产出!$G$18:$H$138,2,FALSE)</f>
        <v>27</v>
      </c>
      <c r="L97" s="2">
        <v>1010014</v>
      </c>
      <c r="M97" s="2"/>
      <c r="O97" s="2" t="s">
        <v>1124</v>
      </c>
      <c r="P97" s="2" t="s">
        <v>1108</v>
      </c>
      <c r="Q97" s="1" t="str">
        <f t="shared" si="1"/>
        <v>1010001,48|1010002,1|1010004,31|1010014,27</v>
      </c>
    </row>
    <row r="98" spans="1:17" x14ac:dyDescent="0.2">
      <c r="A98" s="12">
        <v>97</v>
      </c>
      <c r="B98" s="1">
        <f>VLOOKUP(A:A,[2]奶酪产出!$G$18:$H$138,2,FALSE)</f>
        <v>49</v>
      </c>
      <c r="C98" s="1">
        <v>1010001</v>
      </c>
      <c r="E98" s="1">
        <v>1</v>
      </c>
      <c r="F98" s="1">
        <v>1010002</v>
      </c>
      <c r="H98" s="1">
        <f>VLOOKUP(A:A,[2]技能强化石!$L$14:$M$133,2,2)</f>
        <v>32</v>
      </c>
      <c r="I98" s="2">
        <v>1010004</v>
      </c>
      <c r="J98" s="2"/>
      <c r="K98" s="2">
        <f>VLOOKUP(A:A,[2]天赋点产出!$G$18:$H$138,2,FALSE)</f>
        <v>28</v>
      </c>
      <c r="L98" s="2">
        <v>1010014</v>
      </c>
      <c r="M98" s="2"/>
      <c r="O98" s="2" t="s">
        <v>1124</v>
      </c>
      <c r="P98" s="2" t="s">
        <v>1108</v>
      </c>
      <c r="Q98" s="1" t="str">
        <f t="shared" si="1"/>
        <v>1010001,49|1010002,1|1010004,32|1010014,28</v>
      </c>
    </row>
    <row r="99" spans="1:17" x14ac:dyDescent="0.2">
      <c r="A99" s="12">
        <v>98</v>
      </c>
      <c r="B99" s="1">
        <f>VLOOKUP(A:A,[2]奶酪产出!$G$18:$H$138,2,FALSE)</f>
        <v>49</v>
      </c>
      <c r="C99" s="1">
        <v>1010001</v>
      </c>
      <c r="E99" s="1">
        <v>1</v>
      </c>
      <c r="F99" s="1">
        <v>1010002</v>
      </c>
      <c r="H99" s="1">
        <f>VLOOKUP(A:A,[2]技能强化石!$L$14:$M$133,2,2)</f>
        <v>32</v>
      </c>
      <c r="I99" s="2">
        <v>1010004</v>
      </c>
      <c r="J99" s="2"/>
      <c r="K99" s="2">
        <f>VLOOKUP(A:A,[2]天赋点产出!$G$18:$H$138,2,FALSE)</f>
        <v>28</v>
      </c>
      <c r="L99" s="2">
        <v>1010014</v>
      </c>
      <c r="M99" s="2"/>
      <c r="O99" s="2" t="s">
        <v>1124</v>
      </c>
      <c r="P99" s="2" t="s">
        <v>1108</v>
      </c>
      <c r="Q99" s="1" t="str">
        <f t="shared" si="1"/>
        <v>1010001,49|1010002,1|1010004,32|1010014,28</v>
      </c>
    </row>
    <row r="100" spans="1:17" x14ac:dyDescent="0.2">
      <c r="A100" s="12">
        <v>99</v>
      </c>
      <c r="B100" s="1">
        <f>VLOOKUP(A:A,[2]奶酪产出!$G$18:$H$138,2,FALSE)</f>
        <v>49</v>
      </c>
      <c r="C100" s="1">
        <v>1010001</v>
      </c>
      <c r="E100" s="1">
        <v>1</v>
      </c>
      <c r="F100" s="1">
        <v>1010002</v>
      </c>
      <c r="H100" s="1">
        <f>VLOOKUP(A:A,[2]技能强化石!$L$14:$M$133,2,2)</f>
        <v>32</v>
      </c>
      <c r="I100" s="2">
        <v>1010004</v>
      </c>
      <c r="J100" s="2"/>
      <c r="K100" s="2">
        <f>VLOOKUP(A:A,[2]天赋点产出!$G$18:$H$138,2,FALSE)</f>
        <v>28</v>
      </c>
      <c r="L100" s="2">
        <v>1010014</v>
      </c>
      <c r="M100" s="2"/>
      <c r="O100" s="2" t="s">
        <v>1124</v>
      </c>
      <c r="P100" s="2" t="s">
        <v>1108</v>
      </c>
      <c r="Q100" s="1" t="str">
        <f t="shared" si="1"/>
        <v>1010001,49|1010002,1|1010004,32|1010014,28</v>
      </c>
    </row>
    <row r="101" spans="1:17" x14ac:dyDescent="0.2">
      <c r="A101" s="12">
        <v>100</v>
      </c>
      <c r="B101" s="1">
        <f>VLOOKUP(A:A,[2]奶酪产出!$G$18:$H$138,2,FALSE)</f>
        <v>49</v>
      </c>
      <c r="C101" s="1">
        <v>1010001</v>
      </c>
      <c r="E101" s="1">
        <v>1</v>
      </c>
      <c r="F101" s="1">
        <v>1010002</v>
      </c>
      <c r="H101" s="1">
        <f>VLOOKUP(A:A,[2]技能强化石!$L$14:$M$133,2,2)</f>
        <v>32</v>
      </c>
      <c r="I101" s="2">
        <v>1010004</v>
      </c>
      <c r="J101" s="2"/>
      <c r="K101" s="2">
        <f>VLOOKUP(A:A,[2]天赋点产出!$G$18:$H$138,2,FALSE)</f>
        <v>28</v>
      </c>
      <c r="L101" s="2">
        <v>1010014</v>
      </c>
      <c r="M101" s="2"/>
      <c r="O101" s="2" t="s">
        <v>1124</v>
      </c>
      <c r="P101" s="2" t="s">
        <v>1108</v>
      </c>
      <c r="Q101" s="1" t="str">
        <f t="shared" si="1"/>
        <v>1010001,49|1010002,1|1010004,32|1010014,28</v>
      </c>
    </row>
    <row r="102" spans="1:17" x14ac:dyDescent="0.2">
      <c r="A102" s="12">
        <v>101</v>
      </c>
      <c r="B102" s="1">
        <f>VLOOKUP(A:A,[2]奶酪产出!$G$18:$H$138,2,FALSE)</f>
        <v>50</v>
      </c>
      <c r="C102" s="1">
        <v>1010001</v>
      </c>
      <c r="E102" s="1">
        <v>1</v>
      </c>
      <c r="F102" s="1">
        <v>1010002</v>
      </c>
      <c r="H102" s="1">
        <f>VLOOKUP(A:A,[2]技能强化石!$L$14:$M$133,2,2)</f>
        <v>33</v>
      </c>
      <c r="I102" s="2">
        <v>1010004</v>
      </c>
      <c r="J102" s="2"/>
      <c r="K102" s="2">
        <f>VLOOKUP(A:A,[2]天赋点产出!$G$18:$H$138,2,FALSE)</f>
        <v>29</v>
      </c>
      <c r="L102" s="2">
        <v>1010014</v>
      </c>
      <c r="M102" s="2"/>
      <c r="O102" s="2" t="s">
        <v>1124</v>
      </c>
      <c r="P102" s="2" t="s">
        <v>1108</v>
      </c>
      <c r="Q102" s="1" t="str">
        <f t="shared" si="1"/>
        <v>1010001,50|1010002,1|1010004,33|1010014,29</v>
      </c>
    </row>
    <row r="103" spans="1:17" x14ac:dyDescent="0.2">
      <c r="A103" s="12">
        <v>102</v>
      </c>
      <c r="B103" s="1">
        <f>VLOOKUP(A:A,[2]奶酪产出!$G$18:$H$138,2,FALSE)</f>
        <v>50</v>
      </c>
      <c r="C103" s="1">
        <v>1010001</v>
      </c>
      <c r="E103" s="1">
        <v>1</v>
      </c>
      <c r="F103" s="1">
        <v>1010002</v>
      </c>
      <c r="H103" s="1">
        <f>VLOOKUP(A:A,[2]技能强化石!$L$14:$M$133,2,2)</f>
        <v>33</v>
      </c>
      <c r="I103" s="2">
        <v>1010004</v>
      </c>
      <c r="J103" s="2"/>
      <c r="K103" s="2">
        <f>VLOOKUP(A:A,[2]天赋点产出!$G$18:$H$138,2,FALSE)</f>
        <v>29</v>
      </c>
      <c r="L103" s="2">
        <v>1010014</v>
      </c>
      <c r="M103" s="2"/>
      <c r="O103" s="2" t="s">
        <v>1124</v>
      </c>
      <c r="P103" s="2" t="s">
        <v>1108</v>
      </c>
      <c r="Q103" s="1" t="str">
        <f t="shared" si="1"/>
        <v>1010001,50|1010002,1|1010004,33|1010014,29</v>
      </c>
    </row>
    <row r="104" spans="1:17" x14ac:dyDescent="0.2">
      <c r="A104" s="12">
        <v>103</v>
      </c>
      <c r="B104" s="1">
        <f>VLOOKUP(A:A,[2]奶酪产出!$G$18:$H$138,2,FALSE)</f>
        <v>50</v>
      </c>
      <c r="C104" s="1">
        <v>1010001</v>
      </c>
      <c r="E104" s="1">
        <v>1</v>
      </c>
      <c r="F104" s="1">
        <v>1010002</v>
      </c>
      <c r="H104" s="1">
        <f>VLOOKUP(A:A,[2]技能强化石!$L$14:$M$133,2,2)</f>
        <v>33</v>
      </c>
      <c r="I104" s="2">
        <v>1010004</v>
      </c>
      <c r="J104" s="2"/>
      <c r="K104" s="2">
        <f>VLOOKUP(A:A,[2]天赋点产出!$G$18:$H$138,2,FALSE)</f>
        <v>29</v>
      </c>
      <c r="L104" s="2">
        <v>1010014</v>
      </c>
      <c r="M104" s="2"/>
      <c r="O104" s="2" t="s">
        <v>1124</v>
      </c>
      <c r="P104" s="2" t="s">
        <v>1108</v>
      </c>
      <c r="Q104" s="1" t="str">
        <f t="shared" si="1"/>
        <v>1010001,50|1010002,1|1010004,33|1010014,29</v>
      </c>
    </row>
    <row r="105" spans="1:17" x14ac:dyDescent="0.2">
      <c r="A105" s="12">
        <v>104</v>
      </c>
      <c r="B105" s="1">
        <f>VLOOKUP(A:A,[2]奶酪产出!$G$18:$H$138,2,FALSE)</f>
        <v>50</v>
      </c>
      <c r="C105" s="1">
        <v>1010001</v>
      </c>
      <c r="E105" s="1">
        <v>1</v>
      </c>
      <c r="F105" s="1">
        <v>1010002</v>
      </c>
      <c r="H105" s="1">
        <f>VLOOKUP(A:A,[2]技能强化石!$L$14:$M$133,2,2)</f>
        <v>33</v>
      </c>
      <c r="I105" s="2">
        <v>1010004</v>
      </c>
      <c r="J105" s="2"/>
      <c r="K105" s="2">
        <f>VLOOKUP(A:A,[2]天赋点产出!$G$18:$H$138,2,FALSE)</f>
        <v>29</v>
      </c>
      <c r="L105" s="2">
        <v>1010014</v>
      </c>
      <c r="M105" s="2"/>
      <c r="O105" s="2" t="s">
        <v>1124</v>
      </c>
      <c r="P105" s="2" t="s">
        <v>1108</v>
      </c>
      <c r="Q105" s="1" t="str">
        <f t="shared" si="1"/>
        <v>1010001,50|1010002,1|1010004,33|1010014,29</v>
      </c>
    </row>
    <row r="106" spans="1:17" x14ac:dyDescent="0.2">
      <c r="A106" s="12">
        <v>105</v>
      </c>
      <c r="B106" s="1">
        <f>VLOOKUP(A:A,[2]奶酪产出!$G$18:$H$138,2,FALSE)</f>
        <v>51</v>
      </c>
      <c r="C106" s="1">
        <v>1010001</v>
      </c>
      <c r="E106" s="1">
        <v>1</v>
      </c>
      <c r="F106" s="1">
        <v>1010002</v>
      </c>
      <c r="H106" s="1">
        <f>VLOOKUP(A:A,[2]技能强化石!$L$14:$M$133,2,2)</f>
        <v>34</v>
      </c>
      <c r="I106" s="2">
        <v>1010004</v>
      </c>
      <c r="J106" s="2"/>
      <c r="K106" s="2">
        <f>VLOOKUP(A:A,[2]天赋点产出!$G$18:$H$138,2,FALSE)</f>
        <v>30</v>
      </c>
      <c r="L106" s="2">
        <v>1010014</v>
      </c>
      <c r="M106" s="2"/>
      <c r="O106" s="2" t="s">
        <v>1124</v>
      </c>
      <c r="P106" s="2" t="s">
        <v>1108</v>
      </c>
      <c r="Q106" s="1" t="str">
        <f t="shared" si="1"/>
        <v>1010001,51|1010002,1|1010004,34|1010014,30</v>
      </c>
    </row>
    <row r="107" spans="1:17" x14ac:dyDescent="0.2">
      <c r="A107" s="12">
        <v>106</v>
      </c>
      <c r="B107" s="1">
        <f>VLOOKUP(A:A,[2]奶酪产出!$G$18:$H$138,2,FALSE)</f>
        <v>51</v>
      </c>
      <c r="C107" s="1">
        <v>1010001</v>
      </c>
      <c r="E107" s="1">
        <v>1</v>
      </c>
      <c r="F107" s="1">
        <v>1010002</v>
      </c>
      <c r="H107" s="1">
        <f>VLOOKUP(A:A,[2]技能强化石!$L$14:$M$133,2,2)</f>
        <v>34</v>
      </c>
      <c r="I107" s="2">
        <v>1010004</v>
      </c>
      <c r="J107" s="2"/>
      <c r="K107" s="2">
        <f>VLOOKUP(A:A,[2]天赋点产出!$G$18:$H$138,2,FALSE)</f>
        <v>30</v>
      </c>
      <c r="L107" s="2">
        <v>1010014</v>
      </c>
      <c r="M107" s="2"/>
      <c r="O107" s="2" t="s">
        <v>1124</v>
      </c>
      <c r="P107" s="2" t="s">
        <v>1108</v>
      </c>
      <c r="Q107" s="1" t="str">
        <f t="shared" si="1"/>
        <v>1010001,51|1010002,1|1010004,34|1010014,30</v>
      </c>
    </row>
    <row r="108" spans="1:17" x14ac:dyDescent="0.2">
      <c r="A108" s="12">
        <v>107</v>
      </c>
      <c r="B108" s="1">
        <f>VLOOKUP(A:A,[2]奶酪产出!$G$18:$H$138,2,FALSE)</f>
        <v>51</v>
      </c>
      <c r="C108" s="1">
        <v>1010001</v>
      </c>
      <c r="E108" s="1">
        <v>1</v>
      </c>
      <c r="F108" s="1">
        <v>1010002</v>
      </c>
      <c r="H108" s="1">
        <f>VLOOKUP(A:A,[2]技能强化石!$L$14:$M$133,2,2)</f>
        <v>34</v>
      </c>
      <c r="I108" s="2">
        <v>1010004</v>
      </c>
      <c r="J108" s="2"/>
      <c r="K108" s="2">
        <f>VLOOKUP(A:A,[2]天赋点产出!$G$18:$H$138,2,FALSE)</f>
        <v>30</v>
      </c>
      <c r="L108" s="2">
        <v>1010014</v>
      </c>
      <c r="M108" s="2"/>
      <c r="O108" s="2" t="s">
        <v>1124</v>
      </c>
      <c r="P108" s="2" t="s">
        <v>1108</v>
      </c>
      <c r="Q108" s="1" t="str">
        <f t="shared" si="1"/>
        <v>1010001,51|1010002,1|1010004,34|1010014,30</v>
      </c>
    </row>
    <row r="109" spans="1:17" x14ac:dyDescent="0.2">
      <c r="A109" s="12">
        <v>108</v>
      </c>
      <c r="B109" s="1">
        <f>VLOOKUP(A:A,[2]奶酪产出!$G$18:$H$138,2,FALSE)</f>
        <v>51</v>
      </c>
      <c r="C109" s="1">
        <v>1010001</v>
      </c>
      <c r="E109" s="1">
        <v>1</v>
      </c>
      <c r="F109" s="1">
        <v>1010002</v>
      </c>
      <c r="H109" s="1">
        <f>VLOOKUP(A:A,[2]技能强化石!$L$14:$M$133,2,2)</f>
        <v>34</v>
      </c>
      <c r="I109" s="2">
        <v>1010004</v>
      </c>
      <c r="J109" s="2"/>
      <c r="K109" s="2">
        <f>VLOOKUP(A:A,[2]天赋点产出!$G$18:$H$138,2,FALSE)</f>
        <v>30</v>
      </c>
      <c r="L109" s="2">
        <v>1010014</v>
      </c>
      <c r="M109" s="2"/>
      <c r="O109" s="2" t="s">
        <v>1124</v>
      </c>
      <c r="P109" s="2" t="s">
        <v>1108</v>
      </c>
      <c r="Q109" s="1" t="str">
        <f t="shared" si="1"/>
        <v>1010001,51|1010002,1|1010004,34|1010014,30</v>
      </c>
    </row>
    <row r="110" spans="1:17" x14ac:dyDescent="0.2">
      <c r="A110" s="12">
        <v>109</v>
      </c>
      <c r="B110" s="1">
        <f>VLOOKUP(A:A,[2]奶酪产出!$G$18:$H$138,2,FALSE)</f>
        <v>52</v>
      </c>
      <c r="C110" s="1">
        <v>1010001</v>
      </c>
      <c r="E110" s="1">
        <v>1</v>
      </c>
      <c r="F110" s="1">
        <v>1010002</v>
      </c>
      <c r="H110" s="1">
        <f>VLOOKUP(A:A,[2]技能强化石!$L$14:$M$133,2,2)</f>
        <v>35</v>
      </c>
      <c r="I110" s="2">
        <v>1010004</v>
      </c>
      <c r="J110" s="2"/>
      <c r="K110" s="2">
        <f>VLOOKUP(A:A,[2]天赋点产出!$G$18:$H$138,2,FALSE)</f>
        <v>31</v>
      </c>
      <c r="L110" s="2">
        <v>1010014</v>
      </c>
      <c r="M110" s="2"/>
      <c r="O110" s="2" t="s">
        <v>1124</v>
      </c>
      <c r="P110" s="2" t="s">
        <v>1108</v>
      </c>
      <c r="Q110" s="1" t="str">
        <f t="shared" si="1"/>
        <v>1010001,52|1010002,1|1010004,35|1010014,31</v>
      </c>
    </row>
    <row r="111" spans="1:17" x14ac:dyDescent="0.2">
      <c r="A111" s="12">
        <v>110</v>
      </c>
      <c r="B111" s="1">
        <f>VLOOKUP(A:A,[2]奶酪产出!$G$18:$H$138,2,FALSE)</f>
        <v>52</v>
      </c>
      <c r="C111" s="1">
        <v>1010001</v>
      </c>
      <c r="E111" s="1">
        <v>1</v>
      </c>
      <c r="F111" s="1">
        <v>1010002</v>
      </c>
      <c r="H111" s="1">
        <f>VLOOKUP(A:A,[2]技能强化石!$L$14:$M$133,2,2)</f>
        <v>35</v>
      </c>
      <c r="I111" s="2">
        <v>1010004</v>
      </c>
      <c r="J111" s="2"/>
      <c r="K111" s="2">
        <f>VLOOKUP(A:A,[2]天赋点产出!$G$18:$H$138,2,FALSE)</f>
        <v>31</v>
      </c>
      <c r="L111" s="2">
        <v>1010014</v>
      </c>
      <c r="M111" s="2"/>
      <c r="O111" s="2" t="s">
        <v>1124</v>
      </c>
      <c r="P111" s="2" t="s">
        <v>1108</v>
      </c>
      <c r="Q111" s="1" t="str">
        <f t="shared" si="1"/>
        <v>1010001,52|1010002,1|1010004,35|1010014,31</v>
      </c>
    </row>
    <row r="112" spans="1:17" x14ac:dyDescent="0.2">
      <c r="A112" s="12">
        <v>111</v>
      </c>
      <c r="B112" s="1">
        <f>VLOOKUP(A:A,[2]奶酪产出!$G$18:$H$138,2,FALSE)</f>
        <v>52</v>
      </c>
      <c r="C112" s="1">
        <v>1010001</v>
      </c>
      <c r="E112" s="1">
        <v>1</v>
      </c>
      <c r="F112" s="1">
        <v>1010002</v>
      </c>
      <c r="H112" s="1">
        <f>VLOOKUP(A:A,[2]技能强化石!$L$14:$M$133,2,2)</f>
        <v>35</v>
      </c>
      <c r="I112" s="2">
        <v>1010004</v>
      </c>
      <c r="J112" s="2"/>
      <c r="K112" s="2">
        <f>VLOOKUP(A:A,[2]天赋点产出!$G$18:$H$138,2,FALSE)</f>
        <v>31</v>
      </c>
      <c r="L112" s="2">
        <v>1010014</v>
      </c>
      <c r="M112" s="2"/>
      <c r="O112" s="2" t="s">
        <v>1124</v>
      </c>
      <c r="P112" s="2" t="s">
        <v>1108</v>
      </c>
      <c r="Q112" s="1" t="str">
        <f t="shared" si="1"/>
        <v>1010001,52|1010002,1|1010004,35|1010014,31</v>
      </c>
    </row>
    <row r="113" spans="1:17" x14ac:dyDescent="0.2">
      <c r="A113" s="12">
        <v>112</v>
      </c>
      <c r="B113" s="1">
        <f>VLOOKUP(A:A,[2]奶酪产出!$G$18:$H$138,2,FALSE)</f>
        <v>52</v>
      </c>
      <c r="C113" s="1">
        <v>1010001</v>
      </c>
      <c r="E113" s="1">
        <v>1</v>
      </c>
      <c r="F113" s="1">
        <v>1010002</v>
      </c>
      <c r="H113" s="1">
        <f>VLOOKUP(A:A,[2]技能强化石!$L$14:$M$133,2,2)</f>
        <v>35</v>
      </c>
      <c r="I113" s="2">
        <v>1010004</v>
      </c>
      <c r="J113" s="2"/>
      <c r="K113" s="2">
        <f>VLOOKUP(A:A,[2]天赋点产出!$G$18:$H$138,2,FALSE)</f>
        <v>31</v>
      </c>
      <c r="L113" s="2">
        <v>1010014</v>
      </c>
      <c r="M113" s="2"/>
      <c r="O113" s="2" t="s">
        <v>1124</v>
      </c>
      <c r="P113" s="2" t="s">
        <v>1108</v>
      </c>
      <c r="Q113" s="1" t="str">
        <f t="shared" si="1"/>
        <v>1010001,52|1010002,1|1010004,35|1010014,31</v>
      </c>
    </row>
    <row r="114" spans="1:17" x14ac:dyDescent="0.2">
      <c r="A114" s="12">
        <v>113</v>
      </c>
      <c r="B114" s="1">
        <f>VLOOKUP(A:A,[2]奶酪产出!$G$18:$H$138,2,FALSE)</f>
        <v>53</v>
      </c>
      <c r="C114" s="1">
        <v>1010001</v>
      </c>
      <c r="E114" s="1">
        <v>1</v>
      </c>
      <c r="F114" s="1">
        <v>1010002</v>
      </c>
      <c r="H114" s="1">
        <f>VLOOKUP(A:A,[2]技能强化石!$L$14:$M$133,2,2)</f>
        <v>36</v>
      </c>
      <c r="I114" s="2">
        <v>1010004</v>
      </c>
      <c r="J114" s="2"/>
      <c r="K114" s="2">
        <f>VLOOKUP(A:A,[2]天赋点产出!$G$18:$H$138,2,FALSE)</f>
        <v>32</v>
      </c>
      <c r="L114" s="2">
        <v>1010014</v>
      </c>
      <c r="M114" s="2"/>
      <c r="O114" s="2" t="s">
        <v>1124</v>
      </c>
      <c r="P114" s="2" t="s">
        <v>1108</v>
      </c>
      <c r="Q114" s="1" t="str">
        <f t="shared" si="1"/>
        <v>1010001,53|1010002,1|1010004,36|1010014,32</v>
      </c>
    </row>
    <row r="115" spans="1:17" x14ac:dyDescent="0.2">
      <c r="A115" s="12">
        <v>114</v>
      </c>
      <c r="B115" s="1">
        <f>VLOOKUP(A:A,[2]奶酪产出!$G$18:$H$138,2,FALSE)</f>
        <v>53</v>
      </c>
      <c r="C115" s="1">
        <v>1010001</v>
      </c>
      <c r="E115" s="1">
        <v>1</v>
      </c>
      <c r="F115" s="1">
        <v>1010002</v>
      </c>
      <c r="H115" s="1">
        <f>VLOOKUP(A:A,[2]技能强化石!$L$14:$M$133,2,2)</f>
        <v>36</v>
      </c>
      <c r="I115" s="2">
        <v>1010004</v>
      </c>
      <c r="J115" s="2"/>
      <c r="K115" s="2">
        <f>VLOOKUP(A:A,[2]天赋点产出!$G$18:$H$138,2,FALSE)</f>
        <v>32</v>
      </c>
      <c r="L115" s="2">
        <v>1010014</v>
      </c>
      <c r="M115" s="2"/>
      <c r="O115" s="2" t="s">
        <v>1124</v>
      </c>
      <c r="P115" s="2" t="s">
        <v>1108</v>
      </c>
      <c r="Q115" s="1" t="str">
        <f t="shared" si="1"/>
        <v>1010001,53|1010002,1|1010004,36|1010014,32</v>
      </c>
    </row>
    <row r="116" spans="1:17" x14ac:dyDescent="0.2">
      <c r="A116" s="12">
        <v>115</v>
      </c>
      <c r="B116" s="1">
        <f>VLOOKUP(A:A,[2]奶酪产出!$G$18:$H$138,2,FALSE)</f>
        <v>53</v>
      </c>
      <c r="C116" s="1">
        <v>1010001</v>
      </c>
      <c r="E116" s="1">
        <v>1</v>
      </c>
      <c r="F116" s="1">
        <v>1010002</v>
      </c>
      <c r="H116" s="1">
        <f>VLOOKUP(A:A,[2]技能强化石!$L$14:$M$133,2,2)</f>
        <v>36</v>
      </c>
      <c r="I116" s="2">
        <v>1010004</v>
      </c>
      <c r="J116" s="2"/>
      <c r="K116" s="2">
        <f>VLOOKUP(A:A,[2]天赋点产出!$G$18:$H$138,2,FALSE)</f>
        <v>32</v>
      </c>
      <c r="L116" s="2">
        <v>1010014</v>
      </c>
      <c r="M116" s="2"/>
      <c r="O116" s="2" t="s">
        <v>1124</v>
      </c>
      <c r="P116" s="2" t="s">
        <v>1108</v>
      </c>
      <c r="Q116" s="1" t="str">
        <f t="shared" si="1"/>
        <v>1010001,53|1010002,1|1010004,36|1010014,32</v>
      </c>
    </row>
    <row r="117" spans="1:17" x14ac:dyDescent="0.2">
      <c r="A117" s="12">
        <v>116</v>
      </c>
      <c r="B117" s="1">
        <f>VLOOKUP(A:A,[2]奶酪产出!$G$18:$H$138,2,FALSE)</f>
        <v>53</v>
      </c>
      <c r="C117" s="1">
        <v>1010001</v>
      </c>
      <c r="E117" s="1">
        <v>1</v>
      </c>
      <c r="F117" s="1">
        <v>1010002</v>
      </c>
      <c r="H117" s="1">
        <f>VLOOKUP(A:A,[2]技能强化石!$L$14:$M$133,2,2)</f>
        <v>36</v>
      </c>
      <c r="I117" s="2">
        <v>1010004</v>
      </c>
      <c r="J117" s="2"/>
      <c r="K117" s="2">
        <f>VLOOKUP(A:A,[2]天赋点产出!$G$18:$H$138,2,FALSE)</f>
        <v>32</v>
      </c>
      <c r="L117" s="2">
        <v>1010014</v>
      </c>
      <c r="M117" s="2"/>
      <c r="O117" s="2" t="s">
        <v>1124</v>
      </c>
      <c r="P117" s="2" t="s">
        <v>1108</v>
      </c>
      <c r="Q117" s="1" t="str">
        <f t="shared" si="1"/>
        <v>1010001,53|1010002,1|1010004,36|1010014,32</v>
      </c>
    </row>
    <row r="118" spans="1:17" x14ac:dyDescent="0.2">
      <c r="A118" s="12">
        <v>117</v>
      </c>
      <c r="B118" s="1">
        <f>VLOOKUP(A:A,[2]奶酪产出!$G$18:$H$138,2,FALSE)</f>
        <v>54</v>
      </c>
      <c r="C118" s="1">
        <v>1010001</v>
      </c>
      <c r="E118" s="1">
        <v>1</v>
      </c>
      <c r="F118" s="1">
        <v>1010002</v>
      </c>
      <c r="H118" s="1">
        <f>VLOOKUP(A:A,[2]技能强化石!$L$14:$M$133,2,2)</f>
        <v>37</v>
      </c>
      <c r="I118" s="2">
        <v>1010004</v>
      </c>
      <c r="J118" s="2"/>
      <c r="K118" s="2">
        <f>VLOOKUP(A:A,[2]天赋点产出!$G$18:$H$138,2,FALSE)</f>
        <v>33</v>
      </c>
      <c r="L118" s="2">
        <v>1010014</v>
      </c>
      <c r="M118" s="2"/>
      <c r="O118" s="2" t="s">
        <v>1124</v>
      </c>
      <c r="P118" s="2" t="s">
        <v>1108</v>
      </c>
      <c r="Q118" s="1" t="str">
        <f t="shared" si="1"/>
        <v>1010001,54|1010002,1|1010004,37|1010014,33</v>
      </c>
    </row>
    <row r="119" spans="1:17" x14ac:dyDescent="0.2">
      <c r="A119" s="12">
        <v>118</v>
      </c>
      <c r="B119" s="1">
        <f>VLOOKUP(A:A,[2]奶酪产出!$G$18:$H$138,2,FALSE)</f>
        <v>54</v>
      </c>
      <c r="C119" s="1">
        <v>1010001</v>
      </c>
      <c r="E119" s="1">
        <v>1</v>
      </c>
      <c r="F119" s="1">
        <v>1010002</v>
      </c>
      <c r="H119" s="1">
        <f>VLOOKUP(A:A,[2]技能强化石!$L$14:$M$133,2,2)</f>
        <v>37</v>
      </c>
      <c r="I119" s="2">
        <v>1010004</v>
      </c>
      <c r="J119" s="2"/>
      <c r="K119" s="2">
        <f>VLOOKUP(A:A,[2]天赋点产出!$G$18:$H$138,2,FALSE)</f>
        <v>33</v>
      </c>
      <c r="L119" s="2">
        <v>1010014</v>
      </c>
      <c r="M119" s="2"/>
      <c r="O119" s="2" t="s">
        <v>1124</v>
      </c>
      <c r="P119" s="2" t="s">
        <v>1108</v>
      </c>
      <c r="Q119" s="1" t="str">
        <f t="shared" si="1"/>
        <v>1010001,54|1010002,1|1010004,37|1010014,33</v>
      </c>
    </row>
    <row r="120" spans="1:17" x14ac:dyDescent="0.2">
      <c r="A120" s="12">
        <v>119</v>
      </c>
      <c r="B120" s="1">
        <f>VLOOKUP(A:A,[2]奶酪产出!$G$18:$H$138,2,FALSE)</f>
        <v>54</v>
      </c>
      <c r="C120" s="1">
        <v>1010001</v>
      </c>
      <c r="E120" s="1">
        <v>1</v>
      </c>
      <c r="F120" s="1">
        <v>1010002</v>
      </c>
      <c r="H120" s="1">
        <f>VLOOKUP(A:A,[2]技能强化石!$L$14:$M$133,2,2)</f>
        <v>37</v>
      </c>
      <c r="I120" s="2">
        <v>1010004</v>
      </c>
      <c r="J120" s="2"/>
      <c r="K120" s="2">
        <f>VLOOKUP(A:A,[2]天赋点产出!$G$18:$H$138,2,FALSE)</f>
        <v>33</v>
      </c>
      <c r="L120" s="2">
        <v>1010014</v>
      </c>
      <c r="M120" s="2"/>
      <c r="O120" s="2" t="s">
        <v>1124</v>
      </c>
      <c r="P120" s="2" t="s">
        <v>1108</v>
      </c>
      <c r="Q120" s="1" t="str">
        <f t="shared" si="1"/>
        <v>1010001,54|1010002,1|1010004,37|1010014,33</v>
      </c>
    </row>
    <row r="121" spans="1:17" x14ac:dyDescent="0.2">
      <c r="A121" s="12">
        <v>120</v>
      </c>
      <c r="B121" s="1">
        <f>VLOOKUP(A:A,[2]奶酪产出!$G$18:$H$138,2,FALSE)</f>
        <v>54</v>
      </c>
      <c r="C121" s="1">
        <v>1010001</v>
      </c>
      <c r="E121" s="1">
        <v>1</v>
      </c>
      <c r="F121" s="1">
        <v>1010002</v>
      </c>
      <c r="H121" s="1">
        <f>VLOOKUP(A:A,[2]技能强化石!$L$14:$M$133,2,2)</f>
        <v>37</v>
      </c>
      <c r="I121" s="2">
        <v>1010004</v>
      </c>
      <c r="J121" s="2"/>
      <c r="K121" s="2">
        <f>VLOOKUP(A:A,[2]天赋点产出!$G$18:$H$138,2,FALSE)</f>
        <v>33</v>
      </c>
      <c r="L121" s="2">
        <v>1010014</v>
      </c>
      <c r="M121" s="2"/>
      <c r="O121" s="2" t="s">
        <v>1124</v>
      </c>
      <c r="P121" s="2" t="s">
        <v>1108</v>
      </c>
      <c r="Q121" s="1" t="str">
        <f t="shared" si="1"/>
        <v>1010001,54|1010002,1|1010004,37|1010014,33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workbookViewId="0">
      <selection sqref="A1:C1"/>
    </sheetView>
  </sheetViews>
  <sheetFormatPr defaultColWidth="9" defaultRowHeight="14.25" x14ac:dyDescent="0.2"/>
  <cols>
    <col min="3" max="3" width="10.875" customWidth="1"/>
    <col min="11" max="11" width="39" customWidth="1"/>
  </cols>
  <sheetData>
    <row r="1" spans="1:22" ht="16.5" x14ac:dyDescent="0.3">
      <c r="A1" s="9" t="s">
        <v>1125</v>
      </c>
      <c r="B1" s="2" t="s">
        <v>1126</v>
      </c>
      <c r="C1" s="11" t="s">
        <v>1127</v>
      </c>
      <c r="D1" s="11" t="s">
        <v>1128</v>
      </c>
      <c r="E1" s="10" t="s">
        <v>1129</v>
      </c>
      <c r="F1" s="10" t="s">
        <v>1130</v>
      </c>
      <c r="U1" s="6">
        <v>1010006</v>
      </c>
      <c r="V1" s="11" t="s">
        <v>1127</v>
      </c>
    </row>
    <row r="2" spans="1:22" ht="16.5" x14ac:dyDescent="0.3">
      <c r="A2" s="4">
        <v>1</v>
      </c>
      <c r="B2" s="5">
        <f>VLOOKUP(A:A,[2]神器碎片!$H$26:$I$145,2,FALSE)</f>
        <v>5</v>
      </c>
      <c r="C2" s="6">
        <v>1010006</v>
      </c>
      <c r="D2" s="6">
        <v>1010007</v>
      </c>
      <c r="E2" s="6">
        <v>1010008</v>
      </c>
      <c r="F2" s="6">
        <v>1010009</v>
      </c>
      <c r="H2" s="9" t="s">
        <v>1108</v>
      </c>
      <c r="I2" s="9" t="s">
        <v>1124</v>
      </c>
      <c r="K2" t="str">
        <f>C2&amp;H2&amp;B2&amp;I2&amp;D2&amp;H2&amp;B2&amp;I2&amp;E2&amp;H2&amp;B2&amp;I2&amp;F2&amp;H2&amp;B2</f>
        <v>1010006,5|1010007,5|1010008,5|1010009,5</v>
      </c>
      <c r="U2" s="6">
        <v>1010007</v>
      </c>
      <c r="V2" s="11" t="s">
        <v>1128</v>
      </c>
    </row>
    <row r="3" spans="1:22" ht="16.5" x14ac:dyDescent="0.3">
      <c r="A3" s="4">
        <v>2</v>
      </c>
      <c r="B3" s="5">
        <f>VLOOKUP(A:A,[2]神器碎片!$H$26:$I$145,2,FALSE)</f>
        <v>5</v>
      </c>
      <c r="C3" s="6">
        <v>1010006</v>
      </c>
      <c r="D3" s="6">
        <v>1010007</v>
      </c>
      <c r="E3" s="6">
        <v>1010008</v>
      </c>
      <c r="F3" s="6">
        <v>1010009</v>
      </c>
      <c r="H3" s="9" t="s">
        <v>1108</v>
      </c>
      <c r="I3" s="9" t="s">
        <v>1124</v>
      </c>
      <c r="K3" t="str">
        <f t="shared" ref="K3:K66" si="0">C3&amp;H3&amp;B3&amp;I3&amp;D3&amp;H3&amp;B3&amp;I3&amp;E3&amp;H3&amp;B3&amp;I3&amp;F3&amp;H3&amp;B3</f>
        <v>1010006,5|1010007,5|1010008,5|1010009,5</v>
      </c>
      <c r="U3" s="6">
        <v>1010008</v>
      </c>
      <c r="V3" s="10" t="s">
        <v>1129</v>
      </c>
    </row>
    <row r="4" spans="1:22" ht="16.5" x14ac:dyDescent="0.3">
      <c r="A4" s="4">
        <v>3</v>
      </c>
      <c r="B4" s="5">
        <f>VLOOKUP(A:A,[2]神器碎片!$H$26:$I$145,2,FALSE)</f>
        <v>5</v>
      </c>
      <c r="C4" s="6">
        <v>1010006</v>
      </c>
      <c r="D4" s="6">
        <v>1010007</v>
      </c>
      <c r="E4" s="6">
        <v>1010008</v>
      </c>
      <c r="F4" s="6">
        <v>1010009</v>
      </c>
      <c r="H4" s="9" t="s">
        <v>1108</v>
      </c>
      <c r="I4" s="9" t="s">
        <v>1124</v>
      </c>
      <c r="K4" t="str">
        <f t="shared" si="0"/>
        <v>1010006,5|1010007,5|1010008,5|1010009,5</v>
      </c>
      <c r="U4" s="6">
        <v>1010009</v>
      </c>
      <c r="V4" s="10" t="s">
        <v>1130</v>
      </c>
    </row>
    <row r="5" spans="1:22" ht="16.5" x14ac:dyDescent="0.3">
      <c r="A5" s="4">
        <v>4</v>
      </c>
      <c r="B5" s="5">
        <f>VLOOKUP(A:A,[2]神器碎片!$H$26:$I$145,2,FALSE)</f>
        <v>5</v>
      </c>
      <c r="C5" s="6">
        <v>1010006</v>
      </c>
      <c r="D5" s="6">
        <v>1010007</v>
      </c>
      <c r="E5" s="6">
        <v>1010008</v>
      </c>
      <c r="F5" s="6">
        <v>1010009</v>
      </c>
      <c r="H5" s="9" t="s">
        <v>1108</v>
      </c>
      <c r="I5" s="9" t="s">
        <v>1124</v>
      </c>
      <c r="K5" t="str">
        <f t="shared" si="0"/>
        <v>1010006,5|1010007,5|1010008,5|1010009,5</v>
      </c>
    </row>
    <row r="6" spans="1:22" ht="16.5" x14ac:dyDescent="0.3">
      <c r="A6" s="4">
        <v>5</v>
      </c>
      <c r="B6" s="5">
        <f>VLOOKUP(A:A,[2]神器碎片!$H$26:$I$145,2,FALSE)</f>
        <v>6</v>
      </c>
      <c r="C6" s="6">
        <v>1010006</v>
      </c>
      <c r="D6" s="6">
        <v>1010007</v>
      </c>
      <c r="E6" s="6">
        <v>1010008</v>
      </c>
      <c r="F6" s="6">
        <v>1010009</v>
      </c>
      <c r="H6" s="9" t="s">
        <v>1108</v>
      </c>
      <c r="I6" s="9" t="s">
        <v>1124</v>
      </c>
      <c r="K6" t="str">
        <f t="shared" si="0"/>
        <v>1010006,6|1010007,6|1010008,6|1010009,6</v>
      </c>
    </row>
    <row r="7" spans="1:22" ht="16.5" x14ac:dyDescent="0.3">
      <c r="A7" s="4">
        <v>6</v>
      </c>
      <c r="B7" s="5">
        <f>VLOOKUP(A:A,[2]神器碎片!$H$26:$I$145,2,FALSE)</f>
        <v>6</v>
      </c>
      <c r="C7" s="6">
        <v>1010006</v>
      </c>
      <c r="D7" s="6">
        <v>1010007</v>
      </c>
      <c r="E7" s="6">
        <v>1010008</v>
      </c>
      <c r="F7" s="6">
        <v>1010009</v>
      </c>
      <c r="H7" s="9" t="s">
        <v>1108</v>
      </c>
      <c r="I7" s="9" t="s">
        <v>1124</v>
      </c>
      <c r="K7" t="str">
        <f t="shared" si="0"/>
        <v>1010006,6|1010007,6|1010008,6|1010009,6</v>
      </c>
    </row>
    <row r="8" spans="1:22" ht="16.5" x14ac:dyDescent="0.3">
      <c r="A8" s="4">
        <v>7</v>
      </c>
      <c r="B8" s="5">
        <f>VLOOKUP(A:A,[2]神器碎片!$H$26:$I$145,2,FALSE)</f>
        <v>6</v>
      </c>
      <c r="C8" s="6">
        <v>1010006</v>
      </c>
      <c r="D8" s="6">
        <v>1010007</v>
      </c>
      <c r="E8" s="6">
        <v>1010008</v>
      </c>
      <c r="F8" s="6">
        <v>1010009</v>
      </c>
      <c r="H8" s="9" t="s">
        <v>1108</v>
      </c>
      <c r="I8" s="9" t="s">
        <v>1124</v>
      </c>
      <c r="K8" t="str">
        <f t="shared" si="0"/>
        <v>1010006,6|1010007,6|1010008,6|1010009,6</v>
      </c>
    </row>
    <row r="9" spans="1:22" ht="16.5" x14ac:dyDescent="0.3">
      <c r="A9" s="4">
        <v>8</v>
      </c>
      <c r="B9" s="5">
        <f>VLOOKUP(A:A,[2]神器碎片!$H$26:$I$145,2,FALSE)</f>
        <v>6</v>
      </c>
      <c r="C9" s="6">
        <v>1010006</v>
      </c>
      <c r="D9" s="6">
        <v>1010007</v>
      </c>
      <c r="E9" s="6">
        <v>1010008</v>
      </c>
      <c r="F9" s="6">
        <v>1010009</v>
      </c>
      <c r="H9" s="9" t="s">
        <v>1108</v>
      </c>
      <c r="I9" s="9" t="s">
        <v>1124</v>
      </c>
      <c r="K9" t="str">
        <f t="shared" si="0"/>
        <v>1010006,6|1010007,6|1010008,6|1010009,6</v>
      </c>
    </row>
    <row r="10" spans="1:22" ht="16.5" x14ac:dyDescent="0.3">
      <c r="A10" s="4">
        <v>9</v>
      </c>
      <c r="B10" s="5">
        <f>VLOOKUP(A:A,[2]神器碎片!$H$26:$I$145,2,FALSE)</f>
        <v>7</v>
      </c>
      <c r="C10" s="6">
        <v>1010006</v>
      </c>
      <c r="D10" s="6">
        <v>1010007</v>
      </c>
      <c r="E10" s="6">
        <v>1010008</v>
      </c>
      <c r="F10" s="6">
        <v>1010009</v>
      </c>
      <c r="H10" s="9" t="s">
        <v>1108</v>
      </c>
      <c r="I10" s="9" t="s">
        <v>1124</v>
      </c>
      <c r="K10" t="str">
        <f t="shared" si="0"/>
        <v>1010006,7|1010007,7|1010008,7|1010009,7</v>
      </c>
    </row>
    <row r="11" spans="1:22" ht="16.5" x14ac:dyDescent="0.3">
      <c r="A11" s="4">
        <v>10</v>
      </c>
      <c r="B11" s="5">
        <f>VLOOKUP(A:A,[2]神器碎片!$H$26:$I$145,2,FALSE)</f>
        <v>7</v>
      </c>
      <c r="C11" s="6">
        <v>1010006</v>
      </c>
      <c r="D11" s="6">
        <v>1010007</v>
      </c>
      <c r="E11" s="6">
        <v>1010008</v>
      </c>
      <c r="F11" s="6">
        <v>1010009</v>
      </c>
      <c r="H11" s="9" t="s">
        <v>1108</v>
      </c>
      <c r="I11" s="9" t="s">
        <v>1124</v>
      </c>
      <c r="K11" t="str">
        <f t="shared" si="0"/>
        <v>1010006,7|1010007,7|1010008,7|1010009,7</v>
      </c>
    </row>
    <row r="12" spans="1:22" ht="16.5" x14ac:dyDescent="0.3">
      <c r="A12" s="4">
        <v>11</v>
      </c>
      <c r="B12" s="5">
        <f>VLOOKUP(A:A,[2]神器碎片!$H$26:$I$145,2,FALSE)</f>
        <v>7</v>
      </c>
      <c r="C12" s="6">
        <v>1010006</v>
      </c>
      <c r="D12" s="6">
        <v>1010007</v>
      </c>
      <c r="E12" s="6">
        <v>1010008</v>
      </c>
      <c r="F12" s="6">
        <v>1010009</v>
      </c>
      <c r="H12" s="9" t="s">
        <v>1108</v>
      </c>
      <c r="I12" s="9" t="s">
        <v>1124</v>
      </c>
      <c r="K12" t="str">
        <f t="shared" si="0"/>
        <v>1010006,7|1010007,7|1010008,7|1010009,7</v>
      </c>
    </row>
    <row r="13" spans="1:22" ht="16.5" x14ac:dyDescent="0.3">
      <c r="A13" s="4">
        <v>12</v>
      </c>
      <c r="B13" s="5">
        <f>VLOOKUP(A:A,[2]神器碎片!$H$26:$I$145,2,FALSE)</f>
        <v>7</v>
      </c>
      <c r="C13" s="6">
        <v>1010006</v>
      </c>
      <c r="D13" s="6">
        <v>1010007</v>
      </c>
      <c r="E13" s="6">
        <v>1010008</v>
      </c>
      <c r="F13" s="6">
        <v>1010009</v>
      </c>
      <c r="H13" s="9" t="s">
        <v>1108</v>
      </c>
      <c r="I13" s="9" t="s">
        <v>1124</v>
      </c>
      <c r="K13" t="str">
        <f t="shared" si="0"/>
        <v>1010006,7|1010007,7|1010008,7|1010009,7</v>
      </c>
    </row>
    <row r="14" spans="1:22" ht="16.5" x14ac:dyDescent="0.3">
      <c r="A14" s="4">
        <v>13</v>
      </c>
      <c r="B14" s="5">
        <f>VLOOKUP(A:A,[2]神器碎片!$H$26:$I$145,2,FALSE)</f>
        <v>8</v>
      </c>
      <c r="C14" s="6">
        <v>1010006</v>
      </c>
      <c r="D14" s="6">
        <v>1010007</v>
      </c>
      <c r="E14" s="6">
        <v>1010008</v>
      </c>
      <c r="F14" s="6">
        <v>1010009</v>
      </c>
      <c r="H14" s="9" t="s">
        <v>1108</v>
      </c>
      <c r="I14" s="9" t="s">
        <v>1124</v>
      </c>
      <c r="K14" t="str">
        <f t="shared" si="0"/>
        <v>1010006,8|1010007,8|1010008,8|1010009,8</v>
      </c>
    </row>
    <row r="15" spans="1:22" ht="16.5" x14ac:dyDescent="0.3">
      <c r="A15" s="4">
        <v>14</v>
      </c>
      <c r="B15" s="5">
        <f>VLOOKUP(A:A,[2]神器碎片!$H$26:$I$145,2,FALSE)</f>
        <v>8</v>
      </c>
      <c r="C15" s="6">
        <v>1010006</v>
      </c>
      <c r="D15" s="6">
        <v>1010007</v>
      </c>
      <c r="E15" s="6">
        <v>1010008</v>
      </c>
      <c r="F15" s="6">
        <v>1010009</v>
      </c>
      <c r="H15" s="9" t="s">
        <v>1108</v>
      </c>
      <c r="I15" s="9" t="s">
        <v>1124</v>
      </c>
      <c r="K15" t="str">
        <f t="shared" si="0"/>
        <v>1010006,8|1010007,8|1010008,8|1010009,8</v>
      </c>
    </row>
    <row r="16" spans="1:22" ht="16.5" x14ac:dyDescent="0.3">
      <c r="A16" s="4">
        <v>15</v>
      </c>
      <c r="B16" s="5">
        <f>VLOOKUP(A:A,[2]神器碎片!$H$26:$I$145,2,FALSE)</f>
        <v>8</v>
      </c>
      <c r="C16" s="6">
        <v>1010006</v>
      </c>
      <c r="D16" s="6">
        <v>1010007</v>
      </c>
      <c r="E16" s="6">
        <v>1010008</v>
      </c>
      <c r="F16" s="6">
        <v>1010009</v>
      </c>
      <c r="H16" s="9" t="s">
        <v>1108</v>
      </c>
      <c r="I16" s="9" t="s">
        <v>1124</v>
      </c>
      <c r="K16" t="str">
        <f t="shared" si="0"/>
        <v>1010006,8|1010007,8|1010008,8|1010009,8</v>
      </c>
    </row>
    <row r="17" spans="1:11" ht="16.5" x14ac:dyDescent="0.3">
      <c r="A17" s="4">
        <v>16</v>
      </c>
      <c r="B17" s="5">
        <f>VLOOKUP(A:A,[2]神器碎片!$H$26:$I$145,2,FALSE)</f>
        <v>8</v>
      </c>
      <c r="C17" s="6">
        <v>1010006</v>
      </c>
      <c r="D17" s="6">
        <v>1010007</v>
      </c>
      <c r="E17" s="6">
        <v>1010008</v>
      </c>
      <c r="F17" s="6">
        <v>1010009</v>
      </c>
      <c r="H17" s="9" t="s">
        <v>1108</v>
      </c>
      <c r="I17" s="9" t="s">
        <v>1124</v>
      </c>
      <c r="K17" t="str">
        <f t="shared" si="0"/>
        <v>1010006,8|1010007,8|1010008,8|1010009,8</v>
      </c>
    </row>
    <row r="18" spans="1:11" ht="16.5" x14ac:dyDescent="0.3">
      <c r="A18" s="4">
        <v>17</v>
      </c>
      <c r="B18" s="5">
        <f>VLOOKUP(A:A,[2]神器碎片!$H$26:$I$145,2,FALSE)</f>
        <v>9</v>
      </c>
      <c r="C18" s="6">
        <v>1010006</v>
      </c>
      <c r="D18" s="6">
        <v>1010007</v>
      </c>
      <c r="E18" s="6">
        <v>1010008</v>
      </c>
      <c r="F18" s="6">
        <v>1010009</v>
      </c>
      <c r="H18" s="9" t="s">
        <v>1108</v>
      </c>
      <c r="I18" s="9" t="s">
        <v>1124</v>
      </c>
      <c r="K18" t="str">
        <f t="shared" si="0"/>
        <v>1010006,9|1010007,9|1010008,9|1010009,9</v>
      </c>
    </row>
    <row r="19" spans="1:11" ht="16.5" x14ac:dyDescent="0.3">
      <c r="A19" s="4">
        <v>18</v>
      </c>
      <c r="B19" s="5">
        <f>VLOOKUP(A:A,[2]神器碎片!$H$26:$I$145,2,FALSE)</f>
        <v>9</v>
      </c>
      <c r="C19" s="6">
        <v>1010006</v>
      </c>
      <c r="D19" s="6">
        <v>1010007</v>
      </c>
      <c r="E19" s="6">
        <v>1010008</v>
      </c>
      <c r="F19" s="6">
        <v>1010009</v>
      </c>
      <c r="H19" s="9" t="s">
        <v>1108</v>
      </c>
      <c r="I19" s="9" t="s">
        <v>1124</v>
      </c>
      <c r="K19" t="str">
        <f t="shared" si="0"/>
        <v>1010006,9|1010007,9|1010008,9|1010009,9</v>
      </c>
    </row>
    <row r="20" spans="1:11" ht="16.5" x14ac:dyDescent="0.3">
      <c r="A20" s="4">
        <v>19</v>
      </c>
      <c r="B20" s="5">
        <f>VLOOKUP(A:A,[2]神器碎片!$H$26:$I$145,2,FALSE)</f>
        <v>9</v>
      </c>
      <c r="C20" s="6">
        <v>1010006</v>
      </c>
      <c r="D20" s="6">
        <v>1010007</v>
      </c>
      <c r="E20" s="6">
        <v>1010008</v>
      </c>
      <c r="F20" s="6">
        <v>1010009</v>
      </c>
      <c r="H20" s="9" t="s">
        <v>1108</v>
      </c>
      <c r="I20" s="9" t="s">
        <v>1124</v>
      </c>
      <c r="K20" t="str">
        <f t="shared" si="0"/>
        <v>1010006,9|1010007,9|1010008,9|1010009,9</v>
      </c>
    </row>
    <row r="21" spans="1:11" ht="16.5" x14ac:dyDescent="0.3">
      <c r="A21" s="4">
        <v>20</v>
      </c>
      <c r="B21" s="5">
        <f>VLOOKUP(A:A,[2]神器碎片!$H$26:$I$145,2,FALSE)</f>
        <v>9</v>
      </c>
      <c r="C21" s="6">
        <v>1010006</v>
      </c>
      <c r="D21" s="6">
        <v>1010007</v>
      </c>
      <c r="E21" s="6">
        <v>1010008</v>
      </c>
      <c r="F21" s="6">
        <v>1010009</v>
      </c>
      <c r="H21" s="9" t="s">
        <v>1108</v>
      </c>
      <c r="I21" s="9" t="s">
        <v>1124</v>
      </c>
      <c r="K21" t="str">
        <f t="shared" si="0"/>
        <v>1010006,9|1010007,9|1010008,9|1010009,9</v>
      </c>
    </row>
    <row r="22" spans="1:11" ht="16.5" x14ac:dyDescent="0.3">
      <c r="A22" s="4">
        <v>21</v>
      </c>
      <c r="B22" s="5">
        <f>VLOOKUP(A:A,[2]神器碎片!$H$26:$I$145,2,FALSE)</f>
        <v>10</v>
      </c>
      <c r="C22" s="6">
        <v>1010006</v>
      </c>
      <c r="D22" s="6">
        <v>1010007</v>
      </c>
      <c r="E22" s="6">
        <v>1010008</v>
      </c>
      <c r="F22" s="6">
        <v>1010009</v>
      </c>
      <c r="H22" s="9" t="s">
        <v>1108</v>
      </c>
      <c r="I22" s="9" t="s">
        <v>1124</v>
      </c>
      <c r="K22" t="str">
        <f t="shared" si="0"/>
        <v>1010006,10|1010007,10|1010008,10|1010009,10</v>
      </c>
    </row>
    <row r="23" spans="1:11" ht="16.5" x14ac:dyDescent="0.3">
      <c r="A23" s="4">
        <v>22</v>
      </c>
      <c r="B23" s="5">
        <f>VLOOKUP(A:A,[2]神器碎片!$H$26:$I$145,2,FALSE)</f>
        <v>10</v>
      </c>
      <c r="C23" s="6">
        <v>1010006</v>
      </c>
      <c r="D23" s="6">
        <v>1010007</v>
      </c>
      <c r="E23" s="6">
        <v>1010008</v>
      </c>
      <c r="F23" s="6">
        <v>1010009</v>
      </c>
      <c r="H23" s="9" t="s">
        <v>1108</v>
      </c>
      <c r="I23" s="9" t="s">
        <v>1124</v>
      </c>
      <c r="K23" t="str">
        <f t="shared" si="0"/>
        <v>1010006,10|1010007,10|1010008,10|1010009,10</v>
      </c>
    </row>
    <row r="24" spans="1:11" ht="16.5" x14ac:dyDescent="0.3">
      <c r="A24" s="4">
        <v>23</v>
      </c>
      <c r="B24" s="5">
        <f>VLOOKUP(A:A,[2]神器碎片!$H$26:$I$145,2,FALSE)</f>
        <v>10</v>
      </c>
      <c r="C24" s="6">
        <v>1010006</v>
      </c>
      <c r="D24" s="6">
        <v>1010007</v>
      </c>
      <c r="E24" s="6">
        <v>1010008</v>
      </c>
      <c r="F24" s="6">
        <v>1010009</v>
      </c>
      <c r="H24" s="9" t="s">
        <v>1108</v>
      </c>
      <c r="I24" s="9" t="s">
        <v>1124</v>
      </c>
      <c r="K24" t="str">
        <f t="shared" si="0"/>
        <v>1010006,10|1010007,10|1010008,10|1010009,10</v>
      </c>
    </row>
    <row r="25" spans="1:11" ht="16.5" x14ac:dyDescent="0.3">
      <c r="A25" s="4">
        <v>24</v>
      </c>
      <c r="B25" s="5">
        <f>VLOOKUP(A:A,[2]神器碎片!$H$26:$I$145,2,FALSE)</f>
        <v>10</v>
      </c>
      <c r="C25" s="6">
        <v>1010006</v>
      </c>
      <c r="D25" s="6">
        <v>1010007</v>
      </c>
      <c r="E25" s="6">
        <v>1010008</v>
      </c>
      <c r="F25" s="6">
        <v>1010009</v>
      </c>
      <c r="H25" s="9" t="s">
        <v>1108</v>
      </c>
      <c r="I25" s="9" t="s">
        <v>1124</v>
      </c>
      <c r="K25" t="str">
        <f t="shared" si="0"/>
        <v>1010006,10|1010007,10|1010008,10|1010009,10</v>
      </c>
    </row>
    <row r="26" spans="1:11" ht="16.5" x14ac:dyDescent="0.3">
      <c r="A26" s="4">
        <v>25</v>
      </c>
      <c r="B26" s="5">
        <f>VLOOKUP(A:A,[2]神器碎片!$H$26:$I$145,2,FALSE)</f>
        <v>11</v>
      </c>
      <c r="C26" s="6">
        <v>1010006</v>
      </c>
      <c r="D26" s="6">
        <v>1010007</v>
      </c>
      <c r="E26" s="6">
        <v>1010008</v>
      </c>
      <c r="F26" s="6">
        <v>1010009</v>
      </c>
      <c r="H26" s="9" t="s">
        <v>1108</v>
      </c>
      <c r="I26" s="9" t="s">
        <v>1124</v>
      </c>
      <c r="K26" t="str">
        <f t="shared" si="0"/>
        <v>1010006,11|1010007,11|1010008,11|1010009,11</v>
      </c>
    </row>
    <row r="27" spans="1:11" ht="16.5" x14ac:dyDescent="0.3">
      <c r="A27" s="4">
        <v>26</v>
      </c>
      <c r="B27" s="5">
        <f>VLOOKUP(A:A,[2]神器碎片!$H$26:$I$145,2,FALSE)</f>
        <v>11</v>
      </c>
      <c r="C27" s="6">
        <v>1010006</v>
      </c>
      <c r="D27" s="6">
        <v>1010007</v>
      </c>
      <c r="E27" s="6">
        <v>1010008</v>
      </c>
      <c r="F27" s="6">
        <v>1010009</v>
      </c>
      <c r="H27" s="9" t="s">
        <v>1108</v>
      </c>
      <c r="I27" s="9" t="s">
        <v>1124</v>
      </c>
      <c r="K27" t="str">
        <f t="shared" si="0"/>
        <v>1010006,11|1010007,11|1010008,11|1010009,11</v>
      </c>
    </row>
    <row r="28" spans="1:11" ht="16.5" x14ac:dyDescent="0.3">
      <c r="A28" s="4">
        <v>27</v>
      </c>
      <c r="B28" s="5">
        <f>VLOOKUP(A:A,[2]神器碎片!$H$26:$I$145,2,FALSE)</f>
        <v>11</v>
      </c>
      <c r="C28" s="6">
        <v>1010006</v>
      </c>
      <c r="D28" s="6">
        <v>1010007</v>
      </c>
      <c r="E28" s="6">
        <v>1010008</v>
      </c>
      <c r="F28" s="6">
        <v>1010009</v>
      </c>
      <c r="H28" s="9" t="s">
        <v>1108</v>
      </c>
      <c r="I28" s="9" t="s">
        <v>1124</v>
      </c>
      <c r="K28" t="str">
        <f t="shared" si="0"/>
        <v>1010006,11|1010007,11|1010008,11|1010009,11</v>
      </c>
    </row>
    <row r="29" spans="1:11" ht="16.5" x14ac:dyDescent="0.3">
      <c r="A29" s="4">
        <v>28</v>
      </c>
      <c r="B29" s="5">
        <f>VLOOKUP(A:A,[2]神器碎片!$H$26:$I$145,2,FALSE)</f>
        <v>11</v>
      </c>
      <c r="C29" s="6">
        <v>1010006</v>
      </c>
      <c r="D29" s="6">
        <v>1010007</v>
      </c>
      <c r="E29" s="6">
        <v>1010008</v>
      </c>
      <c r="F29" s="6">
        <v>1010009</v>
      </c>
      <c r="H29" s="9" t="s">
        <v>1108</v>
      </c>
      <c r="I29" s="9" t="s">
        <v>1124</v>
      </c>
      <c r="K29" t="str">
        <f t="shared" si="0"/>
        <v>1010006,11|1010007,11|1010008,11|1010009,11</v>
      </c>
    </row>
    <row r="30" spans="1:11" ht="16.5" x14ac:dyDescent="0.3">
      <c r="A30" s="4">
        <v>29</v>
      </c>
      <c r="B30" s="5">
        <f>VLOOKUP(A:A,[2]神器碎片!$H$26:$I$145,2,FALSE)</f>
        <v>12</v>
      </c>
      <c r="C30" s="6">
        <v>1010006</v>
      </c>
      <c r="D30" s="6">
        <v>1010007</v>
      </c>
      <c r="E30" s="6">
        <v>1010008</v>
      </c>
      <c r="F30" s="6">
        <v>1010009</v>
      </c>
      <c r="H30" s="9" t="s">
        <v>1108</v>
      </c>
      <c r="I30" s="9" t="s">
        <v>1124</v>
      </c>
      <c r="K30" t="str">
        <f t="shared" si="0"/>
        <v>1010006,12|1010007,12|1010008,12|1010009,12</v>
      </c>
    </row>
    <row r="31" spans="1:11" ht="16.5" x14ac:dyDescent="0.3">
      <c r="A31" s="4">
        <v>30</v>
      </c>
      <c r="B31" s="5">
        <f>VLOOKUP(A:A,[2]神器碎片!$H$26:$I$145,2,FALSE)</f>
        <v>12</v>
      </c>
      <c r="C31" s="6">
        <v>1010006</v>
      </c>
      <c r="D31" s="6">
        <v>1010007</v>
      </c>
      <c r="E31" s="6">
        <v>1010008</v>
      </c>
      <c r="F31" s="6">
        <v>1010009</v>
      </c>
      <c r="H31" s="9" t="s">
        <v>1108</v>
      </c>
      <c r="I31" s="9" t="s">
        <v>1124</v>
      </c>
      <c r="K31" t="str">
        <f t="shared" si="0"/>
        <v>1010006,12|1010007,12|1010008,12|1010009,12</v>
      </c>
    </row>
    <row r="32" spans="1:11" ht="16.5" x14ac:dyDescent="0.3">
      <c r="A32" s="4">
        <v>31</v>
      </c>
      <c r="B32" s="5">
        <f>VLOOKUP(A:A,[2]神器碎片!$H$26:$I$145,2,FALSE)</f>
        <v>12</v>
      </c>
      <c r="C32" s="6">
        <v>1010006</v>
      </c>
      <c r="D32" s="6">
        <v>1010007</v>
      </c>
      <c r="E32" s="6">
        <v>1010008</v>
      </c>
      <c r="F32" s="6">
        <v>1010009</v>
      </c>
      <c r="H32" s="9" t="s">
        <v>1108</v>
      </c>
      <c r="I32" s="9" t="s">
        <v>1124</v>
      </c>
      <c r="K32" t="str">
        <f t="shared" si="0"/>
        <v>1010006,12|1010007,12|1010008,12|1010009,12</v>
      </c>
    </row>
    <row r="33" spans="1:11" ht="16.5" x14ac:dyDescent="0.3">
      <c r="A33" s="4">
        <v>32</v>
      </c>
      <c r="B33" s="5">
        <f>VLOOKUP(A:A,[2]神器碎片!$H$26:$I$145,2,FALSE)</f>
        <v>12</v>
      </c>
      <c r="C33" s="6">
        <v>1010006</v>
      </c>
      <c r="D33" s="6">
        <v>1010007</v>
      </c>
      <c r="E33" s="6">
        <v>1010008</v>
      </c>
      <c r="F33" s="6">
        <v>1010009</v>
      </c>
      <c r="H33" s="9" t="s">
        <v>1108</v>
      </c>
      <c r="I33" s="9" t="s">
        <v>1124</v>
      </c>
      <c r="K33" t="str">
        <f t="shared" si="0"/>
        <v>1010006,12|1010007,12|1010008,12|1010009,12</v>
      </c>
    </row>
    <row r="34" spans="1:11" ht="16.5" x14ac:dyDescent="0.3">
      <c r="A34" s="4">
        <v>33</v>
      </c>
      <c r="B34" s="5">
        <f>VLOOKUP(A:A,[2]神器碎片!$H$26:$I$145,2,FALSE)</f>
        <v>13</v>
      </c>
      <c r="C34" s="6">
        <v>1010006</v>
      </c>
      <c r="D34" s="6">
        <v>1010007</v>
      </c>
      <c r="E34" s="6">
        <v>1010008</v>
      </c>
      <c r="F34" s="6">
        <v>1010009</v>
      </c>
      <c r="H34" s="9" t="s">
        <v>1108</v>
      </c>
      <c r="I34" s="9" t="s">
        <v>1124</v>
      </c>
      <c r="K34" t="str">
        <f t="shared" si="0"/>
        <v>1010006,13|1010007,13|1010008,13|1010009,13</v>
      </c>
    </row>
    <row r="35" spans="1:11" ht="16.5" x14ac:dyDescent="0.3">
      <c r="A35" s="4">
        <v>34</v>
      </c>
      <c r="B35" s="5">
        <f>VLOOKUP(A:A,[2]神器碎片!$H$26:$I$145,2,FALSE)</f>
        <v>13</v>
      </c>
      <c r="C35" s="6">
        <v>1010006</v>
      </c>
      <c r="D35" s="6">
        <v>1010007</v>
      </c>
      <c r="E35" s="6">
        <v>1010008</v>
      </c>
      <c r="F35" s="6">
        <v>1010009</v>
      </c>
      <c r="H35" s="9" t="s">
        <v>1108</v>
      </c>
      <c r="I35" s="9" t="s">
        <v>1124</v>
      </c>
      <c r="K35" t="str">
        <f t="shared" si="0"/>
        <v>1010006,13|1010007,13|1010008,13|1010009,13</v>
      </c>
    </row>
    <row r="36" spans="1:11" ht="16.5" x14ac:dyDescent="0.3">
      <c r="A36" s="4">
        <v>35</v>
      </c>
      <c r="B36" s="5">
        <f>VLOOKUP(A:A,[2]神器碎片!$H$26:$I$145,2,FALSE)</f>
        <v>13</v>
      </c>
      <c r="C36" s="6">
        <v>1010006</v>
      </c>
      <c r="D36" s="6">
        <v>1010007</v>
      </c>
      <c r="E36" s="6">
        <v>1010008</v>
      </c>
      <c r="F36" s="6">
        <v>1010009</v>
      </c>
      <c r="H36" s="9" t="s">
        <v>1108</v>
      </c>
      <c r="I36" s="9" t="s">
        <v>1124</v>
      </c>
      <c r="K36" t="str">
        <f t="shared" si="0"/>
        <v>1010006,13|1010007,13|1010008,13|1010009,13</v>
      </c>
    </row>
    <row r="37" spans="1:11" ht="16.5" x14ac:dyDescent="0.3">
      <c r="A37" s="4">
        <v>36</v>
      </c>
      <c r="B37" s="5">
        <f>VLOOKUP(A:A,[2]神器碎片!$H$26:$I$145,2,FALSE)</f>
        <v>13</v>
      </c>
      <c r="C37" s="6">
        <v>1010006</v>
      </c>
      <c r="D37" s="6">
        <v>1010007</v>
      </c>
      <c r="E37" s="6">
        <v>1010008</v>
      </c>
      <c r="F37" s="6">
        <v>1010009</v>
      </c>
      <c r="H37" s="9" t="s">
        <v>1108</v>
      </c>
      <c r="I37" s="9" t="s">
        <v>1124</v>
      </c>
      <c r="K37" t="str">
        <f t="shared" si="0"/>
        <v>1010006,13|1010007,13|1010008,13|1010009,13</v>
      </c>
    </row>
    <row r="38" spans="1:11" ht="16.5" x14ac:dyDescent="0.3">
      <c r="A38" s="4">
        <v>37</v>
      </c>
      <c r="B38" s="5">
        <f>VLOOKUP(A:A,[2]神器碎片!$H$26:$I$145,2,FALSE)</f>
        <v>14</v>
      </c>
      <c r="C38" s="6">
        <v>1010006</v>
      </c>
      <c r="D38" s="6">
        <v>1010007</v>
      </c>
      <c r="E38" s="6">
        <v>1010008</v>
      </c>
      <c r="F38" s="6">
        <v>1010009</v>
      </c>
      <c r="H38" s="9" t="s">
        <v>1108</v>
      </c>
      <c r="I38" s="9" t="s">
        <v>1124</v>
      </c>
      <c r="K38" t="str">
        <f t="shared" si="0"/>
        <v>1010006,14|1010007,14|1010008,14|1010009,14</v>
      </c>
    </row>
    <row r="39" spans="1:11" ht="16.5" x14ac:dyDescent="0.3">
      <c r="A39" s="4">
        <v>38</v>
      </c>
      <c r="B39" s="5">
        <f>VLOOKUP(A:A,[2]神器碎片!$H$26:$I$145,2,FALSE)</f>
        <v>14</v>
      </c>
      <c r="C39" s="6">
        <v>1010006</v>
      </c>
      <c r="D39" s="6">
        <v>1010007</v>
      </c>
      <c r="E39" s="6">
        <v>1010008</v>
      </c>
      <c r="F39" s="6">
        <v>1010009</v>
      </c>
      <c r="H39" s="9" t="s">
        <v>1108</v>
      </c>
      <c r="I39" s="9" t="s">
        <v>1124</v>
      </c>
      <c r="K39" t="str">
        <f t="shared" si="0"/>
        <v>1010006,14|1010007,14|1010008,14|1010009,14</v>
      </c>
    </row>
    <row r="40" spans="1:11" ht="16.5" x14ac:dyDescent="0.3">
      <c r="A40" s="4">
        <v>39</v>
      </c>
      <c r="B40" s="5">
        <f>VLOOKUP(A:A,[2]神器碎片!$H$26:$I$145,2,FALSE)</f>
        <v>14</v>
      </c>
      <c r="C40" s="6">
        <v>1010006</v>
      </c>
      <c r="D40" s="6">
        <v>1010007</v>
      </c>
      <c r="E40" s="6">
        <v>1010008</v>
      </c>
      <c r="F40" s="6">
        <v>1010009</v>
      </c>
      <c r="H40" s="9" t="s">
        <v>1108</v>
      </c>
      <c r="I40" s="9" t="s">
        <v>1124</v>
      </c>
      <c r="K40" t="str">
        <f t="shared" si="0"/>
        <v>1010006,14|1010007,14|1010008,14|1010009,14</v>
      </c>
    </row>
    <row r="41" spans="1:11" ht="16.5" x14ac:dyDescent="0.3">
      <c r="A41" s="4">
        <v>40</v>
      </c>
      <c r="B41" s="5">
        <f>VLOOKUP(A:A,[2]神器碎片!$H$26:$I$145,2,FALSE)</f>
        <v>14</v>
      </c>
      <c r="C41" s="6">
        <v>1010006</v>
      </c>
      <c r="D41" s="6">
        <v>1010007</v>
      </c>
      <c r="E41" s="6">
        <v>1010008</v>
      </c>
      <c r="F41" s="6">
        <v>1010009</v>
      </c>
      <c r="H41" s="9" t="s">
        <v>1108</v>
      </c>
      <c r="I41" s="9" t="s">
        <v>1124</v>
      </c>
      <c r="K41" t="str">
        <f t="shared" si="0"/>
        <v>1010006,14|1010007,14|1010008,14|1010009,14</v>
      </c>
    </row>
    <row r="42" spans="1:11" ht="16.5" x14ac:dyDescent="0.3">
      <c r="A42" s="4">
        <v>41</v>
      </c>
      <c r="B42" s="5">
        <f>VLOOKUP(A:A,[2]神器碎片!$H$26:$I$145,2,FALSE)</f>
        <v>15</v>
      </c>
      <c r="C42" s="6">
        <v>1010006</v>
      </c>
      <c r="D42" s="6">
        <v>1010007</v>
      </c>
      <c r="E42" s="6">
        <v>1010008</v>
      </c>
      <c r="F42" s="6">
        <v>1010009</v>
      </c>
      <c r="H42" s="9" t="s">
        <v>1108</v>
      </c>
      <c r="I42" s="9" t="s">
        <v>1124</v>
      </c>
      <c r="K42" t="str">
        <f t="shared" si="0"/>
        <v>1010006,15|1010007,15|1010008,15|1010009,15</v>
      </c>
    </row>
    <row r="43" spans="1:11" ht="16.5" x14ac:dyDescent="0.3">
      <c r="A43" s="4">
        <v>42</v>
      </c>
      <c r="B43" s="5">
        <f>VLOOKUP(A:A,[2]神器碎片!$H$26:$I$145,2,FALSE)</f>
        <v>15</v>
      </c>
      <c r="C43" s="6">
        <v>1010006</v>
      </c>
      <c r="D43" s="6">
        <v>1010007</v>
      </c>
      <c r="E43" s="6">
        <v>1010008</v>
      </c>
      <c r="F43" s="6">
        <v>1010009</v>
      </c>
      <c r="H43" s="9" t="s">
        <v>1108</v>
      </c>
      <c r="I43" s="9" t="s">
        <v>1124</v>
      </c>
      <c r="K43" t="str">
        <f t="shared" si="0"/>
        <v>1010006,15|1010007,15|1010008,15|1010009,15</v>
      </c>
    </row>
    <row r="44" spans="1:11" ht="16.5" x14ac:dyDescent="0.3">
      <c r="A44" s="4">
        <v>43</v>
      </c>
      <c r="B44" s="5">
        <f>VLOOKUP(A:A,[2]神器碎片!$H$26:$I$145,2,FALSE)</f>
        <v>15</v>
      </c>
      <c r="C44" s="6">
        <v>1010006</v>
      </c>
      <c r="D44" s="6">
        <v>1010007</v>
      </c>
      <c r="E44" s="6">
        <v>1010008</v>
      </c>
      <c r="F44" s="6">
        <v>1010009</v>
      </c>
      <c r="H44" s="9" t="s">
        <v>1108</v>
      </c>
      <c r="I44" s="9" t="s">
        <v>1124</v>
      </c>
      <c r="K44" t="str">
        <f t="shared" si="0"/>
        <v>1010006,15|1010007,15|1010008,15|1010009,15</v>
      </c>
    </row>
    <row r="45" spans="1:11" ht="16.5" x14ac:dyDescent="0.3">
      <c r="A45" s="4">
        <v>44</v>
      </c>
      <c r="B45" s="5">
        <f>VLOOKUP(A:A,[2]神器碎片!$H$26:$I$145,2,FALSE)</f>
        <v>15</v>
      </c>
      <c r="C45" s="6">
        <v>1010006</v>
      </c>
      <c r="D45" s="6">
        <v>1010007</v>
      </c>
      <c r="E45" s="6">
        <v>1010008</v>
      </c>
      <c r="F45" s="6">
        <v>1010009</v>
      </c>
      <c r="H45" s="9" t="s">
        <v>1108</v>
      </c>
      <c r="I45" s="9" t="s">
        <v>1124</v>
      </c>
      <c r="K45" t="str">
        <f t="shared" si="0"/>
        <v>1010006,15|1010007,15|1010008,15|1010009,15</v>
      </c>
    </row>
    <row r="46" spans="1:11" ht="16.5" x14ac:dyDescent="0.3">
      <c r="A46" s="4">
        <v>45</v>
      </c>
      <c r="B46" s="5">
        <f>VLOOKUP(A:A,[2]神器碎片!$H$26:$I$145,2,FALSE)</f>
        <v>16</v>
      </c>
      <c r="C46" s="6">
        <v>1010006</v>
      </c>
      <c r="D46" s="6">
        <v>1010007</v>
      </c>
      <c r="E46" s="6">
        <v>1010008</v>
      </c>
      <c r="F46" s="6">
        <v>1010009</v>
      </c>
      <c r="H46" s="9" t="s">
        <v>1108</v>
      </c>
      <c r="I46" s="9" t="s">
        <v>1124</v>
      </c>
      <c r="K46" t="str">
        <f t="shared" si="0"/>
        <v>1010006,16|1010007,16|1010008,16|1010009,16</v>
      </c>
    </row>
    <row r="47" spans="1:11" ht="16.5" x14ac:dyDescent="0.3">
      <c r="A47" s="4">
        <v>46</v>
      </c>
      <c r="B47" s="5">
        <f>VLOOKUP(A:A,[2]神器碎片!$H$26:$I$145,2,FALSE)</f>
        <v>16</v>
      </c>
      <c r="C47" s="6">
        <v>1010006</v>
      </c>
      <c r="D47" s="6">
        <v>1010007</v>
      </c>
      <c r="E47" s="6">
        <v>1010008</v>
      </c>
      <c r="F47" s="6">
        <v>1010009</v>
      </c>
      <c r="H47" s="9" t="s">
        <v>1108</v>
      </c>
      <c r="I47" s="9" t="s">
        <v>1124</v>
      </c>
      <c r="K47" t="str">
        <f t="shared" si="0"/>
        <v>1010006,16|1010007,16|1010008,16|1010009,16</v>
      </c>
    </row>
    <row r="48" spans="1:11" ht="16.5" x14ac:dyDescent="0.3">
      <c r="A48" s="4">
        <v>47</v>
      </c>
      <c r="B48" s="5">
        <f>VLOOKUP(A:A,[2]神器碎片!$H$26:$I$145,2,FALSE)</f>
        <v>16</v>
      </c>
      <c r="C48" s="6">
        <v>1010006</v>
      </c>
      <c r="D48" s="6">
        <v>1010007</v>
      </c>
      <c r="E48" s="6">
        <v>1010008</v>
      </c>
      <c r="F48" s="6">
        <v>1010009</v>
      </c>
      <c r="H48" s="9" t="s">
        <v>1108</v>
      </c>
      <c r="I48" s="9" t="s">
        <v>1124</v>
      </c>
      <c r="K48" t="str">
        <f t="shared" si="0"/>
        <v>1010006,16|1010007,16|1010008,16|1010009,16</v>
      </c>
    </row>
    <row r="49" spans="1:11" ht="16.5" x14ac:dyDescent="0.3">
      <c r="A49" s="4">
        <v>48</v>
      </c>
      <c r="B49" s="5">
        <f>VLOOKUP(A:A,[2]神器碎片!$H$26:$I$145,2,FALSE)</f>
        <v>16</v>
      </c>
      <c r="C49" s="6">
        <v>1010006</v>
      </c>
      <c r="D49" s="6">
        <v>1010007</v>
      </c>
      <c r="E49" s="6">
        <v>1010008</v>
      </c>
      <c r="F49" s="6">
        <v>1010009</v>
      </c>
      <c r="H49" s="9" t="s">
        <v>1108</v>
      </c>
      <c r="I49" s="9" t="s">
        <v>1124</v>
      </c>
      <c r="K49" t="str">
        <f t="shared" si="0"/>
        <v>1010006,16|1010007,16|1010008,16|1010009,16</v>
      </c>
    </row>
    <row r="50" spans="1:11" ht="16.5" x14ac:dyDescent="0.3">
      <c r="A50" s="4">
        <v>49</v>
      </c>
      <c r="B50" s="5">
        <f>VLOOKUP(A:A,[2]神器碎片!$H$26:$I$145,2,FALSE)</f>
        <v>17</v>
      </c>
      <c r="C50" s="6">
        <v>1010006</v>
      </c>
      <c r="D50" s="6">
        <v>1010007</v>
      </c>
      <c r="E50" s="6">
        <v>1010008</v>
      </c>
      <c r="F50" s="6">
        <v>1010009</v>
      </c>
      <c r="H50" s="9" t="s">
        <v>1108</v>
      </c>
      <c r="I50" s="9" t="s">
        <v>1124</v>
      </c>
      <c r="K50" t="str">
        <f t="shared" si="0"/>
        <v>1010006,17|1010007,17|1010008,17|1010009,17</v>
      </c>
    </row>
    <row r="51" spans="1:11" ht="16.5" x14ac:dyDescent="0.3">
      <c r="A51" s="4">
        <v>50</v>
      </c>
      <c r="B51" s="5">
        <f>VLOOKUP(A:A,[2]神器碎片!$H$26:$I$145,2,FALSE)</f>
        <v>17</v>
      </c>
      <c r="C51" s="6">
        <v>1010006</v>
      </c>
      <c r="D51" s="6">
        <v>1010007</v>
      </c>
      <c r="E51" s="6">
        <v>1010008</v>
      </c>
      <c r="F51" s="6">
        <v>1010009</v>
      </c>
      <c r="H51" s="9" t="s">
        <v>1108</v>
      </c>
      <c r="I51" s="9" t="s">
        <v>1124</v>
      </c>
      <c r="K51" t="str">
        <f t="shared" si="0"/>
        <v>1010006,17|1010007,17|1010008,17|1010009,17</v>
      </c>
    </row>
    <row r="52" spans="1:11" ht="16.5" x14ac:dyDescent="0.3">
      <c r="A52" s="4">
        <v>51</v>
      </c>
      <c r="B52" s="5">
        <f>VLOOKUP(A:A,[2]神器碎片!$H$26:$I$145,2,FALSE)</f>
        <v>17</v>
      </c>
      <c r="C52" s="6">
        <v>1010006</v>
      </c>
      <c r="D52" s="6">
        <v>1010007</v>
      </c>
      <c r="E52" s="6">
        <v>1010008</v>
      </c>
      <c r="F52" s="6">
        <v>1010009</v>
      </c>
      <c r="H52" s="9" t="s">
        <v>1108</v>
      </c>
      <c r="I52" s="9" t="s">
        <v>1124</v>
      </c>
      <c r="K52" t="str">
        <f t="shared" si="0"/>
        <v>1010006,17|1010007,17|1010008,17|1010009,17</v>
      </c>
    </row>
    <row r="53" spans="1:11" ht="16.5" x14ac:dyDescent="0.3">
      <c r="A53" s="4">
        <v>52</v>
      </c>
      <c r="B53" s="5">
        <f>VLOOKUP(A:A,[2]神器碎片!$H$26:$I$145,2,FALSE)</f>
        <v>17</v>
      </c>
      <c r="C53" s="6">
        <v>1010006</v>
      </c>
      <c r="D53" s="6">
        <v>1010007</v>
      </c>
      <c r="E53" s="6">
        <v>1010008</v>
      </c>
      <c r="F53" s="6">
        <v>1010009</v>
      </c>
      <c r="H53" s="9" t="s">
        <v>1108</v>
      </c>
      <c r="I53" s="9" t="s">
        <v>1124</v>
      </c>
      <c r="K53" t="str">
        <f t="shared" si="0"/>
        <v>1010006,17|1010007,17|1010008,17|1010009,17</v>
      </c>
    </row>
    <row r="54" spans="1:11" ht="16.5" x14ac:dyDescent="0.3">
      <c r="A54" s="4">
        <v>53</v>
      </c>
      <c r="B54" s="5">
        <f>VLOOKUP(A:A,[2]神器碎片!$H$26:$I$145,2,FALSE)</f>
        <v>18</v>
      </c>
      <c r="C54" s="6">
        <v>1010006</v>
      </c>
      <c r="D54" s="6">
        <v>1010007</v>
      </c>
      <c r="E54" s="6">
        <v>1010008</v>
      </c>
      <c r="F54" s="6">
        <v>1010009</v>
      </c>
      <c r="H54" s="9" t="s">
        <v>1108</v>
      </c>
      <c r="I54" s="9" t="s">
        <v>1124</v>
      </c>
      <c r="K54" t="str">
        <f t="shared" si="0"/>
        <v>1010006,18|1010007,18|1010008,18|1010009,18</v>
      </c>
    </row>
    <row r="55" spans="1:11" ht="16.5" x14ac:dyDescent="0.3">
      <c r="A55" s="4">
        <v>54</v>
      </c>
      <c r="B55" s="5">
        <f>VLOOKUP(A:A,[2]神器碎片!$H$26:$I$145,2,FALSE)</f>
        <v>18</v>
      </c>
      <c r="C55" s="6">
        <v>1010006</v>
      </c>
      <c r="D55" s="6">
        <v>1010007</v>
      </c>
      <c r="E55" s="6">
        <v>1010008</v>
      </c>
      <c r="F55" s="6">
        <v>1010009</v>
      </c>
      <c r="H55" s="9" t="s">
        <v>1108</v>
      </c>
      <c r="I55" s="9" t="s">
        <v>1124</v>
      </c>
      <c r="K55" t="str">
        <f t="shared" si="0"/>
        <v>1010006,18|1010007,18|1010008,18|1010009,18</v>
      </c>
    </row>
    <row r="56" spans="1:11" ht="16.5" x14ac:dyDescent="0.3">
      <c r="A56" s="4">
        <v>55</v>
      </c>
      <c r="B56" s="5">
        <f>VLOOKUP(A:A,[2]神器碎片!$H$26:$I$145,2,FALSE)</f>
        <v>18</v>
      </c>
      <c r="C56" s="6">
        <v>1010006</v>
      </c>
      <c r="D56" s="6">
        <v>1010007</v>
      </c>
      <c r="E56" s="6">
        <v>1010008</v>
      </c>
      <c r="F56" s="6">
        <v>1010009</v>
      </c>
      <c r="H56" s="9" t="s">
        <v>1108</v>
      </c>
      <c r="I56" s="9" t="s">
        <v>1124</v>
      </c>
      <c r="K56" t="str">
        <f t="shared" si="0"/>
        <v>1010006,18|1010007,18|1010008,18|1010009,18</v>
      </c>
    </row>
    <row r="57" spans="1:11" ht="16.5" x14ac:dyDescent="0.3">
      <c r="A57" s="4">
        <v>56</v>
      </c>
      <c r="B57" s="5">
        <f>VLOOKUP(A:A,[2]神器碎片!$H$26:$I$145,2,FALSE)</f>
        <v>18</v>
      </c>
      <c r="C57" s="6">
        <v>1010006</v>
      </c>
      <c r="D57" s="6">
        <v>1010007</v>
      </c>
      <c r="E57" s="6">
        <v>1010008</v>
      </c>
      <c r="F57" s="6">
        <v>1010009</v>
      </c>
      <c r="H57" s="9" t="s">
        <v>1108</v>
      </c>
      <c r="I57" s="9" t="s">
        <v>1124</v>
      </c>
      <c r="K57" t="str">
        <f t="shared" si="0"/>
        <v>1010006,18|1010007,18|1010008,18|1010009,18</v>
      </c>
    </row>
    <row r="58" spans="1:11" ht="16.5" x14ac:dyDescent="0.3">
      <c r="A58" s="4">
        <v>57</v>
      </c>
      <c r="B58" s="5">
        <f>VLOOKUP(A:A,[2]神器碎片!$H$26:$I$145,2,FALSE)</f>
        <v>19</v>
      </c>
      <c r="C58" s="6">
        <v>1010006</v>
      </c>
      <c r="D58" s="6">
        <v>1010007</v>
      </c>
      <c r="E58" s="6">
        <v>1010008</v>
      </c>
      <c r="F58" s="6">
        <v>1010009</v>
      </c>
      <c r="H58" s="9" t="s">
        <v>1108</v>
      </c>
      <c r="I58" s="9" t="s">
        <v>1124</v>
      </c>
      <c r="K58" t="str">
        <f t="shared" si="0"/>
        <v>1010006,19|1010007,19|1010008,19|1010009,19</v>
      </c>
    </row>
    <row r="59" spans="1:11" ht="16.5" x14ac:dyDescent="0.3">
      <c r="A59" s="4">
        <v>58</v>
      </c>
      <c r="B59" s="5">
        <f>VLOOKUP(A:A,[2]神器碎片!$H$26:$I$145,2,FALSE)</f>
        <v>19</v>
      </c>
      <c r="C59" s="6">
        <v>1010006</v>
      </c>
      <c r="D59" s="6">
        <v>1010007</v>
      </c>
      <c r="E59" s="6">
        <v>1010008</v>
      </c>
      <c r="F59" s="6">
        <v>1010009</v>
      </c>
      <c r="H59" s="9" t="s">
        <v>1108</v>
      </c>
      <c r="I59" s="9" t="s">
        <v>1124</v>
      </c>
      <c r="K59" t="str">
        <f t="shared" si="0"/>
        <v>1010006,19|1010007,19|1010008,19|1010009,19</v>
      </c>
    </row>
    <row r="60" spans="1:11" ht="16.5" x14ac:dyDescent="0.3">
      <c r="A60" s="4">
        <v>59</v>
      </c>
      <c r="B60" s="5">
        <f>VLOOKUP(A:A,[2]神器碎片!$H$26:$I$145,2,FALSE)</f>
        <v>19</v>
      </c>
      <c r="C60" s="6">
        <v>1010006</v>
      </c>
      <c r="D60" s="6">
        <v>1010007</v>
      </c>
      <c r="E60" s="6">
        <v>1010008</v>
      </c>
      <c r="F60" s="6">
        <v>1010009</v>
      </c>
      <c r="H60" s="9" t="s">
        <v>1108</v>
      </c>
      <c r="I60" s="9" t="s">
        <v>1124</v>
      </c>
      <c r="K60" t="str">
        <f t="shared" si="0"/>
        <v>1010006,19|1010007,19|1010008,19|1010009,19</v>
      </c>
    </row>
    <row r="61" spans="1:11" ht="16.5" x14ac:dyDescent="0.3">
      <c r="A61" s="4">
        <v>60</v>
      </c>
      <c r="B61" s="5">
        <f>VLOOKUP(A:A,[2]神器碎片!$H$26:$I$145,2,FALSE)</f>
        <v>19</v>
      </c>
      <c r="C61" s="6">
        <v>1010006</v>
      </c>
      <c r="D61" s="6">
        <v>1010007</v>
      </c>
      <c r="E61" s="6">
        <v>1010008</v>
      </c>
      <c r="F61" s="6">
        <v>1010009</v>
      </c>
      <c r="H61" s="9" t="s">
        <v>1108</v>
      </c>
      <c r="I61" s="9" t="s">
        <v>1124</v>
      </c>
      <c r="K61" t="str">
        <f t="shared" si="0"/>
        <v>1010006,19|1010007,19|1010008,19|1010009,19</v>
      </c>
    </row>
    <row r="62" spans="1:11" ht="16.5" x14ac:dyDescent="0.3">
      <c r="A62" s="4">
        <v>61</v>
      </c>
      <c r="B62" s="5">
        <f>VLOOKUP(A:A,[2]神器碎片!$H$26:$I$145,2,FALSE)</f>
        <v>20</v>
      </c>
      <c r="C62" s="6">
        <v>1010006</v>
      </c>
      <c r="D62" s="6">
        <v>1010007</v>
      </c>
      <c r="E62" s="6">
        <v>1010008</v>
      </c>
      <c r="F62" s="6">
        <v>1010009</v>
      </c>
      <c r="H62" s="9" t="s">
        <v>1108</v>
      </c>
      <c r="I62" s="9" t="s">
        <v>1124</v>
      </c>
      <c r="K62" t="str">
        <f t="shared" si="0"/>
        <v>1010006,20|1010007,20|1010008,20|1010009,20</v>
      </c>
    </row>
    <row r="63" spans="1:11" ht="16.5" x14ac:dyDescent="0.3">
      <c r="A63" s="4">
        <v>62</v>
      </c>
      <c r="B63" s="5">
        <f>VLOOKUP(A:A,[2]神器碎片!$H$26:$I$145,2,FALSE)</f>
        <v>20</v>
      </c>
      <c r="C63" s="6">
        <v>1010006</v>
      </c>
      <c r="D63" s="6">
        <v>1010007</v>
      </c>
      <c r="E63" s="6">
        <v>1010008</v>
      </c>
      <c r="F63" s="6">
        <v>1010009</v>
      </c>
      <c r="H63" s="9" t="s">
        <v>1108</v>
      </c>
      <c r="I63" s="9" t="s">
        <v>1124</v>
      </c>
      <c r="K63" t="str">
        <f t="shared" si="0"/>
        <v>1010006,20|1010007,20|1010008,20|1010009,20</v>
      </c>
    </row>
    <row r="64" spans="1:11" ht="16.5" x14ac:dyDescent="0.3">
      <c r="A64" s="4">
        <v>63</v>
      </c>
      <c r="B64" s="5">
        <f>VLOOKUP(A:A,[2]神器碎片!$H$26:$I$145,2,FALSE)</f>
        <v>20</v>
      </c>
      <c r="C64" s="6">
        <v>1010006</v>
      </c>
      <c r="D64" s="6">
        <v>1010007</v>
      </c>
      <c r="E64" s="6">
        <v>1010008</v>
      </c>
      <c r="F64" s="6">
        <v>1010009</v>
      </c>
      <c r="H64" s="9" t="s">
        <v>1108</v>
      </c>
      <c r="I64" s="9" t="s">
        <v>1124</v>
      </c>
      <c r="K64" t="str">
        <f t="shared" si="0"/>
        <v>1010006,20|1010007,20|1010008,20|1010009,20</v>
      </c>
    </row>
    <row r="65" spans="1:11" ht="16.5" x14ac:dyDescent="0.3">
      <c r="A65" s="4">
        <v>64</v>
      </c>
      <c r="B65" s="5">
        <f>VLOOKUP(A:A,[2]神器碎片!$H$26:$I$145,2,FALSE)</f>
        <v>20</v>
      </c>
      <c r="C65" s="6">
        <v>1010006</v>
      </c>
      <c r="D65" s="6">
        <v>1010007</v>
      </c>
      <c r="E65" s="6">
        <v>1010008</v>
      </c>
      <c r="F65" s="6">
        <v>1010009</v>
      </c>
      <c r="H65" s="9" t="s">
        <v>1108</v>
      </c>
      <c r="I65" s="9" t="s">
        <v>1124</v>
      </c>
      <c r="K65" t="str">
        <f t="shared" si="0"/>
        <v>1010006,20|1010007,20|1010008,20|1010009,20</v>
      </c>
    </row>
    <row r="66" spans="1:11" ht="16.5" x14ac:dyDescent="0.3">
      <c r="A66" s="4">
        <v>65</v>
      </c>
      <c r="B66" s="5">
        <f>VLOOKUP(A:A,[2]神器碎片!$H$26:$I$145,2,FALSE)</f>
        <v>21</v>
      </c>
      <c r="C66" s="6">
        <v>1010006</v>
      </c>
      <c r="D66" s="6">
        <v>1010007</v>
      </c>
      <c r="E66" s="6">
        <v>1010008</v>
      </c>
      <c r="F66" s="6">
        <v>1010009</v>
      </c>
      <c r="H66" s="9" t="s">
        <v>1108</v>
      </c>
      <c r="I66" s="9" t="s">
        <v>1124</v>
      </c>
      <c r="K66" t="str">
        <f t="shared" si="0"/>
        <v>1010006,21|1010007,21|1010008,21|1010009,21</v>
      </c>
    </row>
    <row r="67" spans="1:11" ht="16.5" x14ac:dyDescent="0.3">
      <c r="A67" s="4">
        <v>66</v>
      </c>
      <c r="B67" s="5">
        <f>VLOOKUP(A:A,[2]神器碎片!$H$26:$I$145,2,FALSE)</f>
        <v>21</v>
      </c>
      <c r="C67" s="6">
        <v>1010006</v>
      </c>
      <c r="D67" s="6">
        <v>1010007</v>
      </c>
      <c r="E67" s="6">
        <v>1010008</v>
      </c>
      <c r="F67" s="6">
        <v>1010009</v>
      </c>
      <c r="H67" s="9" t="s">
        <v>1108</v>
      </c>
      <c r="I67" s="9" t="s">
        <v>1124</v>
      </c>
      <c r="K67" t="str">
        <f t="shared" ref="K67:K121" si="1">C67&amp;H67&amp;B67&amp;I67&amp;D67&amp;H67&amp;B67&amp;I67&amp;E67&amp;H67&amp;B67&amp;I67&amp;F67&amp;H67&amp;B67</f>
        <v>1010006,21|1010007,21|1010008,21|1010009,21</v>
      </c>
    </row>
    <row r="68" spans="1:11" ht="16.5" x14ac:dyDescent="0.3">
      <c r="A68" s="4">
        <v>67</v>
      </c>
      <c r="B68" s="5">
        <f>VLOOKUP(A:A,[2]神器碎片!$H$26:$I$145,2,FALSE)</f>
        <v>21</v>
      </c>
      <c r="C68" s="6">
        <v>1010006</v>
      </c>
      <c r="D68" s="6">
        <v>1010007</v>
      </c>
      <c r="E68" s="6">
        <v>1010008</v>
      </c>
      <c r="F68" s="6">
        <v>1010009</v>
      </c>
      <c r="H68" s="9" t="s">
        <v>1108</v>
      </c>
      <c r="I68" s="9" t="s">
        <v>1124</v>
      </c>
      <c r="K68" t="str">
        <f t="shared" si="1"/>
        <v>1010006,21|1010007,21|1010008,21|1010009,21</v>
      </c>
    </row>
    <row r="69" spans="1:11" ht="16.5" x14ac:dyDescent="0.3">
      <c r="A69" s="4">
        <v>68</v>
      </c>
      <c r="B69" s="5">
        <f>VLOOKUP(A:A,[2]神器碎片!$H$26:$I$145,2,FALSE)</f>
        <v>21</v>
      </c>
      <c r="C69" s="6">
        <v>1010006</v>
      </c>
      <c r="D69" s="6">
        <v>1010007</v>
      </c>
      <c r="E69" s="6">
        <v>1010008</v>
      </c>
      <c r="F69" s="6">
        <v>1010009</v>
      </c>
      <c r="H69" s="9" t="s">
        <v>1108</v>
      </c>
      <c r="I69" s="9" t="s">
        <v>1124</v>
      </c>
      <c r="K69" t="str">
        <f t="shared" si="1"/>
        <v>1010006,21|1010007,21|1010008,21|1010009,21</v>
      </c>
    </row>
    <row r="70" spans="1:11" ht="16.5" x14ac:dyDescent="0.3">
      <c r="A70" s="4">
        <v>69</v>
      </c>
      <c r="B70" s="5">
        <f>VLOOKUP(A:A,[2]神器碎片!$H$26:$I$145,2,FALSE)</f>
        <v>22</v>
      </c>
      <c r="C70" s="6">
        <v>1010006</v>
      </c>
      <c r="D70" s="6">
        <v>1010007</v>
      </c>
      <c r="E70" s="6">
        <v>1010008</v>
      </c>
      <c r="F70" s="6">
        <v>1010009</v>
      </c>
      <c r="H70" s="9" t="s">
        <v>1108</v>
      </c>
      <c r="I70" s="9" t="s">
        <v>1124</v>
      </c>
      <c r="K70" t="str">
        <f t="shared" si="1"/>
        <v>1010006,22|1010007,22|1010008,22|1010009,22</v>
      </c>
    </row>
    <row r="71" spans="1:11" ht="16.5" x14ac:dyDescent="0.3">
      <c r="A71" s="4">
        <v>70</v>
      </c>
      <c r="B71" s="5">
        <f>VLOOKUP(A:A,[2]神器碎片!$H$26:$I$145,2,FALSE)</f>
        <v>22</v>
      </c>
      <c r="C71" s="6">
        <v>1010006</v>
      </c>
      <c r="D71" s="6">
        <v>1010007</v>
      </c>
      <c r="E71" s="6">
        <v>1010008</v>
      </c>
      <c r="F71" s="6">
        <v>1010009</v>
      </c>
      <c r="H71" s="9" t="s">
        <v>1108</v>
      </c>
      <c r="I71" s="9" t="s">
        <v>1124</v>
      </c>
      <c r="K71" t="str">
        <f t="shared" si="1"/>
        <v>1010006,22|1010007,22|1010008,22|1010009,22</v>
      </c>
    </row>
    <row r="72" spans="1:11" ht="16.5" x14ac:dyDescent="0.3">
      <c r="A72" s="4">
        <v>71</v>
      </c>
      <c r="B72" s="5">
        <f>VLOOKUP(A:A,[2]神器碎片!$H$26:$I$145,2,FALSE)</f>
        <v>22</v>
      </c>
      <c r="C72" s="6">
        <v>1010006</v>
      </c>
      <c r="D72" s="6">
        <v>1010007</v>
      </c>
      <c r="E72" s="6">
        <v>1010008</v>
      </c>
      <c r="F72" s="6">
        <v>1010009</v>
      </c>
      <c r="H72" s="9" t="s">
        <v>1108</v>
      </c>
      <c r="I72" s="9" t="s">
        <v>1124</v>
      </c>
      <c r="K72" t="str">
        <f t="shared" si="1"/>
        <v>1010006,22|1010007,22|1010008,22|1010009,22</v>
      </c>
    </row>
    <row r="73" spans="1:11" ht="16.5" x14ac:dyDescent="0.3">
      <c r="A73" s="4">
        <v>72</v>
      </c>
      <c r="B73" s="5">
        <f>VLOOKUP(A:A,[2]神器碎片!$H$26:$I$145,2,FALSE)</f>
        <v>22</v>
      </c>
      <c r="C73" s="6">
        <v>1010006</v>
      </c>
      <c r="D73" s="6">
        <v>1010007</v>
      </c>
      <c r="E73" s="6">
        <v>1010008</v>
      </c>
      <c r="F73" s="6">
        <v>1010009</v>
      </c>
      <c r="H73" s="9" t="s">
        <v>1108</v>
      </c>
      <c r="I73" s="9" t="s">
        <v>1124</v>
      </c>
      <c r="K73" t="str">
        <f t="shared" si="1"/>
        <v>1010006,22|1010007,22|1010008,22|1010009,22</v>
      </c>
    </row>
    <row r="74" spans="1:11" ht="16.5" x14ac:dyDescent="0.3">
      <c r="A74" s="4">
        <v>73</v>
      </c>
      <c r="B74" s="5">
        <f>VLOOKUP(A:A,[2]神器碎片!$H$26:$I$145,2,FALSE)</f>
        <v>23</v>
      </c>
      <c r="C74" s="6">
        <v>1010006</v>
      </c>
      <c r="D74" s="6">
        <v>1010007</v>
      </c>
      <c r="E74" s="6">
        <v>1010008</v>
      </c>
      <c r="F74" s="6">
        <v>1010009</v>
      </c>
      <c r="H74" s="9" t="s">
        <v>1108</v>
      </c>
      <c r="I74" s="9" t="s">
        <v>1124</v>
      </c>
      <c r="K74" t="str">
        <f t="shared" si="1"/>
        <v>1010006,23|1010007,23|1010008,23|1010009,23</v>
      </c>
    </row>
    <row r="75" spans="1:11" ht="16.5" x14ac:dyDescent="0.3">
      <c r="A75" s="4">
        <v>74</v>
      </c>
      <c r="B75" s="5">
        <f>VLOOKUP(A:A,[2]神器碎片!$H$26:$I$145,2,FALSE)</f>
        <v>23</v>
      </c>
      <c r="C75" s="6">
        <v>1010006</v>
      </c>
      <c r="D75" s="6">
        <v>1010007</v>
      </c>
      <c r="E75" s="6">
        <v>1010008</v>
      </c>
      <c r="F75" s="6">
        <v>1010009</v>
      </c>
      <c r="H75" s="9" t="s">
        <v>1108</v>
      </c>
      <c r="I75" s="9" t="s">
        <v>1124</v>
      </c>
      <c r="K75" t="str">
        <f t="shared" si="1"/>
        <v>1010006,23|1010007,23|1010008,23|1010009,23</v>
      </c>
    </row>
    <row r="76" spans="1:11" ht="16.5" x14ac:dyDescent="0.3">
      <c r="A76" s="4">
        <v>75</v>
      </c>
      <c r="B76" s="5">
        <f>VLOOKUP(A:A,[2]神器碎片!$H$26:$I$145,2,FALSE)</f>
        <v>23</v>
      </c>
      <c r="C76" s="6">
        <v>1010006</v>
      </c>
      <c r="D76" s="6">
        <v>1010007</v>
      </c>
      <c r="E76" s="6">
        <v>1010008</v>
      </c>
      <c r="F76" s="6">
        <v>1010009</v>
      </c>
      <c r="H76" s="9" t="s">
        <v>1108</v>
      </c>
      <c r="I76" s="9" t="s">
        <v>1124</v>
      </c>
      <c r="K76" t="str">
        <f t="shared" si="1"/>
        <v>1010006,23|1010007,23|1010008,23|1010009,23</v>
      </c>
    </row>
    <row r="77" spans="1:11" ht="16.5" x14ac:dyDescent="0.3">
      <c r="A77" s="4">
        <v>76</v>
      </c>
      <c r="B77" s="5">
        <f>VLOOKUP(A:A,[2]神器碎片!$H$26:$I$145,2,FALSE)</f>
        <v>23</v>
      </c>
      <c r="C77" s="6">
        <v>1010006</v>
      </c>
      <c r="D77" s="6">
        <v>1010007</v>
      </c>
      <c r="E77" s="6">
        <v>1010008</v>
      </c>
      <c r="F77" s="6">
        <v>1010009</v>
      </c>
      <c r="H77" s="9" t="s">
        <v>1108</v>
      </c>
      <c r="I77" s="9" t="s">
        <v>1124</v>
      </c>
      <c r="K77" t="str">
        <f t="shared" si="1"/>
        <v>1010006,23|1010007,23|1010008,23|1010009,23</v>
      </c>
    </row>
    <row r="78" spans="1:11" ht="16.5" x14ac:dyDescent="0.3">
      <c r="A78" s="4">
        <v>77</v>
      </c>
      <c r="B78" s="5">
        <f>VLOOKUP(A:A,[2]神器碎片!$H$26:$I$145,2,FALSE)</f>
        <v>24</v>
      </c>
      <c r="C78" s="6">
        <v>1010006</v>
      </c>
      <c r="D78" s="6">
        <v>1010007</v>
      </c>
      <c r="E78" s="6">
        <v>1010008</v>
      </c>
      <c r="F78" s="6">
        <v>1010009</v>
      </c>
      <c r="H78" s="9" t="s">
        <v>1108</v>
      </c>
      <c r="I78" s="9" t="s">
        <v>1124</v>
      </c>
      <c r="K78" t="str">
        <f t="shared" si="1"/>
        <v>1010006,24|1010007,24|1010008,24|1010009,24</v>
      </c>
    </row>
    <row r="79" spans="1:11" ht="16.5" x14ac:dyDescent="0.3">
      <c r="A79" s="4">
        <v>78</v>
      </c>
      <c r="B79" s="5">
        <f>VLOOKUP(A:A,[2]神器碎片!$H$26:$I$145,2,FALSE)</f>
        <v>24</v>
      </c>
      <c r="C79" s="6">
        <v>1010006</v>
      </c>
      <c r="D79" s="6">
        <v>1010007</v>
      </c>
      <c r="E79" s="6">
        <v>1010008</v>
      </c>
      <c r="F79" s="6">
        <v>1010009</v>
      </c>
      <c r="H79" s="9" t="s">
        <v>1108</v>
      </c>
      <c r="I79" s="9" t="s">
        <v>1124</v>
      </c>
      <c r="K79" t="str">
        <f t="shared" si="1"/>
        <v>1010006,24|1010007,24|1010008,24|1010009,24</v>
      </c>
    </row>
    <row r="80" spans="1:11" ht="16.5" x14ac:dyDescent="0.3">
      <c r="A80" s="4">
        <v>79</v>
      </c>
      <c r="B80" s="5">
        <f>VLOOKUP(A:A,[2]神器碎片!$H$26:$I$145,2,FALSE)</f>
        <v>24</v>
      </c>
      <c r="C80" s="6">
        <v>1010006</v>
      </c>
      <c r="D80" s="6">
        <v>1010007</v>
      </c>
      <c r="E80" s="6">
        <v>1010008</v>
      </c>
      <c r="F80" s="6">
        <v>1010009</v>
      </c>
      <c r="H80" s="9" t="s">
        <v>1108</v>
      </c>
      <c r="I80" s="9" t="s">
        <v>1124</v>
      </c>
      <c r="K80" t="str">
        <f t="shared" si="1"/>
        <v>1010006,24|1010007,24|1010008,24|1010009,24</v>
      </c>
    </row>
    <row r="81" spans="1:11" ht="16.5" x14ac:dyDescent="0.3">
      <c r="A81" s="4">
        <v>80</v>
      </c>
      <c r="B81" s="5">
        <f>VLOOKUP(A:A,[2]神器碎片!$H$26:$I$145,2,FALSE)</f>
        <v>24</v>
      </c>
      <c r="C81" s="6">
        <v>1010006</v>
      </c>
      <c r="D81" s="6">
        <v>1010007</v>
      </c>
      <c r="E81" s="6">
        <v>1010008</v>
      </c>
      <c r="F81" s="6">
        <v>1010009</v>
      </c>
      <c r="H81" s="9" t="s">
        <v>1108</v>
      </c>
      <c r="I81" s="9" t="s">
        <v>1124</v>
      </c>
      <c r="K81" t="str">
        <f t="shared" si="1"/>
        <v>1010006,24|1010007,24|1010008,24|1010009,24</v>
      </c>
    </row>
    <row r="82" spans="1:11" ht="16.5" x14ac:dyDescent="0.3">
      <c r="A82" s="4">
        <v>81</v>
      </c>
      <c r="B82" s="5">
        <f>VLOOKUP(A:A,[2]神器碎片!$H$26:$I$145,2,FALSE)</f>
        <v>25</v>
      </c>
      <c r="C82" s="6">
        <v>1010006</v>
      </c>
      <c r="D82" s="6">
        <v>1010007</v>
      </c>
      <c r="E82" s="6">
        <v>1010008</v>
      </c>
      <c r="F82" s="6">
        <v>1010009</v>
      </c>
      <c r="H82" s="9" t="s">
        <v>1108</v>
      </c>
      <c r="I82" s="9" t="s">
        <v>1124</v>
      </c>
      <c r="K82" t="str">
        <f t="shared" si="1"/>
        <v>1010006,25|1010007,25|1010008,25|1010009,25</v>
      </c>
    </row>
    <row r="83" spans="1:11" ht="16.5" x14ac:dyDescent="0.3">
      <c r="A83" s="4">
        <v>82</v>
      </c>
      <c r="B83" s="5">
        <f>VLOOKUP(A:A,[2]神器碎片!$H$26:$I$145,2,FALSE)</f>
        <v>25</v>
      </c>
      <c r="C83" s="6">
        <v>1010006</v>
      </c>
      <c r="D83" s="6">
        <v>1010007</v>
      </c>
      <c r="E83" s="6">
        <v>1010008</v>
      </c>
      <c r="F83" s="6">
        <v>1010009</v>
      </c>
      <c r="H83" s="9" t="s">
        <v>1108</v>
      </c>
      <c r="I83" s="9" t="s">
        <v>1124</v>
      </c>
      <c r="K83" t="str">
        <f t="shared" si="1"/>
        <v>1010006,25|1010007,25|1010008,25|1010009,25</v>
      </c>
    </row>
    <row r="84" spans="1:11" ht="16.5" x14ac:dyDescent="0.3">
      <c r="A84" s="4">
        <v>83</v>
      </c>
      <c r="B84" s="5">
        <f>VLOOKUP(A:A,[2]神器碎片!$H$26:$I$145,2,FALSE)</f>
        <v>25</v>
      </c>
      <c r="C84" s="6">
        <v>1010006</v>
      </c>
      <c r="D84" s="6">
        <v>1010007</v>
      </c>
      <c r="E84" s="6">
        <v>1010008</v>
      </c>
      <c r="F84" s="6">
        <v>1010009</v>
      </c>
      <c r="H84" s="9" t="s">
        <v>1108</v>
      </c>
      <c r="I84" s="9" t="s">
        <v>1124</v>
      </c>
      <c r="K84" t="str">
        <f t="shared" si="1"/>
        <v>1010006,25|1010007,25|1010008,25|1010009,25</v>
      </c>
    </row>
    <row r="85" spans="1:11" ht="16.5" x14ac:dyDescent="0.3">
      <c r="A85" s="4">
        <v>84</v>
      </c>
      <c r="B85" s="5">
        <f>VLOOKUP(A:A,[2]神器碎片!$H$26:$I$145,2,FALSE)</f>
        <v>25</v>
      </c>
      <c r="C85" s="6">
        <v>1010006</v>
      </c>
      <c r="D85" s="6">
        <v>1010007</v>
      </c>
      <c r="E85" s="6">
        <v>1010008</v>
      </c>
      <c r="F85" s="6">
        <v>1010009</v>
      </c>
      <c r="H85" s="9" t="s">
        <v>1108</v>
      </c>
      <c r="I85" s="9" t="s">
        <v>1124</v>
      </c>
      <c r="K85" t="str">
        <f t="shared" si="1"/>
        <v>1010006,25|1010007,25|1010008,25|1010009,25</v>
      </c>
    </row>
    <row r="86" spans="1:11" ht="16.5" x14ac:dyDescent="0.3">
      <c r="A86" s="4">
        <v>85</v>
      </c>
      <c r="B86" s="5">
        <f>VLOOKUP(A:A,[2]神器碎片!$H$26:$I$145,2,FALSE)</f>
        <v>26</v>
      </c>
      <c r="C86" s="6">
        <v>1010006</v>
      </c>
      <c r="D86" s="6">
        <v>1010007</v>
      </c>
      <c r="E86" s="6">
        <v>1010008</v>
      </c>
      <c r="F86" s="6">
        <v>1010009</v>
      </c>
      <c r="H86" s="9" t="s">
        <v>1108</v>
      </c>
      <c r="I86" s="9" t="s">
        <v>1124</v>
      </c>
      <c r="K86" t="str">
        <f t="shared" si="1"/>
        <v>1010006,26|1010007,26|1010008,26|1010009,26</v>
      </c>
    </row>
    <row r="87" spans="1:11" ht="16.5" x14ac:dyDescent="0.3">
      <c r="A87" s="4">
        <v>86</v>
      </c>
      <c r="B87" s="5">
        <f>VLOOKUP(A:A,[2]神器碎片!$H$26:$I$145,2,FALSE)</f>
        <v>26</v>
      </c>
      <c r="C87" s="6">
        <v>1010006</v>
      </c>
      <c r="D87" s="6">
        <v>1010007</v>
      </c>
      <c r="E87" s="6">
        <v>1010008</v>
      </c>
      <c r="F87" s="6">
        <v>1010009</v>
      </c>
      <c r="H87" s="9" t="s">
        <v>1108</v>
      </c>
      <c r="I87" s="9" t="s">
        <v>1124</v>
      </c>
      <c r="K87" t="str">
        <f t="shared" si="1"/>
        <v>1010006,26|1010007,26|1010008,26|1010009,26</v>
      </c>
    </row>
    <row r="88" spans="1:11" ht="16.5" x14ac:dyDescent="0.3">
      <c r="A88" s="4">
        <v>87</v>
      </c>
      <c r="B88" s="5">
        <f>VLOOKUP(A:A,[2]神器碎片!$H$26:$I$145,2,FALSE)</f>
        <v>26</v>
      </c>
      <c r="C88" s="6">
        <v>1010006</v>
      </c>
      <c r="D88" s="6">
        <v>1010007</v>
      </c>
      <c r="E88" s="6">
        <v>1010008</v>
      </c>
      <c r="F88" s="6">
        <v>1010009</v>
      </c>
      <c r="H88" s="9" t="s">
        <v>1108</v>
      </c>
      <c r="I88" s="9" t="s">
        <v>1124</v>
      </c>
      <c r="K88" t="str">
        <f t="shared" si="1"/>
        <v>1010006,26|1010007,26|1010008,26|1010009,26</v>
      </c>
    </row>
    <row r="89" spans="1:11" ht="16.5" x14ac:dyDescent="0.3">
      <c r="A89" s="4">
        <v>88</v>
      </c>
      <c r="B89" s="5">
        <f>VLOOKUP(A:A,[2]神器碎片!$H$26:$I$145,2,FALSE)</f>
        <v>26</v>
      </c>
      <c r="C89" s="6">
        <v>1010006</v>
      </c>
      <c r="D89" s="6">
        <v>1010007</v>
      </c>
      <c r="E89" s="6">
        <v>1010008</v>
      </c>
      <c r="F89" s="6">
        <v>1010009</v>
      </c>
      <c r="H89" s="9" t="s">
        <v>1108</v>
      </c>
      <c r="I89" s="9" t="s">
        <v>1124</v>
      </c>
      <c r="K89" t="str">
        <f t="shared" si="1"/>
        <v>1010006,26|1010007,26|1010008,26|1010009,26</v>
      </c>
    </row>
    <row r="90" spans="1:11" ht="16.5" x14ac:dyDescent="0.3">
      <c r="A90" s="4">
        <v>89</v>
      </c>
      <c r="B90" s="5">
        <f>VLOOKUP(A:A,[2]神器碎片!$H$26:$I$145,2,FALSE)</f>
        <v>27</v>
      </c>
      <c r="C90" s="6">
        <v>1010006</v>
      </c>
      <c r="D90" s="6">
        <v>1010007</v>
      </c>
      <c r="E90" s="6">
        <v>1010008</v>
      </c>
      <c r="F90" s="6">
        <v>1010009</v>
      </c>
      <c r="H90" s="9" t="s">
        <v>1108</v>
      </c>
      <c r="I90" s="9" t="s">
        <v>1124</v>
      </c>
      <c r="K90" t="str">
        <f t="shared" si="1"/>
        <v>1010006,27|1010007,27|1010008,27|1010009,27</v>
      </c>
    </row>
    <row r="91" spans="1:11" ht="16.5" x14ac:dyDescent="0.3">
      <c r="A91" s="4">
        <v>90</v>
      </c>
      <c r="B91" s="5">
        <f>VLOOKUP(A:A,[2]神器碎片!$H$26:$I$145,2,FALSE)</f>
        <v>27</v>
      </c>
      <c r="C91" s="6">
        <v>1010006</v>
      </c>
      <c r="D91" s="6">
        <v>1010007</v>
      </c>
      <c r="E91" s="6">
        <v>1010008</v>
      </c>
      <c r="F91" s="6">
        <v>1010009</v>
      </c>
      <c r="H91" s="9" t="s">
        <v>1108</v>
      </c>
      <c r="I91" s="9" t="s">
        <v>1124</v>
      </c>
      <c r="K91" t="str">
        <f t="shared" si="1"/>
        <v>1010006,27|1010007,27|1010008,27|1010009,27</v>
      </c>
    </row>
    <row r="92" spans="1:11" ht="16.5" x14ac:dyDescent="0.3">
      <c r="A92" s="4">
        <v>91</v>
      </c>
      <c r="B92" s="5">
        <f>VLOOKUP(A:A,[2]神器碎片!$H$26:$I$145,2,FALSE)</f>
        <v>27</v>
      </c>
      <c r="C92" s="6">
        <v>1010006</v>
      </c>
      <c r="D92" s="6">
        <v>1010007</v>
      </c>
      <c r="E92" s="6">
        <v>1010008</v>
      </c>
      <c r="F92" s="6">
        <v>1010009</v>
      </c>
      <c r="H92" s="9" t="s">
        <v>1108</v>
      </c>
      <c r="I92" s="9" t="s">
        <v>1124</v>
      </c>
      <c r="K92" t="str">
        <f t="shared" si="1"/>
        <v>1010006,27|1010007,27|1010008,27|1010009,27</v>
      </c>
    </row>
    <row r="93" spans="1:11" ht="16.5" x14ac:dyDescent="0.3">
      <c r="A93" s="4">
        <v>92</v>
      </c>
      <c r="B93" s="5">
        <f>VLOOKUP(A:A,[2]神器碎片!$H$26:$I$145,2,FALSE)</f>
        <v>27</v>
      </c>
      <c r="C93" s="6">
        <v>1010006</v>
      </c>
      <c r="D93" s="6">
        <v>1010007</v>
      </c>
      <c r="E93" s="6">
        <v>1010008</v>
      </c>
      <c r="F93" s="6">
        <v>1010009</v>
      </c>
      <c r="H93" s="9" t="s">
        <v>1108</v>
      </c>
      <c r="I93" s="9" t="s">
        <v>1124</v>
      </c>
      <c r="K93" t="str">
        <f t="shared" si="1"/>
        <v>1010006,27|1010007,27|1010008,27|1010009,27</v>
      </c>
    </row>
    <row r="94" spans="1:11" ht="16.5" x14ac:dyDescent="0.3">
      <c r="A94" s="4">
        <v>93</v>
      </c>
      <c r="B94" s="5">
        <f>VLOOKUP(A:A,[2]神器碎片!$H$26:$I$145,2,FALSE)</f>
        <v>28</v>
      </c>
      <c r="C94" s="6">
        <v>1010006</v>
      </c>
      <c r="D94" s="6">
        <v>1010007</v>
      </c>
      <c r="E94" s="6">
        <v>1010008</v>
      </c>
      <c r="F94" s="6">
        <v>1010009</v>
      </c>
      <c r="H94" s="9" t="s">
        <v>1108</v>
      </c>
      <c r="I94" s="9" t="s">
        <v>1124</v>
      </c>
      <c r="K94" t="str">
        <f t="shared" si="1"/>
        <v>1010006,28|1010007,28|1010008,28|1010009,28</v>
      </c>
    </row>
    <row r="95" spans="1:11" ht="16.5" x14ac:dyDescent="0.3">
      <c r="A95" s="4">
        <v>94</v>
      </c>
      <c r="B95" s="5">
        <f>VLOOKUP(A:A,[2]神器碎片!$H$26:$I$145,2,FALSE)</f>
        <v>28</v>
      </c>
      <c r="C95" s="6">
        <v>1010006</v>
      </c>
      <c r="D95" s="6">
        <v>1010007</v>
      </c>
      <c r="E95" s="6">
        <v>1010008</v>
      </c>
      <c r="F95" s="6">
        <v>1010009</v>
      </c>
      <c r="H95" s="9" t="s">
        <v>1108</v>
      </c>
      <c r="I95" s="9" t="s">
        <v>1124</v>
      </c>
      <c r="K95" t="str">
        <f t="shared" si="1"/>
        <v>1010006,28|1010007,28|1010008,28|1010009,28</v>
      </c>
    </row>
    <row r="96" spans="1:11" ht="16.5" x14ac:dyDescent="0.3">
      <c r="A96" s="4">
        <v>95</v>
      </c>
      <c r="B96" s="5">
        <f>VLOOKUP(A:A,[2]神器碎片!$H$26:$I$145,2,FALSE)</f>
        <v>28</v>
      </c>
      <c r="C96" s="6">
        <v>1010006</v>
      </c>
      <c r="D96" s="6">
        <v>1010007</v>
      </c>
      <c r="E96" s="6">
        <v>1010008</v>
      </c>
      <c r="F96" s="6">
        <v>1010009</v>
      </c>
      <c r="H96" s="9" t="s">
        <v>1108</v>
      </c>
      <c r="I96" s="9" t="s">
        <v>1124</v>
      </c>
      <c r="K96" t="str">
        <f t="shared" si="1"/>
        <v>1010006,28|1010007,28|1010008,28|1010009,28</v>
      </c>
    </row>
    <row r="97" spans="1:11" ht="16.5" x14ac:dyDescent="0.3">
      <c r="A97" s="4">
        <v>96</v>
      </c>
      <c r="B97" s="5">
        <f>VLOOKUP(A:A,[2]神器碎片!$H$26:$I$145,2,FALSE)</f>
        <v>28</v>
      </c>
      <c r="C97" s="6">
        <v>1010006</v>
      </c>
      <c r="D97" s="6">
        <v>1010007</v>
      </c>
      <c r="E97" s="6">
        <v>1010008</v>
      </c>
      <c r="F97" s="6">
        <v>1010009</v>
      </c>
      <c r="H97" s="9" t="s">
        <v>1108</v>
      </c>
      <c r="I97" s="9" t="s">
        <v>1124</v>
      </c>
      <c r="K97" t="str">
        <f t="shared" si="1"/>
        <v>1010006,28|1010007,28|1010008,28|1010009,28</v>
      </c>
    </row>
    <row r="98" spans="1:11" ht="16.5" x14ac:dyDescent="0.3">
      <c r="A98" s="4">
        <v>97</v>
      </c>
      <c r="B98" s="5">
        <f>VLOOKUP(A:A,[2]神器碎片!$H$26:$I$145,2,FALSE)</f>
        <v>29</v>
      </c>
      <c r="C98" s="6">
        <v>1010006</v>
      </c>
      <c r="D98" s="6">
        <v>1010007</v>
      </c>
      <c r="E98" s="6">
        <v>1010008</v>
      </c>
      <c r="F98" s="6">
        <v>1010009</v>
      </c>
      <c r="H98" s="9" t="s">
        <v>1108</v>
      </c>
      <c r="I98" s="9" t="s">
        <v>1124</v>
      </c>
      <c r="K98" t="str">
        <f t="shared" si="1"/>
        <v>1010006,29|1010007,29|1010008,29|1010009,29</v>
      </c>
    </row>
    <row r="99" spans="1:11" ht="16.5" x14ac:dyDescent="0.3">
      <c r="A99" s="4">
        <v>98</v>
      </c>
      <c r="B99" s="5">
        <f>VLOOKUP(A:A,[2]神器碎片!$H$26:$I$145,2,FALSE)</f>
        <v>29</v>
      </c>
      <c r="C99" s="6">
        <v>1010006</v>
      </c>
      <c r="D99" s="6">
        <v>1010007</v>
      </c>
      <c r="E99" s="6">
        <v>1010008</v>
      </c>
      <c r="F99" s="6">
        <v>1010009</v>
      </c>
      <c r="H99" s="9" t="s">
        <v>1108</v>
      </c>
      <c r="I99" s="9" t="s">
        <v>1124</v>
      </c>
      <c r="K99" t="str">
        <f t="shared" si="1"/>
        <v>1010006,29|1010007,29|1010008,29|1010009,29</v>
      </c>
    </row>
    <row r="100" spans="1:11" ht="16.5" x14ac:dyDescent="0.3">
      <c r="A100" s="4">
        <v>99</v>
      </c>
      <c r="B100" s="5">
        <f>VLOOKUP(A:A,[2]神器碎片!$H$26:$I$145,2,FALSE)</f>
        <v>29</v>
      </c>
      <c r="C100" s="6">
        <v>1010006</v>
      </c>
      <c r="D100" s="6">
        <v>1010007</v>
      </c>
      <c r="E100" s="6">
        <v>1010008</v>
      </c>
      <c r="F100" s="6">
        <v>1010009</v>
      </c>
      <c r="H100" s="9" t="s">
        <v>1108</v>
      </c>
      <c r="I100" s="9" t="s">
        <v>1124</v>
      </c>
      <c r="K100" t="str">
        <f t="shared" si="1"/>
        <v>1010006,29|1010007,29|1010008,29|1010009,29</v>
      </c>
    </row>
    <row r="101" spans="1:11" ht="16.5" x14ac:dyDescent="0.3">
      <c r="A101" s="4">
        <v>100</v>
      </c>
      <c r="B101" s="5">
        <f>VLOOKUP(A:A,[2]神器碎片!$H$26:$I$145,2,FALSE)</f>
        <v>29</v>
      </c>
      <c r="C101" s="6">
        <v>1010006</v>
      </c>
      <c r="D101" s="6">
        <v>1010007</v>
      </c>
      <c r="E101" s="6">
        <v>1010008</v>
      </c>
      <c r="F101" s="6">
        <v>1010009</v>
      </c>
      <c r="H101" s="9" t="s">
        <v>1108</v>
      </c>
      <c r="I101" s="9" t="s">
        <v>1124</v>
      </c>
      <c r="K101" t="str">
        <f t="shared" si="1"/>
        <v>1010006,29|1010007,29|1010008,29|1010009,29</v>
      </c>
    </row>
    <row r="102" spans="1:11" ht="16.5" x14ac:dyDescent="0.3">
      <c r="A102" s="4">
        <v>101</v>
      </c>
      <c r="B102" s="5">
        <f>VLOOKUP(A:A,[2]神器碎片!$H$26:$I$145,2,FALSE)</f>
        <v>30</v>
      </c>
      <c r="C102" s="6">
        <v>1010006</v>
      </c>
      <c r="D102" s="6">
        <v>1010007</v>
      </c>
      <c r="E102" s="6">
        <v>1010008</v>
      </c>
      <c r="F102" s="6">
        <v>1010009</v>
      </c>
      <c r="H102" s="9" t="s">
        <v>1108</v>
      </c>
      <c r="I102" s="9" t="s">
        <v>1124</v>
      </c>
      <c r="K102" t="str">
        <f t="shared" si="1"/>
        <v>1010006,30|1010007,30|1010008,30|1010009,30</v>
      </c>
    </row>
    <row r="103" spans="1:11" ht="16.5" x14ac:dyDescent="0.3">
      <c r="A103" s="4">
        <v>102</v>
      </c>
      <c r="B103" s="5">
        <f>VLOOKUP(A:A,[2]神器碎片!$H$26:$I$145,2,FALSE)</f>
        <v>30</v>
      </c>
      <c r="C103" s="6">
        <v>1010006</v>
      </c>
      <c r="D103" s="6">
        <v>1010007</v>
      </c>
      <c r="E103" s="6">
        <v>1010008</v>
      </c>
      <c r="F103" s="6">
        <v>1010009</v>
      </c>
      <c r="H103" s="9" t="s">
        <v>1108</v>
      </c>
      <c r="I103" s="9" t="s">
        <v>1124</v>
      </c>
      <c r="K103" t="str">
        <f t="shared" si="1"/>
        <v>1010006,30|1010007,30|1010008,30|1010009,30</v>
      </c>
    </row>
    <row r="104" spans="1:11" ht="16.5" x14ac:dyDescent="0.3">
      <c r="A104" s="4">
        <v>103</v>
      </c>
      <c r="B104" s="5">
        <f>VLOOKUP(A:A,[2]神器碎片!$H$26:$I$145,2,FALSE)</f>
        <v>30</v>
      </c>
      <c r="C104" s="6">
        <v>1010006</v>
      </c>
      <c r="D104" s="6">
        <v>1010007</v>
      </c>
      <c r="E104" s="6">
        <v>1010008</v>
      </c>
      <c r="F104" s="6">
        <v>1010009</v>
      </c>
      <c r="H104" s="9" t="s">
        <v>1108</v>
      </c>
      <c r="I104" s="9" t="s">
        <v>1124</v>
      </c>
      <c r="K104" t="str">
        <f t="shared" si="1"/>
        <v>1010006,30|1010007,30|1010008,30|1010009,30</v>
      </c>
    </row>
    <row r="105" spans="1:11" ht="16.5" x14ac:dyDescent="0.3">
      <c r="A105" s="4">
        <v>104</v>
      </c>
      <c r="B105" s="5">
        <f>VLOOKUP(A:A,[2]神器碎片!$H$26:$I$145,2,FALSE)</f>
        <v>30</v>
      </c>
      <c r="C105" s="6">
        <v>1010006</v>
      </c>
      <c r="D105" s="6">
        <v>1010007</v>
      </c>
      <c r="E105" s="6">
        <v>1010008</v>
      </c>
      <c r="F105" s="6">
        <v>1010009</v>
      </c>
      <c r="H105" s="9" t="s">
        <v>1108</v>
      </c>
      <c r="I105" s="9" t="s">
        <v>1124</v>
      </c>
      <c r="K105" t="str">
        <f t="shared" si="1"/>
        <v>1010006,30|1010007,30|1010008,30|1010009,30</v>
      </c>
    </row>
    <row r="106" spans="1:11" ht="16.5" x14ac:dyDescent="0.3">
      <c r="A106" s="4">
        <v>105</v>
      </c>
      <c r="B106" s="5">
        <f>VLOOKUP(A:A,[2]神器碎片!$H$26:$I$145,2,FALSE)</f>
        <v>31</v>
      </c>
      <c r="C106" s="6">
        <v>1010006</v>
      </c>
      <c r="D106" s="6">
        <v>1010007</v>
      </c>
      <c r="E106" s="6">
        <v>1010008</v>
      </c>
      <c r="F106" s="6">
        <v>1010009</v>
      </c>
      <c r="H106" s="9" t="s">
        <v>1108</v>
      </c>
      <c r="I106" s="9" t="s">
        <v>1124</v>
      </c>
      <c r="K106" t="str">
        <f t="shared" si="1"/>
        <v>1010006,31|1010007,31|1010008,31|1010009,31</v>
      </c>
    </row>
    <row r="107" spans="1:11" ht="16.5" x14ac:dyDescent="0.3">
      <c r="A107" s="4">
        <v>106</v>
      </c>
      <c r="B107" s="5">
        <f>VLOOKUP(A:A,[2]神器碎片!$H$26:$I$145,2,FALSE)</f>
        <v>31</v>
      </c>
      <c r="C107" s="6">
        <v>1010006</v>
      </c>
      <c r="D107" s="6">
        <v>1010007</v>
      </c>
      <c r="E107" s="6">
        <v>1010008</v>
      </c>
      <c r="F107" s="6">
        <v>1010009</v>
      </c>
      <c r="H107" s="9" t="s">
        <v>1108</v>
      </c>
      <c r="I107" s="9" t="s">
        <v>1124</v>
      </c>
      <c r="K107" t="str">
        <f t="shared" si="1"/>
        <v>1010006,31|1010007,31|1010008,31|1010009,31</v>
      </c>
    </row>
    <row r="108" spans="1:11" ht="16.5" x14ac:dyDescent="0.3">
      <c r="A108" s="4">
        <v>107</v>
      </c>
      <c r="B108" s="5">
        <f>VLOOKUP(A:A,[2]神器碎片!$H$26:$I$145,2,FALSE)</f>
        <v>31</v>
      </c>
      <c r="C108" s="6">
        <v>1010006</v>
      </c>
      <c r="D108" s="6">
        <v>1010007</v>
      </c>
      <c r="E108" s="6">
        <v>1010008</v>
      </c>
      <c r="F108" s="6">
        <v>1010009</v>
      </c>
      <c r="H108" s="9" t="s">
        <v>1108</v>
      </c>
      <c r="I108" s="9" t="s">
        <v>1124</v>
      </c>
      <c r="K108" t="str">
        <f t="shared" si="1"/>
        <v>1010006,31|1010007,31|1010008,31|1010009,31</v>
      </c>
    </row>
    <row r="109" spans="1:11" ht="16.5" x14ac:dyDescent="0.3">
      <c r="A109" s="4">
        <v>108</v>
      </c>
      <c r="B109" s="5">
        <f>VLOOKUP(A:A,[2]神器碎片!$H$26:$I$145,2,FALSE)</f>
        <v>31</v>
      </c>
      <c r="C109" s="6">
        <v>1010006</v>
      </c>
      <c r="D109" s="6">
        <v>1010007</v>
      </c>
      <c r="E109" s="6">
        <v>1010008</v>
      </c>
      <c r="F109" s="6">
        <v>1010009</v>
      </c>
      <c r="H109" s="9" t="s">
        <v>1108</v>
      </c>
      <c r="I109" s="9" t="s">
        <v>1124</v>
      </c>
      <c r="K109" t="str">
        <f t="shared" si="1"/>
        <v>1010006,31|1010007,31|1010008,31|1010009,31</v>
      </c>
    </row>
    <row r="110" spans="1:11" ht="16.5" x14ac:dyDescent="0.3">
      <c r="A110" s="4">
        <v>109</v>
      </c>
      <c r="B110" s="5">
        <f>VLOOKUP(A:A,[2]神器碎片!$H$26:$I$145,2,FALSE)</f>
        <v>32</v>
      </c>
      <c r="C110" s="6">
        <v>1010006</v>
      </c>
      <c r="D110" s="6">
        <v>1010007</v>
      </c>
      <c r="E110" s="6">
        <v>1010008</v>
      </c>
      <c r="F110" s="6">
        <v>1010009</v>
      </c>
      <c r="H110" s="9" t="s">
        <v>1108</v>
      </c>
      <c r="I110" s="9" t="s">
        <v>1124</v>
      </c>
      <c r="K110" t="str">
        <f t="shared" si="1"/>
        <v>1010006,32|1010007,32|1010008,32|1010009,32</v>
      </c>
    </row>
    <row r="111" spans="1:11" ht="16.5" x14ac:dyDescent="0.3">
      <c r="A111" s="4">
        <v>110</v>
      </c>
      <c r="B111" s="5">
        <f>VLOOKUP(A:A,[2]神器碎片!$H$26:$I$145,2,FALSE)</f>
        <v>32</v>
      </c>
      <c r="C111" s="6">
        <v>1010006</v>
      </c>
      <c r="D111" s="6">
        <v>1010007</v>
      </c>
      <c r="E111" s="6">
        <v>1010008</v>
      </c>
      <c r="F111" s="6">
        <v>1010009</v>
      </c>
      <c r="H111" s="9" t="s">
        <v>1108</v>
      </c>
      <c r="I111" s="9" t="s">
        <v>1124</v>
      </c>
      <c r="K111" t="str">
        <f t="shared" si="1"/>
        <v>1010006,32|1010007,32|1010008,32|1010009,32</v>
      </c>
    </row>
    <row r="112" spans="1:11" ht="16.5" x14ac:dyDescent="0.3">
      <c r="A112" s="4">
        <v>111</v>
      </c>
      <c r="B112" s="5">
        <f>VLOOKUP(A:A,[2]神器碎片!$H$26:$I$145,2,FALSE)</f>
        <v>32</v>
      </c>
      <c r="C112" s="6">
        <v>1010006</v>
      </c>
      <c r="D112" s="6">
        <v>1010007</v>
      </c>
      <c r="E112" s="6">
        <v>1010008</v>
      </c>
      <c r="F112" s="6">
        <v>1010009</v>
      </c>
      <c r="H112" s="9" t="s">
        <v>1108</v>
      </c>
      <c r="I112" s="9" t="s">
        <v>1124</v>
      </c>
      <c r="K112" t="str">
        <f t="shared" si="1"/>
        <v>1010006,32|1010007,32|1010008,32|1010009,32</v>
      </c>
    </row>
    <row r="113" spans="1:11" ht="16.5" x14ac:dyDescent="0.3">
      <c r="A113" s="4">
        <v>112</v>
      </c>
      <c r="B113" s="5">
        <f>VLOOKUP(A:A,[2]神器碎片!$H$26:$I$145,2,FALSE)</f>
        <v>32</v>
      </c>
      <c r="C113" s="6">
        <v>1010006</v>
      </c>
      <c r="D113" s="6">
        <v>1010007</v>
      </c>
      <c r="E113" s="6">
        <v>1010008</v>
      </c>
      <c r="F113" s="6">
        <v>1010009</v>
      </c>
      <c r="H113" s="9" t="s">
        <v>1108</v>
      </c>
      <c r="I113" s="9" t="s">
        <v>1124</v>
      </c>
      <c r="K113" t="str">
        <f t="shared" si="1"/>
        <v>1010006,32|1010007,32|1010008,32|1010009,32</v>
      </c>
    </row>
    <row r="114" spans="1:11" ht="16.5" x14ac:dyDescent="0.3">
      <c r="A114" s="4">
        <v>113</v>
      </c>
      <c r="B114" s="5">
        <f>VLOOKUP(A:A,[2]神器碎片!$H$26:$I$145,2,FALSE)</f>
        <v>33</v>
      </c>
      <c r="C114" s="6">
        <v>1010006</v>
      </c>
      <c r="D114" s="6">
        <v>1010007</v>
      </c>
      <c r="E114" s="6">
        <v>1010008</v>
      </c>
      <c r="F114" s="6">
        <v>1010009</v>
      </c>
      <c r="H114" s="9" t="s">
        <v>1108</v>
      </c>
      <c r="I114" s="9" t="s">
        <v>1124</v>
      </c>
      <c r="K114" t="str">
        <f t="shared" si="1"/>
        <v>1010006,33|1010007,33|1010008,33|1010009,33</v>
      </c>
    </row>
    <row r="115" spans="1:11" ht="16.5" x14ac:dyDescent="0.3">
      <c r="A115" s="4">
        <v>114</v>
      </c>
      <c r="B115" s="5">
        <f>VLOOKUP(A:A,[2]神器碎片!$H$26:$I$145,2,FALSE)</f>
        <v>33</v>
      </c>
      <c r="C115" s="6">
        <v>1010006</v>
      </c>
      <c r="D115" s="6">
        <v>1010007</v>
      </c>
      <c r="E115" s="6">
        <v>1010008</v>
      </c>
      <c r="F115" s="6">
        <v>1010009</v>
      </c>
      <c r="H115" s="9" t="s">
        <v>1108</v>
      </c>
      <c r="I115" s="9" t="s">
        <v>1124</v>
      </c>
      <c r="K115" t="str">
        <f t="shared" si="1"/>
        <v>1010006,33|1010007,33|1010008,33|1010009,33</v>
      </c>
    </row>
    <row r="116" spans="1:11" ht="16.5" x14ac:dyDescent="0.3">
      <c r="A116" s="4">
        <v>115</v>
      </c>
      <c r="B116" s="5">
        <f>VLOOKUP(A:A,[2]神器碎片!$H$26:$I$145,2,FALSE)</f>
        <v>33</v>
      </c>
      <c r="C116" s="6">
        <v>1010006</v>
      </c>
      <c r="D116" s="6">
        <v>1010007</v>
      </c>
      <c r="E116" s="6">
        <v>1010008</v>
      </c>
      <c r="F116" s="6">
        <v>1010009</v>
      </c>
      <c r="H116" s="9" t="s">
        <v>1108</v>
      </c>
      <c r="I116" s="9" t="s">
        <v>1124</v>
      </c>
      <c r="K116" t="str">
        <f t="shared" si="1"/>
        <v>1010006,33|1010007,33|1010008,33|1010009,33</v>
      </c>
    </row>
    <row r="117" spans="1:11" ht="16.5" x14ac:dyDescent="0.3">
      <c r="A117" s="4">
        <v>116</v>
      </c>
      <c r="B117" s="5">
        <f>VLOOKUP(A:A,[2]神器碎片!$H$26:$I$145,2,FALSE)</f>
        <v>33</v>
      </c>
      <c r="C117" s="6">
        <v>1010006</v>
      </c>
      <c r="D117" s="6">
        <v>1010007</v>
      </c>
      <c r="E117" s="6">
        <v>1010008</v>
      </c>
      <c r="F117" s="6">
        <v>1010009</v>
      </c>
      <c r="H117" s="9" t="s">
        <v>1108</v>
      </c>
      <c r="I117" s="9" t="s">
        <v>1124</v>
      </c>
      <c r="K117" t="str">
        <f t="shared" si="1"/>
        <v>1010006,33|1010007,33|1010008,33|1010009,33</v>
      </c>
    </row>
    <row r="118" spans="1:11" ht="16.5" x14ac:dyDescent="0.3">
      <c r="A118" s="4">
        <v>117</v>
      </c>
      <c r="B118" s="5">
        <f>VLOOKUP(A:A,[2]神器碎片!$H$26:$I$145,2,FALSE)</f>
        <v>34</v>
      </c>
      <c r="C118" s="6">
        <v>1010006</v>
      </c>
      <c r="D118" s="6">
        <v>1010007</v>
      </c>
      <c r="E118" s="6">
        <v>1010008</v>
      </c>
      <c r="F118" s="6">
        <v>1010009</v>
      </c>
      <c r="H118" s="9" t="s">
        <v>1108</v>
      </c>
      <c r="I118" s="9" t="s">
        <v>1124</v>
      </c>
      <c r="K118" t="str">
        <f t="shared" si="1"/>
        <v>1010006,34|1010007,34|1010008,34|1010009,34</v>
      </c>
    </row>
    <row r="119" spans="1:11" ht="16.5" x14ac:dyDescent="0.3">
      <c r="A119" s="4">
        <v>118</v>
      </c>
      <c r="B119" s="5">
        <f>VLOOKUP(A:A,[2]神器碎片!$H$26:$I$145,2,FALSE)</f>
        <v>34</v>
      </c>
      <c r="C119" s="6">
        <v>1010006</v>
      </c>
      <c r="D119" s="6">
        <v>1010007</v>
      </c>
      <c r="E119" s="6">
        <v>1010008</v>
      </c>
      <c r="F119" s="6">
        <v>1010009</v>
      </c>
      <c r="H119" s="9" t="s">
        <v>1108</v>
      </c>
      <c r="I119" s="9" t="s">
        <v>1124</v>
      </c>
      <c r="K119" t="str">
        <f t="shared" si="1"/>
        <v>1010006,34|1010007,34|1010008,34|1010009,34</v>
      </c>
    </row>
    <row r="120" spans="1:11" ht="16.5" x14ac:dyDescent="0.3">
      <c r="A120" s="4">
        <v>119</v>
      </c>
      <c r="B120" s="5">
        <f>VLOOKUP(A:A,[2]神器碎片!$H$26:$I$145,2,FALSE)</f>
        <v>34</v>
      </c>
      <c r="C120" s="6">
        <v>1010006</v>
      </c>
      <c r="D120" s="6">
        <v>1010007</v>
      </c>
      <c r="E120" s="6">
        <v>1010008</v>
      </c>
      <c r="F120" s="6">
        <v>1010009</v>
      </c>
      <c r="H120" s="9" t="s">
        <v>1108</v>
      </c>
      <c r="I120" s="9" t="s">
        <v>1124</v>
      </c>
      <c r="K120" t="str">
        <f t="shared" si="1"/>
        <v>1010006,34|1010007,34|1010008,34|1010009,34</v>
      </c>
    </row>
    <row r="121" spans="1:11" ht="16.5" x14ac:dyDescent="0.3">
      <c r="A121" s="8">
        <v>120</v>
      </c>
      <c r="B121" s="5">
        <f>VLOOKUP(A:A,[2]神器碎片!$H$26:$I$145,2,FALSE)</f>
        <v>34</v>
      </c>
      <c r="C121" s="6">
        <v>1010006</v>
      </c>
      <c r="D121" s="6">
        <v>1010007</v>
      </c>
      <c r="E121" s="6">
        <v>1010008</v>
      </c>
      <c r="F121" s="6">
        <v>1010009</v>
      </c>
      <c r="H121" s="9" t="s">
        <v>1108</v>
      </c>
      <c r="I121" s="9" t="s">
        <v>1124</v>
      </c>
      <c r="K121" t="str">
        <f t="shared" si="1"/>
        <v>1010006,34|1010007,34|1010008,34|1010009,34</v>
      </c>
    </row>
  </sheetData>
  <phoneticPr fontId="9" type="noConversion"/>
  <conditionalFormatting sqref="U1:U4">
    <cfRule type="duplicateValues" dxfId="11" priority="9"/>
    <cfRule type="duplicateValues" dxfId="10" priority="7"/>
    <cfRule type="timePeriod" dxfId="9" priority="8" timePeriod="yesterday">
      <formula>FLOOR(U1,1)=TODAY()-1</formula>
    </cfRule>
  </conditionalFormatting>
  <conditionalFormatting sqref="C2:F121">
    <cfRule type="duplicateValues" dxfId="8" priority="6"/>
    <cfRule type="duplicateValues" dxfId="7" priority="4"/>
    <cfRule type="timePeriod" dxfId="6" priority="5" timePeriod="yesterday">
      <formula>FLOOR(C2,1)=TODAY()-1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activeCell="D1" sqref="D1"/>
    </sheetView>
  </sheetViews>
  <sheetFormatPr defaultColWidth="9" defaultRowHeight="14.25" x14ac:dyDescent="0.2"/>
  <sheetData>
    <row r="1" spans="1:5" x14ac:dyDescent="0.2">
      <c r="A1" s="9" t="s">
        <v>1125</v>
      </c>
      <c r="B1" s="2" t="s">
        <v>1126</v>
      </c>
      <c r="C1" s="10" t="s">
        <v>1131</v>
      </c>
    </row>
    <row r="2" spans="1:5" x14ac:dyDescent="0.2">
      <c r="A2" s="4">
        <v>1</v>
      </c>
      <c r="B2" s="5">
        <f>VLOOKUP(A:A,[2]圣物碎片!$F$22:$G$141,2,FALSE)</f>
        <v>5</v>
      </c>
      <c r="C2">
        <v>1010015</v>
      </c>
      <c r="D2" s="9" t="s">
        <v>1108</v>
      </c>
      <c r="E2" t="str">
        <f>C2&amp;D2&amp;B2</f>
        <v>1010015,5</v>
      </c>
    </row>
    <row r="3" spans="1:5" x14ac:dyDescent="0.2">
      <c r="A3" s="4">
        <v>2</v>
      </c>
      <c r="B3" s="5">
        <f>VLOOKUP(A:A,[2]圣物碎片!$F$22:$G$141,2,FALSE)</f>
        <v>5</v>
      </c>
      <c r="C3">
        <v>1010015</v>
      </c>
      <c r="D3" s="9" t="s">
        <v>1108</v>
      </c>
      <c r="E3" t="str">
        <f t="shared" ref="E3:E66" si="0">C3&amp;D3&amp;B3</f>
        <v>1010015,5</v>
      </c>
    </row>
    <row r="4" spans="1:5" x14ac:dyDescent="0.2">
      <c r="A4" s="4">
        <v>3</v>
      </c>
      <c r="B4" s="5">
        <f>VLOOKUP(A:A,[2]圣物碎片!$F$22:$G$141,2,FALSE)</f>
        <v>5</v>
      </c>
      <c r="C4">
        <v>1010015</v>
      </c>
      <c r="D4" s="9" t="s">
        <v>1108</v>
      </c>
      <c r="E4" t="str">
        <f t="shared" si="0"/>
        <v>1010015,5</v>
      </c>
    </row>
    <row r="5" spans="1:5" x14ac:dyDescent="0.2">
      <c r="A5" s="4">
        <v>4</v>
      </c>
      <c r="B5" s="5">
        <f>VLOOKUP(A:A,[2]圣物碎片!$F$22:$G$141,2,FALSE)</f>
        <v>5</v>
      </c>
      <c r="C5">
        <v>1010015</v>
      </c>
      <c r="D5" s="9" t="s">
        <v>1108</v>
      </c>
      <c r="E5" t="str">
        <f t="shared" si="0"/>
        <v>1010015,5</v>
      </c>
    </row>
    <row r="6" spans="1:5" x14ac:dyDescent="0.2">
      <c r="A6" s="4">
        <v>5</v>
      </c>
      <c r="B6" s="5">
        <f>VLOOKUP(A:A,[2]圣物碎片!$F$22:$G$141,2,FALSE)</f>
        <v>6</v>
      </c>
      <c r="C6">
        <v>1010015</v>
      </c>
      <c r="D6" s="9" t="s">
        <v>1108</v>
      </c>
      <c r="E6" t="str">
        <f t="shared" si="0"/>
        <v>1010015,6</v>
      </c>
    </row>
    <row r="7" spans="1:5" x14ac:dyDescent="0.2">
      <c r="A7" s="4">
        <v>6</v>
      </c>
      <c r="B7" s="5">
        <f>VLOOKUP(A:A,[2]圣物碎片!$F$22:$G$141,2,FALSE)</f>
        <v>6</v>
      </c>
      <c r="C7">
        <v>1010015</v>
      </c>
      <c r="D7" s="9" t="s">
        <v>1108</v>
      </c>
      <c r="E7" t="str">
        <f t="shared" si="0"/>
        <v>1010015,6</v>
      </c>
    </row>
    <row r="8" spans="1:5" x14ac:dyDescent="0.2">
      <c r="A8" s="4">
        <v>7</v>
      </c>
      <c r="B8" s="5">
        <f>VLOOKUP(A:A,[2]圣物碎片!$F$22:$G$141,2,FALSE)</f>
        <v>6</v>
      </c>
      <c r="C8">
        <v>1010015</v>
      </c>
      <c r="D8" s="9" t="s">
        <v>1108</v>
      </c>
      <c r="E8" t="str">
        <f t="shared" si="0"/>
        <v>1010015,6</v>
      </c>
    </row>
    <row r="9" spans="1:5" x14ac:dyDescent="0.2">
      <c r="A9" s="4">
        <v>8</v>
      </c>
      <c r="B9" s="5">
        <f>VLOOKUP(A:A,[2]圣物碎片!$F$22:$G$141,2,FALSE)</f>
        <v>6</v>
      </c>
      <c r="C9">
        <v>1010015</v>
      </c>
      <c r="D9" s="9" t="s">
        <v>1108</v>
      </c>
      <c r="E9" t="str">
        <f t="shared" si="0"/>
        <v>1010015,6</v>
      </c>
    </row>
    <row r="10" spans="1:5" x14ac:dyDescent="0.2">
      <c r="A10" s="4">
        <v>9</v>
      </c>
      <c r="B10" s="5">
        <f>VLOOKUP(A:A,[2]圣物碎片!$F$22:$G$141,2,FALSE)</f>
        <v>7</v>
      </c>
      <c r="C10">
        <v>1010015</v>
      </c>
      <c r="D10" s="9" t="s">
        <v>1108</v>
      </c>
      <c r="E10" t="str">
        <f t="shared" si="0"/>
        <v>1010015,7</v>
      </c>
    </row>
    <row r="11" spans="1:5" x14ac:dyDescent="0.2">
      <c r="A11" s="4">
        <v>10</v>
      </c>
      <c r="B11" s="5">
        <f>VLOOKUP(A:A,[2]圣物碎片!$F$22:$G$141,2,FALSE)</f>
        <v>7</v>
      </c>
      <c r="C11">
        <v>1010015</v>
      </c>
      <c r="D11" s="9" t="s">
        <v>1108</v>
      </c>
      <c r="E11" t="str">
        <f t="shared" si="0"/>
        <v>1010015,7</v>
      </c>
    </row>
    <row r="12" spans="1:5" x14ac:dyDescent="0.2">
      <c r="A12" s="4">
        <v>11</v>
      </c>
      <c r="B12" s="5">
        <f>VLOOKUP(A:A,[2]圣物碎片!$F$22:$G$141,2,FALSE)</f>
        <v>7</v>
      </c>
      <c r="C12">
        <v>1010015</v>
      </c>
      <c r="D12" s="9" t="s">
        <v>1108</v>
      </c>
      <c r="E12" t="str">
        <f t="shared" si="0"/>
        <v>1010015,7</v>
      </c>
    </row>
    <row r="13" spans="1:5" x14ac:dyDescent="0.2">
      <c r="A13" s="4">
        <v>12</v>
      </c>
      <c r="B13" s="5">
        <f>VLOOKUP(A:A,[2]圣物碎片!$F$22:$G$141,2,FALSE)</f>
        <v>7</v>
      </c>
      <c r="C13">
        <v>1010015</v>
      </c>
      <c r="D13" s="9" t="s">
        <v>1108</v>
      </c>
      <c r="E13" t="str">
        <f t="shared" si="0"/>
        <v>1010015,7</v>
      </c>
    </row>
    <row r="14" spans="1:5" x14ac:dyDescent="0.2">
      <c r="A14" s="4">
        <v>13</v>
      </c>
      <c r="B14" s="5">
        <f>VLOOKUP(A:A,[2]圣物碎片!$F$22:$G$141,2,FALSE)</f>
        <v>8</v>
      </c>
      <c r="C14">
        <v>1010015</v>
      </c>
      <c r="D14" s="9" t="s">
        <v>1108</v>
      </c>
      <c r="E14" t="str">
        <f t="shared" si="0"/>
        <v>1010015,8</v>
      </c>
    </row>
    <row r="15" spans="1:5" x14ac:dyDescent="0.2">
      <c r="A15" s="4">
        <v>14</v>
      </c>
      <c r="B15" s="5">
        <f>VLOOKUP(A:A,[2]圣物碎片!$F$22:$G$141,2,FALSE)</f>
        <v>8</v>
      </c>
      <c r="C15">
        <v>1010015</v>
      </c>
      <c r="D15" s="9" t="s">
        <v>1108</v>
      </c>
      <c r="E15" t="str">
        <f t="shared" si="0"/>
        <v>1010015,8</v>
      </c>
    </row>
    <row r="16" spans="1:5" x14ac:dyDescent="0.2">
      <c r="A16" s="4">
        <v>15</v>
      </c>
      <c r="B16" s="5">
        <f>VLOOKUP(A:A,[2]圣物碎片!$F$22:$G$141,2,FALSE)</f>
        <v>8</v>
      </c>
      <c r="C16">
        <v>1010015</v>
      </c>
      <c r="D16" s="9" t="s">
        <v>1108</v>
      </c>
      <c r="E16" t="str">
        <f t="shared" si="0"/>
        <v>1010015,8</v>
      </c>
    </row>
    <row r="17" spans="1:5" x14ac:dyDescent="0.2">
      <c r="A17" s="4">
        <v>16</v>
      </c>
      <c r="B17" s="5">
        <f>VLOOKUP(A:A,[2]圣物碎片!$F$22:$G$141,2,FALSE)</f>
        <v>8</v>
      </c>
      <c r="C17">
        <v>1010015</v>
      </c>
      <c r="D17" s="9" t="s">
        <v>1108</v>
      </c>
      <c r="E17" t="str">
        <f t="shared" si="0"/>
        <v>1010015,8</v>
      </c>
    </row>
    <row r="18" spans="1:5" x14ac:dyDescent="0.2">
      <c r="A18" s="4">
        <v>17</v>
      </c>
      <c r="B18" s="5">
        <f>VLOOKUP(A:A,[2]圣物碎片!$F$22:$G$141,2,FALSE)</f>
        <v>9</v>
      </c>
      <c r="C18">
        <v>1010015</v>
      </c>
      <c r="D18" s="9" t="s">
        <v>1108</v>
      </c>
      <c r="E18" t="str">
        <f t="shared" si="0"/>
        <v>1010015,9</v>
      </c>
    </row>
    <row r="19" spans="1:5" x14ac:dyDescent="0.2">
      <c r="A19" s="4">
        <v>18</v>
      </c>
      <c r="B19" s="5">
        <f>VLOOKUP(A:A,[2]圣物碎片!$F$22:$G$141,2,FALSE)</f>
        <v>9</v>
      </c>
      <c r="C19">
        <v>1010015</v>
      </c>
      <c r="D19" s="9" t="s">
        <v>1108</v>
      </c>
      <c r="E19" t="str">
        <f t="shared" si="0"/>
        <v>1010015,9</v>
      </c>
    </row>
    <row r="20" spans="1:5" x14ac:dyDescent="0.2">
      <c r="A20" s="4">
        <v>19</v>
      </c>
      <c r="B20" s="5">
        <f>VLOOKUP(A:A,[2]圣物碎片!$F$22:$G$141,2,FALSE)</f>
        <v>9</v>
      </c>
      <c r="C20">
        <v>1010015</v>
      </c>
      <c r="D20" s="9" t="s">
        <v>1108</v>
      </c>
      <c r="E20" t="str">
        <f t="shared" si="0"/>
        <v>1010015,9</v>
      </c>
    </row>
    <row r="21" spans="1:5" x14ac:dyDescent="0.2">
      <c r="A21" s="4">
        <v>20</v>
      </c>
      <c r="B21" s="5">
        <f>VLOOKUP(A:A,[2]圣物碎片!$F$22:$G$141,2,FALSE)</f>
        <v>9</v>
      </c>
      <c r="C21">
        <v>1010015</v>
      </c>
      <c r="D21" s="9" t="s">
        <v>1108</v>
      </c>
      <c r="E21" t="str">
        <f t="shared" si="0"/>
        <v>1010015,9</v>
      </c>
    </row>
    <row r="22" spans="1:5" x14ac:dyDescent="0.2">
      <c r="A22" s="4">
        <v>21</v>
      </c>
      <c r="B22" s="5">
        <f>VLOOKUP(A:A,[2]圣物碎片!$F$22:$G$141,2,FALSE)</f>
        <v>10</v>
      </c>
      <c r="C22">
        <v>1010015</v>
      </c>
      <c r="D22" s="9" t="s">
        <v>1108</v>
      </c>
      <c r="E22" t="str">
        <f t="shared" si="0"/>
        <v>1010015,10</v>
      </c>
    </row>
    <row r="23" spans="1:5" x14ac:dyDescent="0.2">
      <c r="A23" s="4">
        <v>22</v>
      </c>
      <c r="B23" s="5">
        <f>VLOOKUP(A:A,[2]圣物碎片!$F$22:$G$141,2,FALSE)</f>
        <v>10</v>
      </c>
      <c r="C23">
        <v>1010015</v>
      </c>
      <c r="D23" s="9" t="s">
        <v>1108</v>
      </c>
      <c r="E23" t="str">
        <f t="shared" si="0"/>
        <v>1010015,10</v>
      </c>
    </row>
    <row r="24" spans="1:5" x14ac:dyDescent="0.2">
      <c r="A24" s="4">
        <v>23</v>
      </c>
      <c r="B24" s="5">
        <f>VLOOKUP(A:A,[2]圣物碎片!$F$22:$G$141,2,FALSE)</f>
        <v>10</v>
      </c>
      <c r="C24">
        <v>1010015</v>
      </c>
      <c r="D24" s="9" t="s">
        <v>1108</v>
      </c>
      <c r="E24" t="str">
        <f t="shared" si="0"/>
        <v>1010015,10</v>
      </c>
    </row>
    <row r="25" spans="1:5" x14ac:dyDescent="0.2">
      <c r="A25" s="4">
        <v>24</v>
      </c>
      <c r="B25" s="5">
        <f>VLOOKUP(A:A,[2]圣物碎片!$F$22:$G$141,2,FALSE)</f>
        <v>10</v>
      </c>
      <c r="C25">
        <v>1010015</v>
      </c>
      <c r="D25" s="9" t="s">
        <v>1108</v>
      </c>
      <c r="E25" t="str">
        <f t="shared" si="0"/>
        <v>1010015,10</v>
      </c>
    </row>
    <row r="26" spans="1:5" x14ac:dyDescent="0.2">
      <c r="A26" s="4">
        <v>25</v>
      </c>
      <c r="B26" s="5">
        <f>VLOOKUP(A:A,[2]圣物碎片!$F$22:$G$141,2,FALSE)</f>
        <v>11</v>
      </c>
      <c r="C26">
        <v>1010015</v>
      </c>
      <c r="D26" s="9" t="s">
        <v>1108</v>
      </c>
      <c r="E26" t="str">
        <f t="shared" si="0"/>
        <v>1010015,11</v>
      </c>
    </row>
    <row r="27" spans="1:5" x14ac:dyDescent="0.2">
      <c r="A27" s="4">
        <v>26</v>
      </c>
      <c r="B27" s="5">
        <f>VLOOKUP(A:A,[2]圣物碎片!$F$22:$G$141,2,FALSE)</f>
        <v>11</v>
      </c>
      <c r="C27">
        <v>1010015</v>
      </c>
      <c r="D27" s="9" t="s">
        <v>1108</v>
      </c>
      <c r="E27" t="str">
        <f t="shared" si="0"/>
        <v>1010015,11</v>
      </c>
    </row>
    <row r="28" spans="1:5" x14ac:dyDescent="0.2">
      <c r="A28" s="4">
        <v>27</v>
      </c>
      <c r="B28" s="5">
        <f>VLOOKUP(A:A,[2]圣物碎片!$F$22:$G$141,2,FALSE)</f>
        <v>11</v>
      </c>
      <c r="C28">
        <v>1010015</v>
      </c>
      <c r="D28" s="9" t="s">
        <v>1108</v>
      </c>
      <c r="E28" t="str">
        <f t="shared" si="0"/>
        <v>1010015,11</v>
      </c>
    </row>
    <row r="29" spans="1:5" x14ac:dyDescent="0.2">
      <c r="A29" s="4">
        <v>28</v>
      </c>
      <c r="B29" s="5">
        <f>VLOOKUP(A:A,[2]圣物碎片!$F$22:$G$141,2,FALSE)</f>
        <v>11</v>
      </c>
      <c r="C29">
        <v>1010015</v>
      </c>
      <c r="D29" s="9" t="s">
        <v>1108</v>
      </c>
      <c r="E29" t="str">
        <f t="shared" si="0"/>
        <v>1010015,11</v>
      </c>
    </row>
    <row r="30" spans="1:5" x14ac:dyDescent="0.2">
      <c r="A30" s="4">
        <v>29</v>
      </c>
      <c r="B30" s="5">
        <f>VLOOKUP(A:A,[2]圣物碎片!$F$22:$G$141,2,FALSE)</f>
        <v>12</v>
      </c>
      <c r="C30">
        <v>1010015</v>
      </c>
      <c r="D30" s="9" t="s">
        <v>1108</v>
      </c>
      <c r="E30" t="str">
        <f t="shared" si="0"/>
        <v>1010015,12</v>
      </c>
    </row>
    <row r="31" spans="1:5" x14ac:dyDescent="0.2">
      <c r="A31" s="4">
        <v>30</v>
      </c>
      <c r="B31" s="5">
        <f>VLOOKUP(A:A,[2]圣物碎片!$F$22:$G$141,2,FALSE)</f>
        <v>12</v>
      </c>
      <c r="C31">
        <v>1010015</v>
      </c>
      <c r="D31" s="9" t="s">
        <v>1108</v>
      </c>
      <c r="E31" t="str">
        <f t="shared" si="0"/>
        <v>1010015,12</v>
      </c>
    </row>
    <row r="32" spans="1:5" x14ac:dyDescent="0.2">
      <c r="A32" s="4">
        <v>31</v>
      </c>
      <c r="B32" s="5">
        <f>VLOOKUP(A:A,[2]圣物碎片!$F$22:$G$141,2,FALSE)</f>
        <v>12</v>
      </c>
      <c r="C32">
        <v>1010015</v>
      </c>
      <c r="D32" s="9" t="s">
        <v>1108</v>
      </c>
      <c r="E32" t="str">
        <f t="shared" si="0"/>
        <v>1010015,12</v>
      </c>
    </row>
    <row r="33" spans="1:5" x14ac:dyDescent="0.2">
      <c r="A33" s="4">
        <v>32</v>
      </c>
      <c r="B33" s="5">
        <f>VLOOKUP(A:A,[2]圣物碎片!$F$22:$G$141,2,FALSE)</f>
        <v>12</v>
      </c>
      <c r="C33">
        <v>1010015</v>
      </c>
      <c r="D33" s="9" t="s">
        <v>1108</v>
      </c>
      <c r="E33" t="str">
        <f t="shared" si="0"/>
        <v>1010015,12</v>
      </c>
    </row>
    <row r="34" spans="1:5" x14ac:dyDescent="0.2">
      <c r="A34" s="4">
        <v>33</v>
      </c>
      <c r="B34" s="5">
        <f>VLOOKUP(A:A,[2]圣物碎片!$F$22:$G$141,2,FALSE)</f>
        <v>13</v>
      </c>
      <c r="C34">
        <v>1010015</v>
      </c>
      <c r="D34" s="9" t="s">
        <v>1108</v>
      </c>
      <c r="E34" t="str">
        <f t="shared" si="0"/>
        <v>1010015,13</v>
      </c>
    </row>
    <row r="35" spans="1:5" x14ac:dyDescent="0.2">
      <c r="A35" s="4">
        <v>34</v>
      </c>
      <c r="B35" s="5">
        <f>VLOOKUP(A:A,[2]圣物碎片!$F$22:$G$141,2,FALSE)</f>
        <v>13</v>
      </c>
      <c r="C35">
        <v>1010015</v>
      </c>
      <c r="D35" s="9" t="s">
        <v>1108</v>
      </c>
      <c r="E35" t="str">
        <f t="shared" si="0"/>
        <v>1010015,13</v>
      </c>
    </row>
    <row r="36" spans="1:5" x14ac:dyDescent="0.2">
      <c r="A36" s="4">
        <v>35</v>
      </c>
      <c r="B36" s="5">
        <f>VLOOKUP(A:A,[2]圣物碎片!$F$22:$G$141,2,FALSE)</f>
        <v>13</v>
      </c>
      <c r="C36">
        <v>1010015</v>
      </c>
      <c r="D36" s="9" t="s">
        <v>1108</v>
      </c>
      <c r="E36" t="str">
        <f t="shared" si="0"/>
        <v>1010015,13</v>
      </c>
    </row>
    <row r="37" spans="1:5" x14ac:dyDescent="0.2">
      <c r="A37" s="4">
        <v>36</v>
      </c>
      <c r="B37" s="5">
        <f>VLOOKUP(A:A,[2]圣物碎片!$F$22:$G$141,2,FALSE)</f>
        <v>13</v>
      </c>
      <c r="C37">
        <v>1010015</v>
      </c>
      <c r="D37" s="9" t="s">
        <v>1108</v>
      </c>
      <c r="E37" t="str">
        <f t="shared" si="0"/>
        <v>1010015,13</v>
      </c>
    </row>
    <row r="38" spans="1:5" x14ac:dyDescent="0.2">
      <c r="A38" s="4">
        <v>37</v>
      </c>
      <c r="B38" s="5">
        <f>VLOOKUP(A:A,[2]圣物碎片!$F$22:$G$141,2,FALSE)</f>
        <v>14</v>
      </c>
      <c r="C38">
        <v>1010015</v>
      </c>
      <c r="D38" s="9" t="s">
        <v>1108</v>
      </c>
      <c r="E38" t="str">
        <f t="shared" si="0"/>
        <v>1010015,14</v>
      </c>
    </row>
    <row r="39" spans="1:5" x14ac:dyDescent="0.2">
      <c r="A39" s="4">
        <v>38</v>
      </c>
      <c r="B39" s="5">
        <f>VLOOKUP(A:A,[2]圣物碎片!$F$22:$G$141,2,FALSE)</f>
        <v>14</v>
      </c>
      <c r="C39">
        <v>1010015</v>
      </c>
      <c r="D39" s="9" t="s">
        <v>1108</v>
      </c>
      <c r="E39" t="str">
        <f t="shared" si="0"/>
        <v>1010015,14</v>
      </c>
    </row>
    <row r="40" spans="1:5" x14ac:dyDescent="0.2">
      <c r="A40" s="4">
        <v>39</v>
      </c>
      <c r="B40" s="5">
        <f>VLOOKUP(A:A,[2]圣物碎片!$F$22:$G$141,2,FALSE)</f>
        <v>14</v>
      </c>
      <c r="C40">
        <v>1010015</v>
      </c>
      <c r="D40" s="9" t="s">
        <v>1108</v>
      </c>
      <c r="E40" t="str">
        <f t="shared" si="0"/>
        <v>1010015,14</v>
      </c>
    </row>
    <row r="41" spans="1:5" x14ac:dyDescent="0.2">
      <c r="A41" s="4">
        <v>40</v>
      </c>
      <c r="B41" s="5">
        <f>VLOOKUP(A:A,[2]圣物碎片!$F$22:$G$141,2,FALSE)</f>
        <v>14</v>
      </c>
      <c r="C41">
        <v>1010015</v>
      </c>
      <c r="D41" s="9" t="s">
        <v>1108</v>
      </c>
      <c r="E41" t="str">
        <f t="shared" si="0"/>
        <v>1010015,14</v>
      </c>
    </row>
    <row r="42" spans="1:5" x14ac:dyDescent="0.2">
      <c r="A42" s="4">
        <v>41</v>
      </c>
      <c r="B42" s="5">
        <f>VLOOKUP(A:A,[2]圣物碎片!$F$22:$G$141,2,FALSE)</f>
        <v>15</v>
      </c>
      <c r="C42">
        <v>1010015</v>
      </c>
      <c r="D42" s="9" t="s">
        <v>1108</v>
      </c>
      <c r="E42" t="str">
        <f t="shared" si="0"/>
        <v>1010015,15</v>
      </c>
    </row>
    <row r="43" spans="1:5" x14ac:dyDescent="0.2">
      <c r="A43" s="4">
        <v>42</v>
      </c>
      <c r="B43" s="5">
        <f>VLOOKUP(A:A,[2]圣物碎片!$F$22:$G$141,2,FALSE)</f>
        <v>15</v>
      </c>
      <c r="C43">
        <v>1010015</v>
      </c>
      <c r="D43" s="9" t="s">
        <v>1108</v>
      </c>
      <c r="E43" t="str">
        <f t="shared" si="0"/>
        <v>1010015,15</v>
      </c>
    </row>
    <row r="44" spans="1:5" x14ac:dyDescent="0.2">
      <c r="A44" s="4">
        <v>43</v>
      </c>
      <c r="B44" s="5">
        <f>VLOOKUP(A:A,[2]圣物碎片!$F$22:$G$141,2,FALSE)</f>
        <v>15</v>
      </c>
      <c r="C44">
        <v>1010015</v>
      </c>
      <c r="D44" s="9" t="s">
        <v>1108</v>
      </c>
      <c r="E44" t="str">
        <f t="shared" si="0"/>
        <v>1010015,15</v>
      </c>
    </row>
    <row r="45" spans="1:5" x14ac:dyDescent="0.2">
      <c r="A45" s="4">
        <v>44</v>
      </c>
      <c r="B45" s="5">
        <f>VLOOKUP(A:A,[2]圣物碎片!$F$22:$G$141,2,FALSE)</f>
        <v>15</v>
      </c>
      <c r="C45">
        <v>1010015</v>
      </c>
      <c r="D45" s="9" t="s">
        <v>1108</v>
      </c>
      <c r="E45" t="str">
        <f t="shared" si="0"/>
        <v>1010015,15</v>
      </c>
    </row>
    <row r="46" spans="1:5" x14ac:dyDescent="0.2">
      <c r="A46" s="4">
        <v>45</v>
      </c>
      <c r="B46" s="5">
        <f>VLOOKUP(A:A,[2]圣物碎片!$F$22:$G$141,2,FALSE)</f>
        <v>16</v>
      </c>
      <c r="C46">
        <v>1010015</v>
      </c>
      <c r="D46" s="9" t="s">
        <v>1108</v>
      </c>
      <c r="E46" t="str">
        <f t="shared" si="0"/>
        <v>1010015,16</v>
      </c>
    </row>
    <row r="47" spans="1:5" x14ac:dyDescent="0.2">
      <c r="A47" s="4">
        <v>46</v>
      </c>
      <c r="B47" s="5">
        <f>VLOOKUP(A:A,[2]圣物碎片!$F$22:$G$141,2,FALSE)</f>
        <v>16</v>
      </c>
      <c r="C47">
        <v>1010015</v>
      </c>
      <c r="D47" s="9" t="s">
        <v>1108</v>
      </c>
      <c r="E47" t="str">
        <f t="shared" si="0"/>
        <v>1010015,16</v>
      </c>
    </row>
    <row r="48" spans="1:5" x14ac:dyDescent="0.2">
      <c r="A48" s="4">
        <v>47</v>
      </c>
      <c r="B48" s="5">
        <f>VLOOKUP(A:A,[2]圣物碎片!$F$22:$G$141,2,FALSE)</f>
        <v>16</v>
      </c>
      <c r="C48">
        <v>1010015</v>
      </c>
      <c r="D48" s="9" t="s">
        <v>1108</v>
      </c>
      <c r="E48" t="str">
        <f t="shared" si="0"/>
        <v>1010015,16</v>
      </c>
    </row>
    <row r="49" spans="1:5" x14ac:dyDescent="0.2">
      <c r="A49" s="4">
        <v>48</v>
      </c>
      <c r="B49" s="5">
        <f>VLOOKUP(A:A,[2]圣物碎片!$F$22:$G$141,2,FALSE)</f>
        <v>16</v>
      </c>
      <c r="C49">
        <v>1010015</v>
      </c>
      <c r="D49" s="9" t="s">
        <v>1108</v>
      </c>
      <c r="E49" t="str">
        <f t="shared" si="0"/>
        <v>1010015,16</v>
      </c>
    </row>
    <row r="50" spans="1:5" x14ac:dyDescent="0.2">
      <c r="A50" s="4">
        <v>49</v>
      </c>
      <c r="B50" s="5">
        <f>VLOOKUP(A:A,[2]圣物碎片!$F$22:$G$141,2,FALSE)</f>
        <v>17</v>
      </c>
      <c r="C50">
        <v>1010015</v>
      </c>
      <c r="D50" s="9" t="s">
        <v>1108</v>
      </c>
      <c r="E50" t="str">
        <f t="shared" si="0"/>
        <v>1010015,17</v>
      </c>
    </row>
    <row r="51" spans="1:5" x14ac:dyDescent="0.2">
      <c r="A51" s="4">
        <v>50</v>
      </c>
      <c r="B51" s="5">
        <f>VLOOKUP(A:A,[2]圣物碎片!$F$22:$G$141,2,FALSE)</f>
        <v>17</v>
      </c>
      <c r="C51">
        <v>1010015</v>
      </c>
      <c r="D51" s="9" t="s">
        <v>1108</v>
      </c>
      <c r="E51" t="str">
        <f t="shared" si="0"/>
        <v>1010015,17</v>
      </c>
    </row>
    <row r="52" spans="1:5" x14ac:dyDescent="0.2">
      <c r="A52" s="4">
        <v>51</v>
      </c>
      <c r="B52" s="5">
        <f>VLOOKUP(A:A,[2]圣物碎片!$F$22:$G$141,2,FALSE)</f>
        <v>17</v>
      </c>
      <c r="C52">
        <v>1010015</v>
      </c>
      <c r="D52" s="9" t="s">
        <v>1108</v>
      </c>
      <c r="E52" t="str">
        <f t="shared" si="0"/>
        <v>1010015,17</v>
      </c>
    </row>
    <row r="53" spans="1:5" x14ac:dyDescent="0.2">
      <c r="A53" s="4">
        <v>52</v>
      </c>
      <c r="B53" s="5">
        <f>VLOOKUP(A:A,[2]圣物碎片!$F$22:$G$141,2,FALSE)</f>
        <v>17</v>
      </c>
      <c r="C53">
        <v>1010015</v>
      </c>
      <c r="D53" s="9" t="s">
        <v>1108</v>
      </c>
      <c r="E53" t="str">
        <f t="shared" si="0"/>
        <v>1010015,17</v>
      </c>
    </row>
    <row r="54" spans="1:5" x14ac:dyDescent="0.2">
      <c r="A54" s="4">
        <v>53</v>
      </c>
      <c r="B54" s="5">
        <f>VLOOKUP(A:A,[2]圣物碎片!$F$22:$G$141,2,FALSE)</f>
        <v>18</v>
      </c>
      <c r="C54">
        <v>1010015</v>
      </c>
      <c r="D54" s="9" t="s">
        <v>1108</v>
      </c>
      <c r="E54" t="str">
        <f t="shared" si="0"/>
        <v>1010015,18</v>
      </c>
    </row>
    <row r="55" spans="1:5" x14ac:dyDescent="0.2">
      <c r="A55" s="4">
        <v>54</v>
      </c>
      <c r="B55" s="5">
        <f>VLOOKUP(A:A,[2]圣物碎片!$F$22:$G$141,2,FALSE)</f>
        <v>18</v>
      </c>
      <c r="C55">
        <v>1010015</v>
      </c>
      <c r="D55" s="9" t="s">
        <v>1108</v>
      </c>
      <c r="E55" t="str">
        <f t="shared" si="0"/>
        <v>1010015,18</v>
      </c>
    </row>
    <row r="56" spans="1:5" x14ac:dyDescent="0.2">
      <c r="A56" s="4">
        <v>55</v>
      </c>
      <c r="B56" s="5">
        <f>VLOOKUP(A:A,[2]圣物碎片!$F$22:$G$141,2,FALSE)</f>
        <v>18</v>
      </c>
      <c r="C56">
        <v>1010015</v>
      </c>
      <c r="D56" s="9" t="s">
        <v>1108</v>
      </c>
      <c r="E56" t="str">
        <f t="shared" si="0"/>
        <v>1010015,18</v>
      </c>
    </row>
    <row r="57" spans="1:5" x14ac:dyDescent="0.2">
      <c r="A57" s="4">
        <v>56</v>
      </c>
      <c r="B57" s="5">
        <f>VLOOKUP(A:A,[2]圣物碎片!$F$22:$G$141,2,FALSE)</f>
        <v>18</v>
      </c>
      <c r="C57">
        <v>1010015</v>
      </c>
      <c r="D57" s="9" t="s">
        <v>1108</v>
      </c>
      <c r="E57" t="str">
        <f t="shared" si="0"/>
        <v>1010015,18</v>
      </c>
    </row>
    <row r="58" spans="1:5" x14ac:dyDescent="0.2">
      <c r="A58" s="4">
        <v>57</v>
      </c>
      <c r="B58" s="5">
        <f>VLOOKUP(A:A,[2]圣物碎片!$F$22:$G$141,2,FALSE)</f>
        <v>19</v>
      </c>
      <c r="C58">
        <v>1010015</v>
      </c>
      <c r="D58" s="9" t="s">
        <v>1108</v>
      </c>
      <c r="E58" t="str">
        <f t="shared" si="0"/>
        <v>1010015,19</v>
      </c>
    </row>
    <row r="59" spans="1:5" x14ac:dyDescent="0.2">
      <c r="A59" s="4">
        <v>58</v>
      </c>
      <c r="B59" s="5">
        <f>VLOOKUP(A:A,[2]圣物碎片!$F$22:$G$141,2,FALSE)</f>
        <v>19</v>
      </c>
      <c r="C59">
        <v>1010015</v>
      </c>
      <c r="D59" s="9" t="s">
        <v>1108</v>
      </c>
      <c r="E59" t="str">
        <f t="shared" si="0"/>
        <v>1010015,19</v>
      </c>
    </row>
    <row r="60" spans="1:5" x14ac:dyDescent="0.2">
      <c r="A60" s="4">
        <v>59</v>
      </c>
      <c r="B60" s="5">
        <f>VLOOKUP(A:A,[2]圣物碎片!$F$22:$G$141,2,FALSE)</f>
        <v>19</v>
      </c>
      <c r="C60">
        <v>1010015</v>
      </c>
      <c r="D60" s="9" t="s">
        <v>1108</v>
      </c>
      <c r="E60" t="str">
        <f t="shared" si="0"/>
        <v>1010015,19</v>
      </c>
    </row>
    <row r="61" spans="1:5" x14ac:dyDescent="0.2">
      <c r="A61" s="4">
        <v>60</v>
      </c>
      <c r="B61" s="5">
        <f>VLOOKUP(A:A,[2]圣物碎片!$F$22:$G$141,2,FALSE)</f>
        <v>19</v>
      </c>
      <c r="C61">
        <v>1010015</v>
      </c>
      <c r="D61" s="9" t="s">
        <v>1108</v>
      </c>
      <c r="E61" t="str">
        <f t="shared" si="0"/>
        <v>1010015,19</v>
      </c>
    </row>
    <row r="62" spans="1:5" x14ac:dyDescent="0.2">
      <c r="A62" s="4">
        <v>61</v>
      </c>
      <c r="B62" s="5">
        <f>VLOOKUP(A:A,[2]圣物碎片!$F$22:$G$141,2,FALSE)</f>
        <v>20</v>
      </c>
      <c r="C62">
        <v>1010015</v>
      </c>
      <c r="D62" s="9" t="s">
        <v>1108</v>
      </c>
      <c r="E62" t="str">
        <f t="shared" si="0"/>
        <v>1010015,20</v>
      </c>
    </row>
    <row r="63" spans="1:5" x14ac:dyDescent="0.2">
      <c r="A63" s="4">
        <v>62</v>
      </c>
      <c r="B63" s="5">
        <f>VLOOKUP(A:A,[2]圣物碎片!$F$22:$G$141,2,FALSE)</f>
        <v>20</v>
      </c>
      <c r="C63">
        <v>1010015</v>
      </c>
      <c r="D63" s="9" t="s">
        <v>1108</v>
      </c>
      <c r="E63" t="str">
        <f t="shared" si="0"/>
        <v>1010015,20</v>
      </c>
    </row>
    <row r="64" spans="1:5" x14ac:dyDescent="0.2">
      <c r="A64" s="4">
        <v>63</v>
      </c>
      <c r="B64" s="5">
        <f>VLOOKUP(A:A,[2]圣物碎片!$F$22:$G$141,2,FALSE)</f>
        <v>20</v>
      </c>
      <c r="C64">
        <v>1010015</v>
      </c>
      <c r="D64" s="9" t="s">
        <v>1108</v>
      </c>
      <c r="E64" t="str">
        <f t="shared" si="0"/>
        <v>1010015,20</v>
      </c>
    </row>
    <row r="65" spans="1:5" x14ac:dyDescent="0.2">
      <c r="A65" s="4">
        <v>64</v>
      </c>
      <c r="B65" s="5">
        <f>VLOOKUP(A:A,[2]圣物碎片!$F$22:$G$141,2,FALSE)</f>
        <v>20</v>
      </c>
      <c r="C65">
        <v>1010015</v>
      </c>
      <c r="D65" s="9" t="s">
        <v>1108</v>
      </c>
      <c r="E65" t="str">
        <f t="shared" si="0"/>
        <v>1010015,20</v>
      </c>
    </row>
    <row r="66" spans="1:5" x14ac:dyDescent="0.2">
      <c r="A66" s="4">
        <v>65</v>
      </c>
      <c r="B66" s="5">
        <f>VLOOKUP(A:A,[2]圣物碎片!$F$22:$G$141,2,FALSE)</f>
        <v>21</v>
      </c>
      <c r="C66">
        <v>1010015</v>
      </c>
      <c r="D66" s="9" t="s">
        <v>1108</v>
      </c>
      <c r="E66" t="str">
        <f t="shared" si="0"/>
        <v>1010015,21</v>
      </c>
    </row>
    <row r="67" spans="1:5" x14ac:dyDescent="0.2">
      <c r="A67" s="4">
        <v>66</v>
      </c>
      <c r="B67" s="5">
        <f>VLOOKUP(A:A,[2]圣物碎片!$F$22:$G$141,2,FALSE)</f>
        <v>21</v>
      </c>
      <c r="C67">
        <v>1010015</v>
      </c>
      <c r="D67" s="9" t="s">
        <v>1108</v>
      </c>
      <c r="E67" t="str">
        <f t="shared" ref="E67:E121" si="1">C67&amp;D67&amp;B67</f>
        <v>1010015,21</v>
      </c>
    </row>
    <row r="68" spans="1:5" x14ac:dyDescent="0.2">
      <c r="A68" s="4">
        <v>67</v>
      </c>
      <c r="B68" s="5">
        <f>VLOOKUP(A:A,[2]圣物碎片!$F$22:$G$141,2,FALSE)</f>
        <v>21</v>
      </c>
      <c r="C68">
        <v>1010015</v>
      </c>
      <c r="D68" s="9" t="s">
        <v>1108</v>
      </c>
      <c r="E68" t="str">
        <f t="shared" si="1"/>
        <v>1010015,21</v>
      </c>
    </row>
    <row r="69" spans="1:5" x14ac:dyDescent="0.2">
      <c r="A69" s="4">
        <v>68</v>
      </c>
      <c r="B69" s="5">
        <f>VLOOKUP(A:A,[2]圣物碎片!$F$22:$G$141,2,FALSE)</f>
        <v>21</v>
      </c>
      <c r="C69">
        <v>1010015</v>
      </c>
      <c r="D69" s="9" t="s">
        <v>1108</v>
      </c>
      <c r="E69" t="str">
        <f t="shared" si="1"/>
        <v>1010015,21</v>
      </c>
    </row>
    <row r="70" spans="1:5" x14ac:dyDescent="0.2">
      <c r="A70" s="4">
        <v>69</v>
      </c>
      <c r="B70" s="5">
        <f>VLOOKUP(A:A,[2]圣物碎片!$F$22:$G$141,2,FALSE)</f>
        <v>22</v>
      </c>
      <c r="C70">
        <v>1010015</v>
      </c>
      <c r="D70" s="9" t="s">
        <v>1108</v>
      </c>
      <c r="E70" t="str">
        <f t="shared" si="1"/>
        <v>1010015,22</v>
      </c>
    </row>
    <row r="71" spans="1:5" x14ac:dyDescent="0.2">
      <c r="A71" s="4">
        <v>70</v>
      </c>
      <c r="B71" s="5">
        <f>VLOOKUP(A:A,[2]圣物碎片!$F$22:$G$141,2,FALSE)</f>
        <v>22</v>
      </c>
      <c r="C71">
        <v>1010015</v>
      </c>
      <c r="D71" s="9" t="s">
        <v>1108</v>
      </c>
      <c r="E71" t="str">
        <f t="shared" si="1"/>
        <v>1010015,22</v>
      </c>
    </row>
    <row r="72" spans="1:5" x14ac:dyDescent="0.2">
      <c r="A72" s="4">
        <v>71</v>
      </c>
      <c r="B72" s="5">
        <f>VLOOKUP(A:A,[2]圣物碎片!$F$22:$G$141,2,FALSE)</f>
        <v>22</v>
      </c>
      <c r="C72">
        <v>1010015</v>
      </c>
      <c r="D72" s="9" t="s">
        <v>1108</v>
      </c>
      <c r="E72" t="str">
        <f t="shared" si="1"/>
        <v>1010015,22</v>
      </c>
    </row>
    <row r="73" spans="1:5" x14ac:dyDescent="0.2">
      <c r="A73" s="4">
        <v>72</v>
      </c>
      <c r="B73" s="5">
        <f>VLOOKUP(A:A,[2]圣物碎片!$F$22:$G$141,2,FALSE)</f>
        <v>22</v>
      </c>
      <c r="C73">
        <v>1010015</v>
      </c>
      <c r="D73" s="9" t="s">
        <v>1108</v>
      </c>
      <c r="E73" t="str">
        <f t="shared" si="1"/>
        <v>1010015,22</v>
      </c>
    </row>
    <row r="74" spans="1:5" x14ac:dyDescent="0.2">
      <c r="A74" s="4">
        <v>73</v>
      </c>
      <c r="B74" s="5">
        <f>VLOOKUP(A:A,[2]圣物碎片!$F$22:$G$141,2,FALSE)</f>
        <v>23</v>
      </c>
      <c r="C74">
        <v>1010015</v>
      </c>
      <c r="D74" s="9" t="s">
        <v>1108</v>
      </c>
      <c r="E74" t="str">
        <f t="shared" si="1"/>
        <v>1010015,23</v>
      </c>
    </row>
    <row r="75" spans="1:5" x14ac:dyDescent="0.2">
      <c r="A75" s="4">
        <v>74</v>
      </c>
      <c r="B75" s="5">
        <f>VLOOKUP(A:A,[2]圣物碎片!$F$22:$G$141,2,FALSE)</f>
        <v>23</v>
      </c>
      <c r="C75">
        <v>1010015</v>
      </c>
      <c r="D75" s="9" t="s">
        <v>1108</v>
      </c>
      <c r="E75" t="str">
        <f t="shared" si="1"/>
        <v>1010015,23</v>
      </c>
    </row>
    <row r="76" spans="1:5" x14ac:dyDescent="0.2">
      <c r="A76" s="4">
        <v>75</v>
      </c>
      <c r="B76" s="5">
        <f>VLOOKUP(A:A,[2]圣物碎片!$F$22:$G$141,2,FALSE)</f>
        <v>23</v>
      </c>
      <c r="C76">
        <v>1010015</v>
      </c>
      <c r="D76" s="9" t="s">
        <v>1108</v>
      </c>
      <c r="E76" t="str">
        <f t="shared" si="1"/>
        <v>1010015,23</v>
      </c>
    </row>
    <row r="77" spans="1:5" x14ac:dyDescent="0.2">
      <c r="A77" s="4">
        <v>76</v>
      </c>
      <c r="B77" s="5">
        <f>VLOOKUP(A:A,[2]圣物碎片!$F$22:$G$141,2,FALSE)</f>
        <v>23</v>
      </c>
      <c r="C77">
        <v>1010015</v>
      </c>
      <c r="D77" s="9" t="s">
        <v>1108</v>
      </c>
      <c r="E77" t="str">
        <f t="shared" si="1"/>
        <v>1010015,23</v>
      </c>
    </row>
    <row r="78" spans="1:5" x14ac:dyDescent="0.2">
      <c r="A78" s="4">
        <v>77</v>
      </c>
      <c r="B78" s="5">
        <f>VLOOKUP(A:A,[2]圣物碎片!$F$22:$G$141,2,FALSE)</f>
        <v>24</v>
      </c>
      <c r="C78">
        <v>1010015</v>
      </c>
      <c r="D78" s="9" t="s">
        <v>1108</v>
      </c>
      <c r="E78" t="str">
        <f t="shared" si="1"/>
        <v>1010015,24</v>
      </c>
    </row>
    <row r="79" spans="1:5" x14ac:dyDescent="0.2">
      <c r="A79" s="4">
        <v>78</v>
      </c>
      <c r="B79" s="5">
        <f>VLOOKUP(A:A,[2]圣物碎片!$F$22:$G$141,2,FALSE)</f>
        <v>24</v>
      </c>
      <c r="C79">
        <v>1010015</v>
      </c>
      <c r="D79" s="9" t="s">
        <v>1108</v>
      </c>
      <c r="E79" t="str">
        <f t="shared" si="1"/>
        <v>1010015,24</v>
      </c>
    </row>
    <row r="80" spans="1:5" x14ac:dyDescent="0.2">
      <c r="A80" s="4">
        <v>79</v>
      </c>
      <c r="B80" s="5">
        <f>VLOOKUP(A:A,[2]圣物碎片!$F$22:$G$141,2,FALSE)</f>
        <v>24</v>
      </c>
      <c r="C80">
        <v>1010015</v>
      </c>
      <c r="D80" s="9" t="s">
        <v>1108</v>
      </c>
      <c r="E80" t="str">
        <f t="shared" si="1"/>
        <v>1010015,24</v>
      </c>
    </row>
    <row r="81" spans="1:5" x14ac:dyDescent="0.2">
      <c r="A81" s="4">
        <v>80</v>
      </c>
      <c r="B81" s="5">
        <f>VLOOKUP(A:A,[2]圣物碎片!$F$22:$G$141,2,FALSE)</f>
        <v>24</v>
      </c>
      <c r="C81">
        <v>1010015</v>
      </c>
      <c r="D81" s="9" t="s">
        <v>1108</v>
      </c>
      <c r="E81" t="str">
        <f t="shared" si="1"/>
        <v>1010015,24</v>
      </c>
    </row>
    <row r="82" spans="1:5" x14ac:dyDescent="0.2">
      <c r="A82" s="4">
        <v>81</v>
      </c>
      <c r="B82" s="5">
        <f>VLOOKUP(A:A,[2]圣物碎片!$F$22:$G$141,2,FALSE)</f>
        <v>25</v>
      </c>
      <c r="C82">
        <v>1010015</v>
      </c>
      <c r="D82" s="9" t="s">
        <v>1108</v>
      </c>
      <c r="E82" t="str">
        <f t="shared" si="1"/>
        <v>1010015,25</v>
      </c>
    </row>
    <row r="83" spans="1:5" x14ac:dyDescent="0.2">
      <c r="A83" s="4">
        <v>82</v>
      </c>
      <c r="B83" s="5">
        <f>VLOOKUP(A:A,[2]圣物碎片!$F$22:$G$141,2,FALSE)</f>
        <v>25</v>
      </c>
      <c r="C83">
        <v>1010015</v>
      </c>
      <c r="D83" s="9" t="s">
        <v>1108</v>
      </c>
      <c r="E83" t="str">
        <f t="shared" si="1"/>
        <v>1010015,25</v>
      </c>
    </row>
    <row r="84" spans="1:5" x14ac:dyDescent="0.2">
      <c r="A84" s="4">
        <v>83</v>
      </c>
      <c r="B84" s="5">
        <f>VLOOKUP(A:A,[2]圣物碎片!$F$22:$G$141,2,FALSE)</f>
        <v>25</v>
      </c>
      <c r="C84">
        <v>1010015</v>
      </c>
      <c r="D84" s="9" t="s">
        <v>1108</v>
      </c>
      <c r="E84" t="str">
        <f t="shared" si="1"/>
        <v>1010015,25</v>
      </c>
    </row>
    <row r="85" spans="1:5" x14ac:dyDescent="0.2">
      <c r="A85" s="4">
        <v>84</v>
      </c>
      <c r="B85" s="5">
        <f>VLOOKUP(A:A,[2]圣物碎片!$F$22:$G$141,2,FALSE)</f>
        <v>25</v>
      </c>
      <c r="C85">
        <v>1010015</v>
      </c>
      <c r="D85" s="9" t="s">
        <v>1108</v>
      </c>
      <c r="E85" t="str">
        <f t="shared" si="1"/>
        <v>1010015,25</v>
      </c>
    </row>
    <row r="86" spans="1:5" x14ac:dyDescent="0.2">
      <c r="A86" s="4">
        <v>85</v>
      </c>
      <c r="B86" s="5">
        <f>VLOOKUP(A:A,[2]圣物碎片!$F$22:$G$141,2,FALSE)</f>
        <v>26</v>
      </c>
      <c r="C86">
        <v>1010015</v>
      </c>
      <c r="D86" s="9" t="s">
        <v>1108</v>
      </c>
      <c r="E86" t="str">
        <f t="shared" si="1"/>
        <v>1010015,26</v>
      </c>
    </row>
    <row r="87" spans="1:5" x14ac:dyDescent="0.2">
      <c r="A87" s="4">
        <v>86</v>
      </c>
      <c r="B87" s="5">
        <f>VLOOKUP(A:A,[2]圣物碎片!$F$22:$G$141,2,FALSE)</f>
        <v>26</v>
      </c>
      <c r="C87">
        <v>1010015</v>
      </c>
      <c r="D87" s="9" t="s">
        <v>1108</v>
      </c>
      <c r="E87" t="str">
        <f t="shared" si="1"/>
        <v>1010015,26</v>
      </c>
    </row>
    <row r="88" spans="1:5" x14ac:dyDescent="0.2">
      <c r="A88" s="4">
        <v>87</v>
      </c>
      <c r="B88" s="5">
        <f>VLOOKUP(A:A,[2]圣物碎片!$F$22:$G$141,2,FALSE)</f>
        <v>26</v>
      </c>
      <c r="C88">
        <v>1010015</v>
      </c>
      <c r="D88" s="9" t="s">
        <v>1108</v>
      </c>
      <c r="E88" t="str">
        <f t="shared" si="1"/>
        <v>1010015,26</v>
      </c>
    </row>
    <row r="89" spans="1:5" x14ac:dyDescent="0.2">
      <c r="A89" s="4">
        <v>88</v>
      </c>
      <c r="B89" s="5">
        <f>VLOOKUP(A:A,[2]圣物碎片!$F$22:$G$141,2,FALSE)</f>
        <v>26</v>
      </c>
      <c r="C89">
        <v>1010015</v>
      </c>
      <c r="D89" s="9" t="s">
        <v>1108</v>
      </c>
      <c r="E89" t="str">
        <f t="shared" si="1"/>
        <v>1010015,26</v>
      </c>
    </row>
    <row r="90" spans="1:5" x14ac:dyDescent="0.2">
      <c r="A90" s="4">
        <v>89</v>
      </c>
      <c r="B90" s="5">
        <f>VLOOKUP(A:A,[2]圣物碎片!$F$22:$G$141,2,FALSE)</f>
        <v>27</v>
      </c>
      <c r="C90">
        <v>1010015</v>
      </c>
      <c r="D90" s="9" t="s">
        <v>1108</v>
      </c>
      <c r="E90" t="str">
        <f t="shared" si="1"/>
        <v>1010015,27</v>
      </c>
    </row>
    <row r="91" spans="1:5" x14ac:dyDescent="0.2">
      <c r="A91" s="4">
        <v>90</v>
      </c>
      <c r="B91" s="5">
        <f>VLOOKUP(A:A,[2]圣物碎片!$F$22:$G$141,2,FALSE)</f>
        <v>27</v>
      </c>
      <c r="C91">
        <v>1010015</v>
      </c>
      <c r="D91" s="9" t="s">
        <v>1108</v>
      </c>
      <c r="E91" t="str">
        <f t="shared" si="1"/>
        <v>1010015,27</v>
      </c>
    </row>
    <row r="92" spans="1:5" x14ac:dyDescent="0.2">
      <c r="A92" s="4">
        <v>91</v>
      </c>
      <c r="B92" s="5">
        <f>VLOOKUP(A:A,[2]圣物碎片!$F$22:$G$141,2,FALSE)</f>
        <v>27</v>
      </c>
      <c r="C92">
        <v>1010015</v>
      </c>
      <c r="D92" s="9" t="s">
        <v>1108</v>
      </c>
      <c r="E92" t="str">
        <f t="shared" si="1"/>
        <v>1010015,27</v>
      </c>
    </row>
    <row r="93" spans="1:5" x14ac:dyDescent="0.2">
      <c r="A93" s="4">
        <v>92</v>
      </c>
      <c r="B93" s="5">
        <f>VLOOKUP(A:A,[2]圣物碎片!$F$22:$G$141,2,FALSE)</f>
        <v>27</v>
      </c>
      <c r="C93">
        <v>1010015</v>
      </c>
      <c r="D93" s="9" t="s">
        <v>1108</v>
      </c>
      <c r="E93" t="str">
        <f t="shared" si="1"/>
        <v>1010015,27</v>
      </c>
    </row>
    <row r="94" spans="1:5" x14ac:dyDescent="0.2">
      <c r="A94" s="4">
        <v>93</v>
      </c>
      <c r="B94" s="5">
        <f>VLOOKUP(A:A,[2]圣物碎片!$F$22:$G$141,2,FALSE)</f>
        <v>28</v>
      </c>
      <c r="C94">
        <v>1010015</v>
      </c>
      <c r="D94" s="9" t="s">
        <v>1108</v>
      </c>
      <c r="E94" t="str">
        <f t="shared" si="1"/>
        <v>1010015,28</v>
      </c>
    </row>
    <row r="95" spans="1:5" x14ac:dyDescent="0.2">
      <c r="A95" s="4">
        <v>94</v>
      </c>
      <c r="B95" s="5">
        <f>VLOOKUP(A:A,[2]圣物碎片!$F$22:$G$141,2,FALSE)</f>
        <v>28</v>
      </c>
      <c r="C95">
        <v>1010015</v>
      </c>
      <c r="D95" s="9" t="s">
        <v>1108</v>
      </c>
      <c r="E95" t="str">
        <f t="shared" si="1"/>
        <v>1010015,28</v>
      </c>
    </row>
    <row r="96" spans="1:5" x14ac:dyDescent="0.2">
      <c r="A96" s="4">
        <v>95</v>
      </c>
      <c r="B96" s="5">
        <f>VLOOKUP(A:A,[2]圣物碎片!$F$22:$G$141,2,FALSE)</f>
        <v>28</v>
      </c>
      <c r="C96">
        <v>1010015</v>
      </c>
      <c r="D96" s="9" t="s">
        <v>1108</v>
      </c>
      <c r="E96" t="str">
        <f t="shared" si="1"/>
        <v>1010015,28</v>
      </c>
    </row>
    <row r="97" spans="1:5" x14ac:dyDescent="0.2">
      <c r="A97" s="4">
        <v>96</v>
      </c>
      <c r="B97" s="5">
        <f>VLOOKUP(A:A,[2]圣物碎片!$F$22:$G$141,2,FALSE)</f>
        <v>28</v>
      </c>
      <c r="C97">
        <v>1010015</v>
      </c>
      <c r="D97" s="9" t="s">
        <v>1108</v>
      </c>
      <c r="E97" t="str">
        <f t="shared" si="1"/>
        <v>1010015,28</v>
      </c>
    </row>
    <row r="98" spans="1:5" x14ac:dyDescent="0.2">
      <c r="A98" s="4">
        <v>97</v>
      </c>
      <c r="B98" s="5">
        <f>VLOOKUP(A:A,[2]圣物碎片!$F$22:$G$141,2,FALSE)</f>
        <v>29</v>
      </c>
      <c r="C98">
        <v>1010015</v>
      </c>
      <c r="D98" s="9" t="s">
        <v>1108</v>
      </c>
      <c r="E98" t="str">
        <f t="shared" si="1"/>
        <v>1010015,29</v>
      </c>
    </row>
    <row r="99" spans="1:5" x14ac:dyDescent="0.2">
      <c r="A99" s="4">
        <v>98</v>
      </c>
      <c r="B99" s="5">
        <f>VLOOKUP(A:A,[2]圣物碎片!$F$22:$G$141,2,FALSE)</f>
        <v>29</v>
      </c>
      <c r="C99">
        <v>1010015</v>
      </c>
      <c r="D99" s="9" t="s">
        <v>1108</v>
      </c>
      <c r="E99" t="str">
        <f t="shared" si="1"/>
        <v>1010015,29</v>
      </c>
    </row>
    <row r="100" spans="1:5" x14ac:dyDescent="0.2">
      <c r="A100" s="4">
        <v>99</v>
      </c>
      <c r="B100" s="5">
        <f>VLOOKUP(A:A,[2]圣物碎片!$F$22:$G$141,2,FALSE)</f>
        <v>29</v>
      </c>
      <c r="C100">
        <v>1010015</v>
      </c>
      <c r="D100" s="9" t="s">
        <v>1108</v>
      </c>
      <c r="E100" t="str">
        <f t="shared" si="1"/>
        <v>1010015,29</v>
      </c>
    </row>
    <row r="101" spans="1:5" x14ac:dyDescent="0.2">
      <c r="A101" s="4">
        <v>100</v>
      </c>
      <c r="B101" s="5">
        <f>VLOOKUP(A:A,[2]圣物碎片!$F$22:$G$141,2,FALSE)</f>
        <v>29</v>
      </c>
      <c r="C101">
        <v>1010015</v>
      </c>
      <c r="D101" s="9" t="s">
        <v>1108</v>
      </c>
      <c r="E101" t="str">
        <f t="shared" si="1"/>
        <v>1010015,29</v>
      </c>
    </row>
    <row r="102" spans="1:5" x14ac:dyDescent="0.2">
      <c r="A102" s="4">
        <v>101</v>
      </c>
      <c r="B102" s="5">
        <f>VLOOKUP(A:A,[2]圣物碎片!$F$22:$G$141,2,FALSE)</f>
        <v>30</v>
      </c>
      <c r="C102">
        <v>1010015</v>
      </c>
      <c r="D102" s="9" t="s">
        <v>1108</v>
      </c>
      <c r="E102" t="str">
        <f t="shared" si="1"/>
        <v>1010015,30</v>
      </c>
    </row>
    <row r="103" spans="1:5" x14ac:dyDescent="0.2">
      <c r="A103" s="4">
        <v>102</v>
      </c>
      <c r="B103" s="5">
        <f>VLOOKUP(A:A,[2]圣物碎片!$F$22:$G$141,2,FALSE)</f>
        <v>30</v>
      </c>
      <c r="C103">
        <v>1010015</v>
      </c>
      <c r="D103" s="9" t="s">
        <v>1108</v>
      </c>
      <c r="E103" t="str">
        <f t="shared" si="1"/>
        <v>1010015,30</v>
      </c>
    </row>
    <row r="104" spans="1:5" x14ac:dyDescent="0.2">
      <c r="A104" s="4">
        <v>103</v>
      </c>
      <c r="B104" s="5">
        <f>VLOOKUP(A:A,[2]圣物碎片!$F$22:$G$141,2,FALSE)</f>
        <v>30</v>
      </c>
      <c r="C104">
        <v>1010015</v>
      </c>
      <c r="D104" s="9" t="s">
        <v>1108</v>
      </c>
      <c r="E104" t="str">
        <f t="shared" si="1"/>
        <v>1010015,30</v>
      </c>
    </row>
    <row r="105" spans="1:5" x14ac:dyDescent="0.2">
      <c r="A105" s="4">
        <v>104</v>
      </c>
      <c r="B105" s="5">
        <f>VLOOKUP(A:A,[2]圣物碎片!$F$22:$G$141,2,FALSE)</f>
        <v>30</v>
      </c>
      <c r="C105">
        <v>1010015</v>
      </c>
      <c r="D105" s="9" t="s">
        <v>1108</v>
      </c>
      <c r="E105" t="str">
        <f t="shared" si="1"/>
        <v>1010015,30</v>
      </c>
    </row>
    <row r="106" spans="1:5" x14ac:dyDescent="0.2">
      <c r="A106" s="4">
        <v>105</v>
      </c>
      <c r="B106" s="5">
        <f>VLOOKUP(A:A,[2]圣物碎片!$F$22:$G$141,2,FALSE)</f>
        <v>31</v>
      </c>
      <c r="C106">
        <v>1010015</v>
      </c>
      <c r="D106" s="9" t="s">
        <v>1108</v>
      </c>
      <c r="E106" t="str">
        <f t="shared" si="1"/>
        <v>1010015,31</v>
      </c>
    </row>
    <row r="107" spans="1:5" x14ac:dyDescent="0.2">
      <c r="A107" s="4">
        <v>106</v>
      </c>
      <c r="B107" s="5">
        <f>VLOOKUP(A:A,[2]圣物碎片!$F$22:$G$141,2,FALSE)</f>
        <v>31</v>
      </c>
      <c r="C107">
        <v>1010015</v>
      </c>
      <c r="D107" s="9" t="s">
        <v>1108</v>
      </c>
      <c r="E107" t="str">
        <f t="shared" si="1"/>
        <v>1010015,31</v>
      </c>
    </row>
    <row r="108" spans="1:5" x14ac:dyDescent="0.2">
      <c r="A108" s="4">
        <v>107</v>
      </c>
      <c r="B108" s="5">
        <f>VLOOKUP(A:A,[2]圣物碎片!$F$22:$G$141,2,FALSE)</f>
        <v>31</v>
      </c>
      <c r="C108">
        <v>1010015</v>
      </c>
      <c r="D108" s="9" t="s">
        <v>1108</v>
      </c>
      <c r="E108" t="str">
        <f t="shared" si="1"/>
        <v>1010015,31</v>
      </c>
    </row>
    <row r="109" spans="1:5" x14ac:dyDescent="0.2">
      <c r="A109" s="4">
        <v>108</v>
      </c>
      <c r="B109" s="5">
        <f>VLOOKUP(A:A,[2]圣物碎片!$F$22:$G$141,2,FALSE)</f>
        <v>31</v>
      </c>
      <c r="C109">
        <v>1010015</v>
      </c>
      <c r="D109" s="9" t="s">
        <v>1108</v>
      </c>
      <c r="E109" t="str">
        <f t="shared" si="1"/>
        <v>1010015,31</v>
      </c>
    </row>
    <row r="110" spans="1:5" x14ac:dyDescent="0.2">
      <c r="A110" s="4">
        <v>109</v>
      </c>
      <c r="B110" s="5">
        <f>VLOOKUP(A:A,[2]圣物碎片!$F$22:$G$141,2,FALSE)</f>
        <v>32</v>
      </c>
      <c r="C110">
        <v>1010015</v>
      </c>
      <c r="D110" s="9" t="s">
        <v>1108</v>
      </c>
      <c r="E110" t="str">
        <f t="shared" si="1"/>
        <v>1010015,32</v>
      </c>
    </row>
    <row r="111" spans="1:5" x14ac:dyDescent="0.2">
      <c r="A111" s="4">
        <v>110</v>
      </c>
      <c r="B111" s="5">
        <f>VLOOKUP(A:A,[2]圣物碎片!$F$22:$G$141,2,FALSE)</f>
        <v>32</v>
      </c>
      <c r="C111">
        <v>1010015</v>
      </c>
      <c r="D111" s="9" t="s">
        <v>1108</v>
      </c>
      <c r="E111" t="str">
        <f t="shared" si="1"/>
        <v>1010015,32</v>
      </c>
    </row>
    <row r="112" spans="1:5" x14ac:dyDescent="0.2">
      <c r="A112" s="4">
        <v>111</v>
      </c>
      <c r="B112" s="5">
        <f>VLOOKUP(A:A,[2]圣物碎片!$F$22:$G$141,2,FALSE)</f>
        <v>32</v>
      </c>
      <c r="C112">
        <v>1010015</v>
      </c>
      <c r="D112" s="9" t="s">
        <v>1108</v>
      </c>
      <c r="E112" t="str">
        <f t="shared" si="1"/>
        <v>1010015,32</v>
      </c>
    </row>
    <row r="113" spans="1:5" x14ac:dyDescent="0.2">
      <c r="A113" s="4">
        <v>112</v>
      </c>
      <c r="B113" s="5">
        <f>VLOOKUP(A:A,[2]圣物碎片!$F$22:$G$141,2,FALSE)</f>
        <v>32</v>
      </c>
      <c r="C113">
        <v>1010015</v>
      </c>
      <c r="D113" s="9" t="s">
        <v>1108</v>
      </c>
      <c r="E113" t="str">
        <f t="shared" si="1"/>
        <v>1010015,32</v>
      </c>
    </row>
    <row r="114" spans="1:5" x14ac:dyDescent="0.2">
      <c r="A114" s="4">
        <v>113</v>
      </c>
      <c r="B114" s="5">
        <f>VLOOKUP(A:A,[2]圣物碎片!$F$22:$G$141,2,FALSE)</f>
        <v>33</v>
      </c>
      <c r="C114">
        <v>1010015</v>
      </c>
      <c r="D114" s="9" t="s">
        <v>1108</v>
      </c>
      <c r="E114" t="str">
        <f t="shared" si="1"/>
        <v>1010015,33</v>
      </c>
    </row>
    <row r="115" spans="1:5" x14ac:dyDescent="0.2">
      <c r="A115" s="4">
        <v>114</v>
      </c>
      <c r="B115" s="5">
        <f>VLOOKUP(A:A,[2]圣物碎片!$F$22:$G$141,2,FALSE)</f>
        <v>33</v>
      </c>
      <c r="C115">
        <v>1010015</v>
      </c>
      <c r="D115" s="9" t="s">
        <v>1108</v>
      </c>
      <c r="E115" t="str">
        <f t="shared" si="1"/>
        <v>1010015,33</v>
      </c>
    </row>
    <row r="116" spans="1:5" x14ac:dyDescent="0.2">
      <c r="A116" s="4">
        <v>115</v>
      </c>
      <c r="B116" s="5">
        <f>VLOOKUP(A:A,[2]圣物碎片!$F$22:$G$141,2,FALSE)</f>
        <v>33</v>
      </c>
      <c r="C116">
        <v>1010015</v>
      </c>
      <c r="D116" s="9" t="s">
        <v>1108</v>
      </c>
      <c r="E116" t="str">
        <f t="shared" si="1"/>
        <v>1010015,33</v>
      </c>
    </row>
    <row r="117" spans="1:5" x14ac:dyDescent="0.2">
      <c r="A117" s="4">
        <v>116</v>
      </c>
      <c r="B117" s="5">
        <f>VLOOKUP(A:A,[2]圣物碎片!$F$22:$G$141,2,FALSE)</f>
        <v>33</v>
      </c>
      <c r="C117">
        <v>1010015</v>
      </c>
      <c r="D117" s="9" t="s">
        <v>1108</v>
      </c>
      <c r="E117" t="str">
        <f t="shared" si="1"/>
        <v>1010015,33</v>
      </c>
    </row>
    <row r="118" spans="1:5" x14ac:dyDescent="0.2">
      <c r="A118" s="4">
        <v>117</v>
      </c>
      <c r="B118" s="5">
        <f>VLOOKUP(A:A,[2]圣物碎片!$F$22:$G$141,2,FALSE)</f>
        <v>34</v>
      </c>
      <c r="C118">
        <v>1010015</v>
      </c>
      <c r="D118" s="9" t="s">
        <v>1108</v>
      </c>
      <c r="E118" t="str">
        <f t="shared" si="1"/>
        <v>1010015,34</v>
      </c>
    </row>
    <row r="119" spans="1:5" x14ac:dyDescent="0.2">
      <c r="A119" s="4">
        <v>118</v>
      </c>
      <c r="B119" s="5">
        <f>VLOOKUP(A:A,[2]圣物碎片!$F$22:$G$141,2,FALSE)</f>
        <v>34</v>
      </c>
      <c r="C119">
        <v>1010015</v>
      </c>
      <c r="D119" s="9" t="s">
        <v>1108</v>
      </c>
      <c r="E119" t="str">
        <f t="shared" si="1"/>
        <v>1010015,34</v>
      </c>
    </row>
    <row r="120" spans="1:5" x14ac:dyDescent="0.2">
      <c r="A120" s="4">
        <v>119</v>
      </c>
      <c r="B120" s="5">
        <f>VLOOKUP(A:A,[2]圣物碎片!$F$22:$G$141,2,FALSE)</f>
        <v>34</v>
      </c>
      <c r="C120">
        <v>1010015</v>
      </c>
      <c r="D120" s="9" t="s">
        <v>1108</v>
      </c>
      <c r="E120" t="str">
        <f t="shared" si="1"/>
        <v>1010015,34</v>
      </c>
    </row>
    <row r="121" spans="1:5" x14ac:dyDescent="0.2">
      <c r="A121" s="8">
        <v>120</v>
      </c>
      <c r="B121" s="5">
        <f>VLOOKUP(A:A,[2]圣物碎片!$F$22:$G$141,2,FALSE)</f>
        <v>34</v>
      </c>
      <c r="C121">
        <v>1010015</v>
      </c>
      <c r="D121" s="9" t="s">
        <v>1108</v>
      </c>
      <c r="E121" t="str">
        <f t="shared" si="1"/>
        <v>1010015,34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1"/>
  <sheetViews>
    <sheetView topLeftCell="A103" workbookViewId="0">
      <selection activeCell="P124" sqref="P124"/>
    </sheetView>
  </sheetViews>
  <sheetFormatPr defaultColWidth="9" defaultRowHeight="14.25" x14ac:dyDescent="0.2"/>
  <cols>
    <col min="1" max="2" width="9" style="1"/>
    <col min="3" max="3" width="11" style="1" customWidth="1"/>
    <col min="4" max="5" width="9" style="1"/>
    <col min="6" max="6" width="13" style="1" customWidth="1"/>
    <col min="7" max="9" width="9" style="1"/>
    <col min="10" max="10" width="19.5" style="1" customWidth="1"/>
    <col min="11" max="11" width="9" style="1"/>
    <col min="12" max="12" width="9.625" style="1" customWidth="1"/>
    <col min="13" max="16384" width="9" style="1"/>
  </cols>
  <sheetData>
    <row r="1" spans="1:19" ht="16.5" x14ac:dyDescent="0.3">
      <c r="A1" s="2" t="s">
        <v>1125</v>
      </c>
      <c r="B1" s="2" t="s">
        <v>1126</v>
      </c>
      <c r="C1" s="3" t="s">
        <v>1132</v>
      </c>
      <c r="E1" s="2" t="s">
        <v>1126</v>
      </c>
      <c r="F1" s="3" t="s">
        <v>1133</v>
      </c>
      <c r="R1" s="6">
        <v>1010010</v>
      </c>
      <c r="S1" s="3" t="s">
        <v>1132</v>
      </c>
    </row>
    <row r="2" spans="1:19" ht="16.5" x14ac:dyDescent="0.3">
      <c r="A2" s="4">
        <v>1</v>
      </c>
      <c r="B2" s="5">
        <f>VLOOKUP(A:A,[2]宠物天赋!$F$27:$G$147,2,FALSE)</f>
        <v>4</v>
      </c>
      <c r="C2" s="1">
        <v>1010010</v>
      </c>
      <c r="D2" s="2"/>
      <c r="E2" s="1">
        <f>VLOOKUP(A:A,[2]宠物天赋!$R$27:$S$147,2,FALSE)</f>
        <v>8</v>
      </c>
      <c r="F2" s="1">
        <v>1010011</v>
      </c>
      <c r="H2" s="2" t="s">
        <v>1108</v>
      </c>
      <c r="I2" s="2" t="s">
        <v>1124</v>
      </c>
      <c r="J2" s="1" t="str">
        <f>C2&amp;H2&amp;B2&amp;I2&amp;F2&amp;H2&amp;E2</f>
        <v>1010010,4|1010011,8</v>
      </c>
      <c r="R2" s="6">
        <v>1010011</v>
      </c>
      <c r="S2" s="3" t="s">
        <v>1133</v>
      </c>
    </row>
    <row r="3" spans="1:19" ht="16.5" x14ac:dyDescent="0.3">
      <c r="A3" s="4">
        <v>2</v>
      </c>
      <c r="B3" s="5">
        <f>VLOOKUP(A:A,[2]宠物天赋!$F$27:$G$147,2,FALSE)</f>
        <v>4</v>
      </c>
      <c r="C3" s="1">
        <v>1010010</v>
      </c>
      <c r="D3" s="2"/>
      <c r="E3" s="1">
        <f>VLOOKUP(A:A,[2]宠物天赋!$R$27:$S$147,2,FALSE)</f>
        <v>8</v>
      </c>
      <c r="F3" s="1">
        <v>1010011</v>
      </c>
      <c r="H3" s="2" t="s">
        <v>1108</v>
      </c>
      <c r="I3" s="2" t="s">
        <v>1124</v>
      </c>
      <c r="J3" s="1" t="str">
        <f t="shared" ref="J3:J66" si="0">C3&amp;H3&amp;B3&amp;I3&amp;F3&amp;H3&amp;E3</f>
        <v>1010010,4|1010011,8</v>
      </c>
      <c r="R3" s="6">
        <v>1010012</v>
      </c>
      <c r="S3" s="7" t="s">
        <v>1134</v>
      </c>
    </row>
    <row r="4" spans="1:19" x14ac:dyDescent="0.2">
      <c r="A4" s="4">
        <v>3</v>
      </c>
      <c r="B4" s="5">
        <f>VLOOKUP(A:A,[2]宠物天赋!$F$27:$G$147,2,FALSE)</f>
        <v>4</v>
      </c>
      <c r="C4" s="1">
        <v>1010010</v>
      </c>
      <c r="D4" s="2"/>
      <c r="E4" s="1">
        <f>VLOOKUP(A:A,[2]宠物天赋!$R$27:$S$147,2,FALSE)</f>
        <v>8</v>
      </c>
      <c r="F4" s="1">
        <v>1010011</v>
      </c>
      <c r="H4" s="2" t="s">
        <v>1108</v>
      </c>
      <c r="I4" s="2" t="s">
        <v>1124</v>
      </c>
      <c r="J4" s="1" t="str">
        <f t="shared" si="0"/>
        <v>1010010,4|1010011,8</v>
      </c>
    </row>
    <row r="5" spans="1:19" x14ac:dyDescent="0.2">
      <c r="A5" s="4">
        <v>4</v>
      </c>
      <c r="B5" s="5">
        <f>VLOOKUP(A:A,[2]宠物天赋!$F$27:$G$147,2,FALSE)</f>
        <v>4</v>
      </c>
      <c r="C5" s="1">
        <v>1010010</v>
      </c>
      <c r="D5" s="2"/>
      <c r="E5" s="1">
        <f>VLOOKUP(A:A,[2]宠物天赋!$R$27:$S$147,2,FALSE)</f>
        <v>8</v>
      </c>
      <c r="F5" s="1">
        <v>1010011</v>
      </c>
      <c r="H5" s="2" t="s">
        <v>1108</v>
      </c>
      <c r="I5" s="2" t="s">
        <v>1124</v>
      </c>
      <c r="J5" s="1" t="str">
        <f t="shared" si="0"/>
        <v>1010010,4|1010011,8</v>
      </c>
    </row>
    <row r="6" spans="1:19" x14ac:dyDescent="0.2">
      <c r="A6" s="4">
        <v>5</v>
      </c>
      <c r="B6" s="5">
        <f>VLOOKUP(A:A,[2]宠物天赋!$F$27:$G$147,2,FALSE)</f>
        <v>5</v>
      </c>
      <c r="C6" s="1">
        <v>1010010</v>
      </c>
      <c r="D6" s="2"/>
      <c r="E6" s="1">
        <f>VLOOKUP(A:A,[2]宠物天赋!$R$27:$S$147,2,FALSE)</f>
        <v>9</v>
      </c>
      <c r="F6" s="1">
        <v>1010011</v>
      </c>
      <c r="H6" s="2" t="s">
        <v>1108</v>
      </c>
      <c r="I6" s="2" t="s">
        <v>1124</v>
      </c>
      <c r="J6" s="1" t="str">
        <f t="shared" si="0"/>
        <v>1010010,5|1010011,9</v>
      </c>
    </row>
    <row r="7" spans="1:19" ht="16.5" x14ac:dyDescent="0.3">
      <c r="A7" s="4">
        <v>6</v>
      </c>
      <c r="B7" s="5">
        <f>VLOOKUP(A:A,[2]宠物天赋!$F$27:$G$147,2,FALSE)</f>
        <v>5</v>
      </c>
      <c r="C7" s="1">
        <v>1010010</v>
      </c>
      <c r="D7" s="2"/>
      <c r="E7" s="1">
        <f>VLOOKUP(A:A,[2]宠物天赋!$R$27:$S$147,2,FALSE)</f>
        <v>9</v>
      </c>
      <c r="F7" s="1">
        <v>1010011</v>
      </c>
      <c r="H7" s="2" t="s">
        <v>1108</v>
      </c>
      <c r="I7" s="2" t="s">
        <v>1124</v>
      </c>
      <c r="J7" s="1" t="str">
        <f t="shared" si="0"/>
        <v>1010010,5|1010011,9</v>
      </c>
      <c r="L7" s="6"/>
      <c r="M7" s="3"/>
    </row>
    <row r="8" spans="1:19" ht="16.5" x14ac:dyDescent="0.3">
      <c r="A8" s="4">
        <v>7</v>
      </c>
      <c r="B8" s="5">
        <f>VLOOKUP(A:A,[2]宠物天赋!$F$27:$G$147,2,FALSE)</f>
        <v>5</v>
      </c>
      <c r="C8" s="1">
        <v>1010010</v>
      </c>
      <c r="D8" s="2"/>
      <c r="E8" s="1">
        <f>VLOOKUP(A:A,[2]宠物天赋!$R$27:$S$147,2,FALSE)</f>
        <v>9</v>
      </c>
      <c r="F8" s="1">
        <v>1010011</v>
      </c>
      <c r="H8" s="2" t="s">
        <v>1108</v>
      </c>
      <c r="I8" s="2" t="s">
        <v>1124</v>
      </c>
      <c r="J8" s="1" t="str">
        <f t="shared" si="0"/>
        <v>1010010,5|1010011,9</v>
      </c>
      <c r="L8" s="6"/>
      <c r="M8" s="3"/>
    </row>
    <row r="9" spans="1:19" ht="16.5" x14ac:dyDescent="0.3">
      <c r="A9" s="4">
        <v>8</v>
      </c>
      <c r="B9" s="5">
        <f>VLOOKUP(A:A,[2]宠物天赋!$F$27:$G$147,2,FALSE)</f>
        <v>5</v>
      </c>
      <c r="C9" s="1">
        <v>1010010</v>
      </c>
      <c r="D9" s="2"/>
      <c r="E9" s="1">
        <f>VLOOKUP(A:A,[2]宠物天赋!$R$27:$S$147,2,FALSE)</f>
        <v>9</v>
      </c>
      <c r="F9" s="1">
        <v>1010011</v>
      </c>
      <c r="H9" s="2" t="s">
        <v>1108</v>
      </c>
      <c r="I9" s="2" t="s">
        <v>1124</v>
      </c>
      <c r="J9" s="1" t="str">
        <f t="shared" si="0"/>
        <v>1010010,5|1010011,9</v>
      </c>
      <c r="L9" s="6"/>
      <c r="M9" s="7"/>
    </row>
    <row r="10" spans="1:19" x14ac:dyDescent="0.2">
      <c r="A10" s="4">
        <v>9</v>
      </c>
      <c r="B10" s="5">
        <f>VLOOKUP(A:A,[2]宠物天赋!$F$27:$G$147,2,FALSE)</f>
        <v>6</v>
      </c>
      <c r="C10" s="1">
        <v>1010010</v>
      </c>
      <c r="D10" s="2"/>
      <c r="E10" s="1">
        <f>VLOOKUP(A:A,[2]宠物天赋!$R$27:$S$147,2,FALSE)</f>
        <v>10</v>
      </c>
      <c r="F10" s="1">
        <v>1010011</v>
      </c>
      <c r="H10" s="2" t="s">
        <v>1108</v>
      </c>
      <c r="I10" s="2" t="s">
        <v>1124</v>
      </c>
      <c r="J10" s="1" t="str">
        <f t="shared" si="0"/>
        <v>1010010,6|1010011,10</v>
      </c>
    </row>
    <row r="11" spans="1:19" x14ac:dyDescent="0.2">
      <c r="A11" s="4">
        <v>10</v>
      </c>
      <c r="B11" s="5">
        <f>VLOOKUP(A:A,[2]宠物天赋!$F$27:$G$147,2,FALSE)</f>
        <v>6</v>
      </c>
      <c r="C11" s="1">
        <v>1010010</v>
      </c>
      <c r="D11" s="2"/>
      <c r="E11" s="1">
        <f>VLOOKUP(A:A,[2]宠物天赋!$R$27:$S$147,2,FALSE)</f>
        <v>10</v>
      </c>
      <c r="F11" s="1">
        <v>1010011</v>
      </c>
      <c r="H11" s="2" t="s">
        <v>1108</v>
      </c>
      <c r="I11" s="2" t="s">
        <v>1124</v>
      </c>
      <c r="J11" s="1" t="str">
        <f t="shared" si="0"/>
        <v>1010010,6|1010011,10</v>
      </c>
    </row>
    <row r="12" spans="1:19" x14ac:dyDescent="0.2">
      <c r="A12" s="4">
        <v>11</v>
      </c>
      <c r="B12" s="5">
        <f>VLOOKUP(A:A,[2]宠物天赋!$F$27:$G$147,2,FALSE)</f>
        <v>6</v>
      </c>
      <c r="C12" s="1">
        <v>1010010</v>
      </c>
      <c r="D12" s="2"/>
      <c r="E12" s="1">
        <f>VLOOKUP(A:A,[2]宠物天赋!$R$27:$S$147,2,FALSE)</f>
        <v>10</v>
      </c>
      <c r="F12" s="1">
        <v>1010011</v>
      </c>
      <c r="H12" s="2" t="s">
        <v>1108</v>
      </c>
      <c r="I12" s="2" t="s">
        <v>1124</v>
      </c>
      <c r="J12" s="1" t="str">
        <f t="shared" si="0"/>
        <v>1010010,6|1010011,10</v>
      </c>
    </row>
    <row r="13" spans="1:19" x14ac:dyDescent="0.2">
      <c r="A13" s="4">
        <v>12</v>
      </c>
      <c r="B13" s="5">
        <f>VLOOKUP(A:A,[2]宠物天赋!$F$27:$G$147,2,FALSE)</f>
        <v>6</v>
      </c>
      <c r="C13" s="1">
        <v>1010010</v>
      </c>
      <c r="D13" s="2"/>
      <c r="E13" s="1">
        <f>VLOOKUP(A:A,[2]宠物天赋!$R$27:$S$147,2,FALSE)</f>
        <v>10</v>
      </c>
      <c r="F13" s="1">
        <v>1010011</v>
      </c>
      <c r="H13" s="2" t="s">
        <v>1108</v>
      </c>
      <c r="I13" s="2" t="s">
        <v>1124</v>
      </c>
      <c r="J13" s="1" t="str">
        <f t="shared" si="0"/>
        <v>1010010,6|1010011,10</v>
      </c>
    </row>
    <row r="14" spans="1:19" x14ac:dyDescent="0.2">
      <c r="A14" s="4">
        <v>13</v>
      </c>
      <c r="B14" s="5">
        <f>VLOOKUP(A:A,[2]宠物天赋!$F$27:$G$147,2,FALSE)</f>
        <v>7</v>
      </c>
      <c r="C14" s="1">
        <v>1010010</v>
      </c>
      <c r="D14" s="2"/>
      <c r="E14" s="1">
        <f>VLOOKUP(A:A,[2]宠物天赋!$R$27:$S$147,2,FALSE)</f>
        <v>11</v>
      </c>
      <c r="F14" s="1">
        <v>1010011</v>
      </c>
      <c r="H14" s="2" t="s">
        <v>1108</v>
      </c>
      <c r="I14" s="2" t="s">
        <v>1124</v>
      </c>
      <c r="J14" s="1" t="str">
        <f t="shared" si="0"/>
        <v>1010010,7|1010011,11</v>
      </c>
    </row>
    <row r="15" spans="1:19" x14ac:dyDescent="0.2">
      <c r="A15" s="4">
        <v>14</v>
      </c>
      <c r="B15" s="5">
        <f>VLOOKUP(A:A,[2]宠物天赋!$F$27:$G$147,2,FALSE)</f>
        <v>7</v>
      </c>
      <c r="C15" s="1">
        <v>1010010</v>
      </c>
      <c r="D15" s="2"/>
      <c r="E15" s="1">
        <f>VLOOKUP(A:A,[2]宠物天赋!$R$27:$S$147,2,FALSE)</f>
        <v>11</v>
      </c>
      <c r="F15" s="1">
        <v>1010011</v>
      </c>
      <c r="H15" s="2" t="s">
        <v>1108</v>
      </c>
      <c r="I15" s="2" t="s">
        <v>1124</v>
      </c>
      <c r="J15" s="1" t="str">
        <f t="shared" si="0"/>
        <v>1010010,7|1010011,11</v>
      </c>
    </row>
    <row r="16" spans="1:19" x14ac:dyDescent="0.2">
      <c r="A16" s="4">
        <v>15</v>
      </c>
      <c r="B16" s="5">
        <f>VLOOKUP(A:A,[2]宠物天赋!$F$27:$G$147,2,FALSE)</f>
        <v>7</v>
      </c>
      <c r="C16" s="1">
        <v>1010010</v>
      </c>
      <c r="D16" s="2"/>
      <c r="E16" s="1">
        <f>VLOOKUP(A:A,[2]宠物天赋!$R$27:$S$147,2,FALSE)</f>
        <v>11</v>
      </c>
      <c r="F16" s="1">
        <v>1010011</v>
      </c>
      <c r="H16" s="2" t="s">
        <v>1108</v>
      </c>
      <c r="I16" s="2" t="s">
        <v>1124</v>
      </c>
      <c r="J16" s="1" t="str">
        <f t="shared" si="0"/>
        <v>1010010,7|1010011,11</v>
      </c>
    </row>
    <row r="17" spans="1:10" x14ac:dyDescent="0.2">
      <c r="A17" s="4">
        <v>16</v>
      </c>
      <c r="B17" s="5">
        <f>VLOOKUP(A:A,[2]宠物天赋!$F$27:$G$147,2,FALSE)</f>
        <v>7</v>
      </c>
      <c r="C17" s="1">
        <v>1010010</v>
      </c>
      <c r="D17" s="2"/>
      <c r="E17" s="1">
        <f>VLOOKUP(A:A,[2]宠物天赋!$R$27:$S$147,2,FALSE)</f>
        <v>11</v>
      </c>
      <c r="F17" s="1">
        <v>1010011</v>
      </c>
      <c r="H17" s="2" t="s">
        <v>1108</v>
      </c>
      <c r="I17" s="2" t="s">
        <v>1124</v>
      </c>
      <c r="J17" s="1" t="str">
        <f t="shared" si="0"/>
        <v>1010010,7|1010011,11</v>
      </c>
    </row>
    <row r="18" spans="1:10" x14ac:dyDescent="0.2">
      <c r="A18" s="4">
        <v>17</v>
      </c>
      <c r="B18" s="5">
        <f>VLOOKUP(A:A,[2]宠物天赋!$F$27:$G$147,2,FALSE)</f>
        <v>8</v>
      </c>
      <c r="C18" s="1">
        <v>1010010</v>
      </c>
      <c r="D18" s="2"/>
      <c r="E18" s="1">
        <f>VLOOKUP(A:A,[2]宠物天赋!$R$27:$S$147,2,FALSE)</f>
        <v>12</v>
      </c>
      <c r="F18" s="1">
        <v>1010011</v>
      </c>
      <c r="H18" s="2" t="s">
        <v>1108</v>
      </c>
      <c r="I18" s="2" t="s">
        <v>1124</v>
      </c>
      <c r="J18" s="1" t="str">
        <f t="shared" si="0"/>
        <v>1010010,8|1010011,12</v>
      </c>
    </row>
    <row r="19" spans="1:10" x14ac:dyDescent="0.2">
      <c r="A19" s="4">
        <v>18</v>
      </c>
      <c r="B19" s="5">
        <f>VLOOKUP(A:A,[2]宠物天赋!$F$27:$G$147,2,FALSE)</f>
        <v>8</v>
      </c>
      <c r="C19" s="1">
        <v>1010010</v>
      </c>
      <c r="D19" s="2"/>
      <c r="E19" s="1">
        <f>VLOOKUP(A:A,[2]宠物天赋!$R$27:$S$147,2,FALSE)</f>
        <v>12</v>
      </c>
      <c r="F19" s="1">
        <v>1010011</v>
      </c>
      <c r="H19" s="2" t="s">
        <v>1108</v>
      </c>
      <c r="I19" s="2" t="s">
        <v>1124</v>
      </c>
      <c r="J19" s="1" t="str">
        <f t="shared" si="0"/>
        <v>1010010,8|1010011,12</v>
      </c>
    </row>
    <row r="20" spans="1:10" x14ac:dyDescent="0.2">
      <c r="A20" s="4">
        <v>19</v>
      </c>
      <c r="B20" s="5">
        <f>VLOOKUP(A:A,[2]宠物天赋!$F$27:$G$147,2,FALSE)</f>
        <v>8</v>
      </c>
      <c r="C20" s="1">
        <v>1010010</v>
      </c>
      <c r="D20" s="2"/>
      <c r="E20" s="1">
        <f>VLOOKUP(A:A,[2]宠物天赋!$R$27:$S$147,2,FALSE)</f>
        <v>12</v>
      </c>
      <c r="F20" s="1">
        <v>1010011</v>
      </c>
      <c r="H20" s="2" t="s">
        <v>1108</v>
      </c>
      <c r="I20" s="2" t="s">
        <v>1124</v>
      </c>
      <c r="J20" s="1" t="str">
        <f t="shared" si="0"/>
        <v>1010010,8|1010011,12</v>
      </c>
    </row>
    <row r="21" spans="1:10" x14ac:dyDescent="0.2">
      <c r="A21" s="4">
        <v>20</v>
      </c>
      <c r="B21" s="5">
        <f>VLOOKUP(A:A,[2]宠物天赋!$F$27:$G$147,2,FALSE)</f>
        <v>8</v>
      </c>
      <c r="C21" s="1">
        <v>1010010</v>
      </c>
      <c r="D21" s="2"/>
      <c r="E21" s="1">
        <f>VLOOKUP(A:A,[2]宠物天赋!$R$27:$S$147,2,FALSE)</f>
        <v>12</v>
      </c>
      <c r="F21" s="1">
        <v>1010011</v>
      </c>
      <c r="H21" s="2" t="s">
        <v>1108</v>
      </c>
      <c r="I21" s="2" t="s">
        <v>1124</v>
      </c>
      <c r="J21" s="1" t="str">
        <f t="shared" si="0"/>
        <v>1010010,8|1010011,12</v>
      </c>
    </row>
    <row r="22" spans="1:10" x14ac:dyDescent="0.2">
      <c r="A22" s="4">
        <v>21</v>
      </c>
      <c r="B22" s="5">
        <f>VLOOKUP(A:A,[2]宠物天赋!$F$27:$G$147,2,FALSE)</f>
        <v>9</v>
      </c>
      <c r="C22" s="1">
        <v>1010010</v>
      </c>
      <c r="D22" s="2"/>
      <c r="E22" s="1">
        <f>VLOOKUP(A:A,[2]宠物天赋!$R$27:$S$147,2,FALSE)</f>
        <v>13</v>
      </c>
      <c r="F22" s="1">
        <v>1010011</v>
      </c>
      <c r="H22" s="2" t="s">
        <v>1108</v>
      </c>
      <c r="I22" s="2" t="s">
        <v>1124</v>
      </c>
      <c r="J22" s="1" t="str">
        <f t="shared" si="0"/>
        <v>1010010,9|1010011,13</v>
      </c>
    </row>
    <row r="23" spans="1:10" x14ac:dyDescent="0.2">
      <c r="A23" s="4">
        <v>22</v>
      </c>
      <c r="B23" s="5">
        <f>VLOOKUP(A:A,[2]宠物天赋!$F$27:$G$147,2,FALSE)</f>
        <v>9</v>
      </c>
      <c r="C23" s="1">
        <v>1010010</v>
      </c>
      <c r="D23" s="2"/>
      <c r="E23" s="1">
        <f>VLOOKUP(A:A,[2]宠物天赋!$R$27:$S$147,2,FALSE)</f>
        <v>13</v>
      </c>
      <c r="F23" s="1">
        <v>1010011</v>
      </c>
      <c r="H23" s="2" t="s">
        <v>1108</v>
      </c>
      <c r="I23" s="2" t="s">
        <v>1124</v>
      </c>
      <c r="J23" s="1" t="str">
        <f t="shared" si="0"/>
        <v>1010010,9|1010011,13</v>
      </c>
    </row>
    <row r="24" spans="1:10" x14ac:dyDescent="0.2">
      <c r="A24" s="4">
        <v>23</v>
      </c>
      <c r="B24" s="5">
        <f>VLOOKUP(A:A,[2]宠物天赋!$F$27:$G$147,2,FALSE)</f>
        <v>9</v>
      </c>
      <c r="C24" s="1">
        <v>1010010</v>
      </c>
      <c r="D24" s="2"/>
      <c r="E24" s="1">
        <f>VLOOKUP(A:A,[2]宠物天赋!$R$27:$S$147,2,FALSE)</f>
        <v>13</v>
      </c>
      <c r="F24" s="1">
        <v>1010011</v>
      </c>
      <c r="H24" s="2" t="s">
        <v>1108</v>
      </c>
      <c r="I24" s="2" t="s">
        <v>1124</v>
      </c>
      <c r="J24" s="1" t="str">
        <f t="shared" si="0"/>
        <v>1010010,9|1010011,13</v>
      </c>
    </row>
    <row r="25" spans="1:10" x14ac:dyDescent="0.2">
      <c r="A25" s="4">
        <v>24</v>
      </c>
      <c r="B25" s="5">
        <f>VLOOKUP(A:A,[2]宠物天赋!$F$27:$G$147,2,FALSE)</f>
        <v>9</v>
      </c>
      <c r="C25" s="1">
        <v>1010010</v>
      </c>
      <c r="D25" s="2"/>
      <c r="E25" s="1">
        <f>VLOOKUP(A:A,[2]宠物天赋!$R$27:$S$147,2,FALSE)</f>
        <v>13</v>
      </c>
      <c r="F25" s="1">
        <v>1010011</v>
      </c>
      <c r="H25" s="2" t="s">
        <v>1108</v>
      </c>
      <c r="I25" s="2" t="s">
        <v>1124</v>
      </c>
      <c r="J25" s="1" t="str">
        <f t="shared" si="0"/>
        <v>1010010,9|1010011,13</v>
      </c>
    </row>
    <row r="26" spans="1:10" x14ac:dyDescent="0.2">
      <c r="A26" s="4">
        <v>25</v>
      </c>
      <c r="B26" s="5">
        <f>VLOOKUP(A:A,[2]宠物天赋!$F$27:$G$147,2,FALSE)</f>
        <v>10</v>
      </c>
      <c r="C26" s="1">
        <v>1010010</v>
      </c>
      <c r="D26" s="2"/>
      <c r="E26" s="1">
        <f>VLOOKUP(A:A,[2]宠物天赋!$R$27:$S$147,2,FALSE)</f>
        <v>14</v>
      </c>
      <c r="F26" s="1">
        <v>1010011</v>
      </c>
      <c r="H26" s="2" t="s">
        <v>1108</v>
      </c>
      <c r="I26" s="2" t="s">
        <v>1124</v>
      </c>
      <c r="J26" s="1" t="str">
        <f t="shared" si="0"/>
        <v>1010010,10|1010011,14</v>
      </c>
    </row>
    <row r="27" spans="1:10" x14ac:dyDescent="0.2">
      <c r="A27" s="4">
        <v>26</v>
      </c>
      <c r="B27" s="5">
        <f>VLOOKUP(A:A,[2]宠物天赋!$F$27:$G$147,2,FALSE)</f>
        <v>10</v>
      </c>
      <c r="C27" s="1">
        <v>1010010</v>
      </c>
      <c r="D27" s="2"/>
      <c r="E27" s="1">
        <f>VLOOKUP(A:A,[2]宠物天赋!$R$27:$S$147,2,FALSE)</f>
        <v>14</v>
      </c>
      <c r="F27" s="1">
        <v>1010011</v>
      </c>
      <c r="H27" s="2" t="s">
        <v>1108</v>
      </c>
      <c r="I27" s="2" t="s">
        <v>1124</v>
      </c>
      <c r="J27" s="1" t="str">
        <f t="shared" si="0"/>
        <v>1010010,10|1010011,14</v>
      </c>
    </row>
    <row r="28" spans="1:10" x14ac:dyDescent="0.2">
      <c r="A28" s="4">
        <v>27</v>
      </c>
      <c r="B28" s="5">
        <f>VLOOKUP(A:A,[2]宠物天赋!$F$27:$G$147,2,FALSE)</f>
        <v>10</v>
      </c>
      <c r="C28" s="1">
        <v>1010010</v>
      </c>
      <c r="D28" s="2"/>
      <c r="E28" s="1">
        <f>VLOOKUP(A:A,[2]宠物天赋!$R$27:$S$147,2,FALSE)</f>
        <v>14</v>
      </c>
      <c r="F28" s="1">
        <v>1010011</v>
      </c>
      <c r="H28" s="2" t="s">
        <v>1108</v>
      </c>
      <c r="I28" s="2" t="s">
        <v>1124</v>
      </c>
      <c r="J28" s="1" t="str">
        <f t="shared" si="0"/>
        <v>1010010,10|1010011,14</v>
      </c>
    </row>
    <row r="29" spans="1:10" x14ac:dyDescent="0.2">
      <c r="A29" s="4">
        <v>28</v>
      </c>
      <c r="B29" s="5">
        <f>VLOOKUP(A:A,[2]宠物天赋!$F$27:$G$147,2,FALSE)</f>
        <v>10</v>
      </c>
      <c r="C29" s="1">
        <v>1010010</v>
      </c>
      <c r="D29" s="2"/>
      <c r="E29" s="1">
        <f>VLOOKUP(A:A,[2]宠物天赋!$R$27:$S$147,2,FALSE)</f>
        <v>14</v>
      </c>
      <c r="F29" s="1">
        <v>1010011</v>
      </c>
      <c r="H29" s="2" t="s">
        <v>1108</v>
      </c>
      <c r="I29" s="2" t="s">
        <v>1124</v>
      </c>
      <c r="J29" s="1" t="str">
        <f t="shared" si="0"/>
        <v>1010010,10|1010011,14</v>
      </c>
    </row>
    <row r="30" spans="1:10" x14ac:dyDescent="0.2">
      <c r="A30" s="4">
        <v>29</v>
      </c>
      <c r="B30" s="5">
        <f>VLOOKUP(A:A,[2]宠物天赋!$F$27:$G$147,2,FALSE)</f>
        <v>11</v>
      </c>
      <c r="C30" s="1">
        <v>1010010</v>
      </c>
      <c r="D30" s="2"/>
      <c r="E30" s="1">
        <f>VLOOKUP(A:A,[2]宠物天赋!$R$27:$S$147,2,FALSE)</f>
        <v>15</v>
      </c>
      <c r="F30" s="1">
        <v>1010011</v>
      </c>
      <c r="H30" s="2" t="s">
        <v>1108</v>
      </c>
      <c r="I30" s="2" t="s">
        <v>1124</v>
      </c>
      <c r="J30" s="1" t="str">
        <f t="shared" si="0"/>
        <v>1010010,11|1010011,15</v>
      </c>
    </row>
    <row r="31" spans="1:10" x14ac:dyDescent="0.2">
      <c r="A31" s="4">
        <v>30</v>
      </c>
      <c r="B31" s="5">
        <f>VLOOKUP(A:A,[2]宠物天赋!$F$27:$G$147,2,FALSE)</f>
        <v>11</v>
      </c>
      <c r="C31" s="1">
        <v>1010010</v>
      </c>
      <c r="D31" s="2"/>
      <c r="E31" s="1">
        <f>VLOOKUP(A:A,[2]宠物天赋!$R$27:$S$147,2,FALSE)</f>
        <v>15</v>
      </c>
      <c r="F31" s="1">
        <v>1010011</v>
      </c>
      <c r="H31" s="2" t="s">
        <v>1108</v>
      </c>
      <c r="I31" s="2" t="s">
        <v>1124</v>
      </c>
      <c r="J31" s="1" t="str">
        <f t="shared" si="0"/>
        <v>1010010,11|1010011,15</v>
      </c>
    </row>
    <row r="32" spans="1:10" x14ac:dyDescent="0.2">
      <c r="A32" s="4">
        <v>31</v>
      </c>
      <c r="B32" s="5">
        <f>VLOOKUP(A:A,[2]宠物天赋!$F$27:$G$147,2,FALSE)</f>
        <v>11</v>
      </c>
      <c r="C32" s="1">
        <v>1010010</v>
      </c>
      <c r="D32" s="2"/>
      <c r="E32" s="1">
        <f>VLOOKUP(A:A,[2]宠物天赋!$R$27:$S$147,2,FALSE)</f>
        <v>15</v>
      </c>
      <c r="F32" s="1">
        <v>1010011</v>
      </c>
      <c r="H32" s="2" t="s">
        <v>1108</v>
      </c>
      <c r="I32" s="2" t="s">
        <v>1124</v>
      </c>
      <c r="J32" s="1" t="str">
        <f t="shared" si="0"/>
        <v>1010010,11|1010011,15</v>
      </c>
    </row>
    <row r="33" spans="1:10" x14ac:dyDescent="0.2">
      <c r="A33" s="4">
        <v>32</v>
      </c>
      <c r="B33" s="5">
        <f>VLOOKUP(A:A,[2]宠物天赋!$F$27:$G$147,2,FALSE)</f>
        <v>11</v>
      </c>
      <c r="C33" s="1">
        <v>1010010</v>
      </c>
      <c r="D33" s="2"/>
      <c r="E33" s="1">
        <f>VLOOKUP(A:A,[2]宠物天赋!$R$27:$S$147,2,FALSE)</f>
        <v>15</v>
      </c>
      <c r="F33" s="1">
        <v>1010011</v>
      </c>
      <c r="H33" s="2" t="s">
        <v>1108</v>
      </c>
      <c r="I33" s="2" t="s">
        <v>1124</v>
      </c>
      <c r="J33" s="1" t="str">
        <f t="shared" si="0"/>
        <v>1010010,11|1010011,15</v>
      </c>
    </row>
    <row r="34" spans="1:10" x14ac:dyDescent="0.2">
      <c r="A34" s="4">
        <v>33</v>
      </c>
      <c r="B34" s="5">
        <f>VLOOKUP(A:A,[2]宠物天赋!$F$27:$G$147,2,FALSE)</f>
        <v>12</v>
      </c>
      <c r="C34" s="1">
        <v>1010010</v>
      </c>
      <c r="D34" s="2"/>
      <c r="E34" s="1">
        <f>VLOOKUP(A:A,[2]宠物天赋!$R$27:$S$147,2,FALSE)</f>
        <v>16</v>
      </c>
      <c r="F34" s="1">
        <v>1010011</v>
      </c>
      <c r="H34" s="2" t="s">
        <v>1108</v>
      </c>
      <c r="I34" s="2" t="s">
        <v>1124</v>
      </c>
      <c r="J34" s="1" t="str">
        <f t="shared" si="0"/>
        <v>1010010,12|1010011,16</v>
      </c>
    </row>
    <row r="35" spans="1:10" x14ac:dyDescent="0.2">
      <c r="A35" s="4">
        <v>34</v>
      </c>
      <c r="B35" s="5">
        <f>VLOOKUP(A:A,[2]宠物天赋!$F$27:$G$147,2,FALSE)</f>
        <v>12</v>
      </c>
      <c r="C35" s="1">
        <v>1010010</v>
      </c>
      <c r="D35" s="2"/>
      <c r="E35" s="1">
        <f>VLOOKUP(A:A,[2]宠物天赋!$R$27:$S$147,2,FALSE)</f>
        <v>16</v>
      </c>
      <c r="F35" s="1">
        <v>1010011</v>
      </c>
      <c r="H35" s="2" t="s">
        <v>1108</v>
      </c>
      <c r="I35" s="2" t="s">
        <v>1124</v>
      </c>
      <c r="J35" s="1" t="str">
        <f t="shared" si="0"/>
        <v>1010010,12|1010011,16</v>
      </c>
    </row>
    <row r="36" spans="1:10" x14ac:dyDescent="0.2">
      <c r="A36" s="4">
        <v>35</v>
      </c>
      <c r="B36" s="5">
        <f>VLOOKUP(A:A,[2]宠物天赋!$F$27:$G$147,2,FALSE)</f>
        <v>12</v>
      </c>
      <c r="C36" s="1">
        <v>1010010</v>
      </c>
      <c r="D36" s="2"/>
      <c r="E36" s="1">
        <f>VLOOKUP(A:A,[2]宠物天赋!$R$27:$S$147,2,FALSE)</f>
        <v>16</v>
      </c>
      <c r="F36" s="1">
        <v>1010011</v>
      </c>
      <c r="H36" s="2" t="s">
        <v>1108</v>
      </c>
      <c r="I36" s="2" t="s">
        <v>1124</v>
      </c>
      <c r="J36" s="1" t="str">
        <f t="shared" si="0"/>
        <v>1010010,12|1010011,16</v>
      </c>
    </row>
    <row r="37" spans="1:10" x14ac:dyDescent="0.2">
      <c r="A37" s="4">
        <v>36</v>
      </c>
      <c r="B37" s="5">
        <f>VLOOKUP(A:A,[2]宠物天赋!$F$27:$G$147,2,FALSE)</f>
        <v>12</v>
      </c>
      <c r="C37" s="1">
        <v>1010010</v>
      </c>
      <c r="D37" s="2"/>
      <c r="E37" s="1">
        <f>VLOOKUP(A:A,[2]宠物天赋!$R$27:$S$147,2,FALSE)</f>
        <v>16</v>
      </c>
      <c r="F37" s="1">
        <v>1010011</v>
      </c>
      <c r="H37" s="2" t="s">
        <v>1108</v>
      </c>
      <c r="I37" s="2" t="s">
        <v>1124</v>
      </c>
      <c r="J37" s="1" t="str">
        <f t="shared" si="0"/>
        <v>1010010,12|1010011,16</v>
      </c>
    </row>
    <row r="38" spans="1:10" x14ac:dyDescent="0.2">
      <c r="A38" s="4">
        <v>37</v>
      </c>
      <c r="B38" s="5">
        <f>VLOOKUP(A:A,[2]宠物天赋!$F$27:$G$147,2,FALSE)</f>
        <v>13</v>
      </c>
      <c r="C38" s="1">
        <v>1010010</v>
      </c>
      <c r="D38" s="2"/>
      <c r="E38" s="1">
        <f>VLOOKUP(A:A,[2]宠物天赋!$R$27:$S$147,2,FALSE)</f>
        <v>17</v>
      </c>
      <c r="F38" s="1">
        <v>1010011</v>
      </c>
      <c r="H38" s="2" t="s">
        <v>1108</v>
      </c>
      <c r="I38" s="2" t="s">
        <v>1124</v>
      </c>
      <c r="J38" s="1" t="str">
        <f t="shared" si="0"/>
        <v>1010010,13|1010011,17</v>
      </c>
    </row>
    <row r="39" spans="1:10" x14ac:dyDescent="0.2">
      <c r="A39" s="4">
        <v>38</v>
      </c>
      <c r="B39" s="5">
        <f>VLOOKUP(A:A,[2]宠物天赋!$F$27:$G$147,2,FALSE)</f>
        <v>13</v>
      </c>
      <c r="C39" s="1">
        <v>1010010</v>
      </c>
      <c r="D39" s="2"/>
      <c r="E39" s="1">
        <f>VLOOKUP(A:A,[2]宠物天赋!$R$27:$S$147,2,FALSE)</f>
        <v>17</v>
      </c>
      <c r="F39" s="1">
        <v>1010011</v>
      </c>
      <c r="H39" s="2" t="s">
        <v>1108</v>
      </c>
      <c r="I39" s="2" t="s">
        <v>1124</v>
      </c>
      <c r="J39" s="1" t="str">
        <f t="shared" si="0"/>
        <v>1010010,13|1010011,17</v>
      </c>
    </row>
    <row r="40" spans="1:10" x14ac:dyDescent="0.2">
      <c r="A40" s="4">
        <v>39</v>
      </c>
      <c r="B40" s="5">
        <f>VLOOKUP(A:A,[2]宠物天赋!$F$27:$G$147,2,FALSE)</f>
        <v>13</v>
      </c>
      <c r="C40" s="1">
        <v>1010010</v>
      </c>
      <c r="D40" s="2"/>
      <c r="E40" s="1">
        <f>VLOOKUP(A:A,[2]宠物天赋!$R$27:$S$147,2,FALSE)</f>
        <v>17</v>
      </c>
      <c r="F40" s="1">
        <v>1010011</v>
      </c>
      <c r="H40" s="2" t="s">
        <v>1108</v>
      </c>
      <c r="I40" s="2" t="s">
        <v>1124</v>
      </c>
      <c r="J40" s="1" t="str">
        <f t="shared" si="0"/>
        <v>1010010,13|1010011,17</v>
      </c>
    </row>
    <row r="41" spans="1:10" x14ac:dyDescent="0.2">
      <c r="A41" s="4">
        <v>40</v>
      </c>
      <c r="B41" s="5">
        <f>VLOOKUP(A:A,[2]宠物天赋!$F$27:$G$147,2,FALSE)</f>
        <v>13</v>
      </c>
      <c r="C41" s="1">
        <v>1010010</v>
      </c>
      <c r="D41" s="2"/>
      <c r="E41" s="1">
        <f>VLOOKUP(A:A,[2]宠物天赋!$R$27:$S$147,2,FALSE)</f>
        <v>17</v>
      </c>
      <c r="F41" s="1">
        <v>1010011</v>
      </c>
      <c r="H41" s="2" t="s">
        <v>1108</v>
      </c>
      <c r="I41" s="2" t="s">
        <v>1124</v>
      </c>
      <c r="J41" s="1" t="str">
        <f t="shared" si="0"/>
        <v>1010010,13|1010011,17</v>
      </c>
    </row>
    <row r="42" spans="1:10" x14ac:dyDescent="0.2">
      <c r="A42" s="4">
        <v>41</v>
      </c>
      <c r="B42" s="5">
        <f>VLOOKUP(A:A,[2]宠物天赋!$F$27:$G$147,2,FALSE)</f>
        <v>14</v>
      </c>
      <c r="C42" s="1">
        <v>1010010</v>
      </c>
      <c r="D42" s="2"/>
      <c r="E42" s="1">
        <f>VLOOKUP(A:A,[2]宠物天赋!$R$27:$S$147,2,FALSE)</f>
        <v>18</v>
      </c>
      <c r="F42" s="1">
        <v>1010011</v>
      </c>
      <c r="H42" s="2" t="s">
        <v>1108</v>
      </c>
      <c r="I42" s="2" t="s">
        <v>1124</v>
      </c>
      <c r="J42" s="1" t="str">
        <f t="shared" si="0"/>
        <v>1010010,14|1010011,18</v>
      </c>
    </row>
    <row r="43" spans="1:10" x14ac:dyDescent="0.2">
      <c r="A43" s="4">
        <v>42</v>
      </c>
      <c r="B43" s="5">
        <f>VLOOKUP(A:A,[2]宠物天赋!$F$27:$G$147,2,FALSE)</f>
        <v>14</v>
      </c>
      <c r="C43" s="1">
        <v>1010010</v>
      </c>
      <c r="D43" s="2"/>
      <c r="E43" s="1">
        <f>VLOOKUP(A:A,[2]宠物天赋!$R$27:$S$147,2,FALSE)</f>
        <v>18</v>
      </c>
      <c r="F43" s="1">
        <v>1010011</v>
      </c>
      <c r="H43" s="2" t="s">
        <v>1108</v>
      </c>
      <c r="I43" s="2" t="s">
        <v>1124</v>
      </c>
      <c r="J43" s="1" t="str">
        <f t="shared" si="0"/>
        <v>1010010,14|1010011,18</v>
      </c>
    </row>
    <row r="44" spans="1:10" x14ac:dyDescent="0.2">
      <c r="A44" s="4">
        <v>43</v>
      </c>
      <c r="B44" s="5">
        <f>VLOOKUP(A:A,[2]宠物天赋!$F$27:$G$147,2,FALSE)</f>
        <v>14</v>
      </c>
      <c r="C44" s="1">
        <v>1010010</v>
      </c>
      <c r="D44" s="2"/>
      <c r="E44" s="1">
        <f>VLOOKUP(A:A,[2]宠物天赋!$R$27:$S$147,2,FALSE)</f>
        <v>18</v>
      </c>
      <c r="F44" s="1">
        <v>1010011</v>
      </c>
      <c r="H44" s="2" t="s">
        <v>1108</v>
      </c>
      <c r="I44" s="2" t="s">
        <v>1124</v>
      </c>
      <c r="J44" s="1" t="str">
        <f t="shared" si="0"/>
        <v>1010010,14|1010011,18</v>
      </c>
    </row>
    <row r="45" spans="1:10" x14ac:dyDescent="0.2">
      <c r="A45" s="4">
        <v>44</v>
      </c>
      <c r="B45" s="5">
        <f>VLOOKUP(A:A,[2]宠物天赋!$F$27:$G$147,2,FALSE)</f>
        <v>14</v>
      </c>
      <c r="C45" s="1">
        <v>1010010</v>
      </c>
      <c r="D45" s="2"/>
      <c r="E45" s="1">
        <f>VLOOKUP(A:A,[2]宠物天赋!$R$27:$S$147,2,FALSE)</f>
        <v>18</v>
      </c>
      <c r="F45" s="1">
        <v>1010011</v>
      </c>
      <c r="H45" s="2" t="s">
        <v>1108</v>
      </c>
      <c r="I45" s="2" t="s">
        <v>1124</v>
      </c>
      <c r="J45" s="1" t="str">
        <f t="shared" si="0"/>
        <v>1010010,14|1010011,18</v>
      </c>
    </row>
    <row r="46" spans="1:10" x14ac:dyDescent="0.2">
      <c r="A46" s="4">
        <v>45</v>
      </c>
      <c r="B46" s="5">
        <f>VLOOKUP(A:A,[2]宠物天赋!$F$27:$G$147,2,FALSE)</f>
        <v>15</v>
      </c>
      <c r="C46" s="1">
        <v>1010010</v>
      </c>
      <c r="D46" s="2"/>
      <c r="E46" s="1">
        <f>VLOOKUP(A:A,[2]宠物天赋!$R$27:$S$147,2,FALSE)</f>
        <v>19</v>
      </c>
      <c r="F46" s="1">
        <v>1010011</v>
      </c>
      <c r="H46" s="2" t="s">
        <v>1108</v>
      </c>
      <c r="I46" s="2" t="s">
        <v>1124</v>
      </c>
      <c r="J46" s="1" t="str">
        <f t="shared" si="0"/>
        <v>1010010,15|1010011,19</v>
      </c>
    </row>
    <row r="47" spans="1:10" x14ac:dyDescent="0.2">
      <c r="A47" s="4">
        <v>46</v>
      </c>
      <c r="B47" s="5">
        <f>VLOOKUP(A:A,[2]宠物天赋!$F$27:$G$147,2,FALSE)</f>
        <v>15</v>
      </c>
      <c r="C47" s="1">
        <v>1010010</v>
      </c>
      <c r="D47" s="2"/>
      <c r="E47" s="1">
        <f>VLOOKUP(A:A,[2]宠物天赋!$R$27:$S$147,2,FALSE)</f>
        <v>19</v>
      </c>
      <c r="F47" s="1">
        <v>1010011</v>
      </c>
      <c r="H47" s="2" t="s">
        <v>1108</v>
      </c>
      <c r="I47" s="2" t="s">
        <v>1124</v>
      </c>
      <c r="J47" s="1" t="str">
        <f t="shared" si="0"/>
        <v>1010010,15|1010011,19</v>
      </c>
    </row>
    <row r="48" spans="1:10" x14ac:dyDescent="0.2">
      <c r="A48" s="4">
        <v>47</v>
      </c>
      <c r="B48" s="5">
        <f>VLOOKUP(A:A,[2]宠物天赋!$F$27:$G$147,2,FALSE)</f>
        <v>15</v>
      </c>
      <c r="C48" s="1">
        <v>1010010</v>
      </c>
      <c r="D48" s="2"/>
      <c r="E48" s="1">
        <f>VLOOKUP(A:A,[2]宠物天赋!$R$27:$S$147,2,FALSE)</f>
        <v>19</v>
      </c>
      <c r="F48" s="1">
        <v>1010011</v>
      </c>
      <c r="H48" s="2" t="s">
        <v>1108</v>
      </c>
      <c r="I48" s="2" t="s">
        <v>1124</v>
      </c>
      <c r="J48" s="1" t="str">
        <f t="shared" si="0"/>
        <v>1010010,15|1010011,19</v>
      </c>
    </row>
    <row r="49" spans="1:10" x14ac:dyDescent="0.2">
      <c r="A49" s="4">
        <v>48</v>
      </c>
      <c r="B49" s="5">
        <f>VLOOKUP(A:A,[2]宠物天赋!$F$27:$G$147,2,FALSE)</f>
        <v>15</v>
      </c>
      <c r="C49" s="1">
        <v>1010010</v>
      </c>
      <c r="D49" s="2"/>
      <c r="E49" s="1">
        <f>VLOOKUP(A:A,[2]宠物天赋!$R$27:$S$147,2,FALSE)</f>
        <v>19</v>
      </c>
      <c r="F49" s="1">
        <v>1010011</v>
      </c>
      <c r="H49" s="2" t="s">
        <v>1108</v>
      </c>
      <c r="I49" s="2" t="s">
        <v>1124</v>
      </c>
      <c r="J49" s="1" t="str">
        <f t="shared" si="0"/>
        <v>1010010,15|1010011,19</v>
      </c>
    </row>
    <row r="50" spans="1:10" x14ac:dyDescent="0.2">
      <c r="A50" s="4">
        <v>49</v>
      </c>
      <c r="B50" s="5">
        <f>VLOOKUP(A:A,[2]宠物天赋!$F$27:$G$147,2,FALSE)</f>
        <v>16</v>
      </c>
      <c r="C50" s="1">
        <v>1010010</v>
      </c>
      <c r="D50" s="2"/>
      <c r="E50" s="1">
        <f>VLOOKUP(A:A,[2]宠物天赋!$R$27:$S$147,2,FALSE)</f>
        <v>20</v>
      </c>
      <c r="F50" s="1">
        <v>1010011</v>
      </c>
      <c r="H50" s="2" t="s">
        <v>1108</v>
      </c>
      <c r="I50" s="2" t="s">
        <v>1124</v>
      </c>
      <c r="J50" s="1" t="str">
        <f t="shared" si="0"/>
        <v>1010010,16|1010011,20</v>
      </c>
    </row>
    <row r="51" spans="1:10" x14ac:dyDescent="0.2">
      <c r="A51" s="4">
        <v>50</v>
      </c>
      <c r="B51" s="5">
        <f>VLOOKUP(A:A,[2]宠物天赋!$F$27:$G$147,2,FALSE)</f>
        <v>16</v>
      </c>
      <c r="C51" s="1">
        <v>1010010</v>
      </c>
      <c r="D51" s="2"/>
      <c r="E51" s="1">
        <f>VLOOKUP(A:A,[2]宠物天赋!$R$27:$S$147,2,FALSE)</f>
        <v>20</v>
      </c>
      <c r="F51" s="1">
        <v>1010011</v>
      </c>
      <c r="H51" s="2" t="s">
        <v>1108</v>
      </c>
      <c r="I51" s="2" t="s">
        <v>1124</v>
      </c>
      <c r="J51" s="1" t="str">
        <f t="shared" si="0"/>
        <v>1010010,16|1010011,20</v>
      </c>
    </row>
    <row r="52" spans="1:10" x14ac:dyDescent="0.2">
      <c r="A52" s="4">
        <v>51</v>
      </c>
      <c r="B52" s="5">
        <f>VLOOKUP(A:A,[2]宠物天赋!$F$27:$G$147,2,FALSE)</f>
        <v>16</v>
      </c>
      <c r="C52" s="1">
        <v>1010010</v>
      </c>
      <c r="D52" s="2"/>
      <c r="E52" s="1">
        <f>VLOOKUP(A:A,[2]宠物天赋!$R$27:$S$147,2,FALSE)</f>
        <v>20</v>
      </c>
      <c r="F52" s="1">
        <v>1010011</v>
      </c>
      <c r="H52" s="2" t="s">
        <v>1108</v>
      </c>
      <c r="I52" s="2" t="s">
        <v>1124</v>
      </c>
      <c r="J52" s="1" t="str">
        <f t="shared" si="0"/>
        <v>1010010,16|1010011,20</v>
      </c>
    </row>
    <row r="53" spans="1:10" x14ac:dyDescent="0.2">
      <c r="A53" s="4">
        <v>52</v>
      </c>
      <c r="B53" s="5">
        <f>VLOOKUP(A:A,[2]宠物天赋!$F$27:$G$147,2,FALSE)</f>
        <v>16</v>
      </c>
      <c r="C53" s="1">
        <v>1010010</v>
      </c>
      <c r="D53" s="2"/>
      <c r="E53" s="1">
        <f>VLOOKUP(A:A,[2]宠物天赋!$R$27:$S$147,2,FALSE)</f>
        <v>20</v>
      </c>
      <c r="F53" s="1">
        <v>1010011</v>
      </c>
      <c r="H53" s="2" t="s">
        <v>1108</v>
      </c>
      <c r="I53" s="2" t="s">
        <v>1124</v>
      </c>
      <c r="J53" s="1" t="str">
        <f t="shared" si="0"/>
        <v>1010010,16|1010011,20</v>
      </c>
    </row>
    <row r="54" spans="1:10" x14ac:dyDescent="0.2">
      <c r="A54" s="4">
        <v>53</v>
      </c>
      <c r="B54" s="5">
        <f>VLOOKUP(A:A,[2]宠物天赋!$F$27:$G$147,2,FALSE)</f>
        <v>17</v>
      </c>
      <c r="C54" s="1">
        <v>1010010</v>
      </c>
      <c r="D54" s="2"/>
      <c r="E54" s="1">
        <f>VLOOKUP(A:A,[2]宠物天赋!$R$27:$S$147,2,FALSE)</f>
        <v>21</v>
      </c>
      <c r="F54" s="1">
        <v>1010011</v>
      </c>
      <c r="H54" s="2" t="s">
        <v>1108</v>
      </c>
      <c r="I54" s="2" t="s">
        <v>1124</v>
      </c>
      <c r="J54" s="1" t="str">
        <f t="shared" si="0"/>
        <v>1010010,17|1010011,21</v>
      </c>
    </row>
    <row r="55" spans="1:10" x14ac:dyDescent="0.2">
      <c r="A55" s="4">
        <v>54</v>
      </c>
      <c r="B55" s="5">
        <f>VLOOKUP(A:A,[2]宠物天赋!$F$27:$G$147,2,FALSE)</f>
        <v>17</v>
      </c>
      <c r="C55" s="1">
        <v>1010010</v>
      </c>
      <c r="D55" s="2"/>
      <c r="E55" s="1">
        <f>VLOOKUP(A:A,[2]宠物天赋!$R$27:$S$147,2,FALSE)</f>
        <v>21</v>
      </c>
      <c r="F55" s="1">
        <v>1010011</v>
      </c>
      <c r="H55" s="2" t="s">
        <v>1108</v>
      </c>
      <c r="I55" s="2" t="s">
        <v>1124</v>
      </c>
      <c r="J55" s="1" t="str">
        <f t="shared" si="0"/>
        <v>1010010,17|1010011,21</v>
      </c>
    </row>
    <row r="56" spans="1:10" x14ac:dyDescent="0.2">
      <c r="A56" s="4">
        <v>55</v>
      </c>
      <c r="B56" s="5">
        <f>VLOOKUP(A:A,[2]宠物天赋!$F$27:$G$147,2,FALSE)</f>
        <v>17</v>
      </c>
      <c r="C56" s="1">
        <v>1010010</v>
      </c>
      <c r="D56" s="2"/>
      <c r="E56" s="1">
        <f>VLOOKUP(A:A,[2]宠物天赋!$R$27:$S$147,2,FALSE)</f>
        <v>21</v>
      </c>
      <c r="F56" s="1">
        <v>1010011</v>
      </c>
      <c r="H56" s="2" t="s">
        <v>1108</v>
      </c>
      <c r="I56" s="2" t="s">
        <v>1124</v>
      </c>
      <c r="J56" s="1" t="str">
        <f t="shared" si="0"/>
        <v>1010010,17|1010011,21</v>
      </c>
    </row>
    <row r="57" spans="1:10" x14ac:dyDescent="0.2">
      <c r="A57" s="4">
        <v>56</v>
      </c>
      <c r="B57" s="5">
        <f>VLOOKUP(A:A,[2]宠物天赋!$F$27:$G$147,2,FALSE)</f>
        <v>17</v>
      </c>
      <c r="C57" s="1">
        <v>1010010</v>
      </c>
      <c r="D57" s="2"/>
      <c r="E57" s="1">
        <f>VLOOKUP(A:A,[2]宠物天赋!$R$27:$S$147,2,FALSE)</f>
        <v>21</v>
      </c>
      <c r="F57" s="1">
        <v>1010011</v>
      </c>
      <c r="H57" s="2" t="s">
        <v>1108</v>
      </c>
      <c r="I57" s="2" t="s">
        <v>1124</v>
      </c>
      <c r="J57" s="1" t="str">
        <f t="shared" si="0"/>
        <v>1010010,17|1010011,21</v>
      </c>
    </row>
    <row r="58" spans="1:10" x14ac:dyDescent="0.2">
      <c r="A58" s="4">
        <v>57</v>
      </c>
      <c r="B58" s="5">
        <f>VLOOKUP(A:A,[2]宠物天赋!$F$27:$G$147,2,FALSE)</f>
        <v>18</v>
      </c>
      <c r="C58" s="1">
        <v>1010010</v>
      </c>
      <c r="D58" s="2"/>
      <c r="E58" s="1">
        <f>VLOOKUP(A:A,[2]宠物天赋!$R$27:$S$147,2,FALSE)</f>
        <v>22</v>
      </c>
      <c r="F58" s="1">
        <v>1010011</v>
      </c>
      <c r="H58" s="2" t="s">
        <v>1108</v>
      </c>
      <c r="I58" s="2" t="s">
        <v>1124</v>
      </c>
      <c r="J58" s="1" t="str">
        <f t="shared" si="0"/>
        <v>1010010,18|1010011,22</v>
      </c>
    </row>
    <row r="59" spans="1:10" x14ac:dyDescent="0.2">
      <c r="A59" s="4">
        <v>58</v>
      </c>
      <c r="B59" s="5">
        <f>VLOOKUP(A:A,[2]宠物天赋!$F$27:$G$147,2,FALSE)</f>
        <v>18</v>
      </c>
      <c r="C59" s="1">
        <v>1010010</v>
      </c>
      <c r="D59" s="2"/>
      <c r="E59" s="1">
        <f>VLOOKUP(A:A,[2]宠物天赋!$R$27:$S$147,2,FALSE)</f>
        <v>22</v>
      </c>
      <c r="F59" s="1">
        <v>1010011</v>
      </c>
      <c r="H59" s="2" t="s">
        <v>1108</v>
      </c>
      <c r="I59" s="2" t="s">
        <v>1124</v>
      </c>
      <c r="J59" s="1" t="str">
        <f t="shared" si="0"/>
        <v>1010010,18|1010011,22</v>
      </c>
    </row>
    <row r="60" spans="1:10" x14ac:dyDescent="0.2">
      <c r="A60" s="4">
        <v>59</v>
      </c>
      <c r="B60" s="5">
        <f>VLOOKUP(A:A,[2]宠物天赋!$F$27:$G$147,2,FALSE)</f>
        <v>18</v>
      </c>
      <c r="C60" s="1">
        <v>1010010</v>
      </c>
      <c r="D60" s="2"/>
      <c r="E60" s="1">
        <f>VLOOKUP(A:A,[2]宠物天赋!$R$27:$S$147,2,FALSE)</f>
        <v>22</v>
      </c>
      <c r="F60" s="1">
        <v>1010011</v>
      </c>
      <c r="H60" s="2" t="s">
        <v>1108</v>
      </c>
      <c r="I60" s="2" t="s">
        <v>1124</v>
      </c>
      <c r="J60" s="1" t="str">
        <f t="shared" si="0"/>
        <v>1010010,18|1010011,22</v>
      </c>
    </row>
    <row r="61" spans="1:10" x14ac:dyDescent="0.2">
      <c r="A61" s="4">
        <v>60</v>
      </c>
      <c r="B61" s="5">
        <f>VLOOKUP(A:A,[2]宠物天赋!$F$27:$G$147,2,FALSE)</f>
        <v>18</v>
      </c>
      <c r="C61" s="1">
        <v>1010010</v>
      </c>
      <c r="D61" s="2"/>
      <c r="E61" s="1">
        <f>VLOOKUP(A:A,[2]宠物天赋!$R$27:$S$147,2,FALSE)</f>
        <v>22</v>
      </c>
      <c r="F61" s="1">
        <v>1010011</v>
      </c>
      <c r="H61" s="2" t="s">
        <v>1108</v>
      </c>
      <c r="I61" s="2" t="s">
        <v>1124</v>
      </c>
      <c r="J61" s="1" t="str">
        <f t="shared" si="0"/>
        <v>1010010,18|1010011,22</v>
      </c>
    </row>
    <row r="62" spans="1:10" x14ac:dyDescent="0.2">
      <c r="A62" s="4">
        <v>61</v>
      </c>
      <c r="B62" s="5">
        <f>VLOOKUP(A:A,[2]宠物天赋!$F$27:$G$147,2,FALSE)</f>
        <v>19</v>
      </c>
      <c r="C62" s="1">
        <v>1010010</v>
      </c>
      <c r="D62" s="2"/>
      <c r="E62" s="1">
        <f>VLOOKUP(A:A,[2]宠物天赋!$R$27:$S$147,2,FALSE)</f>
        <v>23</v>
      </c>
      <c r="F62" s="1">
        <v>1010011</v>
      </c>
      <c r="H62" s="2" t="s">
        <v>1108</v>
      </c>
      <c r="I62" s="2" t="s">
        <v>1124</v>
      </c>
      <c r="J62" s="1" t="str">
        <f t="shared" si="0"/>
        <v>1010010,19|1010011,23</v>
      </c>
    </row>
    <row r="63" spans="1:10" x14ac:dyDescent="0.2">
      <c r="A63" s="4">
        <v>62</v>
      </c>
      <c r="B63" s="5">
        <f>VLOOKUP(A:A,[2]宠物天赋!$F$27:$G$147,2,FALSE)</f>
        <v>19</v>
      </c>
      <c r="C63" s="1">
        <v>1010010</v>
      </c>
      <c r="D63" s="2"/>
      <c r="E63" s="1">
        <f>VLOOKUP(A:A,[2]宠物天赋!$R$27:$S$147,2,FALSE)</f>
        <v>23</v>
      </c>
      <c r="F63" s="1">
        <v>1010011</v>
      </c>
      <c r="H63" s="2" t="s">
        <v>1108</v>
      </c>
      <c r="I63" s="2" t="s">
        <v>1124</v>
      </c>
      <c r="J63" s="1" t="str">
        <f t="shared" si="0"/>
        <v>1010010,19|1010011,23</v>
      </c>
    </row>
    <row r="64" spans="1:10" x14ac:dyDescent="0.2">
      <c r="A64" s="4">
        <v>63</v>
      </c>
      <c r="B64" s="5">
        <f>VLOOKUP(A:A,[2]宠物天赋!$F$27:$G$147,2,FALSE)</f>
        <v>19</v>
      </c>
      <c r="C64" s="1">
        <v>1010010</v>
      </c>
      <c r="D64" s="2"/>
      <c r="E64" s="1">
        <f>VLOOKUP(A:A,[2]宠物天赋!$R$27:$S$147,2,FALSE)</f>
        <v>23</v>
      </c>
      <c r="F64" s="1">
        <v>1010011</v>
      </c>
      <c r="H64" s="2" t="s">
        <v>1108</v>
      </c>
      <c r="I64" s="2" t="s">
        <v>1124</v>
      </c>
      <c r="J64" s="1" t="str">
        <f t="shared" si="0"/>
        <v>1010010,19|1010011,23</v>
      </c>
    </row>
    <row r="65" spans="1:10" x14ac:dyDescent="0.2">
      <c r="A65" s="4">
        <v>64</v>
      </c>
      <c r="B65" s="5">
        <f>VLOOKUP(A:A,[2]宠物天赋!$F$27:$G$147,2,FALSE)</f>
        <v>19</v>
      </c>
      <c r="C65" s="1">
        <v>1010010</v>
      </c>
      <c r="D65" s="2"/>
      <c r="E65" s="1">
        <f>VLOOKUP(A:A,[2]宠物天赋!$R$27:$S$147,2,FALSE)</f>
        <v>23</v>
      </c>
      <c r="F65" s="1">
        <v>1010011</v>
      </c>
      <c r="H65" s="2" t="s">
        <v>1108</v>
      </c>
      <c r="I65" s="2" t="s">
        <v>1124</v>
      </c>
      <c r="J65" s="1" t="str">
        <f t="shared" si="0"/>
        <v>1010010,19|1010011,23</v>
      </c>
    </row>
    <row r="66" spans="1:10" x14ac:dyDescent="0.2">
      <c r="A66" s="4">
        <v>65</v>
      </c>
      <c r="B66" s="5">
        <f>VLOOKUP(A:A,[2]宠物天赋!$F$27:$G$147,2,FALSE)</f>
        <v>20</v>
      </c>
      <c r="C66" s="1">
        <v>1010010</v>
      </c>
      <c r="D66" s="2"/>
      <c r="E66" s="1">
        <f>VLOOKUP(A:A,[2]宠物天赋!$R$27:$S$147,2,FALSE)</f>
        <v>24</v>
      </c>
      <c r="F66" s="1">
        <v>1010011</v>
      </c>
      <c r="H66" s="2" t="s">
        <v>1108</v>
      </c>
      <c r="I66" s="2" t="s">
        <v>1124</v>
      </c>
      <c r="J66" s="1" t="str">
        <f t="shared" si="0"/>
        <v>1010010,20|1010011,24</v>
      </c>
    </row>
    <row r="67" spans="1:10" x14ac:dyDescent="0.2">
      <c r="A67" s="4">
        <v>66</v>
      </c>
      <c r="B67" s="5">
        <f>VLOOKUP(A:A,[2]宠物天赋!$F$27:$G$147,2,FALSE)</f>
        <v>20</v>
      </c>
      <c r="C67" s="1">
        <v>1010010</v>
      </c>
      <c r="D67" s="2"/>
      <c r="E67" s="1">
        <f>VLOOKUP(A:A,[2]宠物天赋!$R$27:$S$147,2,FALSE)</f>
        <v>24</v>
      </c>
      <c r="F67" s="1">
        <v>1010011</v>
      </c>
      <c r="H67" s="2" t="s">
        <v>1108</v>
      </c>
      <c r="I67" s="2" t="s">
        <v>1124</v>
      </c>
      <c r="J67" s="1" t="str">
        <f t="shared" ref="J67:J121" si="1">C67&amp;H67&amp;B67&amp;I67&amp;F67&amp;H67&amp;E67</f>
        <v>1010010,20|1010011,24</v>
      </c>
    </row>
    <row r="68" spans="1:10" x14ac:dyDescent="0.2">
      <c r="A68" s="4">
        <v>67</v>
      </c>
      <c r="B68" s="5">
        <f>VLOOKUP(A:A,[2]宠物天赋!$F$27:$G$147,2,FALSE)</f>
        <v>20</v>
      </c>
      <c r="C68" s="1">
        <v>1010010</v>
      </c>
      <c r="D68" s="2"/>
      <c r="E68" s="1">
        <f>VLOOKUP(A:A,[2]宠物天赋!$R$27:$S$147,2,FALSE)</f>
        <v>24</v>
      </c>
      <c r="F68" s="1">
        <v>1010011</v>
      </c>
      <c r="H68" s="2" t="s">
        <v>1108</v>
      </c>
      <c r="I68" s="2" t="s">
        <v>1124</v>
      </c>
      <c r="J68" s="1" t="str">
        <f t="shared" si="1"/>
        <v>1010010,20|1010011,24</v>
      </c>
    </row>
    <row r="69" spans="1:10" x14ac:dyDescent="0.2">
      <c r="A69" s="4">
        <v>68</v>
      </c>
      <c r="B69" s="5">
        <f>VLOOKUP(A:A,[2]宠物天赋!$F$27:$G$147,2,FALSE)</f>
        <v>20</v>
      </c>
      <c r="C69" s="1">
        <v>1010010</v>
      </c>
      <c r="D69" s="2"/>
      <c r="E69" s="1">
        <f>VLOOKUP(A:A,[2]宠物天赋!$R$27:$S$147,2,FALSE)</f>
        <v>24</v>
      </c>
      <c r="F69" s="1">
        <v>1010011</v>
      </c>
      <c r="H69" s="2" t="s">
        <v>1108</v>
      </c>
      <c r="I69" s="2" t="s">
        <v>1124</v>
      </c>
      <c r="J69" s="1" t="str">
        <f t="shared" si="1"/>
        <v>1010010,20|1010011,24</v>
      </c>
    </row>
    <row r="70" spans="1:10" x14ac:dyDescent="0.2">
      <c r="A70" s="4">
        <v>69</v>
      </c>
      <c r="B70" s="5">
        <f>VLOOKUP(A:A,[2]宠物天赋!$F$27:$G$147,2,FALSE)</f>
        <v>21</v>
      </c>
      <c r="C70" s="1">
        <v>1010010</v>
      </c>
      <c r="D70" s="2"/>
      <c r="E70" s="1">
        <f>VLOOKUP(A:A,[2]宠物天赋!$R$27:$S$147,2,FALSE)</f>
        <v>25</v>
      </c>
      <c r="F70" s="1">
        <v>1010011</v>
      </c>
      <c r="H70" s="2" t="s">
        <v>1108</v>
      </c>
      <c r="I70" s="2" t="s">
        <v>1124</v>
      </c>
      <c r="J70" s="1" t="str">
        <f t="shared" si="1"/>
        <v>1010010,21|1010011,25</v>
      </c>
    </row>
    <row r="71" spans="1:10" x14ac:dyDescent="0.2">
      <c r="A71" s="4">
        <v>70</v>
      </c>
      <c r="B71" s="5">
        <f>VLOOKUP(A:A,[2]宠物天赋!$F$27:$G$147,2,FALSE)</f>
        <v>21</v>
      </c>
      <c r="C71" s="1">
        <v>1010010</v>
      </c>
      <c r="D71" s="2"/>
      <c r="E71" s="1">
        <f>VLOOKUP(A:A,[2]宠物天赋!$R$27:$S$147,2,FALSE)</f>
        <v>25</v>
      </c>
      <c r="F71" s="1">
        <v>1010011</v>
      </c>
      <c r="H71" s="2" t="s">
        <v>1108</v>
      </c>
      <c r="I71" s="2" t="s">
        <v>1124</v>
      </c>
      <c r="J71" s="1" t="str">
        <f t="shared" si="1"/>
        <v>1010010,21|1010011,25</v>
      </c>
    </row>
    <row r="72" spans="1:10" x14ac:dyDescent="0.2">
      <c r="A72" s="4">
        <v>71</v>
      </c>
      <c r="B72" s="5">
        <f>VLOOKUP(A:A,[2]宠物天赋!$F$27:$G$147,2,FALSE)</f>
        <v>21</v>
      </c>
      <c r="C72" s="1">
        <v>1010010</v>
      </c>
      <c r="D72" s="2"/>
      <c r="E72" s="1">
        <f>VLOOKUP(A:A,[2]宠物天赋!$R$27:$S$147,2,FALSE)</f>
        <v>25</v>
      </c>
      <c r="F72" s="1">
        <v>1010011</v>
      </c>
      <c r="H72" s="2" t="s">
        <v>1108</v>
      </c>
      <c r="I72" s="2" t="s">
        <v>1124</v>
      </c>
      <c r="J72" s="1" t="str">
        <f t="shared" si="1"/>
        <v>1010010,21|1010011,25</v>
      </c>
    </row>
    <row r="73" spans="1:10" x14ac:dyDescent="0.2">
      <c r="A73" s="4">
        <v>72</v>
      </c>
      <c r="B73" s="5">
        <f>VLOOKUP(A:A,[2]宠物天赋!$F$27:$G$147,2,FALSE)</f>
        <v>21</v>
      </c>
      <c r="C73" s="1">
        <v>1010010</v>
      </c>
      <c r="D73" s="2"/>
      <c r="E73" s="1">
        <f>VLOOKUP(A:A,[2]宠物天赋!$R$27:$S$147,2,FALSE)</f>
        <v>25</v>
      </c>
      <c r="F73" s="1">
        <v>1010011</v>
      </c>
      <c r="H73" s="2" t="s">
        <v>1108</v>
      </c>
      <c r="I73" s="2" t="s">
        <v>1124</v>
      </c>
      <c r="J73" s="1" t="str">
        <f t="shared" si="1"/>
        <v>1010010,21|1010011,25</v>
      </c>
    </row>
    <row r="74" spans="1:10" x14ac:dyDescent="0.2">
      <c r="A74" s="4">
        <v>73</v>
      </c>
      <c r="B74" s="5">
        <f>VLOOKUP(A:A,[2]宠物天赋!$F$27:$G$147,2,FALSE)</f>
        <v>22</v>
      </c>
      <c r="C74" s="1">
        <v>1010010</v>
      </c>
      <c r="D74" s="2"/>
      <c r="E74" s="1">
        <f>VLOOKUP(A:A,[2]宠物天赋!$R$27:$S$147,2,FALSE)</f>
        <v>26</v>
      </c>
      <c r="F74" s="1">
        <v>1010011</v>
      </c>
      <c r="H74" s="2" t="s">
        <v>1108</v>
      </c>
      <c r="I74" s="2" t="s">
        <v>1124</v>
      </c>
      <c r="J74" s="1" t="str">
        <f t="shared" si="1"/>
        <v>1010010,22|1010011,26</v>
      </c>
    </row>
    <row r="75" spans="1:10" x14ac:dyDescent="0.2">
      <c r="A75" s="4">
        <v>74</v>
      </c>
      <c r="B75" s="5">
        <f>VLOOKUP(A:A,[2]宠物天赋!$F$27:$G$147,2,FALSE)</f>
        <v>22</v>
      </c>
      <c r="C75" s="1">
        <v>1010010</v>
      </c>
      <c r="D75" s="2"/>
      <c r="E75" s="1">
        <f>VLOOKUP(A:A,[2]宠物天赋!$R$27:$S$147,2,FALSE)</f>
        <v>26</v>
      </c>
      <c r="F75" s="1">
        <v>1010011</v>
      </c>
      <c r="H75" s="2" t="s">
        <v>1108</v>
      </c>
      <c r="I75" s="2" t="s">
        <v>1124</v>
      </c>
      <c r="J75" s="1" t="str">
        <f t="shared" si="1"/>
        <v>1010010,22|1010011,26</v>
      </c>
    </row>
    <row r="76" spans="1:10" x14ac:dyDescent="0.2">
      <c r="A76" s="4">
        <v>75</v>
      </c>
      <c r="B76" s="5">
        <f>VLOOKUP(A:A,[2]宠物天赋!$F$27:$G$147,2,FALSE)</f>
        <v>22</v>
      </c>
      <c r="C76" s="1">
        <v>1010010</v>
      </c>
      <c r="D76" s="2"/>
      <c r="E76" s="1">
        <f>VLOOKUP(A:A,[2]宠物天赋!$R$27:$S$147,2,FALSE)</f>
        <v>26</v>
      </c>
      <c r="F76" s="1">
        <v>1010011</v>
      </c>
      <c r="H76" s="2" t="s">
        <v>1108</v>
      </c>
      <c r="I76" s="2" t="s">
        <v>1124</v>
      </c>
      <c r="J76" s="1" t="str">
        <f t="shared" si="1"/>
        <v>1010010,22|1010011,26</v>
      </c>
    </row>
    <row r="77" spans="1:10" x14ac:dyDescent="0.2">
      <c r="A77" s="4">
        <v>76</v>
      </c>
      <c r="B77" s="5">
        <f>VLOOKUP(A:A,[2]宠物天赋!$F$27:$G$147,2,FALSE)</f>
        <v>22</v>
      </c>
      <c r="C77" s="1">
        <v>1010010</v>
      </c>
      <c r="D77" s="2"/>
      <c r="E77" s="1">
        <f>VLOOKUP(A:A,[2]宠物天赋!$R$27:$S$147,2,FALSE)</f>
        <v>26</v>
      </c>
      <c r="F77" s="1">
        <v>1010011</v>
      </c>
      <c r="H77" s="2" t="s">
        <v>1108</v>
      </c>
      <c r="I77" s="2" t="s">
        <v>1124</v>
      </c>
      <c r="J77" s="1" t="str">
        <f t="shared" si="1"/>
        <v>1010010,22|1010011,26</v>
      </c>
    </row>
    <row r="78" spans="1:10" x14ac:dyDescent="0.2">
      <c r="A78" s="4">
        <v>77</v>
      </c>
      <c r="B78" s="5">
        <f>VLOOKUP(A:A,[2]宠物天赋!$F$27:$G$147,2,FALSE)</f>
        <v>23</v>
      </c>
      <c r="C78" s="1">
        <v>1010010</v>
      </c>
      <c r="D78" s="2"/>
      <c r="E78" s="1">
        <f>VLOOKUP(A:A,[2]宠物天赋!$R$27:$S$147,2,FALSE)</f>
        <v>27</v>
      </c>
      <c r="F78" s="1">
        <v>1010011</v>
      </c>
      <c r="H78" s="2" t="s">
        <v>1108</v>
      </c>
      <c r="I78" s="2" t="s">
        <v>1124</v>
      </c>
      <c r="J78" s="1" t="str">
        <f t="shared" si="1"/>
        <v>1010010,23|1010011,27</v>
      </c>
    </row>
    <row r="79" spans="1:10" x14ac:dyDescent="0.2">
      <c r="A79" s="4">
        <v>78</v>
      </c>
      <c r="B79" s="5">
        <f>VLOOKUP(A:A,[2]宠物天赋!$F$27:$G$147,2,FALSE)</f>
        <v>23</v>
      </c>
      <c r="C79" s="1">
        <v>1010010</v>
      </c>
      <c r="D79" s="2"/>
      <c r="E79" s="1">
        <f>VLOOKUP(A:A,[2]宠物天赋!$R$27:$S$147,2,FALSE)</f>
        <v>27</v>
      </c>
      <c r="F79" s="1">
        <v>1010011</v>
      </c>
      <c r="H79" s="2" t="s">
        <v>1108</v>
      </c>
      <c r="I79" s="2" t="s">
        <v>1124</v>
      </c>
      <c r="J79" s="1" t="str">
        <f t="shared" si="1"/>
        <v>1010010,23|1010011,27</v>
      </c>
    </row>
    <row r="80" spans="1:10" x14ac:dyDescent="0.2">
      <c r="A80" s="4">
        <v>79</v>
      </c>
      <c r="B80" s="5">
        <f>VLOOKUP(A:A,[2]宠物天赋!$F$27:$G$147,2,FALSE)</f>
        <v>23</v>
      </c>
      <c r="C80" s="1">
        <v>1010010</v>
      </c>
      <c r="D80" s="2"/>
      <c r="E80" s="1">
        <f>VLOOKUP(A:A,[2]宠物天赋!$R$27:$S$147,2,FALSE)</f>
        <v>27</v>
      </c>
      <c r="F80" s="1">
        <v>1010011</v>
      </c>
      <c r="H80" s="2" t="s">
        <v>1108</v>
      </c>
      <c r="I80" s="2" t="s">
        <v>1124</v>
      </c>
      <c r="J80" s="1" t="str">
        <f t="shared" si="1"/>
        <v>1010010,23|1010011,27</v>
      </c>
    </row>
    <row r="81" spans="1:10" x14ac:dyDescent="0.2">
      <c r="A81" s="4">
        <v>80</v>
      </c>
      <c r="B81" s="5">
        <f>VLOOKUP(A:A,[2]宠物天赋!$F$27:$G$147,2,FALSE)</f>
        <v>23</v>
      </c>
      <c r="C81" s="1">
        <v>1010010</v>
      </c>
      <c r="D81" s="2"/>
      <c r="E81" s="1">
        <f>VLOOKUP(A:A,[2]宠物天赋!$R$27:$S$147,2,FALSE)</f>
        <v>27</v>
      </c>
      <c r="F81" s="1">
        <v>1010011</v>
      </c>
      <c r="H81" s="2" t="s">
        <v>1108</v>
      </c>
      <c r="I81" s="2" t="s">
        <v>1124</v>
      </c>
      <c r="J81" s="1" t="str">
        <f t="shared" si="1"/>
        <v>1010010,23|1010011,27</v>
      </c>
    </row>
    <row r="82" spans="1:10" x14ac:dyDescent="0.2">
      <c r="A82" s="4">
        <v>81</v>
      </c>
      <c r="B82" s="5">
        <f>VLOOKUP(A:A,[2]宠物天赋!$F$27:$G$147,2,FALSE)</f>
        <v>24</v>
      </c>
      <c r="C82" s="1">
        <v>1010010</v>
      </c>
      <c r="D82" s="2"/>
      <c r="E82" s="1">
        <f>VLOOKUP(A:A,[2]宠物天赋!$R$27:$S$147,2,FALSE)</f>
        <v>28</v>
      </c>
      <c r="F82" s="1">
        <v>1010011</v>
      </c>
      <c r="H82" s="2" t="s">
        <v>1108</v>
      </c>
      <c r="I82" s="2" t="s">
        <v>1124</v>
      </c>
      <c r="J82" s="1" t="str">
        <f t="shared" si="1"/>
        <v>1010010,24|1010011,28</v>
      </c>
    </row>
    <row r="83" spans="1:10" x14ac:dyDescent="0.2">
      <c r="A83" s="4">
        <v>82</v>
      </c>
      <c r="B83" s="5">
        <f>VLOOKUP(A:A,[2]宠物天赋!$F$27:$G$147,2,FALSE)</f>
        <v>24</v>
      </c>
      <c r="C83" s="1">
        <v>1010010</v>
      </c>
      <c r="D83" s="2"/>
      <c r="E83" s="1">
        <f>VLOOKUP(A:A,[2]宠物天赋!$R$27:$S$147,2,FALSE)</f>
        <v>28</v>
      </c>
      <c r="F83" s="1">
        <v>1010011</v>
      </c>
      <c r="H83" s="2" t="s">
        <v>1108</v>
      </c>
      <c r="I83" s="2" t="s">
        <v>1124</v>
      </c>
      <c r="J83" s="1" t="str">
        <f t="shared" si="1"/>
        <v>1010010,24|1010011,28</v>
      </c>
    </row>
    <row r="84" spans="1:10" x14ac:dyDescent="0.2">
      <c r="A84" s="4">
        <v>83</v>
      </c>
      <c r="B84" s="5">
        <f>VLOOKUP(A:A,[2]宠物天赋!$F$27:$G$147,2,FALSE)</f>
        <v>24</v>
      </c>
      <c r="C84" s="1">
        <v>1010010</v>
      </c>
      <c r="D84" s="2"/>
      <c r="E84" s="1">
        <f>VLOOKUP(A:A,[2]宠物天赋!$R$27:$S$147,2,FALSE)</f>
        <v>28</v>
      </c>
      <c r="F84" s="1">
        <v>1010011</v>
      </c>
      <c r="H84" s="2" t="s">
        <v>1108</v>
      </c>
      <c r="I84" s="2" t="s">
        <v>1124</v>
      </c>
      <c r="J84" s="1" t="str">
        <f t="shared" si="1"/>
        <v>1010010,24|1010011,28</v>
      </c>
    </row>
    <row r="85" spans="1:10" x14ac:dyDescent="0.2">
      <c r="A85" s="4">
        <v>84</v>
      </c>
      <c r="B85" s="5">
        <f>VLOOKUP(A:A,[2]宠物天赋!$F$27:$G$147,2,FALSE)</f>
        <v>24</v>
      </c>
      <c r="C85" s="1">
        <v>1010010</v>
      </c>
      <c r="D85" s="2"/>
      <c r="E85" s="1">
        <f>VLOOKUP(A:A,[2]宠物天赋!$R$27:$S$147,2,FALSE)</f>
        <v>28</v>
      </c>
      <c r="F85" s="1">
        <v>1010011</v>
      </c>
      <c r="H85" s="2" t="s">
        <v>1108</v>
      </c>
      <c r="I85" s="2" t="s">
        <v>1124</v>
      </c>
      <c r="J85" s="1" t="str">
        <f t="shared" si="1"/>
        <v>1010010,24|1010011,28</v>
      </c>
    </row>
    <row r="86" spans="1:10" x14ac:dyDescent="0.2">
      <c r="A86" s="4">
        <v>85</v>
      </c>
      <c r="B86" s="5">
        <f>VLOOKUP(A:A,[2]宠物天赋!$F$27:$G$147,2,FALSE)</f>
        <v>25</v>
      </c>
      <c r="C86" s="1">
        <v>1010010</v>
      </c>
      <c r="D86" s="2"/>
      <c r="E86" s="1">
        <f>VLOOKUP(A:A,[2]宠物天赋!$R$27:$S$147,2,FALSE)</f>
        <v>29</v>
      </c>
      <c r="F86" s="1">
        <v>1010011</v>
      </c>
      <c r="H86" s="2" t="s">
        <v>1108</v>
      </c>
      <c r="I86" s="2" t="s">
        <v>1124</v>
      </c>
      <c r="J86" s="1" t="str">
        <f t="shared" si="1"/>
        <v>1010010,25|1010011,29</v>
      </c>
    </row>
    <row r="87" spans="1:10" x14ac:dyDescent="0.2">
      <c r="A87" s="4">
        <v>86</v>
      </c>
      <c r="B87" s="5">
        <f>VLOOKUP(A:A,[2]宠物天赋!$F$27:$G$147,2,FALSE)</f>
        <v>25</v>
      </c>
      <c r="C87" s="1">
        <v>1010010</v>
      </c>
      <c r="D87" s="2"/>
      <c r="E87" s="1">
        <f>VLOOKUP(A:A,[2]宠物天赋!$R$27:$S$147,2,FALSE)</f>
        <v>29</v>
      </c>
      <c r="F87" s="1">
        <v>1010011</v>
      </c>
      <c r="H87" s="2" t="s">
        <v>1108</v>
      </c>
      <c r="I87" s="2" t="s">
        <v>1124</v>
      </c>
      <c r="J87" s="1" t="str">
        <f t="shared" si="1"/>
        <v>1010010,25|1010011,29</v>
      </c>
    </row>
    <row r="88" spans="1:10" x14ac:dyDescent="0.2">
      <c r="A88" s="4">
        <v>87</v>
      </c>
      <c r="B88" s="5">
        <f>VLOOKUP(A:A,[2]宠物天赋!$F$27:$G$147,2,FALSE)</f>
        <v>25</v>
      </c>
      <c r="C88" s="1">
        <v>1010010</v>
      </c>
      <c r="D88" s="2"/>
      <c r="E88" s="1">
        <f>VLOOKUP(A:A,[2]宠物天赋!$R$27:$S$147,2,FALSE)</f>
        <v>29</v>
      </c>
      <c r="F88" s="1">
        <v>1010011</v>
      </c>
      <c r="H88" s="2" t="s">
        <v>1108</v>
      </c>
      <c r="I88" s="2" t="s">
        <v>1124</v>
      </c>
      <c r="J88" s="1" t="str">
        <f t="shared" si="1"/>
        <v>1010010,25|1010011,29</v>
      </c>
    </row>
    <row r="89" spans="1:10" x14ac:dyDescent="0.2">
      <c r="A89" s="4">
        <v>88</v>
      </c>
      <c r="B89" s="5">
        <f>VLOOKUP(A:A,[2]宠物天赋!$F$27:$G$147,2,FALSE)</f>
        <v>25</v>
      </c>
      <c r="C89" s="1">
        <v>1010010</v>
      </c>
      <c r="D89" s="2"/>
      <c r="E89" s="1">
        <f>VLOOKUP(A:A,[2]宠物天赋!$R$27:$S$147,2,FALSE)</f>
        <v>29</v>
      </c>
      <c r="F89" s="1">
        <v>1010011</v>
      </c>
      <c r="H89" s="2" t="s">
        <v>1108</v>
      </c>
      <c r="I89" s="2" t="s">
        <v>1124</v>
      </c>
      <c r="J89" s="1" t="str">
        <f t="shared" si="1"/>
        <v>1010010,25|1010011,29</v>
      </c>
    </row>
    <row r="90" spans="1:10" x14ac:dyDescent="0.2">
      <c r="A90" s="4">
        <v>89</v>
      </c>
      <c r="B90" s="5">
        <f>VLOOKUP(A:A,[2]宠物天赋!$F$27:$G$147,2,FALSE)</f>
        <v>26</v>
      </c>
      <c r="C90" s="1">
        <v>1010010</v>
      </c>
      <c r="D90" s="2"/>
      <c r="E90" s="1">
        <f>VLOOKUP(A:A,[2]宠物天赋!$R$27:$S$147,2,FALSE)</f>
        <v>30</v>
      </c>
      <c r="F90" s="1">
        <v>1010011</v>
      </c>
      <c r="H90" s="2" t="s">
        <v>1108</v>
      </c>
      <c r="I90" s="2" t="s">
        <v>1124</v>
      </c>
      <c r="J90" s="1" t="str">
        <f t="shared" si="1"/>
        <v>1010010,26|1010011,30</v>
      </c>
    </row>
    <row r="91" spans="1:10" x14ac:dyDescent="0.2">
      <c r="A91" s="4">
        <v>90</v>
      </c>
      <c r="B91" s="5">
        <f>VLOOKUP(A:A,[2]宠物天赋!$F$27:$G$147,2,FALSE)</f>
        <v>26</v>
      </c>
      <c r="C91" s="1">
        <v>1010010</v>
      </c>
      <c r="D91" s="2"/>
      <c r="E91" s="1">
        <f>VLOOKUP(A:A,[2]宠物天赋!$R$27:$S$147,2,FALSE)</f>
        <v>30</v>
      </c>
      <c r="F91" s="1">
        <v>1010011</v>
      </c>
      <c r="H91" s="2" t="s">
        <v>1108</v>
      </c>
      <c r="I91" s="2" t="s">
        <v>1124</v>
      </c>
      <c r="J91" s="1" t="str">
        <f t="shared" si="1"/>
        <v>1010010,26|1010011,30</v>
      </c>
    </row>
    <row r="92" spans="1:10" x14ac:dyDescent="0.2">
      <c r="A92" s="4">
        <v>91</v>
      </c>
      <c r="B92" s="5">
        <f>VLOOKUP(A:A,[2]宠物天赋!$F$27:$G$147,2,FALSE)</f>
        <v>26</v>
      </c>
      <c r="C92" s="1">
        <v>1010010</v>
      </c>
      <c r="D92" s="2"/>
      <c r="E92" s="1">
        <f>VLOOKUP(A:A,[2]宠物天赋!$R$27:$S$147,2,FALSE)</f>
        <v>30</v>
      </c>
      <c r="F92" s="1">
        <v>1010011</v>
      </c>
      <c r="H92" s="2" t="s">
        <v>1108</v>
      </c>
      <c r="I92" s="2" t="s">
        <v>1124</v>
      </c>
      <c r="J92" s="1" t="str">
        <f t="shared" si="1"/>
        <v>1010010,26|1010011,30</v>
      </c>
    </row>
    <row r="93" spans="1:10" x14ac:dyDescent="0.2">
      <c r="A93" s="4">
        <v>92</v>
      </c>
      <c r="B93" s="5">
        <f>VLOOKUP(A:A,[2]宠物天赋!$F$27:$G$147,2,FALSE)</f>
        <v>26</v>
      </c>
      <c r="C93" s="1">
        <v>1010010</v>
      </c>
      <c r="D93" s="2"/>
      <c r="E93" s="1">
        <f>VLOOKUP(A:A,[2]宠物天赋!$R$27:$S$147,2,FALSE)</f>
        <v>30</v>
      </c>
      <c r="F93" s="1">
        <v>1010011</v>
      </c>
      <c r="H93" s="2" t="s">
        <v>1108</v>
      </c>
      <c r="I93" s="2" t="s">
        <v>1124</v>
      </c>
      <c r="J93" s="1" t="str">
        <f t="shared" si="1"/>
        <v>1010010,26|1010011,30</v>
      </c>
    </row>
    <row r="94" spans="1:10" x14ac:dyDescent="0.2">
      <c r="A94" s="4">
        <v>93</v>
      </c>
      <c r="B94" s="5">
        <f>VLOOKUP(A:A,[2]宠物天赋!$F$27:$G$147,2,FALSE)</f>
        <v>27</v>
      </c>
      <c r="C94" s="1">
        <v>1010010</v>
      </c>
      <c r="D94" s="2"/>
      <c r="E94" s="1">
        <f>VLOOKUP(A:A,[2]宠物天赋!$R$27:$S$147,2,FALSE)</f>
        <v>31</v>
      </c>
      <c r="F94" s="1">
        <v>1010011</v>
      </c>
      <c r="H94" s="2" t="s">
        <v>1108</v>
      </c>
      <c r="I94" s="2" t="s">
        <v>1124</v>
      </c>
      <c r="J94" s="1" t="str">
        <f t="shared" si="1"/>
        <v>1010010,27|1010011,31</v>
      </c>
    </row>
    <row r="95" spans="1:10" x14ac:dyDescent="0.2">
      <c r="A95" s="4">
        <v>94</v>
      </c>
      <c r="B95" s="5">
        <f>VLOOKUP(A:A,[2]宠物天赋!$F$27:$G$147,2,FALSE)</f>
        <v>27</v>
      </c>
      <c r="C95" s="1">
        <v>1010010</v>
      </c>
      <c r="D95" s="2"/>
      <c r="E95" s="1">
        <f>VLOOKUP(A:A,[2]宠物天赋!$R$27:$S$147,2,FALSE)</f>
        <v>31</v>
      </c>
      <c r="F95" s="1">
        <v>1010011</v>
      </c>
      <c r="H95" s="2" t="s">
        <v>1108</v>
      </c>
      <c r="I95" s="2" t="s">
        <v>1124</v>
      </c>
      <c r="J95" s="1" t="str">
        <f t="shared" si="1"/>
        <v>1010010,27|1010011,31</v>
      </c>
    </row>
    <row r="96" spans="1:10" x14ac:dyDescent="0.2">
      <c r="A96" s="4">
        <v>95</v>
      </c>
      <c r="B96" s="5">
        <f>VLOOKUP(A:A,[2]宠物天赋!$F$27:$G$147,2,FALSE)</f>
        <v>27</v>
      </c>
      <c r="C96" s="1">
        <v>1010010</v>
      </c>
      <c r="D96" s="2"/>
      <c r="E96" s="1">
        <f>VLOOKUP(A:A,[2]宠物天赋!$R$27:$S$147,2,FALSE)</f>
        <v>31</v>
      </c>
      <c r="F96" s="1">
        <v>1010011</v>
      </c>
      <c r="H96" s="2" t="s">
        <v>1108</v>
      </c>
      <c r="I96" s="2" t="s">
        <v>1124</v>
      </c>
      <c r="J96" s="1" t="str">
        <f t="shared" si="1"/>
        <v>1010010,27|1010011,31</v>
      </c>
    </row>
    <row r="97" spans="1:10" x14ac:dyDescent="0.2">
      <c r="A97" s="4">
        <v>96</v>
      </c>
      <c r="B97" s="5">
        <f>VLOOKUP(A:A,[2]宠物天赋!$F$27:$G$147,2,FALSE)</f>
        <v>27</v>
      </c>
      <c r="C97" s="1">
        <v>1010010</v>
      </c>
      <c r="D97" s="2"/>
      <c r="E97" s="1">
        <f>VLOOKUP(A:A,[2]宠物天赋!$R$27:$S$147,2,FALSE)</f>
        <v>31</v>
      </c>
      <c r="F97" s="1">
        <v>1010011</v>
      </c>
      <c r="H97" s="2" t="s">
        <v>1108</v>
      </c>
      <c r="I97" s="2" t="s">
        <v>1124</v>
      </c>
      <c r="J97" s="1" t="str">
        <f t="shared" si="1"/>
        <v>1010010,27|1010011,31</v>
      </c>
    </row>
    <row r="98" spans="1:10" x14ac:dyDescent="0.2">
      <c r="A98" s="4">
        <v>97</v>
      </c>
      <c r="B98" s="5">
        <f>VLOOKUP(A:A,[2]宠物天赋!$F$27:$G$147,2,FALSE)</f>
        <v>28</v>
      </c>
      <c r="C98" s="1">
        <v>1010010</v>
      </c>
      <c r="D98" s="2"/>
      <c r="E98" s="1">
        <f>VLOOKUP(A:A,[2]宠物天赋!$R$27:$S$147,2,FALSE)</f>
        <v>32</v>
      </c>
      <c r="F98" s="1">
        <v>1010011</v>
      </c>
      <c r="H98" s="2" t="s">
        <v>1108</v>
      </c>
      <c r="I98" s="2" t="s">
        <v>1124</v>
      </c>
      <c r="J98" s="1" t="str">
        <f t="shared" si="1"/>
        <v>1010010,28|1010011,32</v>
      </c>
    </row>
    <row r="99" spans="1:10" x14ac:dyDescent="0.2">
      <c r="A99" s="4">
        <v>98</v>
      </c>
      <c r="B99" s="5">
        <f>VLOOKUP(A:A,[2]宠物天赋!$F$27:$G$147,2,FALSE)</f>
        <v>28</v>
      </c>
      <c r="C99" s="1">
        <v>1010010</v>
      </c>
      <c r="D99" s="2"/>
      <c r="E99" s="1">
        <f>VLOOKUP(A:A,[2]宠物天赋!$R$27:$S$147,2,FALSE)</f>
        <v>32</v>
      </c>
      <c r="F99" s="1">
        <v>1010011</v>
      </c>
      <c r="H99" s="2" t="s">
        <v>1108</v>
      </c>
      <c r="I99" s="2" t="s">
        <v>1124</v>
      </c>
      <c r="J99" s="1" t="str">
        <f t="shared" si="1"/>
        <v>1010010,28|1010011,32</v>
      </c>
    </row>
    <row r="100" spans="1:10" x14ac:dyDescent="0.2">
      <c r="A100" s="4">
        <v>99</v>
      </c>
      <c r="B100" s="5">
        <f>VLOOKUP(A:A,[2]宠物天赋!$F$27:$G$147,2,FALSE)</f>
        <v>28</v>
      </c>
      <c r="C100" s="1">
        <v>1010010</v>
      </c>
      <c r="D100" s="2"/>
      <c r="E100" s="1">
        <f>VLOOKUP(A:A,[2]宠物天赋!$R$27:$S$147,2,FALSE)</f>
        <v>32</v>
      </c>
      <c r="F100" s="1">
        <v>1010011</v>
      </c>
      <c r="H100" s="2" t="s">
        <v>1108</v>
      </c>
      <c r="I100" s="2" t="s">
        <v>1124</v>
      </c>
      <c r="J100" s="1" t="str">
        <f t="shared" si="1"/>
        <v>1010010,28|1010011,32</v>
      </c>
    </row>
    <row r="101" spans="1:10" x14ac:dyDescent="0.2">
      <c r="A101" s="4">
        <v>100</v>
      </c>
      <c r="B101" s="5">
        <f>VLOOKUP(A:A,[2]宠物天赋!$F$27:$G$147,2,FALSE)</f>
        <v>28</v>
      </c>
      <c r="C101" s="1">
        <v>1010010</v>
      </c>
      <c r="D101" s="2"/>
      <c r="E101" s="1">
        <f>VLOOKUP(A:A,[2]宠物天赋!$R$27:$S$147,2,FALSE)</f>
        <v>32</v>
      </c>
      <c r="F101" s="1">
        <v>1010011</v>
      </c>
      <c r="H101" s="2" t="s">
        <v>1108</v>
      </c>
      <c r="I101" s="2" t="s">
        <v>1124</v>
      </c>
      <c r="J101" s="1" t="str">
        <f t="shared" si="1"/>
        <v>1010010,28|1010011,32</v>
      </c>
    </row>
    <row r="102" spans="1:10" x14ac:dyDescent="0.2">
      <c r="A102" s="4">
        <v>101</v>
      </c>
      <c r="B102" s="5">
        <f>VLOOKUP(A:A,[2]宠物天赋!$F$27:$G$147,2,FALSE)</f>
        <v>29</v>
      </c>
      <c r="C102" s="1">
        <v>1010010</v>
      </c>
      <c r="D102" s="2"/>
      <c r="E102" s="1">
        <f>VLOOKUP(A:A,[2]宠物天赋!$R$27:$S$147,2,FALSE)</f>
        <v>33</v>
      </c>
      <c r="F102" s="1">
        <v>1010011</v>
      </c>
      <c r="H102" s="2" t="s">
        <v>1108</v>
      </c>
      <c r="I102" s="2" t="s">
        <v>1124</v>
      </c>
      <c r="J102" s="1" t="str">
        <f t="shared" si="1"/>
        <v>1010010,29|1010011,33</v>
      </c>
    </row>
    <row r="103" spans="1:10" x14ac:dyDescent="0.2">
      <c r="A103" s="4">
        <v>102</v>
      </c>
      <c r="B103" s="5">
        <f>VLOOKUP(A:A,[2]宠物天赋!$F$27:$G$147,2,FALSE)</f>
        <v>29</v>
      </c>
      <c r="C103" s="1">
        <v>1010010</v>
      </c>
      <c r="D103" s="2"/>
      <c r="E103" s="1">
        <f>VLOOKUP(A:A,[2]宠物天赋!$R$27:$S$147,2,FALSE)</f>
        <v>33</v>
      </c>
      <c r="F103" s="1">
        <v>1010011</v>
      </c>
      <c r="H103" s="2" t="s">
        <v>1108</v>
      </c>
      <c r="I103" s="2" t="s">
        <v>1124</v>
      </c>
      <c r="J103" s="1" t="str">
        <f t="shared" si="1"/>
        <v>1010010,29|1010011,33</v>
      </c>
    </row>
    <row r="104" spans="1:10" x14ac:dyDescent="0.2">
      <c r="A104" s="4">
        <v>103</v>
      </c>
      <c r="B104" s="5">
        <f>VLOOKUP(A:A,[2]宠物天赋!$F$27:$G$147,2,FALSE)</f>
        <v>29</v>
      </c>
      <c r="C104" s="1">
        <v>1010010</v>
      </c>
      <c r="D104" s="2"/>
      <c r="E104" s="1">
        <f>VLOOKUP(A:A,[2]宠物天赋!$R$27:$S$147,2,FALSE)</f>
        <v>33</v>
      </c>
      <c r="F104" s="1">
        <v>1010011</v>
      </c>
      <c r="H104" s="2" t="s">
        <v>1108</v>
      </c>
      <c r="I104" s="2" t="s">
        <v>1124</v>
      </c>
      <c r="J104" s="1" t="str">
        <f t="shared" si="1"/>
        <v>1010010,29|1010011,33</v>
      </c>
    </row>
    <row r="105" spans="1:10" x14ac:dyDescent="0.2">
      <c r="A105" s="4">
        <v>104</v>
      </c>
      <c r="B105" s="5">
        <f>VLOOKUP(A:A,[2]宠物天赋!$F$27:$G$147,2,FALSE)</f>
        <v>29</v>
      </c>
      <c r="C105" s="1">
        <v>1010010</v>
      </c>
      <c r="D105" s="2"/>
      <c r="E105" s="1">
        <f>VLOOKUP(A:A,[2]宠物天赋!$R$27:$S$147,2,FALSE)</f>
        <v>33</v>
      </c>
      <c r="F105" s="1">
        <v>1010011</v>
      </c>
      <c r="H105" s="2" t="s">
        <v>1108</v>
      </c>
      <c r="I105" s="2" t="s">
        <v>1124</v>
      </c>
      <c r="J105" s="1" t="str">
        <f t="shared" si="1"/>
        <v>1010010,29|1010011,33</v>
      </c>
    </row>
    <row r="106" spans="1:10" x14ac:dyDescent="0.2">
      <c r="A106" s="4">
        <v>105</v>
      </c>
      <c r="B106" s="5">
        <f>VLOOKUP(A:A,[2]宠物天赋!$F$27:$G$147,2,FALSE)</f>
        <v>30</v>
      </c>
      <c r="C106" s="1">
        <v>1010010</v>
      </c>
      <c r="D106" s="2"/>
      <c r="E106" s="1">
        <f>VLOOKUP(A:A,[2]宠物天赋!$R$27:$S$147,2,FALSE)</f>
        <v>34</v>
      </c>
      <c r="F106" s="1">
        <v>1010011</v>
      </c>
      <c r="H106" s="2" t="s">
        <v>1108</v>
      </c>
      <c r="I106" s="2" t="s">
        <v>1124</v>
      </c>
      <c r="J106" s="1" t="str">
        <f t="shared" si="1"/>
        <v>1010010,30|1010011,34</v>
      </c>
    </row>
    <row r="107" spans="1:10" x14ac:dyDescent="0.2">
      <c r="A107" s="4">
        <v>106</v>
      </c>
      <c r="B107" s="5">
        <f>VLOOKUP(A:A,[2]宠物天赋!$F$27:$G$147,2,FALSE)</f>
        <v>30</v>
      </c>
      <c r="C107" s="1">
        <v>1010010</v>
      </c>
      <c r="D107" s="2"/>
      <c r="E107" s="1">
        <f>VLOOKUP(A:A,[2]宠物天赋!$R$27:$S$147,2,FALSE)</f>
        <v>34</v>
      </c>
      <c r="F107" s="1">
        <v>1010011</v>
      </c>
      <c r="H107" s="2" t="s">
        <v>1108</v>
      </c>
      <c r="I107" s="2" t="s">
        <v>1124</v>
      </c>
      <c r="J107" s="1" t="str">
        <f t="shared" si="1"/>
        <v>1010010,30|1010011,34</v>
      </c>
    </row>
    <row r="108" spans="1:10" x14ac:dyDescent="0.2">
      <c r="A108" s="4">
        <v>107</v>
      </c>
      <c r="B108" s="5">
        <f>VLOOKUP(A:A,[2]宠物天赋!$F$27:$G$147,2,FALSE)</f>
        <v>30</v>
      </c>
      <c r="C108" s="1">
        <v>1010010</v>
      </c>
      <c r="D108" s="2"/>
      <c r="E108" s="1">
        <f>VLOOKUP(A:A,[2]宠物天赋!$R$27:$S$147,2,FALSE)</f>
        <v>34</v>
      </c>
      <c r="F108" s="1">
        <v>1010011</v>
      </c>
      <c r="H108" s="2" t="s">
        <v>1108</v>
      </c>
      <c r="I108" s="2" t="s">
        <v>1124</v>
      </c>
      <c r="J108" s="1" t="str">
        <f t="shared" si="1"/>
        <v>1010010,30|1010011,34</v>
      </c>
    </row>
    <row r="109" spans="1:10" x14ac:dyDescent="0.2">
      <c r="A109" s="4">
        <v>108</v>
      </c>
      <c r="B109" s="5">
        <f>VLOOKUP(A:A,[2]宠物天赋!$F$27:$G$147,2,FALSE)</f>
        <v>30</v>
      </c>
      <c r="C109" s="1">
        <v>1010010</v>
      </c>
      <c r="D109" s="2"/>
      <c r="E109" s="1">
        <f>VLOOKUP(A:A,[2]宠物天赋!$R$27:$S$147,2,FALSE)</f>
        <v>34</v>
      </c>
      <c r="F109" s="1">
        <v>1010011</v>
      </c>
      <c r="H109" s="2" t="s">
        <v>1108</v>
      </c>
      <c r="I109" s="2" t="s">
        <v>1124</v>
      </c>
      <c r="J109" s="1" t="str">
        <f t="shared" si="1"/>
        <v>1010010,30|1010011,34</v>
      </c>
    </row>
    <row r="110" spans="1:10" x14ac:dyDescent="0.2">
      <c r="A110" s="4">
        <v>109</v>
      </c>
      <c r="B110" s="5">
        <f>VLOOKUP(A:A,[2]宠物天赋!$F$27:$G$147,2,FALSE)</f>
        <v>31</v>
      </c>
      <c r="C110" s="1">
        <v>1010010</v>
      </c>
      <c r="D110" s="2"/>
      <c r="E110" s="1">
        <f>VLOOKUP(A:A,[2]宠物天赋!$R$27:$S$147,2,FALSE)</f>
        <v>35</v>
      </c>
      <c r="F110" s="1">
        <v>1010011</v>
      </c>
      <c r="H110" s="2" t="s">
        <v>1108</v>
      </c>
      <c r="I110" s="2" t="s">
        <v>1124</v>
      </c>
      <c r="J110" s="1" t="str">
        <f t="shared" si="1"/>
        <v>1010010,31|1010011,35</v>
      </c>
    </row>
    <row r="111" spans="1:10" x14ac:dyDescent="0.2">
      <c r="A111" s="4">
        <v>110</v>
      </c>
      <c r="B111" s="5">
        <f>VLOOKUP(A:A,[2]宠物天赋!$F$27:$G$147,2,FALSE)</f>
        <v>31</v>
      </c>
      <c r="C111" s="1">
        <v>1010010</v>
      </c>
      <c r="D111" s="2"/>
      <c r="E111" s="1">
        <f>VLOOKUP(A:A,[2]宠物天赋!$R$27:$S$147,2,FALSE)</f>
        <v>35</v>
      </c>
      <c r="F111" s="1">
        <v>1010011</v>
      </c>
      <c r="H111" s="2" t="s">
        <v>1108</v>
      </c>
      <c r="I111" s="2" t="s">
        <v>1124</v>
      </c>
      <c r="J111" s="1" t="str">
        <f t="shared" si="1"/>
        <v>1010010,31|1010011,35</v>
      </c>
    </row>
    <row r="112" spans="1:10" x14ac:dyDescent="0.2">
      <c r="A112" s="4">
        <v>111</v>
      </c>
      <c r="B112" s="5">
        <f>VLOOKUP(A:A,[2]宠物天赋!$F$27:$G$147,2,FALSE)</f>
        <v>31</v>
      </c>
      <c r="C112" s="1">
        <v>1010010</v>
      </c>
      <c r="D112" s="2"/>
      <c r="E112" s="1">
        <f>VLOOKUP(A:A,[2]宠物天赋!$R$27:$S$147,2,FALSE)</f>
        <v>35</v>
      </c>
      <c r="F112" s="1">
        <v>1010011</v>
      </c>
      <c r="H112" s="2" t="s">
        <v>1108</v>
      </c>
      <c r="I112" s="2" t="s">
        <v>1124</v>
      </c>
      <c r="J112" s="1" t="str">
        <f t="shared" si="1"/>
        <v>1010010,31|1010011,35</v>
      </c>
    </row>
    <row r="113" spans="1:10" x14ac:dyDescent="0.2">
      <c r="A113" s="4">
        <v>112</v>
      </c>
      <c r="B113" s="5">
        <f>VLOOKUP(A:A,[2]宠物天赋!$F$27:$G$147,2,FALSE)</f>
        <v>31</v>
      </c>
      <c r="C113" s="1">
        <v>1010010</v>
      </c>
      <c r="D113" s="2"/>
      <c r="E113" s="1">
        <f>VLOOKUP(A:A,[2]宠物天赋!$R$27:$S$147,2,FALSE)</f>
        <v>35</v>
      </c>
      <c r="F113" s="1">
        <v>1010011</v>
      </c>
      <c r="H113" s="2" t="s">
        <v>1108</v>
      </c>
      <c r="I113" s="2" t="s">
        <v>1124</v>
      </c>
      <c r="J113" s="1" t="str">
        <f t="shared" si="1"/>
        <v>1010010,31|1010011,35</v>
      </c>
    </row>
    <row r="114" spans="1:10" x14ac:dyDescent="0.2">
      <c r="A114" s="4">
        <v>113</v>
      </c>
      <c r="B114" s="5">
        <f>VLOOKUP(A:A,[2]宠物天赋!$F$27:$G$147,2,FALSE)</f>
        <v>32</v>
      </c>
      <c r="C114" s="1">
        <v>1010010</v>
      </c>
      <c r="D114" s="2"/>
      <c r="E114" s="1">
        <f>VLOOKUP(A:A,[2]宠物天赋!$R$27:$S$147,2,FALSE)</f>
        <v>36</v>
      </c>
      <c r="F114" s="1">
        <v>1010011</v>
      </c>
      <c r="H114" s="2" t="s">
        <v>1108</v>
      </c>
      <c r="I114" s="2" t="s">
        <v>1124</v>
      </c>
      <c r="J114" s="1" t="str">
        <f t="shared" si="1"/>
        <v>1010010,32|1010011,36</v>
      </c>
    </row>
    <row r="115" spans="1:10" x14ac:dyDescent="0.2">
      <c r="A115" s="4">
        <v>114</v>
      </c>
      <c r="B115" s="5">
        <f>VLOOKUP(A:A,[2]宠物天赋!$F$27:$G$147,2,FALSE)</f>
        <v>32</v>
      </c>
      <c r="C115" s="1">
        <v>1010010</v>
      </c>
      <c r="D115" s="2"/>
      <c r="E115" s="1">
        <f>VLOOKUP(A:A,[2]宠物天赋!$R$27:$S$147,2,FALSE)</f>
        <v>36</v>
      </c>
      <c r="F115" s="1">
        <v>1010011</v>
      </c>
      <c r="H115" s="2" t="s">
        <v>1108</v>
      </c>
      <c r="I115" s="2" t="s">
        <v>1124</v>
      </c>
      <c r="J115" s="1" t="str">
        <f t="shared" si="1"/>
        <v>1010010,32|1010011,36</v>
      </c>
    </row>
    <row r="116" spans="1:10" x14ac:dyDescent="0.2">
      <c r="A116" s="4">
        <v>115</v>
      </c>
      <c r="B116" s="5">
        <f>VLOOKUP(A:A,[2]宠物天赋!$F$27:$G$147,2,FALSE)</f>
        <v>32</v>
      </c>
      <c r="C116" s="1">
        <v>1010010</v>
      </c>
      <c r="D116" s="2"/>
      <c r="E116" s="1">
        <f>VLOOKUP(A:A,[2]宠物天赋!$R$27:$S$147,2,FALSE)</f>
        <v>36</v>
      </c>
      <c r="F116" s="1">
        <v>1010011</v>
      </c>
      <c r="H116" s="2" t="s">
        <v>1108</v>
      </c>
      <c r="I116" s="2" t="s">
        <v>1124</v>
      </c>
      <c r="J116" s="1" t="str">
        <f t="shared" si="1"/>
        <v>1010010,32|1010011,36</v>
      </c>
    </row>
    <row r="117" spans="1:10" x14ac:dyDescent="0.2">
      <c r="A117" s="4">
        <v>116</v>
      </c>
      <c r="B117" s="5">
        <f>VLOOKUP(A:A,[2]宠物天赋!$F$27:$G$147,2,FALSE)</f>
        <v>32</v>
      </c>
      <c r="C117" s="1">
        <v>1010010</v>
      </c>
      <c r="D117" s="2"/>
      <c r="E117" s="1">
        <f>VLOOKUP(A:A,[2]宠物天赋!$R$27:$S$147,2,FALSE)</f>
        <v>36</v>
      </c>
      <c r="F117" s="1">
        <v>1010011</v>
      </c>
      <c r="H117" s="2" t="s">
        <v>1108</v>
      </c>
      <c r="I117" s="2" t="s">
        <v>1124</v>
      </c>
      <c r="J117" s="1" t="str">
        <f t="shared" si="1"/>
        <v>1010010,32|1010011,36</v>
      </c>
    </row>
    <row r="118" spans="1:10" x14ac:dyDescent="0.2">
      <c r="A118" s="4">
        <v>117</v>
      </c>
      <c r="B118" s="5">
        <f>VLOOKUP(A:A,[2]宠物天赋!$F$27:$G$147,2,FALSE)</f>
        <v>33</v>
      </c>
      <c r="C118" s="1">
        <v>1010010</v>
      </c>
      <c r="D118" s="2"/>
      <c r="E118" s="1">
        <f>VLOOKUP(A:A,[2]宠物天赋!$R$27:$S$147,2,FALSE)</f>
        <v>37</v>
      </c>
      <c r="F118" s="1">
        <v>1010011</v>
      </c>
      <c r="H118" s="2" t="s">
        <v>1108</v>
      </c>
      <c r="I118" s="2" t="s">
        <v>1124</v>
      </c>
      <c r="J118" s="1" t="str">
        <f t="shared" si="1"/>
        <v>1010010,33|1010011,37</v>
      </c>
    </row>
    <row r="119" spans="1:10" x14ac:dyDescent="0.2">
      <c r="A119" s="4">
        <v>118</v>
      </c>
      <c r="B119" s="5">
        <f>VLOOKUP(A:A,[2]宠物天赋!$F$27:$G$147,2,FALSE)</f>
        <v>33</v>
      </c>
      <c r="C119" s="1">
        <v>1010010</v>
      </c>
      <c r="D119" s="2"/>
      <c r="E119" s="1">
        <f>VLOOKUP(A:A,[2]宠物天赋!$R$27:$S$147,2,FALSE)</f>
        <v>37</v>
      </c>
      <c r="F119" s="1">
        <v>1010011</v>
      </c>
      <c r="H119" s="2" t="s">
        <v>1108</v>
      </c>
      <c r="I119" s="2" t="s">
        <v>1124</v>
      </c>
      <c r="J119" s="1" t="str">
        <f t="shared" si="1"/>
        <v>1010010,33|1010011,37</v>
      </c>
    </row>
    <row r="120" spans="1:10" x14ac:dyDescent="0.2">
      <c r="A120" s="4">
        <v>119</v>
      </c>
      <c r="B120" s="5">
        <f>VLOOKUP(A:A,[2]宠物天赋!$F$27:$G$147,2,FALSE)</f>
        <v>33</v>
      </c>
      <c r="C120" s="1">
        <v>1010010</v>
      </c>
      <c r="D120" s="2"/>
      <c r="E120" s="1">
        <f>VLOOKUP(A:A,[2]宠物天赋!$R$27:$S$147,2,FALSE)</f>
        <v>37</v>
      </c>
      <c r="F120" s="1">
        <v>1010011</v>
      </c>
      <c r="H120" s="2" t="s">
        <v>1108</v>
      </c>
      <c r="I120" s="2" t="s">
        <v>1124</v>
      </c>
      <c r="J120" s="1" t="str">
        <f t="shared" si="1"/>
        <v>1010010,33|1010011,37</v>
      </c>
    </row>
    <row r="121" spans="1:10" x14ac:dyDescent="0.2">
      <c r="A121" s="8">
        <v>120</v>
      </c>
      <c r="B121" s="5" t="e">
        <f>VLOOKUP(A:A,[2]宠物天赋!$F$27:$G$147,2,FALSE)</f>
        <v>#N/A</v>
      </c>
      <c r="C121" s="1">
        <v>1010010</v>
      </c>
      <c r="D121" s="2"/>
      <c r="E121" s="1" t="e">
        <f>VLOOKUP(A:A,[2]宠物天赋!$R$27:$S$147,2,FALSE)</f>
        <v>#N/A</v>
      </c>
      <c r="F121" s="1">
        <v>1010011</v>
      </c>
      <c r="H121" s="2" t="s">
        <v>1108</v>
      </c>
      <c r="I121" s="2" t="s">
        <v>1124</v>
      </c>
      <c r="J121" s="1" t="e">
        <f t="shared" si="1"/>
        <v>#N/A</v>
      </c>
    </row>
  </sheetData>
  <phoneticPr fontId="9" type="noConversion"/>
  <conditionalFormatting sqref="L7:L9">
    <cfRule type="duplicateValues" dxfId="5" priority="6"/>
    <cfRule type="duplicateValues" dxfId="4" priority="4"/>
    <cfRule type="timePeriod" dxfId="3" priority="5" timePeriod="yesterday">
      <formula>FLOOR(L7,1)=TODAY()-1</formula>
    </cfRule>
  </conditionalFormatting>
  <conditionalFormatting sqref="R1:R3">
    <cfRule type="duplicateValues" dxfId="2" priority="3"/>
    <cfRule type="duplicateValues" dxfId="1" priority="1"/>
    <cfRule type="timePeriod" dxfId="0" priority="2" timePeriod="yesterday">
      <formula>FLOOR(R1,1)=TODAY()-1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钻石</vt:lpstr>
      <vt:lpstr>金币掉落</vt:lpstr>
      <vt:lpstr>寻宝铲</vt:lpstr>
      <vt:lpstr>英雄经验副本</vt:lpstr>
      <vt:lpstr>神器碎片</vt:lpstr>
      <vt:lpstr>圣物碎片</vt:lpstr>
      <vt:lpstr>宠物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2025-08-30T12:14:16Z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4FCB16F5A1C0457EB673FF76DEAB47D7_12</vt:lpwstr>
  </property>
  <property fmtid="{D5CDD505-2E9C-101B-9397-08002B2CF9AE}" pid="3" name="KSOProductBuildVer">
    <vt:lpwstr>2052-12.1.0.22529</vt:lpwstr>
  </property>
</Properties>
</file>