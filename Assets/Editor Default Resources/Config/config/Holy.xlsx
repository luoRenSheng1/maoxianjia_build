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1925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Sheet1!$A$1:$L$803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0" i="2" l="1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K803" i="1"/>
  <c r="I803" i="1"/>
  <c r="C803" i="1"/>
  <c r="K802" i="1"/>
  <c r="I802" i="1"/>
  <c r="C802" i="1"/>
  <c r="K801" i="1"/>
  <c r="I801" i="1"/>
  <c r="C801" i="1"/>
  <c r="K800" i="1"/>
  <c r="I800" i="1"/>
  <c r="C800" i="1"/>
  <c r="K799" i="1"/>
  <c r="I799" i="1"/>
  <c r="C799" i="1"/>
  <c r="K798" i="1"/>
  <c r="I798" i="1"/>
  <c r="C798" i="1"/>
  <c r="K797" i="1"/>
  <c r="I797" i="1"/>
  <c r="C797" i="1"/>
  <c r="K796" i="1"/>
  <c r="I796" i="1"/>
  <c r="C796" i="1"/>
  <c r="K795" i="1"/>
  <c r="I795" i="1"/>
  <c r="C795" i="1"/>
  <c r="K794" i="1"/>
  <c r="I794" i="1"/>
  <c r="C794" i="1"/>
  <c r="K793" i="1"/>
  <c r="I793" i="1"/>
  <c r="C793" i="1"/>
  <c r="K792" i="1"/>
  <c r="I792" i="1"/>
  <c r="C792" i="1"/>
  <c r="K791" i="1"/>
  <c r="I791" i="1"/>
  <c r="C791" i="1"/>
  <c r="K790" i="1"/>
  <c r="I790" i="1"/>
  <c r="C790" i="1"/>
  <c r="K789" i="1"/>
  <c r="I789" i="1"/>
  <c r="C789" i="1"/>
  <c r="K788" i="1"/>
  <c r="I788" i="1"/>
  <c r="C788" i="1"/>
  <c r="K787" i="1"/>
  <c r="I787" i="1"/>
  <c r="C787" i="1"/>
  <c r="K786" i="1"/>
  <c r="I786" i="1"/>
  <c r="C786" i="1"/>
  <c r="K785" i="1"/>
  <c r="I785" i="1"/>
  <c r="C785" i="1"/>
  <c r="K784" i="1"/>
  <c r="I784" i="1"/>
  <c r="C784" i="1"/>
  <c r="K783" i="1"/>
  <c r="I783" i="1"/>
  <c r="C783" i="1"/>
  <c r="K782" i="1"/>
  <c r="I782" i="1"/>
  <c r="C782" i="1"/>
  <c r="K781" i="1"/>
  <c r="I781" i="1"/>
  <c r="C781" i="1"/>
  <c r="K780" i="1"/>
  <c r="I780" i="1"/>
  <c r="C780" i="1"/>
  <c r="K779" i="1"/>
  <c r="I779" i="1"/>
  <c r="C779" i="1"/>
  <c r="K778" i="1"/>
  <c r="I778" i="1"/>
  <c r="C778" i="1"/>
  <c r="K777" i="1"/>
  <c r="I777" i="1"/>
  <c r="C777" i="1"/>
  <c r="K776" i="1"/>
  <c r="I776" i="1"/>
  <c r="C776" i="1"/>
  <c r="K775" i="1"/>
  <c r="I775" i="1"/>
  <c r="C775" i="1"/>
  <c r="K774" i="1"/>
  <c r="I774" i="1"/>
  <c r="C774" i="1"/>
  <c r="K773" i="1"/>
  <c r="I773" i="1"/>
  <c r="C773" i="1"/>
  <c r="K772" i="1"/>
  <c r="I772" i="1"/>
  <c r="C772" i="1"/>
  <c r="K771" i="1"/>
  <c r="I771" i="1"/>
  <c r="C771" i="1"/>
  <c r="K770" i="1"/>
  <c r="I770" i="1"/>
  <c r="C770" i="1"/>
  <c r="K769" i="1"/>
  <c r="I769" i="1"/>
  <c r="C769" i="1"/>
  <c r="K768" i="1"/>
  <c r="I768" i="1"/>
  <c r="C768" i="1"/>
  <c r="K767" i="1"/>
  <c r="I767" i="1"/>
  <c r="C767" i="1"/>
  <c r="K766" i="1"/>
  <c r="I766" i="1"/>
  <c r="C766" i="1"/>
  <c r="K765" i="1"/>
  <c r="I765" i="1"/>
  <c r="C765" i="1"/>
  <c r="K764" i="1"/>
  <c r="I764" i="1"/>
  <c r="C764" i="1"/>
  <c r="K763" i="1"/>
  <c r="I763" i="1"/>
  <c r="C763" i="1"/>
  <c r="K762" i="1"/>
  <c r="I762" i="1"/>
  <c r="C762" i="1"/>
  <c r="K761" i="1"/>
  <c r="I761" i="1"/>
  <c r="C761" i="1"/>
  <c r="K760" i="1"/>
  <c r="I760" i="1"/>
  <c r="C760" i="1"/>
  <c r="K759" i="1"/>
  <c r="I759" i="1"/>
  <c r="C759" i="1"/>
  <c r="K758" i="1"/>
  <c r="I758" i="1"/>
  <c r="C758" i="1"/>
  <c r="K757" i="1"/>
  <c r="I757" i="1"/>
  <c r="C757" i="1"/>
  <c r="K756" i="1"/>
  <c r="I756" i="1"/>
  <c r="C756" i="1"/>
  <c r="K755" i="1"/>
  <c r="I755" i="1"/>
  <c r="C755" i="1"/>
  <c r="K754" i="1"/>
  <c r="I754" i="1"/>
  <c r="C754" i="1"/>
  <c r="K753" i="1"/>
  <c r="I753" i="1"/>
  <c r="C753" i="1"/>
  <c r="K752" i="1"/>
  <c r="I752" i="1"/>
  <c r="C752" i="1"/>
  <c r="K751" i="1"/>
  <c r="I751" i="1"/>
  <c r="C751" i="1"/>
  <c r="K750" i="1"/>
  <c r="I750" i="1"/>
  <c r="C750" i="1"/>
  <c r="K749" i="1"/>
  <c r="I749" i="1"/>
  <c r="C749" i="1"/>
  <c r="K748" i="1"/>
  <c r="I748" i="1"/>
  <c r="C748" i="1"/>
  <c r="K747" i="1"/>
  <c r="I747" i="1"/>
  <c r="C747" i="1"/>
  <c r="K746" i="1"/>
  <c r="I746" i="1"/>
  <c r="C746" i="1"/>
  <c r="K745" i="1"/>
  <c r="I745" i="1"/>
  <c r="C745" i="1"/>
  <c r="K744" i="1"/>
  <c r="I744" i="1"/>
  <c r="C744" i="1"/>
  <c r="K743" i="1"/>
  <c r="I743" i="1"/>
  <c r="C743" i="1"/>
  <c r="K742" i="1"/>
  <c r="I742" i="1"/>
  <c r="C742" i="1"/>
  <c r="K741" i="1"/>
  <c r="I741" i="1"/>
  <c r="C741" i="1"/>
  <c r="K740" i="1"/>
  <c r="I740" i="1"/>
  <c r="C740" i="1"/>
  <c r="K739" i="1"/>
  <c r="I739" i="1"/>
  <c r="C739" i="1"/>
  <c r="K738" i="1"/>
  <c r="I738" i="1"/>
  <c r="C738" i="1"/>
  <c r="K737" i="1"/>
  <c r="I737" i="1"/>
  <c r="C737" i="1"/>
  <c r="K736" i="1"/>
  <c r="I736" i="1"/>
  <c r="C736" i="1"/>
  <c r="K735" i="1"/>
  <c r="I735" i="1"/>
  <c r="C735" i="1"/>
  <c r="K734" i="1"/>
  <c r="I734" i="1"/>
  <c r="C734" i="1"/>
  <c r="K733" i="1"/>
  <c r="I733" i="1"/>
  <c r="C733" i="1"/>
  <c r="K732" i="1"/>
  <c r="I732" i="1"/>
  <c r="C732" i="1"/>
  <c r="K731" i="1"/>
  <c r="I731" i="1"/>
  <c r="C731" i="1"/>
  <c r="K730" i="1"/>
  <c r="I730" i="1"/>
  <c r="C730" i="1"/>
  <c r="K729" i="1"/>
  <c r="I729" i="1"/>
  <c r="C729" i="1"/>
  <c r="K728" i="1"/>
  <c r="I728" i="1"/>
  <c r="C728" i="1"/>
  <c r="K727" i="1"/>
  <c r="I727" i="1"/>
  <c r="C727" i="1"/>
  <c r="K726" i="1"/>
  <c r="I726" i="1"/>
  <c r="C726" i="1"/>
  <c r="K725" i="1"/>
  <c r="I725" i="1"/>
  <c r="C725" i="1"/>
  <c r="K724" i="1"/>
  <c r="I724" i="1"/>
  <c r="C724" i="1"/>
  <c r="K723" i="1"/>
  <c r="I723" i="1"/>
  <c r="C723" i="1"/>
  <c r="K722" i="1"/>
  <c r="I722" i="1"/>
  <c r="C722" i="1"/>
  <c r="K721" i="1"/>
  <c r="I721" i="1"/>
  <c r="C721" i="1"/>
  <c r="K720" i="1"/>
  <c r="I720" i="1"/>
  <c r="C720" i="1"/>
  <c r="K719" i="1"/>
  <c r="I719" i="1"/>
  <c r="C719" i="1"/>
  <c r="K718" i="1"/>
  <c r="I718" i="1"/>
  <c r="C718" i="1"/>
  <c r="K717" i="1"/>
  <c r="I717" i="1"/>
  <c r="C717" i="1"/>
  <c r="K716" i="1"/>
  <c r="I716" i="1"/>
  <c r="C716" i="1"/>
  <c r="K715" i="1"/>
  <c r="I715" i="1"/>
  <c r="C715" i="1"/>
  <c r="K714" i="1"/>
  <c r="I714" i="1"/>
  <c r="C714" i="1"/>
  <c r="K713" i="1"/>
  <c r="I713" i="1"/>
  <c r="C713" i="1"/>
  <c r="K712" i="1"/>
  <c r="I712" i="1"/>
  <c r="C712" i="1"/>
  <c r="K711" i="1"/>
  <c r="I711" i="1"/>
  <c r="C711" i="1"/>
  <c r="K710" i="1"/>
  <c r="I710" i="1"/>
  <c r="C710" i="1"/>
  <c r="K709" i="1"/>
  <c r="I709" i="1"/>
  <c r="C709" i="1"/>
  <c r="K708" i="1"/>
  <c r="I708" i="1"/>
  <c r="C708" i="1"/>
  <c r="K707" i="1"/>
  <c r="I707" i="1"/>
  <c r="C707" i="1"/>
  <c r="K706" i="1"/>
  <c r="I706" i="1"/>
  <c r="C706" i="1"/>
  <c r="K705" i="1"/>
  <c r="I705" i="1"/>
  <c r="C705" i="1"/>
  <c r="K704" i="1"/>
  <c r="I704" i="1"/>
  <c r="C704" i="1"/>
  <c r="K703" i="1"/>
  <c r="I703" i="1"/>
  <c r="C703" i="1"/>
  <c r="K702" i="1"/>
  <c r="I702" i="1"/>
  <c r="C702" i="1"/>
  <c r="K701" i="1"/>
  <c r="I701" i="1"/>
  <c r="C701" i="1"/>
  <c r="K700" i="1"/>
  <c r="I700" i="1"/>
  <c r="C700" i="1"/>
  <c r="K699" i="1"/>
  <c r="I699" i="1"/>
  <c r="C699" i="1"/>
  <c r="K698" i="1"/>
  <c r="I698" i="1"/>
  <c r="C698" i="1"/>
  <c r="K697" i="1"/>
  <c r="I697" i="1"/>
  <c r="C697" i="1"/>
  <c r="K696" i="1"/>
  <c r="I696" i="1"/>
  <c r="C696" i="1"/>
  <c r="K695" i="1"/>
  <c r="I695" i="1"/>
  <c r="C695" i="1"/>
  <c r="K694" i="1"/>
  <c r="I694" i="1"/>
  <c r="C694" i="1"/>
  <c r="K693" i="1"/>
  <c r="I693" i="1"/>
  <c r="C693" i="1"/>
  <c r="K692" i="1"/>
  <c r="I692" i="1"/>
  <c r="C692" i="1"/>
  <c r="K691" i="1"/>
  <c r="I691" i="1"/>
  <c r="C691" i="1"/>
  <c r="K690" i="1"/>
  <c r="I690" i="1"/>
  <c r="C690" i="1"/>
  <c r="K689" i="1"/>
  <c r="I689" i="1"/>
  <c r="C689" i="1"/>
  <c r="K688" i="1"/>
  <c r="I688" i="1"/>
  <c r="C688" i="1"/>
  <c r="K687" i="1"/>
  <c r="I687" i="1"/>
  <c r="C687" i="1"/>
  <c r="K686" i="1"/>
  <c r="I686" i="1"/>
  <c r="C686" i="1"/>
  <c r="K685" i="1"/>
  <c r="I685" i="1"/>
  <c r="C685" i="1"/>
  <c r="K684" i="1"/>
  <c r="I684" i="1"/>
  <c r="C684" i="1"/>
  <c r="K683" i="1"/>
  <c r="I683" i="1"/>
  <c r="C683" i="1"/>
  <c r="K682" i="1"/>
  <c r="I682" i="1"/>
  <c r="C682" i="1"/>
  <c r="K681" i="1"/>
  <c r="I681" i="1"/>
  <c r="C681" i="1"/>
  <c r="K680" i="1"/>
  <c r="I680" i="1"/>
  <c r="C680" i="1"/>
  <c r="K679" i="1"/>
  <c r="I679" i="1"/>
  <c r="C679" i="1"/>
  <c r="K678" i="1"/>
  <c r="I678" i="1"/>
  <c r="C678" i="1"/>
  <c r="K677" i="1"/>
  <c r="I677" i="1"/>
  <c r="C677" i="1"/>
  <c r="K676" i="1"/>
  <c r="I676" i="1"/>
  <c r="C676" i="1"/>
  <c r="K675" i="1"/>
  <c r="I675" i="1"/>
  <c r="C675" i="1"/>
  <c r="K674" i="1"/>
  <c r="I674" i="1"/>
  <c r="C674" i="1"/>
  <c r="K673" i="1"/>
  <c r="I673" i="1"/>
  <c r="C673" i="1"/>
  <c r="K672" i="1"/>
  <c r="I672" i="1"/>
  <c r="C672" i="1"/>
  <c r="K671" i="1"/>
  <c r="I671" i="1"/>
  <c r="C671" i="1"/>
  <c r="K670" i="1"/>
  <c r="I670" i="1"/>
  <c r="C670" i="1"/>
  <c r="K669" i="1"/>
  <c r="I669" i="1"/>
  <c r="C669" i="1"/>
  <c r="K668" i="1"/>
  <c r="I668" i="1"/>
  <c r="C668" i="1"/>
  <c r="K667" i="1"/>
  <c r="I667" i="1"/>
  <c r="C667" i="1"/>
  <c r="K666" i="1"/>
  <c r="I666" i="1"/>
  <c r="C666" i="1"/>
  <c r="K665" i="1"/>
  <c r="I665" i="1"/>
  <c r="C665" i="1"/>
  <c r="K664" i="1"/>
  <c r="I664" i="1"/>
  <c r="C664" i="1"/>
  <c r="K663" i="1"/>
  <c r="I663" i="1"/>
  <c r="C663" i="1"/>
  <c r="K662" i="1"/>
  <c r="I662" i="1"/>
  <c r="C662" i="1"/>
  <c r="K661" i="1"/>
  <c r="I661" i="1"/>
  <c r="C661" i="1"/>
  <c r="K660" i="1"/>
  <c r="I660" i="1"/>
  <c r="C660" i="1"/>
  <c r="K659" i="1"/>
  <c r="I659" i="1"/>
  <c r="C659" i="1"/>
  <c r="K658" i="1"/>
  <c r="I658" i="1"/>
  <c r="C658" i="1"/>
  <c r="K657" i="1"/>
  <c r="I657" i="1"/>
  <c r="C657" i="1"/>
  <c r="K656" i="1"/>
  <c r="I656" i="1"/>
  <c r="C656" i="1"/>
  <c r="K655" i="1"/>
  <c r="I655" i="1"/>
  <c r="C655" i="1"/>
  <c r="K654" i="1"/>
  <c r="I654" i="1"/>
  <c r="C654" i="1"/>
  <c r="K653" i="1"/>
  <c r="I653" i="1"/>
  <c r="C653" i="1"/>
  <c r="K652" i="1"/>
  <c r="I652" i="1"/>
  <c r="C652" i="1"/>
  <c r="K651" i="1"/>
  <c r="I651" i="1"/>
  <c r="C651" i="1"/>
  <c r="K650" i="1"/>
  <c r="I650" i="1"/>
  <c r="C650" i="1"/>
  <c r="K649" i="1"/>
  <c r="I649" i="1"/>
  <c r="C649" i="1"/>
  <c r="K648" i="1"/>
  <c r="I648" i="1"/>
  <c r="C648" i="1"/>
  <c r="K647" i="1"/>
  <c r="I647" i="1"/>
  <c r="C647" i="1"/>
  <c r="K646" i="1"/>
  <c r="I646" i="1"/>
  <c r="C646" i="1"/>
  <c r="K645" i="1"/>
  <c r="I645" i="1"/>
  <c r="C645" i="1"/>
  <c r="K644" i="1"/>
  <c r="I644" i="1"/>
  <c r="C644" i="1"/>
  <c r="K643" i="1"/>
  <c r="I643" i="1"/>
  <c r="C643" i="1"/>
  <c r="K642" i="1"/>
  <c r="I642" i="1"/>
  <c r="C642" i="1"/>
  <c r="K641" i="1"/>
  <c r="I641" i="1"/>
  <c r="C641" i="1"/>
  <c r="K640" i="1"/>
  <c r="I640" i="1"/>
  <c r="C640" i="1"/>
  <c r="K639" i="1"/>
  <c r="I639" i="1"/>
  <c r="C639" i="1"/>
  <c r="K638" i="1"/>
  <c r="I638" i="1"/>
  <c r="C638" i="1"/>
  <c r="K637" i="1"/>
  <c r="I637" i="1"/>
  <c r="C637" i="1"/>
  <c r="K636" i="1"/>
  <c r="I636" i="1"/>
  <c r="C636" i="1"/>
  <c r="K635" i="1"/>
  <c r="I635" i="1"/>
  <c r="C635" i="1"/>
  <c r="K634" i="1"/>
  <c r="I634" i="1"/>
  <c r="C634" i="1"/>
  <c r="K633" i="1"/>
  <c r="I633" i="1"/>
  <c r="C633" i="1"/>
  <c r="K632" i="1"/>
  <c r="I632" i="1"/>
  <c r="C632" i="1"/>
  <c r="K631" i="1"/>
  <c r="I631" i="1"/>
  <c r="C631" i="1"/>
  <c r="K630" i="1"/>
  <c r="I630" i="1"/>
  <c r="C630" i="1"/>
  <c r="K629" i="1"/>
  <c r="I629" i="1"/>
  <c r="C629" i="1"/>
  <c r="K628" i="1"/>
  <c r="I628" i="1"/>
  <c r="C628" i="1"/>
  <c r="K627" i="1"/>
  <c r="I627" i="1"/>
  <c r="C627" i="1"/>
  <c r="K626" i="1"/>
  <c r="I626" i="1"/>
  <c r="C626" i="1"/>
  <c r="K625" i="1"/>
  <c r="I625" i="1"/>
  <c r="C625" i="1"/>
  <c r="K624" i="1"/>
  <c r="I624" i="1"/>
  <c r="C624" i="1"/>
  <c r="K623" i="1"/>
  <c r="I623" i="1"/>
  <c r="C623" i="1"/>
  <c r="K622" i="1"/>
  <c r="I622" i="1"/>
  <c r="C622" i="1"/>
  <c r="K621" i="1"/>
  <c r="I621" i="1"/>
  <c r="C621" i="1"/>
  <c r="K620" i="1"/>
  <c r="I620" i="1"/>
  <c r="C620" i="1"/>
  <c r="K619" i="1"/>
  <c r="I619" i="1"/>
  <c r="C619" i="1"/>
  <c r="K618" i="1"/>
  <c r="I618" i="1"/>
  <c r="C618" i="1"/>
  <c r="K617" i="1"/>
  <c r="I617" i="1"/>
  <c r="C617" i="1"/>
  <c r="K616" i="1"/>
  <c r="I616" i="1"/>
  <c r="C616" i="1"/>
  <c r="K615" i="1"/>
  <c r="I615" i="1"/>
  <c r="C615" i="1"/>
  <c r="K614" i="1"/>
  <c r="I614" i="1"/>
  <c r="C614" i="1"/>
  <c r="K613" i="1"/>
  <c r="I613" i="1"/>
  <c r="C613" i="1"/>
  <c r="K612" i="1"/>
  <c r="I612" i="1"/>
  <c r="C612" i="1"/>
  <c r="K611" i="1"/>
  <c r="I611" i="1"/>
  <c r="C611" i="1"/>
  <c r="K610" i="1"/>
  <c r="I610" i="1"/>
  <c r="C610" i="1"/>
  <c r="K609" i="1"/>
  <c r="I609" i="1"/>
  <c r="C609" i="1"/>
  <c r="K608" i="1"/>
  <c r="I608" i="1"/>
  <c r="C608" i="1"/>
  <c r="K607" i="1"/>
  <c r="I607" i="1"/>
  <c r="C607" i="1"/>
  <c r="K606" i="1"/>
  <c r="I606" i="1"/>
  <c r="C606" i="1"/>
  <c r="K605" i="1"/>
  <c r="I605" i="1"/>
  <c r="C605" i="1"/>
  <c r="K604" i="1"/>
  <c r="I604" i="1"/>
  <c r="C604" i="1"/>
  <c r="K603" i="1"/>
  <c r="I603" i="1"/>
  <c r="C603" i="1"/>
  <c r="K602" i="1"/>
  <c r="I602" i="1"/>
  <c r="C602" i="1"/>
  <c r="K601" i="1"/>
  <c r="I601" i="1"/>
  <c r="C601" i="1"/>
  <c r="K600" i="1"/>
  <c r="I600" i="1"/>
  <c r="C600" i="1"/>
  <c r="K599" i="1"/>
  <c r="I599" i="1"/>
  <c r="C599" i="1"/>
  <c r="K598" i="1"/>
  <c r="I598" i="1"/>
  <c r="C598" i="1"/>
  <c r="K597" i="1"/>
  <c r="I597" i="1"/>
  <c r="C597" i="1"/>
  <c r="K596" i="1"/>
  <c r="I596" i="1"/>
  <c r="C596" i="1"/>
  <c r="K595" i="1"/>
  <c r="I595" i="1"/>
  <c r="C595" i="1"/>
  <c r="K594" i="1"/>
  <c r="I594" i="1"/>
  <c r="C594" i="1"/>
  <c r="K593" i="1"/>
  <c r="I593" i="1"/>
  <c r="C593" i="1"/>
  <c r="K592" i="1"/>
  <c r="I592" i="1"/>
  <c r="C592" i="1"/>
  <c r="K591" i="1"/>
  <c r="I591" i="1"/>
  <c r="C591" i="1"/>
  <c r="K590" i="1"/>
  <c r="I590" i="1"/>
  <c r="C590" i="1"/>
  <c r="K589" i="1"/>
  <c r="I589" i="1"/>
  <c r="C589" i="1"/>
  <c r="K588" i="1"/>
  <c r="I588" i="1"/>
  <c r="C588" i="1"/>
  <c r="K587" i="1"/>
  <c r="I587" i="1"/>
  <c r="C587" i="1"/>
  <c r="K586" i="1"/>
  <c r="I586" i="1"/>
  <c r="C586" i="1"/>
  <c r="K585" i="1"/>
  <c r="I585" i="1"/>
  <c r="C585" i="1"/>
  <c r="K584" i="1"/>
  <c r="I584" i="1"/>
  <c r="C584" i="1"/>
  <c r="K583" i="1"/>
  <c r="I583" i="1"/>
  <c r="C583" i="1"/>
  <c r="K582" i="1"/>
  <c r="I582" i="1"/>
  <c r="C582" i="1"/>
  <c r="K581" i="1"/>
  <c r="I581" i="1"/>
  <c r="C581" i="1"/>
  <c r="K580" i="1"/>
  <c r="I580" i="1"/>
  <c r="C580" i="1"/>
  <c r="K579" i="1"/>
  <c r="I579" i="1"/>
  <c r="C579" i="1"/>
  <c r="K578" i="1"/>
  <c r="I578" i="1"/>
  <c r="C578" i="1"/>
  <c r="K577" i="1"/>
  <c r="I577" i="1"/>
  <c r="C577" i="1"/>
  <c r="K576" i="1"/>
  <c r="I576" i="1"/>
  <c r="C576" i="1"/>
  <c r="K575" i="1"/>
  <c r="I575" i="1"/>
  <c r="C575" i="1"/>
  <c r="K574" i="1"/>
  <c r="I574" i="1"/>
  <c r="C574" i="1"/>
  <c r="K573" i="1"/>
  <c r="I573" i="1"/>
  <c r="C573" i="1"/>
  <c r="K572" i="1"/>
  <c r="I572" i="1"/>
  <c r="C572" i="1"/>
  <c r="K571" i="1"/>
  <c r="I571" i="1"/>
  <c r="C571" i="1"/>
  <c r="K570" i="1"/>
  <c r="I570" i="1"/>
  <c r="C570" i="1"/>
  <c r="K569" i="1"/>
  <c r="I569" i="1"/>
  <c r="C569" i="1"/>
  <c r="K568" i="1"/>
  <c r="I568" i="1"/>
  <c r="C568" i="1"/>
  <c r="K567" i="1"/>
  <c r="I567" i="1"/>
  <c r="C567" i="1"/>
  <c r="K566" i="1"/>
  <c r="I566" i="1"/>
  <c r="C566" i="1"/>
  <c r="K565" i="1"/>
  <c r="I565" i="1"/>
  <c r="C565" i="1"/>
  <c r="K564" i="1"/>
  <c r="I564" i="1"/>
  <c r="C564" i="1"/>
  <c r="K563" i="1"/>
  <c r="I563" i="1"/>
  <c r="C563" i="1"/>
  <c r="K562" i="1"/>
  <c r="I562" i="1"/>
  <c r="C562" i="1"/>
  <c r="K561" i="1"/>
  <c r="I561" i="1"/>
  <c r="C561" i="1"/>
  <c r="K560" i="1"/>
  <c r="I560" i="1"/>
  <c r="C560" i="1"/>
  <c r="K559" i="1"/>
  <c r="I559" i="1"/>
  <c r="C559" i="1"/>
  <c r="K558" i="1"/>
  <c r="I558" i="1"/>
  <c r="C558" i="1"/>
  <c r="K557" i="1"/>
  <c r="I557" i="1"/>
  <c r="C557" i="1"/>
  <c r="K556" i="1"/>
  <c r="I556" i="1"/>
  <c r="C556" i="1"/>
  <c r="K555" i="1"/>
  <c r="I555" i="1"/>
  <c r="C555" i="1"/>
  <c r="K554" i="1"/>
  <c r="I554" i="1"/>
  <c r="C554" i="1"/>
  <c r="K553" i="1"/>
  <c r="I553" i="1"/>
  <c r="C553" i="1"/>
  <c r="K552" i="1"/>
  <c r="I552" i="1"/>
  <c r="C552" i="1"/>
  <c r="K551" i="1"/>
  <c r="I551" i="1"/>
  <c r="C551" i="1"/>
  <c r="K550" i="1"/>
  <c r="I550" i="1"/>
  <c r="C550" i="1"/>
  <c r="K549" i="1"/>
  <c r="I549" i="1"/>
  <c r="C549" i="1"/>
  <c r="K548" i="1"/>
  <c r="I548" i="1"/>
  <c r="C548" i="1"/>
  <c r="K547" i="1"/>
  <c r="I547" i="1"/>
  <c r="C547" i="1"/>
  <c r="K546" i="1"/>
  <c r="I546" i="1"/>
  <c r="C546" i="1"/>
  <c r="K545" i="1"/>
  <c r="I545" i="1"/>
  <c r="C545" i="1"/>
  <c r="K544" i="1"/>
  <c r="I544" i="1"/>
  <c r="C544" i="1"/>
  <c r="K543" i="1"/>
  <c r="I543" i="1"/>
  <c r="C543" i="1"/>
  <c r="K542" i="1"/>
  <c r="I542" i="1"/>
  <c r="C542" i="1"/>
  <c r="K541" i="1"/>
  <c r="I541" i="1"/>
  <c r="C541" i="1"/>
  <c r="K540" i="1"/>
  <c r="I540" i="1"/>
  <c r="C540" i="1"/>
  <c r="K539" i="1"/>
  <c r="I539" i="1"/>
  <c r="C539" i="1"/>
  <c r="K538" i="1"/>
  <c r="I538" i="1"/>
  <c r="C538" i="1"/>
  <c r="K537" i="1"/>
  <c r="I537" i="1"/>
  <c r="C537" i="1"/>
  <c r="K536" i="1"/>
  <c r="I536" i="1"/>
  <c r="C536" i="1"/>
  <c r="K535" i="1"/>
  <c r="I535" i="1"/>
  <c r="C535" i="1"/>
  <c r="K534" i="1"/>
  <c r="I534" i="1"/>
  <c r="C534" i="1"/>
  <c r="K533" i="1"/>
  <c r="I533" i="1"/>
  <c r="C533" i="1"/>
  <c r="K532" i="1"/>
  <c r="I532" i="1"/>
  <c r="C532" i="1"/>
  <c r="K531" i="1"/>
  <c r="I531" i="1"/>
  <c r="C531" i="1"/>
  <c r="K530" i="1"/>
  <c r="I530" i="1"/>
  <c r="C530" i="1"/>
  <c r="K529" i="1"/>
  <c r="I529" i="1"/>
  <c r="C529" i="1"/>
  <c r="K528" i="1"/>
  <c r="I528" i="1"/>
  <c r="C528" i="1"/>
  <c r="K527" i="1"/>
  <c r="I527" i="1"/>
  <c r="C527" i="1"/>
  <c r="K526" i="1"/>
  <c r="I526" i="1"/>
  <c r="C526" i="1"/>
  <c r="K525" i="1"/>
  <c r="I525" i="1"/>
  <c r="C525" i="1"/>
  <c r="K524" i="1"/>
  <c r="I524" i="1"/>
  <c r="C524" i="1"/>
  <c r="K523" i="1"/>
  <c r="I523" i="1"/>
  <c r="C523" i="1"/>
  <c r="K522" i="1"/>
  <c r="I522" i="1"/>
  <c r="C522" i="1"/>
  <c r="K521" i="1"/>
  <c r="I521" i="1"/>
  <c r="C521" i="1"/>
  <c r="K520" i="1"/>
  <c r="I520" i="1"/>
  <c r="C520" i="1"/>
  <c r="K519" i="1"/>
  <c r="I519" i="1"/>
  <c r="C519" i="1"/>
  <c r="K518" i="1"/>
  <c r="I518" i="1"/>
  <c r="C518" i="1"/>
  <c r="K517" i="1"/>
  <c r="I517" i="1"/>
  <c r="C517" i="1"/>
  <c r="K516" i="1"/>
  <c r="I516" i="1"/>
  <c r="C516" i="1"/>
  <c r="K515" i="1"/>
  <c r="I515" i="1"/>
  <c r="C515" i="1"/>
  <c r="K514" i="1"/>
  <c r="I514" i="1"/>
  <c r="C514" i="1"/>
  <c r="K513" i="1"/>
  <c r="I513" i="1"/>
  <c r="C513" i="1"/>
  <c r="K512" i="1"/>
  <c r="I512" i="1"/>
  <c r="C512" i="1"/>
  <c r="K511" i="1"/>
  <c r="I511" i="1"/>
  <c r="C511" i="1"/>
  <c r="K510" i="1"/>
  <c r="I510" i="1"/>
  <c r="C510" i="1"/>
  <c r="K509" i="1"/>
  <c r="I509" i="1"/>
  <c r="C509" i="1"/>
  <c r="K508" i="1"/>
  <c r="I508" i="1"/>
  <c r="C508" i="1"/>
  <c r="K507" i="1"/>
  <c r="I507" i="1"/>
  <c r="C507" i="1"/>
  <c r="K506" i="1"/>
  <c r="I506" i="1"/>
  <c r="C506" i="1"/>
  <c r="K505" i="1"/>
  <c r="I505" i="1"/>
  <c r="C505" i="1"/>
  <c r="K504" i="1"/>
  <c r="I504" i="1"/>
  <c r="C504" i="1"/>
  <c r="K503" i="1"/>
  <c r="I503" i="1"/>
  <c r="C503" i="1"/>
  <c r="K502" i="1"/>
  <c r="I502" i="1"/>
  <c r="C502" i="1"/>
  <c r="K501" i="1"/>
  <c r="I501" i="1"/>
  <c r="C501" i="1"/>
  <c r="K500" i="1"/>
  <c r="I500" i="1"/>
  <c r="C500" i="1"/>
  <c r="K499" i="1"/>
  <c r="I499" i="1"/>
  <c r="C499" i="1"/>
  <c r="K498" i="1"/>
  <c r="I498" i="1"/>
  <c r="C498" i="1"/>
  <c r="K497" i="1"/>
  <c r="I497" i="1"/>
  <c r="C497" i="1"/>
  <c r="K496" i="1"/>
  <c r="I496" i="1"/>
  <c r="C496" i="1"/>
  <c r="K495" i="1"/>
  <c r="I495" i="1"/>
  <c r="C495" i="1"/>
  <c r="K494" i="1"/>
  <c r="I494" i="1"/>
  <c r="C494" i="1"/>
  <c r="K493" i="1"/>
  <c r="I493" i="1"/>
  <c r="C493" i="1"/>
  <c r="K492" i="1"/>
  <c r="I492" i="1"/>
  <c r="C492" i="1"/>
  <c r="K491" i="1"/>
  <c r="I491" i="1"/>
  <c r="C491" i="1"/>
  <c r="K490" i="1"/>
  <c r="I490" i="1"/>
  <c r="C490" i="1"/>
  <c r="K489" i="1"/>
  <c r="I489" i="1"/>
  <c r="C489" i="1"/>
  <c r="K488" i="1"/>
  <c r="I488" i="1"/>
  <c r="C488" i="1"/>
  <c r="K487" i="1"/>
  <c r="I487" i="1"/>
  <c r="C487" i="1"/>
  <c r="K486" i="1"/>
  <c r="I486" i="1"/>
  <c r="C486" i="1"/>
  <c r="K485" i="1"/>
  <c r="I485" i="1"/>
  <c r="C485" i="1"/>
  <c r="K484" i="1"/>
  <c r="I484" i="1"/>
  <c r="C484" i="1"/>
  <c r="K483" i="1"/>
  <c r="I483" i="1"/>
  <c r="C483" i="1"/>
  <c r="K482" i="1"/>
  <c r="I482" i="1"/>
  <c r="C482" i="1"/>
  <c r="K481" i="1"/>
  <c r="I481" i="1"/>
  <c r="C481" i="1"/>
  <c r="K480" i="1"/>
  <c r="I480" i="1"/>
  <c r="C480" i="1"/>
  <c r="K479" i="1"/>
  <c r="I479" i="1"/>
  <c r="C479" i="1"/>
  <c r="K478" i="1"/>
  <c r="I478" i="1"/>
  <c r="C478" i="1"/>
  <c r="K477" i="1"/>
  <c r="I477" i="1"/>
  <c r="C477" i="1"/>
  <c r="K476" i="1"/>
  <c r="I476" i="1"/>
  <c r="C476" i="1"/>
  <c r="K475" i="1"/>
  <c r="I475" i="1"/>
  <c r="C475" i="1"/>
  <c r="K474" i="1"/>
  <c r="I474" i="1"/>
  <c r="C474" i="1"/>
  <c r="K473" i="1"/>
  <c r="I473" i="1"/>
  <c r="C473" i="1"/>
  <c r="K472" i="1"/>
  <c r="I472" i="1"/>
  <c r="C472" i="1"/>
  <c r="K471" i="1"/>
  <c r="I471" i="1"/>
  <c r="C471" i="1"/>
  <c r="K470" i="1"/>
  <c r="I470" i="1"/>
  <c r="C470" i="1"/>
  <c r="K469" i="1"/>
  <c r="I469" i="1"/>
  <c r="C469" i="1"/>
  <c r="K468" i="1"/>
  <c r="I468" i="1"/>
  <c r="C468" i="1"/>
  <c r="K467" i="1"/>
  <c r="I467" i="1"/>
  <c r="C467" i="1"/>
  <c r="K466" i="1"/>
  <c r="I466" i="1"/>
  <c r="C466" i="1"/>
  <c r="K465" i="1"/>
  <c r="I465" i="1"/>
  <c r="C465" i="1"/>
  <c r="K464" i="1"/>
  <c r="I464" i="1"/>
  <c r="C464" i="1"/>
  <c r="K463" i="1"/>
  <c r="I463" i="1"/>
  <c r="C463" i="1"/>
  <c r="K462" i="1"/>
  <c r="I462" i="1"/>
  <c r="C462" i="1"/>
  <c r="K461" i="1"/>
  <c r="I461" i="1"/>
  <c r="C461" i="1"/>
  <c r="K460" i="1"/>
  <c r="I460" i="1"/>
  <c r="C460" i="1"/>
  <c r="K459" i="1"/>
  <c r="I459" i="1"/>
  <c r="C459" i="1"/>
  <c r="K458" i="1"/>
  <c r="I458" i="1"/>
  <c r="C458" i="1"/>
  <c r="K457" i="1"/>
  <c r="I457" i="1"/>
  <c r="C457" i="1"/>
  <c r="K456" i="1"/>
  <c r="I456" i="1"/>
  <c r="C456" i="1"/>
  <c r="K455" i="1"/>
  <c r="I455" i="1"/>
  <c r="C455" i="1"/>
  <c r="K454" i="1"/>
  <c r="I454" i="1"/>
  <c r="C454" i="1"/>
  <c r="K453" i="1"/>
  <c r="I453" i="1"/>
  <c r="C453" i="1"/>
  <c r="K452" i="1"/>
  <c r="I452" i="1"/>
  <c r="C452" i="1"/>
  <c r="K451" i="1"/>
  <c r="I451" i="1"/>
  <c r="C451" i="1"/>
  <c r="K450" i="1"/>
  <c r="I450" i="1"/>
  <c r="C450" i="1"/>
  <c r="K449" i="1"/>
  <c r="I449" i="1"/>
  <c r="C449" i="1"/>
  <c r="K448" i="1"/>
  <c r="I448" i="1"/>
  <c r="C448" i="1"/>
  <c r="K447" i="1"/>
  <c r="I447" i="1"/>
  <c r="C447" i="1"/>
  <c r="K446" i="1"/>
  <c r="I446" i="1"/>
  <c r="C446" i="1"/>
  <c r="K445" i="1"/>
  <c r="I445" i="1"/>
  <c r="C445" i="1"/>
  <c r="K444" i="1"/>
  <c r="I444" i="1"/>
  <c r="C444" i="1"/>
  <c r="K443" i="1"/>
  <c r="I443" i="1"/>
  <c r="C443" i="1"/>
  <c r="K442" i="1"/>
  <c r="I442" i="1"/>
  <c r="C442" i="1"/>
  <c r="K441" i="1"/>
  <c r="I441" i="1"/>
  <c r="C441" i="1"/>
  <c r="K440" i="1"/>
  <c r="I440" i="1"/>
  <c r="C440" i="1"/>
  <c r="K439" i="1"/>
  <c r="I439" i="1"/>
  <c r="C439" i="1"/>
  <c r="K438" i="1"/>
  <c r="I438" i="1"/>
  <c r="C438" i="1"/>
  <c r="K437" i="1"/>
  <c r="I437" i="1"/>
  <c r="C437" i="1"/>
  <c r="K436" i="1"/>
  <c r="I436" i="1"/>
  <c r="C436" i="1"/>
  <c r="K435" i="1"/>
  <c r="I435" i="1"/>
  <c r="C435" i="1"/>
  <c r="K434" i="1"/>
  <c r="I434" i="1"/>
  <c r="C434" i="1"/>
  <c r="K433" i="1"/>
  <c r="I433" i="1"/>
  <c r="C433" i="1"/>
  <c r="K432" i="1"/>
  <c r="I432" i="1"/>
  <c r="C432" i="1"/>
  <c r="K431" i="1"/>
  <c r="I431" i="1"/>
  <c r="C431" i="1"/>
  <c r="K430" i="1"/>
  <c r="I430" i="1"/>
  <c r="C430" i="1"/>
  <c r="K429" i="1"/>
  <c r="I429" i="1"/>
  <c r="C429" i="1"/>
  <c r="K428" i="1"/>
  <c r="I428" i="1"/>
  <c r="C428" i="1"/>
  <c r="K427" i="1"/>
  <c r="I427" i="1"/>
  <c r="C427" i="1"/>
  <c r="K426" i="1"/>
  <c r="I426" i="1"/>
  <c r="C426" i="1"/>
  <c r="K425" i="1"/>
  <c r="I425" i="1"/>
  <c r="C425" i="1"/>
  <c r="K424" i="1"/>
  <c r="I424" i="1"/>
  <c r="C424" i="1"/>
  <c r="K423" i="1"/>
  <c r="I423" i="1"/>
  <c r="C423" i="1"/>
  <c r="K422" i="1"/>
  <c r="I422" i="1"/>
  <c r="C422" i="1"/>
  <c r="K421" i="1"/>
  <c r="I421" i="1"/>
  <c r="C421" i="1"/>
  <c r="K420" i="1"/>
  <c r="I420" i="1"/>
  <c r="C420" i="1"/>
  <c r="K419" i="1"/>
  <c r="I419" i="1"/>
  <c r="C419" i="1"/>
  <c r="K418" i="1"/>
  <c r="I418" i="1"/>
  <c r="C418" i="1"/>
  <c r="K417" i="1"/>
  <c r="I417" i="1"/>
  <c r="C417" i="1"/>
  <c r="K416" i="1"/>
  <c r="I416" i="1"/>
  <c r="C416" i="1"/>
  <c r="K415" i="1"/>
  <c r="I415" i="1"/>
  <c r="C415" i="1"/>
  <c r="K414" i="1"/>
  <c r="I414" i="1"/>
  <c r="C414" i="1"/>
  <c r="K413" i="1"/>
  <c r="I413" i="1"/>
  <c r="C413" i="1"/>
  <c r="K412" i="1"/>
  <c r="I412" i="1"/>
  <c r="C412" i="1"/>
  <c r="K411" i="1"/>
  <c r="I411" i="1"/>
  <c r="C411" i="1"/>
  <c r="K410" i="1"/>
  <c r="I410" i="1"/>
  <c r="C410" i="1"/>
  <c r="K409" i="1"/>
  <c r="I409" i="1"/>
  <c r="C409" i="1"/>
  <c r="K408" i="1"/>
  <c r="I408" i="1"/>
  <c r="C408" i="1"/>
  <c r="K407" i="1"/>
  <c r="I407" i="1"/>
  <c r="C407" i="1"/>
  <c r="K406" i="1"/>
  <c r="I406" i="1"/>
  <c r="C406" i="1"/>
  <c r="K405" i="1"/>
  <c r="I405" i="1"/>
  <c r="C405" i="1"/>
  <c r="K404" i="1"/>
  <c r="I404" i="1"/>
  <c r="C404" i="1"/>
  <c r="K403" i="1"/>
  <c r="I403" i="1"/>
  <c r="C403" i="1"/>
  <c r="K402" i="1"/>
  <c r="I402" i="1"/>
  <c r="C402" i="1"/>
  <c r="K401" i="1"/>
  <c r="I401" i="1"/>
  <c r="C401" i="1"/>
  <c r="K400" i="1"/>
  <c r="I400" i="1"/>
  <c r="C400" i="1"/>
  <c r="K399" i="1"/>
  <c r="I399" i="1"/>
  <c r="C399" i="1"/>
  <c r="K398" i="1"/>
  <c r="I398" i="1"/>
  <c r="C398" i="1"/>
  <c r="K397" i="1"/>
  <c r="I397" i="1"/>
  <c r="C397" i="1"/>
  <c r="K396" i="1"/>
  <c r="I396" i="1"/>
  <c r="C396" i="1"/>
  <c r="K395" i="1"/>
  <c r="I395" i="1"/>
  <c r="C395" i="1"/>
  <c r="K394" i="1"/>
  <c r="I394" i="1"/>
  <c r="C394" i="1"/>
  <c r="K393" i="1"/>
  <c r="I393" i="1"/>
  <c r="C393" i="1"/>
  <c r="K392" i="1"/>
  <c r="I392" i="1"/>
  <c r="C392" i="1"/>
  <c r="K391" i="1"/>
  <c r="I391" i="1"/>
  <c r="C391" i="1"/>
  <c r="K390" i="1"/>
  <c r="I390" i="1"/>
  <c r="C390" i="1"/>
  <c r="K389" i="1"/>
  <c r="I389" i="1"/>
  <c r="C389" i="1"/>
  <c r="K388" i="1"/>
  <c r="I388" i="1"/>
  <c r="C388" i="1"/>
  <c r="K387" i="1"/>
  <c r="I387" i="1"/>
  <c r="C387" i="1"/>
  <c r="K386" i="1"/>
  <c r="I386" i="1"/>
  <c r="C386" i="1"/>
  <c r="K385" i="1"/>
  <c r="I385" i="1"/>
  <c r="C385" i="1"/>
  <c r="K384" i="1"/>
  <c r="I384" i="1"/>
  <c r="C384" i="1"/>
  <c r="K383" i="1"/>
  <c r="I383" i="1"/>
  <c r="C383" i="1"/>
  <c r="K382" i="1"/>
  <c r="I382" i="1"/>
  <c r="C382" i="1"/>
  <c r="K381" i="1"/>
  <c r="I381" i="1"/>
  <c r="C381" i="1"/>
  <c r="K380" i="1"/>
  <c r="I380" i="1"/>
  <c r="C380" i="1"/>
  <c r="K379" i="1"/>
  <c r="I379" i="1"/>
  <c r="C379" i="1"/>
  <c r="K378" i="1"/>
  <c r="I378" i="1"/>
  <c r="C378" i="1"/>
  <c r="K377" i="1"/>
  <c r="I377" i="1"/>
  <c r="C377" i="1"/>
  <c r="K376" i="1"/>
  <c r="I376" i="1"/>
  <c r="C376" i="1"/>
  <c r="K375" i="1"/>
  <c r="I375" i="1"/>
  <c r="C375" i="1"/>
  <c r="K374" i="1"/>
  <c r="I374" i="1"/>
  <c r="C374" i="1"/>
  <c r="K373" i="1"/>
  <c r="I373" i="1"/>
  <c r="C373" i="1"/>
  <c r="K372" i="1"/>
  <c r="I372" i="1"/>
  <c r="C372" i="1"/>
  <c r="K371" i="1"/>
  <c r="I371" i="1"/>
  <c r="C371" i="1"/>
  <c r="K370" i="1"/>
  <c r="I370" i="1"/>
  <c r="C370" i="1"/>
  <c r="K369" i="1"/>
  <c r="I369" i="1"/>
  <c r="C369" i="1"/>
  <c r="K368" i="1"/>
  <c r="I368" i="1"/>
  <c r="C368" i="1"/>
  <c r="K367" i="1"/>
  <c r="I367" i="1"/>
  <c r="C367" i="1"/>
  <c r="K366" i="1"/>
  <c r="I366" i="1"/>
  <c r="C366" i="1"/>
  <c r="K365" i="1"/>
  <c r="I365" i="1"/>
  <c r="C365" i="1"/>
  <c r="K364" i="1"/>
  <c r="I364" i="1"/>
  <c r="C364" i="1"/>
  <c r="K363" i="1"/>
  <c r="I363" i="1"/>
  <c r="C363" i="1"/>
  <c r="K362" i="1"/>
  <c r="I362" i="1"/>
  <c r="C362" i="1"/>
  <c r="K361" i="1"/>
  <c r="I361" i="1"/>
  <c r="C361" i="1"/>
  <c r="K360" i="1"/>
  <c r="I360" i="1"/>
  <c r="C360" i="1"/>
  <c r="K359" i="1"/>
  <c r="I359" i="1"/>
  <c r="C359" i="1"/>
  <c r="K358" i="1"/>
  <c r="I358" i="1"/>
  <c r="C358" i="1"/>
  <c r="K357" i="1"/>
  <c r="I357" i="1"/>
  <c r="C357" i="1"/>
  <c r="K356" i="1"/>
  <c r="I356" i="1"/>
  <c r="C356" i="1"/>
  <c r="K355" i="1"/>
  <c r="I355" i="1"/>
  <c r="C355" i="1"/>
  <c r="K354" i="1"/>
  <c r="I354" i="1"/>
  <c r="C354" i="1"/>
  <c r="K353" i="1"/>
  <c r="I353" i="1"/>
  <c r="C353" i="1"/>
  <c r="K352" i="1"/>
  <c r="I352" i="1"/>
  <c r="C352" i="1"/>
  <c r="K351" i="1"/>
  <c r="I351" i="1"/>
  <c r="C351" i="1"/>
  <c r="K350" i="1"/>
  <c r="I350" i="1"/>
  <c r="C350" i="1"/>
  <c r="K349" i="1"/>
  <c r="I349" i="1"/>
  <c r="C349" i="1"/>
  <c r="K348" i="1"/>
  <c r="I348" i="1"/>
  <c r="C348" i="1"/>
  <c r="K347" i="1"/>
  <c r="I347" i="1"/>
  <c r="C347" i="1"/>
  <c r="K346" i="1"/>
  <c r="I346" i="1"/>
  <c r="C346" i="1"/>
  <c r="K345" i="1"/>
  <c r="I345" i="1"/>
  <c r="C345" i="1"/>
  <c r="K344" i="1"/>
  <c r="I344" i="1"/>
  <c r="C344" i="1"/>
  <c r="K343" i="1"/>
  <c r="I343" i="1"/>
  <c r="C343" i="1"/>
  <c r="K342" i="1"/>
  <c r="I342" i="1"/>
  <c r="C342" i="1"/>
  <c r="K341" i="1"/>
  <c r="I341" i="1"/>
  <c r="C341" i="1"/>
  <c r="K340" i="1"/>
  <c r="I340" i="1"/>
  <c r="C340" i="1"/>
  <c r="K339" i="1"/>
  <c r="I339" i="1"/>
  <c r="C339" i="1"/>
  <c r="K338" i="1"/>
  <c r="I338" i="1"/>
  <c r="C338" i="1"/>
  <c r="K337" i="1"/>
  <c r="I337" i="1"/>
  <c r="C337" i="1"/>
  <c r="K336" i="1"/>
  <c r="I336" i="1"/>
  <c r="C336" i="1"/>
  <c r="K335" i="1"/>
  <c r="I335" i="1"/>
  <c r="C335" i="1"/>
  <c r="K334" i="1"/>
  <c r="I334" i="1"/>
  <c r="C334" i="1"/>
  <c r="K333" i="1"/>
  <c r="I333" i="1"/>
  <c r="C333" i="1"/>
  <c r="K332" i="1"/>
  <c r="I332" i="1"/>
  <c r="C332" i="1"/>
  <c r="K331" i="1"/>
  <c r="I331" i="1"/>
  <c r="C331" i="1"/>
  <c r="K330" i="1"/>
  <c r="I330" i="1"/>
  <c r="C330" i="1"/>
  <c r="K329" i="1"/>
  <c r="I329" i="1"/>
  <c r="C329" i="1"/>
  <c r="K328" i="1"/>
  <c r="I328" i="1"/>
  <c r="C328" i="1"/>
  <c r="K327" i="1"/>
  <c r="I327" i="1"/>
  <c r="C327" i="1"/>
  <c r="K326" i="1"/>
  <c r="I326" i="1"/>
  <c r="C326" i="1"/>
  <c r="K325" i="1"/>
  <c r="I325" i="1"/>
  <c r="C325" i="1"/>
  <c r="K324" i="1"/>
  <c r="I324" i="1"/>
  <c r="C324" i="1"/>
  <c r="K323" i="1"/>
  <c r="I323" i="1"/>
  <c r="C323" i="1"/>
  <c r="K322" i="1"/>
  <c r="I322" i="1"/>
  <c r="C322" i="1"/>
  <c r="K321" i="1"/>
  <c r="I321" i="1"/>
  <c r="C321" i="1"/>
  <c r="K320" i="1"/>
  <c r="I320" i="1"/>
  <c r="C320" i="1"/>
  <c r="K319" i="1"/>
  <c r="I319" i="1"/>
  <c r="C319" i="1"/>
  <c r="K318" i="1"/>
  <c r="I318" i="1"/>
  <c r="C318" i="1"/>
  <c r="K317" i="1"/>
  <c r="I317" i="1"/>
  <c r="C317" i="1"/>
  <c r="K316" i="1"/>
  <c r="I316" i="1"/>
  <c r="C316" i="1"/>
  <c r="K315" i="1"/>
  <c r="I315" i="1"/>
  <c r="C315" i="1"/>
  <c r="K314" i="1"/>
  <c r="I314" i="1"/>
  <c r="C314" i="1"/>
  <c r="K313" i="1"/>
  <c r="I313" i="1"/>
  <c r="C313" i="1"/>
  <c r="K312" i="1"/>
  <c r="I312" i="1"/>
  <c r="C312" i="1"/>
  <c r="K311" i="1"/>
  <c r="I311" i="1"/>
  <c r="C311" i="1"/>
  <c r="K310" i="1"/>
  <c r="I310" i="1"/>
  <c r="C310" i="1"/>
  <c r="K309" i="1"/>
  <c r="I309" i="1"/>
  <c r="C309" i="1"/>
  <c r="K308" i="1"/>
  <c r="I308" i="1"/>
  <c r="C308" i="1"/>
  <c r="K307" i="1"/>
  <c r="I307" i="1"/>
  <c r="C307" i="1"/>
  <c r="K306" i="1"/>
  <c r="I306" i="1"/>
  <c r="C306" i="1"/>
  <c r="K305" i="1"/>
  <c r="I305" i="1"/>
  <c r="C305" i="1"/>
  <c r="K304" i="1"/>
  <c r="I304" i="1"/>
  <c r="C304" i="1"/>
  <c r="K303" i="1"/>
  <c r="I303" i="1"/>
  <c r="C303" i="1"/>
  <c r="K302" i="1"/>
  <c r="I302" i="1"/>
  <c r="C302" i="1"/>
  <c r="K301" i="1"/>
  <c r="I301" i="1"/>
  <c r="C301" i="1"/>
  <c r="K300" i="1"/>
  <c r="I300" i="1"/>
  <c r="C300" i="1"/>
  <c r="K299" i="1"/>
  <c r="I299" i="1"/>
  <c r="C299" i="1"/>
  <c r="K298" i="1"/>
  <c r="I298" i="1"/>
  <c r="C298" i="1"/>
  <c r="K297" i="1"/>
  <c r="I297" i="1"/>
  <c r="C297" i="1"/>
  <c r="K296" i="1"/>
  <c r="I296" i="1"/>
  <c r="C296" i="1"/>
  <c r="K295" i="1"/>
  <c r="I295" i="1"/>
  <c r="C295" i="1"/>
  <c r="K294" i="1"/>
  <c r="I294" i="1"/>
  <c r="C294" i="1"/>
  <c r="K293" i="1"/>
  <c r="I293" i="1"/>
  <c r="C293" i="1"/>
  <c r="K292" i="1"/>
  <c r="I292" i="1"/>
  <c r="C292" i="1"/>
  <c r="K291" i="1"/>
  <c r="I291" i="1"/>
  <c r="C291" i="1"/>
  <c r="K290" i="1"/>
  <c r="I290" i="1"/>
  <c r="C290" i="1"/>
  <c r="K289" i="1"/>
  <c r="I289" i="1"/>
  <c r="C289" i="1"/>
  <c r="K288" i="1"/>
  <c r="I288" i="1"/>
  <c r="C288" i="1"/>
  <c r="K287" i="1"/>
  <c r="I287" i="1"/>
  <c r="C287" i="1"/>
  <c r="K286" i="1"/>
  <c r="I286" i="1"/>
  <c r="C286" i="1"/>
  <c r="K285" i="1"/>
  <c r="I285" i="1"/>
  <c r="C285" i="1"/>
  <c r="K284" i="1"/>
  <c r="I284" i="1"/>
  <c r="C284" i="1"/>
  <c r="K283" i="1"/>
  <c r="I283" i="1"/>
  <c r="C283" i="1"/>
  <c r="K282" i="1"/>
  <c r="I282" i="1"/>
  <c r="C282" i="1"/>
  <c r="K281" i="1"/>
  <c r="I281" i="1"/>
  <c r="C281" i="1"/>
  <c r="K280" i="1"/>
  <c r="I280" i="1"/>
  <c r="C280" i="1"/>
  <c r="K279" i="1"/>
  <c r="I279" i="1"/>
  <c r="C279" i="1"/>
  <c r="K278" i="1"/>
  <c r="I278" i="1"/>
  <c r="C278" i="1"/>
  <c r="K277" i="1"/>
  <c r="I277" i="1"/>
  <c r="C277" i="1"/>
  <c r="K276" i="1"/>
  <c r="I276" i="1"/>
  <c r="C276" i="1"/>
  <c r="K275" i="1"/>
  <c r="I275" i="1"/>
  <c r="C275" i="1"/>
  <c r="K274" i="1"/>
  <c r="I274" i="1"/>
  <c r="C274" i="1"/>
  <c r="K273" i="1"/>
  <c r="I273" i="1"/>
  <c r="C273" i="1"/>
  <c r="K272" i="1"/>
  <c r="I272" i="1"/>
  <c r="C272" i="1"/>
  <c r="K271" i="1"/>
  <c r="I271" i="1"/>
  <c r="C271" i="1"/>
  <c r="K270" i="1"/>
  <c r="I270" i="1"/>
  <c r="C270" i="1"/>
  <c r="K269" i="1"/>
  <c r="I269" i="1"/>
  <c r="C269" i="1"/>
  <c r="K268" i="1"/>
  <c r="I268" i="1"/>
  <c r="C268" i="1"/>
  <c r="K267" i="1"/>
  <c r="I267" i="1"/>
  <c r="C267" i="1"/>
  <c r="K266" i="1"/>
  <c r="I266" i="1"/>
  <c r="C266" i="1"/>
  <c r="K265" i="1"/>
  <c r="I265" i="1"/>
  <c r="C265" i="1"/>
  <c r="K264" i="1"/>
  <c r="I264" i="1"/>
  <c r="C264" i="1"/>
  <c r="K263" i="1"/>
  <c r="I263" i="1"/>
  <c r="C263" i="1"/>
  <c r="K262" i="1"/>
  <c r="I262" i="1"/>
  <c r="C262" i="1"/>
  <c r="K261" i="1"/>
  <c r="I261" i="1"/>
  <c r="C261" i="1"/>
  <c r="K260" i="1"/>
  <c r="I260" i="1"/>
  <c r="C260" i="1"/>
  <c r="K259" i="1"/>
  <c r="I259" i="1"/>
  <c r="C259" i="1"/>
  <c r="K258" i="1"/>
  <c r="I258" i="1"/>
  <c r="C258" i="1"/>
  <c r="K257" i="1"/>
  <c r="I257" i="1"/>
  <c r="C257" i="1"/>
  <c r="K256" i="1"/>
  <c r="I256" i="1"/>
  <c r="C256" i="1"/>
  <c r="K255" i="1"/>
  <c r="I255" i="1"/>
  <c r="C255" i="1"/>
  <c r="K254" i="1"/>
  <c r="I254" i="1"/>
  <c r="C254" i="1"/>
  <c r="K253" i="1"/>
  <c r="I253" i="1"/>
  <c r="C253" i="1"/>
  <c r="K252" i="1"/>
  <c r="I252" i="1"/>
  <c r="C252" i="1"/>
  <c r="K251" i="1"/>
  <c r="I251" i="1"/>
  <c r="C251" i="1"/>
  <c r="K250" i="1"/>
  <c r="I250" i="1"/>
  <c r="C250" i="1"/>
  <c r="K249" i="1"/>
  <c r="I249" i="1"/>
  <c r="C249" i="1"/>
  <c r="K248" i="1"/>
  <c r="I248" i="1"/>
  <c r="C248" i="1"/>
  <c r="K247" i="1"/>
  <c r="I247" i="1"/>
  <c r="C247" i="1"/>
  <c r="K246" i="1"/>
  <c r="I246" i="1"/>
  <c r="C246" i="1"/>
  <c r="K245" i="1"/>
  <c r="I245" i="1"/>
  <c r="C245" i="1"/>
  <c r="K244" i="1"/>
  <c r="I244" i="1"/>
  <c r="C244" i="1"/>
  <c r="K243" i="1"/>
  <c r="I243" i="1"/>
  <c r="C243" i="1"/>
  <c r="K242" i="1"/>
  <c r="I242" i="1"/>
  <c r="C242" i="1"/>
  <c r="K241" i="1"/>
  <c r="I241" i="1"/>
  <c r="C241" i="1"/>
  <c r="K240" i="1"/>
  <c r="I240" i="1"/>
  <c r="C240" i="1"/>
  <c r="K239" i="1"/>
  <c r="I239" i="1"/>
  <c r="C239" i="1"/>
  <c r="K238" i="1"/>
  <c r="I238" i="1"/>
  <c r="C238" i="1"/>
  <c r="K237" i="1"/>
  <c r="I237" i="1"/>
  <c r="C237" i="1"/>
  <c r="K236" i="1"/>
  <c r="I236" i="1"/>
  <c r="C236" i="1"/>
  <c r="K235" i="1"/>
  <c r="I235" i="1"/>
  <c r="C235" i="1"/>
  <c r="K234" i="1"/>
  <c r="I234" i="1"/>
  <c r="C234" i="1"/>
  <c r="K233" i="1"/>
  <c r="I233" i="1"/>
  <c r="C233" i="1"/>
  <c r="K232" i="1"/>
  <c r="I232" i="1"/>
  <c r="C232" i="1"/>
  <c r="K231" i="1"/>
  <c r="I231" i="1"/>
  <c r="C231" i="1"/>
  <c r="K230" i="1"/>
  <c r="I230" i="1"/>
  <c r="C230" i="1"/>
  <c r="K229" i="1"/>
  <c r="I229" i="1"/>
  <c r="C229" i="1"/>
  <c r="K228" i="1"/>
  <c r="I228" i="1"/>
  <c r="C228" i="1"/>
  <c r="K227" i="1"/>
  <c r="I227" i="1"/>
  <c r="C227" i="1"/>
  <c r="K226" i="1"/>
  <c r="I226" i="1"/>
  <c r="C226" i="1"/>
  <c r="K225" i="1"/>
  <c r="I225" i="1"/>
  <c r="C225" i="1"/>
  <c r="K224" i="1"/>
  <c r="I224" i="1"/>
  <c r="C224" i="1"/>
  <c r="K223" i="1"/>
  <c r="I223" i="1"/>
  <c r="C223" i="1"/>
  <c r="K222" i="1"/>
  <c r="I222" i="1"/>
  <c r="C222" i="1"/>
  <c r="K221" i="1"/>
  <c r="I221" i="1"/>
  <c r="C221" i="1"/>
  <c r="K220" i="1"/>
  <c r="I220" i="1"/>
  <c r="C220" i="1"/>
  <c r="K219" i="1"/>
  <c r="I219" i="1"/>
  <c r="C219" i="1"/>
  <c r="K218" i="1"/>
  <c r="I218" i="1"/>
  <c r="C218" i="1"/>
  <c r="K217" i="1"/>
  <c r="I217" i="1"/>
  <c r="C217" i="1"/>
  <c r="K216" i="1"/>
  <c r="I216" i="1"/>
  <c r="C216" i="1"/>
  <c r="K215" i="1"/>
  <c r="I215" i="1"/>
  <c r="C215" i="1"/>
  <c r="K214" i="1"/>
  <c r="I214" i="1"/>
  <c r="C214" i="1"/>
  <c r="K213" i="1"/>
  <c r="I213" i="1"/>
  <c r="C213" i="1"/>
  <c r="K212" i="1"/>
  <c r="I212" i="1"/>
  <c r="C212" i="1"/>
  <c r="K211" i="1"/>
  <c r="I211" i="1"/>
  <c r="C211" i="1"/>
  <c r="K210" i="1"/>
  <c r="I210" i="1"/>
  <c r="C210" i="1"/>
  <c r="K209" i="1"/>
  <c r="I209" i="1"/>
  <c r="C209" i="1"/>
  <c r="K208" i="1"/>
  <c r="I208" i="1"/>
  <c r="C208" i="1"/>
  <c r="K207" i="1"/>
  <c r="I207" i="1"/>
  <c r="C207" i="1"/>
  <c r="K206" i="1"/>
  <c r="I206" i="1"/>
  <c r="C206" i="1"/>
  <c r="K205" i="1"/>
  <c r="I205" i="1"/>
  <c r="C205" i="1"/>
  <c r="K204" i="1"/>
  <c r="I204" i="1"/>
  <c r="C204" i="1"/>
  <c r="K203" i="1"/>
  <c r="I203" i="1"/>
  <c r="C203" i="1"/>
  <c r="K202" i="1"/>
  <c r="I202" i="1"/>
  <c r="C202" i="1"/>
  <c r="K201" i="1"/>
  <c r="I201" i="1"/>
  <c r="C201" i="1"/>
  <c r="K200" i="1"/>
  <c r="I200" i="1"/>
  <c r="C200" i="1"/>
  <c r="K199" i="1"/>
  <c r="I199" i="1"/>
  <c r="C199" i="1"/>
  <c r="K198" i="1"/>
  <c r="I198" i="1"/>
  <c r="C198" i="1"/>
  <c r="K197" i="1"/>
  <c r="I197" i="1"/>
  <c r="C197" i="1"/>
  <c r="K196" i="1"/>
  <c r="I196" i="1"/>
  <c r="C196" i="1"/>
  <c r="K195" i="1"/>
  <c r="I195" i="1"/>
  <c r="C195" i="1"/>
  <c r="K194" i="1"/>
  <c r="I194" i="1"/>
  <c r="C194" i="1"/>
  <c r="K193" i="1"/>
  <c r="I193" i="1"/>
  <c r="C193" i="1"/>
  <c r="K192" i="1"/>
  <c r="I192" i="1"/>
  <c r="C192" i="1"/>
  <c r="K191" i="1"/>
  <c r="I191" i="1"/>
  <c r="C191" i="1"/>
  <c r="K190" i="1"/>
  <c r="I190" i="1"/>
  <c r="C190" i="1"/>
  <c r="K189" i="1"/>
  <c r="I189" i="1"/>
  <c r="C189" i="1"/>
  <c r="K188" i="1"/>
  <c r="I188" i="1"/>
  <c r="C188" i="1"/>
  <c r="K187" i="1"/>
  <c r="I187" i="1"/>
  <c r="C187" i="1"/>
  <c r="K186" i="1"/>
  <c r="I186" i="1"/>
  <c r="C186" i="1"/>
  <c r="K185" i="1"/>
  <c r="I185" i="1"/>
  <c r="C185" i="1"/>
  <c r="K184" i="1"/>
  <c r="I184" i="1"/>
  <c r="C184" i="1"/>
  <c r="K183" i="1"/>
  <c r="I183" i="1"/>
  <c r="C183" i="1"/>
  <c r="K182" i="1"/>
  <c r="I182" i="1"/>
  <c r="C182" i="1"/>
  <c r="K181" i="1"/>
  <c r="I181" i="1"/>
  <c r="C181" i="1"/>
  <c r="K180" i="1"/>
  <c r="I180" i="1"/>
  <c r="C180" i="1"/>
  <c r="K179" i="1"/>
  <c r="I179" i="1"/>
  <c r="C179" i="1"/>
  <c r="K178" i="1"/>
  <c r="I178" i="1"/>
  <c r="C178" i="1"/>
  <c r="K177" i="1"/>
  <c r="I177" i="1"/>
  <c r="C177" i="1"/>
  <c r="K176" i="1"/>
  <c r="I176" i="1"/>
  <c r="C176" i="1"/>
  <c r="K175" i="1"/>
  <c r="I175" i="1"/>
  <c r="C175" i="1"/>
  <c r="K174" i="1"/>
  <c r="I174" i="1"/>
  <c r="C174" i="1"/>
  <c r="K173" i="1"/>
  <c r="I173" i="1"/>
  <c r="C173" i="1"/>
  <c r="K172" i="1"/>
  <c r="I172" i="1"/>
  <c r="C172" i="1"/>
  <c r="K171" i="1"/>
  <c r="I171" i="1"/>
  <c r="C171" i="1"/>
  <c r="K170" i="1"/>
  <c r="I170" i="1"/>
  <c r="C170" i="1"/>
  <c r="K169" i="1"/>
  <c r="I169" i="1"/>
  <c r="C169" i="1"/>
  <c r="K168" i="1"/>
  <c r="I168" i="1"/>
  <c r="C168" i="1"/>
  <c r="K167" i="1"/>
  <c r="I167" i="1"/>
  <c r="C167" i="1"/>
  <c r="K166" i="1"/>
  <c r="I166" i="1"/>
  <c r="C166" i="1"/>
  <c r="K165" i="1"/>
  <c r="I165" i="1"/>
  <c r="C165" i="1"/>
  <c r="K164" i="1"/>
  <c r="I164" i="1"/>
  <c r="C164" i="1"/>
  <c r="K163" i="1"/>
  <c r="I163" i="1"/>
  <c r="C163" i="1"/>
  <c r="K162" i="1"/>
  <c r="I162" i="1"/>
  <c r="C162" i="1"/>
  <c r="K161" i="1"/>
  <c r="I161" i="1"/>
  <c r="C161" i="1"/>
  <c r="K160" i="1"/>
  <c r="I160" i="1"/>
  <c r="C160" i="1"/>
  <c r="K159" i="1"/>
  <c r="I159" i="1"/>
  <c r="C159" i="1"/>
  <c r="K158" i="1"/>
  <c r="I158" i="1"/>
  <c r="C158" i="1"/>
  <c r="K157" i="1"/>
  <c r="I157" i="1"/>
  <c r="C157" i="1"/>
  <c r="K156" i="1"/>
  <c r="I156" i="1"/>
  <c r="C156" i="1"/>
  <c r="K155" i="1"/>
  <c r="I155" i="1"/>
  <c r="C155" i="1"/>
  <c r="K154" i="1"/>
  <c r="I154" i="1"/>
  <c r="C154" i="1"/>
  <c r="K153" i="1"/>
  <c r="I153" i="1"/>
  <c r="C153" i="1"/>
  <c r="K152" i="1"/>
  <c r="I152" i="1"/>
  <c r="C152" i="1"/>
  <c r="K151" i="1"/>
  <c r="I151" i="1"/>
  <c r="C151" i="1"/>
  <c r="K150" i="1"/>
  <c r="I150" i="1"/>
  <c r="C150" i="1"/>
  <c r="K149" i="1"/>
  <c r="I149" i="1"/>
  <c r="C149" i="1"/>
  <c r="K148" i="1"/>
  <c r="I148" i="1"/>
  <c r="C148" i="1"/>
  <c r="K147" i="1"/>
  <c r="I147" i="1"/>
  <c r="C147" i="1"/>
  <c r="K146" i="1"/>
  <c r="I146" i="1"/>
  <c r="C146" i="1"/>
  <c r="K145" i="1"/>
  <c r="I145" i="1"/>
  <c r="C145" i="1"/>
  <c r="K144" i="1"/>
  <c r="I144" i="1"/>
  <c r="C144" i="1"/>
  <c r="K143" i="1"/>
  <c r="I143" i="1"/>
  <c r="C143" i="1"/>
  <c r="K142" i="1"/>
  <c r="I142" i="1"/>
  <c r="C142" i="1"/>
  <c r="K141" i="1"/>
  <c r="I141" i="1"/>
  <c r="C141" i="1"/>
  <c r="K140" i="1"/>
  <c r="I140" i="1"/>
  <c r="C140" i="1"/>
  <c r="K139" i="1"/>
  <c r="I139" i="1"/>
  <c r="C139" i="1"/>
  <c r="K138" i="1"/>
  <c r="I138" i="1"/>
  <c r="C138" i="1"/>
  <c r="K137" i="1"/>
  <c r="I137" i="1"/>
  <c r="C137" i="1"/>
  <c r="K136" i="1"/>
  <c r="I136" i="1"/>
  <c r="C136" i="1"/>
  <c r="K135" i="1"/>
  <c r="I135" i="1"/>
  <c r="C135" i="1"/>
  <c r="K134" i="1"/>
  <c r="I134" i="1"/>
  <c r="C134" i="1"/>
  <c r="K133" i="1"/>
  <c r="I133" i="1"/>
  <c r="C133" i="1"/>
  <c r="K132" i="1"/>
  <c r="I132" i="1"/>
  <c r="C132" i="1"/>
  <c r="K131" i="1"/>
  <c r="I131" i="1"/>
  <c r="C131" i="1"/>
  <c r="K130" i="1"/>
  <c r="I130" i="1"/>
  <c r="C130" i="1"/>
  <c r="K129" i="1"/>
  <c r="I129" i="1"/>
  <c r="C129" i="1"/>
  <c r="K128" i="1"/>
  <c r="I128" i="1"/>
  <c r="C128" i="1"/>
  <c r="K127" i="1"/>
  <c r="I127" i="1"/>
  <c r="C127" i="1"/>
  <c r="K126" i="1"/>
  <c r="I126" i="1"/>
  <c r="C126" i="1"/>
  <c r="K125" i="1"/>
  <c r="I125" i="1"/>
  <c r="C125" i="1"/>
  <c r="K124" i="1"/>
  <c r="I124" i="1"/>
  <c r="C124" i="1"/>
  <c r="K123" i="1"/>
  <c r="I123" i="1"/>
  <c r="C123" i="1"/>
  <c r="K122" i="1"/>
  <c r="I122" i="1"/>
  <c r="C122" i="1"/>
  <c r="K121" i="1"/>
  <c r="I121" i="1"/>
  <c r="C121" i="1"/>
  <c r="K120" i="1"/>
  <c r="I120" i="1"/>
  <c r="C120" i="1"/>
  <c r="K119" i="1"/>
  <c r="I119" i="1"/>
  <c r="C119" i="1"/>
  <c r="K118" i="1"/>
  <c r="I118" i="1"/>
  <c r="C118" i="1"/>
  <c r="K117" i="1"/>
  <c r="I117" i="1"/>
  <c r="C117" i="1"/>
  <c r="K116" i="1"/>
  <c r="I116" i="1"/>
  <c r="C116" i="1"/>
  <c r="K115" i="1"/>
  <c r="I115" i="1"/>
  <c r="C115" i="1"/>
  <c r="K114" i="1"/>
  <c r="I114" i="1"/>
  <c r="C114" i="1"/>
  <c r="K113" i="1"/>
  <c r="I113" i="1"/>
  <c r="C113" i="1"/>
  <c r="K112" i="1"/>
  <c r="I112" i="1"/>
  <c r="C112" i="1"/>
  <c r="K111" i="1"/>
  <c r="I111" i="1"/>
  <c r="C111" i="1"/>
  <c r="K110" i="1"/>
  <c r="I110" i="1"/>
  <c r="C110" i="1"/>
  <c r="K109" i="1"/>
  <c r="I109" i="1"/>
  <c r="C109" i="1"/>
  <c r="K108" i="1"/>
  <c r="I108" i="1"/>
  <c r="C108" i="1"/>
  <c r="K107" i="1"/>
  <c r="I107" i="1"/>
  <c r="C107" i="1"/>
  <c r="K106" i="1"/>
  <c r="I106" i="1"/>
  <c r="C106" i="1"/>
  <c r="K105" i="1"/>
  <c r="I105" i="1"/>
  <c r="C105" i="1"/>
  <c r="K104" i="1"/>
  <c r="I104" i="1"/>
  <c r="C104" i="1"/>
  <c r="K103" i="1"/>
  <c r="I103" i="1"/>
  <c r="C103" i="1"/>
  <c r="K102" i="1"/>
  <c r="I102" i="1"/>
  <c r="C102" i="1"/>
  <c r="K101" i="1"/>
  <c r="I101" i="1"/>
  <c r="C101" i="1"/>
  <c r="K100" i="1"/>
  <c r="I100" i="1"/>
  <c r="C100" i="1"/>
  <c r="K99" i="1"/>
  <c r="I99" i="1"/>
  <c r="C99" i="1"/>
  <c r="K98" i="1"/>
  <c r="I98" i="1"/>
  <c r="C98" i="1"/>
  <c r="K97" i="1"/>
  <c r="I97" i="1"/>
  <c r="C97" i="1"/>
  <c r="K96" i="1"/>
  <c r="I96" i="1"/>
  <c r="C96" i="1"/>
  <c r="K95" i="1"/>
  <c r="I95" i="1"/>
  <c r="C95" i="1"/>
  <c r="K94" i="1"/>
  <c r="I94" i="1"/>
  <c r="C94" i="1"/>
  <c r="K93" i="1"/>
  <c r="I93" i="1"/>
  <c r="C93" i="1"/>
  <c r="K92" i="1"/>
  <c r="I92" i="1"/>
  <c r="C92" i="1"/>
  <c r="K91" i="1"/>
  <c r="I91" i="1"/>
  <c r="C91" i="1"/>
  <c r="K90" i="1"/>
  <c r="I90" i="1"/>
  <c r="C90" i="1"/>
  <c r="K89" i="1"/>
  <c r="I89" i="1"/>
  <c r="C89" i="1"/>
  <c r="K88" i="1"/>
  <c r="I88" i="1"/>
  <c r="C88" i="1"/>
  <c r="K87" i="1"/>
  <c r="I87" i="1"/>
  <c r="C87" i="1"/>
  <c r="K86" i="1"/>
  <c r="I86" i="1"/>
  <c r="C86" i="1"/>
  <c r="K85" i="1"/>
  <c r="I85" i="1"/>
  <c r="C85" i="1"/>
  <c r="K84" i="1"/>
  <c r="I84" i="1"/>
  <c r="C84" i="1"/>
  <c r="K83" i="1"/>
  <c r="I83" i="1"/>
  <c r="C83" i="1"/>
  <c r="K82" i="1"/>
  <c r="I82" i="1"/>
  <c r="C82" i="1"/>
  <c r="K81" i="1"/>
  <c r="I81" i="1"/>
  <c r="C81" i="1"/>
  <c r="K80" i="1"/>
  <c r="I80" i="1"/>
  <c r="C80" i="1"/>
  <c r="K79" i="1"/>
  <c r="I79" i="1"/>
  <c r="C79" i="1"/>
  <c r="K78" i="1"/>
  <c r="I78" i="1"/>
  <c r="C78" i="1"/>
  <c r="K77" i="1"/>
  <c r="I77" i="1"/>
  <c r="C77" i="1"/>
  <c r="K76" i="1"/>
  <c r="I76" i="1"/>
  <c r="C76" i="1"/>
  <c r="K75" i="1"/>
  <c r="I75" i="1"/>
  <c r="C75" i="1"/>
  <c r="K74" i="1"/>
  <c r="I74" i="1"/>
  <c r="C74" i="1"/>
  <c r="K73" i="1"/>
  <c r="I73" i="1"/>
  <c r="C73" i="1"/>
  <c r="K72" i="1"/>
  <c r="I72" i="1"/>
  <c r="C72" i="1"/>
  <c r="K71" i="1"/>
  <c r="I71" i="1"/>
  <c r="C71" i="1"/>
  <c r="K70" i="1"/>
  <c r="I70" i="1"/>
  <c r="C70" i="1"/>
  <c r="K69" i="1"/>
  <c r="I69" i="1"/>
  <c r="C69" i="1"/>
  <c r="K68" i="1"/>
  <c r="I68" i="1"/>
  <c r="C68" i="1"/>
  <c r="K67" i="1"/>
  <c r="I67" i="1"/>
  <c r="C67" i="1"/>
  <c r="K66" i="1"/>
  <c r="I66" i="1"/>
  <c r="C66" i="1"/>
  <c r="K65" i="1"/>
  <c r="I65" i="1"/>
  <c r="C65" i="1"/>
  <c r="K64" i="1"/>
  <c r="I64" i="1"/>
  <c r="C64" i="1"/>
  <c r="K63" i="1"/>
  <c r="I63" i="1"/>
  <c r="C63" i="1"/>
  <c r="K62" i="1"/>
  <c r="I62" i="1"/>
  <c r="C62" i="1"/>
  <c r="K61" i="1"/>
  <c r="I61" i="1"/>
  <c r="C61" i="1"/>
  <c r="K60" i="1"/>
  <c r="I60" i="1"/>
  <c r="C60" i="1"/>
  <c r="K59" i="1"/>
  <c r="I59" i="1"/>
  <c r="C59" i="1"/>
  <c r="K58" i="1"/>
  <c r="I58" i="1"/>
  <c r="C58" i="1"/>
  <c r="K57" i="1"/>
  <c r="I57" i="1"/>
  <c r="C57" i="1"/>
  <c r="K56" i="1"/>
  <c r="I56" i="1"/>
  <c r="C56" i="1"/>
  <c r="K55" i="1"/>
  <c r="I55" i="1"/>
  <c r="C55" i="1"/>
  <c r="K54" i="1"/>
  <c r="I54" i="1"/>
  <c r="C54" i="1"/>
  <c r="K53" i="1"/>
  <c r="I53" i="1"/>
  <c r="C53" i="1"/>
  <c r="K52" i="1"/>
  <c r="I52" i="1"/>
  <c r="C52" i="1"/>
  <c r="K51" i="1"/>
  <c r="I51" i="1"/>
  <c r="C51" i="1"/>
  <c r="K50" i="1"/>
  <c r="I50" i="1"/>
  <c r="C50" i="1"/>
  <c r="K49" i="1"/>
  <c r="I49" i="1"/>
  <c r="C49" i="1"/>
  <c r="K48" i="1"/>
  <c r="I48" i="1"/>
  <c r="C48" i="1"/>
  <c r="K47" i="1"/>
  <c r="I47" i="1"/>
  <c r="C47" i="1"/>
  <c r="K46" i="1"/>
  <c r="I46" i="1"/>
  <c r="C46" i="1"/>
  <c r="K45" i="1"/>
  <c r="I45" i="1"/>
  <c r="C45" i="1"/>
  <c r="K44" i="1"/>
  <c r="I44" i="1"/>
  <c r="C44" i="1"/>
  <c r="K43" i="1"/>
  <c r="I43" i="1"/>
  <c r="C43" i="1"/>
  <c r="K42" i="1"/>
  <c r="I42" i="1"/>
  <c r="C42" i="1"/>
  <c r="K41" i="1"/>
  <c r="I41" i="1"/>
  <c r="C41" i="1"/>
  <c r="K40" i="1"/>
  <c r="I40" i="1"/>
  <c r="C40" i="1"/>
  <c r="K39" i="1"/>
  <c r="I39" i="1"/>
  <c r="C39" i="1"/>
  <c r="K38" i="1"/>
  <c r="I38" i="1"/>
  <c r="C38" i="1"/>
  <c r="K37" i="1"/>
  <c r="I37" i="1"/>
  <c r="C37" i="1"/>
  <c r="K36" i="1"/>
  <c r="I36" i="1"/>
  <c r="C36" i="1"/>
  <c r="K35" i="1"/>
  <c r="I35" i="1"/>
  <c r="C35" i="1"/>
  <c r="K34" i="1"/>
  <c r="I34" i="1"/>
  <c r="C34" i="1"/>
  <c r="K33" i="1"/>
  <c r="I33" i="1"/>
  <c r="C33" i="1"/>
  <c r="K32" i="1"/>
  <c r="I32" i="1"/>
  <c r="C32" i="1"/>
  <c r="K31" i="1"/>
  <c r="I31" i="1"/>
  <c r="C31" i="1"/>
  <c r="K30" i="1"/>
  <c r="I30" i="1"/>
  <c r="C30" i="1"/>
  <c r="K29" i="1"/>
  <c r="I29" i="1"/>
  <c r="C29" i="1"/>
  <c r="K28" i="1"/>
  <c r="I28" i="1"/>
  <c r="C28" i="1"/>
  <c r="K27" i="1"/>
  <c r="I27" i="1"/>
  <c r="C27" i="1"/>
  <c r="K26" i="1"/>
  <c r="I26" i="1"/>
  <c r="C26" i="1"/>
  <c r="K25" i="1"/>
  <c r="I25" i="1"/>
  <c r="C25" i="1"/>
  <c r="K24" i="1"/>
  <c r="I24" i="1"/>
  <c r="C24" i="1"/>
  <c r="K23" i="1"/>
  <c r="I23" i="1"/>
  <c r="C23" i="1"/>
  <c r="K22" i="1"/>
  <c r="I22" i="1"/>
  <c r="C22" i="1"/>
  <c r="K21" i="1"/>
  <c r="I21" i="1"/>
  <c r="C21" i="1"/>
  <c r="K20" i="1"/>
  <c r="I20" i="1"/>
  <c r="C20" i="1"/>
  <c r="K19" i="1"/>
  <c r="I19" i="1"/>
  <c r="C19" i="1"/>
  <c r="K18" i="1"/>
  <c r="I18" i="1"/>
  <c r="C18" i="1"/>
  <c r="K17" i="1"/>
  <c r="I17" i="1"/>
  <c r="C17" i="1"/>
  <c r="K16" i="1"/>
  <c r="I16" i="1"/>
  <c r="C16" i="1"/>
  <c r="K15" i="1"/>
  <c r="I15" i="1"/>
  <c r="C15" i="1"/>
  <c r="K14" i="1"/>
  <c r="I14" i="1"/>
  <c r="C14" i="1"/>
  <c r="K13" i="1"/>
  <c r="I13" i="1"/>
  <c r="C13" i="1"/>
  <c r="K12" i="1"/>
  <c r="I12" i="1"/>
  <c r="C12" i="1"/>
  <c r="K11" i="1"/>
  <c r="I11" i="1"/>
  <c r="C11" i="1"/>
  <c r="K10" i="1"/>
  <c r="I10" i="1"/>
  <c r="C10" i="1"/>
  <c r="K9" i="1"/>
  <c r="I9" i="1"/>
  <c r="C9" i="1"/>
  <c r="K8" i="1"/>
  <c r="I8" i="1"/>
  <c r="C8" i="1"/>
  <c r="K7" i="1"/>
  <c r="I7" i="1"/>
  <c r="C7" i="1"/>
  <c r="K6" i="1"/>
  <c r="I6" i="1"/>
  <c r="C6" i="1"/>
  <c r="K5" i="1"/>
  <c r="I5" i="1"/>
  <c r="C5" i="1"/>
  <c r="K4" i="1"/>
  <c r="I4" i="1"/>
  <c r="C4" i="1"/>
</calcChain>
</file>

<file path=xl/comments1.xml><?xml version="1.0" encoding="utf-8"?>
<comments xmlns="http://schemas.openxmlformats.org/spreadsheetml/2006/main">
  <authors>
    <author>Administrator</author>
  </authors>
  <commentList>
    <comment ref="E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1=克制伤害类
2=克制回复类
3=克制防御类</t>
        </r>
      </text>
    </comment>
    <comment ref="K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客户端使用，描述变量</t>
        </r>
      </text>
    </comment>
  </commentList>
</comments>
</file>

<file path=xl/sharedStrings.xml><?xml version="1.0" encoding="utf-8"?>
<sst xmlns="http://schemas.openxmlformats.org/spreadsheetml/2006/main" count="1636" uniqueCount="59">
  <si>
    <t>Id</t>
  </si>
  <si>
    <t>HolyId</t>
  </si>
  <si>
    <t>Name</t>
  </si>
  <si>
    <t>Notes1</t>
  </si>
  <si>
    <t>Type</t>
  </si>
  <si>
    <t>Lv</t>
  </si>
  <si>
    <t>Consume1</t>
  </si>
  <si>
    <t>Consume2</t>
  </si>
  <si>
    <t>Doc</t>
  </si>
  <si>
    <t>Notes2</t>
  </si>
  <si>
    <t>Common</t>
  </si>
  <si>
    <t>ItemID</t>
  </si>
  <si>
    <t>Int</t>
  </si>
  <si>
    <t>String</t>
  </si>
  <si>
    <t>int</t>
  </si>
  <si>
    <t>序ID</t>
  </si>
  <si>
    <t>圣物ID</t>
  </si>
  <si>
    <t>圣物名称</t>
  </si>
  <si>
    <t>名称备注</t>
  </si>
  <si>
    <t>圣物类型</t>
  </si>
  <si>
    <t>圣物等级</t>
  </si>
  <si>
    <t>消耗的圣物碎片</t>
  </si>
  <si>
    <t>消耗的钻石</t>
  </si>
  <si>
    <t>圣物描述</t>
  </si>
  <si>
    <t>描述备注</t>
  </si>
  <si>
    <t>圣物效果参数</t>
  </si>
  <si>
    <t>功能图标</t>
  </si>
  <si>
    <t>克制狂暴圣物</t>
  </si>
  <si>
    <t>怪物的暴击率与爆伤减少{0}</t>
  </si>
  <si>
    <t>克制急速圣物</t>
  </si>
  <si>
    <t>怪物攻击速度降低{0}</t>
  </si>
  <si>
    <t>克制巨力圣物</t>
  </si>
  <si>
    <t>减少怪物{0}的伤害加成</t>
  </si>
  <si>
    <t>克制破甲圣物</t>
  </si>
  <si>
    <t>怪物的无视防御属性降低{0}</t>
  </si>
  <si>
    <t>克制眩晕圣物</t>
  </si>
  <si>
    <t>怪物的眩晕概率降低{0}</t>
  </si>
  <si>
    <t>克制反击圣物</t>
  </si>
  <si>
    <t>怪物的反击概率降低{0}</t>
  </si>
  <si>
    <t>克制连击圣物</t>
  </si>
  <si>
    <t>怪物的连击概率降低{0}</t>
  </si>
  <si>
    <t>克制回血圣物</t>
  </si>
  <si>
    <t>减少怪物{0}的回复效果</t>
  </si>
  <si>
    <t>克制吸血鬼圣物</t>
  </si>
  <si>
    <t>怪物的吸血属性降低{0}</t>
  </si>
  <si>
    <t>克制复活圣物</t>
  </si>
  <si>
    <t>怪物复活后HP百分比降低{0}</t>
  </si>
  <si>
    <t>克制伤害吸收圣物</t>
  </si>
  <si>
    <t>怪物的减伤属性降低{0}</t>
  </si>
  <si>
    <t>克制铁壁圣物</t>
  </si>
  <si>
    <t>减少怪物{0}的防御加成</t>
  </si>
  <si>
    <t>克制招架大师圣物</t>
  </si>
  <si>
    <t>减少怪物{0}格挡率与格挡值</t>
  </si>
  <si>
    <t>克制舞者圣物</t>
  </si>
  <si>
    <t>怪物闪避属性降低{0}</t>
  </si>
  <si>
    <t>克制虚弱圣物</t>
  </si>
  <si>
    <t>玩家伤害的降低比例减少{0}</t>
  </si>
  <si>
    <t>克制致残圣物</t>
  </si>
  <si>
    <t>玩家攻速的降低比例减少{0}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</si>
</sst>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unk/&#31574;&#21010;&#25991;&#26723;/&#30127;&#29378;&#21866;&#22047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属性库"/>
      <sheetName val="数据结构"/>
      <sheetName val="2.0版本属性投放"/>
      <sheetName val="战斗公式"/>
      <sheetName val="角色-秘典"/>
      <sheetName val="角色-突破"/>
      <sheetName val="角色-技能"/>
      <sheetName val="角色-天赋"/>
      <sheetName val="装备-开箱属性"/>
      <sheetName val="装备-开箱词条"/>
      <sheetName val="传承装备数值"/>
      <sheetName val="神器数值"/>
      <sheetName val="宠物-升级数值"/>
      <sheetName val="宠物-天赋"/>
      <sheetName val="宠物技能书"/>
      <sheetName val="圣物数值"/>
      <sheetName val="怪物词条"/>
      <sheetName val="商业化价值框架"/>
      <sheetName val="产销设计"/>
      <sheetName val="音效清单"/>
      <sheetName val="玩家行为预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>
            <v>1.7999999999999999E-2</v>
          </cell>
        </row>
        <row r="3">
          <cell r="C3">
            <v>3.5999999999999997E-2</v>
          </cell>
        </row>
        <row r="4">
          <cell r="C4">
            <v>5.3999999999999999E-2</v>
          </cell>
        </row>
        <row r="5">
          <cell r="C5">
            <v>7.1999999999999995E-2</v>
          </cell>
        </row>
        <row r="6">
          <cell r="C6">
            <v>0.09</v>
          </cell>
        </row>
        <row r="7">
          <cell r="C7">
            <v>0.108</v>
          </cell>
        </row>
        <row r="8">
          <cell r="C8">
            <v>0.126</v>
          </cell>
        </row>
        <row r="9">
          <cell r="C9">
            <v>0.14399999999999999</v>
          </cell>
        </row>
        <row r="10">
          <cell r="C10">
            <v>0.16200000000000001</v>
          </cell>
        </row>
        <row r="11">
          <cell r="C11">
            <v>0.18</v>
          </cell>
        </row>
        <row r="12">
          <cell r="C12">
            <v>0.19800000000000001</v>
          </cell>
        </row>
        <row r="13">
          <cell r="C13">
            <v>0.216</v>
          </cell>
        </row>
        <row r="14">
          <cell r="C14">
            <v>0.23400000000000001</v>
          </cell>
        </row>
        <row r="15">
          <cell r="C15">
            <v>0.252</v>
          </cell>
        </row>
        <row r="16">
          <cell r="C16">
            <v>0.27</v>
          </cell>
        </row>
        <row r="17">
          <cell r="C17">
            <v>0.28799999999999998</v>
          </cell>
        </row>
        <row r="18">
          <cell r="C18">
            <v>0.30599999999999999</v>
          </cell>
        </row>
        <row r="19">
          <cell r="C19">
            <v>0.32400000000000001</v>
          </cell>
        </row>
        <row r="20">
          <cell r="C20">
            <v>0.34200000000000003</v>
          </cell>
        </row>
        <row r="21">
          <cell r="C21">
            <v>0.36</v>
          </cell>
        </row>
        <row r="22">
          <cell r="C22">
            <v>0.378</v>
          </cell>
        </row>
        <row r="23">
          <cell r="C23">
            <v>0.39600000000000002</v>
          </cell>
        </row>
        <row r="24">
          <cell r="C24">
            <v>0.41399999999999998</v>
          </cell>
        </row>
        <row r="25">
          <cell r="C25">
            <v>0.432</v>
          </cell>
        </row>
        <row r="26">
          <cell r="C26">
            <v>0.45</v>
          </cell>
        </row>
        <row r="27">
          <cell r="C27">
            <v>0.46800000000000003</v>
          </cell>
        </row>
        <row r="28">
          <cell r="C28">
            <v>0.48599999999999999</v>
          </cell>
        </row>
        <row r="29">
          <cell r="C29">
            <v>0.504</v>
          </cell>
        </row>
        <row r="30">
          <cell r="C30">
            <v>0.52200000000000002</v>
          </cell>
        </row>
        <row r="31">
          <cell r="C31">
            <v>0.54</v>
          </cell>
        </row>
        <row r="32">
          <cell r="C32">
            <v>0.55800000000000005</v>
          </cell>
        </row>
        <row r="33">
          <cell r="C33">
            <v>0.57599999999999996</v>
          </cell>
        </row>
        <row r="34">
          <cell r="C34">
            <v>0.59399999999999997</v>
          </cell>
        </row>
        <row r="35">
          <cell r="C35">
            <v>0.61199999999999999</v>
          </cell>
        </row>
        <row r="36">
          <cell r="C36">
            <v>0.63</v>
          </cell>
        </row>
        <row r="37">
          <cell r="C37">
            <v>0.64800000000000002</v>
          </cell>
        </row>
        <row r="38">
          <cell r="C38">
            <v>0.66600000000000004</v>
          </cell>
        </row>
        <row r="39">
          <cell r="C39">
            <v>0.68400000000000005</v>
          </cell>
        </row>
        <row r="40">
          <cell r="C40">
            <v>0.70199999999999996</v>
          </cell>
        </row>
        <row r="41">
          <cell r="C41">
            <v>0.72</v>
          </cell>
        </row>
        <row r="42">
          <cell r="C42">
            <v>0.73799999999999999</v>
          </cell>
        </row>
        <row r="43">
          <cell r="C43">
            <v>0.75600000000000001</v>
          </cell>
        </row>
        <row r="44">
          <cell r="C44">
            <v>0.77400000000000002</v>
          </cell>
        </row>
        <row r="45">
          <cell r="C45">
            <v>0.79200000000000004</v>
          </cell>
        </row>
        <row r="46">
          <cell r="C46">
            <v>0.81</v>
          </cell>
        </row>
        <row r="47">
          <cell r="C47">
            <v>0.82799999999999996</v>
          </cell>
        </row>
        <row r="48">
          <cell r="C48">
            <v>0.84599999999999997</v>
          </cell>
        </row>
        <row r="49">
          <cell r="C49">
            <v>0.86399999999999999</v>
          </cell>
        </row>
        <row r="50">
          <cell r="C50">
            <v>0.88200000000000001</v>
          </cell>
        </row>
        <row r="51">
          <cell r="C51">
            <v>0.9</v>
          </cell>
        </row>
        <row r="52">
          <cell r="C52">
            <v>1.4999999999999999E-2</v>
          </cell>
        </row>
        <row r="53">
          <cell r="C53">
            <v>0.03</v>
          </cell>
        </row>
        <row r="54">
          <cell r="C54">
            <v>4.4999999999999998E-2</v>
          </cell>
        </row>
        <row r="55">
          <cell r="C55">
            <v>0.06</v>
          </cell>
        </row>
        <row r="56">
          <cell r="C56">
            <v>7.4999999999999997E-2</v>
          </cell>
        </row>
        <row r="57">
          <cell r="C57">
            <v>0.09</v>
          </cell>
        </row>
        <row r="58">
          <cell r="C58">
            <v>0.105</v>
          </cell>
        </row>
        <row r="59">
          <cell r="C59">
            <v>0.12</v>
          </cell>
        </row>
        <row r="60">
          <cell r="C60">
            <v>0.13500000000000001</v>
          </cell>
        </row>
        <row r="61">
          <cell r="C61">
            <v>0.15</v>
          </cell>
        </row>
        <row r="62">
          <cell r="C62">
            <v>0.16500000000000001</v>
          </cell>
        </row>
        <row r="63">
          <cell r="C63">
            <v>0.18</v>
          </cell>
        </row>
        <row r="64">
          <cell r="C64">
            <v>0.19500000000000001</v>
          </cell>
        </row>
        <row r="65">
          <cell r="C65">
            <v>0.21</v>
          </cell>
        </row>
        <row r="66">
          <cell r="C66">
            <v>0.22500000000000001</v>
          </cell>
        </row>
        <row r="67">
          <cell r="C67">
            <v>0.24</v>
          </cell>
        </row>
        <row r="68">
          <cell r="C68">
            <v>0.255</v>
          </cell>
        </row>
        <row r="69">
          <cell r="C69">
            <v>0.27</v>
          </cell>
        </row>
        <row r="70">
          <cell r="C70">
            <v>0.28499999999999998</v>
          </cell>
        </row>
        <row r="71">
          <cell r="C71">
            <v>0.3</v>
          </cell>
        </row>
        <row r="72">
          <cell r="C72">
            <v>0.315</v>
          </cell>
        </row>
        <row r="73">
          <cell r="C73">
            <v>0.33</v>
          </cell>
        </row>
        <row r="74">
          <cell r="C74">
            <v>0.34499999999999997</v>
          </cell>
        </row>
        <row r="75">
          <cell r="C75">
            <v>0.36</v>
          </cell>
        </row>
        <row r="76">
          <cell r="C76">
            <v>0.375</v>
          </cell>
        </row>
        <row r="77">
          <cell r="C77">
            <v>0.39</v>
          </cell>
        </row>
        <row r="78">
          <cell r="C78">
            <v>0.40500000000000003</v>
          </cell>
        </row>
        <row r="79">
          <cell r="C79">
            <v>0.42</v>
          </cell>
        </row>
        <row r="80">
          <cell r="C80">
            <v>0.435</v>
          </cell>
        </row>
        <row r="81">
          <cell r="C81">
            <v>0.45</v>
          </cell>
        </row>
        <row r="82">
          <cell r="C82">
            <v>0.46500000000000002</v>
          </cell>
        </row>
        <row r="83">
          <cell r="C83">
            <v>0.48</v>
          </cell>
        </row>
        <row r="84">
          <cell r="C84">
            <v>0.495</v>
          </cell>
        </row>
        <row r="85">
          <cell r="C85">
            <v>0.51</v>
          </cell>
        </row>
        <row r="86">
          <cell r="C86">
            <v>0.52500000000000002</v>
          </cell>
        </row>
        <row r="87">
          <cell r="C87">
            <v>0.54</v>
          </cell>
        </row>
        <row r="88">
          <cell r="C88">
            <v>0.55500000000000005</v>
          </cell>
        </row>
        <row r="89">
          <cell r="C89">
            <v>0.56999999999999995</v>
          </cell>
        </row>
        <row r="90">
          <cell r="C90">
            <v>0.58499999999999996</v>
          </cell>
        </row>
        <row r="91">
          <cell r="C91">
            <v>0.6</v>
          </cell>
        </row>
        <row r="92">
          <cell r="C92">
            <v>0.61499999999999999</v>
          </cell>
        </row>
        <row r="93">
          <cell r="C93">
            <v>0.63</v>
          </cell>
        </row>
        <row r="94">
          <cell r="C94">
            <v>0.64500000000000002</v>
          </cell>
        </row>
        <row r="95">
          <cell r="C95">
            <v>0.66</v>
          </cell>
        </row>
        <row r="96">
          <cell r="C96">
            <v>0.67500000000000004</v>
          </cell>
        </row>
        <row r="97">
          <cell r="C97">
            <v>0.69</v>
          </cell>
        </row>
        <row r="98">
          <cell r="C98">
            <v>0.70499999999999996</v>
          </cell>
        </row>
        <row r="99">
          <cell r="C99">
            <v>0.72</v>
          </cell>
        </row>
        <row r="100">
          <cell r="C100">
            <v>0.73499999999999999</v>
          </cell>
        </row>
        <row r="101">
          <cell r="C101">
            <v>0.75</v>
          </cell>
        </row>
        <row r="102">
          <cell r="C102">
            <v>0.02</v>
          </cell>
        </row>
        <row r="103">
          <cell r="C103">
            <v>0.04</v>
          </cell>
        </row>
        <row r="104">
          <cell r="C104">
            <v>0.06</v>
          </cell>
        </row>
        <row r="105">
          <cell r="C105">
            <v>0.08</v>
          </cell>
        </row>
        <row r="106">
          <cell r="C106">
            <v>0.1</v>
          </cell>
        </row>
        <row r="107">
          <cell r="C107">
            <v>0.12</v>
          </cell>
        </row>
        <row r="108">
          <cell r="C108">
            <v>0.14000000000000001</v>
          </cell>
        </row>
        <row r="109">
          <cell r="C109">
            <v>0.16</v>
          </cell>
        </row>
        <row r="110">
          <cell r="C110">
            <v>0.18</v>
          </cell>
        </row>
        <row r="111">
          <cell r="C111">
            <v>0.2</v>
          </cell>
        </row>
        <row r="112">
          <cell r="C112">
            <v>0.22</v>
          </cell>
        </row>
        <row r="113">
          <cell r="C113">
            <v>0.24</v>
          </cell>
        </row>
        <row r="114">
          <cell r="C114">
            <v>0.26</v>
          </cell>
        </row>
        <row r="115">
          <cell r="C115">
            <v>0.28000000000000003</v>
          </cell>
        </row>
        <row r="116">
          <cell r="C116">
            <v>0.3</v>
          </cell>
        </row>
        <row r="117">
          <cell r="C117">
            <v>0.32</v>
          </cell>
        </row>
        <row r="118">
          <cell r="C118">
            <v>0.34</v>
          </cell>
        </row>
        <row r="119">
          <cell r="C119">
            <v>0.36</v>
          </cell>
        </row>
        <row r="120">
          <cell r="C120">
            <v>0.38</v>
          </cell>
        </row>
        <row r="121">
          <cell r="C121">
            <v>0.4</v>
          </cell>
        </row>
        <row r="122">
          <cell r="C122">
            <v>0.42</v>
          </cell>
        </row>
        <row r="123">
          <cell r="C123">
            <v>0.44</v>
          </cell>
        </row>
        <row r="124">
          <cell r="C124">
            <v>0.46</v>
          </cell>
        </row>
        <row r="125">
          <cell r="C125">
            <v>0.48</v>
          </cell>
        </row>
        <row r="126">
          <cell r="C126">
            <v>0.5</v>
          </cell>
        </row>
        <row r="127">
          <cell r="C127">
            <v>0.52</v>
          </cell>
        </row>
        <row r="128">
          <cell r="C128">
            <v>0.54</v>
          </cell>
        </row>
        <row r="129">
          <cell r="C129">
            <v>0.56000000000000005</v>
          </cell>
        </row>
        <row r="130">
          <cell r="C130">
            <v>0.57999999999999996</v>
          </cell>
        </row>
        <row r="131">
          <cell r="C131">
            <v>0.6</v>
          </cell>
        </row>
        <row r="132">
          <cell r="C132">
            <v>0.62</v>
          </cell>
        </row>
        <row r="133">
          <cell r="C133">
            <v>0.64</v>
          </cell>
        </row>
        <row r="134">
          <cell r="C134">
            <v>0.66</v>
          </cell>
        </row>
        <row r="135">
          <cell r="C135">
            <v>0.68</v>
          </cell>
        </row>
        <row r="136">
          <cell r="C136">
            <v>0.7</v>
          </cell>
        </row>
        <row r="137">
          <cell r="C137">
            <v>0.72</v>
          </cell>
        </row>
        <row r="138">
          <cell r="C138">
            <v>0.74</v>
          </cell>
        </row>
        <row r="139">
          <cell r="C139">
            <v>0.76</v>
          </cell>
        </row>
        <row r="140">
          <cell r="C140">
            <v>0.78</v>
          </cell>
        </row>
        <row r="141">
          <cell r="C141">
            <v>0.8</v>
          </cell>
        </row>
        <row r="142">
          <cell r="C142">
            <v>0.82</v>
          </cell>
        </row>
        <row r="143">
          <cell r="C143">
            <v>0.84</v>
          </cell>
        </row>
        <row r="144">
          <cell r="C144">
            <v>0.86</v>
          </cell>
        </row>
        <row r="145">
          <cell r="C145">
            <v>0.88</v>
          </cell>
        </row>
        <row r="146">
          <cell r="C146">
            <v>0.9</v>
          </cell>
        </row>
        <row r="147">
          <cell r="C147">
            <v>0.92</v>
          </cell>
        </row>
        <row r="148">
          <cell r="C148">
            <v>0.94</v>
          </cell>
        </row>
        <row r="149">
          <cell r="C149">
            <v>0.96</v>
          </cell>
        </row>
        <row r="150">
          <cell r="C150">
            <v>0.98</v>
          </cell>
        </row>
        <row r="151">
          <cell r="C151">
            <v>1</v>
          </cell>
        </row>
        <row r="152">
          <cell r="C152">
            <v>0.02</v>
          </cell>
        </row>
        <row r="153">
          <cell r="C153">
            <v>0.04</v>
          </cell>
        </row>
        <row r="154">
          <cell r="C154">
            <v>0.06</v>
          </cell>
        </row>
        <row r="155">
          <cell r="C155">
            <v>0.08</v>
          </cell>
        </row>
        <row r="156">
          <cell r="C156">
            <v>0.1</v>
          </cell>
        </row>
        <row r="157">
          <cell r="C157">
            <v>0.12</v>
          </cell>
        </row>
        <row r="158">
          <cell r="C158">
            <v>0.14000000000000001</v>
          </cell>
        </row>
        <row r="159">
          <cell r="C159">
            <v>0.16</v>
          </cell>
        </row>
        <row r="160">
          <cell r="C160">
            <v>0.18</v>
          </cell>
        </row>
        <row r="161">
          <cell r="C161">
            <v>0.2</v>
          </cell>
        </row>
        <row r="162">
          <cell r="C162">
            <v>0.22</v>
          </cell>
        </row>
        <row r="163">
          <cell r="C163">
            <v>0.24</v>
          </cell>
        </row>
        <row r="164">
          <cell r="C164">
            <v>0.26</v>
          </cell>
        </row>
        <row r="165">
          <cell r="C165">
            <v>0.28000000000000003</v>
          </cell>
        </row>
        <row r="166">
          <cell r="C166">
            <v>0.3</v>
          </cell>
        </row>
        <row r="167">
          <cell r="C167">
            <v>0.32</v>
          </cell>
        </row>
        <row r="168">
          <cell r="C168">
            <v>0.34</v>
          </cell>
        </row>
        <row r="169">
          <cell r="C169">
            <v>0.36</v>
          </cell>
        </row>
        <row r="170">
          <cell r="C170">
            <v>0.38</v>
          </cell>
        </row>
        <row r="171">
          <cell r="C171">
            <v>0.4</v>
          </cell>
        </row>
        <row r="172">
          <cell r="C172">
            <v>0.42</v>
          </cell>
        </row>
        <row r="173">
          <cell r="C173">
            <v>0.44</v>
          </cell>
        </row>
        <row r="174">
          <cell r="C174">
            <v>0.46</v>
          </cell>
        </row>
        <row r="175">
          <cell r="C175">
            <v>0.48</v>
          </cell>
        </row>
        <row r="176">
          <cell r="C176">
            <v>0.5</v>
          </cell>
        </row>
        <row r="177">
          <cell r="C177">
            <v>0.52</v>
          </cell>
        </row>
        <row r="178">
          <cell r="C178">
            <v>0.54</v>
          </cell>
        </row>
        <row r="179">
          <cell r="C179">
            <v>0.56000000000000005</v>
          </cell>
        </row>
        <row r="180">
          <cell r="C180">
            <v>0.57999999999999996</v>
          </cell>
        </row>
        <row r="181">
          <cell r="C181">
            <v>0.6</v>
          </cell>
        </row>
        <row r="182">
          <cell r="C182">
            <v>0.62</v>
          </cell>
        </row>
        <row r="183">
          <cell r="C183">
            <v>0.64</v>
          </cell>
        </row>
        <row r="184">
          <cell r="C184">
            <v>0.66</v>
          </cell>
        </row>
        <row r="185">
          <cell r="C185">
            <v>0.68</v>
          </cell>
        </row>
        <row r="186">
          <cell r="C186">
            <v>0.7</v>
          </cell>
        </row>
        <row r="187">
          <cell r="C187">
            <v>0.72</v>
          </cell>
        </row>
        <row r="188">
          <cell r="C188">
            <v>0.74</v>
          </cell>
        </row>
        <row r="189">
          <cell r="C189">
            <v>0.76</v>
          </cell>
        </row>
        <row r="190">
          <cell r="C190">
            <v>0.78</v>
          </cell>
        </row>
        <row r="191">
          <cell r="C191">
            <v>0.8</v>
          </cell>
        </row>
        <row r="192">
          <cell r="C192">
            <v>0.82</v>
          </cell>
        </row>
        <row r="193">
          <cell r="C193">
            <v>0.84</v>
          </cell>
        </row>
        <row r="194">
          <cell r="C194">
            <v>0.86</v>
          </cell>
        </row>
        <row r="195">
          <cell r="C195">
            <v>0.88</v>
          </cell>
        </row>
        <row r="196">
          <cell r="C196">
            <v>0.9</v>
          </cell>
        </row>
        <row r="197">
          <cell r="C197">
            <v>0.92</v>
          </cell>
        </row>
        <row r="198">
          <cell r="C198">
            <v>0.94</v>
          </cell>
        </row>
        <row r="199">
          <cell r="C199">
            <v>0.96</v>
          </cell>
        </row>
        <row r="200">
          <cell r="C200">
            <v>0.98</v>
          </cell>
        </row>
        <row r="201">
          <cell r="C201">
            <v>1</v>
          </cell>
        </row>
        <row r="202">
          <cell r="C202">
            <v>1.4999999999999999E-2</v>
          </cell>
        </row>
        <row r="203">
          <cell r="C203">
            <v>0.03</v>
          </cell>
        </row>
        <row r="204">
          <cell r="C204">
            <v>4.4999999999999998E-2</v>
          </cell>
        </row>
        <row r="205">
          <cell r="C205">
            <v>0.06</v>
          </cell>
        </row>
        <row r="206">
          <cell r="C206">
            <v>7.4999999999999997E-2</v>
          </cell>
        </row>
        <row r="207">
          <cell r="C207">
            <v>0.09</v>
          </cell>
        </row>
        <row r="208">
          <cell r="C208">
            <v>0.105</v>
          </cell>
        </row>
        <row r="209">
          <cell r="C209">
            <v>0.12</v>
          </cell>
        </row>
        <row r="210">
          <cell r="C210">
            <v>0.13500000000000001</v>
          </cell>
        </row>
        <row r="211">
          <cell r="C211">
            <v>0.15</v>
          </cell>
        </row>
        <row r="212">
          <cell r="C212">
            <v>0.16500000000000001</v>
          </cell>
        </row>
        <row r="213">
          <cell r="C213">
            <v>0.18</v>
          </cell>
        </row>
        <row r="214">
          <cell r="C214">
            <v>0.19500000000000001</v>
          </cell>
        </row>
        <row r="215">
          <cell r="C215">
            <v>0.21</v>
          </cell>
        </row>
        <row r="216">
          <cell r="C216">
            <v>0.22500000000000001</v>
          </cell>
        </row>
        <row r="217">
          <cell r="C217">
            <v>0.24</v>
          </cell>
        </row>
        <row r="218">
          <cell r="C218">
            <v>0.255</v>
          </cell>
        </row>
        <row r="219">
          <cell r="C219">
            <v>0.27</v>
          </cell>
        </row>
        <row r="220">
          <cell r="C220">
            <v>0.28499999999999998</v>
          </cell>
        </row>
        <row r="221">
          <cell r="C221">
            <v>0.3</v>
          </cell>
        </row>
        <row r="222">
          <cell r="C222">
            <v>0.315</v>
          </cell>
        </row>
        <row r="223">
          <cell r="C223">
            <v>0.33</v>
          </cell>
        </row>
        <row r="224">
          <cell r="C224">
            <v>0.34499999999999997</v>
          </cell>
        </row>
        <row r="225">
          <cell r="C225">
            <v>0.36</v>
          </cell>
        </row>
        <row r="226">
          <cell r="C226">
            <v>0.375</v>
          </cell>
        </row>
        <row r="227">
          <cell r="C227">
            <v>0.39</v>
          </cell>
        </row>
        <row r="228">
          <cell r="C228">
            <v>0.40500000000000003</v>
          </cell>
        </row>
        <row r="229">
          <cell r="C229">
            <v>0.42</v>
          </cell>
        </row>
        <row r="230">
          <cell r="C230">
            <v>0.435</v>
          </cell>
        </row>
        <row r="231">
          <cell r="C231">
            <v>0.45</v>
          </cell>
        </row>
        <row r="232">
          <cell r="C232">
            <v>0.46500000000000002</v>
          </cell>
        </row>
        <row r="233">
          <cell r="C233">
            <v>0.48</v>
          </cell>
        </row>
        <row r="234">
          <cell r="C234">
            <v>0.495</v>
          </cell>
        </row>
        <row r="235">
          <cell r="C235">
            <v>0.51</v>
          </cell>
        </row>
        <row r="236">
          <cell r="C236">
            <v>0.52500000000000002</v>
          </cell>
        </row>
        <row r="237">
          <cell r="C237">
            <v>0.54</v>
          </cell>
        </row>
        <row r="238">
          <cell r="C238">
            <v>0.55500000000000005</v>
          </cell>
        </row>
        <row r="239">
          <cell r="C239">
            <v>0.56999999999999995</v>
          </cell>
        </row>
        <row r="240">
          <cell r="C240">
            <v>0.58499999999999996</v>
          </cell>
        </row>
        <row r="241">
          <cell r="C241">
            <v>0.6</v>
          </cell>
        </row>
        <row r="242">
          <cell r="C242">
            <v>0.61499999999999999</v>
          </cell>
        </row>
        <row r="243">
          <cell r="C243">
            <v>0.63</v>
          </cell>
        </row>
        <row r="244">
          <cell r="C244">
            <v>0.64500000000000002</v>
          </cell>
        </row>
        <row r="245">
          <cell r="C245">
            <v>0.66</v>
          </cell>
        </row>
        <row r="246">
          <cell r="C246">
            <v>0.67500000000000004</v>
          </cell>
        </row>
        <row r="247">
          <cell r="C247">
            <v>0.69</v>
          </cell>
        </row>
        <row r="248">
          <cell r="C248">
            <v>0.70499999999999996</v>
          </cell>
        </row>
        <row r="249">
          <cell r="C249">
            <v>0.72</v>
          </cell>
        </row>
        <row r="250">
          <cell r="C250">
            <v>0.73499999999999999</v>
          </cell>
        </row>
        <row r="251">
          <cell r="C251">
            <v>0.75</v>
          </cell>
        </row>
        <row r="252">
          <cell r="C252">
            <v>1.7999999999999999E-2</v>
          </cell>
        </row>
        <row r="253">
          <cell r="C253">
            <v>0.03</v>
          </cell>
        </row>
        <row r="254">
          <cell r="C254">
            <v>4.4999999999999998E-2</v>
          </cell>
        </row>
        <row r="255">
          <cell r="C255">
            <v>0.06</v>
          </cell>
        </row>
        <row r="256">
          <cell r="C256">
            <v>7.4999999999999997E-2</v>
          </cell>
        </row>
        <row r="257">
          <cell r="C257">
            <v>0.09</v>
          </cell>
        </row>
        <row r="258">
          <cell r="C258">
            <v>0.105</v>
          </cell>
        </row>
        <row r="259">
          <cell r="C259">
            <v>0.12</v>
          </cell>
        </row>
        <row r="260">
          <cell r="C260">
            <v>0.13500000000000001</v>
          </cell>
        </row>
        <row r="261">
          <cell r="C261">
            <v>0.15</v>
          </cell>
        </row>
        <row r="262">
          <cell r="C262">
            <v>0.16500000000000001</v>
          </cell>
        </row>
        <row r="263">
          <cell r="C263">
            <v>0.18</v>
          </cell>
        </row>
        <row r="264">
          <cell r="C264">
            <v>0.19500000000000001</v>
          </cell>
        </row>
        <row r="265">
          <cell r="C265">
            <v>0.21</v>
          </cell>
        </row>
        <row r="266">
          <cell r="C266">
            <v>0.22500000000000001</v>
          </cell>
        </row>
        <row r="267">
          <cell r="C267">
            <v>0.24</v>
          </cell>
        </row>
        <row r="268">
          <cell r="C268">
            <v>0.255</v>
          </cell>
        </row>
        <row r="269">
          <cell r="C269">
            <v>0.27</v>
          </cell>
        </row>
        <row r="270">
          <cell r="C270">
            <v>0.28499999999999998</v>
          </cell>
        </row>
        <row r="271">
          <cell r="C271">
            <v>0.3</v>
          </cell>
        </row>
        <row r="272">
          <cell r="C272">
            <v>0.315</v>
          </cell>
        </row>
        <row r="273">
          <cell r="C273">
            <v>0.33</v>
          </cell>
        </row>
        <row r="274">
          <cell r="C274">
            <v>0.34499999999999997</v>
          </cell>
        </row>
        <row r="275">
          <cell r="C275">
            <v>0.36</v>
          </cell>
        </row>
        <row r="276">
          <cell r="C276">
            <v>0.375</v>
          </cell>
        </row>
        <row r="277">
          <cell r="C277">
            <v>0.39</v>
          </cell>
        </row>
        <row r="278">
          <cell r="C278">
            <v>0.40500000000000003</v>
          </cell>
        </row>
        <row r="279">
          <cell r="C279">
            <v>0.42</v>
          </cell>
        </row>
        <row r="280">
          <cell r="C280">
            <v>0.435</v>
          </cell>
        </row>
        <row r="281">
          <cell r="C281">
            <v>0.45</v>
          </cell>
        </row>
        <row r="282">
          <cell r="C282">
            <v>0.46500000000000002</v>
          </cell>
        </row>
        <row r="283">
          <cell r="C283">
            <v>0.48</v>
          </cell>
        </row>
        <row r="284">
          <cell r="C284">
            <v>0.495</v>
          </cell>
        </row>
        <row r="285">
          <cell r="C285">
            <v>0.51</v>
          </cell>
        </row>
        <row r="286">
          <cell r="C286">
            <v>0.52500000000000002</v>
          </cell>
        </row>
        <row r="287">
          <cell r="C287">
            <v>0.54</v>
          </cell>
        </row>
        <row r="288">
          <cell r="C288">
            <v>0.55500000000000005</v>
          </cell>
        </row>
        <row r="289">
          <cell r="C289">
            <v>0.56999999999999995</v>
          </cell>
        </row>
        <row r="290">
          <cell r="C290">
            <v>0.58499999999999996</v>
          </cell>
        </row>
        <row r="291">
          <cell r="C291">
            <v>0.6</v>
          </cell>
        </row>
        <row r="292">
          <cell r="C292">
            <v>0.61499999999999999</v>
          </cell>
        </row>
        <row r="293">
          <cell r="C293">
            <v>0.63</v>
          </cell>
        </row>
        <row r="294">
          <cell r="C294">
            <v>0.64500000000000002</v>
          </cell>
        </row>
        <row r="295">
          <cell r="C295">
            <v>0.66</v>
          </cell>
        </row>
        <row r="296">
          <cell r="C296">
            <v>0.67500000000000004</v>
          </cell>
        </row>
        <row r="297">
          <cell r="C297">
            <v>0.69</v>
          </cell>
        </row>
        <row r="298">
          <cell r="C298">
            <v>0.70499999999999996</v>
          </cell>
        </row>
        <row r="299">
          <cell r="C299">
            <v>0.72</v>
          </cell>
        </row>
        <row r="300">
          <cell r="C300">
            <v>0.73499999999999999</v>
          </cell>
        </row>
        <row r="301">
          <cell r="C301">
            <v>0.75</v>
          </cell>
        </row>
        <row r="302">
          <cell r="C302">
            <v>1.7999999999999999E-2</v>
          </cell>
        </row>
        <row r="303">
          <cell r="C303">
            <v>0.03</v>
          </cell>
        </row>
        <row r="304">
          <cell r="C304">
            <v>4.4999999999999998E-2</v>
          </cell>
        </row>
        <row r="305">
          <cell r="C305">
            <v>0.06</v>
          </cell>
        </row>
        <row r="306">
          <cell r="C306">
            <v>7.4999999999999997E-2</v>
          </cell>
        </row>
        <row r="307">
          <cell r="C307">
            <v>0.09</v>
          </cell>
        </row>
        <row r="308">
          <cell r="C308">
            <v>0.105</v>
          </cell>
        </row>
        <row r="309">
          <cell r="C309">
            <v>0.12</v>
          </cell>
        </row>
        <row r="310">
          <cell r="C310">
            <v>0.13500000000000001</v>
          </cell>
        </row>
        <row r="311">
          <cell r="C311">
            <v>0.15</v>
          </cell>
        </row>
        <row r="312">
          <cell r="C312">
            <v>0.16500000000000001</v>
          </cell>
        </row>
        <row r="313">
          <cell r="C313">
            <v>0.18</v>
          </cell>
        </row>
        <row r="314">
          <cell r="C314">
            <v>0.19500000000000001</v>
          </cell>
        </row>
        <row r="315">
          <cell r="C315">
            <v>0.21</v>
          </cell>
        </row>
        <row r="316">
          <cell r="C316">
            <v>0.22500000000000001</v>
          </cell>
        </row>
        <row r="317">
          <cell r="C317">
            <v>0.24</v>
          </cell>
        </row>
        <row r="318">
          <cell r="C318">
            <v>0.255</v>
          </cell>
        </row>
        <row r="319">
          <cell r="C319">
            <v>0.27</v>
          </cell>
        </row>
        <row r="320">
          <cell r="C320">
            <v>0.28499999999999998</v>
          </cell>
        </row>
        <row r="321">
          <cell r="C321">
            <v>0.3</v>
          </cell>
        </row>
        <row r="322">
          <cell r="C322">
            <v>0.315</v>
          </cell>
        </row>
        <row r="323">
          <cell r="C323">
            <v>0.33</v>
          </cell>
        </row>
        <row r="324">
          <cell r="C324">
            <v>0.34499999999999997</v>
          </cell>
        </row>
        <row r="325">
          <cell r="C325">
            <v>0.36</v>
          </cell>
        </row>
        <row r="326">
          <cell r="C326">
            <v>0.375</v>
          </cell>
        </row>
        <row r="327">
          <cell r="C327">
            <v>0.39</v>
          </cell>
        </row>
        <row r="328">
          <cell r="C328">
            <v>0.40500000000000003</v>
          </cell>
        </row>
        <row r="329">
          <cell r="C329">
            <v>0.42</v>
          </cell>
        </row>
        <row r="330">
          <cell r="C330">
            <v>0.435</v>
          </cell>
        </row>
        <row r="331">
          <cell r="C331">
            <v>0.45</v>
          </cell>
        </row>
        <row r="332">
          <cell r="C332">
            <v>0.46500000000000002</v>
          </cell>
        </row>
        <row r="333">
          <cell r="C333">
            <v>0.48</v>
          </cell>
        </row>
        <row r="334">
          <cell r="C334">
            <v>0.495</v>
          </cell>
        </row>
        <row r="335">
          <cell r="C335">
            <v>0.51</v>
          </cell>
        </row>
        <row r="336">
          <cell r="C336">
            <v>0.52500000000000002</v>
          </cell>
        </row>
        <row r="337">
          <cell r="C337">
            <v>0.54</v>
          </cell>
        </row>
        <row r="338">
          <cell r="C338">
            <v>0.55500000000000005</v>
          </cell>
        </row>
        <row r="339">
          <cell r="C339">
            <v>0.56999999999999995</v>
          </cell>
        </row>
        <row r="340">
          <cell r="C340">
            <v>0.58499999999999996</v>
          </cell>
        </row>
        <row r="341">
          <cell r="C341">
            <v>0.6</v>
          </cell>
        </row>
        <row r="342">
          <cell r="C342">
            <v>0.61499999999999999</v>
          </cell>
        </row>
        <row r="343">
          <cell r="C343">
            <v>0.63</v>
          </cell>
        </row>
        <row r="344">
          <cell r="C344">
            <v>0.64500000000000002</v>
          </cell>
        </row>
        <row r="345">
          <cell r="C345">
            <v>0.66</v>
          </cell>
        </row>
        <row r="346">
          <cell r="C346">
            <v>0.67500000000000004</v>
          </cell>
        </row>
        <row r="347">
          <cell r="C347">
            <v>0.69</v>
          </cell>
        </row>
        <row r="348">
          <cell r="C348">
            <v>0.70499999999999996</v>
          </cell>
        </row>
        <row r="349">
          <cell r="C349">
            <v>0.72</v>
          </cell>
        </row>
        <row r="350">
          <cell r="C350">
            <v>0.73499999999999999</v>
          </cell>
        </row>
        <row r="351">
          <cell r="C351">
            <v>0.75</v>
          </cell>
        </row>
        <row r="352">
          <cell r="C352">
            <v>1.7999999999999999E-2</v>
          </cell>
        </row>
        <row r="353">
          <cell r="C353">
            <v>3.5999999999999997E-2</v>
          </cell>
        </row>
        <row r="354">
          <cell r="C354">
            <v>5.3999999999999999E-2</v>
          </cell>
        </row>
        <row r="355">
          <cell r="C355">
            <v>7.1999999999999995E-2</v>
          </cell>
        </row>
        <row r="356">
          <cell r="C356">
            <v>0.09</v>
          </cell>
        </row>
        <row r="357">
          <cell r="C357">
            <v>0.108</v>
          </cell>
        </row>
        <row r="358">
          <cell r="C358">
            <v>0.126</v>
          </cell>
        </row>
        <row r="359">
          <cell r="C359">
            <v>0.14399999999999999</v>
          </cell>
        </row>
        <row r="360">
          <cell r="C360">
            <v>0.16200000000000001</v>
          </cell>
        </row>
        <row r="361">
          <cell r="C361">
            <v>0.18</v>
          </cell>
        </row>
        <row r="362">
          <cell r="C362">
            <v>0.19800000000000001</v>
          </cell>
        </row>
        <row r="363">
          <cell r="C363">
            <v>0.216</v>
          </cell>
        </row>
        <row r="364">
          <cell r="C364">
            <v>0.23400000000000001</v>
          </cell>
        </row>
        <row r="365">
          <cell r="C365">
            <v>0.252</v>
          </cell>
        </row>
        <row r="366">
          <cell r="C366">
            <v>0.27</v>
          </cell>
        </row>
        <row r="367">
          <cell r="C367">
            <v>0.28799999999999998</v>
          </cell>
        </row>
        <row r="368">
          <cell r="C368">
            <v>0.30599999999999999</v>
          </cell>
        </row>
        <row r="369">
          <cell r="C369">
            <v>0.32400000000000001</v>
          </cell>
        </row>
        <row r="370">
          <cell r="C370">
            <v>0.34200000000000003</v>
          </cell>
        </row>
        <row r="371">
          <cell r="C371">
            <v>0.36</v>
          </cell>
        </row>
        <row r="372">
          <cell r="C372">
            <v>0.378</v>
          </cell>
        </row>
        <row r="373">
          <cell r="C373">
            <v>0.39600000000000002</v>
          </cell>
        </row>
        <row r="374">
          <cell r="C374">
            <v>0.41399999999999998</v>
          </cell>
        </row>
        <row r="375">
          <cell r="C375">
            <v>0.432</v>
          </cell>
        </row>
        <row r="376">
          <cell r="C376">
            <v>0.45</v>
          </cell>
        </row>
        <row r="377">
          <cell r="C377">
            <v>0.46800000000000003</v>
          </cell>
        </row>
        <row r="378">
          <cell r="C378">
            <v>0.48599999999999999</v>
          </cell>
        </row>
        <row r="379">
          <cell r="C379">
            <v>0.504</v>
          </cell>
        </row>
        <row r="380">
          <cell r="C380">
            <v>0.52200000000000002</v>
          </cell>
        </row>
        <row r="381">
          <cell r="C381">
            <v>0.54</v>
          </cell>
        </row>
        <row r="382">
          <cell r="C382">
            <v>0.55800000000000005</v>
          </cell>
        </row>
        <row r="383">
          <cell r="C383">
            <v>0.57599999999999996</v>
          </cell>
        </row>
        <row r="384">
          <cell r="C384">
            <v>0.59399999999999997</v>
          </cell>
        </row>
        <row r="385">
          <cell r="C385">
            <v>0.61199999999999999</v>
          </cell>
        </row>
        <row r="386">
          <cell r="C386">
            <v>0.63</v>
          </cell>
        </row>
        <row r="387">
          <cell r="C387">
            <v>0.64800000000000002</v>
          </cell>
        </row>
        <row r="388">
          <cell r="C388">
            <v>0.66600000000000004</v>
          </cell>
        </row>
        <row r="389">
          <cell r="C389">
            <v>0.68400000000000005</v>
          </cell>
        </row>
        <row r="390">
          <cell r="C390">
            <v>0.70199999999999996</v>
          </cell>
        </row>
        <row r="391">
          <cell r="C391">
            <v>0.72</v>
          </cell>
        </row>
        <row r="392">
          <cell r="C392">
            <v>0.73799999999999999</v>
          </cell>
        </row>
        <row r="393">
          <cell r="C393">
            <v>0.75600000000000001</v>
          </cell>
        </row>
        <row r="394">
          <cell r="C394">
            <v>0.77400000000000002</v>
          </cell>
        </row>
        <row r="395">
          <cell r="C395">
            <v>0.79200000000000004</v>
          </cell>
        </row>
        <row r="396">
          <cell r="C396">
            <v>0.81</v>
          </cell>
        </row>
        <row r="397">
          <cell r="C397">
            <v>0.82799999999999996</v>
          </cell>
        </row>
        <row r="398">
          <cell r="C398">
            <v>0.84599999999999997</v>
          </cell>
        </row>
        <row r="399">
          <cell r="C399">
            <v>0.86399999999999999</v>
          </cell>
        </row>
        <row r="400">
          <cell r="C400">
            <v>0.88200000000000001</v>
          </cell>
        </row>
        <row r="401">
          <cell r="C401">
            <v>0.9</v>
          </cell>
        </row>
        <row r="402">
          <cell r="C402">
            <v>0.02</v>
          </cell>
        </row>
        <row r="403">
          <cell r="C403">
            <v>0.04</v>
          </cell>
        </row>
        <row r="404">
          <cell r="C404">
            <v>0.06</v>
          </cell>
        </row>
        <row r="405">
          <cell r="C405">
            <v>0.08</v>
          </cell>
        </row>
        <row r="406">
          <cell r="C406">
            <v>0.1</v>
          </cell>
        </row>
        <row r="407">
          <cell r="C407">
            <v>0.12</v>
          </cell>
        </row>
        <row r="408">
          <cell r="C408">
            <v>0.14000000000000001</v>
          </cell>
        </row>
        <row r="409">
          <cell r="C409">
            <v>0.16</v>
          </cell>
        </row>
        <row r="410">
          <cell r="C410">
            <v>0.18</v>
          </cell>
        </row>
        <row r="411">
          <cell r="C411">
            <v>0.2</v>
          </cell>
        </row>
        <row r="412">
          <cell r="C412">
            <v>0.22</v>
          </cell>
        </row>
        <row r="413">
          <cell r="C413">
            <v>0.24</v>
          </cell>
        </row>
        <row r="414">
          <cell r="C414">
            <v>0.26</v>
          </cell>
        </row>
        <row r="415">
          <cell r="C415">
            <v>0.28000000000000003</v>
          </cell>
        </row>
        <row r="416">
          <cell r="C416">
            <v>0.3</v>
          </cell>
        </row>
        <row r="417">
          <cell r="C417">
            <v>0.32</v>
          </cell>
        </row>
        <row r="418">
          <cell r="C418">
            <v>0.34</v>
          </cell>
        </row>
        <row r="419">
          <cell r="C419">
            <v>0.36</v>
          </cell>
        </row>
        <row r="420">
          <cell r="C420">
            <v>0.38</v>
          </cell>
        </row>
        <row r="421">
          <cell r="C421">
            <v>0.4</v>
          </cell>
        </row>
        <row r="422">
          <cell r="C422">
            <v>0.42</v>
          </cell>
        </row>
        <row r="423">
          <cell r="C423">
            <v>0.44</v>
          </cell>
        </row>
        <row r="424">
          <cell r="C424">
            <v>0.46</v>
          </cell>
        </row>
        <row r="425">
          <cell r="C425">
            <v>0.48</v>
          </cell>
        </row>
        <row r="426">
          <cell r="C426">
            <v>0.5</v>
          </cell>
        </row>
        <row r="427">
          <cell r="C427">
            <v>0.52</v>
          </cell>
        </row>
        <row r="428">
          <cell r="C428">
            <v>0.54</v>
          </cell>
        </row>
        <row r="429">
          <cell r="C429">
            <v>0.56000000000000005</v>
          </cell>
        </row>
        <row r="430">
          <cell r="C430">
            <v>0.57999999999999996</v>
          </cell>
        </row>
        <row r="431">
          <cell r="C431">
            <v>0.6</v>
          </cell>
        </row>
        <row r="432">
          <cell r="C432">
            <v>0.62</v>
          </cell>
        </row>
        <row r="433">
          <cell r="C433">
            <v>0.64</v>
          </cell>
        </row>
        <row r="434">
          <cell r="C434">
            <v>0.66</v>
          </cell>
        </row>
        <row r="435">
          <cell r="C435">
            <v>0.68</v>
          </cell>
        </row>
        <row r="436">
          <cell r="C436">
            <v>0.7</v>
          </cell>
        </row>
        <row r="437">
          <cell r="C437">
            <v>0.72</v>
          </cell>
        </row>
        <row r="438">
          <cell r="C438">
            <v>0.74</v>
          </cell>
        </row>
        <row r="439">
          <cell r="C439">
            <v>0.76</v>
          </cell>
        </row>
        <row r="440">
          <cell r="C440">
            <v>0.78</v>
          </cell>
        </row>
        <row r="441">
          <cell r="C441">
            <v>0.8</v>
          </cell>
        </row>
        <row r="442">
          <cell r="C442">
            <v>0.82</v>
          </cell>
        </row>
        <row r="443">
          <cell r="C443">
            <v>0.84</v>
          </cell>
        </row>
        <row r="444">
          <cell r="C444">
            <v>0.86</v>
          </cell>
        </row>
        <row r="445">
          <cell r="C445">
            <v>0.88</v>
          </cell>
        </row>
        <row r="446">
          <cell r="C446">
            <v>0.9</v>
          </cell>
        </row>
        <row r="447">
          <cell r="C447">
            <v>0.92</v>
          </cell>
        </row>
        <row r="448">
          <cell r="C448">
            <v>0.94</v>
          </cell>
        </row>
        <row r="449">
          <cell r="C449">
            <v>0.96</v>
          </cell>
        </row>
        <row r="450">
          <cell r="C450">
            <v>0.98</v>
          </cell>
        </row>
        <row r="451">
          <cell r="C451">
            <v>1</v>
          </cell>
        </row>
        <row r="452">
          <cell r="C452">
            <v>1.7999999999999999E-2</v>
          </cell>
        </row>
        <row r="453">
          <cell r="C453">
            <v>3.5999999999999997E-2</v>
          </cell>
        </row>
        <row r="454">
          <cell r="C454">
            <v>5.3999999999999999E-2</v>
          </cell>
        </row>
        <row r="455">
          <cell r="C455">
            <v>7.1999999999999995E-2</v>
          </cell>
        </row>
        <row r="456">
          <cell r="C456">
            <v>0.09</v>
          </cell>
        </row>
        <row r="457">
          <cell r="C457">
            <v>0.108</v>
          </cell>
        </row>
        <row r="458">
          <cell r="C458">
            <v>0.126</v>
          </cell>
        </row>
        <row r="459">
          <cell r="C459">
            <v>0.14399999999999999</v>
          </cell>
        </row>
        <row r="460">
          <cell r="C460">
            <v>0.16200000000000001</v>
          </cell>
        </row>
        <row r="461">
          <cell r="C461">
            <v>0.18</v>
          </cell>
        </row>
        <row r="462">
          <cell r="C462">
            <v>0.19800000000000001</v>
          </cell>
        </row>
        <row r="463">
          <cell r="C463">
            <v>0.216</v>
          </cell>
        </row>
        <row r="464">
          <cell r="C464">
            <v>0.23400000000000001</v>
          </cell>
        </row>
        <row r="465">
          <cell r="C465">
            <v>0.252</v>
          </cell>
        </row>
        <row r="466">
          <cell r="C466">
            <v>0.27</v>
          </cell>
        </row>
        <row r="467">
          <cell r="C467">
            <v>0.28799999999999998</v>
          </cell>
        </row>
        <row r="468">
          <cell r="C468">
            <v>0.30599999999999999</v>
          </cell>
        </row>
        <row r="469">
          <cell r="C469">
            <v>0.32400000000000001</v>
          </cell>
        </row>
        <row r="470">
          <cell r="C470">
            <v>0.34200000000000003</v>
          </cell>
        </row>
        <row r="471">
          <cell r="C471">
            <v>0.36</v>
          </cell>
        </row>
        <row r="472">
          <cell r="C472">
            <v>0.378</v>
          </cell>
        </row>
        <row r="473">
          <cell r="C473">
            <v>0.39600000000000002</v>
          </cell>
        </row>
        <row r="474">
          <cell r="C474">
            <v>0.41399999999999998</v>
          </cell>
        </row>
        <row r="475">
          <cell r="C475">
            <v>0.432</v>
          </cell>
        </row>
        <row r="476">
          <cell r="C476">
            <v>0.45</v>
          </cell>
        </row>
        <row r="477">
          <cell r="C477">
            <v>0.46800000000000003</v>
          </cell>
        </row>
        <row r="478">
          <cell r="C478">
            <v>0.48599999999999999</v>
          </cell>
        </row>
        <row r="479">
          <cell r="C479">
            <v>0.504</v>
          </cell>
        </row>
        <row r="480">
          <cell r="C480">
            <v>0.52200000000000002</v>
          </cell>
        </row>
        <row r="481">
          <cell r="C481">
            <v>0.54</v>
          </cell>
        </row>
        <row r="482">
          <cell r="C482">
            <v>0.55800000000000005</v>
          </cell>
        </row>
        <row r="483">
          <cell r="C483">
            <v>0.57599999999999996</v>
          </cell>
        </row>
        <row r="484">
          <cell r="C484">
            <v>0.59399999999999997</v>
          </cell>
        </row>
        <row r="485">
          <cell r="C485">
            <v>0.61199999999999999</v>
          </cell>
        </row>
        <row r="486">
          <cell r="C486">
            <v>0.63</v>
          </cell>
        </row>
        <row r="487">
          <cell r="C487">
            <v>0.64800000000000002</v>
          </cell>
        </row>
        <row r="488">
          <cell r="C488">
            <v>0.66600000000000004</v>
          </cell>
        </row>
        <row r="489">
          <cell r="C489">
            <v>0.68400000000000005</v>
          </cell>
        </row>
        <row r="490">
          <cell r="C490">
            <v>0.70199999999999996</v>
          </cell>
        </row>
        <row r="491">
          <cell r="C491">
            <v>0.72</v>
          </cell>
        </row>
        <row r="492">
          <cell r="C492">
            <v>0.73799999999999999</v>
          </cell>
        </row>
        <row r="493">
          <cell r="C493">
            <v>0.75600000000000001</v>
          </cell>
        </row>
        <row r="494">
          <cell r="C494">
            <v>0.77400000000000002</v>
          </cell>
        </row>
        <row r="495">
          <cell r="C495">
            <v>0.79200000000000004</v>
          </cell>
        </row>
        <row r="496">
          <cell r="C496">
            <v>0.81</v>
          </cell>
        </row>
        <row r="497">
          <cell r="C497">
            <v>0.82799999999999996</v>
          </cell>
        </row>
        <row r="498">
          <cell r="C498">
            <v>0.84599999999999997</v>
          </cell>
        </row>
        <row r="499">
          <cell r="C499">
            <v>0.86399999999999999</v>
          </cell>
        </row>
        <row r="500">
          <cell r="C500">
            <v>0.88200000000000001</v>
          </cell>
        </row>
        <row r="501">
          <cell r="C501">
            <v>0.9</v>
          </cell>
        </row>
        <row r="502">
          <cell r="C502">
            <v>1.7999999999999999E-2</v>
          </cell>
        </row>
        <row r="503">
          <cell r="C503">
            <v>3.5999999999999997E-2</v>
          </cell>
        </row>
        <row r="504">
          <cell r="C504">
            <v>5.3999999999999999E-2</v>
          </cell>
        </row>
        <row r="505">
          <cell r="C505">
            <v>7.1999999999999995E-2</v>
          </cell>
        </row>
        <row r="506">
          <cell r="C506">
            <v>0.09</v>
          </cell>
        </row>
        <row r="507">
          <cell r="C507">
            <v>0.108</v>
          </cell>
        </row>
        <row r="508">
          <cell r="C508">
            <v>0.126</v>
          </cell>
        </row>
        <row r="509">
          <cell r="C509">
            <v>0.14399999999999999</v>
          </cell>
        </row>
        <row r="510">
          <cell r="C510">
            <v>0.16200000000000001</v>
          </cell>
        </row>
        <row r="511">
          <cell r="C511">
            <v>0.18</v>
          </cell>
        </row>
        <row r="512">
          <cell r="C512">
            <v>0.19800000000000001</v>
          </cell>
        </row>
        <row r="513">
          <cell r="C513">
            <v>0.216</v>
          </cell>
        </row>
        <row r="514">
          <cell r="C514">
            <v>0.23400000000000001</v>
          </cell>
        </row>
        <row r="515">
          <cell r="C515">
            <v>0.252</v>
          </cell>
        </row>
        <row r="516">
          <cell r="C516">
            <v>0.27</v>
          </cell>
        </row>
        <row r="517">
          <cell r="C517">
            <v>0.28799999999999998</v>
          </cell>
        </row>
        <row r="518">
          <cell r="C518">
            <v>0.30599999999999999</v>
          </cell>
        </row>
        <row r="519">
          <cell r="C519">
            <v>0.32400000000000001</v>
          </cell>
        </row>
        <row r="520">
          <cell r="C520">
            <v>0.34200000000000003</v>
          </cell>
        </row>
        <row r="521">
          <cell r="C521">
            <v>0.36</v>
          </cell>
        </row>
        <row r="522">
          <cell r="C522">
            <v>0.378</v>
          </cell>
        </row>
        <row r="523">
          <cell r="C523">
            <v>0.39600000000000002</v>
          </cell>
        </row>
        <row r="524">
          <cell r="C524">
            <v>0.41399999999999998</v>
          </cell>
        </row>
        <row r="525">
          <cell r="C525">
            <v>0.432</v>
          </cell>
        </row>
        <row r="526">
          <cell r="C526">
            <v>0.45</v>
          </cell>
        </row>
        <row r="527">
          <cell r="C527">
            <v>0.46800000000000003</v>
          </cell>
        </row>
        <row r="528">
          <cell r="C528">
            <v>0.48599999999999999</v>
          </cell>
        </row>
        <row r="529">
          <cell r="C529">
            <v>0.504</v>
          </cell>
        </row>
        <row r="530">
          <cell r="C530">
            <v>0.52200000000000002</v>
          </cell>
        </row>
        <row r="531">
          <cell r="C531">
            <v>0.54</v>
          </cell>
        </row>
        <row r="532">
          <cell r="C532">
            <v>0.55800000000000005</v>
          </cell>
        </row>
        <row r="533">
          <cell r="C533">
            <v>0.57599999999999996</v>
          </cell>
        </row>
        <row r="534">
          <cell r="C534">
            <v>0.59399999999999997</v>
          </cell>
        </row>
        <row r="535">
          <cell r="C535">
            <v>0.61199999999999999</v>
          </cell>
        </row>
        <row r="536">
          <cell r="C536">
            <v>0.63</v>
          </cell>
        </row>
        <row r="537">
          <cell r="C537">
            <v>0.64800000000000002</v>
          </cell>
        </row>
        <row r="538">
          <cell r="C538">
            <v>0.66600000000000004</v>
          </cell>
        </row>
        <row r="539">
          <cell r="C539">
            <v>0.68400000000000005</v>
          </cell>
        </row>
        <row r="540">
          <cell r="C540">
            <v>0.70199999999999996</v>
          </cell>
        </row>
        <row r="541">
          <cell r="C541">
            <v>0.72</v>
          </cell>
        </row>
        <row r="542">
          <cell r="C542">
            <v>0.73799999999999999</v>
          </cell>
        </row>
        <row r="543">
          <cell r="C543">
            <v>0.75600000000000001</v>
          </cell>
        </row>
        <row r="544">
          <cell r="C544">
            <v>0.77400000000000002</v>
          </cell>
        </row>
        <row r="545">
          <cell r="C545">
            <v>0.79200000000000004</v>
          </cell>
        </row>
        <row r="546">
          <cell r="C546">
            <v>0.81</v>
          </cell>
        </row>
        <row r="547">
          <cell r="C547">
            <v>0.82799999999999996</v>
          </cell>
        </row>
        <row r="548">
          <cell r="C548">
            <v>0.84599999999999997</v>
          </cell>
        </row>
        <row r="549">
          <cell r="C549">
            <v>0.86399999999999999</v>
          </cell>
        </row>
        <row r="550">
          <cell r="C550">
            <v>0.88200000000000001</v>
          </cell>
        </row>
        <row r="551">
          <cell r="C551">
            <v>0.9</v>
          </cell>
        </row>
        <row r="552">
          <cell r="C552">
            <v>0.02</v>
          </cell>
        </row>
        <row r="553">
          <cell r="C553">
            <v>0.04</v>
          </cell>
        </row>
        <row r="554">
          <cell r="C554">
            <v>0.06</v>
          </cell>
        </row>
        <row r="555">
          <cell r="C555">
            <v>0.08</v>
          </cell>
        </row>
        <row r="556">
          <cell r="C556">
            <v>0.1</v>
          </cell>
        </row>
        <row r="557">
          <cell r="C557">
            <v>0.12</v>
          </cell>
        </row>
        <row r="558">
          <cell r="C558">
            <v>0.14000000000000001</v>
          </cell>
        </row>
        <row r="559">
          <cell r="C559">
            <v>0.16</v>
          </cell>
        </row>
        <row r="560">
          <cell r="C560">
            <v>0.18</v>
          </cell>
        </row>
        <row r="561">
          <cell r="C561">
            <v>0.2</v>
          </cell>
        </row>
        <row r="562">
          <cell r="C562">
            <v>0.22</v>
          </cell>
        </row>
        <row r="563">
          <cell r="C563">
            <v>0.24</v>
          </cell>
        </row>
        <row r="564">
          <cell r="C564">
            <v>0.26</v>
          </cell>
        </row>
        <row r="565">
          <cell r="C565">
            <v>0.28000000000000003</v>
          </cell>
        </row>
        <row r="566">
          <cell r="C566">
            <v>0.3</v>
          </cell>
        </row>
        <row r="567">
          <cell r="C567">
            <v>0.32</v>
          </cell>
        </row>
        <row r="568">
          <cell r="C568">
            <v>0.34</v>
          </cell>
        </row>
        <row r="569">
          <cell r="C569">
            <v>0.36</v>
          </cell>
        </row>
        <row r="570">
          <cell r="C570">
            <v>0.38</v>
          </cell>
        </row>
        <row r="571">
          <cell r="C571">
            <v>0.4</v>
          </cell>
        </row>
        <row r="572">
          <cell r="C572">
            <v>0.42</v>
          </cell>
        </row>
        <row r="573">
          <cell r="C573">
            <v>0.44</v>
          </cell>
        </row>
        <row r="574">
          <cell r="C574">
            <v>0.46</v>
          </cell>
        </row>
        <row r="575">
          <cell r="C575">
            <v>0.48</v>
          </cell>
        </row>
        <row r="576">
          <cell r="C576">
            <v>0.5</v>
          </cell>
        </row>
        <row r="577">
          <cell r="C577">
            <v>0.52</v>
          </cell>
        </row>
        <row r="578">
          <cell r="C578">
            <v>0.54</v>
          </cell>
        </row>
        <row r="579">
          <cell r="C579">
            <v>0.56000000000000005</v>
          </cell>
        </row>
        <row r="580">
          <cell r="C580">
            <v>0.57999999999999996</v>
          </cell>
        </row>
        <row r="581">
          <cell r="C581">
            <v>0.6</v>
          </cell>
        </row>
        <row r="582">
          <cell r="C582">
            <v>0.62</v>
          </cell>
        </row>
        <row r="583">
          <cell r="C583">
            <v>0.64</v>
          </cell>
        </row>
        <row r="584">
          <cell r="C584">
            <v>0.66</v>
          </cell>
        </row>
        <row r="585">
          <cell r="C585">
            <v>0.68</v>
          </cell>
        </row>
        <row r="586">
          <cell r="C586">
            <v>0.7</v>
          </cell>
        </row>
        <row r="587">
          <cell r="C587">
            <v>0.72</v>
          </cell>
        </row>
        <row r="588">
          <cell r="C588">
            <v>0.74</v>
          </cell>
        </row>
        <row r="589">
          <cell r="C589">
            <v>0.76</v>
          </cell>
        </row>
        <row r="590">
          <cell r="C590">
            <v>0.78</v>
          </cell>
        </row>
        <row r="591">
          <cell r="C591">
            <v>0.8</v>
          </cell>
        </row>
        <row r="592">
          <cell r="C592">
            <v>0.82</v>
          </cell>
        </row>
        <row r="593">
          <cell r="C593">
            <v>0.84</v>
          </cell>
        </row>
        <row r="594">
          <cell r="C594">
            <v>0.86</v>
          </cell>
        </row>
        <row r="595">
          <cell r="C595">
            <v>0.88</v>
          </cell>
        </row>
        <row r="596">
          <cell r="C596">
            <v>0.9</v>
          </cell>
        </row>
        <row r="597">
          <cell r="C597">
            <v>0.92</v>
          </cell>
        </row>
        <row r="598">
          <cell r="C598">
            <v>0.94</v>
          </cell>
        </row>
        <row r="599">
          <cell r="C599">
            <v>0.96</v>
          </cell>
        </row>
        <row r="600">
          <cell r="C600">
            <v>0.98</v>
          </cell>
        </row>
        <row r="601">
          <cell r="C601">
            <v>1</v>
          </cell>
        </row>
        <row r="602">
          <cell r="C602">
            <v>1.7999999999999999E-2</v>
          </cell>
        </row>
        <row r="603">
          <cell r="C603">
            <v>3.5999999999999997E-2</v>
          </cell>
        </row>
        <row r="604">
          <cell r="C604">
            <v>5.3999999999999999E-2</v>
          </cell>
        </row>
        <row r="605">
          <cell r="C605">
            <v>7.1999999999999995E-2</v>
          </cell>
        </row>
        <row r="606">
          <cell r="C606">
            <v>0.09</v>
          </cell>
        </row>
        <row r="607">
          <cell r="C607">
            <v>0.108</v>
          </cell>
        </row>
        <row r="608">
          <cell r="C608">
            <v>0.126</v>
          </cell>
        </row>
        <row r="609">
          <cell r="C609">
            <v>0.14399999999999999</v>
          </cell>
        </row>
        <row r="610">
          <cell r="C610">
            <v>0.16200000000000001</v>
          </cell>
        </row>
        <row r="611">
          <cell r="C611">
            <v>0.18</v>
          </cell>
        </row>
        <row r="612">
          <cell r="C612">
            <v>0.19800000000000001</v>
          </cell>
        </row>
        <row r="613">
          <cell r="C613">
            <v>0.216</v>
          </cell>
        </row>
        <row r="614">
          <cell r="C614">
            <v>0.23400000000000001</v>
          </cell>
        </row>
        <row r="615">
          <cell r="C615">
            <v>0.252</v>
          </cell>
        </row>
        <row r="616">
          <cell r="C616">
            <v>0.27</v>
          </cell>
        </row>
        <row r="617">
          <cell r="C617">
            <v>0.28799999999999998</v>
          </cell>
        </row>
        <row r="618">
          <cell r="C618">
            <v>0.30599999999999999</v>
          </cell>
        </row>
        <row r="619">
          <cell r="C619">
            <v>0.32400000000000001</v>
          </cell>
        </row>
        <row r="620">
          <cell r="C620">
            <v>0.34200000000000003</v>
          </cell>
        </row>
        <row r="621">
          <cell r="C621">
            <v>0.36</v>
          </cell>
        </row>
        <row r="622">
          <cell r="C622">
            <v>0.378</v>
          </cell>
        </row>
        <row r="623">
          <cell r="C623">
            <v>0.39600000000000002</v>
          </cell>
        </row>
        <row r="624">
          <cell r="C624">
            <v>0.41399999999999998</v>
          </cell>
        </row>
        <row r="625">
          <cell r="C625">
            <v>0.432</v>
          </cell>
        </row>
        <row r="626">
          <cell r="C626">
            <v>0.45</v>
          </cell>
        </row>
        <row r="627">
          <cell r="C627">
            <v>0.46800000000000003</v>
          </cell>
        </row>
        <row r="628">
          <cell r="C628">
            <v>0.48599999999999999</v>
          </cell>
        </row>
        <row r="629">
          <cell r="C629">
            <v>0.504</v>
          </cell>
        </row>
        <row r="630">
          <cell r="C630">
            <v>0.52200000000000002</v>
          </cell>
        </row>
        <row r="631">
          <cell r="C631">
            <v>0.54</v>
          </cell>
        </row>
        <row r="632">
          <cell r="C632">
            <v>0.55800000000000005</v>
          </cell>
        </row>
        <row r="633">
          <cell r="C633">
            <v>0.57599999999999996</v>
          </cell>
        </row>
        <row r="634">
          <cell r="C634">
            <v>0.59399999999999997</v>
          </cell>
        </row>
        <row r="635">
          <cell r="C635">
            <v>0.61199999999999999</v>
          </cell>
        </row>
        <row r="636">
          <cell r="C636">
            <v>0.63</v>
          </cell>
        </row>
        <row r="637">
          <cell r="C637">
            <v>0.64800000000000002</v>
          </cell>
        </row>
        <row r="638">
          <cell r="C638">
            <v>0.66600000000000004</v>
          </cell>
        </row>
        <row r="639">
          <cell r="C639">
            <v>0.68400000000000005</v>
          </cell>
        </row>
        <row r="640">
          <cell r="C640">
            <v>0.70199999999999996</v>
          </cell>
        </row>
        <row r="641">
          <cell r="C641">
            <v>0.72</v>
          </cell>
        </row>
        <row r="642">
          <cell r="C642">
            <v>0.73799999999999999</v>
          </cell>
        </row>
        <row r="643">
          <cell r="C643">
            <v>0.75600000000000001</v>
          </cell>
        </row>
        <row r="644">
          <cell r="C644">
            <v>0.77400000000000002</v>
          </cell>
        </row>
        <row r="645">
          <cell r="C645">
            <v>0.79200000000000004</v>
          </cell>
        </row>
        <row r="646">
          <cell r="C646">
            <v>0.81</v>
          </cell>
        </row>
        <row r="647">
          <cell r="C647">
            <v>0.82799999999999996</v>
          </cell>
        </row>
        <row r="648">
          <cell r="C648">
            <v>0.84599999999999997</v>
          </cell>
        </row>
        <row r="649">
          <cell r="C649">
            <v>0.86399999999999999</v>
          </cell>
        </row>
        <row r="650">
          <cell r="C650">
            <v>0.88200000000000001</v>
          </cell>
        </row>
        <row r="651">
          <cell r="C651">
            <v>0.9</v>
          </cell>
        </row>
        <row r="652">
          <cell r="C652">
            <v>1.7999999999999999E-2</v>
          </cell>
        </row>
        <row r="653">
          <cell r="C653">
            <v>3.5999999999999997E-2</v>
          </cell>
        </row>
        <row r="654">
          <cell r="C654">
            <v>5.3999999999999999E-2</v>
          </cell>
        </row>
        <row r="655">
          <cell r="C655">
            <v>7.1999999999999995E-2</v>
          </cell>
        </row>
        <row r="656">
          <cell r="C656">
            <v>0.09</v>
          </cell>
        </row>
        <row r="657">
          <cell r="C657">
            <v>0.108</v>
          </cell>
        </row>
        <row r="658">
          <cell r="C658">
            <v>0.126</v>
          </cell>
        </row>
        <row r="659">
          <cell r="C659">
            <v>0.14399999999999999</v>
          </cell>
        </row>
        <row r="660">
          <cell r="C660">
            <v>0.16200000000000001</v>
          </cell>
        </row>
        <row r="661">
          <cell r="C661">
            <v>0.18</v>
          </cell>
        </row>
        <row r="662">
          <cell r="C662">
            <v>0.19800000000000001</v>
          </cell>
        </row>
        <row r="663">
          <cell r="C663">
            <v>0.216</v>
          </cell>
        </row>
        <row r="664">
          <cell r="C664">
            <v>0.23400000000000001</v>
          </cell>
        </row>
        <row r="665">
          <cell r="C665">
            <v>0.252</v>
          </cell>
        </row>
        <row r="666">
          <cell r="C666">
            <v>0.27</v>
          </cell>
        </row>
        <row r="667">
          <cell r="C667">
            <v>0.28799999999999998</v>
          </cell>
        </row>
        <row r="668">
          <cell r="C668">
            <v>0.30599999999999999</v>
          </cell>
        </row>
        <row r="669">
          <cell r="C669">
            <v>0.32400000000000001</v>
          </cell>
        </row>
        <row r="670">
          <cell r="C670">
            <v>0.34200000000000003</v>
          </cell>
        </row>
        <row r="671">
          <cell r="C671">
            <v>0.36</v>
          </cell>
        </row>
        <row r="672">
          <cell r="C672">
            <v>0.378</v>
          </cell>
        </row>
        <row r="673">
          <cell r="C673">
            <v>0.39600000000000002</v>
          </cell>
        </row>
        <row r="674">
          <cell r="C674">
            <v>0.41399999999999998</v>
          </cell>
        </row>
        <row r="675">
          <cell r="C675">
            <v>0.432</v>
          </cell>
        </row>
        <row r="676">
          <cell r="C676">
            <v>0.45</v>
          </cell>
        </row>
        <row r="677">
          <cell r="C677">
            <v>0.46800000000000003</v>
          </cell>
        </row>
        <row r="678">
          <cell r="C678">
            <v>0.48599999999999999</v>
          </cell>
        </row>
        <row r="679">
          <cell r="C679">
            <v>0.504</v>
          </cell>
        </row>
        <row r="680">
          <cell r="C680">
            <v>0.52200000000000002</v>
          </cell>
        </row>
        <row r="681">
          <cell r="C681">
            <v>0.54</v>
          </cell>
        </row>
        <row r="682">
          <cell r="C682">
            <v>0.55800000000000005</v>
          </cell>
        </row>
        <row r="683">
          <cell r="C683">
            <v>0.57599999999999996</v>
          </cell>
        </row>
        <row r="684">
          <cell r="C684">
            <v>0.59399999999999997</v>
          </cell>
        </row>
        <row r="685">
          <cell r="C685">
            <v>0.61199999999999999</v>
          </cell>
        </row>
        <row r="686">
          <cell r="C686">
            <v>0.63</v>
          </cell>
        </row>
        <row r="687">
          <cell r="C687">
            <v>0.64800000000000002</v>
          </cell>
        </row>
        <row r="688">
          <cell r="C688">
            <v>0.66600000000000004</v>
          </cell>
        </row>
        <row r="689">
          <cell r="C689">
            <v>0.68400000000000005</v>
          </cell>
        </row>
        <row r="690">
          <cell r="C690">
            <v>0.70199999999999996</v>
          </cell>
        </row>
        <row r="691">
          <cell r="C691">
            <v>0.72</v>
          </cell>
        </row>
        <row r="692">
          <cell r="C692">
            <v>0.73799999999999999</v>
          </cell>
        </row>
        <row r="693">
          <cell r="C693">
            <v>0.75600000000000001</v>
          </cell>
        </row>
        <row r="694">
          <cell r="C694">
            <v>0.77400000000000002</v>
          </cell>
        </row>
        <row r="695">
          <cell r="C695">
            <v>0.79200000000000004</v>
          </cell>
        </row>
        <row r="696">
          <cell r="C696">
            <v>0.81</v>
          </cell>
        </row>
        <row r="697">
          <cell r="C697">
            <v>0.82799999999999996</v>
          </cell>
        </row>
        <row r="698">
          <cell r="C698">
            <v>0.84599999999999997</v>
          </cell>
        </row>
        <row r="699">
          <cell r="C699">
            <v>0.86399999999999999</v>
          </cell>
        </row>
        <row r="700">
          <cell r="C700">
            <v>0.88200000000000001</v>
          </cell>
        </row>
        <row r="701">
          <cell r="C701">
            <v>0.9</v>
          </cell>
        </row>
        <row r="702">
          <cell r="C702">
            <v>1.7999999999999999E-2</v>
          </cell>
        </row>
        <row r="703">
          <cell r="C703">
            <v>3.5999999999999997E-2</v>
          </cell>
        </row>
        <row r="704">
          <cell r="C704">
            <v>5.3999999999999999E-2</v>
          </cell>
        </row>
        <row r="705">
          <cell r="C705">
            <v>7.1999999999999995E-2</v>
          </cell>
        </row>
        <row r="706">
          <cell r="C706">
            <v>0.09</v>
          </cell>
        </row>
        <row r="707">
          <cell r="C707">
            <v>0.108</v>
          </cell>
        </row>
        <row r="708">
          <cell r="C708">
            <v>0.126</v>
          </cell>
        </row>
        <row r="709">
          <cell r="C709">
            <v>0.14399999999999999</v>
          </cell>
        </row>
        <row r="710">
          <cell r="C710">
            <v>0.16200000000000001</v>
          </cell>
        </row>
        <row r="711">
          <cell r="C711">
            <v>0.18</v>
          </cell>
        </row>
        <row r="712">
          <cell r="C712">
            <v>0.19800000000000001</v>
          </cell>
        </row>
        <row r="713">
          <cell r="C713">
            <v>0.216</v>
          </cell>
        </row>
        <row r="714">
          <cell r="C714">
            <v>0.23400000000000001</v>
          </cell>
        </row>
        <row r="715">
          <cell r="C715">
            <v>0.252</v>
          </cell>
        </row>
        <row r="716">
          <cell r="C716">
            <v>0.27</v>
          </cell>
        </row>
        <row r="717">
          <cell r="C717">
            <v>0.28799999999999998</v>
          </cell>
        </row>
        <row r="718">
          <cell r="C718">
            <v>0.30599999999999999</v>
          </cell>
        </row>
        <row r="719">
          <cell r="C719">
            <v>0.32400000000000001</v>
          </cell>
        </row>
        <row r="720">
          <cell r="C720">
            <v>0.34200000000000003</v>
          </cell>
        </row>
        <row r="721">
          <cell r="C721">
            <v>0.36</v>
          </cell>
        </row>
        <row r="722">
          <cell r="C722">
            <v>0.378</v>
          </cell>
        </row>
        <row r="723">
          <cell r="C723">
            <v>0.39600000000000002</v>
          </cell>
        </row>
        <row r="724">
          <cell r="C724">
            <v>0.41399999999999998</v>
          </cell>
        </row>
        <row r="725">
          <cell r="C725">
            <v>0.432</v>
          </cell>
        </row>
        <row r="726">
          <cell r="C726">
            <v>0.45</v>
          </cell>
        </row>
        <row r="727">
          <cell r="C727">
            <v>0.46800000000000003</v>
          </cell>
        </row>
        <row r="728">
          <cell r="C728">
            <v>0.48599999999999999</v>
          </cell>
        </row>
        <row r="729">
          <cell r="C729">
            <v>0.504</v>
          </cell>
        </row>
        <row r="730">
          <cell r="C730">
            <v>0.52200000000000002</v>
          </cell>
        </row>
        <row r="731">
          <cell r="C731">
            <v>0.54</v>
          </cell>
        </row>
        <row r="732">
          <cell r="C732">
            <v>0.55800000000000005</v>
          </cell>
        </row>
        <row r="733">
          <cell r="C733">
            <v>0.57599999999999996</v>
          </cell>
        </row>
        <row r="734">
          <cell r="C734">
            <v>0.59399999999999997</v>
          </cell>
        </row>
        <row r="735">
          <cell r="C735">
            <v>0.61199999999999999</v>
          </cell>
        </row>
        <row r="736">
          <cell r="C736">
            <v>0.63</v>
          </cell>
        </row>
        <row r="737">
          <cell r="C737">
            <v>0.64800000000000002</v>
          </cell>
        </row>
        <row r="738">
          <cell r="C738">
            <v>0.66600000000000004</v>
          </cell>
        </row>
        <row r="739">
          <cell r="C739">
            <v>0.68400000000000005</v>
          </cell>
        </row>
        <row r="740">
          <cell r="C740">
            <v>0.70199999999999996</v>
          </cell>
        </row>
        <row r="741">
          <cell r="C741">
            <v>0.72</v>
          </cell>
        </row>
        <row r="742">
          <cell r="C742">
            <v>0.73799999999999999</v>
          </cell>
        </row>
        <row r="743">
          <cell r="C743">
            <v>0.75600000000000001</v>
          </cell>
        </row>
        <row r="744">
          <cell r="C744">
            <v>0.77400000000000002</v>
          </cell>
        </row>
        <row r="745">
          <cell r="C745">
            <v>0.79200000000000004</v>
          </cell>
        </row>
        <row r="746">
          <cell r="C746">
            <v>0.81</v>
          </cell>
        </row>
        <row r="747">
          <cell r="C747">
            <v>0.82799999999999996</v>
          </cell>
        </row>
        <row r="748">
          <cell r="C748">
            <v>0.84599999999999997</v>
          </cell>
        </row>
        <row r="749">
          <cell r="C749">
            <v>0.86399999999999999</v>
          </cell>
        </row>
        <row r="750">
          <cell r="C750">
            <v>0.88200000000000001</v>
          </cell>
        </row>
        <row r="751">
          <cell r="C751">
            <v>0.9</v>
          </cell>
        </row>
        <row r="752">
          <cell r="C752">
            <v>1.7999999999999999E-2</v>
          </cell>
        </row>
        <row r="753">
          <cell r="C753">
            <v>3.5999999999999997E-2</v>
          </cell>
        </row>
        <row r="754">
          <cell r="C754">
            <v>5.3999999999999999E-2</v>
          </cell>
        </row>
        <row r="755">
          <cell r="C755">
            <v>7.1999999999999995E-2</v>
          </cell>
        </row>
        <row r="756">
          <cell r="C756">
            <v>0.09</v>
          </cell>
        </row>
        <row r="757">
          <cell r="C757">
            <v>0.108</v>
          </cell>
        </row>
        <row r="758">
          <cell r="C758">
            <v>0.126</v>
          </cell>
        </row>
        <row r="759">
          <cell r="C759">
            <v>0.14399999999999999</v>
          </cell>
        </row>
        <row r="760">
          <cell r="C760">
            <v>0.16200000000000001</v>
          </cell>
        </row>
        <row r="761">
          <cell r="C761">
            <v>0.18</v>
          </cell>
        </row>
        <row r="762">
          <cell r="C762">
            <v>0.19800000000000001</v>
          </cell>
        </row>
        <row r="763">
          <cell r="C763">
            <v>0.216</v>
          </cell>
        </row>
        <row r="764">
          <cell r="C764">
            <v>0.23400000000000001</v>
          </cell>
        </row>
        <row r="765">
          <cell r="C765">
            <v>0.252</v>
          </cell>
        </row>
        <row r="766">
          <cell r="C766">
            <v>0.27</v>
          </cell>
        </row>
        <row r="767">
          <cell r="C767">
            <v>0.28799999999999998</v>
          </cell>
        </row>
        <row r="768">
          <cell r="C768">
            <v>0.30599999999999999</v>
          </cell>
        </row>
        <row r="769">
          <cell r="C769">
            <v>0.32400000000000001</v>
          </cell>
        </row>
        <row r="770">
          <cell r="C770">
            <v>0.34200000000000003</v>
          </cell>
        </row>
        <row r="771">
          <cell r="C771">
            <v>0.36</v>
          </cell>
        </row>
        <row r="772">
          <cell r="C772">
            <v>0.378</v>
          </cell>
        </row>
        <row r="773">
          <cell r="C773">
            <v>0.39600000000000002</v>
          </cell>
        </row>
        <row r="774">
          <cell r="C774">
            <v>0.41399999999999998</v>
          </cell>
        </row>
        <row r="775">
          <cell r="C775">
            <v>0.432</v>
          </cell>
        </row>
        <row r="776">
          <cell r="C776">
            <v>0.45</v>
          </cell>
        </row>
        <row r="777">
          <cell r="C777">
            <v>0.46800000000000003</v>
          </cell>
        </row>
        <row r="778">
          <cell r="C778">
            <v>0.48599999999999999</v>
          </cell>
        </row>
        <row r="779">
          <cell r="C779">
            <v>0.504</v>
          </cell>
        </row>
        <row r="780">
          <cell r="C780">
            <v>0.52200000000000002</v>
          </cell>
        </row>
        <row r="781">
          <cell r="C781">
            <v>0.54</v>
          </cell>
        </row>
        <row r="782">
          <cell r="C782">
            <v>0.55800000000000005</v>
          </cell>
        </row>
        <row r="783">
          <cell r="C783">
            <v>0.57599999999999996</v>
          </cell>
        </row>
        <row r="784">
          <cell r="C784">
            <v>0.59399999999999997</v>
          </cell>
        </row>
        <row r="785">
          <cell r="C785">
            <v>0.61199999999999999</v>
          </cell>
        </row>
        <row r="786">
          <cell r="C786">
            <v>0.63</v>
          </cell>
        </row>
        <row r="787">
          <cell r="C787">
            <v>0.64800000000000002</v>
          </cell>
        </row>
        <row r="788">
          <cell r="C788">
            <v>0.66600000000000004</v>
          </cell>
        </row>
        <row r="789">
          <cell r="C789">
            <v>0.68400000000000005</v>
          </cell>
        </row>
        <row r="790">
          <cell r="C790">
            <v>0.70199999999999996</v>
          </cell>
        </row>
        <row r="791">
          <cell r="C791">
            <v>0.72</v>
          </cell>
        </row>
        <row r="792">
          <cell r="C792">
            <v>0.73799999999999999</v>
          </cell>
        </row>
        <row r="793">
          <cell r="C793">
            <v>0.75600000000000001</v>
          </cell>
        </row>
        <row r="794">
          <cell r="C794">
            <v>0.77400000000000002</v>
          </cell>
        </row>
        <row r="795">
          <cell r="C795">
            <v>0.79200000000000004</v>
          </cell>
        </row>
        <row r="796">
          <cell r="C796">
            <v>0.81</v>
          </cell>
        </row>
        <row r="797">
          <cell r="C797">
            <v>0.82799999999999996</v>
          </cell>
        </row>
        <row r="798">
          <cell r="C798">
            <v>0.84599999999999997</v>
          </cell>
        </row>
        <row r="799">
          <cell r="C799">
            <v>0.86399999999999999</v>
          </cell>
        </row>
        <row r="800">
          <cell r="C800">
            <v>0.88200000000000001</v>
          </cell>
        </row>
        <row r="801">
          <cell r="C801">
            <v>0.9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03"/>
  <sheetViews>
    <sheetView tabSelected="1" workbookViewId="0">
      <selection activeCell="O12" sqref="O12"/>
    </sheetView>
  </sheetViews>
  <sheetFormatPr defaultColWidth="9" defaultRowHeight="13.5" x14ac:dyDescent="0.15"/>
  <cols>
    <col min="1" max="2" width="9" style="7"/>
    <col min="3" max="3" width="17.5" style="7" customWidth="1"/>
    <col min="4" max="4" width="17.125" style="7" customWidth="1"/>
    <col min="5" max="6" width="9" style="7"/>
    <col min="7" max="7" width="15" style="7" customWidth="1"/>
    <col min="8" max="8" width="10.875" style="7" customWidth="1"/>
    <col min="9" max="9" width="18.5" style="7" customWidth="1"/>
    <col min="10" max="10" width="34" style="7" customWidth="1"/>
    <col min="11" max="11" width="12.875" style="7" customWidth="1"/>
    <col min="12" max="16384" width="9" style="7"/>
  </cols>
  <sheetData>
    <row r="1" spans="1:12" ht="14.25" x14ac:dyDescent="0.15">
      <c r="A1" s="1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ht="14.25" x14ac:dyDescent="0.15">
      <c r="A2" s="3" t="s">
        <v>12</v>
      </c>
      <c r="B2" s="3" t="s">
        <v>12</v>
      </c>
      <c r="C2" s="3" t="s">
        <v>13</v>
      </c>
      <c r="D2" s="3" t="s">
        <v>13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  <c r="J2" s="3" t="s">
        <v>13</v>
      </c>
      <c r="K2" s="3" t="s">
        <v>13</v>
      </c>
      <c r="L2" s="6" t="s">
        <v>14</v>
      </c>
    </row>
    <row r="3" spans="1:12" ht="14.25" x14ac:dyDescent="0.15">
      <c r="A3" s="1" t="s">
        <v>15</v>
      </c>
      <c r="B3" s="2" t="s">
        <v>16</v>
      </c>
      <c r="C3" s="2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6" t="s">
        <v>26</v>
      </c>
    </row>
    <row r="4" spans="1:12" x14ac:dyDescent="0.15">
      <c r="A4" s="5">
        <v>7101</v>
      </c>
      <c r="B4" s="5">
        <v>101</v>
      </c>
      <c r="C4" s="5" t="str">
        <f>"Holy_Name_"&amp;L4</f>
        <v>Holy_Name_1060001</v>
      </c>
      <c r="D4" s="5" t="s">
        <v>27</v>
      </c>
      <c r="E4" s="5">
        <v>1</v>
      </c>
      <c r="F4" s="5">
        <v>1</v>
      </c>
      <c r="G4" s="5">
        <v>0</v>
      </c>
      <c r="H4" s="5">
        <v>0</v>
      </c>
      <c r="I4" s="5" t="str">
        <f t="shared" ref="I4:I13" si="0">"Holy_Desc_"&amp;L4</f>
        <v>Holy_Desc_1060001</v>
      </c>
      <c r="J4" s="4" t="s">
        <v>28</v>
      </c>
      <c r="K4" s="5">
        <f>[1]圣物数值!$C2*10000</f>
        <v>180</v>
      </c>
      <c r="L4" s="5">
        <v>1060001</v>
      </c>
    </row>
    <row r="5" spans="1:12" x14ac:dyDescent="0.15">
      <c r="A5" s="5">
        <v>7102</v>
      </c>
      <c r="B5" s="5">
        <v>101</v>
      </c>
      <c r="C5" s="5" t="str">
        <f>"Holy_Name_"&amp;L5</f>
        <v>Holy_Name_1060001</v>
      </c>
      <c r="D5" s="5" t="s">
        <v>27</v>
      </c>
      <c r="E5" s="5">
        <v>1</v>
      </c>
      <c r="F5" s="5">
        <v>2</v>
      </c>
      <c r="G5" s="5">
        <v>1</v>
      </c>
      <c r="H5" s="5">
        <v>30</v>
      </c>
      <c r="I5" s="5" t="str">
        <f t="shared" si="0"/>
        <v>Holy_Desc_1060001</v>
      </c>
      <c r="J5" s="4" t="s">
        <v>28</v>
      </c>
      <c r="K5" s="5">
        <f>[1]圣物数值!$C3*10000</f>
        <v>360</v>
      </c>
      <c r="L5" s="5">
        <v>1060001</v>
      </c>
    </row>
    <row r="6" spans="1:12" x14ac:dyDescent="0.15">
      <c r="A6" s="5">
        <v>7103</v>
      </c>
      <c r="B6" s="5">
        <v>101</v>
      </c>
      <c r="C6" s="5" t="str">
        <f>"Holy_Name_"&amp;L6</f>
        <v>Holy_Name_1060001</v>
      </c>
      <c r="D6" s="5" t="s">
        <v>27</v>
      </c>
      <c r="E6" s="5">
        <v>1</v>
      </c>
      <c r="F6" s="5">
        <v>3</v>
      </c>
      <c r="G6" s="5">
        <v>2</v>
      </c>
      <c r="H6" s="5">
        <v>50</v>
      </c>
      <c r="I6" s="5" t="str">
        <f t="shared" si="0"/>
        <v>Holy_Desc_1060001</v>
      </c>
      <c r="J6" s="4" t="s">
        <v>28</v>
      </c>
      <c r="K6" s="5">
        <f>[1]圣物数值!$C4*10000</f>
        <v>540</v>
      </c>
      <c r="L6" s="5">
        <v>1060001</v>
      </c>
    </row>
    <row r="7" spans="1:12" x14ac:dyDescent="0.15">
      <c r="A7" s="5">
        <v>7104</v>
      </c>
      <c r="B7" s="5">
        <v>101</v>
      </c>
      <c r="C7" s="5" t="str">
        <f>"Holy_Name_"&amp;L7</f>
        <v>Holy_Name_1060001</v>
      </c>
      <c r="D7" s="5" t="s">
        <v>27</v>
      </c>
      <c r="E7" s="5">
        <v>1</v>
      </c>
      <c r="F7" s="5">
        <v>4</v>
      </c>
      <c r="G7" s="5">
        <v>4</v>
      </c>
      <c r="H7" s="5">
        <v>80</v>
      </c>
      <c r="I7" s="5" t="str">
        <f t="shared" si="0"/>
        <v>Holy_Desc_1060001</v>
      </c>
      <c r="J7" s="4" t="s">
        <v>28</v>
      </c>
      <c r="K7" s="5">
        <f>[1]圣物数值!$C5*10000</f>
        <v>720</v>
      </c>
      <c r="L7" s="5">
        <v>1060001</v>
      </c>
    </row>
    <row r="8" spans="1:12" x14ac:dyDescent="0.15">
      <c r="A8" s="5">
        <v>7105</v>
      </c>
      <c r="B8" s="5">
        <v>101</v>
      </c>
      <c r="C8" s="5" t="str">
        <f t="shared" ref="C8:C57" si="1">"Holy_Name_"&amp;L8</f>
        <v>Holy_Name_1060001</v>
      </c>
      <c r="D8" s="5" t="s">
        <v>27</v>
      </c>
      <c r="E8" s="5">
        <v>1</v>
      </c>
      <c r="F8" s="5">
        <v>5</v>
      </c>
      <c r="G8" s="5">
        <v>6</v>
      </c>
      <c r="H8" s="5">
        <v>110</v>
      </c>
      <c r="I8" s="5" t="str">
        <f t="shared" si="0"/>
        <v>Holy_Desc_1060001</v>
      </c>
      <c r="J8" s="4" t="s">
        <v>28</v>
      </c>
      <c r="K8" s="5">
        <f>[1]圣物数值!$C6*10000</f>
        <v>900</v>
      </c>
      <c r="L8" s="5">
        <v>1060001</v>
      </c>
    </row>
    <row r="9" spans="1:12" x14ac:dyDescent="0.15">
      <c r="A9" s="5">
        <v>7106</v>
      </c>
      <c r="B9" s="5">
        <v>101</v>
      </c>
      <c r="C9" s="5" t="str">
        <f t="shared" si="1"/>
        <v>Holy_Name_1060001</v>
      </c>
      <c r="D9" s="5" t="s">
        <v>27</v>
      </c>
      <c r="E9" s="5">
        <v>1</v>
      </c>
      <c r="F9" s="5">
        <v>6</v>
      </c>
      <c r="G9" s="5">
        <v>7</v>
      </c>
      <c r="H9" s="5">
        <v>140</v>
      </c>
      <c r="I9" s="5" t="str">
        <f t="shared" si="0"/>
        <v>Holy_Desc_1060001</v>
      </c>
      <c r="J9" s="4" t="s">
        <v>28</v>
      </c>
      <c r="K9" s="5">
        <f>[1]圣物数值!$C7*10000</f>
        <v>1080</v>
      </c>
      <c r="L9" s="5">
        <v>1060001</v>
      </c>
    </row>
    <row r="10" spans="1:12" x14ac:dyDescent="0.15">
      <c r="A10" s="5">
        <v>7107</v>
      </c>
      <c r="B10" s="5">
        <v>101</v>
      </c>
      <c r="C10" s="5" t="str">
        <f t="shared" si="1"/>
        <v>Holy_Name_1060001</v>
      </c>
      <c r="D10" s="5" t="s">
        <v>27</v>
      </c>
      <c r="E10" s="5">
        <v>1</v>
      </c>
      <c r="F10" s="5">
        <v>7</v>
      </c>
      <c r="G10" s="5">
        <v>9</v>
      </c>
      <c r="H10" s="5">
        <v>180</v>
      </c>
      <c r="I10" s="5" t="str">
        <f t="shared" si="0"/>
        <v>Holy_Desc_1060001</v>
      </c>
      <c r="J10" s="4" t="s">
        <v>28</v>
      </c>
      <c r="K10" s="5">
        <f>[1]圣物数值!$C8*10000</f>
        <v>1260</v>
      </c>
      <c r="L10" s="5">
        <v>1060001</v>
      </c>
    </row>
    <row r="11" spans="1:12" x14ac:dyDescent="0.15">
      <c r="A11" s="5">
        <v>7108</v>
      </c>
      <c r="B11" s="5">
        <v>101</v>
      </c>
      <c r="C11" s="5" t="str">
        <f t="shared" si="1"/>
        <v>Holy_Name_1060001</v>
      </c>
      <c r="D11" s="5" t="s">
        <v>27</v>
      </c>
      <c r="E11" s="5">
        <v>1</v>
      </c>
      <c r="F11" s="5">
        <v>8</v>
      </c>
      <c r="G11" s="5">
        <v>10</v>
      </c>
      <c r="H11" s="5">
        <v>210</v>
      </c>
      <c r="I11" s="5" t="str">
        <f t="shared" si="0"/>
        <v>Holy_Desc_1060001</v>
      </c>
      <c r="J11" s="4" t="s">
        <v>28</v>
      </c>
      <c r="K11" s="5">
        <f>[1]圣物数值!$C9*10000</f>
        <v>1440</v>
      </c>
      <c r="L11" s="5">
        <v>1060001</v>
      </c>
    </row>
    <row r="12" spans="1:12" x14ac:dyDescent="0.15">
      <c r="A12" s="5">
        <v>7109</v>
      </c>
      <c r="B12" s="5">
        <v>101</v>
      </c>
      <c r="C12" s="5" t="str">
        <f t="shared" si="1"/>
        <v>Holy_Name_1060001</v>
      </c>
      <c r="D12" s="5" t="s">
        <v>27</v>
      </c>
      <c r="E12" s="5">
        <v>1</v>
      </c>
      <c r="F12" s="5">
        <v>9</v>
      </c>
      <c r="G12" s="5">
        <v>12</v>
      </c>
      <c r="H12" s="5">
        <v>240</v>
      </c>
      <c r="I12" s="5" t="str">
        <f t="shared" si="0"/>
        <v>Holy_Desc_1060001</v>
      </c>
      <c r="J12" s="4" t="s">
        <v>28</v>
      </c>
      <c r="K12" s="5">
        <f>[1]圣物数值!$C10*10000</f>
        <v>1620</v>
      </c>
      <c r="L12" s="5">
        <v>1060001</v>
      </c>
    </row>
    <row r="13" spans="1:12" x14ac:dyDescent="0.15">
      <c r="A13" s="5">
        <v>7110</v>
      </c>
      <c r="B13" s="5">
        <v>101</v>
      </c>
      <c r="C13" s="5" t="str">
        <f t="shared" si="1"/>
        <v>Holy_Name_1060001</v>
      </c>
      <c r="D13" s="5" t="s">
        <v>27</v>
      </c>
      <c r="E13" s="5">
        <v>1</v>
      </c>
      <c r="F13" s="5">
        <v>10</v>
      </c>
      <c r="G13" s="5">
        <v>14</v>
      </c>
      <c r="H13" s="5">
        <v>270</v>
      </c>
      <c r="I13" s="5" t="str">
        <f t="shared" si="0"/>
        <v>Holy_Desc_1060001</v>
      </c>
      <c r="J13" s="4" t="s">
        <v>28</v>
      </c>
      <c r="K13" s="5">
        <f>[1]圣物数值!$C11*10000</f>
        <v>1800</v>
      </c>
      <c r="L13" s="5">
        <v>1060001</v>
      </c>
    </row>
    <row r="14" spans="1:12" x14ac:dyDescent="0.15">
      <c r="A14" s="5">
        <v>7111</v>
      </c>
      <c r="B14" s="5">
        <v>101</v>
      </c>
      <c r="C14" s="5" t="str">
        <f t="shared" si="1"/>
        <v>Holy_Name_1060001</v>
      </c>
      <c r="D14" s="5" t="s">
        <v>27</v>
      </c>
      <c r="E14" s="5">
        <v>1</v>
      </c>
      <c r="F14" s="5">
        <v>11</v>
      </c>
      <c r="G14" s="5">
        <v>15</v>
      </c>
      <c r="H14" s="5">
        <v>300</v>
      </c>
      <c r="I14" s="5" t="str">
        <f t="shared" ref="I14:I57" si="2">"Holy_Desc_"&amp;L14</f>
        <v>Holy_Desc_1060001</v>
      </c>
      <c r="J14" s="4" t="s">
        <v>28</v>
      </c>
      <c r="K14" s="5">
        <f>[1]圣物数值!$C12*10000</f>
        <v>1980</v>
      </c>
      <c r="L14" s="5">
        <v>1060001</v>
      </c>
    </row>
    <row r="15" spans="1:12" x14ac:dyDescent="0.15">
      <c r="A15" s="5">
        <v>7112</v>
      </c>
      <c r="B15" s="5">
        <v>101</v>
      </c>
      <c r="C15" s="5" t="str">
        <f t="shared" si="1"/>
        <v>Holy_Name_1060001</v>
      </c>
      <c r="D15" s="5" t="s">
        <v>27</v>
      </c>
      <c r="E15" s="5">
        <v>1</v>
      </c>
      <c r="F15" s="5">
        <v>12</v>
      </c>
      <c r="G15" s="5">
        <v>17</v>
      </c>
      <c r="H15" s="5">
        <v>340</v>
      </c>
      <c r="I15" s="5" t="str">
        <f t="shared" si="2"/>
        <v>Holy_Desc_1060001</v>
      </c>
      <c r="J15" s="4" t="s">
        <v>28</v>
      </c>
      <c r="K15" s="5">
        <f>[1]圣物数值!$C13*10000</f>
        <v>2160</v>
      </c>
      <c r="L15" s="5">
        <v>1060001</v>
      </c>
    </row>
    <row r="16" spans="1:12" x14ac:dyDescent="0.15">
      <c r="A16" s="5">
        <v>7113</v>
      </c>
      <c r="B16" s="5">
        <v>101</v>
      </c>
      <c r="C16" s="5" t="str">
        <f t="shared" si="1"/>
        <v>Holy_Name_1060001</v>
      </c>
      <c r="D16" s="5" t="s">
        <v>27</v>
      </c>
      <c r="E16" s="5">
        <v>1</v>
      </c>
      <c r="F16" s="5">
        <v>13</v>
      </c>
      <c r="G16" s="5">
        <v>18</v>
      </c>
      <c r="H16" s="5">
        <v>370</v>
      </c>
      <c r="I16" s="5" t="str">
        <f t="shared" si="2"/>
        <v>Holy_Desc_1060001</v>
      </c>
      <c r="J16" s="4" t="s">
        <v>28</v>
      </c>
      <c r="K16" s="5">
        <f>[1]圣物数值!$C14*10000</f>
        <v>2340</v>
      </c>
      <c r="L16" s="5">
        <v>1060001</v>
      </c>
    </row>
    <row r="17" spans="1:12" x14ac:dyDescent="0.15">
      <c r="A17" s="5">
        <v>7114</v>
      </c>
      <c r="B17" s="5">
        <v>101</v>
      </c>
      <c r="C17" s="5" t="str">
        <f t="shared" si="1"/>
        <v>Holy_Name_1060001</v>
      </c>
      <c r="D17" s="5" t="s">
        <v>27</v>
      </c>
      <c r="E17" s="5">
        <v>1</v>
      </c>
      <c r="F17" s="5">
        <v>14</v>
      </c>
      <c r="G17" s="5">
        <v>20</v>
      </c>
      <c r="H17" s="5">
        <v>400</v>
      </c>
      <c r="I17" s="5" t="str">
        <f t="shared" si="2"/>
        <v>Holy_Desc_1060001</v>
      </c>
      <c r="J17" s="4" t="s">
        <v>28</v>
      </c>
      <c r="K17" s="5">
        <f>[1]圣物数值!$C15*10000</f>
        <v>2520</v>
      </c>
      <c r="L17" s="5">
        <v>1060001</v>
      </c>
    </row>
    <row r="18" spans="1:12" x14ac:dyDescent="0.15">
      <c r="A18" s="5">
        <v>7115</v>
      </c>
      <c r="B18" s="5">
        <v>101</v>
      </c>
      <c r="C18" s="5" t="str">
        <f t="shared" si="1"/>
        <v>Holy_Name_1060001</v>
      </c>
      <c r="D18" s="5" t="s">
        <v>27</v>
      </c>
      <c r="E18" s="5">
        <v>1</v>
      </c>
      <c r="F18" s="5">
        <v>15</v>
      </c>
      <c r="G18" s="5">
        <v>22</v>
      </c>
      <c r="H18" s="5">
        <v>430</v>
      </c>
      <c r="I18" s="5" t="str">
        <f t="shared" si="2"/>
        <v>Holy_Desc_1060001</v>
      </c>
      <c r="J18" s="4" t="s">
        <v>28</v>
      </c>
      <c r="K18" s="5">
        <f>[1]圣物数值!$C16*10000</f>
        <v>2700</v>
      </c>
      <c r="L18" s="5">
        <v>1060001</v>
      </c>
    </row>
    <row r="19" spans="1:12" x14ac:dyDescent="0.15">
      <c r="A19" s="5">
        <v>7116</v>
      </c>
      <c r="B19" s="5">
        <v>101</v>
      </c>
      <c r="C19" s="5" t="str">
        <f t="shared" si="1"/>
        <v>Holy_Name_1060001</v>
      </c>
      <c r="D19" s="5" t="s">
        <v>27</v>
      </c>
      <c r="E19" s="5">
        <v>1</v>
      </c>
      <c r="F19" s="5">
        <v>16</v>
      </c>
      <c r="G19" s="5">
        <v>23</v>
      </c>
      <c r="H19" s="5">
        <v>460</v>
      </c>
      <c r="I19" s="5" t="str">
        <f t="shared" si="2"/>
        <v>Holy_Desc_1060001</v>
      </c>
      <c r="J19" s="4" t="s">
        <v>28</v>
      </c>
      <c r="K19" s="5">
        <f>[1]圣物数值!$C17*10000</f>
        <v>2880</v>
      </c>
      <c r="L19" s="5">
        <v>1060001</v>
      </c>
    </row>
    <row r="20" spans="1:12" x14ac:dyDescent="0.15">
      <c r="A20" s="5">
        <v>7117</v>
      </c>
      <c r="B20" s="5">
        <v>101</v>
      </c>
      <c r="C20" s="5" t="str">
        <f t="shared" si="1"/>
        <v>Holy_Name_1060001</v>
      </c>
      <c r="D20" s="5" t="s">
        <v>27</v>
      </c>
      <c r="E20" s="5">
        <v>1</v>
      </c>
      <c r="F20" s="5">
        <v>17</v>
      </c>
      <c r="G20" s="5">
        <v>25</v>
      </c>
      <c r="H20" s="5">
        <v>500</v>
      </c>
      <c r="I20" s="5" t="str">
        <f t="shared" si="2"/>
        <v>Holy_Desc_1060001</v>
      </c>
      <c r="J20" s="4" t="s">
        <v>28</v>
      </c>
      <c r="K20" s="5">
        <f>[1]圣物数值!$C18*10000</f>
        <v>3060</v>
      </c>
      <c r="L20" s="5">
        <v>1060001</v>
      </c>
    </row>
    <row r="21" spans="1:12" x14ac:dyDescent="0.15">
      <c r="A21" s="5">
        <v>7118</v>
      </c>
      <c r="B21" s="5">
        <v>101</v>
      </c>
      <c r="C21" s="5" t="str">
        <f t="shared" si="1"/>
        <v>Holy_Name_1060001</v>
      </c>
      <c r="D21" s="5" t="s">
        <v>27</v>
      </c>
      <c r="E21" s="5">
        <v>1</v>
      </c>
      <c r="F21" s="5">
        <v>18</v>
      </c>
      <c r="G21" s="5">
        <v>26</v>
      </c>
      <c r="H21" s="5">
        <v>530</v>
      </c>
      <c r="I21" s="5" t="str">
        <f t="shared" si="2"/>
        <v>Holy_Desc_1060001</v>
      </c>
      <c r="J21" s="4" t="s">
        <v>28</v>
      </c>
      <c r="K21" s="5">
        <f>[1]圣物数值!$C19*10000</f>
        <v>3240</v>
      </c>
      <c r="L21" s="5">
        <v>1060001</v>
      </c>
    </row>
    <row r="22" spans="1:12" x14ac:dyDescent="0.15">
      <c r="A22" s="5">
        <v>7119</v>
      </c>
      <c r="B22" s="5">
        <v>101</v>
      </c>
      <c r="C22" s="5" t="str">
        <f t="shared" si="1"/>
        <v>Holy_Name_1060001</v>
      </c>
      <c r="D22" s="5" t="s">
        <v>27</v>
      </c>
      <c r="E22" s="5">
        <v>1</v>
      </c>
      <c r="F22" s="5">
        <v>19</v>
      </c>
      <c r="G22" s="5">
        <v>28</v>
      </c>
      <c r="H22" s="5">
        <v>560</v>
      </c>
      <c r="I22" s="5" t="str">
        <f t="shared" si="2"/>
        <v>Holy_Desc_1060001</v>
      </c>
      <c r="J22" s="4" t="s">
        <v>28</v>
      </c>
      <c r="K22" s="5">
        <f>[1]圣物数值!$C20*10000</f>
        <v>3420</v>
      </c>
      <c r="L22" s="5">
        <v>1060001</v>
      </c>
    </row>
    <row r="23" spans="1:12" x14ac:dyDescent="0.15">
      <c r="A23" s="5">
        <v>7120</v>
      </c>
      <c r="B23" s="5">
        <v>101</v>
      </c>
      <c r="C23" s="5" t="str">
        <f t="shared" si="1"/>
        <v>Holy_Name_1060001</v>
      </c>
      <c r="D23" s="5" t="s">
        <v>27</v>
      </c>
      <c r="E23" s="5">
        <v>1</v>
      </c>
      <c r="F23" s="5">
        <v>20</v>
      </c>
      <c r="G23" s="5">
        <v>30</v>
      </c>
      <c r="H23" s="5">
        <v>590</v>
      </c>
      <c r="I23" s="5" t="str">
        <f t="shared" si="2"/>
        <v>Holy_Desc_1060001</v>
      </c>
      <c r="J23" s="4" t="s">
        <v>28</v>
      </c>
      <c r="K23" s="5">
        <f>[1]圣物数值!$C21*10000</f>
        <v>3600</v>
      </c>
      <c r="L23" s="5">
        <v>1060001</v>
      </c>
    </row>
    <row r="24" spans="1:12" x14ac:dyDescent="0.15">
      <c r="A24" s="5">
        <v>7121</v>
      </c>
      <c r="B24" s="5">
        <v>101</v>
      </c>
      <c r="C24" s="5" t="str">
        <f t="shared" si="1"/>
        <v>Holy_Name_1060001</v>
      </c>
      <c r="D24" s="5" t="s">
        <v>27</v>
      </c>
      <c r="E24" s="5">
        <v>1</v>
      </c>
      <c r="F24" s="5">
        <v>21</v>
      </c>
      <c r="G24" s="5">
        <v>31</v>
      </c>
      <c r="H24" s="5">
        <v>620</v>
      </c>
      <c r="I24" s="5" t="str">
        <f t="shared" si="2"/>
        <v>Holy_Desc_1060001</v>
      </c>
      <c r="J24" s="4" t="s">
        <v>28</v>
      </c>
      <c r="K24" s="5">
        <f>[1]圣物数值!$C22*10000</f>
        <v>3780</v>
      </c>
      <c r="L24" s="5">
        <v>1060001</v>
      </c>
    </row>
    <row r="25" spans="1:12" x14ac:dyDescent="0.15">
      <c r="A25" s="5">
        <v>7122</v>
      </c>
      <c r="B25" s="5">
        <v>101</v>
      </c>
      <c r="C25" s="5" t="str">
        <f t="shared" si="1"/>
        <v>Holy_Name_1060001</v>
      </c>
      <c r="D25" s="5" t="s">
        <v>27</v>
      </c>
      <c r="E25" s="5">
        <v>1</v>
      </c>
      <c r="F25" s="5">
        <v>22</v>
      </c>
      <c r="G25" s="5">
        <v>33</v>
      </c>
      <c r="H25" s="5">
        <v>660</v>
      </c>
      <c r="I25" s="5" t="str">
        <f t="shared" si="2"/>
        <v>Holy_Desc_1060001</v>
      </c>
      <c r="J25" s="4" t="s">
        <v>28</v>
      </c>
      <c r="K25" s="5">
        <f>[1]圣物数值!$C23*10000</f>
        <v>3960</v>
      </c>
      <c r="L25" s="5">
        <v>1060001</v>
      </c>
    </row>
    <row r="26" spans="1:12" x14ac:dyDescent="0.15">
      <c r="A26" s="5">
        <v>7123</v>
      </c>
      <c r="B26" s="5">
        <v>101</v>
      </c>
      <c r="C26" s="5" t="str">
        <f t="shared" si="1"/>
        <v>Holy_Name_1060001</v>
      </c>
      <c r="D26" s="5" t="s">
        <v>27</v>
      </c>
      <c r="E26" s="5">
        <v>1</v>
      </c>
      <c r="F26" s="5">
        <v>23</v>
      </c>
      <c r="G26" s="5">
        <v>34</v>
      </c>
      <c r="H26" s="5">
        <v>690</v>
      </c>
      <c r="I26" s="5" t="str">
        <f t="shared" si="2"/>
        <v>Holy_Desc_1060001</v>
      </c>
      <c r="J26" s="4" t="s">
        <v>28</v>
      </c>
      <c r="K26" s="5">
        <f>[1]圣物数值!$C24*10000</f>
        <v>4140</v>
      </c>
      <c r="L26" s="5">
        <v>1060001</v>
      </c>
    </row>
    <row r="27" spans="1:12" x14ac:dyDescent="0.15">
      <c r="A27" s="5">
        <v>7124</v>
      </c>
      <c r="B27" s="5">
        <v>101</v>
      </c>
      <c r="C27" s="5" t="str">
        <f t="shared" si="1"/>
        <v>Holy_Name_1060001</v>
      </c>
      <c r="D27" s="5" t="s">
        <v>27</v>
      </c>
      <c r="E27" s="5">
        <v>1</v>
      </c>
      <c r="F27" s="5">
        <v>24</v>
      </c>
      <c r="G27" s="5">
        <v>36</v>
      </c>
      <c r="H27" s="5">
        <v>720</v>
      </c>
      <c r="I27" s="5" t="str">
        <f t="shared" si="2"/>
        <v>Holy_Desc_1060001</v>
      </c>
      <c r="J27" s="4" t="s">
        <v>28</v>
      </c>
      <c r="K27" s="5">
        <f>[1]圣物数值!$C25*10000</f>
        <v>4320</v>
      </c>
      <c r="L27" s="5">
        <v>1060001</v>
      </c>
    </row>
    <row r="28" spans="1:12" x14ac:dyDescent="0.15">
      <c r="A28" s="5">
        <v>7125</v>
      </c>
      <c r="B28" s="5">
        <v>101</v>
      </c>
      <c r="C28" s="5" t="str">
        <f t="shared" si="1"/>
        <v>Holy_Name_1060001</v>
      </c>
      <c r="D28" s="5" t="s">
        <v>27</v>
      </c>
      <c r="E28" s="5">
        <v>1</v>
      </c>
      <c r="F28" s="5">
        <v>25</v>
      </c>
      <c r="G28" s="5">
        <v>38</v>
      </c>
      <c r="H28" s="5">
        <v>750</v>
      </c>
      <c r="I28" s="5" t="str">
        <f t="shared" si="2"/>
        <v>Holy_Desc_1060001</v>
      </c>
      <c r="J28" s="4" t="s">
        <v>28</v>
      </c>
      <c r="K28" s="5">
        <f>[1]圣物数值!$C26*10000</f>
        <v>4500</v>
      </c>
      <c r="L28" s="5">
        <v>1060001</v>
      </c>
    </row>
    <row r="29" spans="1:12" x14ac:dyDescent="0.15">
      <c r="A29" s="5">
        <v>7126</v>
      </c>
      <c r="B29" s="5">
        <v>101</v>
      </c>
      <c r="C29" s="5" t="str">
        <f t="shared" si="1"/>
        <v>Holy_Name_1060001</v>
      </c>
      <c r="D29" s="5" t="s">
        <v>27</v>
      </c>
      <c r="E29" s="5">
        <v>1</v>
      </c>
      <c r="F29" s="5">
        <v>26</v>
      </c>
      <c r="G29" s="5">
        <v>39</v>
      </c>
      <c r="H29" s="5">
        <v>780</v>
      </c>
      <c r="I29" s="5" t="str">
        <f t="shared" si="2"/>
        <v>Holy_Desc_1060001</v>
      </c>
      <c r="J29" s="4" t="s">
        <v>28</v>
      </c>
      <c r="K29" s="5">
        <f>[1]圣物数值!$C27*10000</f>
        <v>4680</v>
      </c>
      <c r="L29" s="5">
        <v>1060001</v>
      </c>
    </row>
    <row r="30" spans="1:12" x14ac:dyDescent="0.15">
      <c r="A30" s="5">
        <v>7127</v>
      </c>
      <c r="B30" s="5">
        <v>101</v>
      </c>
      <c r="C30" s="5" t="str">
        <f t="shared" si="1"/>
        <v>Holy_Name_1060001</v>
      </c>
      <c r="D30" s="5" t="s">
        <v>27</v>
      </c>
      <c r="E30" s="5">
        <v>1</v>
      </c>
      <c r="F30" s="5">
        <v>27</v>
      </c>
      <c r="G30" s="5">
        <v>41</v>
      </c>
      <c r="H30" s="5">
        <v>820</v>
      </c>
      <c r="I30" s="5" t="str">
        <f t="shared" si="2"/>
        <v>Holy_Desc_1060001</v>
      </c>
      <c r="J30" s="4" t="s">
        <v>28</v>
      </c>
      <c r="K30" s="5">
        <f>[1]圣物数值!$C28*10000</f>
        <v>4860</v>
      </c>
      <c r="L30" s="5">
        <v>1060001</v>
      </c>
    </row>
    <row r="31" spans="1:12" x14ac:dyDescent="0.15">
      <c r="A31" s="5">
        <v>7128</v>
      </c>
      <c r="B31" s="5">
        <v>101</v>
      </c>
      <c r="C31" s="5" t="str">
        <f t="shared" si="1"/>
        <v>Holy_Name_1060001</v>
      </c>
      <c r="D31" s="5" t="s">
        <v>27</v>
      </c>
      <c r="E31" s="5">
        <v>1</v>
      </c>
      <c r="F31" s="5">
        <v>28</v>
      </c>
      <c r="G31" s="5">
        <v>42</v>
      </c>
      <c r="H31" s="5">
        <v>850</v>
      </c>
      <c r="I31" s="5" t="str">
        <f t="shared" si="2"/>
        <v>Holy_Desc_1060001</v>
      </c>
      <c r="J31" s="4" t="s">
        <v>28</v>
      </c>
      <c r="K31" s="5">
        <f>[1]圣物数值!$C29*10000</f>
        <v>5040</v>
      </c>
      <c r="L31" s="5">
        <v>1060001</v>
      </c>
    </row>
    <row r="32" spans="1:12" x14ac:dyDescent="0.15">
      <c r="A32" s="5">
        <v>7129</v>
      </c>
      <c r="B32" s="5">
        <v>101</v>
      </c>
      <c r="C32" s="5" t="str">
        <f t="shared" si="1"/>
        <v>Holy_Name_1060001</v>
      </c>
      <c r="D32" s="5" t="s">
        <v>27</v>
      </c>
      <c r="E32" s="5">
        <v>1</v>
      </c>
      <c r="F32" s="5">
        <v>29</v>
      </c>
      <c r="G32" s="5">
        <v>44</v>
      </c>
      <c r="H32" s="5">
        <v>880</v>
      </c>
      <c r="I32" s="5" t="str">
        <f t="shared" si="2"/>
        <v>Holy_Desc_1060001</v>
      </c>
      <c r="J32" s="4" t="s">
        <v>28</v>
      </c>
      <c r="K32" s="5">
        <f>[1]圣物数值!$C30*10000</f>
        <v>5220</v>
      </c>
      <c r="L32" s="5">
        <v>1060001</v>
      </c>
    </row>
    <row r="33" spans="1:12" x14ac:dyDescent="0.15">
      <c r="A33" s="5">
        <v>7130</v>
      </c>
      <c r="B33" s="5">
        <v>101</v>
      </c>
      <c r="C33" s="5" t="str">
        <f t="shared" si="1"/>
        <v>Holy_Name_1060001</v>
      </c>
      <c r="D33" s="5" t="s">
        <v>27</v>
      </c>
      <c r="E33" s="5">
        <v>1</v>
      </c>
      <c r="F33" s="5">
        <v>30</v>
      </c>
      <c r="G33" s="5">
        <v>46</v>
      </c>
      <c r="H33" s="5">
        <v>910</v>
      </c>
      <c r="I33" s="5" t="str">
        <f t="shared" si="2"/>
        <v>Holy_Desc_1060001</v>
      </c>
      <c r="J33" s="4" t="s">
        <v>28</v>
      </c>
      <c r="K33" s="5">
        <f>[1]圣物数值!$C31*10000</f>
        <v>5400</v>
      </c>
      <c r="L33" s="5">
        <v>1060001</v>
      </c>
    </row>
    <row r="34" spans="1:12" x14ac:dyDescent="0.15">
      <c r="A34" s="5">
        <v>7131</v>
      </c>
      <c r="B34" s="5">
        <v>101</v>
      </c>
      <c r="C34" s="5" t="str">
        <f t="shared" si="1"/>
        <v>Holy_Name_1060001</v>
      </c>
      <c r="D34" s="5" t="s">
        <v>27</v>
      </c>
      <c r="E34" s="5">
        <v>1</v>
      </c>
      <c r="F34" s="5">
        <v>31</v>
      </c>
      <c r="G34" s="5">
        <v>47</v>
      </c>
      <c r="H34" s="5">
        <v>940</v>
      </c>
      <c r="I34" s="5" t="str">
        <f t="shared" si="2"/>
        <v>Holy_Desc_1060001</v>
      </c>
      <c r="J34" s="4" t="s">
        <v>28</v>
      </c>
      <c r="K34" s="5">
        <f>[1]圣物数值!$C32*10000</f>
        <v>5580</v>
      </c>
      <c r="L34" s="5">
        <v>1060001</v>
      </c>
    </row>
    <row r="35" spans="1:12" x14ac:dyDescent="0.15">
      <c r="A35" s="5">
        <v>7132</v>
      </c>
      <c r="B35" s="5">
        <v>101</v>
      </c>
      <c r="C35" s="5" t="str">
        <f t="shared" si="1"/>
        <v>Holy_Name_1060001</v>
      </c>
      <c r="D35" s="5" t="s">
        <v>27</v>
      </c>
      <c r="E35" s="5">
        <v>1</v>
      </c>
      <c r="F35" s="5">
        <v>32</v>
      </c>
      <c r="G35" s="5">
        <v>49</v>
      </c>
      <c r="H35" s="5">
        <v>980</v>
      </c>
      <c r="I35" s="5" t="str">
        <f t="shared" si="2"/>
        <v>Holy_Desc_1060001</v>
      </c>
      <c r="J35" s="4" t="s">
        <v>28</v>
      </c>
      <c r="K35" s="5">
        <f>[1]圣物数值!$C33*10000</f>
        <v>5760</v>
      </c>
      <c r="L35" s="5">
        <v>1060001</v>
      </c>
    </row>
    <row r="36" spans="1:12" x14ac:dyDescent="0.15">
      <c r="A36" s="5">
        <v>7133</v>
      </c>
      <c r="B36" s="5">
        <v>101</v>
      </c>
      <c r="C36" s="5" t="str">
        <f t="shared" si="1"/>
        <v>Holy_Name_1060001</v>
      </c>
      <c r="D36" s="5" t="s">
        <v>27</v>
      </c>
      <c r="E36" s="5">
        <v>1</v>
      </c>
      <c r="F36" s="5">
        <v>33</v>
      </c>
      <c r="G36" s="5">
        <v>50</v>
      </c>
      <c r="H36" s="5">
        <v>1010</v>
      </c>
      <c r="I36" s="5" t="str">
        <f t="shared" si="2"/>
        <v>Holy_Desc_1060001</v>
      </c>
      <c r="J36" s="4" t="s">
        <v>28</v>
      </c>
      <c r="K36" s="5">
        <f>[1]圣物数值!$C34*10000</f>
        <v>5940</v>
      </c>
      <c r="L36" s="5">
        <v>1060001</v>
      </c>
    </row>
    <row r="37" spans="1:12" x14ac:dyDescent="0.15">
      <c r="A37" s="5">
        <v>7134</v>
      </c>
      <c r="B37" s="5">
        <v>101</v>
      </c>
      <c r="C37" s="5" t="str">
        <f t="shared" si="1"/>
        <v>Holy_Name_1060001</v>
      </c>
      <c r="D37" s="5" t="s">
        <v>27</v>
      </c>
      <c r="E37" s="5">
        <v>1</v>
      </c>
      <c r="F37" s="5">
        <v>34</v>
      </c>
      <c r="G37" s="5">
        <v>52</v>
      </c>
      <c r="H37" s="5">
        <v>1040</v>
      </c>
      <c r="I37" s="5" t="str">
        <f t="shared" si="2"/>
        <v>Holy_Desc_1060001</v>
      </c>
      <c r="J37" s="4" t="s">
        <v>28</v>
      </c>
      <c r="K37" s="5">
        <f>[1]圣物数值!$C35*10000</f>
        <v>6120</v>
      </c>
      <c r="L37" s="5">
        <v>1060001</v>
      </c>
    </row>
    <row r="38" spans="1:12" x14ac:dyDescent="0.15">
      <c r="A38" s="5">
        <v>7135</v>
      </c>
      <c r="B38" s="5">
        <v>101</v>
      </c>
      <c r="C38" s="5" t="str">
        <f t="shared" si="1"/>
        <v>Holy_Name_1060001</v>
      </c>
      <c r="D38" s="5" t="s">
        <v>27</v>
      </c>
      <c r="E38" s="5">
        <v>1</v>
      </c>
      <c r="F38" s="5">
        <v>35</v>
      </c>
      <c r="G38" s="5">
        <v>54</v>
      </c>
      <c r="H38" s="5">
        <v>1070</v>
      </c>
      <c r="I38" s="5" t="str">
        <f t="shared" si="2"/>
        <v>Holy_Desc_1060001</v>
      </c>
      <c r="J38" s="4" t="s">
        <v>28</v>
      </c>
      <c r="K38" s="5">
        <f>[1]圣物数值!$C36*10000</f>
        <v>6300</v>
      </c>
      <c r="L38" s="5">
        <v>1060001</v>
      </c>
    </row>
    <row r="39" spans="1:12" x14ac:dyDescent="0.15">
      <c r="A39" s="5">
        <v>7136</v>
      </c>
      <c r="B39" s="5">
        <v>101</v>
      </c>
      <c r="C39" s="5" t="str">
        <f t="shared" si="1"/>
        <v>Holy_Name_1060001</v>
      </c>
      <c r="D39" s="5" t="s">
        <v>27</v>
      </c>
      <c r="E39" s="5">
        <v>1</v>
      </c>
      <c r="F39" s="5">
        <v>36</v>
      </c>
      <c r="G39" s="5">
        <v>55</v>
      </c>
      <c r="H39" s="5">
        <v>1100</v>
      </c>
      <c r="I39" s="5" t="str">
        <f t="shared" si="2"/>
        <v>Holy_Desc_1060001</v>
      </c>
      <c r="J39" s="4" t="s">
        <v>28</v>
      </c>
      <c r="K39" s="5">
        <f>[1]圣物数值!$C37*10000</f>
        <v>6480</v>
      </c>
      <c r="L39" s="5">
        <v>1060001</v>
      </c>
    </row>
    <row r="40" spans="1:12" x14ac:dyDescent="0.15">
      <c r="A40" s="5">
        <v>7137</v>
      </c>
      <c r="B40" s="5">
        <v>101</v>
      </c>
      <c r="C40" s="5" t="str">
        <f t="shared" si="1"/>
        <v>Holy_Name_1060001</v>
      </c>
      <c r="D40" s="5" t="s">
        <v>27</v>
      </c>
      <c r="E40" s="5">
        <v>1</v>
      </c>
      <c r="F40" s="5">
        <v>37</v>
      </c>
      <c r="G40" s="5">
        <v>57</v>
      </c>
      <c r="H40" s="5">
        <v>1140</v>
      </c>
      <c r="I40" s="5" t="str">
        <f t="shared" si="2"/>
        <v>Holy_Desc_1060001</v>
      </c>
      <c r="J40" s="4" t="s">
        <v>28</v>
      </c>
      <c r="K40" s="5">
        <f>[1]圣物数值!$C38*10000</f>
        <v>6660</v>
      </c>
      <c r="L40" s="5">
        <v>1060001</v>
      </c>
    </row>
    <row r="41" spans="1:12" x14ac:dyDescent="0.15">
      <c r="A41" s="5">
        <v>7138</v>
      </c>
      <c r="B41" s="5">
        <v>101</v>
      </c>
      <c r="C41" s="5" t="str">
        <f t="shared" si="1"/>
        <v>Holy_Name_1060001</v>
      </c>
      <c r="D41" s="5" t="s">
        <v>27</v>
      </c>
      <c r="E41" s="5">
        <v>1</v>
      </c>
      <c r="F41" s="5">
        <v>38</v>
      </c>
      <c r="G41" s="5">
        <v>58</v>
      </c>
      <c r="H41" s="5">
        <v>1170</v>
      </c>
      <c r="I41" s="5" t="str">
        <f t="shared" si="2"/>
        <v>Holy_Desc_1060001</v>
      </c>
      <c r="J41" s="4" t="s">
        <v>28</v>
      </c>
      <c r="K41" s="5">
        <f>[1]圣物数值!$C39*10000</f>
        <v>6840</v>
      </c>
      <c r="L41" s="5">
        <v>1060001</v>
      </c>
    </row>
    <row r="42" spans="1:12" x14ac:dyDescent="0.15">
      <c r="A42" s="5">
        <v>7139</v>
      </c>
      <c r="B42" s="5">
        <v>101</v>
      </c>
      <c r="C42" s="5" t="str">
        <f t="shared" si="1"/>
        <v>Holy_Name_1060001</v>
      </c>
      <c r="D42" s="5" t="s">
        <v>27</v>
      </c>
      <c r="E42" s="5">
        <v>1</v>
      </c>
      <c r="F42" s="5">
        <v>39</v>
      </c>
      <c r="G42" s="5">
        <v>60</v>
      </c>
      <c r="H42" s="5">
        <v>1200</v>
      </c>
      <c r="I42" s="5" t="str">
        <f t="shared" si="2"/>
        <v>Holy_Desc_1060001</v>
      </c>
      <c r="J42" s="4" t="s">
        <v>28</v>
      </c>
      <c r="K42" s="5">
        <f>[1]圣物数值!$C40*10000</f>
        <v>7020</v>
      </c>
      <c r="L42" s="5">
        <v>1060001</v>
      </c>
    </row>
    <row r="43" spans="1:12" x14ac:dyDescent="0.15">
      <c r="A43" s="5">
        <v>7140</v>
      </c>
      <c r="B43" s="5">
        <v>101</v>
      </c>
      <c r="C43" s="5" t="str">
        <f t="shared" si="1"/>
        <v>Holy_Name_1060001</v>
      </c>
      <c r="D43" s="5" t="s">
        <v>27</v>
      </c>
      <c r="E43" s="5">
        <v>1</v>
      </c>
      <c r="F43" s="5">
        <v>40</v>
      </c>
      <c r="G43" s="5">
        <v>62</v>
      </c>
      <c r="H43" s="5">
        <v>1230</v>
      </c>
      <c r="I43" s="5" t="str">
        <f t="shared" si="2"/>
        <v>Holy_Desc_1060001</v>
      </c>
      <c r="J43" s="4" t="s">
        <v>28</v>
      </c>
      <c r="K43" s="5">
        <f>[1]圣物数值!$C41*10000</f>
        <v>7200</v>
      </c>
      <c r="L43" s="5">
        <v>1060001</v>
      </c>
    </row>
    <row r="44" spans="1:12" x14ac:dyDescent="0.15">
      <c r="A44" s="5">
        <v>7141</v>
      </c>
      <c r="B44" s="5">
        <v>101</v>
      </c>
      <c r="C44" s="5" t="str">
        <f t="shared" si="1"/>
        <v>Holy_Name_1060001</v>
      </c>
      <c r="D44" s="5" t="s">
        <v>27</v>
      </c>
      <c r="E44" s="5">
        <v>1</v>
      </c>
      <c r="F44" s="5">
        <v>41</v>
      </c>
      <c r="G44" s="5">
        <v>63</v>
      </c>
      <c r="H44" s="5">
        <v>1260</v>
      </c>
      <c r="I44" s="5" t="str">
        <f t="shared" si="2"/>
        <v>Holy_Desc_1060001</v>
      </c>
      <c r="J44" s="4" t="s">
        <v>28</v>
      </c>
      <c r="K44" s="5">
        <f>[1]圣物数值!$C42*10000</f>
        <v>7380</v>
      </c>
      <c r="L44" s="5">
        <v>1060001</v>
      </c>
    </row>
    <row r="45" spans="1:12" x14ac:dyDescent="0.15">
      <c r="A45" s="5">
        <v>7142</v>
      </c>
      <c r="B45" s="5">
        <v>101</v>
      </c>
      <c r="C45" s="5" t="str">
        <f t="shared" si="1"/>
        <v>Holy_Name_1060001</v>
      </c>
      <c r="D45" s="5" t="s">
        <v>27</v>
      </c>
      <c r="E45" s="5">
        <v>1</v>
      </c>
      <c r="F45" s="5">
        <v>42</v>
      </c>
      <c r="G45" s="5">
        <v>65</v>
      </c>
      <c r="H45" s="5">
        <v>1300</v>
      </c>
      <c r="I45" s="5" t="str">
        <f t="shared" si="2"/>
        <v>Holy_Desc_1060001</v>
      </c>
      <c r="J45" s="4" t="s">
        <v>28</v>
      </c>
      <c r="K45" s="5">
        <f>[1]圣物数值!$C43*10000</f>
        <v>7560</v>
      </c>
      <c r="L45" s="5">
        <v>1060001</v>
      </c>
    </row>
    <row r="46" spans="1:12" x14ac:dyDescent="0.15">
      <c r="A46" s="5">
        <v>7143</v>
      </c>
      <c r="B46" s="5">
        <v>101</v>
      </c>
      <c r="C46" s="5" t="str">
        <f t="shared" si="1"/>
        <v>Holy_Name_1060001</v>
      </c>
      <c r="D46" s="5" t="s">
        <v>27</v>
      </c>
      <c r="E46" s="5">
        <v>1</v>
      </c>
      <c r="F46" s="5">
        <v>43</v>
      </c>
      <c r="G46" s="5">
        <v>66</v>
      </c>
      <c r="H46" s="5">
        <v>1330</v>
      </c>
      <c r="I46" s="5" t="str">
        <f t="shared" si="2"/>
        <v>Holy_Desc_1060001</v>
      </c>
      <c r="J46" s="4" t="s">
        <v>28</v>
      </c>
      <c r="K46" s="5">
        <f>[1]圣物数值!$C44*10000</f>
        <v>7740</v>
      </c>
      <c r="L46" s="5">
        <v>1060001</v>
      </c>
    </row>
    <row r="47" spans="1:12" x14ac:dyDescent="0.15">
      <c r="A47" s="5">
        <v>7144</v>
      </c>
      <c r="B47" s="5">
        <v>101</v>
      </c>
      <c r="C47" s="5" t="str">
        <f t="shared" si="1"/>
        <v>Holy_Name_1060001</v>
      </c>
      <c r="D47" s="5" t="s">
        <v>27</v>
      </c>
      <c r="E47" s="5">
        <v>1</v>
      </c>
      <c r="F47" s="5">
        <v>44</v>
      </c>
      <c r="G47" s="5">
        <v>68</v>
      </c>
      <c r="H47" s="5">
        <v>1360</v>
      </c>
      <c r="I47" s="5" t="str">
        <f t="shared" si="2"/>
        <v>Holy_Desc_1060001</v>
      </c>
      <c r="J47" s="4" t="s">
        <v>28</v>
      </c>
      <c r="K47" s="5">
        <f>[1]圣物数值!$C45*10000</f>
        <v>7920</v>
      </c>
      <c r="L47" s="5">
        <v>1060001</v>
      </c>
    </row>
    <row r="48" spans="1:12" x14ac:dyDescent="0.15">
      <c r="A48" s="5">
        <v>7145</v>
      </c>
      <c r="B48" s="5">
        <v>101</v>
      </c>
      <c r="C48" s="5" t="str">
        <f t="shared" si="1"/>
        <v>Holy_Name_1060001</v>
      </c>
      <c r="D48" s="5" t="s">
        <v>27</v>
      </c>
      <c r="E48" s="5">
        <v>1</v>
      </c>
      <c r="F48" s="5">
        <v>45</v>
      </c>
      <c r="G48" s="5">
        <v>70</v>
      </c>
      <c r="H48" s="5">
        <v>1390</v>
      </c>
      <c r="I48" s="5" t="str">
        <f t="shared" si="2"/>
        <v>Holy_Desc_1060001</v>
      </c>
      <c r="J48" s="4" t="s">
        <v>28</v>
      </c>
      <c r="K48" s="5">
        <f>[1]圣物数值!$C46*10000</f>
        <v>8100</v>
      </c>
      <c r="L48" s="5">
        <v>1060001</v>
      </c>
    </row>
    <row r="49" spans="1:12" x14ac:dyDescent="0.15">
      <c r="A49" s="5">
        <v>7146</v>
      </c>
      <c r="B49" s="5">
        <v>101</v>
      </c>
      <c r="C49" s="5" t="str">
        <f t="shared" si="1"/>
        <v>Holy_Name_1060001</v>
      </c>
      <c r="D49" s="5" t="s">
        <v>27</v>
      </c>
      <c r="E49" s="5">
        <v>1</v>
      </c>
      <c r="F49" s="5">
        <v>46</v>
      </c>
      <c r="G49" s="5">
        <v>71</v>
      </c>
      <c r="H49" s="5">
        <v>1420</v>
      </c>
      <c r="I49" s="5" t="str">
        <f t="shared" si="2"/>
        <v>Holy_Desc_1060001</v>
      </c>
      <c r="J49" s="4" t="s">
        <v>28</v>
      </c>
      <c r="K49" s="5">
        <f>[1]圣物数值!$C47*10000</f>
        <v>8280</v>
      </c>
      <c r="L49" s="5">
        <v>1060001</v>
      </c>
    </row>
    <row r="50" spans="1:12" x14ac:dyDescent="0.15">
      <c r="A50" s="5">
        <v>7147</v>
      </c>
      <c r="B50" s="5">
        <v>101</v>
      </c>
      <c r="C50" s="5" t="str">
        <f t="shared" si="1"/>
        <v>Holy_Name_1060001</v>
      </c>
      <c r="D50" s="5" t="s">
        <v>27</v>
      </c>
      <c r="E50" s="5">
        <v>1</v>
      </c>
      <c r="F50" s="5">
        <v>47</v>
      </c>
      <c r="G50" s="5">
        <v>73</v>
      </c>
      <c r="H50" s="5">
        <v>1460</v>
      </c>
      <c r="I50" s="5" t="str">
        <f t="shared" si="2"/>
        <v>Holy_Desc_1060001</v>
      </c>
      <c r="J50" s="4" t="s">
        <v>28</v>
      </c>
      <c r="K50" s="5">
        <f>[1]圣物数值!$C48*10000</f>
        <v>8460</v>
      </c>
      <c r="L50" s="5">
        <v>1060001</v>
      </c>
    </row>
    <row r="51" spans="1:12" x14ac:dyDescent="0.15">
      <c r="A51" s="5">
        <v>7148</v>
      </c>
      <c r="B51" s="5">
        <v>101</v>
      </c>
      <c r="C51" s="5" t="str">
        <f t="shared" si="1"/>
        <v>Holy_Name_1060001</v>
      </c>
      <c r="D51" s="5" t="s">
        <v>27</v>
      </c>
      <c r="E51" s="5">
        <v>1</v>
      </c>
      <c r="F51" s="5">
        <v>48</v>
      </c>
      <c r="G51" s="5">
        <v>74</v>
      </c>
      <c r="H51" s="5">
        <v>1490</v>
      </c>
      <c r="I51" s="5" t="str">
        <f t="shared" si="2"/>
        <v>Holy_Desc_1060001</v>
      </c>
      <c r="J51" s="4" t="s">
        <v>28</v>
      </c>
      <c r="K51" s="5">
        <f>[1]圣物数值!$C49*10000</f>
        <v>8640</v>
      </c>
      <c r="L51" s="5">
        <v>1060001</v>
      </c>
    </row>
    <row r="52" spans="1:12" x14ac:dyDescent="0.15">
      <c r="A52" s="5">
        <v>7149</v>
      </c>
      <c r="B52" s="5">
        <v>101</v>
      </c>
      <c r="C52" s="5" t="str">
        <f t="shared" si="1"/>
        <v>Holy_Name_1060001</v>
      </c>
      <c r="D52" s="5" t="s">
        <v>27</v>
      </c>
      <c r="E52" s="5">
        <v>1</v>
      </c>
      <c r="F52" s="5">
        <v>49</v>
      </c>
      <c r="G52" s="5">
        <v>76</v>
      </c>
      <c r="H52" s="5">
        <v>1520</v>
      </c>
      <c r="I52" s="5" t="str">
        <f t="shared" si="2"/>
        <v>Holy_Desc_1060001</v>
      </c>
      <c r="J52" s="4" t="s">
        <v>28</v>
      </c>
      <c r="K52" s="5">
        <f>[1]圣物数值!$C50*10000</f>
        <v>8820</v>
      </c>
      <c r="L52" s="5">
        <v>1060001</v>
      </c>
    </row>
    <row r="53" spans="1:12" x14ac:dyDescent="0.15">
      <c r="A53" s="5">
        <v>7150</v>
      </c>
      <c r="B53" s="5">
        <v>101</v>
      </c>
      <c r="C53" s="5" t="str">
        <f t="shared" si="1"/>
        <v>Holy_Name_1060001</v>
      </c>
      <c r="D53" s="5" t="s">
        <v>27</v>
      </c>
      <c r="E53" s="5">
        <v>1</v>
      </c>
      <c r="F53" s="5">
        <v>50</v>
      </c>
      <c r="G53" s="5">
        <v>78</v>
      </c>
      <c r="H53" s="5">
        <v>1550</v>
      </c>
      <c r="I53" s="5" t="str">
        <f t="shared" si="2"/>
        <v>Holy_Desc_1060001</v>
      </c>
      <c r="J53" s="4" t="s">
        <v>28</v>
      </c>
      <c r="K53" s="5">
        <f>[1]圣物数值!$C51*10000</f>
        <v>9000</v>
      </c>
      <c r="L53" s="5">
        <v>1060001</v>
      </c>
    </row>
    <row r="54" spans="1:12" x14ac:dyDescent="0.15">
      <c r="A54" s="5">
        <v>7151</v>
      </c>
      <c r="B54" s="5">
        <v>102</v>
      </c>
      <c r="C54" s="5" t="str">
        <f t="shared" si="1"/>
        <v>Holy_Name_1060002</v>
      </c>
      <c r="D54" s="5" t="s">
        <v>29</v>
      </c>
      <c r="E54" s="5">
        <v>1</v>
      </c>
      <c r="F54" s="5">
        <v>1</v>
      </c>
      <c r="G54" s="5">
        <v>0</v>
      </c>
      <c r="H54" s="5">
        <v>0</v>
      </c>
      <c r="I54" s="5" t="str">
        <f t="shared" si="2"/>
        <v>Holy_Desc_1060002</v>
      </c>
      <c r="J54" s="5" t="s">
        <v>30</v>
      </c>
      <c r="K54" s="5">
        <f>[1]圣物数值!$C52*10000</f>
        <v>150</v>
      </c>
      <c r="L54" s="5">
        <v>1060002</v>
      </c>
    </row>
    <row r="55" spans="1:12" x14ac:dyDescent="0.15">
      <c r="A55" s="5">
        <v>7152</v>
      </c>
      <c r="B55" s="5">
        <v>102</v>
      </c>
      <c r="C55" s="5" t="str">
        <f t="shared" si="1"/>
        <v>Holy_Name_1060002</v>
      </c>
      <c r="D55" s="5" t="s">
        <v>29</v>
      </c>
      <c r="E55" s="5">
        <v>1</v>
      </c>
      <c r="F55" s="5">
        <v>2</v>
      </c>
      <c r="G55" s="5">
        <v>1</v>
      </c>
      <c r="H55" s="5">
        <v>30</v>
      </c>
      <c r="I55" s="5" t="str">
        <f t="shared" si="2"/>
        <v>Holy_Desc_1060002</v>
      </c>
      <c r="J55" s="5" t="s">
        <v>30</v>
      </c>
      <c r="K55" s="5">
        <f>[1]圣物数值!$C53*10000</f>
        <v>300</v>
      </c>
      <c r="L55" s="5">
        <v>1060002</v>
      </c>
    </row>
    <row r="56" spans="1:12" x14ac:dyDescent="0.15">
      <c r="A56" s="5">
        <v>7153</v>
      </c>
      <c r="B56" s="5">
        <v>102</v>
      </c>
      <c r="C56" s="5" t="str">
        <f t="shared" si="1"/>
        <v>Holy_Name_1060002</v>
      </c>
      <c r="D56" s="5" t="s">
        <v>29</v>
      </c>
      <c r="E56" s="5">
        <v>1</v>
      </c>
      <c r="F56" s="5">
        <v>3</v>
      </c>
      <c r="G56" s="5">
        <v>2</v>
      </c>
      <c r="H56" s="5">
        <v>50</v>
      </c>
      <c r="I56" s="5" t="str">
        <f t="shared" si="2"/>
        <v>Holy_Desc_1060002</v>
      </c>
      <c r="J56" s="5" t="s">
        <v>30</v>
      </c>
      <c r="K56" s="5">
        <f>[1]圣物数值!$C54*10000</f>
        <v>450</v>
      </c>
      <c r="L56" s="5">
        <v>1060002</v>
      </c>
    </row>
    <row r="57" spans="1:12" x14ac:dyDescent="0.15">
      <c r="A57" s="5">
        <v>7154</v>
      </c>
      <c r="B57" s="5">
        <v>102</v>
      </c>
      <c r="C57" s="5" t="str">
        <f t="shared" si="1"/>
        <v>Holy_Name_1060002</v>
      </c>
      <c r="D57" s="5" t="s">
        <v>29</v>
      </c>
      <c r="E57" s="5">
        <v>1</v>
      </c>
      <c r="F57" s="5">
        <v>4</v>
      </c>
      <c r="G57" s="5">
        <v>4</v>
      </c>
      <c r="H57" s="5">
        <v>80</v>
      </c>
      <c r="I57" s="5" t="str">
        <f t="shared" si="2"/>
        <v>Holy_Desc_1060002</v>
      </c>
      <c r="J57" s="5" t="s">
        <v>30</v>
      </c>
      <c r="K57" s="5">
        <f>[1]圣物数值!$C55*10000</f>
        <v>600</v>
      </c>
      <c r="L57" s="5">
        <v>1060002</v>
      </c>
    </row>
    <row r="58" spans="1:12" x14ac:dyDescent="0.15">
      <c r="A58" s="5">
        <v>7155</v>
      </c>
      <c r="B58" s="5">
        <v>102</v>
      </c>
      <c r="C58" s="5" t="str">
        <f t="shared" ref="C58:C103" si="3">"Holy_Name_"&amp;L58</f>
        <v>Holy_Name_1060002</v>
      </c>
      <c r="D58" s="5" t="s">
        <v>29</v>
      </c>
      <c r="E58" s="5">
        <v>1</v>
      </c>
      <c r="F58" s="5">
        <v>5</v>
      </c>
      <c r="G58" s="5">
        <v>6</v>
      </c>
      <c r="H58" s="5">
        <v>110</v>
      </c>
      <c r="I58" s="5" t="str">
        <f t="shared" ref="I58:I103" si="4">"Holy_Desc_"&amp;L58</f>
        <v>Holy_Desc_1060002</v>
      </c>
      <c r="J58" s="5" t="s">
        <v>30</v>
      </c>
      <c r="K58" s="5">
        <f>[1]圣物数值!$C56*10000</f>
        <v>750</v>
      </c>
      <c r="L58" s="5">
        <v>1060002</v>
      </c>
    </row>
    <row r="59" spans="1:12" x14ac:dyDescent="0.15">
      <c r="A59" s="5">
        <v>7156</v>
      </c>
      <c r="B59" s="5">
        <v>102</v>
      </c>
      <c r="C59" s="5" t="str">
        <f t="shared" si="3"/>
        <v>Holy_Name_1060002</v>
      </c>
      <c r="D59" s="5" t="s">
        <v>29</v>
      </c>
      <c r="E59" s="5">
        <v>1</v>
      </c>
      <c r="F59" s="5">
        <v>6</v>
      </c>
      <c r="G59" s="5">
        <v>7</v>
      </c>
      <c r="H59" s="5">
        <v>140</v>
      </c>
      <c r="I59" s="5" t="str">
        <f t="shared" si="4"/>
        <v>Holy_Desc_1060002</v>
      </c>
      <c r="J59" s="5" t="s">
        <v>30</v>
      </c>
      <c r="K59" s="5">
        <f>[1]圣物数值!$C57*10000</f>
        <v>900</v>
      </c>
      <c r="L59" s="5">
        <v>1060002</v>
      </c>
    </row>
    <row r="60" spans="1:12" x14ac:dyDescent="0.15">
      <c r="A60" s="5">
        <v>7157</v>
      </c>
      <c r="B60" s="5">
        <v>102</v>
      </c>
      <c r="C60" s="5" t="str">
        <f t="shared" si="3"/>
        <v>Holy_Name_1060002</v>
      </c>
      <c r="D60" s="5" t="s">
        <v>29</v>
      </c>
      <c r="E60" s="5">
        <v>1</v>
      </c>
      <c r="F60" s="5">
        <v>7</v>
      </c>
      <c r="G60" s="5">
        <v>9</v>
      </c>
      <c r="H60" s="5">
        <v>180</v>
      </c>
      <c r="I60" s="5" t="str">
        <f t="shared" si="4"/>
        <v>Holy_Desc_1060002</v>
      </c>
      <c r="J60" s="5" t="s">
        <v>30</v>
      </c>
      <c r="K60" s="5">
        <f>[1]圣物数值!$C58*10000</f>
        <v>1050</v>
      </c>
      <c r="L60" s="5">
        <v>1060002</v>
      </c>
    </row>
    <row r="61" spans="1:12" x14ac:dyDescent="0.15">
      <c r="A61" s="5">
        <v>7158</v>
      </c>
      <c r="B61" s="5">
        <v>102</v>
      </c>
      <c r="C61" s="5" t="str">
        <f t="shared" si="3"/>
        <v>Holy_Name_1060002</v>
      </c>
      <c r="D61" s="5" t="s">
        <v>29</v>
      </c>
      <c r="E61" s="5">
        <v>1</v>
      </c>
      <c r="F61" s="5">
        <v>8</v>
      </c>
      <c r="G61" s="5">
        <v>10</v>
      </c>
      <c r="H61" s="5">
        <v>210</v>
      </c>
      <c r="I61" s="5" t="str">
        <f t="shared" si="4"/>
        <v>Holy_Desc_1060002</v>
      </c>
      <c r="J61" s="5" t="s">
        <v>30</v>
      </c>
      <c r="K61" s="5">
        <f>[1]圣物数值!$C59*10000</f>
        <v>1200</v>
      </c>
      <c r="L61" s="5">
        <v>1060002</v>
      </c>
    </row>
    <row r="62" spans="1:12" x14ac:dyDescent="0.15">
      <c r="A62" s="5">
        <v>7159</v>
      </c>
      <c r="B62" s="5">
        <v>102</v>
      </c>
      <c r="C62" s="5" t="str">
        <f t="shared" si="3"/>
        <v>Holy_Name_1060002</v>
      </c>
      <c r="D62" s="5" t="s">
        <v>29</v>
      </c>
      <c r="E62" s="5">
        <v>1</v>
      </c>
      <c r="F62" s="5">
        <v>9</v>
      </c>
      <c r="G62" s="5">
        <v>12</v>
      </c>
      <c r="H62" s="5">
        <v>240</v>
      </c>
      <c r="I62" s="5" t="str">
        <f t="shared" si="4"/>
        <v>Holy_Desc_1060002</v>
      </c>
      <c r="J62" s="5" t="s">
        <v>30</v>
      </c>
      <c r="K62" s="5">
        <f>[1]圣物数值!$C60*10000</f>
        <v>1350</v>
      </c>
      <c r="L62" s="5">
        <v>1060002</v>
      </c>
    </row>
    <row r="63" spans="1:12" x14ac:dyDescent="0.15">
      <c r="A63" s="5">
        <v>7160</v>
      </c>
      <c r="B63" s="5">
        <v>102</v>
      </c>
      <c r="C63" s="5" t="str">
        <f t="shared" si="3"/>
        <v>Holy_Name_1060002</v>
      </c>
      <c r="D63" s="5" t="s">
        <v>29</v>
      </c>
      <c r="E63" s="5">
        <v>1</v>
      </c>
      <c r="F63" s="5">
        <v>10</v>
      </c>
      <c r="G63" s="5">
        <v>14</v>
      </c>
      <c r="H63" s="5">
        <v>270</v>
      </c>
      <c r="I63" s="5" t="str">
        <f t="shared" si="4"/>
        <v>Holy_Desc_1060002</v>
      </c>
      <c r="J63" s="5" t="s">
        <v>30</v>
      </c>
      <c r="K63" s="5">
        <f>[1]圣物数值!$C61*10000</f>
        <v>1500</v>
      </c>
      <c r="L63" s="5">
        <v>1060002</v>
      </c>
    </row>
    <row r="64" spans="1:12" x14ac:dyDescent="0.15">
      <c r="A64" s="5">
        <v>7161</v>
      </c>
      <c r="B64" s="5">
        <v>102</v>
      </c>
      <c r="C64" s="5" t="str">
        <f t="shared" si="3"/>
        <v>Holy_Name_1060002</v>
      </c>
      <c r="D64" s="5" t="s">
        <v>29</v>
      </c>
      <c r="E64" s="5">
        <v>1</v>
      </c>
      <c r="F64" s="5">
        <v>11</v>
      </c>
      <c r="G64" s="5">
        <v>15</v>
      </c>
      <c r="H64" s="5">
        <v>300</v>
      </c>
      <c r="I64" s="5" t="str">
        <f t="shared" si="4"/>
        <v>Holy_Desc_1060002</v>
      </c>
      <c r="J64" s="5" t="s">
        <v>30</v>
      </c>
      <c r="K64" s="5">
        <f>[1]圣物数值!$C62*10000</f>
        <v>1650</v>
      </c>
      <c r="L64" s="5">
        <v>1060002</v>
      </c>
    </row>
    <row r="65" spans="1:12" x14ac:dyDescent="0.15">
      <c r="A65" s="5">
        <v>7162</v>
      </c>
      <c r="B65" s="5">
        <v>102</v>
      </c>
      <c r="C65" s="5" t="str">
        <f t="shared" si="3"/>
        <v>Holy_Name_1060002</v>
      </c>
      <c r="D65" s="5" t="s">
        <v>29</v>
      </c>
      <c r="E65" s="5">
        <v>1</v>
      </c>
      <c r="F65" s="5">
        <v>12</v>
      </c>
      <c r="G65" s="5">
        <v>17</v>
      </c>
      <c r="H65" s="5">
        <v>340</v>
      </c>
      <c r="I65" s="5" t="str">
        <f t="shared" si="4"/>
        <v>Holy_Desc_1060002</v>
      </c>
      <c r="J65" s="5" t="s">
        <v>30</v>
      </c>
      <c r="K65" s="5">
        <f>[1]圣物数值!$C63*10000</f>
        <v>1800</v>
      </c>
      <c r="L65" s="5">
        <v>1060002</v>
      </c>
    </row>
    <row r="66" spans="1:12" x14ac:dyDescent="0.15">
      <c r="A66" s="5">
        <v>7163</v>
      </c>
      <c r="B66" s="5">
        <v>102</v>
      </c>
      <c r="C66" s="5" t="str">
        <f t="shared" si="3"/>
        <v>Holy_Name_1060002</v>
      </c>
      <c r="D66" s="5" t="s">
        <v>29</v>
      </c>
      <c r="E66" s="5">
        <v>1</v>
      </c>
      <c r="F66" s="5">
        <v>13</v>
      </c>
      <c r="G66" s="5">
        <v>18</v>
      </c>
      <c r="H66" s="5">
        <v>370</v>
      </c>
      <c r="I66" s="5" t="str">
        <f t="shared" si="4"/>
        <v>Holy_Desc_1060002</v>
      </c>
      <c r="J66" s="5" t="s">
        <v>30</v>
      </c>
      <c r="K66" s="5">
        <f>[1]圣物数值!$C64*10000</f>
        <v>1950</v>
      </c>
      <c r="L66" s="5">
        <v>1060002</v>
      </c>
    </row>
    <row r="67" spans="1:12" x14ac:dyDescent="0.15">
      <c r="A67" s="5">
        <v>7164</v>
      </c>
      <c r="B67" s="5">
        <v>102</v>
      </c>
      <c r="C67" s="5" t="str">
        <f t="shared" si="3"/>
        <v>Holy_Name_1060002</v>
      </c>
      <c r="D67" s="5" t="s">
        <v>29</v>
      </c>
      <c r="E67" s="5">
        <v>1</v>
      </c>
      <c r="F67" s="5">
        <v>14</v>
      </c>
      <c r="G67" s="5">
        <v>20</v>
      </c>
      <c r="H67" s="5">
        <v>400</v>
      </c>
      <c r="I67" s="5" t="str">
        <f t="shared" si="4"/>
        <v>Holy_Desc_1060002</v>
      </c>
      <c r="J67" s="5" t="s">
        <v>30</v>
      </c>
      <c r="K67" s="5">
        <f>[1]圣物数值!$C65*10000</f>
        <v>2100</v>
      </c>
      <c r="L67" s="5">
        <v>1060002</v>
      </c>
    </row>
    <row r="68" spans="1:12" x14ac:dyDescent="0.15">
      <c r="A68" s="5">
        <v>7165</v>
      </c>
      <c r="B68" s="5">
        <v>102</v>
      </c>
      <c r="C68" s="5" t="str">
        <f t="shared" si="3"/>
        <v>Holy_Name_1060002</v>
      </c>
      <c r="D68" s="5" t="s">
        <v>29</v>
      </c>
      <c r="E68" s="5">
        <v>1</v>
      </c>
      <c r="F68" s="5">
        <v>15</v>
      </c>
      <c r="G68" s="5">
        <v>22</v>
      </c>
      <c r="H68" s="5">
        <v>430</v>
      </c>
      <c r="I68" s="5" t="str">
        <f t="shared" si="4"/>
        <v>Holy_Desc_1060002</v>
      </c>
      <c r="J68" s="5" t="s">
        <v>30</v>
      </c>
      <c r="K68" s="5">
        <f>[1]圣物数值!$C66*10000</f>
        <v>2250</v>
      </c>
      <c r="L68" s="5">
        <v>1060002</v>
      </c>
    </row>
    <row r="69" spans="1:12" x14ac:dyDescent="0.15">
      <c r="A69" s="5">
        <v>7166</v>
      </c>
      <c r="B69" s="5">
        <v>102</v>
      </c>
      <c r="C69" s="5" t="str">
        <f t="shared" si="3"/>
        <v>Holy_Name_1060002</v>
      </c>
      <c r="D69" s="5" t="s">
        <v>29</v>
      </c>
      <c r="E69" s="5">
        <v>1</v>
      </c>
      <c r="F69" s="5">
        <v>16</v>
      </c>
      <c r="G69" s="5">
        <v>23</v>
      </c>
      <c r="H69" s="5">
        <v>460</v>
      </c>
      <c r="I69" s="5" t="str">
        <f t="shared" si="4"/>
        <v>Holy_Desc_1060002</v>
      </c>
      <c r="J69" s="5" t="s">
        <v>30</v>
      </c>
      <c r="K69" s="5">
        <f>[1]圣物数值!$C67*10000</f>
        <v>2400</v>
      </c>
      <c r="L69" s="5">
        <v>1060002</v>
      </c>
    </row>
    <row r="70" spans="1:12" x14ac:dyDescent="0.15">
      <c r="A70" s="5">
        <v>7167</v>
      </c>
      <c r="B70" s="5">
        <v>102</v>
      </c>
      <c r="C70" s="5" t="str">
        <f t="shared" si="3"/>
        <v>Holy_Name_1060002</v>
      </c>
      <c r="D70" s="5" t="s">
        <v>29</v>
      </c>
      <c r="E70" s="5">
        <v>1</v>
      </c>
      <c r="F70" s="5">
        <v>17</v>
      </c>
      <c r="G70" s="5">
        <v>25</v>
      </c>
      <c r="H70" s="5">
        <v>500</v>
      </c>
      <c r="I70" s="5" t="str">
        <f t="shared" si="4"/>
        <v>Holy_Desc_1060002</v>
      </c>
      <c r="J70" s="5" t="s">
        <v>30</v>
      </c>
      <c r="K70" s="5">
        <f>[1]圣物数值!$C68*10000</f>
        <v>2550</v>
      </c>
      <c r="L70" s="5">
        <v>1060002</v>
      </c>
    </row>
    <row r="71" spans="1:12" x14ac:dyDescent="0.15">
      <c r="A71" s="5">
        <v>7168</v>
      </c>
      <c r="B71" s="5">
        <v>102</v>
      </c>
      <c r="C71" s="5" t="str">
        <f t="shared" si="3"/>
        <v>Holy_Name_1060002</v>
      </c>
      <c r="D71" s="5" t="s">
        <v>29</v>
      </c>
      <c r="E71" s="5">
        <v>1</v>
      </c>
      <c r="F71" s="5">
        <v>18</v>
      </c>
      <c r="G71" s="5">
        <v>26</v>
      </c>
      <c r="H71" s="5">
        <v>530</v>
      </c>
      <c r="I71" s="5" t="str">
        <f t="shared" si="4"/>
        <v>Holy_Desc_1060002</v>
      </c>
      <c r="J71" s="5" t="s">
        <v>30</v>
      </c>
      <c r="K71" s="5">
        <f>[1]圣物数值!$C69*10000</f>
        <v>2700</v>
      </c>
      <c r="L71" s="5">
        <v>1060002</v>
      </c>
    </row>
    <row r="72" spans="1:12" x14ac:dyDescent="0.15">
      <c r="A72" s="5">
        <v>7169</v>
      </c>
      <c r="B72" s="5">
        <v>102</v>
      </c>
      <c r="C72" s="5" t="str">
        <f t="shared" si="3"/>
        <v>Holy_Name_1060002</v>
      </c>
      <c r="D72" s="5" t="s">
        <v>29</v>
      </c>
      <c r="E72" s="5">
        <v>1</v>
      </c>
      <c r="F72" s="5">
        <v>19</v>
      </c>
      <c r="G72" s="5">
        <v>28</v>
      </c>
      <c r="H72" s="5">
        <v>560</v>
      </c>
      <c r="I72" s="5" t="str">
        <f t="shared" si="4"/>
        <v>Holy_Desc_1060002</v>
      </c>
      <c r="J72" s="5" t="s">
        <v>30</v>
      </c>
      <c r="K72" s="5">
        <f>[1]圣物数值!$C70*10000</f>
        <v>2850</v>
      </c>
      <c r="L72" s="5">
        <v>1060002</v>
      </c>
    </row>
    <row r="73" spans="1:12" x14ac:dyDescent="0.15">
      <c r="A73" s="5">
        <v>7170</v>
      </c>
      <c r="B73" s="5">
        <v>102</v>
      </c>
      <c r="C73" s="5" t="str">
        <f t="shared" si="3"/>
        <v>Holy_Name_1060002</v>
      </c>
      <c r="D73" s="5" t="s">
        <v>29</v>
      </c>
      <c r="E73" s="5">
        <v>1</v>
      </c>
      <c r="F73" s="5">
        <v>20</v>
      </c>
      <c r="G73" s="5">
        <v>30</v>
      </c>
      <c r="H73" s="5">
        <v>590</v>
      </c>
      <c r="I73" s="5" t="str">
        <f t="shared" si="4"/>
        <v>Holy_Desc_1060002</v>
      </c>
      <c r="J73" s="5" t="s">
        <v>30</v>
      </c>
      <c r="K73" s="5">
        <f>[1]圣物数值!$C71*10000</f>
        <v>3000</v>
      </c>
      <c r="L73" s="5">
        <v>1060002</v>
      </c>
    </row>
    <row r="74" spans="1:12" x14ac:dyDescent="0.15">
      <c r="A74" s="5">
        <v>7171</v>
      </c>
      <c r="B74" s="5">
        <v>102</v>
      </c>
      <c r="C74" s="5" t="str">
        <f t="shared" si="3"/>
        <v>Holy_Name_1060002</v>
      </c>
      <c r="D74" s="5" t="s">
        <v>29</v>
      </c>
      <c r="E74" s="5">
        <v>1</v>
      </c>
      <c r="F74" s="5">
        <v>21</v>
      </c>
      <c r="G74" s="5">
        <v>31</v>
      </c>
      <c r="H74" s="5">
        <v>620</v>
      </c>
      <c r="I74" s="5" t="str">
        <f t="shared" si="4"/>
        <v>Holy_Desc_1060002</v>
      </c>
      <c r="J74" s="5" t="s">
        <v>30</v>
      </c>
      <c r="K74" s="5">
        <f>[1]圣物数值!$C72*10000</f>
        <v>3150</v>
      </c>
      <c r="L74" s="5">
        <v>1060002</v>
      </c>
    </row>
    <row r="75" spans="1:12" x14ac:dyDescent="0.15">
      <c r="A75" s="5">
        <v>7172</v>
      </c>
      <c r="B75" s="5">
        <v>102</v>
      </c>
      <c r="C75" s="5" t="str">
        <f t="shared" si="3"/>
        <v>Holy_Name_1060002</v>
      </c>
      <c r="D75" s="5" t="s">
        <v>29</v>
      </c>
      <c r="E75" s="5">
        <v>1</v>
      </c>
      <c r="F75" s="5">
        <v>22</v>
      </c>
      <c r="G75" s="5">
        <v>33</v>
      </c>
      <c r="H75" s="5">
        <v>660</v>
      </c>
      <c r="I75" s="5" t="str">
        <f t="shared" si="4"/>
        <v>Holy_Desc_1060002</v>
      </c>
      <c r="J75" s="5" t="s">
        <v>30</v>
      </c>
      <c r="K75" s="5">
        <f>[1]圣物数值!$C73*10000</f>
        <v>3300</v>
      </c>
      <c r="L75" s="5">
        <v>1060002</v>
      </c>
    </row>
    <row r="76" spans="1:12" x14ac:dyDescent="0.15">
      <c r="A76" s="5">
        <v>7173</v>
      </c>
      <c r="B76" s="5">
        <v>102</v>
      </c>
      <c r="C76" s="5" t="str">
        <f t="shared" si="3"/>
        <v>Holy_Name_1060002</v>
      </c>
      <c r="D76" s="5" t="s">
        <v>29</v>
      </c>
      <c r="E76" s="5">
        <v>1</v>
      </c>
      <c r="F76" s="5">
        <v>23</v>
      </c>
      <c r="G76" s="5">
        <v>34</v>
      </c>
      <c r="H76" s="5">
        <v>690</v>
      </c>
      <c r="I76" s="5" t="str">
        <f t="shared" si="4"/>
        <v>Holy_Desc_1060002</v>
      </c>
      <c r="J76" s="5" t="s">
        <v>30</v>
      </c>
      <c r="K76" s="5">
        <f>[1]圣物数值!$C74*10000</f>
        <v>3450</v>
      </c>
      <c r="L76" s="5">
        <v>1060002</v>
      </c>
    </row>
    <row r="77" spans="1:12" x14ac:dyDescent="0.15">
      <c r="A77" s="5">
        <v>7174</v>
      </c>
      <c r="B77" s="5">
        <v>102</v>
      </c>
      <c r="C77" s="5" t="str">
        <f t="shared" si="3"/>
        <v>Holy_Name_1060002</v>
      </c>
      <c r="D77" s="5" t="s">
        <v>29</v>
      </c>
      <c r="E77" s="5">
        <v>1</v>
      </c>
      <c r="F77" s="5">
        <v>24</v>
      </c>
      <c r="G77" s="5">
        <v>36</v>
      </c>
      <c r="H77" s="5">
        <v>720</v>
      </c>
      <c r="I77" s="5" t="str">
        <f t="shared" si="4"/>
        <v>Holy_Desc_1060002</v>
      </c>
      <c r="J77" s="5" t="s">
        <v>30</v>
      </c>
      <c r="K77" s="5">
        <f>[1]圣物数值!$C75*10000</f>
        <v>3600</v>
      </c>
      <c r="L77" s="5">
        <v>1060002</v>
      </c>
    </row>
    <row r="78" spans="1:12" x14ac:dyDescent="0.15">
      <c r="A78" s="5">
        <v>7175</v>
      </c>
      <c r="B78" s="5">
        <v>102</v>
      </c>
      <c r="C78" s="5" t="str">
        <f t="shared" si="3"/>
        <v>Holy_Name_1060002</v>
      </c>
      <c r="D78" s="5" t="s">
        <v>29</v>
      </c>
      <c r="E78" s="5">
        <v>1</v>
      </c>
      <c r="F78" s="5">
        <v>25</v>
      </c>
      <c r="G78" s="5">
        <v>38</v>
      </c>
      <c r="H78" s="5">
        <v>750</v>
      </c>
      <c r="I78" s="5" t="str">
        <f t="shared" si="4"/>
        <v>Holy_Desc_1060002</v>
      </c>
      <c r="J78" s="5" t="s">
        <v>30</v>
      </c>
      <c r="K78" s="5">
        <f>[1]圣物数值!$C76*10000</f>
        <v>3750</v>
      </c>
      <c r="L78" s="5">
        <v>1060002</v>
      </c>
    </row>
    <row r="79" spans="1:12" x14ac:dyDescent="0.15">
      <c r="A79" s="5">
        <v>7176</v>
      </c>
      <c r="B79" s="5">
        <v>102</v>
      </c>
      <c r="C79" s="5" t="str">
        <f t="shared" si="3"/>
        <v>Holy_Name_1060002</v>
      </c>
      <c r="D79" s="5" t="s">
        <v>29</v>
      </c>
      <c r="E79" s="5">
        <v>1</v>
      </c>
      <c r="F79" s="5">
        <v>26</v>
      </c>
      <c r="G79" s="5">
        <v>39</v>
      </c>
      <c r="H79" s="5">
        <v>780</v>
      </c>
      <c r="I79" s="5" t="str">
        <f t="shared" si="4"/>
        <v>Holy_Desc_1060002</v>
      </c>
      <c r="J79" s="5" t="s">
        <v>30</v>
      </c>
      <c r="K79" s="5">
        <f>[1]圣物数值!$C77*10000</f>
        <v>3900</v>
      </c>
      <c r="L79" s="5">
        <v>1060002</v>
      </c>
    </row>
    <row r="80" spans="1:12" x14ac:dyDescent="0.15">
      <c r="A80" s="5">
        <v>7177</v>
      </c>
      <c r="B80" s="5">
        <v>102</v>
      </c>
      <c r="C80" s="5" t="str">
        <f t="shared" si="3"/>
        <v>Holy_Name_1060002</v>
      </c>
      <c r="D80" s="5" t="s">
        <v>29</v>
      </c>
      <c r="E80" s="5">
        <v>1</v>
      </c>
      <c r="F80" s="5">
        <v>27</v>
      </c>
      <c r="G80" s="5">
        <v>41</v>
      </c>
      <c r="H80" s="5">
        <v>820</v>
      </c>
      <c r="I80" s="5" t="str">
        <f t="shared" si="4"/>
        <v>Holy_Desc_1060002</v>
      </c>
      <c r="J80" s="5" t="s">
        <v>30</v>
      </c>
      <c r="K80" s="5">
        <f>[1]圣物数值!$C78*10000</f>
        <v>4050</v>
      </c>
      <c r="L80" s="5">
        <v>1060002</v>
      </c>
    </row>
    <row r="81" spans="1:12" x14ac:dyDescent="0.15">
      <c r="A81" s="5">
        <v>7178</v>
      </c>
      <c r="B81" s="5">
        <v>102</v>
      </c>
      <c r="C81" s="5" t="str">
        <f t="shared" si="3"/>
        <v>Holy_Name_1060002</v>
      </c>
      <c r="D81" s="5" t="s">
        <v>29</v>
      </c>
      <c r="E81" s="5">
        <v>1</v>
      </c>
      <c r="F81" s="5">
        <v>28</v>
      </c>
      <c r="G81" s="5">
        <v>42</v>
      </c>
      <c r="H81" s="5">
        <v>850</v>
      </c>
      <c r="I81" s="5" t="str">
        <f t="shared" si="4"/>
        <v>Holy_Desc_1060002</v>
      </c>
      <c r="J81" s="5" t="s">
        <v>30</v>
      </c>
      <c r="K81" s="5">
        <f>[1]圣物数值!$C79*10000</f>
        <v>4200</v>
      </c>
      <c r="L81" s="5">
        <v>1060002</v>
      </c>
    </row>
    <row r="82" spans="1:12" x14ac:dyDescent="0.15">
      <c r="A82" s="5">
        <v>7179</v>
      </c>
      <c r="B82" s="5">
        <v>102</v>
      </c>
      <c r="C82" s="5" t="str">
        <f t="shared" si="3"/>
        <v>Holy_Name_1060002</v>
      </c>
      <c r="D82" s="5" t="s">
        <v>29</v>
      </c>
      <c r="E82" s="5">
        <v>1</v>
      </c>
      <c r="F82" s="5">
        <v>29</v>
      </c>
      <c r="G82" s="5">
        <v>44</v>
      </c>
      <c r="H82" s="5">
        <v>880</v>
      </c>
      <c r="I82" s="5" t="str">
        <f t="shared" si="4"/>
        <v>Holy_Desc_1060002</v>
      </c>
      <c r="J82" s="5" t="s">
        <v>30</v>
      </c>
      <c r="K82" s="5">
        <f>[1]圣物数值!$C80*10000</f>
        <v>4350</v>
      </c>
      <c r="L82" s="5">
        <v>1060002</v>
      </c>
    </row>
    <row r="83" spans="1:12" x14ac:dyDescent="0.15">
      <c r="A83" s="5">
        <v>7180</v>
      </c>
      <c r="B83" s="5">
        <v>102</v>
      </c>
      <c r="C83" s="5" t="str">
        <f t="shared" si="3"/>
        <v>Holy_Name_1060002</v>
      </c>
      <c r="D83" s="5" t="s">
        <v>29</v>
      </c>
      <c r="E83" s="5">
        <v>1</v>
      </c>
      <c r="F83" s="5">
        <v>30</v>
      </c>
      <c r="G83" s="5">
        <v>46</v>
      </c>
      <c r="H83" s="5">
        <v>910</v>
      </c>
      <c r="I83" s="5" t="str">
        <f t="shared" si="4"/>
        <v>Holy_Desc_1060002</v>
      </c>
      <c r="J83" s="5" t="s">
        <v>30</v>
      </c>
      <c r="K83" s="5">
        <f>[1]圣物数值!$C81*10000</f>
        <v>4500</v>
      </c>
      <c r="L83" s="5">
        <v>1060002</v>
      </c>
    </row>
    <row r="84" spans="1:12" x14ac:dyDescent="0.15">
      <c r="A84" s="5">
        <v>7181</v>
      </c>
      <c r="B84" s="5">
        <v>102</v>
      </c>
      <c r="C84" s="5" t="str">
        <f t="shared" si="3"/>
        <v>Holy_Name_1060002</v>
      </c>
      <c r="D84" s="5" t="s">
        <v>29</v>
      </c>
      <c r="E84" s="5">
        <v>1</v>
      </c>
      <c r="F84" s="5">
        <v>31</v>
      </c>
      <c r="G84" s="5">
        <v>47</v>
      </c>
      <c r="H84" s="5">
        <v>940</v>
      </c>
      <c r="I84" s="5" t="str">
        <f t="shared" si="4"/>
        <v>Holy_Desc_1060002</v>
      </c>
      <c r="J84" s="5" t="s">
        <v>30</v>
      </c>
      <c r="K84" s="5">
        <f>[1]圣物数值!$C82*10000</f>
        <v>4650</v>
      </c>
      <c r="L84" s="5">
        <v>1060002</v>
      </c>
    </row>
    <row r="85" spans="1:12" x14ac:dyDescent="0.15">
      <c r="A85" s="5">
        <v>7182</v>
      </c>
      <c r="B85" s="5">
        <v>102</v>
      </c>
      <c r="C85" s="5" t="str">
        <f t="shared" si="3"/>
        <v>Holy_Name_1060002</v>
      </c>
      <c r="D85" s="5" t="s">
        <v>29</v>
      </c>
      <c r="E85" s="5">
        <v>1</v>
      </c>
      <c r="F85" s="5">
        <v>32</v>
      </c>
      <c r="G85" s="5">
        <v>49</v>
      </c>
      <c r="H85" s="5">
        <v>980</v>
      </c>
      <c r="I85" s="5" t="str">
        <f t="shared" si="4"/>
        <v>Holy_Desc_1060002</v>
      </c>
      <c r="J85" s="5" t="s">
        <v>30</v>
      </c>
      <c r="K85" s="5">
        <f>[1]圣物数值!$C83*10000</f>
        <v>4800</v>
      </c>
      <c r="L85" s="5">
        <v>1060002</v>
      </c>
    </row>
    <row r="86" spans="1:12" x14ac:dyDescent="0.15">
      <c r="A86" s="5">
        <v>7183</v>
      </c>
      <c r="B86" s="5">
        <v>102</v>
      </c>
      <c r="C86" s="5" t="str">
        <f t="shared" si="3"/>
        <v>Holy_Name_1060002</v>
      </c>
      <c r="D86" s="5" t="s">
        <v>29</v>
      </c>
      <c r="E86" s="5">
        <v>1</v>
      </c>
      <c r="F86" s="5">
        <v>33</v>
      </c>
      <c r="G86" s="5">
        <v>50</v>
      </c>
      <c r="H86" s="5">
        <v>1010</v>
      </c>
      <c r="I86" s="5" t="str">
        <f t="shared" si="4"/>
        <v>Holy_Desc_1060002</v>
      </c>
      <c r="J86" s="5" t="s">
        <v>30</v>
      </c>
      <c r="K86" s="5">
        <f>[1]圣物数值!$C84*10000</f>
        <v>4950</v>
      </c>
      <c r="L86" s="5">
        <v>1060002</v>
      </c>
    </row>
    <row r="87" spans="1:12" x14ac:dyDescent="0.15">
      <c r="A87" s="5">
        <v>7184</v>
      </c>
      <c r="B87" s="5">
        <v>102</v>
      </c>
      <c r="C87" s="5" t="str">
        <f t="shared" si="3"/>
        <v>Holy_Name_1060002</v>
      </c>
      <c r="D87" s="5" t="s">
        <v>29</v>
      </c>
      <c r="E87" s="5">
        <v>1</v>
      </c>
      <c r="F87" s="5">
        <v>34</v>
      </c>
      <c r="G87" s="5">
        <v>52</v>
      </c>
      <c r="H87" s="5">
        <v>1040</v>
      </c>
      <c r="I87" s="5" t="str">
        <f t="shared" si="4"/>
        <v>Holy_Desc_1060002</v>
      </c>
      <c r="J87" s="5" t="s">
        <v>30</v>
      </c>
      <c r="K87" s="5">
        <f>[1]圣物数值!$C85*10000</f>
        <v>5100</v>
      </c>
      <c r="L87" s="5">
        <v>1060002</v>
      </c>
    </row>
    <row r="88" spans="1:12" x14ac:dyDescent="0.15">
      <c r="A88" s="5">
        <v>7185</v>
      </c>
      <c r="B88" s="5">
        <v>102</v>
      </c>
      <c r="C88" s="5" t="str">
        <f t="shared" si="3"/>
        <v>Holy_Name_1060002</v>
      </c>
      <c r="D88" s="5" t="s">
        <v>29</v>
      </c>
      <c r="E88" s="5">
        <v>1</v>
      </c>
      <c r="F88" s="5">
        <v>35</v>
      </c>
      <c r="G88" s="5">
        <v>54</v>
      </c>
      <c r="H88" s="5">
        <v>1070</v>
      </c>
      <c r="I88" s="5" t="str">
        <f t="shared" si="4"/>
        <v>Holy_Desc_1060002</v>
      </c>
      <c r="J88" s="5" t="s">
        <v>30</v>
      </c>
      <c r="K88" s="5">
        <f>[1]圣物数值!$C86*10000</f>
        <v>5250</v>
      </c>
      <c r="L88" s="5">
        <v>1060002</v>
      </c>
    </row>
    <row r="89" spans="1:12" x14ac:dyDescent="0.15">
      <c r="A89" s="5">
        <v>7186</v>
      </c>
      <c r="B89" s="5">
        <v>102</v>
      </c>
      <c r="C89" s="5" t="str">
        <f t="shared" si="3"/>
        <v>Holy_Name_1060002</v>
      </c>
      <c r="D89" s="5" t="s">
        <v>29</v>
      </c>
      <c r="E89" s="5">
        <v>1</v>
      </c>
      <c r="F89" s="5">
        <v>36</v>
      </c>
      <c r="G89" s="5">
        <v>55</v>
      </c>
      <c r="H89" s="5">
        <v>1100</v>
      </c>
      <c r="I89" s="5" t="str">
        <f t="shared" si="4"/>
        <v>Holy_Desc_1060002</v>
      </c>
      <c r="J89" s="5" t="s">
        <v>30</v>
      </c>
      <c r="K89" s="5">
        <f>[1]圣物数值!$C87*10000</f>
        <v>5400</v>
      </c>
      <c r="L89" s="5">
        <v>1060002</v>
      </c>
    </row>
    <row r="90" spans="1:12" x14ac:dyDescent="0.15">
      <c r="A90" s="5">
        <v>7187</v>
      </c>
      <c r="B90" s="5">
        <v>102</v>
      </c>
      <c r="C90" s="5" t="str">
        <f t="shared" si="3"/>
        <v>Holy_Name_1060002</v>
      </c>
      <c r="D90" s="5" t="s">
        <v>29</v>
      </c>
      <c r="E90" s="5">
        <v>1</v>
      </c>
      <c r="F90" s="5">
        <v>37</v>
      </c>
      <c r="G90" s="5">
        <v>57</v>
      </c>
      <c r="H90" s="5">
        <v>1140</v>
      </c>
      <c r="I90" s="5" t="str">
        <f t="shared" si="4"/>
        <v>Holy_Desc_1060002</v>
      </c>
      <c r="J90" s="5" t="s">
        <v>30</v>
      </c>
      <c r="K90" s="5">
        <f>[1]圣物数值!$C88*10000</f>
        <v>5550</v>
      </c>
      <c r="L90" s="5">
        <v>1060002</v>
      </c>
    </row>
    <row r="91" spans="1:12" x14ac:dyDescent="0.15">
      <c r="A91" s="5">
        <v>7188</v>
      </c>
      <c r="B91" s="5">
        <v>102</v>
      </c>
      <c r="C91" s="5" t="str">
        <f t="shared" si="3"/>
        <v>Holy_Name_1060002</v>
      </c>
      <c r="D91" s="5" t="s">
        <v>29</v>
      </c>
      <c r="E91" s="5">
        <v>1</v>
      </c>
      <c r="F91" s="5">
        <v>38</v>
      </c>
      <c r="G91" s="5">
        <v>58</v>
      </c>
      <c r="H91" s="5">
        <v>1170</v>
      </c>
      <c r="I91" s="5" t="str">
        <f t="shared" si="4"/>
        <v>Holy_Desc_1060002</v>
      </c>
      <c r="J91" s="5" t="s">
        <v>30</v>
      </c>
      <c r="K91" s="5">
        <f>[1]圣物数值!$C89*10000</f>
        <v>5700</v>
      </c>
      <c r="L91" s="5">
        <v>1060002</v>
      </c>
    </row>
    <row r="92" spans="1:12" x14ac:dyDescent="0.15">
      <c r="A92" s="5">
        <v>7189</v>
      </c>
      <c r="B92" s="5">
        <v>102</v>
      </c>
      <c r="C92" s="5" t="str">
        <f t="shared" si="3"/>
        <v>Holy_Name_1060002</v>
      </c>
      <c r="D92" s="5" t="s">
        <v>29</v>
      </c>
      <c r="E92" s="5">
        <v>1</v>
      </c>
      <c r="F92" s="5">
        <v>39</v>
      </c>
      <c r="G92" s="5">
        <v>60</v>
      </c>
      <c r="H92" s="5">
        <v>1200</v>
      </c>
      <c r="I92" s="5" t="str">
        <f t="shared" si="4"/>
        <v>Holy_Desc_1060002</v>
      </c>
      <c r="J92" s="5" t="s">
        <v>30</v>
      </c>
      <c r="K92" s="5">
        <f>[1]圣物数值!$C90*10000</f>
        <v>5850</v>
      </c>
      <c r="L92" s="5">
        <v>1060002</v>
      </c>
    </row>
    <row r="93" spans="1:12" x14ac:dyDescent="0.15">
      <c r="A93" s="5">
        <v>7190</v>
      </c>
      <c r="B93" s="5">
        <v>102</v>
      </c>
      <c r="C93" s="5" t="str">
        <f t="shared" si="3"/>
        <v>Holy_Name_1060002</v>
      </c>
      <c r="D93" s="5" t="s">
        <v>29</v>
      </c>
      <c r="E93" s="5">
        <v>1</v>
      </c>
      <c r="F93" s="5">
        <v>40</v>
      </c>
      <c r="G93" s="5">
        <v>62</v>
      </c>
      <c r="H93" s="5">
        <v>1230</v>
      </c>
      <c r="I93" s="5" t="str">
        <f t="shared" si="4"/>
        <v>Holy_Desc_1060002</v>
      </c>
      <c r="J93" s="5" t="s">
        <v>30</v>
      </c>
      <c r="K93" s="5">
        <f>[1]圣物数值!$C91*10000</f>
        <v>6000</v>
      </c>
      <c r="L93" s="5">
        <v>1060002</v>
      </c>
    </row>
    <row r="94" spans="1:12" x14ac:dyDescent="0.15">
      <c r="A94" s="5">
        <v>7191</v>
      </c>
      <c r="B94" s="5">
        <v>102</v>
      </c>
      <c r="C94" s="5" t="str">
        <f t="shared" si="3"/>
        <v>Holy_Name_1060002</v>
      </c>
      <c r="D94" s="5" t="s">
        <v>29</v>
      </c>
      <c r="E94" s="5">
        <v>1</v>
      </c>
      <c r="F94" s="5">
        <v>41</v>
      </c>
      <c r="G94" s="5">
        <v>63</v>
      </c>
      <c r="H94" s="5">
        <v>1260</v>
      </c>
      <c r="I94" s="5" t="str">
        <f t="shared" si="4"/>
        <v>Holy_Desc_1060002</v>
      </c>
      <c r="J94" s="5" t="s">
        <v>30</v>
      </c>
      <c r="K94" s="5">
        <f>[1]圣物数值!$C92*10000</f>
        <v>6150</v>
      </c>
      <c r="L94" s="5">
        <v>1060002</v>
      </c>
    </row>
    <row r="95" spans="1:12" x14ac:dyDescent="0.15">
      <c r="A95" s="5">
        <v>7192</v>
      </c>
      <c r="B95" s="5">
        <v>102</v>
      </c>
      <c r="C95" s="5" t="str">
        <f t="shared" si="3"/>
        <v>Holy_Name_1060002</v>
      </c>
      <c r="D95" s="5" t="s">
        <v>29</v>
      </c>
      <c r="E95" s="5">
        <v>1</v>
      </c>
      <c r="F95" s="5">
        <v>42</v>
      </c>
      <c r="G95" s="5">
        <v>65</v>
      </c>
      <c r="H95" s="5">
        <v>1300</v>
      </c>
      <c r="I95" s="5" t="str">
        <f t="shared" si="4"/>
        <v>Holy_Desc_1060002</v>
      </c>
      <c r="J95" s="5" t="s">
        <v>30</v>
      </c>
      <c r="K95" s="5">
        <f>[1]圣物数值!$C93*10000</f>
        <v>6300</v>
      </c>
      <c r="L95" s="5">
        <v>1060002</v>
      </c>
    </row>
    <row r="96" spans="1:12" x14ac:dyDescent="0.15">
      <c r="A96" s="5">
        <v>7193</v>
      </c>
      <c r="B96" s="5">
        <v>102</v>
      </c>
      <c r="C96" s="5" t="str">
        <f t="shared" si="3"/>
        <v>Holy_Name_1060002</v>
      </c>
      <c r="D96" s="5" t="s">
        <v>29</v>
      </c>
      <c r="E96" s="5">
        <v>1</v>
      </c>
      <c r="F96" s="5">
        <v>43</v>
      </c>
      <c r="G96" s="5">
        <v>66</v>
      </c>
      <c r="H96" s="5">
        <v>1330</v>
      </c>
      <c r="I96" s="5" t="str">
        <f t="shared" si="4"/>
        <v>Holy_Desc_1060002</v>
      </c>
      <c r="J96" s="5" t="s">
        <v>30</v>
      </c>
      <c r="K96" s="5">
        <f>[1]圣物数值!$C94*10000</f>
        <v>6450</v>
      </c>
      <c r="L96" s="5">
        <v>1060002</v>
      </c>
    </row>
    <row r="97" spans="1:12" x14ac:dyDescent="0.15">
      <c r="A97" s="5">
        <v>7194</v>
      </c>
      <c r="B97" s="5">
        <v>102</v>
      </c>
      <c r="C97" s="5" t="str">
        <f t="shared" si="3"/>
        <v>Holy_Name_1060002</v>
      </c>
      <c r="D97" s="5" t="s">
        <v>29</v>
      </c>
      <c r="E97" s="5">
        <v>1</v>
      </c>
      <c r="F97" s="5">
        <v>44</v>
      </c>
      <c r="G97" s="5">
        <v>68</v>
      </c>
      <c r="H97" s="5">
        <v>1360</v>
      </c>
      <c r="I97" s="5" t="str">
        <f t="shared" si="4"/>
        <v>Holy_Desc_1060002</v>
      </c>
      <c r="J97" s="5" t="s">
        <v>30</v>
      </c>
      <c r="K97" s="5">
        <f>[1]圣物数值!$C95*10000</f>
        <v>6600</v>
      </c>
      <c r="L97" s="5">
        <v>1060002</v>
      </c>
    </row>
    <row r="98" spans="1:12" x14ac:dyDescent="0.15">
      <c r="A98" s="5">
        <v>7195</v>
      </c>
      <c r="B98" s="5">
        <v>102</v>
      </c>
      <c r="C98" s="5" t="str">
        <f t="shared" si="3"/>
        <v>Holy_Name_1060002</v>
      </c>
      <c r="D98" s="5" t="s">
        <v>29</v>
      </c>
      <c r="E98" s="5">
        <v>1</v>
      </c>
      <c r="F98" s="5">
        <v>45</v>
      </c>
      <c r="G98" s="5">
        <v>70</v>
      </c>
      <c r="H98" s="5">
        <v>1390</v>
      </c>
      <c r="I98" s="5" t="str">
        <f t="shared" si="4"/>
        <v>Holy_Desc_1060002</v>
      </c>
      <c r="J98" s="5" t="s">
        <v>30</v>
      </c>
      <c r="K98" s="5">
        <f>[1]圣物数值!$C96*10000</f>
        <v>6750</v>
      </c>
      <c r="L98" s="5">
        <v>1060002</v>
      </c>
    </row>
    <row r="99" spans="1:12" x14ac:dyDescent="0.15">
      <c r="A99" s="5">
        <v>7196</v>
      </c>
      <c r="B99" s="5">
        <v>102</v>
      </c>
      <c r="C99" s="5" t="str">
        <f t="shared" si="3"/>
        <v>Holy_Name_1060002</v>
      </c>
      <c r="D99" s="5" t="s">
        <v>29</v>
      </c>
      <c r="E99" s="5">
        <v>1</v>
      </c>
      <c r="F99" s="5">
        <v>46</v>
      </c>
      <c r="G99" s="5">
        <v>71</v>
      </c>
      <c r="H99" s="5">
        <v>1420</v>
      </c>
      <c r="I99" s="5" t="str">
        <f t="shared" si="4"/>
        <v>Holy_Desc_1060002</v>
      </c>
      <c r="J99" s="5" t="s">
        <v>30</v>
      </c>
      <c r="K99" s="5">
        <f>[1]圣物数值!$C97*10000</f>
        <v>6900</v>
      </c>
      <c r="L99" s="5">
        <v>1060002</v>
      </c>
    </row>
    <row r="100" spans="1:12" x14ac:dyDescent="0.15">
      <c r="A100" s="5">
        <v>7197</v>
      </c>
      <c r="B100" s="5">
        <v>102</v>
      </c>
      <c r="C100" s="5" t="str">
        <f t="shared" si="3"/>
        <v>Holy_Name_1060002</v>
      </c>
      <c r="D100" s="5" t="s">
        <v>29</v>
      </c>
      <c r="E100" s="5">
        <v>1</v>
      </c>
      <c r="F100" s="5">
        <v>47</v>
      </c>
      <c r="G100" s="5">
        <v>73</v>
      </c>
      <c r="H100" s="5">
        <v>1460</v>
      </c>
      <c r="I100" s="5" t="str">
        <f t="shared" si="4"/>
        <v>Holy_Desc_1060002</v>
      </c>
      <c r="J100" s="5" t="s">
        <v>30</v>
      </c>
      <c r="K100" s="5">
        <f>[1]圣物数值!$C98*10000</f>
        <v>7050</v>
      </c>
      <c r="L100" s="5">
        <v>1060002</v>
      </c>
    </row>
    <row r="101" spans="1:12" x14ac:dyDescent="0.15">
      <c r="A101" s="5">
        <v>7198</v>
      </c>
      <c r="B101" s="5">
        <v>102</v>
      </c>
      <c r="C101" s="5" t="str">
        <f t="shared" si="3"/>
        <v>Holy_Name_1060002</v>
      </c>
      <c r="D101" s="5" t="s">
        <v>29</v>
      </c>
      <c r="E101" s="5">
        <v>1</v>
      </c>
      <c r="F101" s="5">
        <v>48</v>
      </c>
      <c r="G101" s="5">
        <v>74</v>
      </c>
      <c r="H101" s="5">
        <v>1490</v>
      </c>
      <c r="I101" s="5" t="str">
        <f t="shared" si="4"/>
        <v>Holy_Desc_1060002</v>
      </c>
      <c r="J101" s="5" t="s">
        <v>30</v>
      </c>
      <c r="K101" s="5">
        <f>[1]圣物数值!$C99*10000</f>
        <v>7200</v>
      </c>
      <c r="L101" s="5">
        <v>1060002</v>
      </c>
    </row>
    <row r="102" spans="1:12" x14ac:dyDescent="0.15">
      <c r="A102" s="5">
        <v>7199</v>
      </c>
      <c r="B102" s="5">
        <v>102</v>
      </c>
      <c r="C102" s="5" t="str">
        <f t="shared" si="3"/>
        <v>Holy_Name_1060002</v>
      </c>
      <c r="D102" s="5" t="s">
        <v>29</v>
      </c>
      <c r="E102" s="5">
        <v>1</v>
      </c>
      <c r="F102" s="5">
        <v>49</v>
      </c>
      <c r="G102" s="5">
        <v>76</v>
      </c>
      <c r="H102" s="5">
        <v>1520</v>
      </c>
      <c r="I102" s="5" t="str">
        <f t="shared" si="4"/>
        <v>Holy_Desc_1060002</v>
      </c>
      <c r="J102" s="5" t="s">
        <v>30</v>
      </c>
      <c r="K102" s="5">
        <f>[1]圣物数值!$C100*10000</f>
        <v>7350</v>
      </c>
      <c r="L102" s="5">
        <v>1060002</v>
      </c>
    </row>
    <row r="103" spans="1:12" x14ac:dyDescent="0.15">
      <c r="A103" s="5">
        <v>7200</v>
      </c>
      <c r="B103" s="5">
        <v>102</v>
      </c>
      <c r="C103" s="5" t="str">
        <f t="shared" si="3"/>
        <v>Holy_Name_1060002</v>
      </c>
      <c r="D103" s="5" t="s">
        <v>29</v>
      </c>
      <c r="E103" s="5">
        <v>1</v>
      </c>
      <c r="F103" s="5">
        <v>50</v>
      </c>
      <c r="G103" s="5">
        <v>78</v>
      </c>
      <c r="H103" s="5">
        <v>1550</v>
      </c>
      <c r="I103" s="5" t="str">
        <f t="shared" si="4"/>
        <v>Holy_Desc_1060002</v>
      </c>
      <c r="J103" s="5" t="s">
        <v>30</v>
      </c>
      <c r="K103" s="5">
        <f>[1]圣物数值!$C101*10000</f>
        <v>7500</v>
      </c>
      <c r="L103" s="5">
        <v>1060002</v>
      </c>
    </row>
    <row r="104" spans="1:12" x14ac:dyDescent="0.15">
      <c r="A104" s="5">
        <v>7201</v>
      </c>
      <c r="B104" s="5">
        <v>103</v>
      </c>
      <c r="C104" s="5" t="str">
        <f t="shared" ref="C104:C113" si="5">"Holy_Name_"&amp;L104</f>
        <v>Holy_Name_1060003</v>
      </c>
      <c r="D104" s="5" t="s">
        <v>31</v>
      </c>
      <c r="E104" s="5">
        <v>1</v>
      </c>
      <c r="F104" s="5">
        <v>1</v>
      </c>
      <c r="G104" s="5">
        <v>0</v>
      </c>
      <c r="H104" s="5">
        <v>0</v>
      </c>
      <c r="I104" s="5" t="str">
        <f t="shared" ref="I104:I113" si="6">"Holy_Desc_"&amp;L104</f>
        <v>Holy_Desc_1060003</v>
      </c>
      <c r="J104" s="5" t="s">
        <v>32</v>
      </c>
      <c r="K104" s="5">
        <f>[1]圣物数值!$C102*10000</f>
        <v>200</v>
      </c>
      <c r="L104" s="5">
        <v>1060003</v>
      </c>
    </row>
    <row r="105" spans="1:12" x14ac:dyDescent="0.15">
      <c r="A105" s="5">
        <v>7202</v>
      </c>
      <c r="B105" s="5">
        <v>103</v>
      </c>
      <c r="C105" s="5" t="str">
        <f t="shared" si="5"/>
        <v>Holy_Name_1060003</v>
      </c>
      <c r="D105" s="5" t="s">
        <v>31</v>
      </c>
      <c r="E105" s="5">
        <v>1</v>
      </c>
      <c r="F105" s="5">
        <v>2</v>
      </c>
      <c r="G105" s="5">
        <v>1</v>
      </c>
      <c r="H105" s="5">
        <v>30</v>
      </c>
      <c r="I105" s="5" t="str">
        <f t="shared" si="6"/>
        <v>Holy_Desc_1060003</v>
      </c>
      <c r="J105" s="5" t="s">
        <v>32</v>
      </c>
      <c r="K105" s="5">
        <f>[1]圣物数值!$C103*10000</f>
        <v>400</v>
      </c>
      <c r="L105" s="5">
        <v>1060003</v>
      </c>
    </row>
    <row r="106" spans="1:12" x14ac:dyDescent="0.15">
      <c r="A106" s="5">
        <v>7203</v>
      </c>
      <c r="B106" s="5">
        <v>103</v>
      </c>
      <c r="C106" s="5" t="str">
        <f t="shared" si="5"/>
        <v>Holy_Name_1060003</v>
      </c>
      <c r="D106" s="5" t="s">
        <v>31</v>
      </c>
      <c r="E106" s="5">
        <v>1</v>
      </c>
      <c r="F106" s="5">
        <v>3</v>
      </c>
      <c r="G106" s="5">
        <v>2</v>
      </c>
      <c r="H106" s="5">
        <v>50</v>
      </c>
      <c r="I106" s="5" t="str">
        <f t="shared" si="6"/>
        <v>Holy_Desc_1060003</v>
      </c>
      <c r="J106" s="5" t="s">
        <v>32</v>
      </c>
      <c r="K106" s="5">
        <f>[1]圣物数值!$C104*10000</f>
        <v>600</v>
      </c>
      <c r="L106" s="5">
        <v>1060003</v>
      </c>
    </row>
    <row r="107" spans="1:12" x14ac:dyDescent="0.15">
      <c r="A107" s="5">
        <v>7204</v>
      </c>
      <c r="B107" s="5">
        <v>103</v>
      </c>
      <c r="C107" s="5" t="str">
        <f t="shared" si="5"/>
        <v>Holy_Name_1060003</v>
      </c>
      <c r="D107" s="5" t="s">
        <v>31</v>
      </c>
      <c r="E107" s="5">
        <v>1</v>
      </c>
      <c r="F107" s="5">
        <v>4</v>
      </c>
      <c r="G107" s="5">
        <v>4</v>
      </c>
      <c r="H107" s="5">
        <v>80</v>
      </c>
      <c r="I107" s="5" t="str">
        <f t="shared" si="6"/>
        <v>Holy_Desc_1060003</v>
      </c>
      <c r="J107" s="5" t="s">
        <v>32</v>
      </c>
      <c r="K107" s="5">
        <f>[1]圣物数值!$C105*10000</f>
        <v>800</v>
      </c>
      <c r="L107" s="5">
        <v>1060003</v>
      </c>
    </row>
    <row r="108" spans="1:12" x14ac:dyDescent="0.15">
      <c r="A108" s="5">
        <v>7205</v>
      </c>
      <c r="B108" s="5">
        <v>103</v>
      </c>
      <c r="C108" s="5" t="str">
        <f t="shared" si="5"/>
        <v>Holy_Name_1060003</v>
      </c>
      <c r="D108" s="5" t="s">
        <v>31</v>
      </c>
      <c r="E108" s="5">
        <v>1</v>
      </c>
      <c r="F108" s="5">
        <v>5</v>
      </c>
      <c r="G108" s="5">
        <v>6</v>
      </c>
      <c r="H108" s="5">
        <v>110</v>
      </c>
      <c r="I108" s="5" t="str">
        <f t="shared" si="6"/>
        <v>Holy_Desc_1060003</v>
      </c>
      <c r="J108" s="5" t="s">
        <v>32</v>
      </c>
      <c r="K108" s="5">
        <f>[1]圣物数值!$C106*10000</f>
        <v>1000</v>
      </c>
      <c r="L108" s="5">
        <v>1060003</v>
      </c>
    </row>
    <row r="109" spans="1:12" x14ac:dyDescent="0.15">
      <c r="A109" s="5">
        <v>7206</v>
      </c>
      <c r="B109" s="5">
        <v>103</v>
      </c>
      <c r="C109" s="5" t="str">
        <f t="shared" si="5"/>
        <v>Holy_Name_1060003</v>
      </c>
      <c r="D109" s="5" t="s">
        <v>31</v>
      </c>
      <c r="E109" s="5">
        <v>1</v>
      </c>
      <c r="F109" s="5">
        <v>6</v>
      </c>
      <c r="G109" s="5">
        <v>7</v>
      </c>
      <c r="H109" s="5">
        <v>140</v>
      </c>
      <c r="I109" s="5" t="str">
        <f t="shared" si="6"/>
        <v>Holy_Desc_1060003</v>
      </c>
      <c r="J109" s="5" t="s">
        <v>32</v>
      </c>
      <c r="K109" s="5">
        <f>[1]圣物数值!$C107*10000</f>
        <v>1200</v>
      </c>
      <c r="L109" s="5">
        <v>1060003</v>
      </c>
    </row>
    <row r="110" spans="1:12" x14ac:dyDescent="0.15">
      <c r="A110" s="5">
        <v>7207</v>
      </c>
      <c r="B110" s="5">
        <v>103</v>
      </c>
      <c r="C110" s="5" t="str">
        <f t="shared" si="5"/>
        <v>Holy_Name_1060003</v>
      </c>
      <c r="D110" s="5" t="s">
        <v>31</v>
      </c>
      <c r="E110" s="5">
        <v>1</v>
      </c>
      <c r="F110" s="5">
        <v>7</v>
      </c>
      <c r="G110" s="5">
        <v>9</v>
      </c>
      <c r="H110" s="5">
        <v>180</v>
      </c>
      <c r="I110" s="5" t="str">
        <f t="shared" si="6"/>
        <v>Holy_Desc_1060003</v>
      </c>
      <c r="J110" s="5" t="s">
        <v>32</v>
      </c>
      <c r="K110" s="5">
        <f>[1]圣物数值!$C108*10000</f>
        <v>1400</v>
      </c>
      <c r="L110" s="5">
        <v>1060003</v>
      </c>
    </row>
    <row r="111" spans="1:12" x14ac:dyDescent="0.15">
      <c r="A111" s="5">
        <v>7208</v>
      </c>
      <c r="B111" s="5">
        <v>103</v>
      </c>
      <c r="C111" s="5" t="str">
        <f t="shared" si="5"/>
        <v>Holy_Name_1060003</v>
      </c>
      <c r="D111" s="5" t="s">
        <v>31</v>
      </c>
      <c r="E111" s="5">
        <v>1</v>
      </c>
      <c r="F111" s="5">
        <v>8</v>
      </c>
      <c r="G111" s="5">
        <v>10</v>
      </c>
      <c r="H111" s="5">
        <v>210</v>
      </c>
      <c r="I111" s="5" t="str">
        <f t="shared" si="6"/>
        <v>Holy_Desc_1060003</v>
      </c>
      <c r="J111" s="5" t="s">
        <v>32</v>
      </c>
      <c r="K111" s="5">
        <f>[1]圣物数值!$C109*10000</f>
        <v>1600</v>
      </c>
      <c r="L111" s="5">
        <v>1060003</v>
      </c>
    </row>
    <row r="112" spans="1:12" x14ac:dyDescent="0.15">
      <c r="A112" s="5">
        <v>7209</v>
      </c>
      <c r="B112" s="5">
        <v>103</v>
      </c>
      <c r="C112" s="5" t="str">
        <f t="shared" si="5"/>
        <v>Holy_Name_1060003</v>
      </c>
      <c r="D112" s="5" t="s">
        <v>31</v>
      </c>
      <c r="E112" s="5">
        <v>1</v>
      </c>
      <c r="F112" s="5">
        <v>9</v>
      </c>
      <c r="G112" s="5">
        <v>12</v>
      </c>
      <c r="H112" s="5">
        <v>240</v>
      </c>
      <c r="I112" s="5" t="str">
        <f t="shared" si="6"/>
        <v>Holy_Desc_1060003</v>
      </c>
      <c r="J112" s="5" t="s">
        <v>32</v>
      </c>
      <c r="K112" s="5">
        <f>[1]圣物数值!$C110*10000</f>
        <v>1800</v>
      </c>
      <c r="L112" s="5">
        <v>1060003</v>
      </c>
    </row>
    <row r="113" spans="1:12" x14ac:dyDescent="0.15">
      <c r="A113" s="5">
        <v>7210</v>
      </c>
      <c r="B113" s="5">
        <v>103</v>
      </c>
      <c r="C113" s="5" t="str">
        <f t="shared" si="5"/>
        <v>Holy_Name_1060003</v>
      </c>
      <c r="D113" s="5" t="s">
        <v>31</v>
      </c>
      <c r="E113" s="5">
        <v>1</v>
      </c>
      <c r="F113" s="5">
        <v>10</v>
      </c>
      <c r="G113" s="5">
        <v>14</v>
      </c>
      <c r="H113" s="5">
        <v>270</v>
      </c>
      <c r="I113" s="5" t="str">
        <f t="shared" si="6"/>
        <v>Holy_Desc_1060003</v>
      </c>
      <c r="J113" s="5" t="s">
        <v>32</v>
      </c>
      <c r="K113" s="5">
        <f>[1]圣物数值!$C111*10000</f>
        <v>2000</v>
      </c>
      <c r="L113" s="5">
        <v>1060003</v>
      </c>
    </row>
    <row r="114" spans="1:12" x14ac:dyDescent="0.15">
      <c r="A114" s="5">
        <v>7211</v>
      </c>
      <c r="B114" s="5">
        <v>103</v>
      </c>
      <c r="C114" s="5" t="str">
        <f t="shared" ref="C114:C163" si="7">"Holy_Name_"&amp;L114</f>
        <v>Holy_Name_1060003</v>
      </c>
      <c r="D114" s="5" t="s">
        <v>31</v>
      </c>
      <c r="E114" s="5">
        <v>1</v>
      </c>
      <c r="F114" s="5">
        <v>11</v>
      </c>
      <c r="G114" s="5">
        <v>15</v>
      </c>
      <c r="H114" s="5">
        <v>300</v>
      </c>
      <c r="I114" s="5" t="str">
        <f t="shared" ref="I114:I163" si="8">"Holy_Desc_"&amp;L114</f>
        <v>Holy_Desc_1060003</v>
      </c>
      <c r="J114" s="5" t="s">
        <v>32</v>
      </c>
      <c r="K114" s="5">
        <f>[1]圣物数值!$C112*10000</f>
        <v>2200</v>
      </c>
      <c r="L114" s="5">
        <v>1060003</v>
      </c>
    </row>
    <row r="115" spans="1:12" x14ac:dyDescent="0.15">
      <c r="A115" s="5">
        <v>7212</v>
      </c>
      <c r="B115" s="5">
        <v>103</v>
      </c>
      <c r="C115" s="5" t="str">
        <f t="shared" si="7"/>
        <v>Holy_Name_1060003</v>
      </c>
      <c r="D115" s="5" t="s">
        <v>31</v>
      </c>
      <c r="E115" s="5">
        <v>1</v>
      </c>
      <c r="F115" s="5">
        <v>12</v>
      </c>
      <c r="G115" s="5">
        <v>17</v>
      </c>
      <c r="H115" s="5">
        <v>340</v>
      </c>
      <c r="I115" s="5" t="str">
        <f t="shared" si="8"/>
        <v>Holy_Desc_1060003</v>
      </c>
      <c r="J115" s="5" t="s">
        <v>32</v>
      </c>
      <c r="K115" s="5">
        <f>[1]圣物数值!$C113*10000</f>
        <v>2400</v>
      </c>
      <c r="L115" s="5">
        <v>1060003</v>
      </c>
    </row>
    <row r="116" spans="1:12" x14ac:dyDescent="0.15">
      <c r="A116" s="5">
        <v>7213</v>
      </c>
      <c r="B116" s="5">
        <v>103</v>
      </c>
      <c r="C116" s="5" t="str">
        <f t="shared" si="7"/>
        <v>Holy_Name_1060003</v>
      </c>
      <c r="D116" s="5" t="s">
        <v>31</v>
      </c>
      <c r="E116" s="5">
        <v>1</v>
      </c>
      <c r="F116" s="5">
        <v>13</v>
      </c>
      <c r="G116" s="5">
        <v>18</v>
      </c>
      <c r="H116" s="5">
        <v>370</v>
      </c>
      <c r="I116" s="5" t="str">
        <f t="shared" si="8"/>
        <v>Holy_Desc_1060003</v>
      </c>
      <c r="J116" s="5" t="s">
        <v>32</v>
      </c>
      <c r="K116" s="5">
        <f>[1]圣物数值!$C114*10000</f>
        <v>2600</v>
      </c>
      <c r="L116" s="5">
        <v>1060003</v>
      </c>
    </row>
    <row r="117" spans="1:12" x14ac:dyDescent="0.15">
      <c r="A117" s="5">
        <v>7214</v>
      </c>
      <c r="B117" s="5">
        <v>103</v>
      </c>
      <c r="C117" s="5" t="str">
        <f t="shared" si="7"/>
        <v>Holy_Name_1060003</v>
      </c>
      <c r="D117" s="5" t="s">
        <v>31</v>
      </c>
      <c r="E117" s="5">
        <v>1</v>
      </c>
      <c r="F117" s="5">
        <v>14</v>
      </c>
      <c r="G117" s="5">
        <v>20</v>
      </c>
      <c r="H117" s="5">
        <v>400</v>
      </c>
      <c r="I117" s="5" t="str">
        <f t="shared" si="8"/>
        <v>Holy_Desc_1060003</v>
      </c>
      <c r="J117" s="5" t="s">
        <v>32</v>
      </c>
      <c r="K117" s="5">
        <f>[1]圣物数值!$C115*10000</f>
        <v>2800</v>
      </c>
      <c r="L117" s="5">
        <v>1060003</v>
      </c>
    </row>
    <row r="118" spans="1:12" x14ac:dyDescent="0.15">
      <c r="A118" s="5">
        <v>7215</v>
      </c>
      <c r="B118" s="5">
        <v>103</v>
      </c>
      <c r="C118" s="5" t="str">
        <f t="shared" si="7"/>
        <v>Holy_Name_1060003</v>
      </c>
      <c r="D118" s="5" t="s">
        <v>31</v>
      </c>
      <c r="E118" s="5">
        <v>1</v>
      </c>
      <c r="F118" s="5">
        <v>15</v>
      </c>
      <c r="G118" s="5">
        <v>22</v>
      </c>
      <c r="H118" s="5">
        <v>430</v>
      </c>
      <c r="I118" s="5" t="str">
        <f t="shared" si="8"/>
        <v>Holy_Desc_1060003</v>
      </c>
      <c r="J118" s="5" t="s">
        <v>32</v>
      </c>
      <c r="K118" s="5">
        <f>[1]圣物数值!$C116*10000</f>
        <v>3000</v>
      </c>
      <c r="L118" s="5">
        <v>1060003</v>
      </c>
    </row>
    <row r="119" spans="1:12" x14ac:dyDescent="0.15">
      <c r="A119" s="5">
        <v>7216</v>
      </c>
      <c r="B119" s="5">
        <v>103</v>
      </c>
      <c r="C119" s="5" t="str">
        <f t="shared" si="7"/>
        <v>Holy_Name_1060003</v>
      </c>
      <c r="D119" s="5" t="s">
        <v>31</v>
      </c>
      <c r="E119" s="5">
        <v>1</v>
      </c>
      <c r="F119" s="5">
        <v>16</v>
      </c>
      <c r="G119" s="5">
        <v>23</v>
      </c>
      <c r="H119" s="5">
        <v>460</v>
      </c>
      <c r="I119" s="5" t="str">
        <f t="shared" si="8"/>
        <v>Holy_Desc_1060003</v>
      </c>
      <c r="J119" s="5" t="s">
        <v>32</v>
      </c>
      <c r="K119" s="5">
        <f>[1]圣物数值!$C117*10000</f>
        <v>3200</v>
      </c>
      <c r="L119" s="5">
        <v>1060003</v>
      </c>
    </row>
    <row r="120" spans="1:12" x14ac:dyDescent="0.15">
      <c r="A120" s="5">
        <v>7217</v>
      </c>
      <c r="B120" s="5">
        <v>103</v>
      </c>
      <c r="C120" s="5" t="str">
        <f t="shared" si="7"/>
        <v>Holy_Name_1060003</v>
      </c>
      <c r="D120" s="5" t="s">
        <v>31</v>
      </c>
      <c r="E120" s="5">
        <v>1</v>
      </c>
      <c r="F120" s="5">
        <v>17</v>
      </c>
      <c r="G120" s="5">
        <v>25</v>
      </c>
      <c r="H120" s="5">
        <v>500</v>
      </c>
      <c r="I120" s="5" t="str">
        <f t="shared" si="8"/>
        <v>Holy_Desc_1060003</v>
      </c>
      <c r="J120" s="5" t="s">
        <v>32</v>
      </c>
      <c r="K120" s="5">
        <f>[1]圣物数值!$C118*10000</f>
        <v>3400</v>
      </c>
      <c r="L120" s="5">
        <v>1060003</v>
      </c>
    </row>
    <row r="121" spans="1:12" x14ac:dyDescent="0.15">
      <c r="A121" s="5">
        <v>7218</v>
      </c>
      <c r="B121" s="5">
        <v>103</v>
      </c>
      <c r="C121" s="5" t="str">
        <f t="shared" si="7"/>
        <v>Holy_Name_1060003</v>
      </c>
      <c r="D121" s="5" t="s">
        <v>31</v>
      </c>
      <c r="E121" s="5">
        <v>1</v>
      </c>
      <c r="F121" s="5">
        <v>18</v>
      </c>
      <c r="G121" s="5">
        <v>26</v>
      </c>
      <c r="H121" s="5">
        <v>530</v>
      </c>
      <c r="I121" s="5" t="str">
        <f t="shared" si="8"/>
        <v>Holy_Desc_1060003</v>
      </c>
      <c r="J121" s="5" t="s">
        <v>32</v>
      </c>
      <c r="K121" s="5">
        <f>[1]圣物数值!$C119*10000</f>
        <v>3600</v>
      </c>
      <c r="L121" s="5">
        <v>1060003</v>
      </c>
    </row>
    <row r="122" spans="1:12" x14ac:dyDescent="0.15">
      <c r="A122" s="5">
        <v>7219</v>
      </c>
      <c r="B122" s="5">
        <v>103</v>
      </c>
      <c r="C122" s="5" t="str">
        <f t="shared" si="7"/>
        <v>Holy_Name_1060003</v>
      </c>
      <c r="D122" s="5" t="s">
        <v>31</v>
      </c>
      <c r="E122" s="5">
        <v>1</v>
      </c>
      <c r="F122" s="5">
        <v>19</v>
      </c>
      <c r="G122" s="5">
        <v>28</v>
      </c>
      <c r="H122" s="5">
        <v>560</v>
      </c>
      <c r="I122" s="5" t="str">
        <f t="shared" si="8"/>
        <v>Holy_Desc_1060003</v>
      </c>
      <c r="J122" s="5" t="s">
        <v>32</v>
      </c>
      <c r="K122" s="5">
        <f>[1]圣物数值!$C120*10000</f>
        <v>3800</v>
      </c>
      <c r="L122" s="5">
        <v>1060003</v>
      </c>
    </row>
    <row r="123" spans="1:12" x14ac:dyDescent="0.15">
      <c r="A123" s="5">
        <v>7220</v>
      </c>
      <c r="B123" s="5">
        <v>103</v>
      </c>
      <c r="C123" s="5" t="str">
        <f t="shared" si="7"/>
        <v>Holy_Name_1060003</v>
      </c>
      <c r="D123" s="5" t="s">
        <v>31</v>
      </c>
      <c r="E123" s="5">
        <v>1</v>
      </c>
      <c r="F123" s="5">
        <v>20</v>
      </c>
      <c r="G123" s="5">
        <v>30</v>
      </c>
      <c r="H123" s="5">
        <v>590</v>
      </c>
      <c r="I123" s="5" t="str">
        <f t="shared" si="8"/>
        <v>Holy_Desc_1060003</v>
      </c>
      <c r="J123" s="5" t="s">
        <v>32</v>
      </c>
      <c r="K123" s="5">
        <f>[1]圣物数值!$C121*10000</f>
        <v>4000</v>
      </c>
      <c r="L123" s="5">
        <v>1060003</v>
      </c>
    </row>
    <row r="124" spans="1:12" x14ac:dyDescent="0.15">
      <c r="A124" s="5">
        <v>7221</v>
      </c>
      <c r="B124" s="5">
        <v>103</v>
      </c>
      <c r="C124" s="5" t="str">
        <f t="shared" si="7"/>
        <v>Holy_Name_1060003</v>
      </c>
      <c r="D124" s="5" t="s">
        <v>31</v>
      </c>
      <c r="E124" s="5">
        <v>1</v>
      </c>
      <c r="F124" s="5">
        <v>21</v>
      </c>
      <c r="G124" s="5">
        <v>31</v>
      </c>
      <c r="H124" s="5">
        <v>620</v>
      </c>
      <c r="I124" s="5" t="str">
        <f t="shared" si="8"/>
        <v>Holy_Desc_1060003</v>
      </c>
      <c r="J124" s="5" t="s">
        <v>32</v>
      </c>
      <c r="K124" s="5">
        <f>[1]圣物数值!$C122*10000</f>
        <v>4200</v>
      </c>
      <c r="L124" s="5">
        <v>1060003</v>
      </c>
    </row>
    <row r="125" spans="1:12" x14ac:dyDescent="0.15">
      <c r="A125" s="5">
        <v>7222</v>
      </c>
      <c r="B125" s="5">
        <v>103</v>
      </c>
      <c r="C125" s="5" t="str">
        <f t="shared" si="7"/>
        <v>Holy_Name_1060003</v>
      </c>
      <c r="D125" s="5" t="s">
        <v>31</v>
      </c>
      <c r="E125" s="5">
        <v>1</v>
      </c>
      <c r="F125" s="5">
        <v>22</v>
      </c>
      <c r="G125" s="5">
        <v>33</v>
      </c>
      <c r="H125" s="5">
        <v>660</v>
      </c>
      <c r="I125" s="5" t="str">
        <f t="shared" si="8"/>
        <v>Holy_Desc_1060003</v>
      </c>
      <c r="J125" s="5" t="s">
        <v>32</v>
      </c>
      <c r="K125" s="5">
        <f>[1]圣物数值!$C123*10000</f>
        <v>4400</v>
      </c>
      <c r="L125" s="5">
        <v>1060003</v>
      </c>
    </row>
    <row r="126" spans="1:12" x14ac:dyDescent="0.15">
      <c r="A126" s="5">
        <v>7223</v>
      </c>
      <c r="B126" s="5">
        <v>103</v>
      </c>
      <c r="C126" s="5" t="str">
        <f t="shared" si="7"/>
        <v>Holy_Name_1060003</v>
      </c>
      <c r="D126" s="5" t="s">
        <v>31</v>
      </c>
      <c r="E126" s="5">
        <v>1</v>
      </c>
      <c r="F126" s="5">
        <v>23</v>
      </c>
      <c r="G126" s="5">
        <v>34</v>
      </c>
      <c r="H126" s="5">
        <v>690</v>
      </c>
      <c r="I126" s="5" t="str">
        <f t="shared" si="8"/>
        <v>Holy_Desc_1060003</v>
      </c>
      <c r="J126" s="5" t="s">
        <v>32</v>
      </c>
      <c r="K126" s="5">
        <f>[1]圣物数值!$C124*10000</f>
        <v>4600</v>
      </c>
      <c r="L126" s="5">
        <v>1060003</v>
      </c>
    </row>
    <row r="127" spans="1:12" x14ac:dyDescent="0.15">
      <c r="A127" s="5">
        <v>7224</v>
      </c>
      <c r="B127" s="5">
        <v>103</v>
      </c>
      <c r="C127" s="5" t="str">
        <f t="shared" si="7"/>
        <v>Holy_Name_1060003</v>
      </c>
      <c r="D127" s="5" t="s">
        <v>31</v>
      </c>
      <c r="E127" s="5">
        <v>1</v>
      </c>
      <c r="F127" s="5">
        <v>24</v>
      </c>
      <c r="G127" s="5">
        <v>36</v>
      </c>
      <c r="H127" s="5">
        <v>720</v>
      </c>
      <c r="I127" s="5" t="str">
        <f t="shared" si="8"/>
        <v>Holy_Desc_1060003</v>
      </c>
      <c r="J127" s="5" t="s">
        <v>32</v>
      </c>
      <c r="K127" s="5">
        <f>[1]圣物数值!$C125*10000</f>
        <v>4800</v>
      </c>
      <c r="L127" s="5">
        <v>1060003</v>
      </c>
    </row>
    <row r="128" spans="1:12" x14ac:dyDescent="0.15">
      <c r="A128" s="5">
        <v>7225</v>
      </c>
      <c r="B128" s="5">
        <v>103</v>
      </c>
      <c r="C128" s="5" t="str">
        <f t="shared" si="7"/>
        <v>Holy_Name_1060003</v>
      </c>
      <c r="D128" s="5" t="s">
        <v>31</v>
      </c>
      <c r="E128" s="5">
        <v>1</v>
      </c>
      <c r="F128" s="5">
        <v>25</v>
      </c>
      <c r="G128" s="5">
        <v>38</v>
      </c>
      <c r="H128" s="5">
        <v>750</v>
      </c>
      <c r="I128" s="5" t="str">
        <f t="shared" si="8"/>
        <v>Holy_Desc_1060003</v>
      </c>
      <c r="J128" s="5" t="s">
        <v>32</v>
      </c>
      <c r="K128" s="5">
        <f>[1]圣物数值!$C126*10000</f>
        <v>5000</v>
      </c>
      <c r="L128" s="5">
        <v>1060003</v>
      </c>
    </row>
    <row r="129" spans="1:12" x14ac:dyDescent="0.15">
      <c r="A129" s="5">
        <v>7226</v>
      </c>
      <c r="B129" s="5">
        <v>103</v>
      </c>
      <c r="C129" s="5" t="str">
        <f t="shared" si="7"/>
        <v>Holy_Name_1060003</v>
      </c>
      <c r="D129" s="5" t="s">
        <v>31</v>
      </c>
      <c r="E129" s="5">
        <v>1</v>
      </c>
      <c r="F129" s="5">
        <v>26</v>
      </c>
      <c r="G129" s="5">
        <v>39</v>
      </c>
      <c r="H129" s="5">
        <v>780</v>
      </c>
      <c r="I129" s="5" t="str">
        <f t="shared" si="8"/>
        <v>Holy_Desc_1060003</v>
      </c>
      <c r="J129" s="5" t="s">
        <v>32</v>
      </c>
      <c r="K129" s="5">
        <f>[1]圣物数值!$C127*10000</f>
        <v>5200</v>
      </c>
      <c r="L129" s="5">
        <v>1060003</v>
      </c>
    </row>
    <row r="130" spans="1:12" x14ac:dyDescent="0.15">
      <c r="A130" s="5">
        <v>7227</v>
      </c>
      <c r="B130" s="5">
        <v>103</v>
      </c>
      <c r="C130" s="5" t="str">
        <f t="shared" si="7"/>
        <v>Holy_Name_1060003</v>
      </c>
      <c r="D130" s="5" t="s">
        <v>31</v>
      </c>
      <c r="E130" s="5">
        <v>1</v>
      </c>
      <c r="F130" s="5">
        <v>27</v>
      </c>
      <c r="G130" s="5">
        <v>41</v>
      </c>
      <c r="H130" s="5">
        <v>820</v>
      </c>
      <c r="I130" s="5" t="str">
        <f t="shared" si="8"/>
        <v>Holy_Desc_1060003</v>
      </c>
      <c r="J130" s="5" t="s">
        <v>32</v>
      </c>
      <c r="K130" s="5">
        <f>[1]圣物数值!$C128*10000</f>
        <v>5400</v>
      </c>
      <c r="L130" s="5">
        <v>1060003</v>
      </c>
    </row>
    <row r="131" spans="1:12" x14ac:dyDescent="0.15">
      <c r="A131" s="5">
        <v>7228</v>
      </c>
      <c r="B131" s="5">
        <v>103</v>
      </c>
      <c r="C131" s="5" t="str">
        <f t="shared" si="7"/>
        <v>Holy_Name_1060003</v>
      </c>
      <c r="D131" s="5" t="s">
        <v>31</v>
      </c>
      <c r="E131" s="5">
        <v>1</v>
      </c>
      <c r="F131" s="5">
        <v>28</v>
      </c>
      <c r="G131" s="5">
        <v>42</v>
      </c>
      <c r="H131" s="5">
        <v>850</v>
      </c>
      <c r="I131" s="5" t="str">
        <f t="shared" si="8"/>
        <v>Holy_Desc_1060003</v>
      </c>
      <c r="J131" s="5" t="s">
        <v>32</v>
      </c>
      <c r="K131" s="5">
        <f>[1]圣物数值!$C129*10000</f>
        <v>5600</v>
      </c>
      <c r="L131" s="5">
        <v>1060003</v>
      </c>
    </row>
    <row r="132" spans="1:12" x14ac:dyDescent="0.15">
      <c r="A132" s="5">
        <v>7229</v>
      </c>
      <c r="B132" s="5">
        <v>103</v>
      </c>
      <c r="C132" s="5" t="str">
        <f t="shared" si="7"/>
        <v>Holy_Name_1060003</v>
      </c>
      <c r="D132" s="5" t="s">
        <v>31</v>
      </c>
      <c r="E132" s="5">
        <v>1</v>
      </c>
      <c r="F132" s="5">
        <v>29</v>
      </c>
      <c r="G132" s="5">
        <v>44</v>
      </c>
      <c r="H132" s="5">
        <v>880</v>
      </c>
      <c r="I132" s="5" t="str">
        <f t="shared" si="8"/>
        <v>Holy_Desc_1060003</v>
      </c>
      <c r="J132" s="5" t="s">
        <v>32</v>
      </c>
      <c r="K132" s="5">
        <f>[1]圣物数值!$C130*10000</f>
        <v>5800</v>
      </c>
      <c r="L132" s="5">
        <v>1060003</v>
      </c>
    </row>
    <row r="133" spans="1:12" x14ac:dyDescent="0.15">
      <c r="A133" s="5">
        <v>7230</v>
      </c>
      <c r="B133" s="5">
        <v>103</v>
      </c>
      <c r="C133" s="5" t="str">
        <f t="shared" si="7"/>
        <v>Holy_Name_1060003</v>
      </c>
      <c r="D133" s="5" t="s">
        <v>31</v>
      </c>
      <c r="E133" s="5">
        <v>1</v>
      </c>
      <c r="F133" s="5">
        <v>30</v>
      </c>
      <c r="G133" s="5">
        <v>46</v>
      </c>
      <c r="H133" s="5">
        <v>910</v>
      </c>
      <c r="I133" s="5" t="str">
        <f t="shared" si="8"/>
        <v>Holy_Desc_1060003</v>
      </c>
      <c r="J133" s="5" t="s">
        <v>32</v>
      </c>
      <c r="K133" s="5">
        <f>[1]圣物数值!$C131*10000</f>
        <v>6000</v>
      </c>
      <c r="L133" s="5">
        <v>1060003</v>
      </c>
    </row>
    <row r="134" spans="1:12" x14ac:dyDescent="0.15">
      <c r="A134" s="5">
        <v>7231</v>
      </c>
      <c r="B134" s="5">
        <v>103</v>
      </c>
      <c r="C134" s="5" t="str">
        <f t="shared" si="7"/>
        <v>Holy_Name_1060003</v>
      </c>
      <c r="D134" s="5" t="s">
        <v>31</v>
      </c>
      <c r="E134" s="5">
        <v>1</v>
      </c>
      <c r="F134" s="5">
        <v>31</v>
      </c>
      <c r="G134" s="5">
        <v>47</v>
      </c>
      <c r="H134" s="5">
        <v>940</v>
      </c>
      <c r="I134" s="5" t="str">
        <f t="shared" si="8"/>
        <v>Holy_Desc_1060003</v>
      </c>
      <c r="J134" s="5" t="s">
        <v>32</v>
      </c>
      <c r="K134" s="5">
        <f>[1]圣物数值!$C132*10000</f>
        <v>6200</v>
      </c>
      <c r="L134" s="5">
        <v>1060003</v>
      </c>
    </row>
    <row r="135" spans="1:12" x14ac:dyDescent="0.15">
      <c r="A135" s="5">
        <v>7232</v>
      </c>
      <c r="B135" s="5">
        <v>103</v>
      </c>
      <c r="C135" s="5" t="str">
        <f t="shared" si="7"/>
        <v>Holy_Name_1060003</v>
      </c>
      <c r="D135" s="5" t="s">
        <v>31</v>
      </c>
      <c r="E135" s="5">
        <v>1</v>
      </c>
      <c r="F135" s="5">
        <v>32</v>
      </c>
      <c r="G135" s="5">
        <v>49</v>
      </c>
      <c r="H135" s="5">
        <v>980</v>
      </c>
      <c r="I135" s="5" t="str">
        <f t="shared" si="8"/>
        <v>Holy_Desc_1060003</v>
      </c>
      <c r="J135" s="5" t="s">
        <v>32</v>
      </c>
      <c r="K135" s="5">
        <f>[1]圣物数值!$C133*10000</f>
        <v>6400</v>
      </c>
      <c r="L135" s="5">
        <v>1060003</v>
      </c>
    </row>
    <row r="136" spans="1:12" x14ac:dyDescent="0.15">
      <c r="A136" s="5">
        <v>7233</v>
      </c>
      <c r="B136" s="5">
        <v>103</v>
      </c>
      <c r="C136" s="5" t="str">
        <f t="shared" si="7"/>
        <v>Holy_Name_1060003</v>
      </c>
      <c r="D136" s="5" t="s">
        <v>31</v>
      </c>
      <c r="E136" s="5">
        <v>1</v>
      </c>
      <c r="F136" s="5">
        <v>33</v>
      </c>
      <c r="G136" s="5">
        <v>50</v>
      </c>
      <c r="H136" s="5">
        <v>1010</v>
      </c>
      <c r="I136" s="5" t="str">
        <f t="shared" si="8"/>
        <v>Holy_Desc_1060003</v>
      </c>
      <c r="J136" s="5" t="s">
        <v>32</v>
      </c>
      <c r="K136" s="5">
        <f>[1]圣物数值!$C134*10000</f>
        <v>6600</v>
      </c>
      <c r="L136" s="5">
        <v>1060003</v>
      </c>
    </row>
    <row r="137" spans="1:12" x14ac:dyDescent="0.15">
      <c r="A137" s="5">
        <v>7234</v>
      </c>
      <c r="B137" s="5">
        <v>103</v>
      </c>
      <c r="C137" s="5" t="str">
        <f t="shared" si="7"/>
        <v>Holy_Name_1060003</v>
      </c>
      <c r="D137" s="5" t="s">
        <v>31</v>
      </c>
      <c r="E137" s="5">
        <v>1</v>
      </c>
      <c r="F137" s="5">
        <v>34</v>
      </c>
      <c r="G137" s="5">
        <v>52</v>
      </c>
      <c r="H137" s="5">
        <v>1040</v>
      </c>
      <c r="I137" s="5" t="str">
        <f t="shared" si="8"/>
        <v>Holy_Desc_1060003</v>
      </c>
      <c r="J137" s="5" t="s">
        <v>32</v>
      </c>
      <c r="K137" s="5">
        <f>[1]圣物数值!$C135*10000</f>
        <v>6800</v>
      </c>
      <c r="L137" s="5">
        <v>1060003</v>
      </c>
    </row>
    <row r="138" spans="1:12" x14ac:dyDescent="0.15">
      <c r="A138" s="5">
        <v>7235</v>
      </c>
      <c r="B138" s="5">
        <v>103</v>
      </c>
      <c r="C138" s="5" t="str">
        <f t="shared" si="7"/>
        <v>Holy_Name_1060003</v>
      </c>
      <c r="D138" s="5" t="s">
        <v>31</v>
      </c>
      <c r="E138" s="5">
        <v>1</v>
      </c>
      <c r="F138" s="5">
        <v>35</v>
      </c>
      <c r="G138" s="5">
        <v>54</v>
      </c>
      <c r="H138" s="5">
        <v>1070</v>
      </c>
      <c r="I138" s="5" t="str">
        <f t="shared" si="8"/>
        <v>Holy_Desc_1060003</v>
      </c>
      <c r="J138" s="5" t="s">
        <v>32</v>
      </c>
      <c r="K138" s="5">
        <f>[1]圣物数值!$C136*10000</f>
        <v>7000</v>
      </c>
      <c r="L138" s="5">
        <v>1060003</v>
      </c>
    </row>
    <row r="139" spans="1:12" x14ac:dyDescent="0.15">
      <c r="A139" s="5">
        <v>7236</v>
      </c>
      <c r="B139" s="5">
        <v>103</v>
      </c>
      <c r="C139" s="5" t="str">
        <f t="shared" si="7"/>
        <v>Holy_Name_1060003</v>
      </c>
      <c r="D139" s="5" t="s">
        <v>31</v>
      </c>
      <c r="E139" s="5">
        <v>1</v>
      </c>
      <c r="F139" s="5">
        <v>36</v>
      </c>
      <c r="G139" s="5">
        <v>55</v>
      </c>
      <c r="H139" s="5">
        <v>1100</v>
      </c>
      <c r="I139" s="5" t="str">
        <f t="shared" si="8"/>
        <v>Holy_Desc_1060003</v>
      </c>
      <c r="J139" s="5" t="s">
        <v>32</v>
      </c>
      <c r="K139" s="5">
        <f>[1]圣物数值!$C137*10000</f>
        <v>7200</v>
      </c>
      <c r="L139" s="5">
        <v>1060003</v>
      </c>
    </row>
    <row r="140" spans="1:12" x14ac:dyDescent="0.15">
      <c r="A140" s="5">
        <v>7237</v>
      </c>
      <c r="B140" s="5">
        <v>103</v>
      </c>
      <c r="C140" s="5" t="str">
        <f t="shared" si="7"/>
        <v>Holy_Name_1060003</v>
      </c>
      <c r="D140" s="5" t="s">
        <v>31</v>
      </c>
      <c r="E140" s="5">
        <v>1</v>
      </c>
      <c r="F140" s="5">
        <v>37</v>
      </c>
      <c r="G140" s="5">
        <v>57</v>
      </c>
      <c r="H140" s="5">
        <v>1140</v>
      </c>
      <c r="I140" s="5" t="str">
        <f t="shared" si="8"/>
        <v>Holy_Desc_1060003</v>
      </c>
      <c r="J140" s="5" t="s">
        <v>32</v>
      </c>
      <c r="K140" s="5">
        <f>[1]圣物数值!$C138*10000</f>
        <v>7400</v>
      </c>
      <c r="L140" s="5">
        <v>1060003</v>
      </c>
    </row>
    <row r="141" spans="1:12" x14ac:dyDescent="0.15">
      <c r="A141" s="5">
        <v>7238</v>
      </c>
      <c r="B141" s="5">
        <v>103</v>
      </c>
      <c r="C141" s="5" t="str">
        <f t="shared" si="7"/>
        <v>Holy_Name_1060003</v>
      </c>
      <c r="D141" s="5" t="s">
        <v>31</v>
      </c>
      <c r="E141" s="5">
        <v>1</v>
      </c>
      <c r="F141" s="5">
        <v>38</v>
      </c>
      <c r="G141" s="5">
        <v>58</v>
      </c>
      <c r="H141" s="5">
        <v>1170</v>
      </c>
      <c r="I141" s="5" t="str">
        <f t="shared" si="8"/>
        <v>Holy_Desc_1060003</v>
      </c>
      <c r="J141" s="5" t="s">
        <v>32</v>
      </c>
      <c r="K141" s="5">
        <f>[1]圣物数值!$C139*10000</f>
        <v>7600</v>
      </c>
      <c r="L141" s="5">
        <v>1060003</v>
      </c>
    </row>
    <row r="142" spans="1:12" x14ac:dyDescent="0.15">
      <c r="A142" s="5">
        <v>7239</v>
      </c>
      <c r="B142" s="5">
        <v>103</v>
      </c>
      <c r="C142" s="5" t="str">
        <f t="shared" si="7"/>
        <v>Holy_Name_1060003</v>
      </c>
      <c r="D142" s="5" t="s">
        <v>31</v>
      </c>
      <c r="E142" s="5">
        <v>1</v>
      </c>
      <c r="F142" s="5">
        <v>39</v>
      </c>
      <c r="G142" s="5">
        <v>60</v>
      </c>
      <c r="H142" s="5">
        <v>1200</v>
      </c>
      <c r="I142" s="5" t="str">
        <f t="shared" si="8"/>
        <v>Holy_Desc_1060003</v>
      </c>
      <c r="J142" s="5" t="s">
        <v>32</v>
      </c>
      <c r="K142" s="5">
        <f>[1]圣物数值!$C140*10000</f>
        <v>7800</v>
      </c>
      <c r="L142" s="5">
        <v>1060003</v>
      </c>
    </row>
    <row r="143" spans="1:12" x14ac:dyDescent="0.15">
      <c r="A143" s="5">
        <v>7240</v>
      </c>
      <c r="B143" s="5">
        <v>103</v>
      </c>
      <c r="C143" s="5" t="str">
        <f t="shared" si="7"/>
        <v>Holy_Name_1060003</v>
      </c>
      <c r="D143" s="5" t="s">
        <v>31</v>
      </c>
      <c r="E143" s="5">
        <v>1</v>
      </c>
      <c r="F143" s="5">
        <v>40</v>
      </c>
      <c r="G143" s="5">
        <v>62</v>
      </c>
      <c r="H143" s="5">
        <v>1230</v>
      </c>
      <c r="I143" s="5" t="str">
        <f t="shared" si="8"/>
        <v>Holy_Desc_1060003</v>
      </c>
      <c r="J143" s="5" t="s">
        <v>32</v>
      </c>
      <c r="K143" s="5">
        <f>[1]圣物数值!$C141*10000</f>
        <v>8000</v>
      </c>
      <c r="L143" s="5">
        <v>1060003</v>
      </c>
    </row>
    <row r="144" spans="1:12" x14ac:dyDescent="0.15">
      <c r="A144" s="5">
        <v>7241</v>
      </c>
      <c r="B144" s="5">
        <v>103</v>
      </c>
      <c r="C144" s="5" t="str">
        <f t="shared" si="7"/>
        <v>Holy_Name_1060003</v>
      </c>
      <c r="D144" s="5" t="s">
        <v>31</v>
      </c>
      <c r="E144" s="5">
        <v>1</v>
      </c>
      <c r="F144" s="5">
        <v>41</v>
      </c>
      <c r="G144" s="5">
        <v>63</v>
      </c>
      <c r="H144" s="5">
        <v>1260</v>
      </c>
      <c r="I144" s="5" t="str">
        <f t="shared" si="8"/>
        <v>Holy_Desc_1060003</v>
      </c>
      <c r="J144" s="5" t="s">
        <v>32</v>
      </c>
      <c r="K144" s="5">
        <f>[1]圣物数值!$C142*10000</f>
        <v>8200</v>
      </c>
      <c r="L144" s="5">
        <v>1060003</v>
      </c>
    </row>
    <row r="145" spans="1:15" x14ac:dyDescent="0.15">
      <c r="A145" s="5">
        <v>7242</v>
      </c>
      <c r="B145" s="5">
        <v>103</v>
      </c>
      <c r="C145" s="5" t="str">
        <f t="shared" si="7"/>
        <v>Holy_Name_1060003</v>
      </c>
      <c r="D145" s="5" t="s">
        <v>31</v>
      </c>
      <c r="E145" s="5">
        <v>1</v>
      </c>
      <c r="F145" s="5">
        <v>42</v>
      </c>
      <c r="G145" s="5">
        <v>65</v>
      </c>
      <c r="H145" s="5">
        <v>1300</v>
      </c>
      <c r="I145" s="5" t="str">
        <f t="shared" si="8"/>
        <v>Holy_Desc_1060003</v>
      </c>
      <c r="J145" s="5" t="s">
        <v>32</v>
      </c>
      <c r="K145" s="5">
        <f>[1]圣物数值!$C143*10000</f>
        <v>8400</v>
      </c>
      <c r="L145" s="5">
        <v>1060003</v>
      </c>
    </row>
    <row r="146" spans="1:15" x14ac:dyDescent="0.15">
      <c r="A146" s="5">
        <v>7243</v>
      </c>
      <c r="B146" s="5">
        <v>103</v>
      </c>
      <c r="C146" s="5" t="str">
        <f t="shared" si="7"/>
        <v>Holy_Name_1060003</v>
      </c>
      <c r="D146" s="5" t="s">
        <v>31</v>
      </c>
      <c r="E146" s="5">
        <v>1</v>
      </c>
      <c r="F146" s="5">
        <v>43</v>
      </c>
      <c r="G146" s="5">
        <v>66</v>
      </c>
      <c r="H146" s="5">
        <v>1330</v>
      </c>
      <c r="I146" s="5" t="str">
        <f t="shared" si="8"/>
        <v>Holy_Desc_1060003</v>
      </c>
      <c r="J146" s="5" t="s">
        <v>32</v>
      </c>
      <c r="K146" s="5">
        <f>[1]圣物数值!$C144*10000</f>
        <v>8600</v>
      </c>
      <c r="L146" s="5">
        <v>1060003</v>
      </c>
    </row>
    <row r="147" spans="1:15" x14ac:dyDescent="0.15">
      <c r="A147" s="5">
        <v>7244</v>
      </c>
      <c r="B147" s="5">
        <v>103</v>
      </c>
      <c r="C147" s="5" t="str">
        <f t="shared" si="7"/>
        <v>Holy_Name_1060003</v>
      </c>
      <c r="D147" s="5" t="s">
        <v>31</v>
      </c>
      <c r="E147" s="5">
        <v>1</v>
      </c>
      <c r="F147" s="5">
        <v>44</v>
      </c>
      <c r="G147" s="5">
        <v>68</v>
      </c>
      <c r="H147" s="5">
        <v>1360</v>
      </c>
      <c r="I147" s="5" t="str">
        <f t="shared" si="8"/>
        <v>Holy_Desc_1060003</v>
      </c>
      <c r="J147" s="5" t="s">
        <v>32</v>
      </c>
      <c r="K147" s="5">
        <f>[1]圣物数值!$C145*10000</f>
        <v>8800</v>
      </c>
      <c r="L147" s="5">
        <v>1060003</v>
      </c>
    </row>
    <row r="148" spans="1:15" x14ac:dyDescent="0.15">
      <c r="A148" s="5">
        <v>7245</v>
      </c>
      <c r="B148" s="5">
        <v>103</v>
      </c>
      <c r="C148" s="5" t="str">
        <f t="shared" si="7"/>
        <v>Holy_Name_1060003</v>
      </c>
      <c r="D148" s="5" t="s">
        <v>31</v>
      </c>
      <c r="E148" s="5">
        <v>1</v>
      </c>
      <c r="F148" s="5">
        <v>45</v>
      </c>
      <c r="G148" s="5">
        <v>70</v>
      </c>
      <c r="H148" s="5">
        <v>1390</v>
      </c>
      <c r="I148" s="5" t="str">
        <f t="shared" si="8"/>
        <v>Holy_Desc_1060003</v>
      </c>
      <c r="J148" s="5" t="s">
        <v>32</v>
      </c>
      <c r="K148" s="5">
        <f>[1]圣物数值!$C146*10000</f>
        <v>9000</v>
      </c>
      <c r="L148" s="5">
        <v>1060003</v>
      </c>
    </row>
    <row r="149" spans="1:15" x14ac:dyDescent="0.15">
      <c r="A149" s="5">
        <v>7246</v>
      </c>
      <c r="B149" s="5">
        <v>103</v>
      </c>
      <c r="C149" s="5" t="str">
        <f t="shared" si="7"/>
        <v>Holy_Name_1060003</v>
      </c>
      <c r="D149" s="5" t="s">
        <v>31</v>
      </c>
      <c r="E149" s="5">
        <v>1</v>
      </c>
      <c r="F149" s="5">
        <v>46</v>
      </c>
      <c r="G149" s="5">
        <v>71</v>
      </c>
      <c r="H149" s="5">
        <v>1420</v>
      </c>
      <c r="I149" s="5" t="str">
        <f t="shared" si="8"/>
        <v>Holy_Desc_1060003</v>
      </c>
      <c r="J149" s="5" t="s">
        <v>32</v>
      </c>
      <c r="K149" s="5">
        <f>[1]圣物数值!$C147*10000</f>
        <v>9200</v>
      </c>
      <c r="L149" s="5">
        <v>1060003</v>
      </c>
    </row>
    <row r="150" spans="1:15" x14ac:dyDescent="0.15">
      <c r="A150" s="5">
        <v>7247</v>
      </c>
      <c r="B150" s="5">
        <v>103</v>
      </c>
      <c r="C150" s="5" t="str">
        <f t="shared" si="7"/>
        <v>Holy_Name_1060003</v>
      </c>
      <c r="D150" s="5" t="s">
        <v>31</v>
      </c>
      <c r="E150" s="5">
        <v>1</v>
      </c>
      <c r="F150" s="5">
        <v>47</v>
      </c>
      <c r="G150" s="5">
        <v>73</v>
      </c>
      <c r="H150" s="5">
        <v>1460</v>
      </c>
      <c r="I150" s="5" t="str">
        <f t="shared" si="8"/>
        <v>Holy_Desc_1060003</v>
      </c>
      <c r="J150" s="5" t="s">
        <v>32</v>
      </c>
      <c r="K150" s="5">
        <f>[1]圣物数值!$C148*10000</f>
        <v>9400</v>
      </c>
      <c r="L150" s="5">
        <v>1060003</v>
      </c>
    </row>
    <row r="151" spans="1:15" x14ac:dyDescent="0.15">
      <c r="A151" s="5">
        <v>7248</v>
      </c>
      <c r="B151" s="5">
        <v>103</v>
      </c>
      <c r="C151" s="5" t="str">
        <f t="shared" si="7"/>
        <v>Holy_Name_1060003</v>
      </c>
      <c r="D151" s="5" t="s">
        <v>31</v>
      </c>
      <c r="E151" s="5">
        <v>1</v>
      </c>
      <c r="F151" s="5">
        <v>48</v>
      </c>
      <c r="G151" s="5">
        <v>74</v>
      </c>
      <c r="H151" s="5">
        <v>1490</v>
      </c>
      <c r="I151" s="5" t="str">
        <f t="shared" si="8"/>
        <v>Holy_Desc_1060003</v>
      </c>
      <c r="J151" s="5" t="s">
        <v>32</v>
      </c>
      <c r="K151" s="5">
        <f>[1]圣物数值!$C149*10000</f>
        <v>9600</v>
      </c>
      <c r="L151" s="5">
        <v>1060003</v>
      </c>
    </row>
    <row r="152" spans="1:15" x14ac:dyDescent="0.15">
      <c r="A152" s="5">
        <v>7249</v>
      </c>
      <c r="B152" s="5">
        <v>103</v>
      </c>
      <c r="C152" s="5" t="str">
        <f t="shared" si="7"/>
        <v>Holy_Name_1060003</v>
      </c>
      <c r="D152" s="5" t="s">
        <v>31</v>
      </c>
      <c r="E152" s="5">
        <v>1</v>
      </c>
      <c r="F152" s="5">
        <v>49</v>
      </c>
      <c r="G152" s="5">
        <v>76</v>
      </c>
      <c r="H152" s="5">
        <v>1520</v>
      </c>
      <c r="I152" s="5" t="str">
        <f t="shared" si="8"/>
        <v>Holy_Desc_1060003</v>
      </c>
      <c r="J152" s="5" t="s">
        <v>32</v>
      </c>
      <c r="K152" s="5">
        <f>[1]圣物数值!$C150*10000</f>
        <v>9800</v>
      </c>
      <c r="L152" s="5">
        <v>1060003</v>
      </c>
    </row>
    <row r="153" spans="1:15" x14ac:dyDescent="0.15">
      <c r="A153" s="5">
        <v>7250</v>
      </c>
      <c r="B153" s="5">
        <v>103</v>
      </c>
      <c r="C153" s="5" t="str">
        <f t="shared" si="7"/>
        <v>Holy_Name_1060003</v>
      </c>
      <c r="D153" s="5" t="s">
        <v>31</v>
      </c>
      <c r="E153" s="5">
        <v>1</v>
      </c>
      <c r="F153" s="5">
        <v>50</v>
      </c>
      <c r="G153" s="5">
        <v>78</v>
      </c>
      <c r="H153" s="5">
        <v>1550</v>
      </c>
      <c r="I153" s="5" t="str">
        <f t="shared" si="8"/>
        <v>Holy_Desc_1060003</v>
      </c>
      <c r="J153" s="5" t="s">
        <v>32</v>
      </c>
      <c r="K153" s="5">
        <f>[1]圣物数值!$C151*10000</f>
        <v>10000</v>
      </c>
      <c r="L153" s="5">
        <v>1060003</v>
      </c>
    </row>
    <row r="154" spans="1:15" x14ac:dyDescent="0.15">
      <c r="A154" s="5">
        <v>7251</v>
      </c>
      <c r="B154" s="5">
        <v>104</v>
      </c>
      <c r="C154" s="5" t="str">
        <f t="shared" si="7"/>
        <v>Holy_Name_1060004</v>
      </c>
      <c r="D154" s="5" t="s">
        <v>33</v>
      </c>
      <c r="E154" s="5">
        <v>1</v>
      </c>
      <c r="F154" s="5">
        <v>1</v>
      </c>
      <c r="G154" s="5">
        <v>0</v>
      </c>
      <c r="H154" s="5">
        <v>0</v>
      </c>
      <c r="I154" s="5" t="str">
        <f t="shared" si="8"/>
        <v>Holy_Desc_1060004</v>
      </c>
      <c r="J154" s="5" t="s">
        <v>34</v>
      </c>
      <c r="K154" s="5">
        <f>[1]圣物数值!$C152*10000</f>
        <v>200</v>
      </c>
      <c r="L154" s="5">
        <v>1060004</v>
      </c>
      <c r="O154" s="8"/>
    </row>
    <row r="155" spans="1:15" x14ac:dyDescent="0.15">
      <c r="A155" s="5">
        <v>7252</v>
      </c>
      <c r="B155" s="5">
        <v>104</v>
      </c>
      <c r="C155" s="5" t="str">
        <f t="shared" si="7"/>
        <v>Holy_Name_1060004</v>
      </c>
      <c r="D155" s="5" t="s">
        <v>33</v>
      </c>
      <c r="E155" s="5">
        <v>1</v>
      </c>
      <c r="F155" s="5">
        <v>2</v>
      </c>
      <c r="G155" s="5">
        <v>1</v>
      </c>
      <c r="H155" s="5">
        <v>30</v>
      </c>
      <c r="I155" s="5" t="str">
        <f t="shared" si="8"/>
        <v>Holy_Desc_1060004</v>
      </c>
      <c r="J155" s="5" t="s">
        <v>34</v>
      </c>
      <c r="K155" s="5">
        <f>[1]圣物数值!$C153*10000</f>
        <v>400</v>
      </c>
      <c r="L155" s="5">
        <v>1060004</v>
      </c>
      <c r="O155" s="8"/>
    </row>
    <row r="156" spans="1:15" x14ac:dyDescent="0.15">
      <c r="A156" s="5">
        <v>7253</v>
      </c>
      <c r="B156" s="5">
        <v>104</v>
      </c>
      <c r="C156" s="5" t="str">
        <f t="shared" si="7"/>
        <v>Holy_Name_1060004</v>
      </c>
      <c r="D156" s="5" t="s">
        <v>33</v>
      </c>
      <c r="E156" s="5">
        <v>1</v>
      </c>
      <c r="F156" s="5">
        <v>3</v>
      </c>
      <c r="G156" s="5">
        <v>2</v>
      </c>
      <c r="H156" s="5">
        <v>50</v>
      </c>
      <c r="I156" s="5" t="str">
        <f t="shared" si="8"/>
        <v>Holy_Desc_1060004</v>
      </c>
      <c r="J156" s="5" t="s">
        <v>34</v>
      </c>
      <c r="K156" s="5">
        <f>[1]圣物数值!$C154*10000</f>
        <v>600</v>
      </c>
      <c r="L156" s="5">
        <v>1060004</v>
      </c>
      <c r="O156" s="8"/>
    </row>
    <row r="157" spans="1:15" x14ac:dyDescent="0.15">
      <c r="A157" s="5">
        <v>7254</v>
      </c>
      <c r="B157" s="5">
        <v>104</v>
      </c>
      <c r="C157" s="5" t="str">
        <f t="shared" si="7"/>
        <v>Holy_Name_1060004</v>
      </c>
      <c r="D157" s="5" t="s">
        <v>33</v>
      </c>
      <c r="E157" s="5">
        <v>1</v>
      </c>
      <c r="F157" s="5">
        <v>4</v>
      </c>
      <c r="G157" s="5">
        <v>4</v>
      </c>
      <c r="H157" s="5">
        <v>80</v>
      </c>
      <c r="I157" s="5" t="str">
        <f t="shared" si="8"/>
        <v>Holy_Desc_1060004</v>
      </c>
      <c r="J157" s="5" t="s">
        <v>34</v>
      </c>
      <c r="K157" s="5">
        <f>[1]圣物数值!$C155*10000</f>
        <v>800</v>
      </c>
      <c r="L157" s="5">
        <v>1060004</v>
      </c>
      <c r="O157" s="8"/>
    </row>
    <row r="158" spans="1:15" x14ac:dyDescent="0.15">
      <c r="A158" s="5">
        <v>7255</v>
      </c>
      <c r="B158" s="5">
        <v>104</v>
      </c>
      <c r="C158" s="5" t="str">
        <f t="shared" si="7"/>
        <v>Holy_Name_1060004</v>
      </c>
      <c r="D158" s="5" t="s">
        <v>33</v>
      </c>
      <c r="E158" s="5">
        <v>1</v>
      </c>
      <c r="F158" s="5">
        <v>5</v>
      </c>
      <c r="G158" s="5">
        <v>6</v>
      </c>
      <c r="H158" s="5">
        <v>110</v>
      </c>
      <c r="I158" s="5" t="str">
        <f t="shared" si="8"/>
        <v>Holy_Desc_1060004</v>
      </c>
      <c r="J158" s="5" t="s">
        <v>34</v>
      </c>
      <c r="K158" s="5">
        <f>[1]圣物数值!$C156*10000</f>
        <v>1000</v>
      </c>
      <c r="L158" s="5">
        <v>1060004</v>
      </c>
      <c r="O158" s="8"/>
    </row>
    <row r="159" spans="1:15" x14ac:dyDescent="0.15">
      <c r="A159" s="5">
        <v>7256</v>
      </c>
      <c r="B159" s="5">
        <v>104</v>
      </c>
      <c r="C159" s="5" t="str">
        <f t="shared" si="7"/>
        <v>Holy_Name_1060004</v>
      </c>
      <c r="D159" s="5" t="s">
        <v>33</v>
      </c>
      <c r="E159" s="5">
        <v>1</v>
      </c>
      <c r="F159" s="5">
        <v>6</v>
      </c>
      <c r="G159" s="5">
        <v>7</v>
      </c>
      <c r="H159" s="5">
        <v>140</v>
      </c>
      <c r="I159" s="5" t="str">
        <f t="shared" si="8"/>
        <v>Holy_Desc_1060004</v>
      </c>
      <c r="J159" s="5" t="s">
        <v>34</v>
      </c>
      <c r="K159" s="5">
        <f>[1]圣物数值!$C157*10000</f>
        <v>1200</v>
      </c>
      <c r="L159" s="5">
        <v>1060004</v>
      </c>
      <c r="O159" s="8"/>
    </row>
    <row r="160" spans="1:15" x14ac:dyDescent="0.15">
      <c r="A160" s="5">
        <v>7257</v>
      </c>
      <c r="B160" s="5">
        <v>104</v>
      </c>
      <c r="C160" s="5" t="str">
        <f t="shared" si="7"/>
        <v>Holy_Name_1060004</v>
      </c>
      <c r="D160" s="5" t="s">
        <v>33</v>
      </c>
      <c r="E160" s="5">
        <v>1</v>
      </c>
      <c r="F160" s="5">
        <v>7</v>
      </c>
      <c r="G160" s="5">
        <v>9</v>
      </c>
      <c r="H160" s="5">
        <v>180</v>
      </c>
      <c r="I160" s="5" t="str">
        <f t="shared" si="8"/>
        <v>Holy_Desc_1060004</v>
      </c>
      <c r="J160" s="5" t="s">
        <v>34</v>
      </c>
      <c r="K160" s="5">
        <f>[1]圣物数值!$C158*10000</f>
        <v>1400</v>
      </c>
      <c r="L160" s="5">
        <v>1060004</v>
      </c>
      <c r="O160" s="8"/>
    </row>
    <row r="161" spans="1:15" x14ac:dyDescent="0.15">
      <c r="A161" s="5">
        <v>7258</v>
      </c>
      <c r="B161" s="5">
        <v>104</v>
      </c>
      <c r="C161" s="5" t="str">
        <f t="shared" si="7"/>
        <v>Holy_Name_1060004</v>
      </c>
      <c r="D161" s="5" t="s">
        <v>33</v>
      </c>
      <c r="E161" s="5">
        <v>1</v>
      </c>
      <c r="F161" s="5">
        <v>8</v>
      </c>
      <c r="G161" s="5">
        <v>10</v>
      </c>
      <c r="H161" s="5">
        <v>210</v>
      </c>
      <c r="I161" s="5" t="str">
        <f t="shared" si="8"/>
        <v>Holy_Desc_1060004</v>
      </c>
      <c r="J161" s="5" t="s">
        <v>34</v>
      </c>
      <c r="K161" s="5">
        <f>[1]圣物数值!$C159*10000</f>
        <v>1600</v>
      </c>
      <c r="L161" s="5">
        <v>1060004</v>
      </c>
      <c r="O161" s="8"/>
    </row>
    <row r="162" spans="1:15" x14ac:dyDescent="0.15">
      <c r="A162" s="5">
        <v>7259</v>
      </c>
      <c r="B162" s="5">
        <v>104</v>
      </c>
      <c r="C162" s="5" t="str">
        <f t="shared" si="7"/>
        <v>Holy_Name_1060004</v>
      </c>
      <c r="D162" s="5" t="s">
        <v>33</v>
      </c>
      <c r="E162" s="5">
        <v>1</v>
      </c>
      <c r="F162" s="5">
        <v>9</v>
      </c>
      <c r="G162" s="5">
        <v>12</v>
      </c>
      <c r="H162" s="5">
        <v>240</v>
      </c>
      <c r="I162" s="5" t="str">
        <f t="shared" si="8"/>
        <v>Holy_Desc_1060004</v>
      </c>
      <c r="J162" s="5" t="s">
        <v>34</v>
      </c>
      <c r="K162" s="5">
        <f>[1]圣物数值!$C160*10000</f>
        <v>1800</v>
      </c>
      <c r="L162" s="5">
        <v>1060004</v>
      </c>
      <c r="O162" s="8"/>
    </row>
    <row r="163" spans="1:15" x14ac:dyDescent="0.15">
      <c r="A163" s="5">
        <v>7260</v>
      </c>
      <c r="B163" s="5">
        <v>104</v>
      </c>
      <c r="C163" s="5" t="str">
        <f t="shared" si="7"/>
        <v>Holy_Name_1060004</v>
      </c>
      <c r="D163" s="5" t="s">
        <v>33</v>
      </c>
      <c r="E163" s="5">
        <v>1</v>
      </c>
      <c r="F163" s="5">
        <v>10</v>
      </c>
      <c r="G163" s="5">
        <v>14</v>
      </c>
      <c r="H163" s="5">
        <v>270</v>
      </c>
      <c r="I163" s="5" t="str">
        <f t="shared" si="8"/>
        <v>Holy_Desc_1060004</v>
      </c>
      <c r="J163" s="5" t="s">
        <v>34</v>
      </c>
      <c r="K163" s="5">
        <f>[1]圣物数值!$C161*10000</f>
        <v>2000</v>
      </c>
      <c r="L163" s="5">
        <v>1060004</v>
      </c>
      <c r="O163" s="8"/>
    </row>
    <row r="164" spans="1:15" x14ac:dyDescent="0.15">
      <c r="A164" s="5">
        <v>7261</v>
      </c>
      <c r="B164" s="5">
        <v>104</v>
      </c>
      <c r="C164" s="5" t="str">
        <f t="shared" ref="C164:C213" si="9">"Holy_Name_"&amp;L164</f>
        <v>Holy_Name_1060004</v>
      </c>
      <c r="D164" s="5" t="s">
        <v>33</v>
      </c>
      <c r="E164" s="5">
        <v>1</v>
      </c>
      <c r="F164" s="5">
        <v>11</v>
      </c>
      <c r="G164" s="5">
        <v>15</v>
      </c>
      <c r="H164" s="5">
        <v>300</v>
      </c>
      <c r="I164" s="5" t="str">
        <f t="shared" ref="I164:I213" si="10">"Holy_Desc_"&amp;L164</f>
        <v>Holy_Desc_1060004</v>
      </c>
      <c r="J164" s="5" t="s">
        <v>34</v>
      </c>
      <c r="K164" s="5">
        <f>[1]圣物数值!$C162*10000</f>
        <v>2200</v>
      </c>
      <c r="L164" s="5">
        <v>1060004</v>
      </c>
      <c r="O164" s="8"/>
    </row>
    <row r="165" spans="1:15" x14ac:dyDescent="0.15">
      <c r="A165" s="5">
        <v>7262</v>
      </c>
      <c r="B165" s="5">
        <v>104</v>
      </c>
      <c r="C165" s="5" t="str">
        <f t="shared" si="9"/>
        <v>Holy_Name_1060004</v>
      </c>
      <c r="D165" s="5" t="s">
        <v>33</v>
      </c>
      <c r="E165" s="5">
        <v>1</v>
      </c>
      <c r="F165" s="5">
        <v>12</v>
      </c>
      <c r="G165" s="5">
        <v>17</v>
      </c>
      <c r="H165" s="5">
        <v>340</v>
      </c>
      <c r="I165" s="5" t="str">
        <f t="shared" si="10"/>
        <v>Holy_Desc_1060004</v>
      </c>
      <c r="J165" s="5" t="s">
        <v>34</v>
      </c>
      <c r="K165" s="5">
        <f>[1]圣物数值!$C163*10000</f>
        <v>2400</v>
      </c>
      <c r="L165" s="5">
        <v>1060004</v>
      </c>
      <c r="O165" s="8"/>
    </row>
    <row r="166" spans="1:15" x14ac:dyDescent="0.15">
      <c r="A166" s="5">
        <v>7263</v>
      </c>
      <c r="B166" s="5">
        <v>104</v>
      </c>
      <c r="C166" s="5" t="str">
        <f t="shared" si="9"/>
        <v>Holy_Name_1060004</v>
      </c>
      <c r="D166" s="5" t="s">
        <v>33</v>
      </c>
      <c r="E166" s="5">
        <v>1</v>
      </c>
      <c r="F166" s="5">
        <v>13</v>
      </c>
      <c r="G166" s="5">
        <v>18</v>
      </c>
      <c r="H166" s="5">
        <v>370</v>
      </c>
      <c r="I166" s="5" t="str">
        <f t="shared" si="10"/>
        <v>Holy_Desc_1060004</v>
      </c>
      <c r="J166" s="5" t="s">
        <v>34</v>
      </c>
      <c r="K166" s="5">
        <f>[1]圣物数值!$C164*10000</f>
        <v>2600</v>
      </c>
      <c r="L166" s="5">
        <v>1060004</v>
      </c>
      <c r="O166" s="8"/>
    </row>
    <row r="167" spans="1:15" x14ac:dyDescent="0.15">
      <c r="A167" s="5">
        <v>7264</v>
      </c>
      <c r="B167" s="5">
        <v>104</v>
      </c>
      <c r="C167" s="5" t="str">
        <f t="shared" si="9"/>
        <v>Holy_Name_1060004</v>
      </c>
      <c r="D167" s="5" t="s">
        <v>33</v>
      </c>
      <c r="E167" s="5">
        <v>1</v>
      </c>
      <c r="F167" s="5">
        <v>14</v>
      </c>
      <c r="G167" s="5">
        <v>20</v>
      </c>
      <c r="H167" s="5">
        <v>400</v>
      </c>
      <c r="I167" s="5" t="str">
        <f t="shared" si="10"/>
        <v>Holy_Desc_1060004</v>
      </c>
      <c r="J167" s="5" t="s">
        <v>34</v>
      </c>
      <c r="K167" s="5">
        <f>[1]圣物数值!$C165*10000</f>
        <v>2800</v>
      </c>
      <c r="L167" s="5">
        <v>1060004</v>
      </c>
      <c r="O167" s="8"/>
    </row>
    <row r="168" spans="1:15" x14ac:dyDescent="0.15">
      <c r="A168" s="5">
        <v>7265</v>
      </c>
      <c r="B168" s="5">
        <v>104</v>
      </c>
      <c r="C168" s="5" t="str">
        <f t="shared" si="9"/>
        <v>Holy_Name_1060004</v>
      </c>
      <c r="D168" s="5" t="s">
        <v>33</v>
      </c>
      <c r="E168" s="5">
        <v>1</v>
      </c>
      <c r="F168" s="5">
        <v>15</v>
      </c>
      <c r="G168" s="5">
        <v>22</v>
      </c>
      <c r="H168" s="5">
        <v>430</v>
      </c>
      <c r="I168" s="5" t="str">
        <f t="shared" si="10"/>
        <v>Holy_Desc_1060004</v>
      </c>
      <c r="J168" s="5" t="s">
        <v>34</v>
      </c>
      <c r="K168" s="5">
        <f>[1]圣物数值!$C166*10000</f>
        <v>3000</v>
      </c>
      <c r="L168" s="5">
        <v>1060004</v>
      </c>
      <c r="O168" s="8"/>
    </row>
    <row r="169" spans="1:15" x14ac:dyDescent="0.15">
      <c r="A169" s="5">
        <v>7266</v>
      </c>
      <c r="B169" s="5">
        <v>104</v>
      </c>
      <c r="C169" s="5" t="str">
        <f t="shared" si="9"/>
        <v>Holy_Name_1060004</v>
      </c>
      <c r="D169" s="5" t="s">
        <v>33</v>
      </c>
      <c r="E169" s="5">
        <v>1</v>
      </c>
      <c r="F169" s="5">
        <v>16</v>
      </c>
      <c r="G169" s="5">
        <v>23</v>
      </c>
      <c r="H169" s="5">
        <v>460</v>
      </c>
      <c r="I169" s="5" t="str">
        <f t="shared" si="10"/>
        <v>Holy_Desc_1060004</v>
      </c>
      <c r="J169" s="5" t="s">
        <v>34</v>
      </c>
      <c r="K169" s="5">
        <f>[1]圣物数值!$C167*10000</f>
        <v>3200</v>
      </c>
      <c r="L169" s="5">
        <v>1060004</v>
      </c>
      <c r="O169" s="8"/>
    </row>
    <row r="170" spans="1:15" x14ac:dyDescent="0.15">
      <c r="A170" s="5">
        <v>7267</v>
      </c>
      <c r="B170" s="5">
        <v>104</v>
      </c>
      <c r="C170" s="5" t="str">
        <f t="shared" si="9"/>
        <v>Holy_Name_1060004</v>
      </c>
      <c r="D170" s="5" t="s">
        <v>33</v>
      </c>
      <c r="E170" s="5">
        <v>1</v>
      </c>
      <c r="F170" s="5">
        <v>17</v>
      </c>
      <c r="G170" s="5">
        <v>25</v>
      </c>
      <c r="H170" s="5">
        <v>500</v>
      </c>
      <c r="I170" s="5" t="str">
        <f t="shared" si="10"/>
        <v>Holy_Desc_1060004</v>
      </c>
      <c r="J170" s="5" t="s">
        <v>34</v>
      </c>
      <c r="K170" s="5">
        <f>[1]圣物数值!$C168*10000</f>
        <v>3400</v>
      </c>
      <c r="L170" s="5">
        <v>1060004</v>
      </c>
      <c r="O170" s="8"/>
    </row>
    <row r="171" spans="1:15" x14ac:dyDescent="0.15">
      <c r="A171" s="5">
        <v>7268</v>
      </c>
      <c r="B171" s="5">
        <v>104</v>
      </c>
      <c r="C171" s="5" t="str">
        <f t="shared" si="9"/>
        <v>Holy_Name_1060004</v>
      </c>
      <c r="D171" s="5" t="s">
        <v>33</v>
      </c>
      <c r="E171" s="5">
        <v>1</v>
      </c>
      <c r="F171" s="5">
        <v>18</v>
      </c>
      <c r="G171" s="5">
        <v>26</v>
      </c>
      <c r="H171" s="5">
        <v>530</v>
      </c>
      <c r="I171" s="5" t="str">
        <f t="shared" si="10"/>
        <v>Holy_Desc_1060004</v>
      </c>
      <c r="J171" s="5" t="s">
        <v>34</v>
      </c>
      <c r="K171" s="5">
        <f>[1]圣物数值!$C169*10000</f>
        <v>3600</v>
      </c>
      <c r="L171" s="5">
        <v>1060004</v>
      </c>
      <c r="O171" s="8"/>
    </row>
    <row r="172" spans="1:15" x14ac:dyDescent="0.15">
      <c r="A172" s="5">
        <v>7269</v>
      </c>
      <c r="B172" s="5">
        <v>104</v>
      </c>
      <c r="C172" s="5" t="str">
        <f t="shared" si="9"/>
        <v>Holy_Name_1060004</v>
      </c>
      <c r="D172" s="5" t="s">
        <v>33</v>
      </c>
      <c r="E172" s="5">
        <v>1</v>
      </c>
      <c r="F172" s="5">
        <v>19</v>
      </c>
      <c r="G172" s="5">
        <v>28</v>
      </c>
      <c r="H172" s="5">
        <v>560</v>
      </c>
      <c r="I172" s="5" t="str">
        <f t="shared" si="10"/>
        <v>Holy_Desc_1060004</v>
      </c>
      <c r="J172" s="5" t="s">
        <v>34</v>
      </c>
      <c r="K172" s="5">
        <f>[1]圣物数值!$C170*10000</f>
        <v>3800</v>
      </c>
      <c r="L172" s="5">
        <v>1060004</v>
      </c>
      <c r="O172" s="8"/>
    </row>
    <row r="173" spans="1:15" x14ac:dyDescent="0.15">
      <c r="A173" s="5">
        <v>7270</v>
      </c>
      <c r="B173" s="5">
        <v>104</v>
      </c>
      <c r="C173" s="5" t="str">
        <f t="shared" si="9"/>
        <v>Holy_Name_1060004</v>
      </c>
      <c r="D173" s="5" t="s">
        <v>33</v>
      </c>
      <c r="E173" s="5">
        <v>1</v>
      </c>
      <c r="F173" s="5">
        <v>20</v>
      </c>
      <c r="G173" s="5">
        <v>30</v>
      </c>
      <c r="H173" s="5">
        <v>590</v>
      </c>
      <c r="I173" s="5" t="str">
        <f t="shared" si="10"/>
        <v>Holy_Desc_1060004</v>
      </c>
      <c r="J173" s="5" t="s">
        <v>34</v>
      </c>
      <c r="K173" s="5">
        <f>[1]圣物数值!$C171*10000</f>
        <v>4000</v>
      </c>
      <c r="L173" s="5">
        <v>1060004</v>
      </c>
      <c r="O173" s="8"/>
    </row>
    <row r="174" spans="1:15" x14ac:dyDescent="0.15">
      <c r="A174" s="5">
        <v>7271</v>
      </c>
      <c r="B174" s="5">
        <v>104</v>
      </c>
      <c r="C174" s="5" t="str">
        <f t="shared" si="9"/>
        <v>Holy_Name_1060004</v>
      </c>
      <c r="D174" s="5" t="s">
        <v>33</v>
      </c>
      <c r="E174" s="5">
        <v>1</v>
      </c>
      <c r="F174" s="5">
        <v>21</v>
      </c>
      <c r="G174" s="5">
        <v>31</v>
      </c>
      <c r="H174" s="5">
        <v>620</v>
      </c>
      <c r="I174" s="5" t="str">
        <f t="shared" si="10"/>
        <v>Holy_Desc_1060004</v>
      </c>
      <c r="J174" s="5" t="s">
        <v>34</v>
      </c>
      <c r="K174" s="5">
        <f>[1]圣物数值!$C172*10000</f>
        <v>4200</v>
      </c>
      <c r="L174" s="5">
        <v>1060004</v>
      </c>
      <c r="O174" s="8"/>
    </row>
    <row r="175" spans="1:15" x14ac:dyDescent="0.15">
      <c r="A175" s="5">
        <v>7272</v>
      </c>
      <c r="B175" s="5">
        <v>104</v>
      </c>
      <c r="C175" s="5" t="str">
        <f t="shared" si="9"/>
        <v>Holy_Name_1060004</v>
      </c>
      <c r="D175" s="5" t="s">
        <v>33</v>
      </c>
      <c r="E175" s="5">
        <v>1</v>
      </c>
      <c r="F175" s="5">
        <v>22</v>
      </c>
      <c r="G175" s="5">
        <v>33</v>
      </c>
      <c r="H175" s="5">
        <v>660</v>
      </c>
      <c r="I175" s="5" t="str">
        <f t="shared" si="10"/>
        <v>Holy_Desc_1060004</v>
      </c>
      <c r="J175" s="5" t="s">
        <v>34</v>
      </c>
      <c r="K175" s="5">
        <f>[1]圣物数值!$C173*10000</f>
        <v>4400</v>
      </c>
      <c r="L175" s="5">
        <v>1060004</v>
      </c>
      <c r="O175" s="8"/>
    </row>
    <row r="176" spans="1:15" x14ac:dyDescent="0.15">
      <c r="A176" s="5">
        <v>7273</v>
      </c>
      <c r="B176" s="5">
        <v>104</v>
      </c>
      <c r="C176" s="5" t="str">
        <f t="shared" si="9"/>
        <v>Holy_Name_1060004</v>
      </c>
      <c r="D176" s="5" t="s">
        <v>33</v>
      </c>
      <c r="E176" s="5">
        <v>1</v>
      </c>
      <c r="F176" s="5">
        <v>23</v>
      </c>
      <c r="G176" s="5">
        <v>34</v>
      </c>
      <c r="H176" s="5">
        <v>690</v>
      </c>
      <c r="I176" s="5" t="str">
        <f t="shared" si="10"/>
        <v>Holy_Desc_1060004</v>
      </c>
      <c r="J176" s="5" t="s">
        <v>34</v>
      </c>
      <c r="K176" s="5">
        <f>[1]圣物数值!$C174*10000</f>
        <v>4600</v>
      </c>
      <c r="L176" s="5">
        <v>1060004</v>
      </c>
      <c r="O176" s="8"/>
    </row>
    <row r="177" spans="1:15" x14ac:dyDescent="0.15">
      <c r="A177" s="5">
        <v>7274</v>
      </c>
      <c r="B177" s="5">
        <v>104</v>
      </c>
      <c r="C177" s="5" t="str">
        <f t="shared" si="9"/>
        <v>Holy_Name_1060004</v>
      </c>
      <c r="D177" s="5" t="s">
        <v>33</v>
      </c>
      <c r="E177" s="5">
        <v>1</v>
      </c>
      <c r="F177" s="5">
        <v>24</v>
      </c>
      <c r="G177" s="5">
        <v>36</v>
      </c>
      <c r="H177" s="5">
        <v>720</v>
      </c>
      <c r="I177" s="5" t="str">
        <f t="shared" si="10"/>
        <v>Holy_Desc_1060004</v>
      </c>
      <c r="J177" s="5" t="s">
        <v>34</v>
      </c>
      <c r="K177" s="5">
        <f>[1]圣物数值!$C175*10000</f>
        <v>4800</v>
      </c>
      <c r="L177" s="5">
        <v>1060004</v>
      </c>
      <c r="O177" s="8"/>
    </row>
    <row r="178" spans="1:15" x14ac:dyDescent="0.15">
      <c r="A178" s="5">
        <v>7275</v>
      </c>
      <c r="B178" s="5">
        <v>104</v>
      </c>
      <c r="C178" s="5" t="str">
        <f t="shared" si="9"/>
        <v>Holy_Name_1060004</v>
      </c>
      <c r="D178" s="5" t="s">
        <v>33</v>
      </c>
      <c r="E178" s="5">
        <v>1</v>
      </c>
      <c r="F178" s="5">
        <v>25</v>
      </c>
      <c r="G178" s="5">
        <v>38</v>
      </c>
      <c r="H178" s="5">
        <v>750</v>
      </c>
      <c r="I178" s="5" t="str">
        <f t="shared" si="10"/>
        <v>Holy_Desc_1060004</v>
      </c>
      <c r="J178" s="5" t="s">
        <v>34</v>
      </c>
      <c r="K178" s="5">
        <f>[1]圣物数值!$C176*10000</f>
        <v>5000</v>
      </c>
      <c r="L178" s="5">
        <v>1060004</v>
      </c>
      <c r="O178" s="8"/>
    </row>
    <row r="179" spans="1:15" x14ac:dyDescent="0.15">
      <c r="A179" s="5">
        <v>7276</v>
      </c>
      <c r="B179" s="5">
        <v>104</v>
      </c>
      <c r="C179" s="5" t="str">
        <f t="shared" si="9"/>
        <v>Holy_Name_1060004</v>
      </c>
      <c r="D179" s="5" t="s">
        <v>33</v>
      </c>
      <c r="E179" s="5">
        <v>1</v>
      </c>
      <c r="F179" s="5">
        <v>26</v>
      </c>
      <c r="G179" s="5">
        <v>39</v>
      </c>
      <c r="H179" s="5">
        <v>780</v>
      </c>
      <c r="I179" s="5" t="str">
        <f t="shared" si="10"/>
        <v>Holy_Desc_1060004</v>
      </c>
      <c r="J179" s="5" t="s">
        <v>34</v>
      </c>
      <c r="K179" s="5">
        <f>[1]圣物数值!$C177*10000</f>
        <v>5200</v>
      </c>
      <c r="L179" s="5">
        <v>1060004</v>
      </c>
      <c r="O179" s="8"/>
    </row>
    <row r="180" spans="1:15" x14ac:dyDescent="0.15">
      <c r="A180" s="5">
        <v>7277</v>
      </c>
      <c r="B180" s="5">
        <v>104</v>
      </c>
      <c r="C180" s="5" t="str">
        <f t="shared" si="9"/>
        <v>Holy_Name_1060004</v>
      </c>
      <c r="D180" s="5" t="s">
        <v>33</v>
      </c>
      <c r="E180" s="5">
        <v>1</v>
      </c>
      <c r="F180" s="5">
        <v>27</v>
      </c>
      <c r="G180" s="5">
        <v>41</v>
      </c>
      <c r="H180" s="5">
        <v>820</v>
      </c>
      <c r="I180" s="5" t="str">
        <f t="shared" si="10"/>
        <v>Holy_Desc_1060004</v>
      </c>
      <c r="J180" s="5" t="s">
        <v>34</v>
      </c>
      <c r="K180" s="5">
        <f>[1]圣物数值!$C178*10000</f>
        <v>5400</v>
      </c>
      <c r="L180" s="5">
        <v>1060004</v>
      </c>
      <c r="O180" s="8"/>
    </row>
    <row r="181" spans="1:15" x14ac:dyDescent="0.15">
      <c r="A181" s="5">
        <v>7278</v>
      </c>
      <c r="B181" s="5">
        <v>104</v>
      </c>
      <c r="C181" s="5" t="str">
        <f t="shared" si="9"/>
        <v>Holy_Name_1060004</v>
      </c>
      <c r="D181" s="5" t="s">
        <v>33</v>
      </c>
      <c r="E181" s="5">
        <v>1</v>
      </c>
      <c r="F181" s="5">
        <v>28</v>
      </c>
      <c r="G181" s="5">
        <v>42</v>
      </c>
      <c r="H181" s="5">
        <v>850</v>
      </c>
      <c r="I181" s="5" t="str">
        <f t="shared" si="10"/>
        <v>Holy_Desc_1060004</v>
      </c>
      <c r="J181" s="5" t="s">
        <v>34</v>
      </c>
      <c r="K181" s="5">
        <f>[1]圣物数值!$C179*10000</f>
        <v>5600</v>
      </c>
      <c r="L181" s="5">
        <v>1060004</v>
      </c>
      <c r="O181" s="8"/>
    </row>
    <row r="182" spans="1:15" x14ac:dyDescent="0.15">
      <c r="A182" s="5">
        <v>7279</v>
      </c>
      <c r="B182" s="5">
        <v>104</v>
      </c>
      <c r="C182" s="5" t="str">
        <f t="shared" si="9"/>
        <v>Holy_Name_1060004</v>
      </c>
      <c r="D182" s="5" t="s">
        <v>33</v>
      </c>
      <c r="E182" s="5">
        <v>1</v>
      </c>
      <c r="F182" s="5">
        <v>29</v>
      </c>
      <c r="G182" s="5">
        <v>44</v>
      </c>
      <c r="H182" s="5">
        <v>880</v>
      </c>
      <c r="I182" s="5" t="str">
        <f t="shared" si="10"/>
        <v>Holy_Desc_1060004</v>
      </c>
      <c r="J182" s="5" t="s">
        <v>34</v>
      </c>
      <c r="K182" s="5">
        <f>[1]圣物数值!$C180*10000</f>
        <v>5800</v>
      </c>
      <c r="L182" s="5">
        <v>1060004</v>
      </c>
      <c r="O182" s="8"/>
    </row>
    <row r="183" spans="1:15" x14ac:dyDescent="0.15">
      <c r="A183" s="5">
        <v>7280</v>
      </c>
      <c r="B183" s="5">
        <v>104</v>
      </c>
      <c r="C183" s="5" t="str">
        <f t="shared" si="9"/>
        <v>Holy_Name_1060004</v>
      </c>
      <c r="D183" s="5" t="s">
        <v>33</v>
      </c>
      <c r="E183" s="5">
        <v>1</v>
      </c>
      <c r="F183" s="5">
        <v>30</v>
      </c>
      <c r="G183" s="5">
        <v>46</v>
      </c>
      <c r="H183" s="5">
        <v>910</v>
      </c>
      <c r="I183" s="5" t="str">
        <f t="shared" si="10"/>
        <v>Holy_Desc_1060004</v>
      </c>
      <c r="J183" s="5" t="s">
        <v>34</v>
      </c>
      <c r="K183" s="5">
        <f>[1]圣物数值!$C181*10000</f>
        <v>6000</v>
      </c>
      <c r="L183" s="5">
        <v>1060004</v>
      </c>
      <c r="O183" s="8"/>
    </row>
    <row r="184" spans="1:15" x14ac:dyDescent="0.15">
      <c r="A184" s="5">
        <v>7281</v>
      </c>
      <c r="B184" s="5">
        <v>104</v>
      </c>
      <c r="C184" s="5" t="str">
        <f t="shared" si="9"/>
        <v>Holy_Name_1060004</v>
      </c>
      <c r="D184" s="5" t="s">
        <v>33</v>
      </c>
      <c r="E184" s="5">
        <v>1</v>
      </c>
      <c r="F184" s="5">
        <v>31</v>
      </c>
      <c r="G184" s="5">
        <v>47</v>
      </c>
      <c r="H184" s="5">
        <v>940</v>
      </c>
      <c r="I184" s="5" t="str">
        <f t="shared" si="10"/>
        <v>Holy_Desc_1060004</v>
      </c>
      <c r="J184" s="5" t="s">
        <v>34</v>
      </c>
      <c r="K184" s="5">
        <f>[1]圣物数值!$C182*10000</f>
        <v>6200</v>
      </c>
      <c r="L184" s="5">
        <v>1060004</v>
      </c>
      <c r="O184" s="8"/>
    </row>
    <row r="185" spans="1:15" x14ac:dyDescent="0.15">
      <c r="A185" s="5">
        <v>7282</v>
      </c>
      <c r="B185" s="5">
        <v>104</v>
      </c>
      <c r="C185" s="5" t="str">
        <f t="shared" si="9"/>
        <v>Holy_Name_1060004</v>
      </c>
      <c r="D185" s="5" t="s">
        <v>33</v>
      </c>
      <c r="E185" s="5">
        <v>1</v>
      </c>
      <c r="F185" s="5">
        <v>32</v>
      </c>
      <c r="G185" s="5">
        <v>49</v>
      </c>
      <c r="H185" s="5">
        <v>980</v>
      </c>
      <c r="I185" s="5" t="str">
        <f t="shared" si="10"/>
        <v>Holy_Desc_1060004</v>
      </c>
      <c r="J185" s="5" t="s">
        <v>34</v>
      </c>
      <c r="K185" s="5">
        <f>[1]圣物数值!$C183*10000</f>
        <v>6400</v>
      </c>
      <c r="L185" s="5">
        <v>1060004</v>
      </c>
      <c r="O185" s="8"/>
    </row>
    <row r="186" spans="1:15" x14ac:dyDescent="0.15">
      <c r="A186" s="5">
        <v>7283</v>
      </c>
      <c r="B186" s="5">
        <v>104</v>
      </c>
      <c r="C186" s="5" t="str">
        <f t="shared" si="9"/>
        <v>Holy_Name_1060004</v>
      </c>
      <c r="D186" s="5" t="s">
        <v>33</v>
      </c>
      <c r="E186" s="5">
        <v>1</v>
      </c>
      <c r="F186" s="5">
        <v>33</v>
      </c>
      <c r="G186" s="5">
        <v>50</v>
      </c>
      <c r="H186" s="5">
        <v>1010</v>
      </c>
      <c r="I186" s="5" t="str">
        <f t="shared" si="10"/>
        <v>Holy_Desc_1060004</v>
      </c>
      <c r="J186" s="5" t="s">
        <v>34</v>
      </c>
      <c r="K186" s="5">
        <f>[1]圣物数值!$C184*10000</f>
        <v>6600</v>
      </c>
      <c r="L186" s="5">
        <v>1060004</v>
      </c>
      <c r="O186" s="8"/>
    </row>
    <row r="187" spans="1:15" x14ac:dyDescent="0.15">
      <c r="A187" s="5">
        <v>7284</v>
      </c>
      <c r="B187" s="5">
        <v>104</v>
      </c>
      <c r="C187" s="5" t="str">
        <f t="shared" si="9"/>
        <v>Holy_Name_1060004</v>
      </c>
      <c r="D187" s="5" t="s">
        <v>33</v>
      </c>
      <c r="E187" s="5">
        <v>1</v>
      </c>
      <c r="F187" s="5">
        <v>34</v>
      </c>
      <c r="G187" s="5">
        <v>52</v>
      </c>
      <c r="H187" s="5">
        <v>1040</v>
      </c>
      <c r="I187" s="5" t="str">
        <f t="shared" si="10"/>
        <v>Holy_Desc_1060004</v>
      </c>
      <c r="J187" s="5" t="s">
        <v>34</v>
      </c>
      <c r="K187" s="5">
        <f>[1]圣物数值!$C185*10000</f>
        <v>6800</v>
      </c>
      <c r="L187" s="5">
        <v>1060004</v>
      </c>
      <c r="O187" s="8"/>
    </row>
    <row r="188" spans="1:15" x14ac:dyDescent="0.15">
      <c r="A188" s="5">
        <v>7285</v>
      </c>
      <c r="B188" s="5">
        <v>104</v>
      </c>
      <c r="C188" s="5" t="str">
        <f t="shared" si="9"/>
        <v>Holy_Name_1060004</v>
      </c>
      <c r="D188" s="5" t="s">
        <v>33</v>
      </c>
      <c r="E188" s="5">
        <v>1</v>
      </c>
      <c r="F188" s="5">
        <v>35</v>
      </c>
      <c r="G188" s="5">
        <v>54</v>
      </c>
      <c r="H188" s="5">
        <v>1070</v>
      </c>
      <c r="I188" s="5" t="str">
        <f t="shared" si="10"/>
        <v>Holy_Desc_1060004</v>
      </c>
      <c r="J188" s="5" t="s">
        <v>34</v>
      </c>
      <c r="K188" s="5">
        <f>[1]圣物数值!$C186*10000</f>
        <v>7000</v>
      </c>
      <c r="L188" s="5">
        <v>1060004</v>
      </c>
      <c r="O188" s="8"/>
    </row>
    <row r="189" spans="1:15" x14ac:dyDescent="0.15">
      <c r="A189" s="5">
        <v>7286</v>
      </c>
      <c r="B189" s="5">
        <v>104</v>
      </c>
      <c r="C189" s="5" t="str">
        <f t="shared" si="9"/>
        <v>Holy_Name_1060004</v>
      </c>
      <c r="D189" s="5" t="s">
        <v>33</v>
      </c>
      <c r="E189" s="5">
        <v>1</v>
      </c>
      <c r="F189" s="5">
        <v>36</v>
      </c>
      <c r="G189" s="5">
        <v>55</v>
      </c>
      <c r="H189" s="5">
        <v>1100</v>
      </c>
      <c r="I189" s="5" t="str">
        <f t="shared" si="10"/>
        <v>Holy_Desc_1060004</v>
      </c>
      <c r="J189" s="5" t="s">
        <v>34</v>
      </c>
      <c r="K189" s="5">
        <f>[1]圣物数值!$C187*10000</f>
        <v>7200</v>
      </c>
      <c r="L189" s="5">
        <v>1060004</v>
      </c>
      <c r="O189" s="8"/>
    </row>
    <row r="190" spans="1:15" x14ac:dyDescent="0.15">
      <c r="A190" s="5">
        <v>7287</v>
      </c>
      <c r="B190" s="5">
        <v>104</v>
      </c>
      <c r="C190" s="5" t="str">
        <f t="shared" si="9"/>
        <v>Holy_Name_1060004</v>
      </c>
      <c r="D190" s="5" t="s">
        <v>33</v>
      </c>
      <c r="E190" s="5">
        <v>1</v>
      </c>
      <c r="F190" s="5">
        <v>37</v>
      </c>
      <c r="G190" s="5">
        <v>57</v>
      </c>
      <c r="H190" s="5">
        <v>1140</v>
      </c>
      <c r="I190" s="5" t="str">
        <f t="shared" si="10"/>
        <v>Holy_Desc_1060004</v>
      </c>
      <c r="J190" s="5" t="s">
        <v>34</v>
      </c>
      <c r="K190" s="5">
        <f>[1]圣物数值!$C188*10000</f>
        <v>7400</v>
      </c>
      <c r="L190" s="5">
        <v>1060004</v>
      </c>
      <c r="O190" s="8"/>
    </row>
    <row r="191" spans="1:15" x14ac:dyDescent="0.15">
      <c r="A191" s="5">
        <v>7288</v>
      </c>
      <c r="B191" s="5">
        <v>104</v>
      </c>
      <c r="C191" s="5" t="str">
        <f t="shared" si="9"/>
        <v>Holy_Name_1060004</v>
      </c>
      <c r="D191" s="5" t="s">
        <v>33</v>
      </c>
      <c r="E191" s="5">
        <v>1</v>
      </c>
      <c r="F191" s="5">
        <v>38</v>
      </c>
      <c r="G191" s="5">
        <v>58</v>
      </c>
      <c r="H191" s="5">
        <v>1170</v>
      </c>
      <c r="I191" s="5" t="str">
        <f t="shared" si="10"/>
        <v>Holy_Desc_1060004</v>
      </c>
      <c r="J191" s="5" t="s">
        <v>34</v>
      </c>
      <c r="K191" s="5">
        <f>[1]圣物数值!$C189*10000</f>
        <v>7600</v>
      </c>
      <c r="L191" s="5">
        <v>1060004</v>
      </c>
      <c r="O191" s="8"/>
    </row>
    <row r="192" spans="1:15" x14ac:dyDescent="0.15">
      <c r="A192" s="5">
        <v>7289</v>
      </c>
      <c r="B192" s="5">
        <v>104</v>
      </c>
      <c r="C192" s="5" t="str">
        <f t="shared" si="9"/>
        <v>Holy_Name_1060004</v>
      </c>
      <c r="D192" s="5" t="s">
        <v>33</v>
      </c>
      <c r="E192" s="5">
        <v>1</v>
      </c>
      <c r="F192" s="5">
        <v>39</v>
      </c>
      <c r="G192" s="5">
        <v>60</v>
      </c>
      <c r="H192" s="5">
        <v>1200</v>
      </c>
      <c r="I192" s="5" t="str">
        <f t="shared" si="10"/>
        <v>Holy_Desc_1060004</v>
      </c>
      <c r="J192" s="5" t="s">
        <v>34</v>
      </c>
      <c r="K192" s="5">
        <f>[1]圣物数值!$C190*10000</f>
        <v>7800</v>
      </c>
      <c r="L192" s="5">
        <v>1060004</v>
      </c>
      <c r="O192" s="8"/>
    </row>
    <row r="193" spans="1:15" x14ac:dyDescent="0.15">
      <c r="A193" s="5">
        <v>7290</v>
      </c>
      <c r="B193" s="5">
        <v>104</v>
      </c>
      <c r="C193" s="5" t="str">
        <f t="shared" si="9"/>
        <v>Holy_Name_1060004</v>
      </c>
      <c r="D193" s="5" t="s">
        <v>33</v>
      </c>
      <c r="E193" s="5">
        <v>1</v>
      </c>
      <c r="F193" s="5">
        <v>40</v>
      </c>
      <c r="G193" s="5">
        <v>62</v>
      </c>
      <c r="H193" s="5">
        <v>1230</v>
      </c>
      <c r="I193" s="5" t="str">
        <f t="shared" si="10"/>
        <v>Holy_Desc_1060004</v>
      </c>
      <c r="J193" s="5" t="s">
        <v>34</v>
      </c>
      <c r="K193" s="5">
        <f>[1]圣物数值!$C191*10000</f>
        <v>8000</v>
      </c>
      <c r="L193" s="5">
        <v>1060004</v>
      </c>
      <c r="O193" s="8"/>
    </row>
    <row r="194" spans="1:15" x14ac:dyDescent="0.15">
      <c r="A194" s="5">
        <v>7291</v>
      </c>
      <c r="B194" s="5">
        <v>104</v>
      </c>
      <c r="C194" s="5" t="str">
        <f t="shared" si="9"/>
        <v>Holy_Name_1060004</v>
      </c>
      <c r="D194" s="5" t="s">
        <v>33</v>
      </c>
      <c r="E194" s="5">
        <v>1</v>
      </c>
      <c r="F194" s="5">
        <v>41</v>
      </c>
      <c r="G194" s="5">
        <v>63</v>
      </c>
      <c r="H194" s="5">
        <v>1260</v>
      </c>
      <c r="I194" s="5" t="str">
        <f t="shared" si="10"/>
        <v>Holy_Desc_1060004</v>
      </c>
      <c r="J194" s="5" t="s">
        <v>34</v>
      </c>
      <c r="K194" s="5">
        <f>[1]圣物数值!$C192*10000</f>
        <v>8200</v>
      </c>
      <c r="L194" s="5">
        <v>1060004</v>
      </c>
      <c r="O194" s="8"/>
    </row>
    <row r="195" spans="1:15" x14ac:dyDescent="0.15">
      <c r="A195" s="5">
        <v>7292</v>
      </c>
      <c r="B195" s="5">
        <v>104</v>
      </c>
      <c r="C195" s="5" t="str">
        <f t="shared" si="9"/>
        <v>Holy_Name_1060004</v>
      </c>
      <c r="D195" s="5" t="s">
        <v>33</v>
      </c>
      <c r="E195" s="5">
        <v>1</v>
      </c>
      <c r="F195" s="5">
        <v>42</v>
      </c>
      <c r="G195" s="5">
        <v>65</v>
      </c>
      <c r="H195" s="5">
        <v>1300</v>
      </c>
      <c r="I195" s="5" t="str">
        <f t="shared" si="10"/>
        <v>Holy_Desc_1060004</v>
      </c>
      <c r="J195" s="5" t="s">
        <v>34</v>
      </c>
      <c r="K195" s="5">
        <f>[1]圣物数值!$C193*10000</f>
        <v>8400</v>
      </c>
      <c r="L195" s="5">
        <v>1060004</v>
      </c>
      <c r="O195" s="8"/>
    </row>
    <row r="196" spans="1:15" x14ac:dyDescent="0.15">
      <c r="A196" s="5">
        <v>7293</v>
      </c>
      <c r="B196" s="5">
        <v>104</v>
      </c>
      <c r="C196" s="5" t="str">
        <f t="shared" si="9"/>
        <v>Holy_Name_1060004</v>
      </c>
      <c r="D196" s="5" t="s">
        <v>33</v>
      </c>
      <c r="E196" s="5">
        <v>1</v>
      </c>
      <c r="F196" s="5">
        <v>43</v>
      </c>
      <c r="G196" s="5">
        <v>66</v>
      </c>
      <c r="H196" s="5">
        <v>1330</v>
      </c>
      <c r="I196" s="5" t="str">
        <f t="shared" si="10"/>
        <v>Holy_Desc_1060004</v>
      </c>
      <c r="J196" s="5" t="s">
        <v>34</v>
      </c>
      <c r="K196" s="5">
        <f>[1]圣物数值!$C194*10000</f>
        <v>8600</v>
      </c>
      <c r="L196" s="5">
        <v>1060004</v>
      </c>
      <c r="O196" s="8"/>
    </row>
    <row r="197" spans="1:15" x14ac:dyDescent="0.15">
      <c r="A197" s="5">
        <v>7294</v>
      </c>
      <c r="B197" s="5">
        <v>104</v>
      </c>
      <c r="C197" s="5" t="str">
        <f t="shared" si="9"/>
        <v>Holy_Name_1060004</v>
      </c>
      <c r="D197" s="5" t="s">
        <v>33</v>
      </c>
      <c r="E197" s="5">
        <v>1</v>
      </c>
      <c r="F197" s="5">
        <v>44</v>
      </c>
      <c r="G197" s="5">
        <v>68</v>
      </c>
      <c r="H197" s="5">
        <v>1360</v>
      </c>
      <c r="I197" s="5" t="str">
        <f t="shared" si="10"/>
        <v>Holy_Desc_1060004</v>
      </c>
      <c r="J197" s="5" t="s">
        <v>34</v>
      </c>
      <c r="K197" s="5">
        <f>[1]圣物数值!$C195*10000</f>
        <v>8800</v>
      </c>
      <c r="L197" s="5">
        <v>1060004</v>
      </c>
      <c r="O197" s="8"/>
    </row>
    <row r="198" spans="1:15" x14ac:dyDescent="0.15">
      <c r="A198" s="5">
        <v>7295</v>
      </c>
      <c r="B198" s="5">
        <v>104</v>
      </c>
      <c r="C198" s="5" t="str">
        <f t="shared" si="9"/>
        <v>Holy_Name_1060004</v>
      </c>
      <c r="D198" s="5" t="s">
        <v>33</v>
      </c>
      <c r="E198" s="5">
        <v>1</v>
      </c>
      <c r="F198" s="5">
        <v>45</v>
      </c>
      <c r="G198" s="5">
        <v>70</v>
      </c>
      <c r="H198" s="5">
        <v>1390</v>
      </c>
      <c r="I198" s="5" t="str">
        <f t="shared" si="10"/>
        <v>Holy_Desc_1060004</v>
      </c>
      <c r="J198" s="5" t="s">
        <v>34</v>
      </c>
      <c r="K198" s="5">
        <f>[1]圣物数值!$C196*10000</f>
        <v>9000</v>
      </c>
      <c r="L198" s="5">
        <v>1060004</v>
      </c>
      <c r="O198" s="8"/>
    </row>
    <row r="199" spans="1:15" x14ac:dyDescent="0.15">
      <c r="A199" s="5">
        <v>7296</v>
      </c>
      <c r="B199" s="5">
        <v>104</v>
      </c>
      <c r="C199" s="5" t="str">
        <f t="shared" si="9"/>
        <v>Holy_Name_1060004</v>
      </c>
      <c r="D199" s="5" t="s">
        <v>33</v>
      </c>
      <c r="E199" s="5">
        <v>1</v>
      </c>
      <c r="F199" s="5">
        <v>46</v>
      </c>
      <c r="G199" s="5">
        <v>71</v>
      </c>
      <c r="H199" s="5">
        <v>1420</v>
      </c>
      <c r="I199" s="5" t="str">
        <f t="shared" si="10"/>
        <v>Holy_Desc_1060004</v>
      </c>
      <c r="J199" s="5" t="s">
        <v>34</v>
      </c>
      <c r="K199" s="5">
        <f>[1]圣物数值!$C197*10000</f>
        <v>9200</v>
      </c>
      <c r="L199" s="5">
        <v>1060004</v>
      </c>
      <c r="O199" s="8"/>
    </row>
    <row r="200" spans="1:15" x14ac:dyDescent="0.15">
      <c r="A200" s="5">
        <v>7297</v>
      </c>
      <c r="B200" s="5">
        <v>104</v>
      </c>
      <c r="C200" s="5" t="str">
        <f t="shared" si="9"/>
        <v>Holy_Name_1060004</v>
      </c>
      <c r="D200" s="5" t="s">
        <v>33</v>
      </c>
      <c r="E200" s="5">
        <v>1</v>
      </c>
      <c r="F200" s="5">
        <v>47</v>
      </c>
      <c r="G200" s="5">
        <v>73</v>
      </c>
      <c r="H200" s="5">
        <v>1460</v>
      </c>
      <c r="I200" s="5" t="str">
        <f t="shared" si="10"/>
        <v>Holy_Desc_1060004</v>
      </c>
      <c r="J200" s="5" t="s">
        <v>34</v>
      </c>
      <c r="K200" s="5">
        <f>[1]圣物数值!$C198*10000</f>
        <v>9400</v>
      </c>
      <c r="L200" s="5">
        <v>1060004</v>
      </c>
      <c r="O200" s="8"/>
    </row>
    <row r="201" spans="1:15" x14ac:dyDescent="0.15">
      <c r="A201" s="5">
        <v>7298</v>
      </c>
      <c r="B201" s="5">
        <v>104</v>
      </c>
      <c r="C201" s="5" t="str">
        <f t="shared" si="9"/>
        <v>Holy_Name_1060004</v>
      </c>
      <c r="D201" s="5" t="s">
        <v>33</v>
      </c>
      <c r="E201" s="5">
        <v>1</v>
      </c>
      <c r="F201" s="5">
        <v>48</v>
      </c>
      <c r="G201" s="5">
        <v>74</v>
      </c>
      <c r="H201" s="5">
        <v>1490</v>
      </c>
      <c r="I201" s="5" t="str">
        <f t="shared" si="10"/>
        <v>Holy_Desc_1060004</v>
      </c>
      <c r="J201" s="5" t="s">
        <v>34</v>
      </c>
      <c r="K201" s="5">
        <f>[1]圣物数值!$C199*10000</f>
        <v>9600</v>
      </c>
      <c r="L201" s="5">
        <v>1060004</v>
      </c>
      <c r="O201" s="8"/>
    </row>
    <row r="202" spans="1:15" x14ac:dyDescent="0.15">
      <c r="A202" s="5">
        <v>7299</v>
      </c>
      <c r="B202" s="5">
        <v>104</v>
      </c>
      <c r="C202" s="5" t="str">
        <f t="shared" si="9"/>
        <v>Holy_Name_1060004</v>
      </c>
      <c r="D202" s="5" t="s">
        <v>33</v>
      </c>
      <c r="E202" s="5">
        <v>1</v>
      </c>
      <c r="F202" s="5">
        <v>49</v>
      </c>
      <c r="G202" s="5">
        <v>76</v>
      </c>
      <c r="H202" s="5">
        <v>1520</v>
      </c>
      <c r="I202" s="5" t="str">
        <f t="shared" si="10"/>
        <v>Holy_Desc_1060004</v>
      </c>
      <c r="J202" s="5" t="s">
        <v>34</v>
      </c>
      <c r="K202" s="5">
        <f>[1]圣物数值!$C200*10000</f>
        <v>9800</v>
      </c>
      <c r="L202" s="5">
        <v>1060004</v>
      </c>
      <c r="O202" s="8"/>
    </row>
    <row r="203" spans="1:15" x14ac:dyDescent="0.15">
      <c r="A203" s="5">
        <v>7300</v>
      </c>
      <c r="B203" s="5">
        <v>104</v>
      </c>
      <c r="C203" s="5" t="str">
        <f t="shared" si="9"/>
        <v>Holy_Name_1060004</v>
      </c>
      <c r="D203" s="5" t="s">
        <v>33</v>
      </c>
      <c r="E203" s="5">
        <v>1</v>
      </c>
      <c r="F203" s="5">
        <v>50</v>
      </c>
      <c r="G203" s="5">
        <v>78</v>
      </c>
      <c r="H203" s="5">
        <v>1550</v>
      </c>
      <c r="I203" s="5" t="str">
        <f t="shared" si="10"/>
        <v>Holy_Desc_1060004</v>
      </c>
      <c r="J203" s="5" t="s">
        <v>34</v>
      </c>
      <c r="K203" s="5">
        <f>[1]圣物数值!$C201*10000</f>
        <v>10000</v>
      </c>
      <c r="L203" s="5">
        <v>1060004</v>
      </c>
      <c r="O203" s="8"/>
    </row>
    <row r="204" spans="1:15" x14ac:dyDescent="0.15">
      <c r="A204" s="5">
        <v>7301</v>
      </c>
      <c r="B204" s="5">
        <v>105</v>
      </c>
      <c r="C204" s="5" t="str">
        <f t="shared" si="9"/>
        <v>Holy_Name_1060005</v>
      </c>
      <c r="D204" s="5" t="s">
        <v>35</v>
      </c>
      <c r="E204" s="5">
        <v>1</v>
      </c>
      <c r="F204" s="5">
        <v>1</v>
      </c>
      <c r="G204" s="5">
        <v>0</v>
      </c>
      <c r="H204" s="5">
        <v>0</v>
      </c>
      <c r="I204" s="5" t="str">
        <f t="shared" si="10"/>
        <v>Holy_Desc_1060005</v>
      </c>
      <c r="J204" s="5" t="s">
        <v>36</v>
      </c>
      <c r="K204" s="5">
        <f>[1]圣物数值!$C202*10000</f>
        <v>150</v>
      </c>
      <c r="L204" s="5">
        <v>1060005</v>
      </c>
    </row>
    <row r="205" spans="1:15" x14ac:dyDescent="0.15">
      <c r="A205" s="5">
        <v>7302</v>
      </c>
      <c r="B205" s="5">
        <v>105</v>
      </c>
      <c r="C205" s="5" t="str">
        <f t="shared" si="9"/>
        <v>Holy_Name_1060005</v>
      </c>
      <c r="D205" s="5" t="s">
        <v>35</v>
      </c>
      <c r="E205" s="5">
        <v>1</v>
      </c>
      <c r="F205" s="5">
        <v>2</v>
      </c>
      <c r="G205" s="5">
        <v>1</v>
      </c>
      <c r="H205" s="5">
        <v>30</v>
      </c>
      <c r="I205" s="5" t="str">
        <f t="shared" si="10"/>
        <v>Holy_Desc_1060005</v>
      </c>
      <c r="J205" s="5" t="s">
        <v>36</v>
      </c>
      <c r="K205" s="5">
        <f>[1]圣物数值!$C203*10000</f>
        <v>300</v>
      </c>
      <c r="L205" s="5">
        <v>1060005</v>
      </c>
    </row>
    <row r="206" spans="1:15" x14ac:dyDescent="0.15">
      <c r="A206" s="5">
        <v>7303</v>
      </c>
      <c r="B206" s="5">
        <v>105</v>
      </c>
      <c r="C206" s="5" t="str">
        <f t="shared" si="9"/>
        <v>Holy_Name_1060005</v>
      </c>
      <c r="D206" s="5" t="s">
        <v>35</v>
      </c>
      <c r="E206" s="5">
        <v>1</v>
      </c>
      <c r="F206" s="5">
        <v>3</v>
      </c>
      <c r="G206" s="5">
        <v>2</v>
      </c>
      <c r="H206" s="5">
        <v>50</v>
      </c>
      <c r="I206" s="5" t="str">
        <f t="shared" si="10"/>
        <v>Holy_Desc_1060005</v>
      </c>
      <c r="J206" s="5" t="s">
        <v>36</v>
      </c>
      <c r="K206" s="5">
        <f>[1]圣物数值!$C204*10000</f>
        <v>450</v>
      </c>
      <c r="L206" s="5">
        <v>1060005</v>
      </c>
    </row>
    <row r="207" spans="1:15" x14ac:dyDescent="0.15">
      <c r="A207" s="5">
        <v>7304</v>
      </c>
      <c r="B207" s="5">
        <v>105</v>
      </c>
      <c r="C207" s="5" t="str">
        <f t="shared" si="9"/>
        <v>Holy_Name_1060005</v>
      </c>
      <c r="D207" s="5" t="s">
        <v>35</v>
      </c>
      <c r="E207" s="5">
        <v>1</v>
      </c>
      <c r="F207" s="5">
        <v>4</v>
      </c>
      <c r="G207" s="5">
        <v>4</v>
      </c>
      <c r="H207" s="5">
        <v>80</v>
      </c>
      <c r="I207" s="5" t="str">
        <f t="shared" si="10"/>
        <v>Holy_Desc_1060005</v>
      </c>
      <c r="J207" s="5" t="s">
        <v>36</v>
      </c>
      <c r="K207" s="5">
        <f>[1]圣物数值!$C205*10000</f>
        <v>600</v>
      </c>
      <c r="L207" s="5">
        <v>1060005</v>
      </c>
    </row>
    <row r="208" spans="1:15" x14ac:dyDescent="0.15">
      <c r="A208" s="5">
        <v>7305</v>
      </c>
      <c r="B208" s="5">
        <v>105</v>
      </c>
      <c r="C208" s="5" t="str">
        <f t="shared" si="9"/>
        <v>Holy_Name_1060005</v>
      </c>
      <c r="D208" s="5" t="s">
        <v>35</v>
      </c>
      <c r="E208" s="5">
        <v>1</v>
      </c>
      <c r="F208" s="5">
        <v>5</v>
      </c>
      <c r="G208" s="5">
        <v>6</v>
      </c>
      <c r="H208" s="5">
        <v>110</v>
      </c>
      <c r="I208" s="5" t="str">
        <f t="shared" si="10"/>
        <v>Holy_Desc_1060005</v>
      </c>
      <c r="J208" s="5" t="s">
        <v>36</v>
      </c>
      <c r="K208" s="5">
        <f>[1]圣物数值!$C206*10000</f>
        <v>750</v>
      </c>
      <c r="L208" s="5">
        <v>1060005</v>
      </c>
    </row>
    <row r="209" spans="1:12" x14ac:dyDescent="0.15">
      <c r="A209" s="5">
        <v>7306</v>
      </c>
      <c r="B209" s="5">
        <v>105</v>
      </c>
      <c r="C209" s="5" t="str">
        <f t="shared" si="9"/>
        <v>Holy_Name_1060005</v>
      </c>
      <c r="D209" s="5" t="s">
        <v>35</v>
      </c>
      <c r="E209" s="5">
        <v>1</v>
      </c>
      <c r="F209" s="5">
        <v>6</v>
      </c>
      <c r="G209" s="5">
        <v>7</v>
      </c>
      <c r="H209" s="5">
        <v>140</v>
      </c>
      <c r="I209" s="5" t="str">
        <f t="shared" si="10"/>
        <v>Holy_Desc_1060005</v>
      </c>
      <c r="J209" s="5" t="s">
        <v>36</v>
      </c>
      <c r="K209" s="5">
        <f>[1]圣物数值!$C207*10000</f>
        <v>900</v>
      </c>
      <c r="L209" s="5">
        <v>1060005</v>
      </c>
    </row>
    <row r="210" spans="1:12" x14ac:dyDescent="0.15">
      <c r="A210" s="5">
        <v>7307</v>
      </c>
      <c r="B210" s="5">
        <v>105</v>
      </c>
      <c r="C210" s="5" t="str">
        <f t="shared" si="9"/>
        <v>Holy_Name_1060005</v>
      </c>
      <c r="D210" s="5" t="s">
        <v>35</v>
      </c>
      <c r="E210" s="5">
        <v>1</v>
      </c>
      <c r="F210" s="5">
        <v>7</v>
      </c>
      <c r="G210" s="5">
        <v>9</v>
      </c>
      <c r="H210" s="5">
        <v>180</v>
      </c>
      <c r="I210" s="5" t="str">
        <f t="shared" si="10"/>
        <v>Holy_Desc_1060005</v>
      </c>
      <c r="J210" s="5" t="s">
        <v>36</v>
      </c>
      <c r="K210" s="5">
        <f>[1]圣物数值!$C208*10000</f>
        <v>1050</v>
      </c>
      <c r="L210" s="5">
        <v>1060005</v>
      </c>
    </row>
    <row r="211" spans="1:12" x14ac:dyDescent="0.15">
      <c r="A211" s="5">
        <v>7308</v>
      </c>
      <c r="B211" s="5">
        <v>105</v>
      </c>
      <c r="C211" s="5" t="str">
        <f t="shared" si="9"/>
        <v>Holy_Name_1060005</v>
      </c>
      <c r="D211" s="5" t="s">
        <v>35</v>
      </c>
      <c r="E211" s="5">
        <v>1</v>
      </c>
      <c r="F211" s="5">
        <v>8</v>
      </c>
      <c r="G211" s="5">
        <v>10</v>
      </c>
      <c r="H211" s="5">
        <v>210</v>
      </c>
      <c r="I211" s="5" t="str">
        <f t="shared" si="10"/>
        <v>Holy_Desc_1060005</v>
      </c>
      <c r="J211" s="5" t="s">
        <v>36</v>
      </c>
      <c r="K211" s="5">
        <f>[1]圣物数值!$C209*10000</f>
        <v>1200</v>
      </c>
      <c r="L211" s="5">
        <v>1060005</v>
      </c>
    </row>
    <row r="212" spans="1:12" x14ac:dyDescent="0.15">
      <c r="A212" s="5">
        <v>7309</v>
      </c>
      <c r="B212" s="5">
        <v>105</v>
      </c>
      <c r="C212" s="5" t="str">
        <f t="shared" si="9"/>
        <v>Holy_Name_1060005</v>
      </c>
      <c r="D212" s="5" t="s">
        <v>35</v>
      </c>
      <c r="E212" s="5">
        <v>1</v>
      </c>
      <c r="F212" s="5">
        <v>9</v>
      </c>
      <c r="G212" s="5">
        <v>12</v>
      </c>
      <c r="H212" s="5">
        <v>240</v>
      </c>
      <c r="I212" s="5" t="str">
        <f t="shared" si="10"/>
        <v>Holy_Desc_1060005</v>
      </c>
      <c r="J212" s="5" t="s">
        <v>36</v>
      </c>
      <c r="K212" s="5">
        <f>[1]圣物数值!$C210*10000</f>
        <v>1350</v>
      </c>
      <c r="L212" s="5">
        <v>1060005</v>
      </c>
    </row>
    <row r="213" spans="1:12" x14ac:dyDescent="0.15">
      <c r="A213" s="5">
        <v>7310</v>
      </c>
      <c r="B213" s="5">
        <v>105</v>
      </c>
      <c r="C213" s="5" t="str">
        <f t="shared" si="9"/>
        <v>Holy_Name_1060005</v>
      </c>
      <c r="D213" s="5" t="s">
        <v>35</v>
      </c>
      <c r="E213" s="5">
        <v>1</v>
      </c>
      <c r="F213" s="5">
        <v>10</v>
      </c>
      <c r="G213" s="5">
        <v>14</v>
      </c>
      <c r="H213" s="5">
        <v>270</v>
      </c>
      <c r="I213" s="5" t="str">
        <f t="shared" si="10"/>
        <v>Holy_Desc_1060005</v>
      </c>
      <c r="J213" s="5" t="s">
        <v>36</v>
      </c>
      <c r="K213" s="5">
        <f>[1]圣物数值!$C211*10000</f>
        <v>1500</v>
      </c>
      <c r="L213" s="5">
        <v>1060005</v>
      </c>
    </row>
    <row r="214" spans="1:12" x14ac:dyDescent="0.15">
      <c r="A214" s="5">
        <v>7311</v>
      </c>
      <c r="B214" s="5">
        <v>105</v>
      </c>
      <c r="C214" s="5" t="str">
        <f t="shared" ref="C214:C253" si="11">"Holy_Name_"&amp;L214</f>
        <v>Holy_Name_1060005</v>
      </c>
      <c r="D214" s="5" t="s">
        <v>35</v>
      </c>
      <c r="E214" s="5">
        <v>1</v>
      </c>
      <c r="F214" s="5">
        <v>11</v>
      </c>
      <c r="G214" s="5">
        <v>15</v>
      </c>
      <c r="H214" s="5">
        <v>300</v>
      </c>
      <c r="I214" s="5" t="str">
        <f t="shared" ref="I214:I253" si="12">"Holy_Desc_"&amp;L214</f>
        <v>Holy_Desc_1060005</v>
      </c>
      <c r="J214" s="5" t="s">
        <v>36</v>
      </c>
      <c r="K214" s="5">
        <f>[1]圣物数值!$C212*10000</f>
        <v>1650</v>
      </c>
      <c r="L214" s="5">
        <v>1060005</v>
      </c>
    </row>
    <row r="215" spans="1:12" x14ac:dyDescent="0.15">
      <c r="A215" s="5">
        <v>7312</v>
      </c>
      <c r="B215" s="5">
        <v>105</v>
      </c>
      <c r="C215" s="5" t="str">
        <f t="shared" si="11"/>
        <v>Holy_Name_1060005</v>
      </c>
      <c r="D215" s="5" t="s">
        <v>35</v>
      </c>
      <c r="E215" s="5">
        <v>1</v>
      </c>
      <c r="F215" s="5">
        <v>12</v>
      </c>
      <c r="G215" s="5">
        <v>17</v>
      </c>
      <c r="H215" s="5">
        <v>340</v>
      </c>
      <c r="I215" s="5" t="str">
        <f t="shared" si="12"/>
        <v>Holy_Desc_1060005</v>
      </c>
      <c r="J215" s="5" t="s">
        <v>36</v>
      </c>
      <c r="K215" s="5">
        <f>[1]圣物数值!$C213*10000</f>
        <v>1800</v>
      </c>
      <c r="L215" s="5">
        <v>1060005</v>
      </c>
    </row>
    <row r="216" spans="1:12" x14ac:dyDescent="0.15">
      <c r="A216" s="5">
        <v>7313</v>
      </c>
      <c r="B216" s="5">
        <v>105</v>
      </c>
      <c r="C216" s="5" t="str">
        <f t="shared" si="11"/>
        <v>Holy_Name_1060005</v>
      </c>
      <c r="D216" s="5" t="s">
        <v>35</v>
      </c>
      <c r="E216" s="5">
        <v>1</v>
      </c>
      <c r="F216" s="5">
        <v>13</v>
      </c>
      <c r="G216" s="5">
        <v>18</v>
      </c>
      <c r="H216" s="5">
        <v>370</v>
      </c>
      <c r="I216" s="5" t="str">
        <f t="shared" si="12"/>
        <v>Holy_Desc_1060005</v>
      </c>
      <c r="J216" s="5" t="s">
        <v>36</v>
      </c>
      <c r="K216" s="5">
        <f>[1]圣物数值!$C214*10000</f>
        <v>1950</v>
      </c>
      <c r="L216" s="5">
        <v>1060005</v>
      </c>
    </row>
    <row r="217" spans="1:12" x14ac:dyDescent="0.15">
      <c r="A217" s="5">
        <v>7314</v>
      </c>
      <c r="B217" s="5">
        <v>105</v>
      </c>
      <c r="C217" s="5" t="str">
        <f t="shared" si="11"/>
        <v>Holy_Name_1060005</v>
      </c>
      <c r="D217" s="5" t="s">
        <v>35</v>
      </c>
      <c r="E217" s="5">
        <v>1</v>
      </c>
      <c r="F217" s="5">
        <v>14</v>
      </c>
      <c r="G217" s="5">
        <v>20</v>
      </c>
      <c r="H217" s="5">
        <v>400</v>
      </c>
      <c r="I217" s="5" t="str">
        <f t="shared" si="12"/>
        <v>Holy_Desc_1060005</v>
      </c>
      <c r="J217" s="5" t="s">
        <v>36</v>
      </c>
      <c r="K217" s="5">
        <f>[1]圣物数值!$C215*10000</f>
        <v>2100</v>
      </c>
      <c r="L217" s="5">
        <v>1060005</v>
      </c>
    </row>
    <row r="218" spans="1:12" x14ac:dyDescent="0.15">
      <c r="A218" s="5">
        <v>7315</v>
      </c>
      <c r="B218" s="5">
        <v>105</v>
      </c>
      <c r="C218" s="5" t="str">
        <f t="shared" si="11"/>
        <v>Holy_Name_1060005</v>
      </c>
      <c r="D218" s="5" t="s">
        <v>35</v>
      </c>
      <c r="E218" s="5">
        <v>1</v>
      </c>
      <c r="F218" s="5">
        <v>15</v>
      </c>
      <c r="G218" s="5">
        <v>22</v>
      </c>
      <c r="H218" s="5">
        <v>430</v>
      </c>
      <c r="I218" s="5" t="str">
        <f t="shared" si="12"/>
        <v>Holy_Desc_1060005</v>
      </c>
      <c r="J218" s="5" t="s">
        <v>36</v>
      </c>
      <c r="K218" s="5">
        <f>[1]圣物数值!$C216*10000</f>
        <v>2250</v>
      </c>
      <c r="L218" s="5">
        <v>1060005</v>
      </c>
    </row>
    <row r="219" spans="1:12" x14ac:dyDescent="0.15">
      <c r="A219" s="5">
        <v>7316</v>
      </c>
      <c r="B219" s="5">
        <v>105</v>
      </c>
      <c r="C219" s="5" t="str">
        <f t="shared" si="11"/>
        <v>Holy_Name_1060005</v>
      </c>
      <c r="D219" s="5" t="s">
        <v>35</v>
      </c>
      <c r="E219" s="5">
        <v>1</v>
      </c>
      <c r="F219" s="5">
        <v>16</v>
      </c>
      <c r="G219" s="5">
        <v>23</v>
      </c>
      <c r="H219" s="5">
        <v>460</v>
      </c>
      <c r="I219" s="5" t="str">
        <f t="shared" si="12"/>
        <v>Holy_Desc_1060005</v>
      </c>
      <c r="J219" s="5" t="s">
        <v>36</v>
      </c>
      <c r="K219" s="5">
        <f>[1]圣物数值!$C217*10000</f>
        <v>2400</v>
      </c>
      <c r="L219" s="5">
        <v>1060005</v>
      </c>
    </row>
    <row r="220" spans="1:12" x14ac:dyDescent="0.15">
      <c r="A220" s="5">
        <v>7317</v>
      </c>
      <c r="B220" s="5">
        <v>105</v>
      </c>
      <c r="C220" s="5" t="str">
        <f t="shared" si="11"/>
        <v>Holy_Name_1060005</v>
      </c>
      <c r="D220" s="5" t="s">
        <v>35</v>
      </c>
      <c r="E220" s="5">
        <v>1</v>
      </c>
      <c r="F220" s="5">
        <v>17</v>
      </c>
      <c r="G220" s="5">
        <v>25</v>
      </c>
      <c r="H220" s="5">
        <v>500</v>
      </c>
      <c r="I220" s="5" t="str">
        <f t="shared" si="12"/>
        <v>Holy_Desc_1060005</v>
      </c>
      <c r="J220" s="5" t="s">
        <v>36</v>
      </c>
      <c r="K220" s="5">
        <f>[1]圣物数值!$C218*10000</f>
        <v>2550</v>
      </c>
      <c r="L220" s="5">
        <v>1060005</v>
      </c>
    </row>
    <row r="221" spans="1:12" x14ac:dyDescent="0.15">
      <c r="A221" s="5">
        <v>7318</v>
      </c>
      <c r="B221" s="5">
        <v>105</v>
      </c>
      <c r="C221" s="5" t="str">
        <f t="shared" si="11"/>
        <v>Holy_Name_1060005</v>
      </c>
      <c r="D221" s="5" t="s">
        <v>35</v>
      </c>
      <c r="E221" s="5">
        <v>1</v>
      </c>
      <c r="F221" s="5">
        <v>18</v>
      </c>
      <c r="G221" s="5">
        <v>26</v>
      </c>
      <c r="H221" s="5">
        <v>530</v>
      </c>
      <c r="I221" s="5" t="str">
        <f t="shared" si="12"/>
        <v>Holy_Desc_1060005</v>
      </c>
      <c r="J221" s="5" t="s">
        <v>36</v>
      </c>
      <c r="K221" s="5">
        <f>[1]圣物数值!$C219*10000</f>
        <v>2700</v>
      </c>
      <c r="L221" s="5">
        <v>1060005</v>
      </c>
    </row>
    <row r="222" spans="1:12" x14ac:dyDescent="0.15">
      <c r="A222" s="5">
        <v>7319</v>
      </c>
      <c r="B222" s="5">
        <v>105</v>
      </c>
      <c r="C222" s="5" t="str">
        <f t="shared" si="11"/>
        <v>Holy_Name_1060005</v>
      </c>
      <c r="D222" s="5" t="s">
        <v>35</v>
      </c>
      <c r="E222" s="5">
        <v>1</v>
      </c>
      <c r="F222" s="5">
        <v>19</v>
      </c>
      <c r="G222" s="5">
        <v>28</v>
      </c>
      <c r="H222" s="5">
        <v>560</v>
      </c>
      <c r="I222" s="5" t="str">
        <f t="shared" si="12"/>
        <v>Holy_Desc_1060005</v>
      </c>
      <c r="J222" s="5" t="s">
        <v>36</v>
      </c>
      <c r="K222" s="5">
        <f>[1]圣物数值!$C220*10000</f>
        <v>2850</v>
      </c>
      <c r="L222" s="5">
        <v>1060005</v>
      </c>
    </row>
    <row r="223" spans="1:12" x14ac:dyDescent="0.15">
      <c r="A223" s="5">
        <v>7320</v>
      </c>
      <c r="B223" s="5">
        <v>105</v>
      </c>
      <c r="C223" s="5" t="str">
        <f t="shared" si="11"/>
        <v>Holy_Name_1060005</v>
      </c>
      <c r="D223" s="5" t="s">
        <v>35</v>
      </c>
      <c r="E223" s="5">
        <v>1</v>
      </c>
      <c r="F223" s="5">
        <v>20</v>
      </c>
      <c r="G223" s="5">
        <v>30</v>
      </c>
      <c r="H223" s="5">
        <v>590</v>
      </c>
      <c r="I223" s="5" t="str">
        <f t="shared" si="12"/>
        <v>Holy_Desc_1060005</v>
      </c>
      <c r="J223" s="5" t="s">
        <v>36</v>
      </c>
      <c r="K223" s="5">
        <f>[1]圣物数值!$C221*10000</f>
        <v>3000</v>
      </c>
      <c r="L223" s="5">
        <v>1060005</v>
      </c>
    </row>
    <row r="224" spans="1:12" x14ac:dyDescent="0.15">
      <c r="A224" s="5">
        <v>7321</v>
      </c>
      <c r="B224" s="5">
        <v>105</v>
      </c>
      <c r="C224" s="5" t="str">
        <f t="shared" si="11"/>
        <v>Holy_Name_1060005</v>
      </c>
      <c r="D224" s="5" t="s">
        <v>35</v>
      </c>
      <c r="E224" s="5">
        <v>1</v>
      </c>
      <c r="F224" s="5">
        <v>21</v>
      </c>
      <c r="G224" s="5">
        <v>31</v>
      </c>
      <c r="H224" s="5">
        <v>620</v>
      </c>
      <c r="I224" s="5" t="str">
        <f t="shared" si="12"/>
        <v>Holy_Desc_1060005</v>
      </c>
      <c r="J224" s="5" t="s">
        <v>36</v>
      </c>
      <c r="K224" s="5">
        <f>[1]圣物数值!$C222*10000</f>
        <v>3150</v>
      </c>
      <c r="L224" s="5">
        <v>1060005</v>
      </c>
    </row>
    <row r="225" spans="1:12" x14ac:dyDescent="0.15">
      <c r="A225" s="5">
        <v>7322</v>
      </c>
      <c r="B225" s="5">
        <v>105</v>
      </c>
      <c r="C225" s="5" t="str">
        <f t="shared" si="11"/>
        <v>Holy_Name_1060005</v>
      </c>
      <c r="D225" s="5" t="s">
        <v>35</v>
      </c>
      <c r="E225" s="5">
        <v>1</v>
      </c>
      <c r="F225" s="5">
        <v>22</v>
      </c>
      <c r="G225" s="5">
        <v>33</v>
      </c>
      <c r="H225" s="5">
        <v>660</v>
      </c>
      <c r="I225" s="5" t="str">
        <f t="shared" si="12"/>
        <v>Holy_Desc_1060005</v>
      </c>
      <c r="J225" s="5" t="s">
        <v>36</v>
      </c>
      <c r="K225" s="5">
        <f>[1]圣物数值!$C223*10000</f>
        <v>3300</v>
      </c>
      <c r="L225" s="5">
        <v>1060005</v>
      </c>
    </row>
    <row r="226" spans="1:12" x14ac:dyDescent="0.15">
      <c r="A226" s="5">
        <v>7323</v>
      </c>
      <c r="B226" s="5">
        <v>105</v>
      </c>
      <c r="C226" s="5" t="str">
        <f t="shared" si="11"/>
        <v>Holy_Name_1060005</v>
      </c>
      <c r="D226" s="5" t="s">
        <v>35</v>
      </c>
      <c r="E226" s="5">
        <v>1</v>
      </c>
      <c r="F226" s="5">
        <v>23</v>
      </c>
      <c r="G226" s="5">
        <v>34</v>
      </c>
      <c r="H226" s="5">
        <v>690</v>
      </c>
      <c r="I226" s="5" t="str">
        <f t="shared" si="12"/>
        <v>Holy_Desc_1060005</v>
      </c>
      <c r="J226" s="5" t="s">
        <v>36</v>
      </c>
      <c r="K226" s="5">
        <f>[1]圣物数值!$C224*10000</f>
        <v>3450</v>
      </c>
      <c r="L226" s="5">
        <v>1060005</v>
      </c>
    </row>
    <row r="227" spans="1:12" x14ac:dyDescent="0.15">
      <c r="A227" s="5">
        <v>7324</v>
      </c>
      <c r="B227" s="5">
        <v>105</v>
      </c>
      <c r="C227" s="5" t="str">
        <f t="shared" si="11"/>
        <v>Holy_Name_1060005</v>
      </c>
      <c r="D227" s="5" t="s">
        <v>35</v>
      </c>
      <c r="E227" s="5">
        <v>1</v>
      </c>
      <c r="F227" s="5">
        <v>24</v>
      </c>
      <c r="G227" s="5">
        <v>36</v>
      </c>
      <c r="H227" s="5">
        <v>720</v>
      </c>
      <c r="I227" s="5" t="str">
        <f t="shared" si="12"/>
        <v>Holy_Desc_1060005</v>
      </c>
      <c r="J227" s="5" t="s">
        <v>36</v>
      </c>
      <c r="K227" s="5">
        <f>[1]圣物数值!$C225*10000</f>
        <v>3600</v>
      </c>
      <c r="L227" s="5">
        <v>1060005</v>
      </c>
    </row>
    <row r="228" spans="1:12" x14ac:dyDescent="0.15">
      <c r="A228" s="5">
        <v>7325</v>
      </c>
      <c r="B228" s="5">
        <v>105</v>
      </c>
      <c r="C228" s="5" t="str">
        <f t="shared" si="11"/>
        <v>Holy_Name_1060005</v>
      </c>
      <c r="D228" s="5" t="s">
        <v>35</v>
      </c>
      <c r="E228" s="5">
        <v>1</v>
      </c>
      <c r="F228" s="5">
        <v>25</v>
      </c>
      <c r="G228" s="5">
        <v>38</v>
      </c>
      <c r="H228" s="5">
        <v>750</v>
      </c>
      <c r="I228" s="5" t="str">
        <f t="shared" si="12"/>
        <v>Holy_Desc_1060005</v>
      </c>
      <c r="J228" s="5" t="s">
        <v>36</v>
      </c>
      <c r="K228" s="5">
        <f>[1]圣物数值!$C226*10000</f>
        <v>3750</v>
      </c>
      <c r="L228" s="5">
        <v>1060005</v>
      </c>
    </row>
    <row r="229" spans="1:12" x14ac:dyDescent="0.15">
      <c r="A229" s="5">
        <v>7326</v>
      </c>
      <c r="B229" s="5">
        <v>105</v>
      </c>
      <c r="C229" s="5" t="str">
        <f t="shared" si="11"/>
        <v>Holy_Name_1060005</v>
      </c>
      <c r="D229" s="5" t="s">
        <v>35</v>
      </c>
      <c r="E229" s="5">
        <v>1</v>
      </c>
      <c r="F229" s="5">
        <v>26</v>
      </c>
      <c r="G229" s="5">
        <v>39</v>
      </c>
      <c r="H229" s="5">
        <v>780</v>
      </c>
      <c r="I229" s="5" t="str">
        <f t="shared" si="12"/>
        <v>Holy_Desc_1060005</v>
      </c>
      <c r="J229" s="5" t="s">
        <v>36</v>
      </c>
      <c r="K229" s="5">
        <f>[1]圣物数值!$C227*10000</f>
        <v>3900</v>
      </c>
      <c r="L229" s="5">
        <v>1060005</v>
      </c>
    </row>
    <row r="230" spans="1:12" x14ac:dyDescent="0.15">
      <c r="A230" s="5">
        <v>7327</v>
      </c>
      <c r="B230" s="5">
        <v>105</v>
      </c>
      <c r="C230" s="5" t="str">
        <f t="shared" si="11"/>
        <v>Holy_Name_1060005</v>
      </c>
      <c r="D230" s="5" t="s">
        <v>35</v>
      </c>
      <c r="E230" s="5">
        <v>1</v>
      </c>
      <c r="F230" s="5">
        <v>27</v>
      </c>
      <c r="G230" s="5">
        <v>41</v>
      </c>
      <c r="H230" s="5">
        <v>820</v>
      </c>
      <c r="I230" s="5" t="str">
        <f t="shared" si="12"/>
        <v>Holy_Desc_1060005</v>
      </c>
      <c r="J230" s="5" t="s">
        <v>36</v>
      </c>
      <c r="K230" s="5">
        <f>[1]圣物数值!$C228*10000</f>
        <v>4050</v>
      </c>
      <c r="L230" s="5">
        <v>1060005</v>
      </c>
    </row>
    <row r="231" spans="1:12" x14ac:dyDescent="0.15">
      <c r="A231" s="5">
        <v>7328</v>
      </c>
      <c r="B231" s="5">
        <v>105</v>
      </c>
      <c r="C231" s="5" t="str">
        <f t="shared" si="11"/>
        <v>Holy_Name_1060005</v>
      </c>
      <c r="D231" s="5" t="s">
        <v>35</v>
      </c>
      <c r="E231" s="5">
        <v>1</v>
      </c>
      <c r="F231" s="5">
        <v>28</v>
      </c>
      <c r="G231" s="5">
        <v>42</v>
      </c>
      <c r="H231" s="5">
        <v>850</v>
      </c>
      <c r="I231" s="5" t="str">
        <f t="shared" si="12"/>
        <v>Holy_Desc_1060005</v>
      </c>
      <c r="J231" s="5" t="s">
        <v>36</v>
      </c>
      <c r="K231" s="5">
        <f>[1]圣物数值!$C229*10000</f>
        <v>4200</v>
      </c>
      <c r="L231" s="5">
        <v>1060005</v>
      </c>
    </row>
    <row r="232" spans="1:12" x14ac:dyDescent="0.15">
      <c r="A232" s="5">
        <v>7329</v>
      </c>
      <c r="B232" s="5">
        <v>105</v>
      </c>
      <c r="C232" s="5" t="str">
        <f t="shared" si="11"/>
        <v>Holy_Name_1060005</v>
      </c>
      <c r="D232" s="5" t="s">
        <v>35</v>
      </c>
      <c r="E232" s="5">
        <v>1</v>
      </c>
      <c r="F232" s="5">
        <v>29</v>
      </c>
      <c r="G232" s="5">
        <v>44</v>
      </c>
      <c r="H232" s="5">
        <v>880</v>
      </c>
      <c r="I232" s="5" t="str">
        <f t="shared" si="12"/>
        <v>Holy_Desc_1060005</v>
      </c>
      <c r="J232" s="5" t="s">
        <v>36</v>
      </c>
      <c r="K232" s="5">
        <f>[1]圣物数值!$C230*10000</f>
        <v>4350</v>
      </c>
      <c r="L232" s="5">
        <v>1060005</v>
      </c>
    </row>
    <row r="233" spans="1:12" x14ac:dyDescent="0.15">
      <c r="A233" s="5">
        <v>7330</v>
      </c>
      <c r="B233" s="5">
        <v>105</v>
      </c>
      <c r="C233" s="5" t="str">
        <f t="shared" si="11"/>
        <v>Holy_Name_1060005</v>
      </c>
      <c r="D233" s="5" t="s">
        <v>35</v>
      </c>
      <c r="E233" s="5">
        <v>1</v>
      </c>
      <c r="F233" s="5">
        <v>30</v>
      </c>
      <c r="G233" s="5">
        <v>46</v>
      </c>
      <c r="H233" s="5">
        <v>910</v>
      </c>
      <c r="I233" s="5" t="str">
        <f t="shared" si="12"/>
        <v>Holy_Desc_1060005</v>
      </c>
      <c r="J233" s="5" t="s">
        <v>36</v>
      </c>
      <c r="K233" s="5">
        <f>[1]圣物数值!$C231*10000</f>
        <v>4500</v>
      </c>
      <c r="L233" s="5">
        <v>1060005</v>
      </c>
    </row>
    <row r="234" spans="1:12" x14ac:dyDescent="0.15">
      <c r="A234" s="5">
        <v>7331</v>
      </c>
      <c r="B234" s="5">
        <v>105</v>
      </c>
      <c r="C234" s="5" t="str">
        <f t="shared" si="11"/>
        <v>Holy_Name_1060005</v>
      </c>
      <c r="D234" s="5" t="s">
        <v>35</v>
      </c>
      <c r="E234" s="5">
        <v>1</v>
      </c>
      <c r="F234" s="5">
        <v>31</v>
      </c>
      <c r="G234" s="5">
        <v>47</v>
      </c>
      <c r="H234" s="5">
        <v>940</v>
      </c>
      <c r="I234" s="5" t="str">
        <f t="shared" si="12"/>
        <v>Holy_Desc_1060005</v>
      </c>
      <c r="J234" s="5" t="s">
        <v>36</v>
      </c>
      <c r="K234" s="5">
        <f>[1]圣物数值!$C232*10000</f>
        <v>4650</v>
      </c>
      <c r="L234" s="5">
        <v>1060005</v>
      </c>
    </row>
    <row r="235" spans="1:12" x14ac:dyDescent="0.15">
      <c r="A235" s="5">
        <v>7332</v>
      </c>
      <c r="B235" s="5">
        <v>105</v>
      </c>
      <c r="C235" s="5" t="str">
        <f t="shared" si="11"/>
        <v>Holy_Name_1060005</v>
      </c>
      <c r="D235" s="5" t="s">
        <v>35</v>
      </c>
      <c r="E235" s="5">
        <v>1</v>
      </c>
      <c r="F235" s="5">
        <v>32</v>
      </c>
      <c r="G235" s="5">
        <v>49</v>
      </c>
      <c r="H235" s="5">
        <v>980</v>
      </c>
      <c r="I235" s="5" t="str">
        <f t="shared" si="12"/>
        <v>Holy_Desc_1060005</v>
      </c>
      <c r="J235" s="5" t="s">
        <v>36</v>
      </c>
      <c r="K235" s="5">
        <f>[1]圣物数值!$C233*10000</f>
        <v>4800</v>
      </c>
      <c r="L235" s="5">
        <v>1060005</v>
      </c>
    </row>
    <row r="236" spans="1:12" x14ac:dyDescent="0.15">
      <c r="A236" s="5">
        <v>7333</v>
      </c>
      <c r="B236" s="5">
        <v>105</v>
      </c>
      <c r="C236" s="5" t="str">
        <f t="shared" si="11"/>
        <v>Holy_Name_1060005</v>
      </c>
      <c r="D236" s="5" t="s">
        <v>35</v>
      </c>
      <c r="E236" s="5">
        <v>1</v>
      </c>
      <c r="F236" s="5">
        <v>33</v>
      </c>
      <c r="G236" s="5">
        <v>50</v>
      </c>
      <c r="H236" s="5">
        <v>1010</v>
      </c>
      <c r="I236" s="5" t="str">
        <f t="shared" si="12"/>
        <v>Holy_Desc_1060005</v>
      </c>
      <c r="J236" s="5" t="s">
        <v>36</v>
      </c>
      <c r="K236" s="5">
        <f>[1]圣物数值!$C234*10000</f>
        <v>4950</v>
      </c>
      <c r="L236" s="5">
        <v>1060005</v>
      </c>
    </row>
    <row r="237" spans="1:12" x14ac:dyDescent="0.15">
      <c r="A237" s="5">
        <v>7334</v>
      </c>
      <c r="B237" s="5">
        <v>105</v>
      </c>
      <c r="C237" s="5" t="str">
        <f t="shared" si="11"/>
        <v>Holy_Name_1060005</v>
      </c>
      <c r="D237" s="5" t="s">
        <v>35</v>
      </c>
      <c r="E237" s="5">
        <v>1</v>
      </c>
      <c r="F237" s="5">
        <v>34</v>
      </c>
      <c r="G237" s="5">
        <v>52</v>
      </c>
      <c r="H237" s="5">
        <v>1040</v>
      </c>
      <c r="I237" s="5" t="str">
        <f t="shared" si="12"/>
        <v>Holy_Desc_1060005</v>
      </c>
      <c r="J237" s="5" t="s">
        <v>36</v>
      </c>
      <c r="K237" s="5">
        <f>[1]圣物数值!$C235*10000</f>
        <v>5100</v>
      </c>
      <c r="L237" s="5">
        <v>1060005</v>
      </c>
    </row>
    <row r="238" spans="1:12" x14ac:dyDescent="0.15">
      <c r="A238" s="5">
        <v>7335</v>
      </c>
      <c r="B238" s="5">
        <v>105</v>
      </c>
      <c r="C238" s="5" t="str">
        <f t="shared" si="11"/>
        <v>Holy_Name_1060005</v>
      </c>
      <c r="D238" s="5" t="s">
        <v>35</v>
      </c>
      <c r="E238" s="5">
        <v>1</v>
      </c>
      <c r="F238" s="5">
        <v>35</v>
      </c>
      <c r="G238" s="5">
        <v>54</v>
      </c>
      <c r="H238" s="5">
        <v>1070</v>
      </c>
      <c r="I238" s="5" t="str">
        <f t="shared" si="12"/>
        <v>Holy_Desc_1060005</v>
      </c>
      <c r="J238" s="5" t="s">
        <v>36</v>
      </c>
      <c r="K238" s="5">
        <f>[1]圣物数值!$C236*10000</f>
        <v>5250</v>
      </c>
      <c r="L238" s="5">
        <v>1060005</v>
      </c>
    </row>
    <row r="239" spans="1:12" x14ac:dyDescent="0.15">
      <c r="A239" s="5">
        <v>7336</v>
      </c>
      <c r="B239" s="5">
        <v>105</v>
      </c>
      <c r="C239" s="5" t="str">
        <f t="shared" si="11"/>
        <v>Holy_Name_1060005</v>
      </c>
      <c r="D239" s="5" t="s">
        <v>35</v>
      </c>
      <c r="E239" s="5">
        <v>1</v>
      </c>
      <c r="F239" s="5">
        <v>36</v>
      </c>
      <c r="G239" s="5">
        <v>55</v>
      </c>
      <c r="H239" s="5">
        <v>1100</v>
      </c>
      <c r="I239" s="5" t="str">
        <f t="shared" si="12"/>
        <v>Holy_Desc_1060005</v>
      </c>
      <c r="J239" s="5" t="s">
        <v>36</v>
      </c>
      <c r="K239" s="5">
        <f>[1]圣物数值!$C237*10000</f>
        <v>5400</v>
      </c>
      <c r="L239" s="5">
        <v>1060005</v>
      </c>
    </row>
    <row r="240" spans="1:12" x14ac:dyDescent="0.15">
      <c r="A240" s="5">
        <v>7337</v>
      </c>
      <c r="B240" s="5">
        <v>105</v>
      </c>
      <c r="C240" s="5" t="str">
        <f t="shared" si="11"/>
        <v>Holy_Name_1060005</v>
      </c>
      <c r="D240" s="5" t="s">
        <v>35</v>
      </c>
      <c r="E240" s="5">
        <v>1</v>
      </c>
      <c r="F240" s="5">
        <v>37</v>
      </c>
      <c r="G240" s="5">
        <v>57</v>
      </c>
      <c r="H240" s="5">
        <v>1140</v>
      </c>
      <c r="I240" s="5" t="str">
        <f t="shared" si="12"/>
        <v>Holy_Desc_1060005</v>
      </c>
      <c r="J240" s="5" t="s">
        <v>36</v>
      </c>
      <c r="K240" s="5">
        <f>[1]圣物数值!$C238*10000</f>
        <v>5550</v>
      </c>
      <c r="L240" s="5">
        <v>1060005</v>
      </c>
    </row>
    <row r="241" spans="1:12" x14ac:dyDescent="0.15">
      <c r="A241" s="5">
        <v>7338</v>
      </c>
      <c r="B241" s="5">
        <v>105</v>
      </c>
      <c r="C241" s="5" t="str">
        <f t="shared" si="11"/>
        <v>Holy_Name_1060005</v>
      </c>
      <c r="D241" s="5" t="s">
        <v>35</v>
      </c>
      <c r="E241" s="5">
        <v>1</v>
      </c>
      <c r="F241" s="5">
        <v>38</v>
      </c>
      <c r="G241" s="5">
        <v>58</v>
      </c>
      <c r="H241" s="5">
        <v>1170</v>
      </c>
      <c r="I241" s="5" t="str">
        <f t="shared" si="12"/>
        <v>Holy_Desc_1060005</v>
      </c>
      <c r="J241" s="5" t="s">
        <v>36</v>
      </c>
      <c r="K241" s="5">
        <f>[1]圣物数值!$C239*10000</f>
        <v>5700</v>
      </c>
      <c r="L241" s="5">
        <v>1060005</v>
      </c>
    </row>
    <row r="242" spans="1:12" x14ac:dyDescent="0.15">
      <c r="A242" s="5">
        <v>7339</v>
      </c>
      <c r="B242" s="5">
        <v>105</v>
      </c>
      <c r="C242" s="5" t="str">
        <f t="shared" si="11"/>
        <v>Holy_Name_1060005</v>
      </c>
      <c r="D242" s="5" t="s">
        <v>35</v>
      </c>
      <c r="E242" s="5">
        <v>1</v>
      </c>
      <c r="F242" s="5">
        <v>39</v>
      </c>
      <c r="G242" s="5">
        <v>60</v>
      </c>
      <c r="H242" s="5">
        <v>1200</v>
      </c>
      <c r="I242" s="5" t="str">
        <f t="shared" si="12"/>
        <v>Holy_Desc_1060005</v>
      </c>
      <c r="J242" s="5" t="s">
        <v>36</v>
      </c>
      <c r="K242" s="5">
        <f>[1]圣物数值!$C240*10000</f>
        <v>5850</v>
      </c>
      <c r="L242" s="5">
        <v>1060005</v>
      </c>
    </row>
    <row r="243" spans="1:12" x14ac:dyDescent="0.15">
      <c r="A243" s="5">
        <v>7340</v>
      </c>
      <c r="B243" s="5">
        <v>105</v>
      </c>
      <c r="C243" s="5" t="str">
        <f t="shared" si="11"/>
        <v>Holy_Name_1060005</v>
      </c>
      <c r="D243" s="5" t="s">
        <v>35</v>
      </c>
      <c r="E243" s="5">
        <v>1</v>
      </c>
      <c r="F243" s="5">
        <v>40</v>
      </c>
      <c r="G243" s="5">
        <v>62</v>
      </c>
      <c r="H243" s="5">
        <v>1230</v>
      </c>
      <c r="I243" s="5" t="str">
        <f t="shared" si="12"/>
        <v>Holy_Desc_1060005</v>
      </c>
      <c r="J243" s="5" t="s">
        <v>36</v>
      </c>
      <c r="K243" s="5">
        <f>[1]圣物数值!$C241*10000</f>
        <v>6000</v>
      </c>
      <c r="L243" s="5">
        <v>1060005</v>
      </c>
    </row>
    <row r="244" spans="1:12" x14ac:dyDescent="0.15">
      <c r="A244" s="5">
        <v>7341</v>
      </c>
      <c r="B244" s="5">
        <v>105</v>
      </c>
      <c r="C244" s="5" t="str">
        <f t="shared" si="11"/>
        <v>Holy_Name_1060005</v>
      </c>
      <c r="D244" s="5" t="s">
        <v>35</v>
      </c>
      <c r="E244" s="5">
        <v>1</v>
      </c>
      <c r="F244" s="5">
        <v>41</v>
      </c>
      <c r="G244" s="5">
        <v>63</v>
      </c>
      <c r="H244" s="5">
        <v>1260</v>
      </c>
      <c r="I244" s="5" t="str">
        <f t="shared" si="12"/>
        <v>Holy_Desc_1060005</v>
      </c>
      <c r="J244" s="5" t="s">
        <v>36</v>
      </c>
      <c r="K244" s="5">
        <f>[1]圣物数值!$C242*10000</f>
        <v>6150</v>
      </c>
      <c r="L244" s="5">
        <v>1060005</v>
      </c>
    </row>
    <row r="245" spans="1:12" x14ac:dyDescent="0.15">
      <c r="A245" s="5">
        <v>7342</v>
      </c>
      <c r="B245" s="5">
        <v>105</v>
      </c>
      <c r="C245" s="5" t="str">
        <f t="shared" si="11"/>
        <v>Holy_Name_1060005</v>
      </c>
      <c r="D245" s="5" t="s">
        <v>35</v>
      </c>
      <c r="E245" s="5">
        <v>1</v>
      </c>
      <c r="F245" s="5">
        <v>42</v>
      </c>
      <c r="G245" s="5">
        <v>65</v>
      </c>
      <c r="H245" s="5">
        <v>1300</v>
      </c>
      <c r="I245" s="5" t="str">
        <f t="shared" si="12"/>
        <v>Holy_Desc_1060005</v>
      </c>
      <c r="J245" s="5" t="s">
        <v>36</v>
      </c>
      <c r="K245" s="5">
        <f>[1]圣物数值!$C243*10000</f>
        <v>6300</v>
      </c>
      <c r="L245" s="5">
        <v>1060005</v>
      </c>
    </row>
    <row r="246" spans="1:12" x14ac:dyDescent="0.15">
      <c r="A246" s="5">
        <v>7343</v>
      </c>
      <c r="B246" s="5">
        <v>105</v>
      </c>
      <c r="C246" s="5" t="str">
        <f t="shared" si="11"/>
        <v>Holy_Name_1060005</v>
      </c>
      <c r="D246" s="5" t="s">
        <v>35</v>
      </c>
      <c r="E246" s="5">
        <v>1</v>
      </c>
      <c r="F246" s="5">
        <v>43</v>
      </c>
      <c r="G246" s="5">
        <v>66</v>
      </c>
      <c r="H246" s="5">
        <v>1330</v>
      </c>
      <c r="I246" s="5" t="str">
        <f t="shared" si="12"/>
        <v>Holy_Desc_1060005</v>
      </c>
      <c r="J246" s="5" t="s">
        <v>36</v>
      </c>
      <c r="K246" s="5">
        <f>[1]圣物数值!$C244*10000</f>
        <v>6450</v>
      </c>
      <c r="L246" s="5">
        <v>1060005</v>
      </c>
    </row>
    <row r="247" spans="1:12" x14ac:dyDescent="0.15">
      <c r="A247" s="5">
        <v>7344</v>
      </c>
      <c r="B247" s="5">
        <v>105</v>
      </c>
      <c r="C247" s="5" t="str">
        <f t="shared" si="11"/>
        <v>Holy_Name_1060005</v>
      </c>
      <c r="D247" s="5" t="s">
        <v>35</v>
      </c>
      <c r="E247" s="5">
        <v>1</v>
      </c>
      <c r="F247" s="5">
        <v>44</v>
      </c>
      <c r="G247" s="5">
        <v>68</v>
      </c>
      <c r="H247" s="5">
        <v>1360</v>
      </c>
      <c r="I247" s="5" t="str">
        <f t="shared" si="12"/>
        <v>Holy_Desc_1060005</v>
      </c>
      <c r="J247" s="5" t="s">
        <v>36</v>
      </c>
      <c r="K247" s="5">
        <f>[1]圣物数值!$C245*10000</f>
        <v>6600</v>
      </c>
      <c r="L247" s="5">
        <v>1060005</v>
      </c>
    </row>
    <row r="248" spans="1:12" x14ac:dyDescent="0.15">
      <c r="A248" s="5">
        <v>7345</v>
      </c>
      <c r="B248" s="5">
        <v>105</v>
      </c>
      <c r="C248" s="5" t="str">
        <f t="shared" si="11"/>
        <v>Holy_Name_1060005</v>
      </c>
      <c r="D248" s="5" t="s">
        <v>35</v>
      </c>
      <c r="E248" s="5">
        <v>1</v>
      </c>
      <c r="F248" s="5">
        <v>45</v>
      </c>
      <c r="G248" s="5">
        <v>70</v>
      </c>
      <c r="H248" s="5">
        <v>1390</v>
      </c>
      <c r="I248" s="5" t="str">
        <f t="shared" si="12"/>
        <v>Holy_Desc_1060005</v>
      </c>
      <c r="J248" s="5" t="s">
        <v>36</v>
      </c>
      <c r="K248" s="5">
        <f>[1]圣物数值!$C246*10000</f>
        <v>6750</v>
      </c>
      <c r="L248" s="5">
        <v>1060005</v>
      </c>
    </row>
    <row r="249" spans="1:12" x14ac:dyDescent="0.15">
      <c r="A249" s="5">
        <v>7346</v>
      </c>
      <c r="B249" s="5">
        <v>105</v>
      </c>
      <c r="C249" s="5" t="str">
        <f t="shared" si="11"/>
        <v>Holy_Name_1060005</v>
      </c>
      <c r="D249" s="5" t="s">
        <v>35</v>
      </c>
      <c r="E249" s="5">
        <v>1</v>
      </c>
      <c r="F249" s="5">
        <v>46</v>
      </c>
      <c r="G249" s="5">
        <v>71</v>
      </c>
      <c r="H249" s="5">
        <v>1420</v>
      </c>
      <c r="I249" s="5" t="str">
        <f t="shared" si="12"/>
        <v>Holy_Desc_1060005</v>
      </c>
      <c r="J249" s="5" t="s">
        <v>36</v>
      </c>
      <c r="K249" s="5">
        <f>[1]圣物数值!$C247*10000</f>
        <v>6900</v>
      </c>
      <c r="L249" s="5">
        <v>1060005</v>
      </c>
    </row>
    <row r="250" spans="1:12" x14ac:dyDescent="0.15">
      <c r="A250" s="5">
        <v>7347</v>
      </c>
      <c r="B250" s="5">
        <v>105</v>
      </c>
      <c r="C250" s="5" t="str">
        <f t="shared" si="11"/>
        <v>Holy_Name_1060005</v>
      </c>
      <c r="D250" s="5" t="s">
        <v>35</v>
      </c>
      <c r="E250" s="5">
        <v>1</v>
      </c>
      <c r="F250" s="5">
        <v>47</v>
      </c>
      <c r="G250" s="5">
        <v>73</v>
      </c>
      <c r="H250" s="5">
        <v>1460</v>
      </c>
      <c r="I250" s="5" t="str">
        <f t="shared" si="12"/>
        <v>Holy_Desc_1060005</v>
      </c>
      <c r="J250" s="5" t="s">
        <v>36</v>
      </c>
      <c r="K250" s="5">
        <f>[1]圣物数值!$C248*10000</f>
        <v>7050</v>
      </c>
      <c r="L250" s="5">
        <v>1060005</v>
      </c>
    </row>
    <row r="251" spans="1:12" x14ac:dyDescent="0.15">
      <c r="A251" s="5">
        <v>7348</v>
      </c>
      <c r="B251" s="5">
        <v>105</v>
      </c>
      <c r="C251" s="5" t="str">
        <f t="shared" si="11"/>
        <v>Holy_Name_1060005</v>
      </c>
      <c r="D251" s="5" t="s">
        <v>35</v>
      </c>
      <c r="E251" s="5">
        <v>1</v>
      </c>
      <c r="F251" s="5">
        <v>48</v>
      </c>
      <c r="G251" s="5">
        <v>74</v>
      </c>
      <c r="H251" s="5">
        <v>1490</v>
      </c>
      <c r="I251" s="5" t="str">
        <f t="shared" si="12"/>
        <v>Holy_Desc_1060005</v>
      </c>
      <c r="J251" s="5" t="s">
        <v>36</v>
      </c>
      <c r="K251" s="5">
        <f>[1]圣物数值!$C249*10000</f>
        <v>7200</v>
      </c>
      <c r="L251" s="5">
        <v>1060005</v>
      </c>
    </row>
    <row r="252" spans="1:12" x14ac:dyDescent="0.15">
      <c r="A252" s="5">
        <v>7349</v>
      </c>
      <c r="B252" s="5">
        <v>105</v>
      </c>
      <c r="C252" s="5" t="str">
        <f t="shared" si="11"/>
        <v>Holy_Name_1060005</v>
      </c>
      <c r="D252" s="5" t="s">
        <v>35</v>
      </c>
      <c r="E252" s="5">
        <v>1</v>
      </c>
      <c r="F252" s="5">
        <v>49</v>
      </c>
      <c r="G252" s="5">
        <v>76</v>
      </c>
      <c r="H252" s="5">
        <v>1520</v>
      </c>
      <c r="I252" s="5" t="str">
        <f t="shared" si="12"/>
        <v>Holy_Desc_1060005</v>
      </c>
      <c r="J252" s="5" t="s">
        <v>36</v>
      </c>
      <c r="K252" s="5">
        <f>[1]圣物数值!$C250*10000</f>
        <v>7350</v>
      </c>
      <c r="L252" s="5">
        <v>1060005</v>
      </c>
    </row>
    <row r="253" spans="1:12" x14ac:dyDescent="0.15">
      <c r="A253" s="5">
        <v>7350</v>
      </c>
      <c r="B253" s="5">
        <v>105</v>
      </c>
      <c r="C253" s="5" t="str">
        <f t="shared" si="11"/>
        <v>Holy_Name_1060005</v>
      </c>
      <c r="D253" s="5" t="s">
        <v>35</v>
      </c>
      <c r="E253" s="5">
        <v>1</v>
      </c>
      <c r="F253" s="5">
        <v>50</v>
      </c>
      <c r="G253" s="5">
        <v>78</v>
      </c>
      <c r="H253" s="5">
        <v>1550</v>
      </c>
      <c r="I253" s="5" t="str">
        <f t="shared" si="12"/>
        <v>Holy_Desc_1060005</v>
      </c>
      <c r="J253" s="5" t="s">
        <v>36</v>
      </c>
      <c r="K253" s="5">
        <f>[1]圣物数值!$C251*10000</f>
        <v>7500</v>
      </c>
      <c r="L253" s="5">
        <v>1060005</v>
      </c>
    </row>
    <row r="254" spans="1:12" x14ac:dyDescent="0.15">
      <c r="A254" s="5">
        <v>7351</v>
      </c>
      <c r="B254" s="5">
        <v>106</v>
      </c>
      <c r="C254" s="5" t="str">
        <f t="shared" ref="C254:C263" si="13">"Holy_Name_"&amp;L254</f>
        <v>Holy_Name_1060006</v>
      </c>
      <c r="D254" s="5" t="s">
        <v>37</v>
      </c>
      <c r="E254" s="5">
        <v>1</v>
      </c>
      <c r="F254" s="5">
        <v>1</v>
      </c>
      <c r="G254" s="5">
        <v>0</v>
      </c>
      <c r="H254" s="5">
        <v>0</v>
      </c>
      <c r="I254" s="5" t="str">
        <f t="shared" ref="I254:I263" si="14">"Holy_Desc_"&amp;L254</f>
        <v>Holy_Desc_1060006</v>
      </c>
      <c r="J254" s="4" t="s">
        <v>38</v>
      </c>
      <c r="K254" s="5">
        <f>[1]圣物数值!$C252*10000</f>
        <v>180</v>
      </c>
      <c r="L254" s="5">
        <v>1060006</v>
      </c>
    </row>
    <row r="255" spans="1:12" x14ac:dyDescent="0.15">
      <c r="A255" s="5">
        <v>7352</v>
      </c>
      <c r="B255" s="5">
        <v>106</v>
      </c>
      <c r="C255" s="5" t="str">
        <f t="shared" si="13"/>
        <v>Holy_Name_1060006</v>
      </c>
      <c r="D255" s="5" t="s">
        <v>37</v>
      </c>
      <c r="E255" s="5">
        <v>1</v>
      </c>
      <c r="F255" s="5">
        <v>2</v>
      </c>
      <c r="G255" s="5">
        <v>1</v>
      </c>
      <c r="H255" s="5">
        <v>30</v>
      </c>
      <c r="I255" s="5" t="str">
        <f t="shared" si="14"/>
        <v>Holy_Desc_1060006</v>
      </c>
      <c r="J255" s="4" t="s">
        <v>38</v>
      </c>
      <c r="K255" s="5">
        <f>[1]圣物数值!$C253*10000</f>
        <v>300</v>
      </c>
      <c r="L255" s="5">
        <v>1060006</v>
      </c>
    </row>
    <row r="256" spans="1:12" x14ac:dyDescent="0.15">
      <c r="A256" s="5">
        <v>7353</v>
      </c>
      <c r="B256" s="5">
        <v>106</v>
      </c>
      <c r="C256" s="5" t="str">
        <f t="shared" si="13"/>
        <v>Holy_Name_1060006</v>
      </c>
      <c r="D256" s="5" t="s">
        <v>37</v>
      </c>
      <c r="E256" s="5">
        <v>1</v>
      </c>
      <c r="F256" s="5">
        <v>3</v>
      </c>
      <c r="G256" s="5">
        <v>2</v>
      </c>
      <c r="H256" s="5">
        <v>50</v>
      </c>
      <c r="I256" s="5" t="str">
        <f t="shared" si="14"/>
        <v>Holy_Desc_1060006</v>
      </c>
      <c r="J256" s="4" t="s">
        <v>38</v>
      </c>
      <c r="K256" s="5">
        <f>[1]圣物数值!$C254*10000</f>
        <v>450</v>
      </c>
      <c r="L256" s="5">
        <v>1060006</v>
      </c>
    </row>
    <row r="257" spans="1:12" x14ac:dyDescent="0.15">
      <c r="A257" s="5">
        <v>7354</v>
      </c>
      <c r="B257" s="5">
        <v>106</v>
      </c>
      <c r="C257" s="5" t="str">
        <f t="shared" si="13"/>
        <v>Holy_Name_1060006</v>
      </c>
      <c r="D257" s="5" t="s">
        <v>37</v>
      </c>
      <c r="E257" s="5">
        <v>1</v>
      </c>
      <c r="F257" s="5">
        <v>4</v>
      </c>
      <c r="G257" s="5">
        <v>4</v>
      </c>
      <c r="H257" s="5">
        <v>80</v>
      </c>
      <c r="I257" s="5" t="str">
        <f t="shared" si="14"/>
        <v>Holy_Desc_1060006</v>
      </c>
      <c r="J257" s="4" t="s">
        <v>38</v>
      </c>
      <c r="K257" s="5">
        <f>[1]圣物数值!$C255*10000</f>
        <v>600</v>
      </c>
      <c r="L257" s="5">
        <v>1060006</v>
      </c>
    </row>
    <row r="258" spans="1:12" x14ac:dyDescent="0.15">
      <c r="A258" s="5">
        <v>7355</v>
      </c>
      <c r="B258" s="5">
        <v>106</v>
      </c>
      <c r="C258" s="5" t="str">
        <f t="shared" si="13"/>
        <v>Holy_Name_1060006</v>
      </c>
      <c r="D258" s="5" t="s">
        <v>37</v>
      </c>
      <c r="E258" s="5">
        <v>1</v>
      </c>
      <c r="F258" s="5">
        <v>5</v>
      </c>
      <c r="G258" s="5">
        <v>6</v>
      </c>
      <c r="H258" s="5">
        <v>110</v>
      </c>
      <c r="I258" s="5" t="str">
        <f t="shared" si="14"/>
        <v>Holy_Desc_1060006</v>
      </c>
      <c r="J258" s="4" t="s">
        <v>38</v>
      </c>
      <c r="K258" s="5">
        <f>[1]圣物数值!$C256*10000</f>
        <v>750</v>
      </c>
      <c r="L258" s="5">
        <v>1060006</v>
      </c>
    </row>
    <row r="259" spans="1:12" x14ac:dyDescent="0.15">
      <c r="A259" s="5">
        <v>7356</v>
      </c>
      <c r="B259" s="5">
        <v>106</v>
      </c>
      <c r="C259" s="5" t="str">
        <f t="shared" si="13"/>
        <v>Holy_Name_1060006</v>
      </c>
      <c r="D259" s="5" t="s">
        <v>37</v>
      </c>
      <c r="E259" s="5">
        <v>1</v>
      </c>
      <c r="F259" s="5">
        <v>6</v>
      </c>
      <c r="G259" s="5">
        <v>7</v>
      </c>
      <c r="H259" s="5">
        <v>140</v>
      </c>
      <c r="I259" s="5" t="str">
        <f t="shared" si="14"/>
        <v>Holy_Desc_1060006</v>
      </c>
      <c r="J259" s="4" t="s">
        <v>38</v>
      </c>
      <c r="K259" s="5">
        <f>[1]圣物数值!$C257*10000</f>
        <v>900</v>
      </c>
      <c r="L259" s="5">
        <v>1060006</v>
      </c>
    </row>
    <row r="260" spans="1:12" x14ac:dyDescent="0.15">
      <c r="A260" s="5">
        <v>7357</v>
      </c>
      <c r="B260" s="5">
        <v>106</v>
      </c>
      <c r="C260" s="5" t="str">
        <f t="shared" si="13"/>
        <v>Holy_Name_1060006</v>
      </c>
      <c r="D260" s="5" t="s">
        <v>37</v>
      </c>
      <c r="E260" s="5">
        <v>1</v>
      </c>
      <c r="F260" s="5">
        <v>7</v>
      </c>
      <c r="G260" s="5">
        <v>9</v>
      </c>
      <c r="H260" s="5">
        <v>180</v>
      </c>
      <c r="I260" s="5" t="str">
        <f t="shared" si="14"/>
        <v>Holy_Desc_1060006</v>
      </c>
      <c r="J260" s="4" t="s">
        <v>38</v>
      </c>
      <c r="K260" s="5">
        <f>[1]圣物数值!$C258*10000</f>
        <v>1050</v>
      </c>
      <c r="L260" s="5">
        <v>1060006</v>
      </c>
    </row>
    <row r="261" spans="1:12" x14ac:dyDescent="0.15">
      <c r="A261" s="5">
        <v>7358</v>
      </c>
      <c r="B261" s="5">
        <v>106</v>
      </c>
      <c r="C261" s="5" t="str">
        <f t="shared" si="13"/>
        <v>Holy_Name_1060006</v>
      </c>
      <c r="D261" s="5" t="s">
        <v>37</v>
      </c>
      <c r="E261" s="5">
        <v>1</v>
      </c>
      <c r="F261" s="5">
        <v>8</v>
      </c>
      <c r="G261" s="5">
        <v>10</v>
      </c>
      <c r="H261" s="5">
        <v>210</v>
      </c>
      <c r="I261" s="5" t="str">
        <f t="shared" si="14"/>
        <v>Holy_Desc_1060006</v>
      </c>
      <c r="J261" s="4" t="s">
        <v>38</v>
      </c>
      <c r="K261" s="5">
        <f>[1]圣物数值!$C259*10000</f>
        <v>1200</v>
      </c>
      <c r="L261" s="5">
        <v>1060006</v>
      </c>
    </row>
    <row r="262" spans="1:12" x14ac:dyDescent="0.15">
      <c r="A262" s="5">
        <v>7359</v>
      </c>
      <c r="B262" s="5">
        <v>106</v>
      </c>
      <c r="C262" s="5" t="str">
        <f t="shared" si="13"/>
        <v>Holy_Name_1060006</v>
      </c>
      <c r="D262" s="5" t="s">
        <v>37</v>
      </c>
      <c r="E262" s="5">
        <v>1</v>
      </c>
      <c r="F262" s="5">
        <v>9</v>
      </c>
      <c r="G262" s="5">
        <v>12</v>
      </c>
      <c r="H262" s="5">
        <v>240</v>
      </c>
      <c r="I262" s="5" t="str">
        <f t="shared" si="14"/>
        <v>Holy_Desc_1060006</v>
      </c>
      <c r="J262" s="4" t="s">
        <v>38</v>
      </c>
      <c r="K262" s="5">
        <f>[1]圣物数值!$C260*10000</f>
        <v>1350</v>
      </c>
      <c r="L262" s="5">
        <v>1060006</v>
      </c>
    </row>
    <row r="263" spans="1:12" x14ac:dyDescent="0.15">
      <c r="A263" s="5">
        <v>7360</v>
      </c>
      <c r="B263" s="5">
        <v>106</v>
      </c>
      <c r="C263" s="5" t="str">
        <f t="shared" si="13"/>
        <v>Holy_Name_1060006</v>
      </c>
      <c r="D263" s="5" t="s">
        <v>37</v>
      </c>
      <c r="E263" s="5">
        <v>1</v>
      </c>
      <c r="F263" s="5">
        <v>10</v>
      </c>
      <c r="G263" s="5">
        <v>14</v>
      </c>
      <c r="H263" s="5">
        <v>270</v>
      </c>
      <c r="I263" s="5" t="str">
        <f t="shared" si="14"/>
        <v>Holy_Desc_1060006</v>
      </c>
      <c r="J263" s="4" t="s">
        <v>38</v>
      </c>
      <c r="K263" s="5">
        <f>[1]圣物数值!$C261*10000</f>
        <v>1500</v>
      </c>
      <c r="L263" s="5">
        <v>1060006</v>
      </c>
    </row>
    <row r="264" spans="1:12" x14ac:dyDescent="0.15">
      <c r="A264" s="5">
        <v>7361</v>
      </c>
      <c r="B264" s="5">
        <v>106</v>
      </c>
      <c r="C264" s="5" t="str">
        <f t="shared" ref="C264:C313" si="15">"Holy_Name_"&amp;L264</f>
        <v>Holy_Name_1060006</v>
      </c>
      <c r="D264" s="5" t="s">
        <v>37</v>
      </c>
      <c r="E264" s="5">
        <v>1</v>
      </c>
      <c r="F264" s="5">
        <v>11</v>
      </c>
      <c r="G264" s="5">
        <v>15</v>
      </c>
      <c r="H264" s="5">
        <v>300</v>
      </c>
      <c r="I264" s="5" t="str">
        <f t="shared" ref="I264:I313" si="16">"Holy_Desc_"&amp;L264</f>
        <v>Holy_Desc_1060006</v>
      </c>
      <c r="J264" s="4" t="s">
        <v>38</v>
      </c>
      <c r="K264" s="5">
        <f>[1]圣物数值!$C262*10000</f>
        <v>1650</v>
      </c>
      <c r="L264" s="5">
        <v>1060006</v>
      </c>
    </row>
    <row r="265" spans="1:12" x14ac:dyDescent="0.15">
      <c r="A265" s="5">
        <v>7362</v>
      </c>
      <c r="B265" s="5">
        <v>106</v>
      </c>
      <c r="C265" s="5" t="str">
        <f t="shared" si="15"/>
        <v>Holy_Name_1060006</v>
      </c>
      <c r="D265" s="5" t="s">
        <v>37</v>
      </c>
      <c r="E265" s="5">
        <v>1</v>
      </c>
      <c r="F265" s="5">
        <v>12</v>
      </c>
      <c r="G265" s="5">
        <v>17</v>
      </c>
      <c r="H265" s="5">
        <v>340</v>
      </c>
      <c r="I265" s="5" t="str">
        <f t="shared" si="16"/>
        <v>Holy_Desc_1060006</v>
      </c>
      <c r="J265" s="4" t="s">
        <v>38</v>
      </c>
      <c r="K265" s="5">
        <f>[1]圣物数值!$C263*10000</f>
        <v>1800</v>
      </c>
      <c r="L265" s="5">
        <v>1060006</v>
      </c>
    </row>
    <row r="266" spans="1:12" x14ac:dyDescent="0.15">
      <c r="A266" s="5">
        <v>7363</v>
      </c>
      <c r="B266" s="5">
        <v>106</v>
      </c>
      <c r="C266" s="5" t="str">
        <f t="shared" si="15"/>
        <v>Holy_Name_1060006</v>
      </c>
      <c r="D266" s="5" t="s">
        <v>37</v>
      </c>
      <c r="E266" s="5">
        <v>1</v>
      </c>
      <c r="F266" s="5">
        <v>13</v>
      </c>
      <c r="G266" s="5">
        <v>18</v>
      </c>
      <c r="H266" s="5">
        <v>370</v>
      </c>
      <c r="I266" s="5" t="str">
        <f t="shared" si="16"/>
        <v>Holy_Desc_1060006</v>
      </c>
      <c r="J266" s="4" t="s">
        <v>38</v>
      </c>
      <c r="K266" s="5">
        <f>[1]圣物数值!$C264*10000</f>
        <v>1950</v>
      </c>
      <c r="L266" s="5">
        <v>1060006</v>
      </c>
    </row>
    <row r="267" spans="1:12" x14ac:dyDescent="0.15">
      <c r="A267" s="5">
        <v>7364</v>
      </c>
      <c r="B267" s="5">
        <v>106</v>
      </c>
      <c r="C267" s="5" t="str">
        <f t="shared" si="15"/>
        <v>Holy_Name_1060006</v>
      </c>
      <c r="D267" s="5" t="s">
        <v>37</v>
      </c>
      <c r="E267" s="5">
        <v>1</v>
      </c>
      <c r="F267" s="5">
        <v>14</v>
      </c>
      <c r="G267" s="5">
        <v>20</v>
      </c>
      <c r="H267" s="5">
        <v>400</v>
      </c>
      <c r="I267" s="5" t="str">
        <f t="shared" si="16"/>
        <v>Holy_Desc_1060006</v>
      </c>
      <c r="J267" s="4" t="s">
        <v>38</v>
      </c>
      <c r="K267" s="5">
        <f>[1]圣物数值!$C265*10000</f>
        <v>2100</v>
      </c>
      <c r="L267" s="5">
        <v>1060006</v>
      </c>
    </row>
    <row r="268" spans="1:12" x14ac:dyDescent="0.15">
      <c r="A268" s="5">
        <v>7365</v>
      </c>
      <c r="B268" s="5">
        <v>106</v>
      </c>
      <c r="C268" s="5" t="str">
        <f t="shared" si="15"/>
        <v>Holy_Name_1060006</v>
      </c>
      <c r="D268" s="5" t="s">
        <v>37</v>
      </c>
      <c r="E268" s="5">
        <v>1</v>
      </c>
      <c r="F268" s="5">
        <v>15</v>
      </c>
      <c r="G268" s="5">
        <v>22</v>
      </c>
      <c r="H268" s="5">
        <v>430</v>
      </c>
      <c r="I268" s="5" t="str">
        <f t="shared" si="16"/>
        <v>Holy_Desc_1060006</v>
      </c>
      <c r="J268" s="4" t="s">
        <v>38</v>
      </c>
      <c r="K268" s="5">
        <f>[1]圣物数值!$C266*10000</f>
        <v>2250</v>
      </c>
      <c r="L268" s="5">
        <v>1060006</v>
      </c>
    </row>
    <row r="269" spans="1:12" x14ac:dyDescent="0.15">
      <c r="A269" s="5">
        <v>7366</v>
      </c>
      <c r="B269" s="5">
        <v>106</v>
      </c>
      <c r="C269" s="5" t="str">
        <f t="shared" si="15"/>
        <v>Holy_Name_1060006</v>
      </c>
      <c r="D269" s="5" t="s">
        <v>37</v>
      </c>
      <c r="E269" s="5">
        <v>1</v>
      </c>
      <c r="F269" s="5">
        <v>16</v>
      </c>
      <c r="G269" s="5">
        <v>23</v>
      </c>
      <c r="H269" s="5">
        <v>460</v>
      </c>
      <c r="I269" s="5" t="str">
        <f t="shared" si="16"/>
        <v>Holy_Desc_1060006</v>
      </c>
      <c r="J269" s="4" t="s">
        <v>38</v>
      </c>
      <c r="K269" s="5">
        <f>[1]圣物数值!$C267*10000</f>
        <v>2400</v>
      </c>
      <c r="L269" s="5">
        <v>1060006</v>
      </c>
    </row>
    <row r="270" spans="1:12" x14ac:dyDescent="0.15">
      <c r="A270" s="5">
        <v>7367</v>
      </c>
      <c r="B270" s="5">
        <v>106</v>
      </c>
      <c r="C270" s="5" t="str">
        <f t="shared" si="15"/>
        <v>Holy_Name_1060006</v>
      </c>
      <c r="D270" s="5" t="s">
        <v>37</v>
      </c>
      <c r="E270" s="5">
        <v>1</v>
      </c>
      <c r="F270" s="5">
        <v>17</v>
      </c>
      <c r="G270" s="5">
        <v>25</v>
      </c>
      <c r="H270" s="5">
        <v>500</v>
      </c>
      <c r="I270" s="5" t="str">
        <f t="shared" si="16"/>
        <v>Holy_Desc_1060006</v>
      </c>
      <c r="J270" s="4" t="s">
        <v>38</v>
      </c>
      <c r="K270" s="5">
        <f>[1]圣物数值!$C268*10000</f>
        <v>2550</v>
      </c>
      <c r="L270" s="5">
        <v>1060006</v>
      </c>
    </row>
    <row r="271" spans="1:12" x14ac:dyDescent="0.15">
      <c r="A271" s="5">
        <v>7368</v>
      </c>
      <c r="B271" s="5">
        <v>106</v>
      </c>
      <c r="C271" s="5" t="str">
        <f t="shared" si="15"/>
        <v>Holy_Name_1060006</v>
      </c>
      <c r="D271" s="5" t="s">
        <v>37</v>
      </c>
      <c r="E271" s="5">
        <v>1</v>
      </c>
      <c r="F271" s="5">
        <v>18</v>
      </c>
      <c r="G271" s="5">
        <v>26</v>
      </c>
      <c r="H271" s="5">
        <v>530</v>
      </c>
      <c r="I271" s="5" t="str">
        <f t="shared" si="16"/>
        <v>Holy_Desc_1060006</v>
      </c>
      <c r="J271" s="4" t="s">
        <v>38</v>
      </c>
      <c r="K271" s="5">
        <f>[1]圣物数值!$C269*10000</f>
        <v>2700</v>
      </c>
      <c r="L271" s="5">
        <v>1060006</v>
      </c>
    </row>
    <row r="272" spans="1:12" x14ac:dyDescent="0.15">
      <c r="A272" s="5">
        <v>7369</v>
      </c>
      <c r="B272" s="5">
        <v>106</v>
      </c>
      <c r="C272" s="5" t="str">
        <f t="shared" si="15"/>
        <v>Holy_Name_1060006</v>
      </c>
      <c r="D272" s="5" t="s">
        <v>37</v>
      </c>
      <c r="E272" s="5">
        <v>1</v>
      </c>
      <c r="F272" s="5">
        <v>19</v>
      </c>
      <c r="G272" s="5">
        <v>28</v>
      </c>
      <c r="H272" s="5">
        <v>560</v>
      </c>
      <c r="I272" s="5" t="str">
        <f t="shared" si="16"/>
        <v>Holy_Desc_1060006</v>
      </c>
      <c r="J272" s="4" t="s">
        <v>38</v>
      </c>
      <c r="K272" s="5">
        <f>[1]圣物数值!$C270*10000</f>
        <v>2850</v>
      </c>
      <c r="L272" s="5">
        <v>1060006</v>
      </c>
    </row>
    <row r="273" spans="1:12" x14ac:dyDescent="0.15">
      <c r="A273" s="5">
        <v>7370</v>
      </c>
      <c r="B273" s="5">
        <v>106</v>
      </c>
      <c r="C273" s="5" t="str">
        <f t="shared" si="15"/>
        <v>Holy_Name_1060006</v>
      </c>
      <c r="D273" s="5" t="s">
        <v>37</v>
      </c>
      <c r="E273" s="5">
        <v>1</v>
      </c>
      <c r="F273" s="5">
        <v>20</v>
      </c>
      <c r="G273" s="5">
        <v>30</v>
      </c>
      <c r="H273" s="5">
        <v>590</v>
      </c>
      <c r="I273" s="5" t="str">
        <f t="shared" si="16"/>
        <v>Holy_Desc_1060006</v>
      </c>
      <c r="J273" s="4" t="s">
        <v>38</v>
      </c>
      <c r="K273" s="5">
        <f>[1]圣物数值!$C271*10000</f>
        <v>3000</v>
      </c>
      <c r="L273" s="5">
        <v>1060006</v>
      </c>
    </row>
    <row r="274" spans="1:12" x14ac:dyDescent="0.15">
      <c r="A274" s="5">
        <v>7371</v>
      </c>
      <c r="B274" s="5">
        <v>106</v>
      </c>
      <c r="C274" s="5" t="str">
        <f t="shared" si="15"/>
        <v>Holy_Name_1060006</v>
      </c>
      <c r="D274" s="5" t="s">
        <v>37</v>
      </c>
      <c r="E274" s="5">
        <v>1</v>
      </c>
      <c r="F274" s="5">
        <v>21</v>
      </c>
      <c r="G274" s="5">
        <v>31</v>
      </c>
      <c r="H274" s="5">
        <v>620</v>
      </c>
      <c r="I274" s="5" t="str">
        <f t="shared" si="16"/>
        <v>Holy_Desc_1060006</v>
      </c>
      <c r="J274" s="4" t="s">
        <v>38</v>
      </c>
      <c r="K274" s="5">
        <f>[1]圣物数值!$C272*10000</f>
        <v>3150</v>
      </c>
      <c r="L274" s="5">
        <v>1060006</v>
      </c>
    </row>
    <row r="275" spans="1:12" x14ac:dyDescent="0.15">
      <c r="A275" s="5">
        <v>7372</v>
      </c>
      <c r="B275" s="5">
        <v>106</v>
      </c>
      <c r="C275" s="5" t="str">
        <f t="shared" si="15"/>
        <v>Holy_Name_1060006</v>
      </c>
      <c r="D275" s="5" t="s">
        <v>37</v>
      </c>
      <c r="E275" s="5">
        <v>1</v>
      </c>
      <c r="F275" s="5">
        <v>22</v>
      </c>
      <c r="G275" s="5">
        <v>33</v>
      </c>
      <c r="H275" s="5">
        <v>660</v>
      </c>
      <c r="I275" s="5" t="str">
        <f t="shared" si="16"/>
        <v>Holy_Desc_1060006</v>
      </c>
      <c r="J275" s="4" t="s">
        <v>38</v>
      </c>
      <c r="K275" s="5">
        <f>[1]圣物数值!$C273*10000</f>
        <v>3300</v>
      </c>
      <c r="L275" s="5">
        <v>1060006</v>
      </c>
    </row>
    <row r="276" spans="1:12" x14ac:dyDescent="0.15">
      <c r="A276" s="5">
        <v>7373</v>
      </c>
      <c r="B276" s="5">
        <v>106</v>
      </c>
      <c r="C276" s="5" t="str">
        <f t="shared" si="15"/>
        <v>Holy_Name_1060006</v>
      </c>
      <c r="D276" s="5" t="s">
        <v>37</v>
      </c>
      <c r="E276" s="5">
        <v>1</v>
      </c>
      <c r="F276" s="5">
        <v>23</v>
      </c>
      <c r="G276" s="5">
        <v>34</v>
      </c>
      <c r="H276" s="5">
        <v>690</v>
      </c>
      <c r="I276" s="5" t="str">
        <f t="shared" si="16"/>
        <v>Holy_Desc_1060006</v>
      </c>
      <c r="J276" s="4" t="s">
        <v>38</v>
      </c>
      <c r="K276" s="5">
        <f>[1]圣物数值!$C274*10000</f>
        <v>3450</v>
      </c>
      <c r="L276" s="5">
        <v>1060006</v>
      </c>
    </row>
    <row r="277" spans="1:12" x14ac:dyDescent="0.15">
      <c r="A277" s="5">
        <v>7374</v>
      </c>
      <c r="B277" s="5">
        <v>106</v>
      </c>
      <c r="C277" s="5" t="str">
        <f t="shared" si="15"/>
        <v>Holy_Name_1060006</v>
      </c>
      <c r="D277" s="5" t="s">
        <v>37</v>
      </c>
      <c r="E277" s="5">
        <v>1</v>
      </c>
      <c r="F277" s="5">
        <v>24</v>
      </c>
      <c r="G277" s="5">
        <v>36</v>
      </c>
      <c r="H277" s="5">
        <v>720</v>
      </c>
      <c r="I277" s="5" t="str">
        <f t="shared" si="16"/>
        <v>Holy_Desc_1060006</v>
      </c>
      <c r="J277" s="4" t="s">
        <v>38</v>
      </c>
      <c r="K277" s="5">
        <f>[1]圣物数值!$C275*10000</f>
        <v>3600</v>
      </c>
      <c r="L277" s="5">
        <v>1060006</v>
      </c>
    </row>
    <row r="278" spans="1:12" x14ac:dyDescent="0.15">
      <c r="A278" s="5">
        <v>7375</v>
      </c>
      <c r="B278" s="5">
        <v>106</v>
      </c>
      <c r="C278" s="5" t="str">
        <f t="shared" si="15"/>
        <v>Holy_Name_1060006</v>
      </c>
      <c r="D278" s="5" t="s">
        <v>37</v>
      </c>
      <c r="E278" s="5">
        <v>1</v>
      </c>
      <c r="F278" s="5">
        <v>25</v>
      </c>
      <c r="G278" s="5">
        <v>38</v>
      </c>
      <c r="H278" s="5">
        <v>750</v>
      </c>
      <c r="I278" s="5" t="str">
        <f t="shared" si="16"/>
        <v>Holy_Desc_1060006</v>
      </c>
      <c r="J278" s="4" t="s">
        <v>38</v>
      </c>
      <c r="K278" s="5">
        <f>[1]圣物数值!$C276*10000</f>
        <v>3750</v>
      </c>
      <c r="L278" s="5">
        <v>1060006</v>
      </c>
    </row>
    <row r="279" spans="1:12" x14ac:dyDescent="0.15">
      <c r="A279" s="5">
        <v>7376</v>
      </c>
      <c r="B279" s="5">
        <v>106</v>
      </c>
      <c r="C279" s="5" t="str">
        <f t="shared" si="15"/>
        <v>Holy_Name_1060006</v>
      </c>
      <c r="D279" s="5" t="s">
        <v>37</v>
      </c>
      <c r="E279" s="5">
        <v>1</v>
      </c>
      <c r="F279" s="5">
        <v>26</v>
      </c>
      <c r="G279" s="5">
        <v>39</v>
      </c>
      <c r="H279" s="5">
        <v>780</v>
      </c>
      <c r="I279" s="5" t="str">
        <f t="shared" si="16"/>
        <v>Holy_Desc_1060006</v>
      </c>
      <c r="J279" s="4" t="s">
        <v>38</v>
      </c>
      <c r="K279" s="5">
        <f>[1]圣物数值!$C277*10000</f>
        <v>3900</v>
      </c>
      <c r="L279" s="5">
        <v>1060006</v>
      </c>
    </row>
    <row r="280" spans="1:12" x14ac:dyDescent="0.15">
      <c r="A280" s="5">
        <v>7377</v>
      </c>
      <c r="B280" s="5">
        <v>106</v>
      </c>
      <c r="C280" s="5" t="str">
        <f t="shared" si="15"/>
        <v>Holy_Name_1060006</v>
      </c>
      <c r="D280" s="5" t="s">
        <v>37</v>
      </c>
      <c r="E280" s="5">
        <v>1</v>
      </c>
      <c r="F280" s="5">
        <v>27</v>
      </c>
      <c r="G280" s="5">
        <v>41</v>
      </c>
      <c r="H280" s="5">
        <v>820</v>
      </c>
      <c r="I280" s="5" t="str">
        <f t="shared" si="16"/>
        <v>Holy_Desc_1060006</v>
      </c>
      <c r="J280" s="4" t="s">
        <v>38</v>
      </c>
      <c r="K280" s="5">
        <f>[1]圣物数值!$C278*10000</f>
        <v>4050</v>
      </c>
      <c r="L280" s="5">
        <v>1060006</v>
      </c>
    </row>
    <row r="281" spans="1:12" x14ac:dyDescent="0.15">
      <c r="A281" s="5">
        <v>7378</v>
      </c>
      <c r="B281" s="5">
        <v>106</v>
      </c>
      <c r="C281" s="5" t="str">
        <f t="shared" si="15"/>
        <v>Holy_Name_1060006</v>
      </c>
      <c r="D281" s="5" t="s">
        <v>37</v>
      </c>
      <c r="E281" s="5">
        <v>1</v>
      </c>
      <c r="F281" s="5">
        <v>28</v>
      </c>
      <c r="G281" s="5">
        <v>42</v>
      </c>
      <c r="H281" s="5">
        <v>850</v>
      </c>
      <c r="I281" s="5" t="str">
        <f t="shared" si="16"/>
        <v>Holy_Desc_1060006</v>
      </c>
      <c r="J281" s="4" t="s">
        <v>38</v>
      </c>
      <c r="K281" s="5">
        <f>[1]圣物数值!$C279*10000</f>
        <v>4200</v>
      </c>
      <c r="L281" s="5">
        <v>1060006</v>
      </c>
    </row>
    <row r="282" spans="1:12" x14ac:dyDescent="0.15">
      <c r="A282" s="5">
        <v>7379</v>
      </c>
      <c r="B282" s="5">
        <v>106</v>
      </c>
      <c r="C282" s="5" t="str">
        <f t="shared" si="15"/>
        <v>Holy_Name_1060006</v>
      </c>
      <c r="D282" s="5" t="s">
        <v>37</v>
      </c>
      <c r="E282" s="5">
        <v>1</v>
      </c>
      <c r="F282" s="5">
        <v>29</v>
      </c>
      <c r="G282" s="5">
        <v>44</v>
      </c>
      <c r="H282" s="5">
        <v>880</v>
      </c>
      <c r="I282" s="5" t="str">
        <f t="shared" si="16"/>
        <v>Holy_Desc_1060006</v>
      </c>
      <c r="J282" s="4" t="s">
        <v>38</v>
      </c>
      <c r="K282" s="5">
        <f>[1]圣物数值!$C280*10000</f>
        <v>4350</v>
      </c>
      <c r="L282" s="5">
        <v>1060006</v>
      </c>
    </row>
    <row r="283" spans="1:12" x14ac:dyDescent="0.15">
      <c r="A283" s="5">
        <v>7380</v>
      </c>
      <c r="B283" s="5">
        <v>106</v>
      </c>
      <c r="C283" s="5" t="str">
        <f t="shared" si="15"/>
        <v>Holy_Name_1060006</v>
      </c>
      <c r="D283" s="5" t="s">
        <v>37</v>
      </c>
      <c r="E283" s="5">
        <v>1</v>
      </c>
      <c r="F283" s="5">
        <v>30</v>
      </c>
      <c r="G283" s="5">
        <v>46</v>
      </c>
      <c r="H283" s="5">
        <v>910</v>
      </c>
      <c r="I283" s="5" t="str">
        <f t="shared" si="16"/>
        <v>Holy_Desc_1060006</v>
      </c>
      <c r="J283" s="4" t="s">
        <v>38</v>
      </c>
      <c r="K283" s="5">
        <f>[1]圣物数值!$C281*10000</f>
        <v>4500</v>
      </c>
      <c r="L283" s="5">
        <v>1060006</v>
      </c>
    </row>
    <row r="284" spans="1:12" x14ac:dyDescent="0.15">
      <c r="A284" s="5">
        <v>7381</v>
      </c>
      <c r="B284" s="5">
        <v>106</v>
      </c>
      <c r="C284" s="5" t="str">
        <f t="shared" si="15"/>
        <v>Holy_Name_1060006</v>
      </c>
      <c r="D284" s="5" t="s">
        <v>37</v>
      </c>
      <c r="E284" s="5">
        <v>1</v>
      </c>
      <c r="F284" s="5">
        <v>31</v>
      </c>
      <c r="G284" s="5">
        <v>47</v>
      </c>
      <c r="H284" s="5">
        <v>940</v>
      </c>
      <c r="I284" s="5" t="str">
        <f t="shared" si="16"/>
        <v>Holy_Desc_1060006</v>
      </c>
      <c r="J284" s="4" t="s">
        <v>38</v>
      </c>
      <c r="K284" s="5">
        <f>[1]圣物数值!$C282*10000</f>
        <v>4650</v>
      </c>
      <c r="L284" s="5">
        <v>1060006</v>
      </c>
    </row>
    <row r="285" spans="1:12" x14ac:dyDescent="0.15">
      <c r="A285" s="5">
        <v>7382</v>
      </c>
      <c r="B285" s="5">
        <v>106</v>
      </c>
      <c r="C285" s="5" t="str">
        <f t="shared" si="15"/>
        <v>Holy_Name_1060006</v>
      </c>
      <c r="D285" s="5" t="s">
        <v>37</v>
      </c>
      <c r="E285" s="5">
        <v>1</v>
      </c>
      <c r="F285" s="5">
        <v>32</v>
      </c>
      <c r="G285" s="5">
        <v>49</v>
      </c>
      <c r="H285" s="5">
        <v>980</v>
      </c>
      <c r="I285" s="5" t="str">
        <f t="shared" si="16"/>
        <v>Holy_Desc_1060006</v>
      </c>
      <c r="J285" s="4" t="s">
        <v>38</v>
      </c>
      <c r="K285" s="5">
        <f>[1]圣物数值!$C283*10000</f>
        <v>4800</v>
      </c>
      <c r="L285" s="5">
        <v>1060006</v>
      </c>
    </row>
    <row r="286" spans="1:12" x14ac:dyDescent="0.15">
      <c r="A286" s="5">
        <v>7383</v>
      </c>
      <c r="B286" s="5">
        <v>106</v>
      </c>
      <c r="C286" s="5" t="str">
        <f t="shared" si="15"/>
        <v>Holy_Name_1060006</v>
      </c>
      <c r="D286" s="5" t="s">
        <v>37</v>
      </c>
      <c r="E286" s="5">
        <v>1</v>
      </c>
      <c r="F286" s="5">
        <v>33</v>
      </c>
      <c r="G286" s="5">
        <v>50</v>
      </c>
      <c r="H286" s="5">
        <v>1010</v>
      </c>
      <c r="I286" s="5" t="str">
        <f t="shared" si="16"/>
        <v>Holy_Desc_1060006</v>
      </c>
      <c r="J286" s="4" t="s">
        <v>38</v>
      </c>
      <c r="K286" s="5">
        <f>[1]圣物数值!$C284*10000</f>
        <v>4950</v>
      </c>
      <c r="L286" s="5">
        <v>1060006</v>
      </c>
    </row>
    <row r="287" spans="1:12" x14ac:dyDescent="0.15">
      <c r="A287" s="5">
        <v>7384</v>
      </c>
      <c r="B287" s="5">
        <v>106</v>
      </c>
      <c r="C287" s="5" t="str">
        <f t="shared" si="15"/>
        <v>Holy_Name_1060006</v>
      </c>
      <c r="D287" s="5" t="s">
        <v>37</v>
      </c>
      <c r="E287" s="5">
        <v>1</v>
      </c>
      <c r="F287" s="5">
        <v>34</v>
      </c>
      <c r="G287" s="5">
        <v>52</v>
      </c>
      <c r="H287" s="5">
        <v>1040</v>
      </c>
      <c r="I287" s="5" t="str">
        <f t="shared" si="16"/>
        <v>Holy_Desc_1060006</v>
      </c>
      <c r="J287" s="4" t="s">
        <v>38</v>
      </c>
      <c r="K287" s="5">
        <f>[1]圣物数值!$C285*10000</f>
        <v>5100</v>
      </c>
      <c r="L287" s="5">
        <v>1060006</v>
      </c>
    </row>
    <row r="288" spans="1:12" x14ac:dyDescent="0.15">
      <c r="A288" s="5">
        <v>7385</v>
      </c>
      <c r="B288" s="5">
        <v>106</v>
      </c>
      <c r="C288" s="5" t="str">
        <f t="shared" si="15"/>
        <v>Holy_Name_1060006</v>
      </c>
      <c r="D288" s="5" t="s">
        <v>37</v>
      </c>
      <c r="E288" s="5">
        <v>1</v>
      </c>
      <c r="F288" s="5">
        <v>35</v>
      </c>
      <c r="G288" s="5">
        <v>54</v>
      </c>
      <c r="H288" s="5">
        <v>1070</v>
      </c>
      <c r="I288" s="5" t="str">
        <f t="shared" si="16"/>
        <v>Holy_Desc_1060006</v>
      </c>
      <c r="J288" s="4" t="s">
        <v>38</v>
      </c>
      <c r="K288" s="5">
        <f>[1]圣物数值!$C286*10000</f>
        <v>5250</v>
      </c>
      <c r="L288" s="5">
        <v>1060006</v>
      </c>
    </row>
    <row r="289" spans="1:12" x14ac:dyDescent="0.15">
      <c r="A289" s="5">
        <v>7386</v>
      </c>
      <c r="B289" s="5">
        <v>106</v>
      </c>
      <c r="C289" s="5" t="str">
        <f t="shared" si="15"/>
        <v>Holy_Name_1060006</v>
      </c>
      <c r="D289" s="5" t="s">
        <v>37</v>
      </c>
      <c r="E289" s="5">
        <v>1</v>
      </c>
      <c r="F289" s="5">
        <v>36</v>
      </c>
      <c r="G289" s="5">
        <v>55</v>
      </c>
      <c r="H289" s="5">
        <v>1100</v>
      </c>
      <c r="I289" s="5" t="str">
        <f t="shared" si="16"/>
        <v>Holy_Desc_1060006</v>
      </c>
      <c r="J289" s="4" t="s">
        <v>38</v>
      </c>
      <c r="K289" s="5">
        <f>[1]圣物数值!$C287*10000</f>
        <v>5400</v>
      </c>
      <c r="L289" s="5">
        <v>1060006</v>
      </c>
    </row>
    <row r="290" spans="1:12" x14ac:dyDescent="0.15">
      <c r="A290" s="5">
        <v>7387</v>
      </c>
      <c r="B290" s="5">
        <v>106</v>
      </c>
      <c r="C290" s="5" t="str">
        <f t="shared" si="15"/>
        <v>Holy_Name_1060006</v>
      </c>
      <c r="D290" s="5" t="s">
        <v>37</v>
      </c>
      <c r="E290" s="5">
        <v>1</v>
      </c>
      <c r="F290" s="5">
        <v>37</v>
      </c>
      <c r="G290" s="5">
        <v>57</v>
      </c>
      <c r="H290" s="5">
        <v>1140</v>
      </c>
      <c r="I290" s="5" t="str">
        <f t="shared" si="16"/>
        <v>Holy_Desc_1060006</v>
      </c>
      <c r="J290" s="4" t="s">
        <v>38</v>
      </c>
      <c r="K290" s="5">
        <f>[1]圣物数值!$C288*10000</f>
        <v>5550</v>
      </c>
      <c r="L290" s="5">
        <v>1060006</v>
      </c>
    </row>
    <row r="291" spans="1:12" x14ac:dyDescent="0.15">
      <c r="A291" s="5">
        <v>7388</v>
      </c>
      <c r="B291" s="5">
        <v>106</v>
      </c>
      <c r="C291" s="5" t="str">
        <f t="shared" si="15"/>
        <v>Holy_Name_1060006</v>
      </c>
      <c r="D291" s="5" t="s">
        <v>37</v>
      </c>
      <c r="E291" s="5">
        <v>1</v>
      </c>
      <c r="F291" s="5">
        <v>38</v>
      </c>
      <c r="G291" s="5">
        <v>58</v>
      </c>
      <c r="H291" s="5">
        <v>1170</v>
      </c>
      <c r="I291" s="5" t="str">
        <f t="shared" si="16"/>
        <v>Holy_Desc_1060006</v>
      </c>
      <c r="J291" s="4" t="s">
        <v>38</v>
      </c>
      <c r="K291" s="5">
        <f>[1]圣物数值!$C289*10000</f>
        <v>5700</v>
      </c>
      <c r="L291" s="5">
        <v>1060006</v>
      </c>
    </row>
    <row r="292" spans="1:12" x14ac:dyDescent="0.15">
      <c r="A292" s="5">
        <v>7389</v>
      </c>
      <c r="B292" s="5">
        <v>106</v>
      </c>
      <c r="C292" s="5" t="str">
        <f t="shared" si="15"/>
        <v>Holy_Name_1060006</v>
      </c>
      <c r="D292" s="5" t="s">
        <v>37</v>
      </c>
      <c r="E292" s="5">
        <v>1</v>
      </c>
      <c r="F292" s="5">
        <v>39</v>
      </c>
      <c r="G292" s="5">
        <v>60</v>
      </c>
      <c r="H292" s="5">
        <v>1200</v>
      </c>
      <c r="I292" s="5" t="str">
        <f t="shared" si="16"/>
        <v>Holy_Desc_1060006</v>
      </c>
      <c r="J292" s="4" t="s">
        <v>38</v>
      </c>
      <c r="K292" s="5">
        <f>[1]圣物数值!$C290*10000</f>
        <v>5850</v>
      </c>
      <c r="L292" s="5">
        <v>1060006</v>
      </c>
    </row>
    <row r="293" spans="1:12" x14ac:dyDescent="0.15">
      <c r="A293" s="5">
        <v>7390</v>
      </c>
      <c r="B293" s="5">
        <v>106</v>
      </c>
      <c r="C293" s="5" t="str">
        <f t="shared" si="15"/>
        <v>Holy_Name_1060006</v>
      </c>
      <c r="D293" s="5" t="s">
        <v>37</v>
      </c>
      <c r="E293" s="5">
        <v>1</v>
      </c>
      <c r="F293" s="5">
        <v>40</v>
      </c>
      <c r="G293" s="5">
        <v>62</v>
      </c>
      <c r="H293" s="5">
        <v>1230</v>
      </c>
      <c r="I293" s="5" t="str">
        <f t="shared" si="16"/>
        <v>Holy_Desc_1060006</v>
      </c>
      <c r="J293" s="4" t="s">
        <v>38</v>
      </c>
      <c r="K293" s="5">
        <f>[1]圣物数值!$C291*10000</f>
        <v>6000</v>
      </c>
      <c r="L293" s="5">
        <v>1060006</v>
      </c>
    </row>
    <row r="294" spans="1:12" x14ac:dyDescent="0.15">
      <c r="A294" s="5">
        <v>7391</v>
      </c>
      <c r="B294" s="5">
        <v>106</v>
      </c>
      <c r="C294" s="5" t="str">
        <f t="shared" si="15"/>
        <v>Holy_Name_1060006</v>
      </c>
      <c r="D294" s="5" t="s">
        <v>37</v>
      </c>
      <c r="E294" s="5">
        <v>1</v>
      </c>
      <c r="F294" s="5">
        <v>41</v>
      </c>
      <c r="G294" s="5">
        <v>63</v>
      </c>
      <c r="H294" s="5">
        <v>1260</v>
      </c>
      <c r="I294" s="5" t="str">
        <f t="shared" si="16"/>
        <v>Holy_Desc_1060006</v>
      </c>
      <c r="J294" s="4" t="s">
        <v>38</v>
      </c>
      <c r="K294" s="5">
        <f>[1]圣物数值!$C292*10000</f>
        <v>6150</v>
      </c>
      <c r="L294" s="5">
        <v>1060006</v>
      </c>
    </row>
    <row r="295" spans="1:12" x14ac:dyDescent="0.15">
      <c r="A295" s="5">
        <v>7392</v>
      </c>
      <c r="B295" s="5">
        <v>106</v>
      </c>
      <c r="C295" s="5" t="str">
        <f t="shared" si="15"/>
        <v>Holy_Name_1060006</v>
      </c>
      <c r="D295" s="5" t="s">
        <v>37</v>
      </c>
      <c r="E295" s="5">
        <v>1</v>
      </c>
      <c r="F295" s="5">
        <v>42</v>
      </c>
      <c r="G295" s="5">
        <v>65</v>
      </c>
      <c r="H295" s="5">
        <v>1300</v>
      </c>
      <c r="I295" s="5" t="str">
        <f t="shared" si="16"/>
        <v>Holy_Desc_1060006</v>
      </c>
      <c r="J295" s="4" t="s">
        <v>38</v>
      </c>
      <c r="K295" s="5">
        <f>[1]圣物数值!$C293*10000</f>
        <v>6300</v>
      </c>
      <c r="L295" s="5">
        <v>1060006</v>
      </c>
    </row>
    <row r="296" spans="1:12" x14ac:dyDescent="0.15">
      <c r="A296" s="5">
        <v>7393</v>
      </c>
      <c r="B296" s="5">
        <v>106</v>
      </c>
      <c r="C296" s="5" t="str">
        <f t="shared" si="15"/>
        <v>Holy_Name_1060006</v>
      </c>
      <c r="D296" s="5" t="s">
        <v>37</v>
      </c>
      <c r="E296" s="5">
        <v>1</v>
      </c>
      <c r="F296" s="5">
        <v>43</v>
      </c>
      <c r="G296" s="5">
        <v>66</v>
      </c>
      <c r="H296" s="5">
        <v>1330</v>
      </c>
      <c r="I296" s="5" t="str">
        <f t="shared" si="16"/>
        <v>Holy_Desc_1060006</v>
      </c>
      <c r="J296" s="4" t="s">
        <v>38</v>
      </c>
      <c r="K296" s="5">
        <f>[1]圣物数值!$C294*10000</f>
        <v>6450</v>
      </c>
      <c r="L296" s="5">
        <v>1060006</v>
      </c>
    </row>
    <row r="297" spans="1:12" x14ac:dyDescent="0.15">
      <c r="A297" s="5">
        <v>7394</v>
      </c>
      <c r="B297" s="5">
        <v>106</v>
      </c>
      <c r="C297" s="5" t="str">
        <f t="shared" si="15"/>
        <v>Holy_Name_1060006</v>
      </c>
      <c r="D297" s="5" t="s">
        <v>37</v>
      </c>
      <c r="E297" s="5">
        <v>1</v>
      </c>
      <c r="F297" s="5">
        <v>44</v>
      </c>
      <c r="G297" s="5">
        <v>68</v>
      </c>
      <c r="H297" s="5">
        <v>1360</v>
      </c>
      <c r="I297" s="5" t="str">
        <f t="shared" si="16"/>
        <v>Holy_Desc_1060006</v>
      </c>
      <c r="J297" s="4" t="s">
        <v>38</v>
      </c>
      <c r="K297" s="5">
        <f>[1]圣物数值!$C295*10000</f>
        <v>6600</v>
      </c>
      <c r="L297" s="5">
        <v>1060006</v>
      </c>
    </row>
    <row r="298" spans="1:12" x14ac:dyDescent="0.15">
      <c r="A298" s="5">
        <v>7395</v>
      </c>
      <c r="B298" s="5">
        <v>106</v>
      </c>
      <c r="C298" s="5" t="str">
        <f t="shared" si="15"/>
        <v>Holy_Name_1060006</v>
      </c>
      <c r="D298" s="5" t="s">
        <v>37</v>
      </c>
      <c r="E298" s="5">
        <v>1</v>
      </c>
      <c r="F298" s="5">
        <v>45</v>
      </c>
      <c r="G298" s="5">
        <v>70</v>
      </c>
      <c r="H298" s="5">
        <v>1390</v>
      </c>
      <c r="I298" s="5" t="str">
        <f t="shared" si="16"/>
        <v>Holy_Desc_1060006</v>
      </c>
      <c r="J298" s="4" t="s">
        <v>38</v>
      </c>
      <c r="K298" s="5">
        <f>[1]圣物数值!$C296*10000</f>
        <v>6750</v>
      </c>
      <c r="L298" s="5">
        <v>1060006</v>
      </c>
    </row>
    <row r="299" spans="1:12" x14ac:dyDescent="0.15">
      <c r="A299" s="5">
        <v>7396</v>
      </c>
      <c r="B299" s="5">
        <v>106</v>
      </c>
      <c r="C299" s="5" t="str">
        <f t="shared" si="15"/>
        <v>Holy_Name_1060006</v>
      </c>
      <c r="D299" s="5" t="s">
        <v>37</v>
      </c>
      <c r="E299" s="5">
        <v>1</v>
      </c>
      <c r="F299" s="5">
        <v>46</v>
      </c>
      <c r="G299" s="5">
        <v>71</v>
      </c>
      <c r="H299" s="5">
        <v>1420</v>
      </c>
      <c r="I299" s="5" t="str">
        <f t="shared" si="16"/>
        <v>Holy_Desc_1060006</v>
      </c>
      <c r="J299" s="4" t="s">
        <v>38</v>
      </c>
      <c r="K299" s="5">
        <f>[1]圣物数值!$C297*10000</f>
        <v>6900</v>
      </c>
      <c r="L299" s="5">
        <v>1060006</v>
      </c>
    </row>
    <row r="300" spans="1:12" x14ac:dyDescent="0.15">
      <c r="A300" s="5">
        <v>7397</v>
      </c>
      <c r="B300" s="5">
        <v>106</v>
      </c>
      <c r="C300" s="5" t="str">
        <f t="shared" si="15"/>
        <v>Holy_Name_1060006</v>
      </c>
      <c r="D300" s="5" t="s">
        <v>37</v>
      </c>
      <c r="E300" s="5">
        <v>1</v>
      </c>
      <c r="F300" s="5">
        <v>47</v>
      </c>
      <c r="G300" s="5">
        <v>73</v>
      </c>
      <c r="H300" s="5">
        <v>1460</v>
      </c>
      <c r="I300" s="5" t="str">
        <f t="shared" si="16"/>
        <v>Holy_Desc_1060006</v>
      </c>
      <c r="J300" s="4" t="s">
        <v>38</v>
      </c>
      <c r="K300" s="5">
        <f>[1]圣物数值!$C298*10000</f>
        <v>7050</v>
      </c>
      <c r="L300" s="5">
        <v>1060006</v>
      </c>
    </row>
    <row r="301" spans="1:12" x14ac:dyDescent="0.15">
      <c r="A301" s="5">
        <v>7398</v>
      </c>
      <c r="B301" s="5">
        <v>106</v>
      </c>
      <c r="C301" s="5" t="str">
        <f t="shared" si="15"/>
        <v>Holy_Name_1060006</v>
      </c>
      <c r="D301" s="5" t="s">
        <v>37</v>
      </c>
      <c r="E301" s="5">
        <v>1</v>
      </c>
      <c r="F301" s="5">
        <v>48</v>
      </c>
      <c r="G301" s="5">
        <v>74</v>
      </c>
      <c r="H301" s="5">
        <v>1490</v>
      </c>
      <c r="I301" s="5" t="str">
        <f t="shared" si="16"/>
        <v>Holy_Desc_1060006</v>
      </c>
      <c r="J301" s="4" t="s">
        <v>38</v>
      </c>
      <c r="K301" s="5">
        <f>[1]圣物数值!$C299*10000</f>
        <v>7200</v>
      </c>
      <c r="L301" s="5">
        <v>1060006</v>
      </c>
    </row>
    <row r="302" spans="1:12" x14ac:dyDescent="0.15">
      <c r="A302" s="5">
        <v>7399</v>
      </c>
      <c r="B302" s="5">
        <v>106</v>
      </c>
      <c r="C302" s="5" t="str">
        <f t="shared" si="15"/>
        <v>Holy_Name_1060006</v>
      </c>
      <c r="D302" s="5" t="s">
        <v>37</v>
      </c>
      <c r="E302" s="5">
        <v>1</v>
      </c>
      <c r="F302" s="5">
        <v>49</v>
      </c>
      <c r="G302" s="5">
        <v>76</v>
      </c>
      <c r="H302" s="5">
        <v>1520</v>
      </c>
      <c r="I302" s="5" t="str">
        <f t="shared" si="16"/>
        <v>Holy_Desc_1060006</v>
      </c>
      <c r="J302" s="4" t="s">
        <v>38</v>
      </c>
      <c r="K302" s="5">
        <f>[1]圣物数值!$C300*10000</f>
        <v>7350</v>
      </c>
      <c r="L302" s="5">
        <v>1060006</v>
      </c>
    </row>
    <row r="303" spans="1:12" x14ac:dyDescent="0.15">
      <c r="A303" s="5">
        <v>7400</v>
      </c>
      <c r="B303" s="5">
        <v>106</v>
      </c>
      <c r="C303" s="5" t="str">
        <f t="shared" si="15"/>
        <v>Holy_Name_1060006</v>
      </c>
      <c r="D303" s="5" t="s">
        <v>37</v>
      </c>
      <c r="E303" s="5">
        <v>1</v>
      </c>
      <c r="F303" s="5">
        <v>50</v>
      </c>
      <c r="G303" s="5">
        <v>78</v>
      </c>
      <c r="H303" s="5">
        <v>1550</v>
      </c>
      <c r="I303" s="5" t="str">
        <f t="shared" si="16"/>
        <v>Holy_Desc_1060006</v>
      </c>
      <c r="J303" s="4" t="s">
        <v>38</v>
      </c>
      <c r="K303" s="5">
        <f>[1]圣物数值!$C301*10000</f>
        <v>7500</v>
      </c>
      <c r="L303" s="5">
        <v>1060006</v>
      </c>
    </row>
    <row r="304" spans="1:12" x14ac:dyDescent="0.15">
      <c r="A304" s="5">
        <v>7401</v>
      </c>
      <c r="B304" s="5">
        <v>107</v>
      </c>
      <c r="C304" s="5" t="str">
        <f t="shared" si="15"/>
        <v>Holy_Name_1060007</v>
      </c>
      <c r="D304" s="5" t="s">
        <v>39</v>
      </c>
      <c r="E304" s="5">
        <v>1</v>
      </c>
      <c r="F304" s="5">
        <v>1</v>
      </c>
      <c r="G304" s="5">
        <v>0</v>
      </c>
      <c r="H304" s="5">
        <v>0</v>
      </c>
      <c r="I304" s="5" t="str">
        <f t="shared" si="16"/>
        <v>Holy_Desc_1060007</v>
      </c>
      <c r="J304" s="4" t="s">
        <v>40</v>
      </c>
      <c r="K304" s="5">
        <f>[1]圣物数值!$C302*10000</f>
        <v>180</v>
      </c>
      <c r="L304" s="5">
        <v>1060007</v>
      </c>
    </row>
    <row r="305" spans="1:12" x14ac:dyDescent="0.15">
      <c r="A305" s="5">
        <v>7402</v>
      </c>
      <c r="B305" s="5">
        <v>107</v>
      </c>
      <c r="C305" s="5" t="str">
        <f t="shared" si="15"/>
        <v>Holy_Name_1060007</v>
      </c>
      <c r="D305" s="5" t="s">
        <v>39</v>
      </c>
      <c r="E305" s="5">
        <v>1</v>
      </c>
      <c r="F305" s="5">
        <v>2</v>
      </c>
      <c r="G305" s="5">
        <v>1</v>
      </c>
      <c r="H305" s="5">
        <v>30</v>
      </c>
      <c r="I305" s="5" t="str">
        <f t="shared" si="16"/>
        <v>Holy_Desc_1060007</v>
      </c>
      <c r="J305" s="4" t="s">
        <v>40</v>
      </c>
      <c r="K305" s="5">
        <f>[1]圣物数值!$C303*10000</f>
        <v>300</v>
      </c>
      <c r="L305" s="5">
        <v>1060007</v>
      </c>
    </row>
    <row r="306" spans="1:12" x14ac:dyDescent="0.15">
      <c r="A306" s="5">
        <v>7403</v>
      </c>
      <c r="B306" s="5">
        <v>107</v>
      </c>
      <c r="C306" s="5" t="str">
        <f t="shared" si="15"/>
        <v>Holy_Name_1060007</v>
      </c>
      <c r="D306" s="5" t="s">
        <v>39</v>
      </c>
      <c r="E306" s="5">
        <v>1</v>
      </c>
      <c r="F306" s="5">
        <v>3</v>
      </c>
      <c r="G306" s="5">
        <v>2</v>
      </c>
      <c r="H306" s="5">
        <v>50</v>
      </c>
      <c r="I306" s="5" t="str">
        <f t="shared" si="16"/>
        <v>Holy_Desc_1060007</v>
      </c>
      <c r="J306" s="4" t="s">
        <v>40</v>
      </c>
      <c r="K306" s="5">
        <f>[1]圣物数值!$C304*10000</f>
        <v>450</v>
      </c>
      <c r="L306" s="5">
        <v>1060007</v>
      </c>
    </row>
    <row r="307" spans="1:12" x14ac:dyDescent="0.15">
      <c r="A307" s="5">
        <v>7404</v>
      </c>
      <c r="B307" s="5">
        <v>107</v>
      </c>
      <c r="C307" s="5" t="str">
        <f t="shared" si="15"/>
        <v>Holy_Name_1060007</v>
      </c>
      <c r="D307" s="5" t="s">
        <v>39</v>
      </c>
      <c r="E307" s="5">
        <v>1</v>
      </c>
      <c r="F307" s="5">
        <v>4</v>
      </c>
      <c r="G307" s="5">
        <v>4</v>
      </c>
      <c r="H307" s="5">
        <v>80</v>
      </c>
      <c r="I307" s="5" t="str">
        <f t="shared" si="16"/>
        <v>Holy_Desc_1060007</v>
      </c>
      <c r="J307" s="4" t="s">
        <v>40</v>
      </c>
      <c r="K307" s="5">
        <f>[1]圣物数值!$C305*10000</f>
        <v>600</v>
      </c>
      <c r="L307" s="5">
        <v>1060007</v>
      </c>
    </row>
    <row r="308" spans="1:12" x14ac:dyDescent="0.15">
      <c r="A308" s="5">
        <v>7405</v>
      </c>
      <c r="B308" s="5">
        <v>107</v>
      </c>
      <c r="C308" s="5" t="str">
        <f t="shared" si="15"/>
        <v>Holy_Name_1060007</v>
      </c>
      <c r="D308" s="5" t="s">
        <v>39</v>
      </c>
      <c r="E308" s="5">
        <v>1</v>
      </c>
      <c r="F308" s="5">
        <v>5</v>
      </c>
      <c r="G308" s="5">
        <v>6</v>
      </c>
      <c r="H308" s="5">
        <v>110</v>
      </c>
      <c r="I308" s="5" t="str">
        <f t="shared" si="16"/>
        <v>Holy_Desc_1060007</v>
      </c>
      <c r="J308" s="4" t="s">
        <v>40</v>
      </c>
      <c r="K308" s="5">
        <f>[1]圣物数值!$C306*10000</f>
        <v>750</v>
      </c>
      <c r="L308" s="5">
        <v>1060007</v>
      </c>
    </row>
    <row r="309" spans="1:12" x14ac:dyDescent="0.15">
      <c r="A309" s="5">
        <v>7406</v>
      </c>
      <c r="B309" s="5">
        <v>107</v>
      </c>
      <c r="C309" s="5" t="str">
        <f t="shared" si="15"/>
        <v>Holy_Name_1060007</v>
      </c>
      <c r="D309" s="5" t="s">
        <v>39</v>
      </c>
      <c r="E309" s="5">
        <v>1</v>
      </c>
      <c r="F309" s="5">
        <v>6</v>
      </c>
      <c r="G309" s="5">
        <v>7</v>
      </c>
      <c r="H309" s="5">
        <v>140</v>
      </c>
      <c r="I309" s="5" t="str">
        <f t="shared" si="16"/>
        <v>Holy_Desc_1060007</v>
      </c>
      <c r="J309" s="4" t="s">
        <v>40</v>
      </c>
      <c r="K309" s="5">
        <f>[1]圣物数值!$C307*10000</f>
        <v>900</v>
      </c>
      <c r="L309" s="5">
        <v>1060007</v>
      </c>
    </row>
    <row r="310" spans="1:12" x14ac:dyDescent="0.15">
      <c r="A310" s="5">
        <v>7407</v>
      </c>
      <c r="B310" s="5">
        <v>107</v>
      </c>
      <c r="C310" s="5" t="str">
        <f t="shared" si="15"/>
        <v>Holy_Name_1060007</v>
      </c>
      <c r="D310" s="5" t="s">
        <v>39</v>
      </c>
      <c r="E310" s="5">
        <v>1</v>
      </c>
      <c r="F310" s="5">
        <v>7</v>
      </c>
      <c r="G310" s="5">
        <v>9</v>
      </c>
      <c r="H310" s="5">
        <v>180</v>
      </c>
      <c r="I310" s="5" t="str">
        <f t="shared" si="16"/>
        <v>Holy_Desc_1060007</v>
      </c>
      <c r="J310" s="4" t="s">
        <v>40</v>
      </c>
      <c r="K310" s="5">
        <f>[1]圣物数值!$C308*10000</f>
        <v>1050</v>
      </c>
      <c r="L310" s="5">
        <v>1060007</v>
      </c>
    </row>
    <row r="311" spans="1:12" x14ac:dyDescent="0.15">
      <c r="A311" s="5">
        <v>7408</v>
      </c>
      <c r="B311" s="5">
        <v>107</v>
      </c>
      <c r="C311" s="5" t="str">
        <f t="shared" si="15"/>
        <v>Holy_Name_1060007</v>
      </c>
      <c r="D311" s="5" t="s">
        <v>39</v>
      </c>
      <c r="E311" s="5">
        <v>1</v>
      </c>
      <c r="F311" s="5">
        <v>8</v>
      </c>
      <c r="G311" s="5">
        <v>10</v>
      </c>
      <c r="H311" s="5">
        <v>210</v>
      </c>
      <c r="I311" s="5" t="str">
        <f t="shared" si="16"/>
        <v>Holy_Desc_1060007</v>
      </c>
      <c r="J311" s="4" t="s">
        <v>40</v>
      </c>
      <c r="K311" s="5">
        <f>[1]圣物数值!$C309*10000</f>
        <v>1200</v>
      </c>
      <c r="L311" s="5">
        <v>1060007</v>
      </c>
    </row>
    <row r="312" spans="1:12" x14ac:dyDescent="0.15">
      <c r="A312" s="5">
        <v>7409</v>
      </c>
      <c r="B312" s="5">
        <v>107</v>
      </c>
      <c r="C312" s="5" t="str">
        <f t="shared" si="15"/>
        <v>Holy_Name_1060007</v>
      </c>
      <c r="D312" s="5" t="s">
        <v>39</v>
      </c>
      <c r="E312" s="5">
        <v>1</v>
      </c>
      <c r="F312" s="5">
        <v>9</v>
      </c>
      <c r="G312" s="5">
        <v>12</v>
      </c>
      <c r="H312" s="5">
        <v>240</v>
      </c>
      <c r="I312" s="5" t="str">
        <f t="shared" si="16"/>
        <v>Holy_Desc_1060007</v>
      </c>
      <c r="J312" s="4" t="s">
        <v>40</v>
      </c>
      <c r="K312" s="5">
        <f>[1]圣物数值!$C310*10000</f>
        <v>1350</v>
      </c>
      <c r="L312" s="5">
        <v>1060007</v>
      </c>
    </row>
    <row r="313" spans="1:12" x14ac:dyDescent="0.15">
      <c r="A313" s="5">
        <v>7410</v>
      </c>
      <c r="B313" s="5">
        <v>107</v>
      </c>
      <c r="C313" s="5" t="str">
        <f t="shared" si="15"/>
        <v>Holy_Name_1060007</v>
      </c>
      <c r="D313" s="5" t="s">
        <v>39</v>
      </c>
      <c r="E313" s="5">
        <v>1</v>
      </c>
      <c r="F313" s="5">
        <v>10</v>
      </c>
      <c r="G313" s="5">
        <v>14</v>
      </c>
      <c r="H313" s="5">
        <v>270</v>
      </c>
      <c r="I313" s="5" t="str">
        <f t="shared" si="16"/>
        <v>Holy_Desc_1060007</v>
      </c>
      <c r="J313" s="4" t="s">
        <v>40</v>
      </c>
      <c r="K313" s="5">
        <f>[1]圣物数值!$C311*10000</f>
        <v>1500</v>
      </c>
      <c r="L313" s="5">
        <v>1060007</v>
      </c>
    </row>
    <row r="314" spans="1:12" x14ac:dyDescent="0.15">
      <c r="A314" s="5">
        <v>7411</v>
      </c>
      <c r="B314" s="5">
        <v>107</v>
      </c>
      <c r="C314" s="5" t="str">
        <f t="shared" ref="C314:C363" si="17">"Holy_Name_"&amp;L314</f>
        <v>Holy_Name_1060007</v>
      </c>
      <c r="D314" s="5" t="s">
        <v>39</v>
      </c>
      <c r="E314" s="5">
        <v>1</v>
      </c>
      <c r="F314" s="5">
        <v>11</v>
      </c>
      <c r="G314" s="5">
        <v>15</v>
      </c>
      <c r="H314" s="5">
        <v>300</v>
      </c>
      <c r="I314" s="5" t="str">
        <f t="shared" ref="I314:I363" si="18">"Holy_Desc_"&amp;L314</f>
        <v>Holy_Desc_1060007</v>
      </c>
      <c r="J314" s="4" t="s">
        <v>40</v>
      </c>
      <c r="K314" s="5">
        <f>[1]圣物数值!$C312*10000</f>
        <v>1650</v>
      </c>
      <c r="L314" s="5">
        <v>1060007</v>
      </c>
    </row>
    <row r="315" spans="1:12" x14ac:dyDescent="0.15">
      <c r="A315" s="5">
        <v>7412</v>
      </c>
      <c r="B315" s="5">
        <v>107</v>
      </c>
      <c r="C315" s="5" t="str">
        <f t="shared" si="17"/>
        <v>Holy_Name_1060007</v>
      </c>
      <c r="D315" s="5" t="s">
        <v>39</v>
      </c>
      <c r="E315" s="5">
        <v>1</v>
      </c>
      <c r="F315" s="5">
        <v>12</v>
      </c>
      <c r="G315" s="5">
        <v>17</v>
      </c>
      <c r="H315" s="5">
        <v>340</v>
      </c>
      <c r="I315" s="5" t="str">
        <f t="shared" si="18"/>
        <v>Holy_Desc_1060007</v>
      </c>
      <c r="J315" s="4" t="s">
        <v>40</v>
      </c>
      <c r="K315" s="5">
        <f>[1]圣物数值!$C313*10000</f>
        <v>1800</v>
      </c>
      <c r="L315" s="5">
        <v>1060007</v>
      </c>
    </row>
    <row r="316" spans="1:12" x14ac:dyDescent="0.15">
      <c r="A316" s="5">
        <v>7413</v>
      </c>
      <c r="B316" s="5">
        <v>107</v>
      </c>
      <c r="C316" s="5" t="str">
        <f t="shared" si="17"/>
        <v>Holy_Name_1060007</v>
      </c>
      <c r="D316" s="5" t="s">
        <v>39</v>
      </c>
      <c r="E316" s="5">
        <v>1</v>
      </c>
      <c r="F316" s="5">
        <v>13</v>
      </c>
      <c r="G316" s="5">
        <v>18</v>
      </c>
      <c r="H316" s="5">
        <v>370</v>
      </c>
      <c r="I316" s="5" t="str">
        <f t="shared" si="18"/>
        <v>Holy_Desc_1060007</v>
      </c>
      <c r="J316" s="4" t="s">
        <v>40</v>
      </c>
      <c r="K316" s="5">
        <f>[1]圣物数值!$C314*10000</f>
        <v>1950</v>
      </c>
      <c r="L316" s="5">
        <v>1060007</v>
      </c>
    </row>
    <row r="317" spans="1:12" x14ac:dyDescent="0.15">
      <c r="A317" s="5">
        <v>7414</v>
      </c>
      <c r="B317" s="5">
        <v>107</v>
      </c>
      <c r="C317" s="5" t="str">
        <f t="shared" si="17"/>
        <v>Holy_Name_1060007</v>
      </c>
      <c r="D317" s="5" t="s">
        <v>39</v>
      </c>
      <c r="E317" s="5">
        <v>1</v>
      </c>
      <c r="F317" s="5">
        <v>14</v>
      </c>
      <c r="G317" s="5">
        <v>20</v>
      </c>
      <c r="H317" s="5">
        <v>400</v>
      </c>
      <c r="I317" s="5" t="str">
        <f t="shared" si="18"/>
        <v>Holy_Desc_1060007</v>
      </c>
      <c r="J317" s="4" t="s">
        <v>40</v>
      </c>
      <c r="K317" s="5">
        <f>[1]圣物数值!$C315*10000</f>
        <v>2100</v>
      </c>
      <c r="L317" s="5">
        <v>1060007</v>
      </c>
    </row>
    <row r="318" spans="1:12" x14ac:dyDescent="0.15">
      <c r="A318" s="5">
        <v>7415</v>
      </c>
      <c r="B318" s="5">
        <v>107</v>
      </c>
      <c r="C318" s="5" t="str">
        <f t="shared" si="17"/>
        <v>Holy_Name_1060007</v>
      </c>
      <c r="D318" s="5" t="s">
        <v>39</v>
      </c>
      <c r="E318" s="5">
        <v>1</v>
      </c>
      <c r="F318" s="5">
        <v>15</v>
      </c>
      <c r="G318" s="5">
        <v>22</v>
      </c>
      <c r="H318" s="5">
        <v>430</v>
      </c>
      <c r="I318" s="5" t="str">
        <f t="shared" si="18"/>
        <v>Holy_Desc_1060007</v>
      </c>
      <c r="J318" s="4" t="s">
        <v>40</v>
      </c>
      <c r="K318" s="5">
        <f>[1]圣物数值!$C316*10000</f>
        <v>2250</v>
      </c>
      <c r="L318" s="5">
        <v>1060007</v>
      </c>
    </row>
    <row r="319" spans="1:12" x14ac:dyDescent="0.15">
      <c r="A319" s="5">
        <v>7416</v>
      </c>
      <c r="B319" s="5">
        <v>107</v>
      </c>
      <c r="C319" s="5" t="str">
        <f t="shared" si="17"/>
        <v>Holy_Name_1060007</v>
      </c>
      <c r="D319" s="5" t="s">
        <v>39</v>
      </c>
      <c r="E319" s="5">
        <v>1</v>
      </c>
      <c r="F319" s="5">
        <v>16</v>
      </c>
      <c r="G319" s="5">
        <v>23</v>
      </c>
      <c r="H319" s="5">
        <v>460</v>
      </c>
      <c r="I319" s="5" t="str">
        <f t="shared" si="18"/>
        <v>Holy_Desc_1060007</v>
      </c>
      <c r="J319" s="4" t="s">
        <v>40</v>
      </c>
      <c r="K319" s="5">
        <f>[1]圣物数值!$C317*10000</f>
        <v>2400</v>
      </c>
      <c r="L319" s="5">
        <v>1060007</v>
      </c>
    </row>
    <row r="320" spans="1:12" x14ac:dyDescent="0.15">
      <c r="A320" s="5">
        <v>7417</v>
      </c>
      <c r="B320" s="5">
        <v>107</v>
      </c>
      <c r="C320" s="5" t="str">
        <f t="shared" si="17"/>
        <v>Holy_Name_1060007</v>
      </c>
      <c r="D320" s="5" t="s">
        <v>39</v>
      </c>
      <c r="E320" s="5">
        <v>1</v>
      </c>
      <c r="F320" s="5">
        <v>17</v>
      </c>
      <c r="G320" s="5">
        <v>25</v>
      </c>
      <c r="H320" s="5">
        <v>500</v>
      </c>
      <c r="I320" s="5" t="str">
        <f t="shared" si="18"/>
        <v>Holy_Desc_1060007</v>
      </c>
      <c r="J320" s="4" t="s">
        <v>40</v>
      </c>
      <c r="K320" s="5">
        <f>[1]圣物数值!$C318*10000</f>
        <v>2550</v>
      </c>
      <c r="L320" s="5">
        <v>1060007</v>
      </c>
    </row>
    <row r="321" spans="1:12" x14ac:dyDescent="0.15">
      <c r="A321" s="5">
        <v>7418</v>
      </c>
      <c r="B321" s="5">
        <v>107</v>
      </c>
      <c r="C321" s="5" t="str">
        <f t="shared" si="17"/>
        <v>Holy_Name_1060007</v>
      </c>
      <c r="D321" s="5" t="s">
        <v>39</v>
      </c>
      <c r="E321" s="5">
        <v>1</v>
      </c>
      <c r="F321" s="5">
        <v>18</v>
      </c>
      <c r="G321" s="5">
        <v>26</v>
      </c>
      <c r="H321" s="5">
        <v>530</v>
      </c>
      <c r="I321" s="5" t="str">
        <f t="shared" si="18"/>
        <v>Holy_Desc_1060007</v>
      </c>
      <c r="J321" s="4" t="s">
        <v>40</v>
      </c>
      <c r="K321" s="5">
        <f>[1]圣物数值!$C319*10000</f>
        <v>2700</v>
      </c>
      <c r="L321" s="5">
        <v>1060007</v>
      </c>
    </row>
    <row r="322" spans="1:12" x14ac:dyDescent="0.15">
      <c r="A322" s="5">
        <v>7419</v>
      </c>
      <c r="B322" s="5">
        <v>107</v>
      </c>
      <c r="C322" s="5" t="str">
        <f t="shared" si="17"/>
        <v>Holy_Name_1060007</v>
      </c>
      <c r="D322" s="5" t="s">
        <v>39</v>
      </c>
      <c r="E322" s="5">
        <v>1</v>
      </c>
      <c r="F322" s="5">
        <v>19</v>
      </c>
      <c r="G322" s="5">
        <v>28</v>
      </c>
      <c r="H322" s="5">
        <v>560</v>
      </c>
      <c r="I322" s="5" t="str">
        <f t="shared" si="18"/>
        <v>Holy_Desc_1060007</v>
      </c>
      <c r="J322" s="4" t="s">
        <v>40</v>
      </c>
      <c r="K322" s="5">
        <f>[1]圣物数值!$C320*10000</f>
        <v>2850</v>
      </c>
      <c r="L322" s="5">
        <v>1060007</v>
      </c>
    </row>
    <row r="323" spans="1:12" x14ac:dyDescent="0.15">
      <c r="A323" s="5">
        <v>7420</v>
      </c>
      <c r="B323" s="5">
        <v>107</v>
      </c>
      <c r="C323" s="5" t="str">
        <f t="shared" si="17"/>
        <v>Holy_Name_1060007</v>
      </c>
      <c r="D323" s="5" t="s">
        <v>39</v>
      </c>
      <c r="E323" s="5">
        <v>1</v>
      </c>
      <c r="F323" s="5">
        <v>20</v>
      </c>
      <c r="G323" s="5">
        <v>30</v>
      </c>
      <c r="H323" s="5">
        <v>590</v>
      </c>
      <c r="I323" s="5" t="str">
        <f t="shared" si="18"/>
        <v>Holy_Desc_1060007</v>
      </c>
      <c r="J323" s="4" t="s">
        <v>40</v>
      </c>
      <c r="K323" s="5">
        <f>[1]圣物数值!$C321*10000</f>
        <v>3000</v>
      </c>
      <c r="L323" s="5">
        <v>1060007</v>
      </c>
    </row>
    <row r="324" spans="1:12" x14ac:dyDescent="0.15">
      <c r="A324" s="5">
        <v>7421</v>
      </c>
      <c r="B324" s="5">
        <v>107</v>
      </c>
      <c r="C324" s="5" t="str">
        <f t="shared" si="17"/>
        <v>Holy_Name_1060007</v>
      </c>
      <c r="D324" s="5" t="s">
        <v>39</v>
      </c>
      <c r="E324" s="5">
        <v>1</v>
      </c>
      <c r="F324" s="5">
        <v>21</v>
      </c>
      <c r="G324" s="5">
        <v>31</v>
      </c>
      <c r="H324" s="5">
        <v>620</v>
      </c>
      <c r="I324" s="5" t="str">
        <f t="shared" si="18"/>
        <v>Holy_Desc_1060007</v>
      </c>
      <c r="J324" s="4" t="s">
        <v>40</v>
      </c>
      <c r="K324" s="5">
        <f>[1]圣物数值!$C322*10000</f>
        <v>3150</v>
      </c>
      <c r="L324" s="5">
        <v>1060007</v>
      </c>
    </row>
    <row r="325" spans="1:12" x14ac:dyDescent="0.15">
      <c r="A325" s="5">
        <v>7422</v>
      </c>
      <c r="B325" s="5">
        <v>107</v>
      </c>
      <c r="C325" s="5" t="str">
        <f t="shared" si="17"/>
        <v>Holy_Name_1060007</v>
      </c>
      <c r="D325" s="5" t="s">
        <v>39</v>
      </c>
      <c r="E325" s="5">
        <v>1</v>
      </c>
      <c r="F325" s="5">
        <v>22</v>
      </c>
      <c r="G325" s="5">
        <v>33</v>
      </c>
      <c r="H325" s="5">
        <v>660</v>
      </c>
      <c r="I325" s="5" t="str">
        <f t="shared" si="18"/>
        <v>Holy_Desc_1060007</v>
      </c>
      <c r="J325" s="4" t="s">
        <v>40</v>
      </c>
      <c r="K325" s="5">
        <f>[1]圣物数值!$C323*10000</f>
        <v>3300</v>
      </c>
      <c r="L325" s="5">
        <v>1060007</v>
      </c>
    </row>
    <row r="326" spans="1:12" x14ac:dyDescent="0.15">
      <c r="A326" s="5">
        <v>7423</v>
      </c>
      <c r="B326" s="5">
        <v>107</v>
      </c>
      <c r="C326" s="5" t="str">
        <f t="shared" si="17"/>
        <v>Holy_Name_1060007</v>
      </c>
      <c r="D326" s="5" t="s">
        <v>39</v>
      </c>
      <c r="E326" s="5">
        <v>1</v>
      </c>
      <c r="F326" s="5">
        <v>23</v>
      </c>
      <c r="G326" s="5">
        <v>34</v>
      </c>
      <c r="H326" s="5">
        <v>690</v>
      </c>
      <c r="I326" s="5" t="str">
        <f t="shared" si="18"/>
        <v>Holy_Desc_1060007</v>
      </c>
      <c r="J326" s="4" t="s">
        <v>40</v>
      </c>
      <c r="K326" s="5">
        <f>[1]圣物数值!$C324*10000</f>
        <v>3450</v>
      </c>
      <c r="L326" s="5">
        <v>1060007</v>
      </c>
    </row>
    <row r="327" spans="1:12" x14ac:dyDescent="0.15">
      <c r="A327" s="5">
        <v>7424</v>
      </c>
      <c r="B327" s="5">
        <v>107</v>
      </c>
      <c r="C327" s="5" t="str">
        <f t="shared" si="17"/>
        <v>Holy_Name_1060007</v>
      </c>
      <c r="D327" s="5" t="s">
        <v>39</v>
      </c>
      <c r="E327" s="5">
        <v>1</v>
      </c>
      <c r="F327" s="5">
        <v>24</v>
      </c>
      <c r="G327" s="5">
        <v>36</v>
      </c>
      <c r="H327" s="5">
        <v>720</v>
      </c>
      <c r="I327" s="5" t="str">
        <f t="shared" si="18"/>
        <v>Holy_Desc_1060007</v>
      </c>
      <c r="J327" s="4" t="s">
        <v>40</v>
      </c>
      <c r="K327" s="5">
        <f>[1]圣物数值!$C325*10000</f>
        <v>3600</v>
      </c>
      <c r="L327" s="5">
        <v>1060007</v>
      </c>
    </row>
    <row r="328" spans="1:12" x14ac:dyDescent="0.15">
      <c r="A328" s="5">
        <v>7425</v>
      </c>
      <c r="B328" s="5">
        <v>107</v>
      </c>
      <c r="C328" s="5" t="str">
        <f t="shared" si="17"/>
        <v>Holy_Name_1060007</v>
      </c>
      <c r="D328" s="5" t="s">
        <v>39</v>
      </c>
      <c r="E328" s="5">
        <v>1</v>
      </c>
      <c r="F328" s="5">
        <v>25</v>
      </c>
      <c r="G328" s="5">
        <v>38</v>
      </c>
      <c r="H328" s="5">
        <v>750</v>
      </c>
      <c r="I328" s="5" t="str">
        <f t="shared" si="18"/>
        <v>Holy_Desc_1060007</v>
      </c>
      <c r="J328" s="4" t="s">
        <v>40</v>
      </c>
      <c r="K328" s="5">
        <f>[1]圣物数值!$C326*10000</f>
        <v>3750</v>
      </c>
      <c r="L328" s="5">
        <v>1060007</v>
      </c>
    </row>
    <row r="329" spans="1:12" x14ac:dyDescent="0.15">
      <c r="A329" s="5">
        <v>7426</v>
      </c>
      <c r="B329" s="5">
        <v>107</v>
      </c>
      <c r="C329" s="5" t="str">
        <f t="shared" si="17"/>
        <v>Holy_Name_1060007</v>
      </c>
      <c r="D329" s="5" t="s">
        <v>39</v>
      </c>
      <c r="E329" s="5">
        <v>1</v>
      </c>
      <c r="F329" s="5">
        <v>26</v>
      </c>
      <c r="G329" s="5">
        <v>39</v>
      </c>
      <c r="H329" s="5">
        <v>780</v>
      </c>
      <c r="I329" s="5" t="str">
        <f t="shared" si="18"/>
        <v>Holy_Desc_1060007</v>
      </c>
      <c r="J329" s="4" t="s">
        <v>40</v>
      </c>
      <c r="K329" s="5">
        <f>[1]圣物数值!$C327*10000</f>
        <v>3900</v>
      </c>
      <c r="L329" s="5">
        <v>1060007</v>
      </c>
    </row>
    <row r="330" spans="1:12" x14ac:dyDescent="0.15">
      <c r="A330" s="5">
        <v>7427</v>
      </c>
      <c r="B330" s="5">
        <v>107</v>
      </c>
      <c r="C330" s="5" t="str">
        <f t="shared" si="17"/>
        <v>Holy_Name_1060007</v>
      </c>
      <c r="D330" s="5" t="s">
        <v>39</v>
      </c>
      <c r="E330" s="5">
        <v>1</v>
      </c>
      <c r="F330" s="5">
        <v>27</v>
      </c>
      <c r="G330" s="5">
        <v>41</v>
      </c>
      <c r="H330" s="5">
        <v>820</v>
      </c>
      <c r="I330" s="5" t="str">
        <f t="shared" si="18"/>
        <v>Holy_Desc_1060007</v>
      </c>
      <c r="J330" s="4" t="s">
        <v>40</v>
      </c>
      <c r="K330" s="5">
        <f>[1]圣物数值!$C328*10000</f>
        <v>4050</v>
      </c>
      <c r="L330" s="5">
        <v>1060007</v>
      </c>
    </row>
    <row r="331" spans="1:12" x14ac:dyDescent="0.15">
      <c r="A331" s="5">
        <v>7428</v>
      </c>
      <c r="B331" s="5">
        <v>107</v>
      </c>
      <c r="C331" s="5" t="str">
        <f t="shared" si="17"/>
        <v>Holy_Name_1060007</v>
      </c>
      <c r="D331" s="5" t="s">
        <v>39</v>
      </c>
      <c r="E331" s="5">
        <v>1</v>
      </c>
      <c r="F331" s="5">
        <v>28</v>
      </c>
      <c r="G331" s="5">
        <v>42</v>
      </c>
      <c r="H331" s="5">
        <v>850</v>
      </c>
      <c r="I331" s="5" t="str">
        <f t="shared" si="18"/>
        <v>Holy_Desc_1060007</v>
      </c>
      <c r="J331" s="4" t="s">
        <v>40</v>
      </c>
      <c r="K331" s="5">
        <f>[1]圣物数值!$C329*10000</f>
        <v>4200</v>
      </c>
      <c r="L331" s="5">
        <v>1060007</v>
      </c>
    </row>
    <row r="332" spans="1:12" x14ac:dyDescent="0.15">
      <c r="A332" s="5">
        <v>7429</v>
      </c>
      <c r="B332" s="5">
        <v>107</v>
      </c>
      <c r="C332" s="5" t="str">
        <f t="shared" si="17"/>
        <v>Holy_Name_1060007</v>
      </c>
      <c r="D332" s="5" t="s">
        <v>39</v>
      </c>
      <c r="E332" s="5">
        <v>1</v>
      </c>
      <c r="F332" s="5">
        <v>29</v>
      </c>
      <c r="G332" s="5">
        <v>44</v>
      </c>
      <c r="H332" s="5">
        <v>880</v>
      </c>
      <c r="I332" s="5" t="str">
        <f t="shared" si="18"/>
        <v>Holy_Desc_1060007</v>
      </c>
      <c r="J332" s="4" t="s">
        <v>40</v>
      </c>
      <c r="K332" s="5">
        <f>[1]圣物数值!$C330*10000</f>
        <v>4350</v>
      </c>
      <c r="L332" s="5">
        <v>1060007</v>
      </c>
    </row>
    <row r="333" spans="1:12" x14ac:dyDescent="0.15">
      <c r="A333" s="5">
        <v>7430</v>
      </c>
      <c r="B333" s="5">
        <v>107</v>
      </c>
      <c r="C333" s="5" t="str">
        <f t="shared" si="17"/>
        <v>Holy_Name_1060007</v>
      </c>
      <c r="D333" s="5" t="s">
        <v>39</v>
      </c>
      <c r="E333" s="5">
        <v>1</v>
      </c>
      <c r="F333" s="5">
        <v>30</v>
      </c>
      <c r="G333" s="5">
        <v>46</v>
      </c>
      <c r="H333" s="5">
        <v>910</v>
      </c>
      <c r="I333" s="5" t="str">
        <f t="shared" si="18"/>
        <v>Holy_Desc_1060007</v>
      </c>
      <c r="J333" s="4" t="s">
        <v>40</v>
      </c>
      <c r="K333" s="5">
        <f>[1]圣物数值!$C331*10000</f>
        <v>4500</v>
      </c>
      <c r="L333" s="5">
        <v>1060007</v>
      </c>
    </row>
    <row r="334" spans="1:12" x14ac:dyDescent="0.15">
      <c r="A334" s="5">
        <v>7431</v>
      </c>
      <c r="B334" s="5">
        <v>107</v>
      </c>
      <c r="C334" s="5" t="str">
        <f t="shared" si="17"/>
        <v>Holy_Name_1060007</v>
      </c>
      <c r="D334" s="5" t="s">
        <v>39</v>
      </c>
      <c r="E334" s="5">
        <v>1</v>
      </c>
      <c r="F334" s="5">
        <v>31</v>
      </c>
      <c r="G334" s="5">
        <v>47</v>
      </c>
      <c r="H334" s="5">
        <v>940</v>
      </c>
      <c r="I334" s="5" t="str">
        <f t="shared" si="18"/>
        <v>Holy_Desc_1060007</v>
      </c>
      <c r="J334" s="4" t="s">
        <v>40</v>
      </c>
      <c r="K334" s="5">
        <f>[1]圣物数值!$C332*10000</f>
        <v>4650</v>
      </c>
      <c r="L334" s="5">
        <v>1060007</v>
      </c>
    </row>
    <row r="335" spans="1:12" x14ac:dyDescent="0.15">
      <c r="A335" s="5">
        <v>7432</v>
      </c>
      <c r="B335" s="5">
        <v>107</v>
      </c>
      <c r="C335" s="5" t="str">
        <f t="shared" si="17"/>
        <v>Holy_Name_1060007</v>
      </c>
      <c r="D335" s="5" t="s">
        <v>39</v>
      </c>
      <c r="E335" s="5">
        <v>1</v>
      </c>
      <c r="F335" s="5">
        <v>32</v>
      </c>
      <c r="G335" s="5">
        <v>49</v>
      </c>
      <c r="H335" s="5">
        <v>980</v>
      </c>
      <c r="I335" s="5" t="str">
        <f t="shared" si="18"/>
        <v>Holy_Desc_1060007</v>
      </c>
      <c r="J335" s="4" t="s">
        <v>40</v>
      </c>
      <c r="K335" s="5">
        <f>[1]圣物数值!$C333*10000</f>
        <v>4800</v>
      </c>
      <c r="L335" s="5">
        <v>1060007</v>
      </c>
    </row>
    <row r="336" spans="1:12" x14ac:dyDescent="0.15">
      <c r="A336" s="5">
        <v>7433</v>
      </c>
      <c r="B336" s="5">
        <v>107</v>
      </c>
      <c r="C336" s="5" t="str">
        <f t="shared" si="17"/>
        <v>Holy_Name_1060007</v>
      </c>
      <c r="D336" s="5" t="s">
        <v>39</v>
      </c>
      <c r="E336" s="5">
        <v>1</v>
      </c>
      <c r="F336" s="5">
        <v>33</v>
      </c>
      <c r="G336" s="5">
        <v>50</v>
      </c>
      <c r="H336" s="5">
        <v>1010</v>
      </c>
      <c r="I336" s="5" t="str">
        <f t="shared" si="18"/>
        <v>Holy_Desc_1060007</v>
      </c>
      <c r="J336" s="4" t="s">
        <v>40</v>
      </c>
      <c r="K336" s="5">
        <f>[1]圣物数值!$C334*10000</f>
        <v>4950</v>
      </c>
      <c r="L336" s="5">
        <v>1060007</v>
      </c>
    </row>
    <row r="337" spans="1:12" x14ac:dyDescent="0.15">
      <c r="A337" s="5">
        <v>7434</v>
      </c>
      <c r="B337" s="5">
        <v>107</v>
      </c>
      <c r="C337" s="5" t="str">
        <f t="shared" si="17"/>
        <v>Holy_Name_1060007</v>
      </c>
      <c r="D337" s="5" t="s">
        <v>39</v>
      </c>
      <c r="E337" s="5">
        <v>1</v>
      </c>
      <c r="F337" s="5">
        <v>34</v>
      </c>
      <c r="G337" s="5">
        <v>52</v>
      </c>
      <c r="H337" s="5">
        <v>1040</v>
      </c>
      <c r="I337" s="5" t="str">
        <f t="shared" si="18"/>
        <v>Holy_Desc_1060007</v>
      </c>
      <c r="J337" s="4" t="s">
        <v>40</v>
      </c>
      <c r="K337" s="5">
        <f>[1]圣物数值!$C335*10000</f>
        <v>5100</v>
      </c>
      <c r="L337" s="5">
        <v>1060007</v>
      </c>
    </row>
    <row r="338" spans="1:12" x14ac:dyDescent="0.15">
      <c r="A338" s="5">
        <v>7435</v>
      </c>
      <c r="B338" s="5">
        <v>107</v>
      </c>
      <c r="C338" s="5" t="str">
        <f t="shared" si="17"/>
        <v>Holy_Name_1060007</v>
      </c>
      <c r="D338" s="5" t="s">
        <v>39</v>
      </c>
      <c r="E338" s="5">
        <v>1</v>
      </c>
      <c r="F338" s="5">
        <v>35</v>
      </c>
      <c r="G338" s="5">
        <v>54</v>
      </c>
      <c r="H338" s="5">
        <v>1070</v>
      </c>
      <c r="I338" s="5" t="str">
        <f t="shared" si="18"/>
        <v>Holy_Desc_1060007</v>
      </c>
      <c r="J338" s="4" t="s">
        <v>40</v>
      </c>
      <c r="K338" s="5">
        <f>[1]圣物数值!$C336*10000</f>
        <v>5250</v>
      </c>
      <c r="L338" s="5">
        <v>1060007</v>
      </c>
    </row>
    <row r="339" spans="1:12" x14ac:dyDescent="0.15">
      <c r="A339" s="5">
        <v>7436</v>
      </c>
      <c r="B339" s="5">
        <v>107</v>
      </c>
      <c r="C339" s="5" t="str">
        <f t="shared" si="17"/>
        <v>Holy_Name_1060007</v>
      </c>
      <c r="D339" s="5" t="s">
        <v>39</v>
      </c>
      <c r="E339" s="5">
        <v>1</v>
      </c>
      <c r="F339" s="5">
        <v>36</v>
      </c>
      <c r="G339" s="5">
        <v>55</v>
      </c>
      <c r="H339" s="5">
        <v>1100</v>
      </c>
      <c r="I339" s="5" t="str">
        <f t="shared" si="18"/>
        <v>Holy_Desc_1060007</v>
      </c>
      <c r="J339" s="4" t="s">
        <v>40</v>
      </c>
      <c r="K339" s="5">
        <f>[1]圣物数值!$C337*10000</f>
        <v>5400</v>
      </c>
      <c r="L339" s="5">
        <v>1060007</v>
      </c>
    </row>
    <row r="340" spans="1:12" x14ac:dyDescent="0.15">
      <c r="A340" s="5">
        <v>7437</v>
      </c>
      <c r="B340" s="5">
        <v>107</v>
      </c>
      <c r="C340" s="5" t="str">
        <f t="shared" si="17"/>
        <v>Holy_Name_1060007</v>
      </c>
      <c r="D340" s="5" t="s">
        <v>39</v>
      </c>
      <c r="E340" s="5">
        <v>1</v>
      </c>
      <c r="F340" s="5">
        <v>37</v>
      </c>
      <c r="G340" s="5">
        <v>57</v>
      </c>
      <c r="H340" s="5">
        <v>1140</v>
      </c>
      <c r="I340" s="5" t="str">
        <f t="shared" si="18"/>
        <v>Holy_Desc_1060007</v>
      </c>
      <c r="J340" s="4" t="s">
        <v>40</v>
      </c>
      <c r="K340" s="5">
        <f>[1]圣物数值!$C338*10000</f>
        <v>5550</v>
      </c>
      <c r="L340" s="5">
        <v>1060007</v>
      </c>
    </row>
    <row r="341" spans="1:12" x14ac:dyDescent="0.15">
      <c r="A341" s="5">
        <v>7438</v>
      </c>
      <c r="B341" s="5">
        <v>107</v>
      </c>
      <c r="C341" s="5" t="str">
        <f t="shared" si="17"/>
        <v>Holy_Name_1060007</v>
      </c>
      <c r="D341" s="5" t="s">
        <v>39</v>
      </c>
      <c r="E341" s="5">
        <v>1</v>
      </c>
      <c r="F341" s="5">
        <v>38</v>
      </c>
      <c r="G341" s="5">
        <v>58</v>
      </c>
      <c r="H341" s="5">
        <v>1170</v>
      </c>
      <c r="I341" s="5" t="str">
        <f t="shared" si="18"/>
        <v>Holy_Desc_1060007</v>
      </c>
      <c r="J341" s="4" t="s">
        <v>40</v>
      </c>
      <c r="K341" s="5">
        <f>[1]圣物数值!$C339*10000</f>
        <v>5700</v>
      </c>
      <c r="L341" s="5">
        <v>1060007</v>
      </c>
    </row>
    <row r="342" spans="1:12" x14ac:dyDescent="0.15">
      <c r="A342" s="5">
        <v>7439</v>
      </c>
      <c r="B342" s="5">
        <v>107</v>
      </c>
      <c r="C342" s="5" t="str">
        <f t="shared" si="17"/>
        <v>Holy_Name_1060007</v>
      </c>
      <c r="D342" s="5" t="s">
        <v>39</v>
      </c>
      <c r="E342" s="5">
        <v>1</v>
      </c>
      <c r="F342" s="5">
        <v>39</v>
      </c>
      <c r="G342" s="5">
        <v>60</v>
      </c>
      <c r="H342" s="5">
        <v>1200</v>
      </c>
      <c r="I342" s="5" t="str">
        <f t="shared" si="18"/>
        <v>Holy_Desc_1060007</v>
      </c>
      <c r="J342" s="4" t="s">
        <v>40</v>
      </c>
      <c r="K342" s="5">
        <f>[1]圣物数值!$C340*10000</f>
        <v>5850</v>
      </c>
      <c r="L342" s="5">
        <v>1060007</v>
      </c>
    </row>
    <row r="343" spans="1:12" x14ac:dyDescent="0.15">
      <c r="A343" s="5">
        <v>7440</v>
      </c>
      <c r="B343" s="5">
        <v>107</v>
      </c>
      <c r="C343" s="5" t="str">
        <f t="shared" si="17"/>
        <v>Holy_Name_1060007</v>
      </c>
      <c r="D343" s="5" t="s">
        <v>39</v>
      </c>
      <c r="E343" s="5">
        <v>1</v>
      </c>
      <c r="F343" s="5">
        <v>40</v>
      </c>
      <c r="G343" s="5">
        <v>62</v>
      </c>
      <c r="H343" s="5">
        <v>1230</v>
      </c>
      <c r="I343" s="5" t="str">
        <f t="shared" si="18"/>
        <v>Holy_Desc_1060007</v>
      </c>
      <c r="J343" s="4" t="s">
        <v>40</v>
      </c>
      <c r="K343" s="5">
        <f>[1]圣物数值!$C341*10000</f>
        <v>6000</v>
      </c>
      <c r="L343" s="5">
        <v>1060007</v>
      </c>
    </row>
    <row r="344" spans="1:12" x14ac:dyDescent="0.15">
      <c r="A344" s="5">
        <v>7441</v>
      </c>
      <c r="B344" s="5">
        <v>107</v>
      </c>
      <c r="C344" s="5" t="str">
        <f t="shared" si="17"/>
        <v>Holy_Name_1060007</v>
      </c>
      <c r="D344" s="5" t="s">
        <v>39</v>
      </c>
      <c r="E344" s="5">
        <v>1</v>
      </c>
      <c r="F344" s="5">
        <v>41</v>
      </c>
      <c r="G344" s="5">
        <v>63</v>
      </c>
      <c r="H344" s="5">
        <v>1260</v>
      </c>
      <c r="I344" s="5" t="str">
        <f t="shared" si="18"/>
        <v>Holy_Desc_1060007</v>
      </c>
      <c r="J344" s="4" t="s">
        <v>40</v>
      </c>
      <c r="K344" s="5">
        <f>[1]圣物数值!$C342*10000</f>
        <v>6150</v>
      </c>
      <c r="L344" s="5">
        <v>1060007</v>
      </c>
    </row>
    <row r="345" spans="1:12" x14ac:dyDescent="0.15">
      <c r="A345" s="5">
        <v>7442</v>
      </c>
      <c r="B345" s="5">
        <v>107</v>
      </c>
      <c r="C345" s="5" t="str">
        <f t="shared" si="17"/>
        <v>Holy_Name_1060007</v>
      </c>
      <c r="D345" s="5" t="s">
        <v>39</v>
      </c>
      <c r="E345" s="5">
        <v>1</v>
      </c>
      <c r="F345" s="5">
        <v>42</v>
      </c>
      <c r="G345" s="5">
        <v>65</v>
      </c>
      <c r="H345" s="5">
        <v>1300</v>
      </c>
      <c r="I345" s="5" t="str">
        <f t="shared" si="18"/>
        <v>Holy_Desc_1060007</v>
      </c>
      <c r="J345" s="4" t="s">
        <v>40</v>
      </c>
      <c r="K345" s="5">
        <f>[1]圣物数值!$C343*10000</f>
        <v>6300</v>
      </c>
      <c r="L345" s="5">
        <v>1060007</v>
      </c>
    </row>
    <row r="346" spans="1:12" x14ac:dyDescent="0.15">
      <c r="A346" s="5">
        <v>7443</v>
      </c>
      <c r="B346" s="5">
        <v>107</v>
      </c>
      <c r="C346" s="5" t="str">
        <f t="shared" si="17"/>
        <v>Holy_Name_1060007</v>
      </c>
      <c r="D346" s="5" t="s">
        <v>39</v>
      </c>
      <c r="E346" s="5">
        <v>1</v>
      </c>
      <c r="F346" s="5">
        <v>43</v>
      </c>
      <c r="G346" s="5">
        <v>66</v>
      </c>
      <c r="H346" s="5">
        <v>1330</v>
      </c>
      <c r="I346" s="5" t="str">
        <f t="shared" si="18"/>
        <v>Holy_Desc_1060007</v>
      </c>
      <c r="J346" s="4" t="s">
        <v>40</v>
      </c>
      <c r="K346" s="5">
        <f>[1]圣物数值!$C344*10000</f>
        <v>6450</v>
      </c>
      <c r="L346" s="5">
        <v>1060007</v>
      </c>
    </row>
    <row r="347" spans="1:12" x14ac:dyDescent="0.15">
      <c r="A347" s="5">
        <v>7444</v>
      </c>
      <c r="B347" s="5">
        <v>107</v>
      </c>
      <c r="C347" s="5" t="str">
        <f t="shared" si="17"/>
        <v>Holy_Name_1060007</v>
      </c>
      <c r="D347" s="5" t="s">
        <v>39</v>
      </c>
      <c r="E347" s="5">
        <v>1</v>
      </c>
      <c r="F347" s="5">
        <v>44</v>
      </c>
      <c r="G347" s="5">
        <v>68</v>
      </c>
      <c r="H347" s="5">
        <v>1360</v>
      </c>
      <c r="I347" s="5" t="str">
        <f t="shared" si="18"/>
        <v>Holy_Desc_1060007</v>
      </c>
      <c r="J347" s="4" t="s">
        <v>40</v>
      </c>
      <c r="K347" s="5">
        <f>[1]圣物数值!$C345*10000</f>
        <v>6600</v>
      </c>
      <c r="L347" s="5">
        <v>1060007</v>
      </c>
    </row>
    <row r="348" spans="1:12" x14ac:dyDescent="0.15">
      <c r="A348" s="5">
        <v>7445</v>
      </c>
      <c r="B348" s="5">
        <v>107</v>
      </c>
      <c r="C348" s="5" t="str">
        <f t="shared" si="17"/>
        <v>Holy_Name_1060007</v>
      </c>
      <c r="D348" s="5" t="s">
        <v>39</v>
      </c>
      <c r="E348" s="5">
        <v>1</v>
      </c>
      <c r="F348" s="5">
        <v>45</v>
      </c>
      <c r="G348" s="5">
        <v>70</v>
      </c>
      <c r="H348" s="5">
        <v>1390</v>
      </c>
      <c r="I348" s="5" t="str">
        <f t="shared" si="18"/>
        <v>Holy_Desc_1060007</v>
      </c>
      <c r="J348" s="4" t="s">
        <v>40</v>
      </c>
      <c r="K348" s="5">
        <f>[1]圣物数值!$C346*10000</f>
        <v>6750</v>
      </c>
      <c r="L348" s="5">
        <v>1060007</v>
      </c>
    </row>
    <row r="349" spans="1:12" x14ac:dyDescent="0.15">
      <c r="A349" s="5">
        <v>7446</v>
      </c>
      <c r="B349" s="5">
        <v>107</v>
      </c>
      <c r="C349" s="5" t="str">
        <f t="shared" si="17"/>
        <v>Holy_Name_1060007</v>
      </c>
      <c r="D349" s="5" t="s">
        <v>39</v>
      </c>
      <c r="E349" s="5">
        <v>1</v>
      </c>
      <c r="F349" s="5">
        <v>46</v>
      </c>
      <c r="G349" s="5">
        <v>71</v>
      </c>
      <c r="H349" s="5">
        <v>1420</v>
      </c>
      <c r="I349" s="5" t="str">
        <f t="shared" si="18"/>
        <v>Holy_Desc_1060007</v>
      </c>
      <c r="J349" s="4" t="s">
        <v>40</v>
      </c>
      <c r="K349" s="5">
        <f>[1]圣物数值!$C347*10000</f>
        <v>6900</v>
      </c>
      <c r="L349" s="5">
        <v>1060007</v>
      </c>
    </row>
    <row r="350" spans="1:12" x14ac:dyDescent="0.15">
      <c r="A350" s="5">
        <v>7447</v>
      </c>
      <c r="B350" s="5">
        <v>107</v>
      </c>
      <c r="C350" s="5" t="str">
        <f t="shared" si="17"/>
        <v>Holy_Name_1060007</v>
      </c>
      <c r="D350" s="5" t="s">
        <v>39</v>
      </c>
      <c r="E350" s="5">
        <v>1</v>
      </c>
      <c r="F350" s="5">
        <v>47</v>
      </c>
      <c r="G350" s="5">
        <v>73</v>
      </c>
      <c r="H350" s="5">
        <v>1460</v>
      </c>
      <c r="I350" s="5" t="str">
        <f t="shared" si="18"/>
        <v>Holy_Desc_1060007</v>
      </c>
      <c r="J350" s="4" t="s">
        <v>40</v>
      </c>
      <c r="K350" s="5">
        <f>[1]圣物数值!$C348*10000</f>
        <v>7050</v>
      </c>
      <c r="L350" s="5">
        <v>1060007</v>
      </c>
    </row>
    <row r="351" spans="1:12" x14ac:dyDescent="0.15">
      <c r="A351" s="5">
        <v>7448</v>
      </c>
      <c r="B351" s="5">
        <v>107</v>
      </c>
      <c r="C351" s="5" t="str">
        <f t="shared" si="17"/>
        <v>Holy_Name_1060007</v>
      </c>
      <c r="D351" s="5" t="s">
        <v>39</v>
      </c>
      <c r="E351" s="5">
        <v>1</v>
      </c>
      <c r="F351" s="5">
        <v>48</v>
      </c>
      <c r="G351" s="5">
        <v>74</v>
      </c>
      <c r="H351" s="5">
        <v>1490</v>
      </c>
      <c r="I351" s="5" t="str">
        <f t="shared" si="18"/>
        <v>Holy_Desc_1060007</v>
      </c>
      <c r="J351" s="4" t="s">
        <v>40</v>
      </c>
      <c r="K351" s="5">
        <f>[1]圣物数值!$C349*10000</f>
        <v>7200</v>
      </c>
      <c r="L351" s="5">
        <v>1060007</v>
      </c>
    </row>
    <row r="352" spans="1:12" x14ac:dyDescent="0.15">
      <c r="A352" s="5">
        <v>7449</v>
      </c>
      <c r="B352" s="5">
        <v>107</v>
      </c>
      <c r="C352" s="5" t="str">
        <f t="shared" si="17"/>
        <v>Holy_Name_1060007</v>
      </c>
      <c r="D352" s="5" t="s">
        <v>39</v>
      </c>
      <c r="E352" s="5">
        <v>1</v>
      </c>
      <c r="F352" s="5">
        <v>49</v>
      </c>
      <c r="G352" s="5">
        <v>76</v>
      </c>
      <c r="H352" s="5">
        <v>1520</v>
      </c>
      <c r="I352" s="5" t="str">
        <f t="shared" si="18"/>
        <v>Holy_Desc_1060007</v>
      </c>
      <c r="J352" s="4" t="s">
        <v>40</v>
      </c>
      <c r="K352" s="5">
        <f>[1]圣物数值!$C350*10000</f>
        <v>7350</v>
      </c>
      <c r="L352" s="5">
        <v>1060007</v>
      </c>
    </row>
    <row r="353" spans="1:15" x14ac:dyDescent="0.15">
      <c r="A353" s="5">
        <v>7450</v>
      </c>
      <c r="B353" s="5">
        <v>107</v>
      </c>
      <c r="C353" s="5" t="str">
        <f t="shared" si="17"/>
        <v>Holy_Name_1060007</v>
      </c>
      <c r="D353" s="5" t="s">
        <v>39</v>
      </c>
      <c r="E353" s="5">
        <v>1</v>
      </c>
      <c r="F353" s="5">
        <v>50</v>
      </c>
      <c r="G353" s="5">
        <v>78</v>
      </c>
      <c r="H353" s="5">
        <v>1550</v>
      </c>
      <c r="I353" s="5" t="str">
        <f t="shared" si="18"/>
        <v>Holy_Desc_1060007</v>
      </c>
      <c r="J353" s="4" t="s">
        <v>40</v>
      </c>
      <c r="K353" s="5">
        <f>[1]圣物数值!$C351*10000</f>
        <v>7500</v>
      </c>
      <c r="L353" s="5">
        <v>1060007</v>
      </c>
    </row>
    <row r="354" spans="1:15" x14ac:dyDescent="0.15">
      <c r="A354" s="5">
        <v>7451</v>
      </c>
      <c r="B354" s="5">
        <v>108</v>
      </c>
      <c r="C354" s="5" t="str">
        <f t="shared" si="17"/>
        <v>Holy_Name_1060008</v>
      </c>
      <c r="D354" s="5" t="s">
        <v>41</v>
      </c>
      <c r="E354" s="5">
        <v>2</v>
      </c>
      <c r="F354" s="5">
        <v>1</v>
      </c>
      <c r="G354" s="5">
        <v>0</v>
      </c>
      <c r="H354" s="5">
        <v>0</v>
      </c>
      <c r="I354" s="5" t="str">
        <f t="shared" si="18"/>
        <v>Holy_Desc_1060008</v>
      </c>
      <c r="J354" s="4" t="s">
        <v>42</v>
      </c>
      <c r="K354" s="5">
        <f>[1]圣物数值!$C352*10000</f>
        <v>180</v>
      </c>
      <c r="L354" s="5">
        <v>1060008</v>
      </c>
      <c r="O354" s="8"/>
    </row>
    <row r="355" spans="1:15" x14ac:dyDescent="0.15">
      <c r="A355" s="5">
        <v>7452</v>
      </c>
      <c r="B355" s="5">
        <v>108</v>
      </c>
      <c r="C355" s="5" t="str">
        <f t="shared" si="17"/>
        <v>Holy_Name_1060008</v>
      </c>
      <c r="D355" s="5" t="s">
        <v>41</v>
      </c>
      <c r="E355" s="5">
        <v>2</v>
      </c>
      <c r="F355" s="5">
        <v>2</v>
      </c>
      <c r="G355" s="5">
        <v>1</v>
      </c>
      <c r="H355" s="5">
        <v>30</v>
      </c>
      <c r="I355" s="5" t="str">
        <f t="shared" si="18"/>
        <v>Holy_Desc_1060008</v>
      </c>
      <c r="J355" s="4" t="s">
        <v>42</v>
      </c>
      <c r="K355" s="5">
        <f>[1]圣物数值!$C353*10000</f>
        <v>360</v>
      </c>
      <c r="L355" s="5">
        <v>1060008</v>
      </c>
      <c r="O355" s="8"/>
    </row>
    <row r="356" spans="1:15" x14ac:dyDescent="0.15">
      <c r="A356" s="5">
        <v>7453</v>
      </c>
      <c r="B356" s="5">
        <v>108</v>
      </c>
      <c r="C356" s="5" t="str">
        <f t="shared" si="17"/>
        <v>Holy_Name_1060008</v>
      </c>
      <c r="D356" s="5" t="s">
        <v>41</v>
      </c>
      <c r="E356" s="5">
        <v>2</v>
      </c>
      <c r="F356" s="5">
        <v>3</v>
      </c>
      <c r="G356" s="5">
        <v>2</v>
      </c>
      <c r="H356" s="5">
        <v>50</v>
      </c>
      <c r="I356" s="5" t="str">
        <f t="shared" si="18"/>
        <v>Holy_Desc_1060008</v>
      </c>
      <c r="J356" s="4" t="s">
        <v>42</v>
      </c>
      <c r="K356" s="5">
        <f>[1]圣物数值!$C354*10000</f>
        <v>540</v>
      </c>
      <c r="L356" s="5">
        <v>1060008</v>
      </c>
      <c r="O356" s="8"/>
    </row>
    <row r="357" spans="1:15" x14ac:dyDescent="0.15">
      <c r="A357" s="5">
        <v>7454</v>
      </c>
      <c r="B357" s="5">
        <v>108</v>
      </c>
      <c r="C357" s="5" t="str">
        <f t="shared" si="17"/>
        <v>Holy_Name_1060008</v>
      </c>
      <c r="D357" s="5" t="s">
        <v>41</v>
      </c>
      <c r="E357" s="5">
        <v>2</v>
      </c>
      <c r="F357" s="5">
        <v>4</v>
      </c>
      <c r="G357" s="5">
        <v>4</v>
      </c>
      <c r="H357" s="5">
        <v>80</v>
      </c>
      <c r="I357" s="5" t="str">
        <f t="shared" si="18"/>
        <v>Holy_Desc_1060008</v>
      </c>
      <c r="J357" s="4" t="s">
        <v>42</v>
      </c>
      <c r="K357" s="5">
        <f>[1]圣物数值!$C355*10000</f>
        <v>720</v>
      </c>
      <c r="L357" s="5">
        <v>1060008</v>
      </c>
      <c r="O357" s="8"/>
    </row>
    <row r="358" spans="1:15" x14ac:dyDescent="0.15">
      <c r="A358" s="5">
        <v>7455</v>
      </c>
      <c r="B358" s="5">
        <v>108</v>
      </c>
      <c r="C358" s="5" t="str">
        <f t="shared" si="17"/>
        <v>Holy_Name_1060008</v>
      </c>
      <c r="D358" s="5" t="s">
        <v>41</v>
      </c>
      <c r="E358" s="5">
        <v>2</v>
      </c>
      <c r="F358" s="5">
        <v>5</v>
      </c>
      <c r="G358" s="5">
        <v>6</v>
      </c>
      <c r="H358" s="5">
        <v>110</v>
      </c>
      <c r="I358" s="5" t="str">
        <f t="shared" si="18"/>
        <v>Holy_Desc_1060008</v>
      </c>
      <c r="J358" s="4" t="s">
        <v>42</v>
      </c>
      <c r="K358" s="5">
        <f>[1]圣物数值!$C356*10000</f>
        <v>900</v>
      </c>
      <c r="L358" s="5">
        <v>1060008</v>
      </c>
      <c r="O358" s="8"/>
    </row>
    <row r="359" spans="1:15" x14ac:dyDescent="0.15">
      <c r="A359" s="5">
        <v>7456</v>
      </c>
      <c r="B359" s="5">
        <v>108</v>
      </c>
      <c r="C359" s="5" t="str">
        <f t="shared" si="17"/>
        <v>Holy_Name_1060008</v>
      </c>
      <c r="D359" s="5" t="s">
        <v>41</v>
      </c>
      <c r="E359" s="5">
        <v>2</v>
      </c>
      <c r="F359" s="5">
        <v>6</v>
      </c>
      <c r="G359" s="5">
        <v>7</v>
      </c>
      <c r="H359" s="5">
        <v>140</v>
      </c>
      <c r="I359" s="5" t="str">
        <f t="shared" si="18"/>
        <v>Holy_Desc_1060008</v>
      </c>
      <c r="J359" s="4" t="s">
        <v>42</v>
      </c>
      <c r="K359" s="5">
        <f>[1]圣物数值!$C357*10000</f>
        <v>1080</v>
      </c>
      <c r="L359" s="5">
        <v>1060008</v>
      </c>
      <c r="O359" s="8"/>
    </row>
    <row r="360" spans="1:15" x14ac:dyDescent="0.15">
      <c r="A360" s="5">
        <v>7457</v>
      </c>
      <c r="B360" s="5">
        <v>108</v>
      </c>
      <c r="C360" s="5" t="str">
        <f t="shared" si="17"/>
        <v>Holy_Name_1060008</v>
      </c>
      <c r="D360" s="5" t="s">
        <v>41</v>
      </c>
      <c r="E360" s="5">
        <v>2</v>
      </c>
      <c r="F360" s="5">
        <v>7</v>
      </c>
      <c r="G360" s="5">
        <v>9</v>
      </c>
      <c r="H360" s="5">
        <v>180</v>
      </c>
      <c r="I360" s="5" t="str">
        <f t="shared" si="18"/>
        <v>Holy_Desc_1060008</v>
      </c>
      <c r="J360" s="4" t="s">
        <v>42</v>
      </c>
      <c r="K360" s="5">
        <f>[1]圣物数值!$C358*10000</f>
        <v>1260</v>
      </c>
      <c r="L360" s="5">
        <v>1060008</v>
      </c>
      <c r="O360" s="8"/>
    </row>
    <row r="361" spans="1:15" x14ac:dyDescent="0.15">
      <c r="A361" s="5">
        <v>7458</v>
      </c>
      <c r="B361" s="5">
        <v>108</v>
      </c>
      <c r="C361" s="5" t="str">
        <f t="shared" si="17"/>
        <v>Holy_Name_1060008</v>
      </c>
      <c r="D361" s="5" t="s">
        <v>41</v>
      </c>
      <c r="E361" s="5">
        <v>2</v>
      </c>
      <c r="F361" s="5">
        <v>8</v>
      </c>
      <c r="G361" s="5">
        <v>10</v>
      </c>
      <c r="H361" s="5">
        <v>210</v>
      </c>
      <c r="I361" s="5" t="str">
        <f t="shared" si="18"/>
        <v>Holy_Desc_1060008</v>
      </c>
      <c r="J361" s="4" t="s">
        <v>42</v>
      </c>
      <c r="K361" s="5">
        <f>[1]圣物数值!$C359*10000</f>
        <v>1440</v>
      </c>
      <c r="L361" s="5">
        <v>1060008</v>
      </c>
      <c r="O361" s="8"/>
    </row>
    <row r="362" spans="1:15" x14ac:dyDescent="0.15">
      <c r="A362" s="5">
        <v>7459</v>
      </c>
      <c r="B362" s="5">
        <v>108</v>
      </c>
      <c r="C362" s="5" t="str">
        <f t="shared" si="17"/>
        <v>Holy_Name_1060008</v>
      </c>
      <c r="D362" s="5" t="s">
        <v>41</v>
      </c>
      <c r="E362" s="5">
        <v>2</v>
      </c>
      <c r="F362" s="5">
        <v>9</v>
      </c>
      <c r="G362" s="5">
        <v>12</v>
      </c>
      <c r="H362" s="5">
        <v>240</v>
      </c>
      <c r="I362" s="5" t="str">
        <f t="shared" si="18"/>
        <v>Holy_Desc_1060008</v>
      </c>
      <c r="J362" s="4" t="s">
        <v>42</v>
      </c>
      <c r="K362" s="5">
        <f>[1]圣物数值!$C360*10000</f>
        <v>1620</v>
      </c>
      <c r="L362" s="5">
        <v>1060008</v>
      </c>
      <c r="O362" s="8"/>
    </row>
    <row r="363" spans="1:15" x14ac:dyDescent="0.15">
      <c r="A363" s="5">
        <v>7460</v>
      </c>
      <c r="B363" s="5">
        <v>108</v>
      </c>
      <c r="C363" s="5" t="str">
        <f t="shared" si="17"/>
        <v>Holy_Name_1060008</v>
      </c>
      <c r="D363" s="5" t="s">
        <v>41</v>
      </c>
      <c r="E363" s="5">
        <v>2</v>
      </c>
      <c r="F363" s="5">
        <v>10</v>
      </c>
      <c r="G363" s="5">
        <v>14</v>
      </c>
      <c r="H363" s="5">
        <v>270</v>
      </c>
      <c r="I363" s="5" t="str">
        <f t="shared" si="18"/>
        <v>Holy_Desc_1060008</v>
      </c>
      <c r="J363" s="4" t="s">
        <v>42</v>
      </c>
      <c r="K363" s="5">
        <f>[1]圣物数值!$C361*10000</f>
        <v>1800</v>
      </c>
      <c r="L363" s="5">
        <v>1060008</v>
      </c>
      <c r="O363" s="8"/>
    </row>
    <row r="364" spans="1:15" x14ac:dyDescent="0.15">
      <c r="A364" s="5">
        <v>7461</v>
      </c>
      <c r="B364" s="5">
        <v>108</v>
      </c>
      <c r="C364" s="5" t="str">
        <f t="shared" ref="C364:C403" si="19">"Holy_Name_"&amp;L364</f>
        <v>Holy_Name_1060008</v>
      </c>
      <c r="D364" s="5" t="s">
        <v>41</v>
      </c>
      <c r="E364" s="5">
        <v>2</v>
      </c>
      <c r="F364" s="5">
        <v>11</v>
      </c>
      <c r="G364" s="5">
        <v>15</v>
      </c>
      <c r="H364" s="5">
        <v>300</v>
      </c>
      <c r="I364" s="5" t="str">
        <f t="shared" ref="I364:I403" si="20">"Holy_Desc_"&amp;L364</f>
        <v>Holy_Desc_1060008</v>
      </c>
      <c r="J364" s="4" t="s">
        <v>42</v>
      </c>
      <c r="K364" s="5">
        <f>[1]圣物数值!$C362*10000</f>
        <v>1980</v>
      </c>
      <c r="L364" s="5">
        <v>1060008</v>
      </c>
      <c r="O364" s="8"/>
    </row>
    <row r="365" spans="1:15" x14ac:dyDescent="0.15">
      <c r="A365" s="5">
        <v>7462</v>
      </c>
      <c r="B365" s="5">
        <v>108</v>
      </c>
      <c r="C365" s="5" t="str">
        <f t="shared" si="19"/>
        <v>Holy_Name_1060008</v>
      </c>
      <c r="D365" s="5" t="s">
        <v>41</v>
      </c>
      <c r="E365" s="5">
        <v>2</v>
      </c>
      <c r="F365" s="5">
        <v>12</v>
      </c>
      <c r="G365" s="5">
        <v>17</v>
      </c>
      <c r="H365" s="5">
        <v>340</v>
      </c>
      <c r="I365" s="5" t="str">
        <f t="shared" si="20"/>
        <v>Holy_Desc_1060008</v>
      </c>
      <c r="J365" s="4" t="s">
        <v>42</v>
      </c>
      <c r="K365" s="5">
        <f>[1]圣物数值!$C363*10000</f>
        <v>2160</v>
      </c>
      <c r="L365" s="5">
        <v>1060008</v>
      </c>
      <c r="O365" s="8"/>
    </row>
    <row r="366" spans="1:15" x14ac:dyDescent="0.15">
      <c r="A366" s="5">
        <v>7463</v>
      </c>
      <c r="B366" s="5">
        <v>108</v>
      </c>
      <c r="C366" s="5" t="str">
        <f t="shared" si="19"/>
        <v>Holy_Name_1060008</v>
      </c>
      <c r="D366" s="5" t="s">
        <v>41</v>
      </c>
      <c r="E366" s="5">
        <v>2</v>
      </c>
      <c r="F366" s="5">
        <v>13</v>
      </c>
      <c r="G366" s="5">
        <v>18</v>
      </c>
      <c r="H366" s="5">
        <v>370</v>
      </c>
      <c r="I366" s="5" t="str">
        <f t="shared" si="20"/>
        <v>Holy_Desc_1060008</v>
      </c>
      <c r="J366" s="4" t="s">
        <v>42</v>
      </c>
      <c r="K366" s="5">
        <f>[1]圣物数值!$C364*10000</f>
        <v>2340</v>
      </c>
      <c r="L366" s="5">
        <v>1060008</v>
      </c>
      <c r="O366" s="8"/>
    </row>
    <row r="367" spans="1:15" x14ac:dyDescent="0.15">
      <c r="A367" s="5">
        <v>7464</v>
      </c>
      <c r="B367" s="5">
        <v>108</v>
      </c>
      <c r="C367" s="5" t="str">
        <f t="shared" si="19"/>
        <v>Holy_Name_1060008</v>
      </c>
      <c r="D367" s="5" t="s">
        <v>41</v>
      </c>
      <c r="E367" s="5">
        <v>2</v>
      </c>
      <c r="F367" s="5">
        <v>14</v>
      </c>
      <c r="G367" s="5">
        <v>20</v>
      </c>
      <c r="H367" s="5">
        <v>400</v>
      </c>
      <c r="I367" s="5" t="str">
        <f t="shared" si="20"/>
        <v>Holy_Desc_1060008</v>
      </c>
      <c r="J367" s="4" t="s">
        <v>42</v>
      </c>
      <c r="K367" s="5">
        <f>[1]圣物数值!$C365*10000</f>
        <v>2520</v>
      </c>
      <c r="L367" s="5">
        <v>1060008</v>
      </c>
      <c r="O367" s="8"/>
    </row>
    <row r="368" spans="1:15" x14ac:dyDescent="0.15">
      <c r="A368" s="5">
        <v>7465</v>
      </c>
      <c r="B368" s="5">
        <v>108</v>
      </c>
      <c r="C368" s="5" t="str">
        <f t="shared" si="19"/>
        <v>Holy_Name_1060008</v>
      </c>
      <c r="D368" s="5" t="s">
        <v>41</v>
      </c>
      <c r="E368" s="5">
        <v>2</v>
      </c>
      <c r="F368" s="5">
        <v>15</v>
      </c>
      <c r="G368" s="5">
        <v>22</v>
      </c>
      <c r="H368" s="5">
        <v>430</v>
      </c>
      <c r="I368" s="5" t="str">
        <f t="shared" si="20"/>
        <v>Holy_Desc_1060008</v>
      </c>
      <c r="J368" s="4" t="s">
        <v>42</v>
      </c>
      <c r="K368" s="5">
        <f>[1]圣物数值!$C366*10000</f>
        <v>2700</v>
      </c>
      <c r="L368" s="5">
        <v>1060008</v>
      </c>
      <c r="O368" s="8"/>
    </row>
    <row r="369" spans="1:15" x14ac:dyDescent="0.15">
      <c r="A369" s="5">
        <v>7466</v>
      </c>
      <c r="B369" s="5">
        <v>108</v>
      </c>
      <c r="C369" s="5" t="str">
        <f t="shared" si="19"/>
        <v>Holy_Name_1060008</v>
      </c>
      <c r="D369" s="5" t="s">
        <v>41</v>
      </c>
      <c r="E369" s="5">
        <v>2</v>
      </c>
      <c r="F369" s="5">
        <v>16</v>
      </c>
      <c r="G369" s="5">
        <v>23</v>
      </c>
      <c r="H369" s="5">
        <v>460</v>
      </c>
      <c r="I369" s="5" t="str">
        <f t="shared" si="20"/>
        <v>Holy_Desc_1060008</v>
      </c>
      <c r="J369" s="4" t="s">
        <v>42</v>
      </c>
      <c r="K369" s="5">
        <f>[1]圣物数值!$C367*10000</f>
        <v>2880</v>
      </c>
      <c r="L369" s="5">
        <v>1060008</v>
      </c>
      <c r="O369" s="8"/>
    </row>
    <row r="370" spans="1:15" x14ac:dyDescent="0.15">
      <c r="A370" s="5">
        <v>7467</v>
      </c>
      <c r="B370" s="5">
        <v>108</v>
      </c>
      <c r="C370" s="5" t="str">
        <f t="shared" si="19"/>
        <v>Holy_Name_1060008</v>
      </c>
      <c r="D370" s="5" t="s">
        <v>41</v>
      </c>
      <c r="E370" s="5">
        <v>2</v>
      </c>
      <c r="F370" s="5">
        <v>17</v>
      </c>
      <c r="G370" s="5">
        <v>25</v>
      </c>
      <c r="H370" s="5">
        <v>500</v>
      </c>
      <c r="I370" s="5" t="str">
        <f t="shared" si="20"/>
        <v>Holy_Desc_1060008</v>
      </c>
      <c r="J370" s="4" t="s">
        <v>42</v>
      </c>
      <c r="K370" s="5">
        <f>[1]圣物数值!$C368*10000</f>
        <v>3060</v>
      </c>
      <c r="L370" s="5">
        <v>1060008</v>
      </c>
      <c r="O370" s="8"/>
    </row>
    <row r="371" spans="1:15" x14ac:dyDescent="0.15">
      <c r="A371" s="5">
        <v>7468</v>
      </c>
      <c r="B371" s="5">
        <v>108</v>
      </c>
      <c r="C371" s="5" t="str">
        <f t="shared" si="19"/>
        <v>Holy_Name_1060008</v>
      </c>
      <c r="D371" s="5" t="s">
        <v>41</v>
      </c>
      <c r="E371" s="5">
        <v>2</v>
      </c>
      <c r="F371" s="5">
        <v>18</v>
      </c>
      <c r="G371" s="5">
        <v>26</v>
      </c>
      <c r="H371" s="5">
        <v>530</v>
      </c>
      <c r="I371" s="5" t="str">
        <f t="shared" si="20"/>
        <v>Holy_Desc_1060008</v>
      </c>
      <c r="J371" s="4" t="s">
        <v>42</v>
      </c>
      <c r="K371" s="5">
        <f>[1]圣物数值!$C369*10000</f>
        <v>3240</v>
      </c>
      <c r="L371" s="5">
        <v>1060008</v>
      </c>
      <c r="O371" s="8"/>
    </row>
    <row r="372" spans="1:15" x14ac:dyDescent="0.15">
      <c r="A372" s="5">
        <v>7469</v>
      </c>
      <c r="B372" s="5">
        <v>108</v>
      </c>
      <c r="C372" s="5" t="str">
        <f t="shared" si="19"/>
        <v>Holy_Name_1060008</v>
      </c>
      <c r="D372" s="5" t="s">
        <v>41</v>
      </c>
      <c r="E372" s="5">
        <v>2</v>
      </c>
      <c r="F372" s="5">
        <v>19</v>
      </c>
      <c r="G372" s="5">
        <v>28</v>
      </c>
      <c r="H372" s="5">
        <v>560</v>
      </c>
      <c r="I372" s="5" t="str">
        <f t="shared" si="20"/>
        <v>Holy_Desc_1060008</v>
      </c>
      <c r="J372" s="4" t="s">
        <v>42</v>
      </c>
      <c r="K372" s="5">
        <f>[1]圣物数值!$C370*10000</f>
        <v>3420</v>
      </c>
      <c r="L372" s="5">
        <v>1060008</v>
      </c>
      <c r="O372" s="8"/>
    </row>
    <row r="373" spans="1:15" x14ac:dyDescent="0.15">
      <c r="A373" s="5">
        <v>7470</v>
      </c>
      <c r="B373" s="5">
        <v>108</v>
      </c>
      <c r="C373" s="5" t="str">
        <f t="shared" si="19"/>
        <v>Holy_Name_1060008</v>
      </c>
      <c r="D373" s="5" t="s">
        <v>41</v>
      </c>
      <c r="E373" s="5">
        <v>2</v>
      </c>
      <c r="F373" s="5">
        <v>20</v>
      </c>
      <c r="G373" s="5">
        <v>30</v>
      </c>
      <c r="H373" s="5">
        <v>590</v>
      </c>
      <c r="I373" s="5" t="str">
        <f t="shared" si="20"/>
        <v>Holy_Desc_1060008</v>
      </c>
      <c r="J373" s="4" t="s">
        <v>42</v>
      </c>
      <c r="K373" s="5">
        <f>[1]圣物数值!$C371*10000</f>
        <v>3600</v>
      </c>
      <c r="L373" s="5">
        <v>1060008</v>
      </c>
      <c r="O373" s="8"/>
    </row>
    <row r="374" spans="1:15" x14ac:dyDescent="0.15">
      <c r="A374" s="5">
        <v>7471</v>
      </c>
      <c r="B374" s="5">
        <v>108</v>
      </c>
      <c r="C374" s="5" t="str">
        <f t="shared" si="19"/>
        <v>Holy_Name_1060008</v>
      </c>
      <c r="D374" s="5" t="s">
        <v>41</v>
      </c>
      <c r="E374" s="5">
        <v>2</v>
      </c>
      <c r="F374" s="5">
        <v>21</v>
      </c>
      <c r="G374" s="5">
        <v>31</v>
      </c>
      <c r="H374" s="5">
        <v>620</v>
      </c>
      <c r="I374" s="5" t="str">
        <f t="shared" si="20"/>
        <v>Holy_Desc_1060008</v>
      </c>
      <c r="J374" s="4" t="s">
        <v>42</v>
      </c>
      <c r="K374" s="5">
        <f>[1]圣物数值!$C372*10000</f>
        <v>3780</v>
      </c>
      <c r="L374" s="5">
        <v>1060008</v>
      </c>
      <c r="O374" s="8"/>
    </row>
    <row r="375" spans="1:15" x14ac:dyDescent="0.15">
      <c r="A375" s="5">
        <v>7472</v>
      </c>
      <c r="B375" s="5">
        <v>108</v>
      </c>
      <c r="C375" s="5" t="str">
        <f t="shared" si="19"/>
        <v>Holy_Name_1060008</v>
      </c>
      <c r="D375" s="5" t="s">
        <v>41</v>
      </c>
      <c r="E375" s="5">
        <v>2</v>
      </c>
      <c r="F375" s="5">
        <v>22</v>
      </c>
      <c r="G375" s="5">
        <v>33</v>
      </c>
      <c r="H375" s="5">
        <v>660</v>
      </c>
      <c r="I375" s="5" t="str">
        <f t="shared" si="20"/>
        <v>Holy_Desc_1060008</v>
      </c>
      <c r="J375" s="4" t="s">
        <v>42</v>
      </c>
      <c r="K375" s="5">
        <f>[1]圣物数值!$C373*10000</f>
        <v>3960</v>
      </c>
      <c r="L375" s="5">
        <v>1060008</v>
      </c>
      <c r="O375" s="8"/>
    </row>
    <row r="376" spans="1:15" x14ac:dyDescent="0.15">
      <c r="A376" s="5">
        <v>7473</v>
      </c>
      <c r="B376" s="5">
        <v>108</v>
      </c>
      <c r="C376" s="5" t="str">
        <f t="shared" si="19"/>
        <v>Holy_Name_1060008</v>
      </c>
      <c r="D376" s="5" t="s">
        <v>41</v>
      </c>
      <c r="E376" s="5">
        <v>2</v>
      </c>
      <c r="F376" s="5">
        <v>23</v>
      </c>
      <c r="G376" s="5">
        <v>34</v>
      </c>
      <c r="H376" s="5">
        <v>690</v>
      </c>
      <c r="I376" s="5" t="str">
        <f t="shared" si="20"/>
        <v>Holy_Desc_1060008</v>
      </c>
      <c r="J376" s="4" t="s">
        <v>42</v>
      </c>
      <c r="K376" s="5">
        <f>[1]圣物数值!$C374*10000</f>
        <v>4140</v>
      </c>
      <c r="L376" s="5">
        <v>1060008</v>
      </c>
      <c r="O376" s="8"/>
    </row>
    <row r="377" spans="1:15" x14ac:dyDescent="0.15">
      <c r="A377" s="5">
        <v>7474</v>
      </c>
      <c r="B377" s="5">
        <v>108</v>
      </c>
      <c r="C377" s="5" t="str">
        <f t="shared" si="19"/>
        <v>Holy_Name_1060008</v>
      </c>
      <c r="D377" s="5" t="s">
        <v>41</v>
      </c>
      <c r="E377" s="5">
        <v>2</v>
      </c>
      <c r="F377" s="5">
        <v>24</v>
      </c>
      <c r="G377" s="5">
        <v>36</v>
      </c>
      <c r="H377" s="5">
        <v>720</v>
      </c>
      <c r="I377" s="5" t="str">
        <f t="shared" si="20"/>
        <v>Holy_Desc_1060008</v>
      </c>
      <c r="J377" s="4" t="s">
        <v>42</v>
      </c>
      <c r="K377" s="5">
        <f>[1]圣物数值!$C375*10000</f>
        <v>4320</v>
      </c>
      <c r="L377" s="5">
        <v>1060008</v>
      </c>
      <c r="O377" s="8"/>
    </row>
    <row r="378" spans="1:15" x14ac:dyDescent="0.15">
      <c r="A378" s="5">
        <v>7475</v>
      </c>
      <c r="B378" s="5">
        <v>108</v>
      </c>
      <c r="C378" s="5" t="str">
        <f t="shared" si="19"/>
        <v>Holy_Name_1060008</v>
      </c>
      <c r="D378" s="5" t="s">
        <v>41</v>
      </c>
      <c r="E378" s="5">
        <v>2</v>
      </c>
      <c r="F378" s="5">
        <v>25</v>
      </c>
      <c r="G378" s="5">
        <v>38</v>
      </c>
      <c r="H378" s="5">
        <v>750</v>
      </c>
      <c r="I378" s="5" t="str">
        <f t="shared" si="20"/>
        <v>Holy_Desc_1060008</v>
      </c>
      <c r="J378" s="4" t="s">
        <v>42</v>
      </c>
      <c r="K378" s="5">
        <f>[1]圣物数值!$C376*10000</f>
        <v>4500</v>
      </c>
      <c r="L378" s="5">
        <v>1060008</v>
      </c>
      <c r="O378" s="8"/>
    </row>
    <row r="379" spans="1:15" x14ac:dyDescent="0.15">
      <c r="A379" s="5">
        <v>7476</v>
      </c>
      <c r="B379" s="5">
        <v>108</v>
      </c>
      <c r="C379" s="5" t="str">
        <f t="shared" si="19"/>
        <v>Holy_Name_1060008</v>
      </c>
      <c r="D379" s="5" t="s">
        <v>41</v>
      </c>
      <c r="E379" s="5">
        <v>2</v>
      </c>
      <c r="F379" s="5">
        <v>26</v>
      </c>
      <c r="G379" s="5">
        <v>39</v>
      </c>
      <c r="H379" s="5">
        <v>780</v>
      </c>
      <c r="I379" s="5" t="str">
        <f t="shared" si="20"/>
        <v>Holy_Desc_1060008</v>
      </c>
      <c r="J379" s="4" t="s">
        <v>42</v>
      </c>
      <c r="K379" s="5">
        <f>[1]圣物数值!$C377*10000</f>
        <v>4680</v>
      </c>
      <c r="L379" s="5">
        <v>1060008</v>
      </c>
      <c r="O379" s="8"/>
    </row>
    <row r="380" spans="1:15" x14ac:dyDescent="0.15">
      <c r="A380" s="5">
        <v>7477</v>
      </c>
      <c r="B380" s="5">
        <v>108</v>
      </c>
      <c r="C380" s="5" t="str">
        <f t="shared" si="19"/>
        <v>Holy_Name_1060008</v>
      </c>
      <c r="D380" s="5" t="s">
        <v>41</v>
      </c>
      <c r="E380" s="5">
        <v>2</v>
      </c>
      <c r="F380" s="5">
        <v>27</v>
      </c>
      <c r="G380" s="5">
        <v>41</v>
      </c>
      <c r="H380" s="5">
        <v>820</v>
      </c>
      <c r="I380" s="5" t="str">
        <f t="shared" si="20"/>
        <v>Holy_Desc_1060008</v>
      </c>
      <c r="J380" s="4" t="s">
        <v>42</v>
      </c>
      <c r="K380" s="5">
        <f>[1]圣物数值!$C378*10000</f>
        <v>4860</v>
      </c>
      <c r="L380" s="5">
        <v>1060008</v>
      </c>
      <c r="O380" s="8"/>
    </row>
    <row r="381" spans="1:15" x14ac:dyDescent="0.15">
      <c r="A381" s="5">
        <v>7478</v>
      </c>
      <c r="B381" s="5">
        <v>108</v>
      </c>
      <c r="C381" s="5" t="str">
        <f t="shared" si="19"/>
        <v>Holy_Name_1060008</v>
      </c>
      <c r="D381" s="5" t="s">
        <v>41</v>
      </c>
      <c r="E381" s="5">
        <v>2</v>
      </c>
      <c r="F381" s="5">
        <v>28</v>
      </c>
      <c r="G381" s="5">
        <v>42</v>
      </c>
      <c r="H381" s="5">
        <v>850</v>
      </c>
      <c r="I381" s="5" t="str">
        <f t="shared" si="20"/>
        <v>Holy_Desc_1060008</v>
      </c>
      <c r="J381" s="4" t="s">
        <v>42</v>
      </c>
      <c r="K381" s="5">
        <f>[1]圣物数值!$C379*10000</f>
        <v>5040</v>
      </c>
      <c r="L381" s="5">
        <v>1060008</v>
      </c>
      <c r="O381" s="8"/>
    </row>
    <row r="382" spans="1:15" x14ac:dyDescent="0.15">
      <c r="A382" s="5">
        <v>7479</v>
      </c>
      <c r="B382" s="5">
        <v>108</v>
      </c>
      <c r="C382" s="5" t="str">
        <f t="shared" si="19"/>
        <v>Holy_Name_1060008</v>
      </c>
      <c r="D382" s="5" t="s">
        <v>41</v>
      </c>
      <c r="E382" s="5">
        <v>2</v>
      </c>
      <c r="F382" s="5">
        <v>29</v>
      </c>
      <c r="G382" s="5">
        <v>44</v>
      </c>
      <c r="H382" s="5">
        <v>880</v>
      </c>
      <c r="I382" s="5" t="str">
        <f t="shared" si="20"/>
        <v>Holy_Desc_1060008</v>
      </c>
      <c r="J382" s="4" t="s">
        <v>42</v>
      </c>
      <c r="K382" s="5">
        <f>[1]圣物数值!$C380*10000</f>
        <v>5220</v>
      </c>
      <c r="L382" s="5">
        <v>1060008</v>
      </c>
      <c r="O382" s="8"/>
    </row>
    <row r="383" spans="1:15" x14ac:dyDescent="0.15">
      <c r="A383" s="5">
        <v>7480</v>
      </c>
      <c r="B383" s="5">
        <v>108</v>
      </c>
      <c r="C383" s="5" t="str">
        <f t="shared" si="19"/>
        <v>Holy_Name_1060008</v>
      </c>
      <c r="D383" s="5" t="s">
        <v>41</v>
      </c>
      <c r="E383" s="5">
        <v>2</v>
      </c>
      <c r="F383" s="5">
        <v>30</v>
      </c>
      <c r="G383" s="5">
        <v>46</v>
      </c>
      <c r="H383" s="5">
        <v>910</v>
      </c>
      <c r="I383" s="5" t="str">
        <f t="shared" si="20"/>
        <v>Holy_Desc_1060008</v>
      </c>
      <c r="J383" s="4" t="s">
        <v>42</v>
      </c>
      <c r="K383" s="5">
        <f>[1]圣物数值!$C381*10000</f>
        <v>5400</v>
      </c>
      <c r="L383" s="5">
        <v>1060008</v>
      </c>
      <c r="O383" s="8"/>
    </row>
    <row r="384" spans="1:15" x14ac:dyDescent="0.15">
      <c r="A384" s="5">
        <v>7481</v>
      </c>
      <c r="B384" s="5">
        <v>108</v>
      </c>
      <c r="C384" s="5" t="str">
        <f t="shared" si="19"/>
        <v>Holy_Name_1060008</v>
      </c>
      <c r="D384" s="5" t="s">
        <v>41</v>
      </c>
      <c r="E384" s="5">
        <v>2</v>
      </c>
      <c r="F384" s="5">
        <v>31</v>
      </c>
      <c r="G384" s="5">
        <v>47</v>
      </c>
      <c r="H384" s="5">
        <v>940</v>
      </c>
      <c r="I384" s="5" t="str">
        <f t="shared" si="20"/>
        <v>Holy_Desc_1060008</v>
      </c>
      <c r="J384" s="4" t="s">
        <v>42</v>
      </c>
      <c r="K384" s="5">
        <f>[1]圣物数值!$C382*10000</f>
        <v>5580</v>
      </c>
      <c r="L384" s="5">
        <v>1060008</v>
      </c>
      <c r="O384" s="8"/>
    </row>
    <row r="385" spans="1:15" x14ac:dyDescent="0.15">
      <c r="A385" s="5">
        <v>7482</v>
      </c>
      <c r="B385" s="5">
        <v>108</v>
      </c>
      <c r="C385" s="5" t="str">
        <f t="shared" si="19"/>
        <v>Holy_Name_1060008</v>
      </c>
      <c r="D385" s="5" t="s">
        <v>41</v>
      </c>
      <c r="E385" s="5">
        <v>2</v>
      </c>
      <c r="F385" s="5">
        <v>32</v>
      </c>
      <c r="G385" s="5">
        <v>49</v>
      </c>
      <c r="H385" s="5">
        <v>980</v>
      </c>
      <c r="I385" s="5" t="str">
        <f t="shared" si="20"/>
        <v>Holy_Desc_1060008</v>
      </c>
      <c r="J385" s="4" t="s">
        <v>42</v>
      </c>
      <c r="K385" s="5">
        <f>[1]圣物数值!$C383*10000</f>
        <v>5760</v>
      </c>
      <c r="L385" s="5">
        <v>1060008</v>
      </c>
      <c r="O385" s="8"/>
    </row>
    <row r="386" spans="1:15" x14ac:dyDescent="0.15">
      <c r="A386" s="5">
        <v>7483</v>
      </c>
      <c r="B386" s="5">
        <v>108</v>
      </c>
      <c r="C386" s="5" t="str">
        <f t="shared" si="19"/>
        <v>Holy_Name_1060008</v>
      </c>
      <c r="D386" s="5" t="s">
        <v>41</v>
      </c>
      <c r="E386" s="5">
        <v>2</v>
      </c>
      <c r="F386" s="5">
        <v>33</v>
      </c>
      <c r="G386" s="5">
        <v>50</v>
      </c>
      <c r="H386" s="5">
        <v>1010</v>
      </c>
      <c r="I386" s="5" t="str">
        <f t="shared" si="20"/>
        <v>Holy_Desc_1060008</v>
      </c>
      <c r="J386" s="4" t="s">
        <v>42</v>
      </c>
      <c r="K386" s="5">
        <f>[1]圣物数值!$C384*10000</f>
        <v>5940</v>
      </c>
      <c r="L386" s="5">
        <v>1060008</v>
      </c>
      <c r="O386" s="8"/>
    </row>
    <row r="387" spans="1:15" x14ac:dyDescent="0.15">
      <c r="A387" s="5">
        <v>7484</v>
      </c>
      <c r="B387" s="5">
        <v>108</v>
      </c>
      <c r="C387" s="5" t="str">
        <f t="shared" si="19"/>
        <v>Holy_Name_1060008</v>
      </c>
      <c r="D387" s="5" t="s">
        <v>41</v>
      </c>
      <c r="E387" s="5">
        <v>2</v>
      </c>
      <c r="F387" s="5">
        <v>34</v>
      </c>
      <c r="G387" s="5">
        <v>52</v>
      </c>
      <c r="H387" s="5">
        <v>1040</v>
      </c>
      <c r="I387" s="5" t="str">
        <f t="shared" si="20"/>
        <v>Holy_Desc_1060008</v>
      </c>
      <c r="J387" s="4" t="s">
        <v>42</v>
      </c>
      <c r="K387" s="5">
        <f>[1]圣物数值!$C385*10000</f>
        <v>6120</v>
      </c>
      <c r="L387" s="5">
        <v>1060008</v>
      </c>
      <c r="O387" s="8"/>
    </row>
    <row r="388" spans="1:15" x14ac:dyDescent="0.15">
      <c r="A388" s="5">
        <v>7485</v>
      </c>
      <c r="B388" s="5">
        <v>108</v>
      </c>
      <c r="C388" s="5" t="str">
        <f t="shared" si="19"/>
        <v>Holy_Name_1060008</v>
      </c>
      <c r="D388" s="5" t="s">
        <v>41</v>
      </c>
      <c r="E388" s="5">
        <v>2</v>
      </c>
      <c r="F388" s="5">
        <v>35</v>
      </c>
      <c r="G388" s="5">
        <v>54</v>
      </c>
      <c r="H388" s="5">
        <v>1070</v>
      </c>
      <c r="I388" s="5" t="str">
        <f t="shared" si="20"/>
        <v>Holy_Desc_1060008</v>
      </c>
      <c r="J388" s="4" t="s">
        <v>42</v>
      </c>
      <c r="K388" s="5">
        <f>[1]圣物数值!$C386*10000</f>
        <v>6300</v>
      </c>
      <c r="L388" s="5">
        <v>1060008</v>
      </c>
      <c r="O388" s="8"/>
    </row>
    <row r="389" spans="1:15" x14ac:dyDescent="0.15">
      <c r="A389" s="5">
        <v>7486</v>
      </c>
      <c r="B389" s="5">
        <v>108</v>
      </c>
      <c r="C389" s="5" t="str">
        <f t="shared" si="19"/>
        <v>Holy_Name_1060008</v>
      </c>
      <c r="D389" s="5" t="s">
        <v>41</v>
      </c>
      <c r="E389" s="5">
        <v>2</v>
      </c>
      <c r="F389" s="5">
        <v>36</v>
      </c>
      <c r="G389" s="5">
        <v>55</v>
      </c>
      <c r="H389" s="5">
        <v>1100</v>
      </c>
      <c r="I389" s="5" t="str">
        <f t="shared" si="20"/>
        <v>Holy_Desc_1060008</v>
      </c>
      <c r="J389" s="4" t="s">
        <v>42</v>
      </c>
      <c r="K389" s="5">
        <f>[1]圣物数值!$C387*10000</f>
        <v>6480</v>
      </c>
      <c r="L389" s="5">
        <v>1060008</v>
      </c>
      <c r="O389" s="8"/>
    </row>
    <row r="390" spans="1:15" x14ac:dyDescent="0.15">
      <c r="A390" s="5">
        <v>7487</v>
      </c>
      <c r="B390" s="5">
        <v>108</v>
      </c>
      <c r="C390" s="5" t="str">
        <f t="shared" si="19"/>
        <v>Holy_Name_1060008</v>
      </c>
      <c r="D390" s="5" t="s">
        <v>41</v>
      </c>
      <c r="E390" s="5">
        <v>2</v>
      </c>
      <c r="F390" s="5">
        <v>37</v>
      </c>
      <c r="G390" s="5">
        <v>57</v>
      </c>
      <c r="H390" s="5">
        <v>1140</v>
      </c>
      <c r="I390" s="5" t="str">
        <f t="shared" si="20"/>
        <v>Holy_Desc_1060008</v>
      </c>
      <c r="J390" s="4" t="s">
        <v>42</v>
      </c>
      <c r="K390" s="5">
        <f>[1]圣物数值!$C388*10000</f>
        <v>6660</v>
      </c>
      <c r="L390" s="5">
        <v>1060008</v>
      </c>
      <c r="O390" s="8"/>
    </row>
    <row r="391" spans="1:15" x14ac:dyDescent="0.15">
      <c r="A391" s="5">
        <v>7488</v>
      </c>
      <c r="B391" s="5">
        <v>108</v>
      </c>
      <c r="C391" s="5" t="str">
        <f t="shared" si="19"/>
        <v>Holy_Name_1060008</v>
      </c>
      <c r="D391" s="5" t="s">
        <v>41</v>
      </c>
      <c r="E391" s="5">
        <v>2</v>
      </c>
      <c r="F391" s="5">
        <v>38</v>
      </c>
      <c r="G391" s="5">
        <v>58</v>
      </c>
      <c r="H391" s="5">
        <v>1170</v>
      </c>
      <c r="I391" s="5" t="str">
        <f t="shared" si="20"/>
        <v>Holy_Desc_1060008</v>
      </c>
      <c r="J391" s="4" t="s">
        <v>42</v>
      </c>
      <c r="K391" s="5">
        <f>[1]圣物数值!$C389*10000</f>
        <v>6840</v>
      </c>
      <c r="L391" s="5">
        <v>1060008</v>
      </c>
      <c r="O391" s="8"/>
    </row>
    <row r="392" spans="1:15" x14ac:dyDescent="0.15">
      <c r="A392" s="5">
        <v>7489</v>
      </c>
      <c r="B392" s="5">
        <v>108</v>
      </c>
      <c r="C392" s="5" t="str">
        <f t="shared" si="19"/>
        <v>Holy_Name_1060008</v>
      </c>
      <c r="D392" s="5" t="s">
        <v>41</v>
      </c>
      <c r="E392" s="5">
        <v>2</v>
      </c>
      <c r="F392" s="5">
        <v>39</v>
      </c>
      <c r="G392" s="5">
        <v>60</v>
      </c>
      <c r="H392" s="5">
        <v>1200</v>
      </c>
      <c r="I392" s="5" t="str">
        <f t="shared" si="20"/>
        <v>Holy_Desc_1060008</v>
      </c>
      <c r="J392" s="4" t="s">
        <v>42</v>
      </c>
      <c r="K392" s="5">
        <f>[1]圣物数值!$C390*10000</f>
        <v>7020</v>
      </c>
      <c r="L392" s="5">
        <v>1060008</v>
      </c>
      <c r="O392" s="8"/>
    </row>
    <row r="393" spans="1:15" x14ac:dyDescent="0.15">
      <c r="A393" s="5">
        <v>7490</v>
      </c>
      <c r="B393" s="5">
        <v>108</v>
      </c>
      <c r="C393" s="5" t="str">
        <f t="shared" si="19"/>
        <v>Holy_Name_1060008</v>
      </c>
      <c r="D393" s="5" t="s">
        <v>41</v>
      </c>
      <c r="E393" s="5">
        <v>2</v>
      </c>
      <c r="F393" s="5">
        <v>40</v>
      </c>
      <c r="G393" s="5">
        <v>62</v>
      </c>
      <c r="H393" s="5">
        <v>1230</v>
      </c>
      <c r="I393" s="5" t="str">
        <f t="shared" si="20"/>
        <v>Holy_Desc_1060008</v>
      </c>
      <c r="J393" s="4" t="s">
        <v>42</v>
      </c>
      <c r="K393" s="5">
        <f>[1]圣物数值!$C391*10000</f>
        <v>7200</v>
      </c>
      <c r="L393" s="5">
        <v>1060008</v>
      </c>
      <c r="O393" s="8"/>
    </row>
    <row r="394" spans="1:15" x14ac:dyDescent="0.15">
      <c r="A394" s="5">
        <v>7491</v>
      </c>
      <c r="B394" s="5">
        <v>108</v>
      </c>
      <c r="C394" s="5" t="str">
        <f t="shared" si="19"/>
        <v>Holy_Name_1060008</v>
      </c>
      <c r="D394" s="5" t="s">
        <v>41</v>
      </c>
      <c r="E394" s="5">
        <v>2</v>
      </c>
      <c r="F394" s="5">
        <v>41</v>
      </c>
      <c r="G394" s="5">
        <v>63</v>
      </c>
      <c r="H394" s="5">
        <v>1260</v>
      </c>
      <c r="I394" s="5" t="str">
        <f t="shared" si="20"/>
        <v>Holy_Desc_1060008</v>
      </c>
      <c r="J394" s="4" t="s">
        <v>42</v>
      </c>
      <c r="K394" s="5">
        <f>[1]圣物数值!$C392*10000</f>
        <v>7380</v>
      </c>
      <c r="L394" s="5">
        <v>1060008</v>
      </c>
      <c r="O394" s="8"/>
    </row>
    <row r="395" spans="1:15" x14ac:dyDescent="0.15">
      <c r="A395" s="5">
        <v>7492</v>
      </c>
      <c r="B395" s="5">
        <v>108</v>
      </c>
      <c r="C395" s="5" t="str">
        <f t="shared" si="19"/>
        <v>Holy_Name_1060008</v>
      </c>
      <c r="D395" s="5" t="s">
        <v>41</v>
      </c>
      <c r="E395" s="5">
        <v>2</v>
      </c>
      <c r="F395" s="5">
        <v>42</v>
      </c>
      <c r="G395" s="5">
        <v>65</v>
      </c>
      <c r="H395" s="5">
        <v>1300</v>
      </c>
      <c r="I395" s="5" t="str">
        <f t="shared" si="20"/>
        <v>Holy_Desc_1060008</v>
      </c>
      <c r="J395" s="4" t="s">
        <v>42</v>
      </c>
      <c r="K395" s="5">
        <f>[1]圣物数值!$C393*10000</f>
        <v>7560</v>
      </c>
      <c r="L395" s="5">
        <v>1060008</v>
      </c>
      <c r="O395" s="8"/>
    </row>
    <row r="396" spans="1:15" x14ac:dyDescent="0.15">
      <c r="A396" s="5">
        <v>7493</v>
      </c>
      <c r="B396" s="5">
        <v>108</v>
      </c>
      <c r="C396" s="5" t="str">
        <f t="shared" si="19"/>
        <v>Holy_Name_1060008</v>
      </c>
      <c r="D396" s="5" t="s">
        <v>41</v>
      </c>
      <c r="E396" s="5">
        <v>2</v>
      </c>
      <c r="F396" s="5">
        <v>43</v>
      </c>
      <c r="G396" s="5">
        <v>66</v>
      </c>
      <c r="H396" s="5">
        <v>1330</v>
      </c>
      <c r="I396" s="5" t="str">
        <f t="shared" si="20"/>
        <v>Holy_Desc_1060008</v>
      </c>
      <c r="J396" s="4" t="s">
        <v>42</v>
      </c>
      <c r="K396" s="5">
        <f>[1]圣物数值!$C394*10000</f>
        <v>7740</v>
      </c>
      <c r="L396" s="5">
        <v>1060008</v>
      </c>
      <c r="O396" s="8"/>
    </row>
    <row r="397" spans="1:15" x14ac:dyDescent="0.15">
      <c r="A397" s="5">
        <v>7494</v>
      </c>
      <c r="B397" s="5">
        <v>108</v>
      </c>
      <c r="C397" s="5" t="str">
        <f t="shared" si="19"/>
        <v>Holy_Name_1060008</v>
      </c>
      <c r="D397" s="5" t="s">
        <v>41</v>
      </c>
      <c r="E397" s="5">
        <v>2</v>
      </c>
      <c r="F397" s="5">
        <v>44</v>
      </c>
      <c r="G397" s="5">
        <v>68</v>
      </c>
      <c r="H397" s="5">
        <v>1360</v>
      </c>
      <c r="I397" s="5" t="str">
        <f t="shared" si="20"/>
        <v>Holy_Desc_1060008</v>
      </c>
      <c r="J397" s="4" t="s">
        <v>42</v>
      </c>
      <c r="K397" s="5">
        <f>[1]圣物数值!$C395*10000</f>
        <v>7920</v>
      </c>
      <c r="L397" s="5">
        <v>1060008</v>
      </c>
      <c r="O397" s="8"/>
    </row>
    <row r="398" spans="1:15" x14ac:dyDescent="0.15">
      <c r="A398" s="5">
        <v>7495</v>
      </c>
      <c r="B398" s="5">
        <v>108</v>
      </c>
      <c r="C398" s="5" t="str">
        <f t="shared" si="19"/>
        <v>Holy_Name_1060008</v>
      </c>
      <c r="D398" s="5" t="s">
        <v>41</v>
      </c>
      <c r="E398" s="5">
        <v>2</v>
      </c>
      <c r="F398" s="5">
        <v>45</v>
      </c>
      <c r="G398" s="5">
        <v>70</v>
      </c>
      <c r="H398" s="5">
        <v>1390</v>
      </c>
      <c r="I398" s="5" t="str">
        <f t="shared" si="20"/>
        <v>Holy_Desc_1060008</v>
      </c>
      <c r="J398" s="4" t="s">
        <v>42</v>
      </c>
      <c r="K398" s="5">
        <f>[1]圣物数值!$C396*10000</f>
        <v>8100</v>
      </c>
      <c r="L398" s="5">
        <v>1060008</v>
      </c>
      <c r="O398" s="8"/>
    </row>
    <row r="399" spans="1:15" x14ac:dyDescent="0.15">
      <c r="A399" s="5">
        <v>7496</v>
      </c>
      <c r="B399" s="5">
        <v>108</v>
      </c>
      <c r="C399" s="5" t="str">
        <f t="shared" si="19"/>
        <v>Holy_Name_1060008</v>
      </c>
      <c r="D399" s="5" t="s">
        <v>41</v>
      </c>
      <c r="E399" s="5">
        <v>2</v>
      </c>
      <c r="F399" s="5">
        <v>46</v>
      </c>
      <c r="G399" s="5">
        <v>71</v>
      </c>
      <c r="H399" s="5">
        <v>1420</v>
      </c>
      <c r="I399" s="5" t="str">
        <f t="shared" si="20"/>
        <v>Holy_Desc_1060008</v>
      </c>
      <c r="J399" s="4" t="s">
        <v>42</v>
      </c>
      <c r="K399" s="5">
        <f>[1]圣物数值!$C397*10000</f>
        <v>8280</v>
      </c>
      <c r="L399" s="5">
        <v>1060008</v>
      </c>
      <c r="O399" s="8"/>
    </row>
    <row r="400" spans="1:15" x14ac:dyDescent="0.15">
      <c r="A400" s="5">
        <v>7497</v>
      </c>
      <c r="B400" s="5">
        <v>108</v>
      </c>
      <c r="C400" s="5" t="str">
        <f t="shared" si="19"/>
        <v>Holy_Name_1060008</v>
      </c>
      <c r="D400" s="5" t="s">
        <v>41</v>
      </c>
      <c r="E400" s="5">
        <v>2</v>
      </c>
      <c r="F400" s="5">
        <v>47</v>
      </c>
      <c r="G400" s="5">
        <v>73</v>
      </c>
      <c r="H400" s="5">
        <v>1460</v>
      </c>
      <c r="I400" s="5" t="str">
        <f t="shared" si="20"/>
        <v>Holy_Desc_1060008</v>
      </c>
      <c r="J400" s="4" t="s">
        <v>42</v>
      </c>
      <c r="K400" s="5">
        <f>[1]圣物数值!$C398*10000</f>
        <v>8460</v>
      </c>
      <c r="L400" s="5">
        <v>1060008</v>
      </c>
      <c r="O400" s="8"/>
    </row>
    <row r="401" spans="1:15" x14ac:dyDescent="0.15">
      <c r="A401" s="5">
        <v>7498</v>
      </c>
      <c r="B401" s="5">
        <v>108</v>
      </c>
      <c r="C401" s="5" t="str">
        <f t="shared" si="19"/>
        <v>Holy_Name_1060008</v>
      </c>
      <c r="D401" s="5" t="s">
        <v>41</v>
      </c>
      <c r="E401" s="5">
        <v>2</v>
      </c>
      <c r="F401" s="5">
        <v>48</v>
      </c>
      <c r="G401" s="5">
        <v>74</v>
      </c>
      <c r="H401" s="5">
        <v>1490</v>
      </c>
      <c r="I401" s="5" t="str">
        <f t="shared" si="20"/>
        <v>Holy_Desc_1060008</v>
      </c>
      <c r="J401" s="4" t="s">
        <v>42</v>
      </c>
      <c r="K401" s="5">
        <f>[1]圣物数值!$C399*10000</f>
        <v>8640</v>
      </c>
      <c r="L401" s="5">
        <v>1060008</v>
      </c>
      <c r="O401" s="8"/>
    </row>
    <row r="402" spans="1:15" x14ac:dyDescent="0.15">
      <c r="A402" s="5">
        <v>7499</v>
      </c>
      <c r="B402" s="5">
        <v>108</v>
      </c>
      <c r="C402" s="5" t="str">
        <f t="shared" si="19"/>
        <v>Holy_Name_1060008</v>
      </c>
      <c r="D402" s="5" t="s">
        <v>41</v>
      </c>
      <c r="E402" s="5">
        <v>2</v>
      </c>
      <c r="F402" s="5">
        <v>49</v>
      </c>
      <c r="G402" s="5">
        <v>76</v>
      </c>
      <c r="H402" s="5">
        <v>1520</v>
      </c>
      <c r="I402" s="5" t="str">
        <f t="shared" si="20"/>
        <v>Holy_Desc_1060008</v>
      </c>
      <c r="J402" s="4" t="s">
        <v>42</v>
      </c>
      <c r="K402" s="5">
        <f>[1]圣物数值!$C400*10000</f>
        <v>8820</v>
      </c>
      <c r="L402" s="5">
        <v>1060008</v>
      </c>
      <c r="O402" s="8"/>
    </row>
    <row r="403" spans="1:15" x14ac:dyDescent="0.15">
      <c r="A403" s="5">
        <v>7500</v>
      </c>
      <c r="B403" s="5">
        <v>108</v>
      </c>
      <c r="C403" s="5" t="str">
        <f t="shared" si="19"/>
        <v>Holy_Name_1060008</v>
      </c>
      <c r="D403" s="5" t="s">
        <v>41</v>
      </c>
      <c r="E403" s="5">
        <v>2</v>
      </c>
      <c r="F403" s="5">
        <v>50</v>
      </c>
      <c r="G403" s="5">
        <v>78</v>
      </c>
      <c r="H403" s="5">
        <v>1550</v>
      </c>
      <c r="I403" s="5" t="str">
        <f t="shared" si="20"/>
        <v>Holy_Desc_1060008</v>
      </c>
      <c r="J403" s="4" t="s">
        <v>42</v>
      </c>
      <c r="K403" s="5">
        <f>[1]圣物数值!$C401*10000</f>
        <v>9000</v>
      </c>
      <c r="L403" s="5">
        <v>1060008</v>
      </c>
      <c r="O403" s="8"/>
    </row>
    <row r="404" spans="1:15" x14ac:dyDescent="0.15">
      <c r="A404" s="5">
        <v>7501</v>
      </c>
      <c r="B404" s="5">
        <v>109</v>
      </c>
      <c r="C404" s="5" t="str">
        <f t="shared" ref="C404:C413" si="21">"Holy_Name_"&amp;L404</f>
        <v>Holy_Name_1060009</v>
      </c>
      <c r="D404" s="5" t="s">
        <v>43</v>
      </c>
      <c r="E404" s="5">
        <v>2</v>
      </c>
      <c r="F404" s="5">
        <v>1</v>
      </c>
      <c r="G404" s="5">
        <v>0</v>
      </c>
      <c r="H404" s="5">
        <v>0</v>
      </c>
      <c r="I404" s="5" t="str">
        <f t="shared" ref="I404:I413" si="22">"Holy_Desc_"&amp;L404</f>
        <v>Holy_Desc_1060009</v>
      </c>
      <c r="J404" s="4" t="s">
        <v>44</v>
      </c>
      <c r="K404" s="5">
        <f>[1]圣物数值!$C402*10000</f>
        <v>200</v>
      </c>
      <c r="L404" s="5">
        <v>1060009</v>
      </c>
    </row>
    <row r="405" spans="1:15" x14ac:dyDescent="0.15">
      <c r="A405" s="5">
        <v>7502</v>
      </c>
      <c r="B405" s="5">
        <v>109</v>
      </c>
      <c r="C405" s="5" t="str">
        <f t="shared" si="21"/>
        <v>Holy_Name_1060009</v>
      </c>
      <c r="D405" s="5" t="s">
        <v>43</v>
      </c>
      <c r="E405" s="5">
        <v>2</v>
      </c>
      <c r="F405" s="5">
        <v>2</v>
      </c>
      <c r="G405" s="5">
        <v>1</v>
      </c>
      <c r="H405" s="5">
        <v>30</v>
      </c>
      <c r="I405" s="5" t="str">
        <f t="shared" si="22"/>
        <v>Holy_Desc_1060009</v>
      </c>
      <c r="J405" s="4" t="s">
        <v>44</v>
      </c>
      <c r="K405" s="5">
        <f>[1]圣物数值!$C403*10000</f>
        <v>400</v>
      </c>
      <c r="L405" s="5">
        <v>1060009</v>
      </c>
    </row>
    <row r="406" spans="1:15" x14ac:dyDescent="0.15">
      <c r="A406" s="5">
        <v>7503</v>
      </c>
      <c r="B406" s="5">
        <v>109</v>
      </c>
      <c r="C406" s="5" t="str">
        <f t="shared" si="21"/>
        <v>Holy_Name_1060009</v>
      </c>
      <c r="D406" s="5" t="s">
        <v>43</v>
      </c>
      <c r="E406" s="5">
        <v>2</v>
      </c>
      <c r="F406" s="5">
        <v>3</v>
      </c>
      <c r="G406" s="5">
        <v>2</v>
      </c>
      <c r="H406" s="5">
        <v>50</v>
      </c>
      <c r="I406" s="5" t="str">
        <f t="shared" si="22"/>
        <v>Holy_Desc_1060009</v>
      </c>
      <c r="J406" s="4" t="s">
        <v>44</v>
      </c>
      <c r="K406" s="5">
        <f>[1]圣物数值!$C404*10000</f>
        <v>600</v>
      </c>
      <c r="L406" s="5">
        <v>1060009</v>
      </c>
    </row>
    <row r="407" spans="1:15" x14ac:dyDescent="0.15">
      <c r="A407" s="5">
        <v>7504</v>
      </c>
      <c r="B407" s="5">
        <v>109</v>
      </c>
      <c r="C407" s="5" t="str">
        <f t="shared" si="21"/>
        <v>Holy_Name_1060009</v>
      </c>
      <c r="D407" s="5" t="s">
        <v>43</v>
      </c>
      <c r="E407" s="5">
        <v>2</v>
      </c>
      <c r="F407" s="5">
        <v>4</v>
      </c>
      <c r="G407" s="5">
        <v>4</v>
      </c>
      <c r="H407" s="5">
        <v>80</v>
      </c>
      <c r="I407" s="5" t="str">
        <f t="shared" si="22"/>
        <v>Holy_Desc_1060009</v>
      </c>
      <c r="J407" s="4" t="s">
        <v>44</v>
      </c>
      <c r="K407" s="5">
        <f>[1]圣物数值!$C405*10000</f>
        <v>800</v>
      </c>
      <c r="L407" s="5">
        <v>1060009</v>
      </c>
    </row>
    <row r="408" spans="1:15" x14ac:dyDescent="0.15">
      <c r="A408" s="5">
        <v>7505</v>
      </c>
      <c r="B408" s="5">
        <v>109</v>
      </c>
      <c r="C408" s="5" t="str">
        <f t="shared" si="21"/>
        <v>Holy_Name_1060009</v>
      </c>
      <c r="D408" s="5" t="s">
        <v>43</v>
      </c>
      <c r="E408" s="5">
        <v>2</v>
      </c>
      <c r="F408" s="5">
        <v>5</v>
      </c>
      <c r="G408" s="5">
        <v>6</v>
      </c>
      <c r="H408" s="5">
        <v>110</v>
      </c>
      <c r="I408" s="5" t="str">
        <f t="shared" si="22"/>
        <v>Holy_Desc_1060009</v>
      </c>
      <c r="J408" s="4" t="s">
        <v>44</v>
      </c>
      <c r="K408" s="5">
        <f>[1]圣物数值!$C406*10000</f>
        <v>1000</v>
      </c>
      <c r="L408" s="5">
        <v>1060009</v>
      </c>
    </row>
    <row r="409" spans="1:15" x14ac:dyDescent="0.15">
      <c r="A409" s="5">
        <v>7506</v>
      </c>
      <c r="B409" s="5">
        <v>109</v>
      </c>
      <c r="C409" s="5" t="str">
        <f t="shared" si="21"/>
        <v>Holy_Name_1060009</v>
      </c>
      <c r="D409" s="5" t="s">
        <v>43</v>
      </c>
      <c r="E409" s="5">
        <v>2</v>
      </c>
      <c r="F409" s="5">
        <v>6</v>
      </c>
      <c r="G409" s="5">
        <v>7</v>
      </c>
      <c r="H409" s="5">
        <v>140</v>
      </c>
      <c r="I409" s="5" t="str">
        <f t="shared" si="22"/>
        <v>Holy_Desc_1060009</v>
      </c>
      <c r="J409" s="4" t="s">
        <v>44</v>
      </c>
      <c r="K409" s="5">
        <f>[1]圣物数值!$C407*10000</f>
        <v>1200</v>
      </c>
      <c r="L409" s="5">
        <v>1060009</v>
      </c>
    </row>
    <row r="410" spans="1:15" x14ac:dyDescent="0.15">
      <c r="A410" s="5">
        <v>7507</v>
      </c>
      <c r="B410" s="5">
        <v>109</v>
      </c>
      <c r="C410" s="5" t="str">
        <f t="shared" si="21"/>
        <v>Holy_Name_1060009</v>
      </c>
      <c r="D410" s="5" t="s">
        <v>43</v>
      </c>
      <c r="E410" s="5">
        <v>2</v>
      </c>
      <c r="F410" s="5">
        <v>7</v>
      </c>
      <c r="G410" s="5">
        <v>9</v>
      </c>
      <c r="H410" s="5">
        <v>180</v>
      </c>
      <c r="I410" s="5" t="str">
        <f t="shared" si="22"/>
        <v>Holy_Desc_1060009</v>
      </c>
      <c r="J410" s="4" t="s">
        <v>44</v>
      </c>
      <c r="K410" s="5">
        <f>[1]圣物数值!$C408*10000</f>
        <v>1400</v>
      </c>
      <c r="L410" s="5">
        <v>1060009</v>
      </c>
    </row>
    <row r="411" spans="1:15" x14ac:dyDescent="0.15">
      <c r="A411" s="5">
        <v>7508</v>
      </c>
      <c r="B411" s="5">
        <v>109</v>
      </c>
      <c r="C411" s="5" t="str">
        <f t="shared" si="21"/>
        <v>Holy_Name_1060009</v>
      </c>
      <c r="D411" s="5" t="s">
        <v>43</v>
      </c>
      <c r="E411" s="5">
        <v>2</v>
      </c>
      <c r="F411" s="5">
        <v>8</v>
      </c>
      <c r="G411" s="5">
        <v>10</v>
      </c>
      <c r="H411" s="5">
        <v>210</v>
      </c>
      <c r="I411" s="5" t="str">
        <f t="shared" si="22"/>
        <v>Holy_Desc_1060009</v>
      </c>
      <c r="J411" s="4" t="s">
        <v>44</v>
      </c>
      <c r="K411" s="5">
        <f>[1]圣物数值!$C409*10000</f>
        <v>1600</v>
      </c>
      <c r="L411" s="5">
        <v>1060009</v>
      </c>
    </row>
    <row r="412" spans="1:15" x14ac:dyDescent="0.15">
      <c r="A412" s="5">
        <v>7509</v>
      </c>
      <c r="B412" s="5">
        <v>109</v>
      </c>
      <c r="C412" s="5" t="str">
        <f t="shared" si="21"/>
        <v>Holy_Name_1060009</v>
      </c>
      <c r="D412" s="5" t="s">
        <v>43</v>
      </c>
      <c r="E412" s="5">
        <v>2</v>
      </c>
      <c r="F412" s="5">
        <v>9</v>
      </c>
      <c r="G412" s="5">
        <v>12</v>
      </c>
      <c r="H412" s="5">
        <v>240</v>
      </c>
      <c r="I412" s="5" t="str">
        <f t="shared" si="22"/>
        <v>Holy_Desc_1060009</v>
      </c>
      <c r="J412" s="4" t="s">
        <v>44</v>
      </c>
      <c r="K412" s="5">
        <f>[1]圣物数值!$C410*10000</f>
        <v>1800</v>
      </c>
      <c r="L412" s="5">
        <v>1060009</v>
      </c>
    </row>
    <row r="413" spans="1:15" x14ac:dyDescent="0.15">
      <c r="A413" s="5">
        <v>7510</v>
      </c>
      <c r="B413" s="5">
        <v>109</v>
      </c>
      <c r="C413" s="5" t="str">
        <f t="shared" si="21"/>
        <v>Holy_Name_1060009</v>
      </c>
      <c r="D413" s="5" t="s">
        <v>43</v>
      </c>
      <c r="E413" s="5">
        <v>2</v>
      </c>
      <c r="F413" s="5">
        <v>10</v>
      </c>
      <c r="G413" s="5">
        <v>14</v>
      </c>
      <c r="H413" s="5">
        <v>270</v>
      </c>
      <c r="I413" s="5" t="str">
        <f t="shared" si="22"/>
        <v>Holy_Desc_1060009</v>
      </c>
      <c r="J413" s="4" t="s">
        <v>44</v>
      </c>
      <c r="K413" s="5">
        <f>[1]圣物数值!$C411*10000</f>
        <v>2000</v>
      </c>
      <c r="L413" s="5">
        <v>1060009</v>
      </c>
    </row>
    <row r="414" spans="1:15" x14ac:dyDescent="0.15">
      <c r="A414" s="5">
        <v>7511</v>
      </c>
      <c r="B414" s="5">
        <v>109</v>
      </c>
      <c r="C414" s="5" t="str">
        <f t="shared" ref="C414:C463" si="23">"Holy_Name_"&amp;L414</f>
        <v>Holy_Name_1060009</v>
      </c>
      <c r="D414" s="5" t="s">
        <v>43</v>
      </c>
      <c r="E414" s="5">
        <v>2</v>
      </c>
      <c r="F414" s="5">
        <v>11</v>
      </c>
      <c r="G414" s="5">
        <v>15</v>
      </c>
      <c r="H414" s="5">
        <v>300</v>
      </c>
      <c r="I414" s="5" t="str">
        <f t="shared" ref="I414:I463" si="24">"Holy_Desc_"&amp;L414</f>
        <v>Holy_Desc_1060009</v>
      </c>
      <c r="J414" s="4" t="s">
        <v>44</v>
      </c>
      <c r="K414" s="5">
        <f>[1]圣物数值!$C412*10000</f>
        <v>2200</v>
      </c>
      <c r="L414" s="5">
        <v>1060009</v>
      </c>
    </row>
    <row r="415" spans="1:15" x14ac:dyDescent="0.15">
      <c r="A415" s="5">
        <v>7512</v>
      </c>
      <c r="B415" s="5">
        <v>109</v>
      </c>
      <c r="C415" s="5" t="str">
        <f t="shared" si="23"/>
        <v>Holy_Name_1060009</v>
      </c>
      <c r="D415" s="5" t="s">
        <v>43</v>
      </c>
      <c r="E415" s="5">
        <v>2</v>
      </c>
      <c r="F415" s="5">
        <v>12</v>
      </c>
      <c r="G415" s="5">
        <v>17</v>
      </c>
      <c r="H415" s="5">
        <v>340</v>
      </c>
      <c r="I415" s="5" t="str">
        <f t="shared" si="24"/>
        <v>Holy_Desc_1060009</v>
      </c>
      <c r="J415" s="4" t="s">
        <v>44</v>
      </c>
      <c r="K415" s="5">
        <f>[1]圣物数值!$C413*10000</f>
        <v>2400</v>
      </c>
      <c r="L415" s="5">
        <v>1060009</v>
      </c>
    </row>
    <row r="416" spans="1:15" x14ac:dyDescent="0.15">
      <c r="A416" s="5">
        <v>7513</v>
      </c>
      <c r="B416" s="5">
        <v>109</v>
      </c>
      <c r="C416" s="5" t="str">
        <f t="shared" si="23"/>
        <v>Holy_Name_1060009</v>
      </c>
      <c r="D416" s="5" t="s">
        <v>43</v>
      </c>
      <c r="E416" s="5">
        <v>2</v>
      </c>
      <c r="F416" s="5">
        <v>13</v>
      </c>
      <c r="G416" s="5">
        <v>18</v>
      </c>
      <c r="H416" s="5">
        <v>370</v>
      </c>
      <c r="I416" s="5" t="str">
        <f t="shared" si="24"/>
        <v>Holy_Desc_1060009</v>
      </c>
      <c r="J416" s="4" t="s">
        <v>44</v>
      </c>
      <c r="K416" s="5">
        <f>[1]圣物数值!$C414*10000</f>
        <v>2600</v>
      </c>
      <c r="L416" s="5">
        <v>1060009</v>
      </c>
    </row>
    <row r="417" spans="1:12" x14ac:dyDescent="0.15">
      <c r="A417" s="5">
        <v>7514</v>
      </c>
      <c r="B417" s="5">
        <v>109</v>
      </c>
      <c r="C417" s="5" t="str">
        <f t="shared" si="23"/>
        <v>Holy_Name_1060009</v>
      </c>
      <c r="D417" s="5" t="s">
        <v>43</v>
      </c>
      <c r="E417" s="5">
        <v>2</v>
      </c>
      <c r="F417" s="5">
        <v>14</v>
      </c>
      <c r="G417" s="5">
        <v>20</v>
      </c>
      <c r="H417" s="5">
        <v>400</v>
      </c>
      <c r="I417" s="5" t="str">
        <f t="shared" si="24"/>
        <v>Holy_Desc_1060009</v>
      </c>
      <c r="J417" s="4" t="s">
        <v>44</v>
      </c>
      <c r="K417" s="5">
        <f>[1]圣物数值!$C415*10000</f>
        <v>2800</v>
      </c>
      <c r="L417" s="5">
        <v>1060009</v>
      </c>
    </row>
    <row r="418" spans="1:12" x14ac:dyDescent="0.15">
      <c r="A418" s="5">
        <v>7515</v>
      </c>
      <c r="B418" s="5">
        <v>109</v>
      </c>
      <c r="C418" s="5" t="str">
        <f t="shared" si="23"/>
        <v>Holy_Name_1060009</v>
      </c>
      <c r="D418" s="5" t="s">
        <v>43</v>
      </c>
      <c r="E418" s="5">
        <v>2</v>
      </c>
      <c r="F418" s="5">
        <v>15</v>
      </c>
      <c r="G418" s="5">
        <v>22</v>
      </c>
      <c r="H418" s="5">
        <v>430</v>
      </c>
      <c r="I418" s="5" t="str">
        <f t="shared" si="24"/>
        <v>Holy_Desc_1060009</v>
      </c>
      <c r="J418" s="4" t="s">
        <v>44</v>
      </c>
      <c r="K418" s="5">
        <f>[1]圣物数值!$C416*10000</f>
        <v>3000</v>
      </c>
      <c r="L418" s="5">
        <v>1060009</v>
      </c>
    </row>
    <row r="419" spans="1:12" x14ac:dyDescent="0.15">
      <c r="A419" s="5">
        <v>7516</v>
      </c>
      <c r="B419" s="5">
        <v>109</v>
      </c>
      <c r="C419" s="5" t="str">
        <f t="shared" si="23"/>
        <v>Holy_Name_1060009</v>
      </c>
      <c r="D419" s="5" t="s">
        <v>43</v>
      </c>
      <c r="E419" s="5">
        <v>2</v>
      </c>
      <c r="F419" s="5">
        <v>16</v>
      </c>
      <c r="G419" s="5">
        <v>23</v>
      </c>
      <c r="H419" s="5">
        <v>460</v>
      </c>
      <c r="I419" s="5" t="str">
        <f t="shared" si="24"/>
        <v>Holy_Desc_1060009</v>
      </c>
      <c r="J419" s="4" t="s">
        <v>44</v>
      </c>
      <c r="K419" s="5">
        <f>[1]圣物数值!$C417*10000</f>
        <v>3200</v>
      </c>
      <c r="L419" s="5">
        <v>1060009</v>
      </c>
    </row>
    <row r="420" spans="1:12" x14ac:dyDescent="0.15">
      <c r="A420" s="5">
        <v>7517</v>
      </c>
      <c r="B420" s="5">
        <v>109</v>
      </c>
      <c r="C420" s="5" t="str">
        <f t="shared" si="23"/>
        <v>Holy_Name_1060009</v>
      </c>
      <c r="D420" s="5" t="s">
        <v>43</v>
      </c>
      <c r="E420" s="5">
        <v>2</v>
      </c>
      <c r="F420" s="5">
        <v>17</v>
      </c>
      <c r="G420" s="5">
        <v>25</v>
      </c>
      <c r="H420" s="5">
        <v>500</v>
      </c>
      <c r="I420" s="5" t="str">
        <f t="shared" si="24"/>
        <v>Holy_Desc_1060009</v>
      </c>
      <c r="J420" s="4" t="s">
        <v>44</v>
      </c>
      <c r="K420" s="5">
        <f>[1]圣物数值!$C418*10000</f>
        <v>3400</v>
      </c>
      <c r="L420" s="5">
        <v>1060009</v>
      </c>
    </row>
    <row r="421" spans="1:12" x14ac:dyDescent="0.15">
      <c r="A421" s="5">
        <v>7518</v>
      </c>
      <c r="B421" s="5">
        <v>109</v>
      </c>
      <c r="C421" s="5" t="str">
        <f t="shared" si="23"/>
        <v>Holy_Name_1060009</v>
      </c>
      <c r="D421" s="5" t="s">
        <v>43</v>
      </c>
      <c r="E421" s="5">
        <v>2</v>
      </c>
      <c r="F421" s="5">
        <v>18</v>
      </c>
      <c r="G421" s="5">
        <v>26</v>
      </c>
      <c r="H421" s="5">
        <v>530</v>
      </c>
      <c r="I421" s="5" t="str">
        <f t="shared" si="24"/>
        <v>Holy_Desc_1060009</v>
      </c>
      <c r="J421" s="4" t="s">
        <v>44</v>
      </c>
      <c r="K421" s="5">
        <f>[1]圣物数值!$C419*10000</f>
        <v>3600</v>
      </c>
      <c r="L421" s="5">
        <v>1060009</v>
      </c>
    </row>
    <row r="422" spans="1:12" x14ac:dyDescent="0.15">
      <c r="A422" s="5">
        <v>7519</v>
      </c>
      <c r="B422" s="5">
        <v>109</v>
      </c>
      <c r="C422" s="5" t="str">
        <f t="shared" si="23"/>
        <v>Holy_Name_1060009</v>
      </c>
      <c r="D422" s="5" t="s">
        <v>43</v>
      </c>
      <c r="E422" s="5">
        <v>2</v>
      </c>
      <c r="F422" s="5">
        <v>19</v>
      </c>
      <c r="G422" s="5">
        <v>28</v>
      </c>
      <c r="H422" s="5">
        <v>560</v>
      </c>
      <c r="I422" s="5" t="str">
        <f t="shared" si="24"/>
        <v>Holy_Desc_1060009</v>
      </c>
      <c r="J422" s="4" t="s">
        <v>44</v>
      </c>
      <c r="K422" s="5">
        <f>[1]圣物数值!$C420*10000</f>
        <v>3800</v>
      </c>
      <c r="L422" s="5">
        <v>1060009</v>
      </c>
    </row>
    <row r="423" spans="1:12" x14ac:dyDescent="0.15">
      <c r="A423" s="5">
        <v>7520</v>
      </c>
      <c r="B423" s="5">
        <v>109</v>
      </c>
      <c r="C423" s="5" t="str">
        <f t="shared" si="23"/>
        <v>Holy_Name_1060009</v>
      </c>
      <c r="D423" s="5" t="s">
        <v>43</v>
      </c>
      <c r="E423" s="5">
        <v>2</v>
      </c>
      <c r="F423" s="5">
        <v>20</v>
      </c>
      <c r="G423" s="5">
        <v>30</v>
      </c>
      <c r="H423" s="5">
        <v>590</v>
      </c>
      <c r="I423" s="5" t="str">
        <f t="shared" si="24"/>
        <v>Holy_Desc_1060009</v>
      </c>
      <c r="J423" s="4" t="s">
        <v>44</v>
      </c>
      <c r="K423" s="5">
        <f>[1]圣物数值!$C421*10000</f>
        <v>4000</v>
      </c>
      <c r="L423" s="5">
        <v>1060009</v>
      </c>
    </row>
    <row r="424" spans="1:12" x14ac:dyDescent="0.15">
      <c r="A424" s="5">
        <v>7521</v>
      </c>
      <c r="B424" s="5">
        <v>109</v>
      </c>
      <c r="C424" s="5" t="str">
        <f t="shared" si="23"/>
        <v>Holy_Name_1060009</v>
      </c>
      <c r="D424" s="5" t="s">
        <v>43</v>
      </c>
      <c r="E424" s="5">
        <v>2</v>
      </c>
      <c r="F424" s="5">
        <v>21</v>
      </c>
      <c r="G424" s="5">
        <v>31</v>
      </c>
      <c r="H424" s="5">
        <v>620</v>
      </c>
      <c r="I424" s="5" t="str">
        <f t="shared" si="24"/>
        <v>Holy_Desc_1060009</v>
      </c>
      <c r="J424" s="4" t="s">
        <v>44</v>
      </c>
      <c r="K424" s="5">
        <f>[1]圣物数值!$C422*10000</f>
        <v>4200</v>
      </c>
      <c r="L424" s="5">
        <v>1060009</v>
      </c>
    </row>
    <row r="425" spans="1:12" x14ac:dyDescent="0.15">
      <c r="A425" s="5">
        <v>7522</v>
      </c>
      <c r="B425" s="5">
        <v>109</v>
      </c>
      <c r="C425" s="5" t="str">
        <f t="shared" si="23"/>
        <v>Holy_Name_1060009</v>
      </c>
      <c r="D425" s="5" t="s">
        <v>43</v>
      </c>
      <c r="E425" s="5">
        <v>2</v>
      </c>
      <c r="F425" s="5">
        <v>22</v>
      </c>
      <c r="G425" s="5">
        <v>33</v>
      </c>
      <c r="H425" s="5">
        <v>660</v>
      </c>
      <c r="I425" s="5" t="str">
        <f t="shared" si="24"/>
        <v>Holy_Desc_1060009</v>
      </c>
      <c r="J425" s="4" t="s">
        <v>44</v>
      </c>
      <c r="K425" s="5">
        <f>[1]圣物数值!$C423*10000</f>
        <v>4400</v>
      </c>
      <c r="L425" s="5">
        <v>1060009</v>
      </c>
    </row>
    <row r="426" spans="1:12" x14ac:dyDescent="0.15">
      <c r="A426" s="5">
        <v>7523</v>
      </c>
      <c r="B426" s="5">
        <v>109</v>
      </c>
      <c r="C426" s="5" t="str">
        <f t="shared" si="23"/>
        <v>Holy_Name_1060009</v>
      </c>
      <c r="D426" s="5" t="s">
        <v>43</v>
      </c>
      <c r="E426" s="5">
        <v>2</v>
      </c>
      <c r="F426" s="5">
        <v>23</v>
      </c>
      <c r="G426" s="5">
        <v>34</v>
      </c>
      <c r="H426" s="5">
        <v>690</v>
      </c>
      <c r="I426" s="5" t="str">
        <f t="shared" si="24"/>
        <v>Holy_Desc_1060009</v>
      </c>
      <c r="J426" s="4" t="s">
        <v>44</v>
      </c>
      <c r="K426" s="5">
        <f>[1]圣物数值!$C424*10000</f>
        <v>4600</v>
      </c>
      <c r="L426" s="5">
        <v>1060009</v>
      </c>
    </row>
    <row r="427" spans="1:12" x14ac:dyDescent="0.15">
      <c r="A427" s="5">
        <v>7524</v>
      </c>
      <c r="B427" s="5">
        <v>109</v>
      </c>
      <c r="C427" s="5" t="str">
        <f t="shared" si="23"/>
        <v>Holy_Name_1060009</v>
      </c>
      <c r="D427" s="5" t="s">
        <v>43</v>
      </c>
      <c r="E427" s="5">
        <v>2</v>
      </c>
      <c r="F427" s="5">
        <v>24</v>
      </c>
      <c r="G427" s="5">
        <v>36</v>
      </c>
      <c r="H427" s="5">
        <v>720</v>
      </c>
      <c r="I427" s="5" t="str">
        <f t="shared" si="24"/>
        <v>Holy_Desc_1060009</v>
      </c>
      <c r="J427" s="4" t="s">
        <v>44</v>
      </c>
      <c r="K427" s="5">
        <f>[1]圣物数值!$C425*10000</f>
        <v>4800</v>
      </c>
      <c r="L427" s="5">
        <v>1060009</v>
      </c>
    </row>
    <row r="428" spans="1:12" x14ac:dyDescent="0.15">
      <c r="A428" s="5">
        <v>7525</v>
      </c>
      <c r="B428" s="5">
        <v>109</v>
      </c>
      <c r="C428" s="5" t="str">
        <f t="shared" si="23"/>
        <v>Holy_Name_1060009</v>
      </c>
      <c r="D428" s="5" t="s">
        <v>43</v>
      </c>
      <c r="E428" s="5">
        <v>2</v>
      </c>
      <c r="F428" s="5">
        <v>25</v>
      </c>
      <c r="G428" s="5">
        <v>38</v>
      </c>
      <c r="H428" s="5">
        <v>750</v>
      </c>
      <c r="I428" s="5" t="str">
        <f t="shared" si="24"/>
        <v>Holy_Desc_1060009</v>
      </c>
      <c r="J428" s="4" t="s">
        <v>44</v>
      </c>
      <c r="K428" s="5">
        <f>[1]圣物数值!$C426*10000</f>
        <v>5000</v>
      </c>
      <c r="L428" s="5">
        <v>1060009</v>
      </c>
    </row>
    <row r="429" spans="1:12" x14ac:dyDescent="0.15">
      <c r="A429" s="5">
        <v>7526</v>
      </c>
      <c r="B429" s="5">
        <v>109</v>
      </c>
      <c r="C429" s="5" t="str">
        <f t="shared" si="23"/>
        <v>Holy_Name_1060009</v>
      </c>
      <c r="D429" s="5" t="s">
        <v>43</v>
      </c>
      <c r="E429" s="5">
        <v>2</v>
      </c>
      <c r="F429" s="5">
        <v>26</v>
      </c>
      <c r="G429" s="5">
        <v>39</v>
      </c>
      <c r="H429" s="5">
        <v>780</v>
      </c>
      <c r="I429" s="5" t="str">
        <f t="shared" si="24"/>
        <v>Holy_Desc_1060009</v>
      </c>
      <c r="J429" s="4" t="s">
        <v>44</v>
      </c>
      <c r="K429" s="5">
        <f>[1]圣物数值!$C427*10000</f>
        <v>5200</v>
      </c>
      <c r="L429" s="5">
        <v>1060009</v>
      </c>
    </row>
    <row r="430" spans="1:12" x14ac:dyDescent="0.15">
      <c r="A430" s="5">
        <v>7527</v>
      </c>
      <c r="B430" s="5">
        <v>109</v>
      </c>
      <c r="C430" s="5" t="str">
        <f t="shared" si="23"/>
        <v>Holy_Name_1060009</v>
      </c>
      <c r="D430" s="5" t="s">
        <v>43</v>
      </c>
      <c r="E430" s="5">
        <v>2</v>
      </c>
      <c r="F430" s="5">
        <v>27</v>
      </c>
      <c r="G430" s="5">
        <v>41</v>
      </c>
      <c r="H430" s="5">
        <v>820</v>
      </c>
      <c r="I430" s="5" t="str">
        <f t="shared" si="24"/>
        <v>Holy_Desc_1060009</v>
      </c>
      <c r="J430" s="4" t="s">
        <v>44</v>
      </c>
      <c r="K430" s="5">
        <f>[1]圣物数值!$C428*10000</f>
        <v>5400</v>
      </c>
      <c r="L430" s="5">
        <v>1060009</v>
      </c>
    </row>
    <row r="431" spans="1:12" x14ac:dyDescent="0.15">
      <c r="A431" s="5">
        <v>7528</v>
      </c>
      <c r="B431" s="5">
        <v>109</v>
      </c>
      <c r="C431" s="5" t="str">
        <f t="shared" si="23"/>
        <v>Holy_Name_1060009</v>
      </c>
      <c r="D431" s="5" t="s">
        <v>43</v>
      </c>
      <c r="E431" s="5">
        <v>2</v>
      </c>
      <c r="F431" s="5">
        <v>28</v>
      </c>
      <c r="G431" s="5">
        <v>42</v>
      </c>
      <c r="H431" s="5">
        <v>850</v>
      </c>
      <c r="I431" s="5" t="str">
        <f t="shared" si="24"/>
        <v>Holy_Desc_1060009</v>
      </c>
      <c r="J431" s="4" t="s">
        <v>44</v>
      </c>
      <c r="K431" s="5">
        <f>[1]圣物数值!$C429*10000</f>
        <v>5600</v>
      </c>
      <c r="L431" s="5">
        <v>1060009</v>
      </c>
    </row>
    <row r="432" spans="1:12" x14ac:dyDescent="0.15">
      <c r="A432" s="5">
        <v>7529</v>
      </c>
      <c r="B432" s="5">
        <v>109</v>
      </c>
      <c r="C432" s="5" t="str">
        <f t="shared" si="23"/>
        <v>Holy_Name_1060009</v>
      </c>
      <c r="D432" s="5" t="s">
        <v>43</v>
      </c>
      <c r="E432" s="5">
        <v>2</v>
      </c>
      <c r="F432" s="5">
        <v>29</v>
      </c>
      <c r="G432" s="5">
        <v>44</v>
      </c>
      <c r="H432" s="5">
        <v>880</v>
      </c>
      <c r="I432" s="5" t="str">
        <f t="shared" si="24"/>
        <v>Holy_Desc_1060009</v>
      </c>
      <c r="J432" s="4" t="s">
        <v>44</v>
      </c>
      <c r="K432" s="5">
        <f>[1]圣物数值!$C430*10000</f>
        <v>5800</v>
      </c>
      <c r="L432" s="5">
        <v>1060009</v>
      </c>
    </row>
    <row r="433" spans="1:12" x14ac:dyDescent="0.15">
      <c r="A433" s="5">
        <v>7530</v>
      </c>
      <c r="B433" s="5">
        <v>109</v>
      </c>
      <c r="C433" s="5" t="str">
        <f t="shared" si="23"/>
        <v>Holy_Name_1060009</v>
      </c>
      <c r="D433" s="5" t="s">
        <v>43</v>
      </c>
      <c r="E433" s="5">
        <v>2</v>
      </c>
      <c r="F433" s="5">
        <v>30</v>
      </c>
      <c r="G433" s="5">
        <v>46</v>
      </c>
      <c r="H433" s="5">
        <v>910</v>
      </c>
      <c r="I433" s="5" t="str">
        <f t="shared" si="24"/>
        <v>Holy_Desc_1060009</v>
      </c>
      <c r="J433" s="4" t="s">
        <v>44</v>
      </c>
      <c r="K433" s="5">
        <f>[1]圣物数值!$C431*10000</f>
        <v>6000</v>
      </c>
      <c r="L433" s="5">
        <v>1060009</v>
      </c>
    </row>
    <row r="434" spans="1:12" x14ac:dyDescent="0.15">
      <c r="A434" s="5">
        <v>7531</v>
      </c>
      <c r="B434" s="5">
        <v>109</v>
      </c>
      <c r="C434" s="5" t="str">
        <f t="shared" si="23"/>
        <v>Holy_Name_1060009</v>
      </c>
      <c r="D434" s="5" t="s">
        <v>43</v>
      </c>
      <c r="E434" s="5">
        <v>2</v>
      </c>
      <c r="F434" s="5">
        <v>31</v>
      </c>
      <c r="G434" s="5">
        <v>47</v>
      </c>
      <c r="H434" s="5">
        <v>940</v>
      </c>
      <c r="I434" s="5" t="str">
        <f t="shared" si="24"/>
        <v>Holy_Desc_1060009</v>
      </c>
      <c r="J434" s="4" t="s">
        <v>44</v>
      </c>
      <c r="K434" s="5">
        <f>[1]圣物数值!$C432*10000</f>
        <v>6200</v>
      </c>
      <c r="L434" s="5">
        <v>1060009</v>
      </c>
    </row>
    <row r="435" spans="1:12" x14ac:dyDescent="0.15">
      <c r="A435" s="5">
        <v>7532</v>
      </c>
      <c r="B435" s="5">
        <v>109</v>
      </c>
      <c r="C435" s="5" t="str">
        <f t="shared" si="23"/>
        <v>Holy_Name_1060009</v>
      </c>
      <c r="D435" s="5" t="s">
        <v>43</v>
      </c>
      <c r="E435" s="5">
        <v>2</v>
      </c>
      <c r="F435" s="5">
        <v>32</v>
      </c>
      <c r="G435" s="5">
        <v>49</v>
      </c>
      <c r="H435" s="5">
        <v>980</v>
      </c>
      <c r="I435" s="5" t="str">
        <f t="shared" si="24"/>
        <v>Holy_Desc_1060009</v>
      </c>
      <c r="J435" s="4" t="s">
        <v>44</v>
      </c>
      <c r="K435" s="5">
        <f>[1]圣物数值!$C433*10000</f>
        <v>6400</v>
      </c>
      <c r="L435" s="5">
        <v>1060009</v>
      </c>
    </row>
    <row r="436" spans="1:12" x14ac:dyDescent="0.15">
      <c r="A436" s="5">
        <v>7533</v>
      </c>
      <c r="B436" s="5">
        <v>109</v>
      </c>
      <c r="C436" s="5" t="str">
        <f t="shared" si="23"/>
        <v>Holy_Name_1060009</v>
      </c>
      <c r="D436" s="5" t="s">
        <v>43</v>
      </c>
      <c r="E436" s="5">
        <v>2</v>
      </c>
      <c r="F436" s="5">
        <v>33</v>
      </c>
      <c r="G436" s="5">
        <v>50</v>
      </c>
      <c r="H436" s="5">
        <v>1010</v>
      </c>
      <c r="I436" s="5" t="str">
        <f t="shared" si="24"/>
        <v>Holy_Desc_1060009</v>
      </c>
      <c r="J436" s="4" t="s">
        <v>44</v>
      </c>
      <c r="K436" s="5">
        <f>[1]圣物数值!$C434*10000</f>
        <v>6600</v>
      </c>
      <c r="L436" s="5">
        <v>1060009</v>
      </c>
    </row>
    <row r="437" spans="1:12" x14ac:dyDescent="0.15">
      <c r="A437" s="5">
        <v>7534</v>
      </c>
      <c r="B437" s="5">
        <v>109</v>
      </c>
      <c r="C437" s="5" t="str">
        <f t="shared" si="23"/>
        <v>Holy_Name_1060009</v>
      </c>
      <c r="D437" s="5" t="s">
        <v>43</v>
      </c>
      <c r="E437" s="5">
        <v>2</v>
      </c>
      <c r="F437" s="5">
        <v>34</v>
      </c>
      <c r="G437" s="5">
        <v>52</v>
      </c>
      <c r="H437" s="5">
        <v>1040</v>
      </c>
      <c r="I437" s="5" t="str">
        <f t="shared" si="24"/>
        <v>Holy_Desc_1060009</v>
      </c>
      <c r="J437" s="4" t="s">
        <v>44</v>
      </c>
      <c r="K437" s="5">
        <f>[1]圣物数值!$C435*10000</f>
        <v>6800</v>
      </c>
      <c r="L437" s="5">
        <v>1060009</v>
      </c>
    </row>
    <row r="438" spans="1:12" x14ac:dyDescent="0.15">
      <c r="A438" s="5">
        <v>7535</v>
      </c>
      <c r="B438" s="5">
        <v>109</v>
      </c>
      <c r="C438" s="5" t="str">
        <f t="shared" si="23"/>
        <v>Holy_Name_1060009</v>
      </c>
      <c r="D438" s="5" t="s">
        <v>43</v>
      </c>
      <c r="E438" s="5">
        <v>2</v>
      </c>
      <c r="F438" s="5">
        <v>35</v>
      </c>
      <c r="G438" s="5">
        <v>54</v>
      </c>
      <c r="H438" s="5">
        <v>1070</v>
      </c>
      <c r="I438" s="5" t="str">
        <f t="shared" si="24"/>
        <v>Holy_Desc_1060009</v>
      </c>
      <c r="J438" s="4" t="s">
        <v>44</v>
      </c>
      <c r="K438" s="5">
        <f>[1]圣物数值!$C436*10000</f>
        <v>7000</v>
      </c>
      <c r="L438" s="5">
        <v>1060009</v>
      </c>
    </row>
    <row r="439" spans="1:12" x14ac:dyDescent="0.15">
      <c r="A439" s="5">
        <v>7536</v>
      </c>
      <c r="B439" s="5">
        <v>109</v>
      </c>
      <c r="C439" s="5" t="str">
        <f t="shared" si="23"/>
        <v>Holy_Name_1060009</v>
      </c>
      <c r="D439" s="5" t="s">
        <v>43</v>
      </c>
      <c r="E439" s="5">
        <v>2</v>
      </c>
      <c r="F439" s="5">
        <v>36</v>
      </c>
      <c r="G439" s="5">
        <v>55</v>
      </c>
      <c r="H439" s="5">
        <v>1100</v>
      </c>
      <c r="I439" s="5" t="str">
        <f t="shared" si="24"/>
        <v>Holy_Desc_1060009</v>
      </c>
      <c r="J439" s="4" t="s">
        <v>44</v>
      </c>
      <c r="K439" s="5">
        <f>[1]圣物数值!$C437*10000</f>
        <v>7200</v>
      </c>
      <c r="L439" s="5">
        <v>1060009</v>
      </c>
    </row>
    <row r="440" spans="1:12" x14ac:dyDescent="0.15">
      <c r="A440" s="5">
        <v>7537</v>
      </c>
      <c r="B440" s="5">
        <v>109</v>
      </c>
      <c r="C440" s="5" t="str">
        <f t="shared" si="23"/>
        <v>Holy_Name_1060009</v>
      </c>
      <c r="D440" s="5" t="s">
        <v>43</v>
      </c>
      <c r="E440" s="5">
        <v>2</v>
      </c>
      <c r="F440" s="5">
        <v>37</v>
      </c>
      <c r="G440" s="5">
        <v>57</v>
      </c>
      <c r="H440" s="5">
        <v>1140</v>
      </c>
      <c r="I440" s="5" t="str">
        <f t="shared" si="24"/>
        <v>Holy_Desc_1060009</v>
      </c>
      <c r="J440" s="4" t="s">
        <v>44</v>
      </c>
      <c r="K440" s="5">
        <f>[1]圣物数值!$C438*10000</f>
        <v>7400</v>
      </c>
      <c r="L440" s="5">
        <v>1060009</v>
      </c>
    </row>
    <row r="441" spans="1:12" x14ac:dyDescent="0.15">
      <c r="A441" s="5">
        <v>7538</v>
      </c>
      <c r="B441" s="5">
        <v>109</v>
      </c>
      <c r="C441" s="5" t="str">
        <f t="shared" si="23"/>
        <v>Holy_Name_1060009</v>
      </c>
      <c r="D441" s="5" t="s">
        <v>43</v>
      </c>
      <c r="E441" s="5">
        <v>2</v>
      </c>
      <c r="F441" s="5">
        <v>38</v>
      </c>
      <c r="G441" s="5">
        <v>58</v>
      </c>
      <c r="H441" s="5">
        <v>1170</v>
      </c>
      <c r="I441" s="5" t="str">
        <f t="shared" si="24"/>
        <v>Holy_Desc_1060009</v>
      </c>
      <c r="J441" s="4" t="s">
        <v>44</v>
      </c>
      <c r="K441" s="5">
        <f>[1]圣物数值!$C439*10000</f>
        <v>7600</v>
      </c>
      <c r="L441" s="5">
        <v>1060009</v>
      </c>
    </row>
    <row r="442" spans="1:12" x14ac:dyDescent="0.15">
      <c r="A442" s="5">
        <v>7539</v>
      </c>
      <c r="B442" s="5">
        <v>109</v>
      </c>
      <c r="C442" s="5" t="str">
        <f t="shared" si="23"/>
        <v>Holy_Name_1060009</v>
      </c>
      <c r="D442" s="5" t="s">
        <v>43</v>
      </c>
      <c r="E442" s="5">
        <v>2</v>
      </c>
      <c r="F442" s="5">
        <v>39</v>
      </c>
      <c r="G442" s="5">
        <v>60</v>
      </c>
      <c r="H442" s="5">
        <v>1200</v>
      </c>
      <c r="I442" s="5" t="str">
        <f t="shared" si="24"/>
        <v>Holy_Desc_1060009</v>
      </c>
      <c r="J442" s="4" t="s">
        <v>44</v>
      </c>
      <c r="K442" s="5">
        <f>[1]圣物数值!$C440*10000</f>
        <v>7800</v>
      </c>
      <c r="L442" s="5">
        <v>1060009</v>
      </c>
    </row>
    <row r="443" spans="1:12" x14ac:dyDescent="0.15">
      <c r="A443" s="5">
        <v>7540</v>
      </c>
      <c r="B443" s="5">
        <v>109</v>
      </c>
      <c r="C443" s="5" t="str">
        <f t="shared" si="23"/>
        <v>Holy_Name_1060009</v>
      </c>
      <c r="D443" s="5" t="s">
        <v>43</v>
      </c>
      <c r="E443" s="5">
        <v>2</v>
      </c>
      <c r="F443" s="5">
        <v>40</v>
      </c>
      <c r="G443" s="5">
        <v>62</v>
      </c>
      <c r="H443" s="5">
        <v>1230</v>
      </c>
      <c r="I443" s="5" t="str">
        <f t="shared" si="24"/>
        <v>Holy_Desc_1060009</v>
      </c>
      <c r="J443" s="4" t="s">
        <v>44</v>
      </c>
      <c r="K443" s="5">
        <f>[1]圣物数值!$C441*10000</f>
        <v>8000</v>
      </c>
      <c r="L443" s="5">
        <v>1060009</v>
      </c>
    </row>
    <row r="444" spans="1:12" x14ac:dyDescent="0.15">
      <c r="A444" s="5">
        <v>7541</v>
      </c>
      <c r="B444" s="5">
        <v>109</v>
      </c>
      <c r="C444" s="5" t="str">
        <f t="shared" si="23"/>
        <v>Holy_Name_1060009</v>
      </c>
      <c r="D444" s="5" t="s">
        <v>43</v>
      </c>
      <c r="E444" s="5">
        <v>2</v>
      </c>
      <c r="F444" s="5">
        <v>41</v>
      </c>
      <c r="G444" s="5">
        <v>63</v>
      </c>
      <c r="H444" s="5">
        <v>1260</v>
      </c>
      <c r="I444" s="5" t="str">
        <f t="shared" si="24"/>
        <v>Holy_Desc_1060009</v>
      </c>
      <c r="J444" s="4" t="s">
        <v>44</v>
      </c>
      <c r="K444" s="5">
        <f>[1]圣物数值!$C442*10000</f>
        <v>8200</v>
      </c>
      <c r="L444" s="5">
        <v>1060009</v>
      </c>
    </row>
    <row r="445" spans="1:12" x14ac:dyDescent="0.15">
      <c r="A445" s="5">
        <v>7542</v>
      </c>
      <c r="B445" s="5">
        <v>109</v>
      </c>
      <c r="C445" s="5" t="str">
        <f t="shared" si="23"/>
        <v>Holy_Name_1060009</v>
      </c>
      <c r="D445" s="5" t="s">
        <v>43</v>
      </c>
      <c r="E445" s="5">
        <v>2</v>
      </c>
      <c r="F445" s="5">
        <v>42</v>
      </c>
      <c r="G445" s="5">
        <v>65</v>
      </c>
      <c r="H445" s="5">
        <v>1300</v>
      </c>
      <c r="I445" s="5" t="str">
        <f t="shared" si="24"/>
        <v>Holy_Desc_1060009</v>
      </c>
      <c r="J445" s="4" t="s">
        <v>44</v>
      </c>
      <c r="K445" s="5">
        <f>[1]圣物数值!$C443*10000</f>
        <v>8400</v>
      </c>
      <c r="L445" s="5">
        <v>1060009</v>
      </c>
    </row>
    <row r="446" spans="1:12" x14ac:dyDescent="0.15">
      <c r="A446" s="5">
        <v>7543</v>
      </c>
      <c r="B446" s="5">
        <v>109</v>
      </c>
      <c r="C446" s="5" t="str">
        <f t="shared" si="23"/>
        <v>Holy_Name_1060009</v>
      </c>
      <c r="D446" s="5" t="s">
        <v>43</v>
      </c>
      <c r="E446" s="5">
        <v>2</v>
      </c>
      <c r="F446" s="5">
        <v>43</v>
      </c>
      <c r="G446" s="5">
        <v>66</v>
      </c>
      <c r="H446" s="5">
        <v>1330</v>
      </c>
      <c r="I446" s="5" t="str">
        <f t="shared" si="24"/>
        <v>Holy_Desc_1060009</v>
      </c>
      <c r="J446" s="4" t="s">
        <v>44</v>
      </c>
      <c r="K446" s="5">
        <f>[1]圣物数值!$C444*10000</f>
        <v>8600</v>
      </c>
      <c r="L446" s="5">
        <v>1060009</v>
      </c>
    </row>
    <row r="447" spans="1:12" x14ac:dyDescent="0.15">
      <c r="A447" s="5">
        <v>7544</v>
      </c>
      <c r="B447" s="5">
        <v>109</v>
      </c>
      <c r="C447" s="5" t="str">
        <f t="shared" si="23"/>
        <v>Holy_Name_1060009</v>
      </c>
      <c r="D447" s="5" t="s">
        <v>43</v>
      </c>
      <c r="E447" s="5">
        <v>2</v>
      </c>
      <c r="F447" s="5">
        <v>44</v>
      </c>
      <c r="G447" s="5">
        <v>68</v>
      </c>
      <c r="H447" s="5">
        <v>1360</v>
      </c>
      <c r="I447" s="5" t="str">
        <f t="shared" si="24"/>
        <v>Holy_Desc_1060009</v>
      </c>
      <c r="J447" s="4" t="s">
        <v>44</v>
      </c>
      <c r="K447" s="5">
        <f>[1]圣物数值!$C445*10000</f>
        <v>8800</v>
      </c>
      <c r="L447" s="5">
        <v>1060009</v>
      </c>
    </row>
    <row r="448" spans="1:12" x14ac:dyDescent="0.15">
      <c r="A448" s="5">
        <v>7545</v>
      </c>
      <c r="B448" s="5">
        <v>109</v>
      </c>
      <c r="C448" s="5" t="str">
        <f t="shared" si="23"/>
        <v>Holy_Name_1060009</v>
      </c>
      <c r="D448" s="5" t="s">
        <v>43</v>
      </c>
      <c r="E448" s="5">
        <v>2</v>
      </c>
      <c r="F448" s="5">
        <v>45</v>
      </c>
      <c r="G448" s="5">
        <v>70</v>
      </c>
      <c r="H448" s="5">
        <v>1390</v>
      </c>
      <c r="I448" s="5" t="str">
        <f t="shared" si="24"/>
        <v>Holy_Desc_1060009</v>
      </c>
      <c r="J448" s="4" t="s">
        <v>44</v>
      </c>
      <c r="K448" s="5">
        <f>[1]圣物数值!$C446*10000</f>
        <v>9000</v>
      </c>
      <c r="L448" s="5">
        <v>1060009</v>
      </c>
    </row>
    <row r="449" spans="1:12" x14ac:dyDescent="0.15">
      <c r="A449" s="5">
        <v>7546</v>
      </c>
      <c r="B449" s="5">
        <v>109</v>
      </c>
      <c r="C449" s="5" t="str">
        <f t="shared" si="23"/>
        <v>Holy_Name_1060009</v>
      </c>
      <c r="D449" s="5" t="s">
        <v>43</v>
      </c>
      <c r="E449" s="5">
        <v>2</v>
      </c>
      <c r="F449" s="5">
        <v>46</v>
      </c>
      <c r="G449" s="5">
        <v>71</v>
      </c>
      <c r="H449" s="5">
        <v>1420</v>
      </c>
      <c r="I449" s="5" t="str">
        <f t="shared" si="24"/>
        <v>Holy_Desc_1060009</v>
      </c>
      <c r="J449" s="4" t="s">
        <v>44</v>
      </c>
      <c r="K449" s="5">
        <f>[1]圣物数值!$C447*10000</f>
        <v>9200</v>
      </c>
      <c r="L449" s="5">
        <v>1060009</v>
      </c>
    </row>
    <row r="450" spans="1:12" x14ac:dyDescent="0.15">
      <c r="A450" s="5">
        <v>7547</v>
      </c>
      <c r="B450" s="5">
        <v>109</v>
      </c>
      <c r="C450" s="5" t="str">
        <f t="shared" si="23"/>
        <v>Holy_Name_1060009</v>
      </c>
      <c r="D450" s="5" t="s">
        <v>43</v>
      </c>
      <c r="E450" s="5">
        <v>2</v>
      </c>
      <c r="F450" s="5">
        <v>47</v>
      </c>
      <c r="G450" s="5">
        <v>73</v>
      </c>
      <c r="H450" s="5">
        <v>1460</v>
      </c>
      <c r="I450" s="5" t="str">
        <f t="shared" si="24"/>
        <v>Holy_Desc_1060009</v>
      </c>
      <c r="J450" s="4" t="s">
        <v>44</v>
      </c>
      <c r="K450" s="5">
        <f>[1]圣物数值!$C448*10000</f>
        <v>9400</v>
      </c>
      <c r="L450" s="5">
        <v>1060009</v>
      </c>
    </row>
    <row r="451" spans="1:12" x14ac:dyDescent="0.15">
      <c r="A451" s="5">
        <v>7548</v>
      </c>
      <c r="B451" s="5">
        <v>109</v>
      </c>
      <c r="C451" s="5" t="str">
        <f t="shared" si="23"/>
        <v>Holy_Name_1060009</v>
      </c>
      <c r="D451" s="5" t="s">
        <v>43</v>
      </c>
      <c r="E451" s="5">
        <v>2</v>
      </c>
      <c r="F451" s="5">
        <v>48</v>
      </c>
      <c r="G451" s="5">
        <v>74</v>
      </c>
      <c r="H451" s="5">
        <v>1490</v>
      </c>
      <c r="I451" s="5" t="str">
        <f t="shared" si="24"/>
        <v>Holy_Desc_1060009</v>
      </c>
      <c r="J451" s="4" t="s">
        <v>44</v>
      </c>
      <c r="K451" s="5">
        <f>[1]圣物数值!$C449*10000</f>
        <v>9600</v>
      </c>
      <c r="L451" s="5">
        <v>1060009</v>
      </c>
    </row>
    <row r="452" spans="1:12" x14ac:dyDescent="0.15">
      <c r="A452" s="5">
        <v>7549</v>
      </c>
      <c r="B452" s="5">
        <v>109</v>
      </c>
      <c r="C452" s="5" t="str">
        <f t="shared" si="23"/>
        <v>Holy_Name_1060009</v>
      </c>
      <c r="D452" s="5" t="s">
        <v>43</v>
      </c>
      <c r="E452" s="5">
        <v>2</v>
      </c>
      <c r="F452" s="5">
        <v>49</v>
      </c>
      <c r="G452" s="5">
        <v>76</v>
      </c>
      <c r="H452" s="5">
        <v>1520</v>
      </c>
      <c r="I452" s="5" t="str">
        <f t="shared" si="24"/>
        <v>Holy_Desc_1060009</v>
      </c>
      <c r="J452" s="4" t="s">
        <v>44</v>
      </c>
      <c r="K452" s="5">
        <f>[1]圣物数值!$C450*10000</f>
        <v>9800</v>
      </c>
      <c r="L452" s="5">
        <v>1060009</v>
      </c>
    </row>
    <row r="453" spans="1:12" x14ac:dyDescent="0.15">
      <c r="A453" s="5">
        <v>7550</v>
      </c>
      <c r="B453" s="5">
        <v>109</v>
      </c>
      <c r="C453" s="5" t="str">
        <f t="shared" si="23"/>
        <v>Holy_Name_1060009</v>
      </c>
      <c r="D453" s="5" t="s">
        <v>43</v>
      </c>
      <c r="E453" s="5">
        <v>2</v>
      </c>
      <c r="F453" s="5">
        <v>50</v>
      </c>
      <c r="G453" s="5">
        <v>78</v>
      </c>
      <c r="H453" s="5">
        <v>1550</v>
      </c>
      <c r="I453" s="5" t="str">
        <f t="shared" si="24"/>
        <v>Holy_Desc_1060009</v>
      </c>
      <c r="J453" s="4" t="s">
        <v>44</v>
      </c>
      <c r="K453" s="5">
        <f>[1]圣物数值!$C451*10000</f>
        <v>10000</v>
      </c>
      <c r="L453" s="5">
        <v>1060009</v>
      </c>
    </row>
    <row r="454" spans="1:12" x14ac:dyDescent="0.15">
      <c r="A454" s="5">
        <v>7551</v>
      </c>
      <c r="B454" s="5">
        <v>110</v>
      </c>
      <c r="C454" s="5" t="str">
        <f t="shared" si="23"/>
        <v>Holy_Name_1060010</v>
      </c>
      <c r="D454" s="5" t="s">
        <v>45</v>
      </c>
      <c r="E454" s="5">
        <v>2</v>
      </c>
      <c r="F454" s="5">
        <v>1</v>
      </c>
      <c r="G454" s="5">
        <v>0</v>
      </c>
      <c r="H454" s="5">
        <v>0</v>
      </c>
      <c r="I454" s="5" t="str">
        <f t="shared" si="24"/>
        <v>Holy_Desc_1060010</v>
      </c>
      <c r="J454" s="4" t="s">
        <v>46</v>
      </c>
      <c r="K454" s="5">
        <f>[1]圣物数值!$C452*10000</f>
        <v>180</v>
      </c>
      <c r="L454" s="5">
        <v>1060010</v>
      </c>
    </row>
    <row r="455" spans="1:12" x14ac:dyDescent="0.15">
      <c r="A455" s="5">
        <v>7552</v>
      </c>
      <c r="B455" s="5">
        <v>110</v>
      </c>
      <c r="C455" s="5" t="str">
        <f t="shared" si="23"/>
        <v>Holy_Name_1060010</v>
      </c>
      <c r="D455" s="5" t="s">
        <v>45</v>
      </c>
      <c r="E455" s="5">
        <v>2</v>
      </c>
      <c r="F455" s="5">
        <v>2</v>
      </c>
      <c r="G455" s="5">
        <v>1</v>
      </c>
      <c r="H455" s="5">
        <v>30</v>
      </c>
      <c r="I455" s="5" t="str">
        <f t="shared" si="24"/>
        <v>Holy_Desc_1060010</v>
      </c>
      <c r="J455" s="4" t="s">
        <v>46</v>
      </c>
      <c r="K455" s="5">
        <f>[1]圣物数值!$C453*10000</f>
        <v>360</v>
      </c>
      <c r="L455" s="5">
        <v>1060010</v>
      </c>
    </row>
    <row r="456" spans="1:12" x14ac:dyDescent="0.15">
      <c r="A456" s="5">
        <v>7553</v>
      </c>
      <c r="B456" s="5">
        <v>110</v>
      </c>
      <c r="C456" s="5" t="str">
        <f t="shared" si="23"/>
        <v>Holy_Name_1060010</v>
      </c>
      <c r="D456" s="5" t="s">
        <v>45</v>
      </c>
      <c r="E456" s="5">
        <v>2</v>
      </c>
      <c r="F456" s="5">
        <v>3</v>
      </c>
      <c r="G456" s="5">
        <v>2</v>
      </c>
      <c r="H456" s="5">
        <v>50</v>
      </c>
      <c r="I456" s="5" t="str">
        <f t="shared" si="24"/>
        <v>Holy_Desc_1060010</v>
      </c>
      <c r="J456" s="4" t="s">
        <v>46</v>
      </c>
      <c r="K456" s="5">
        <f>[1]圣物数值!$C454*10000</f>
        <v>540</v>
      </c>
      <c r="L456" s="5">
        <v>1060010</v>
      </c>
    </row>
    <row r="457" spans="1:12" x14ac:dyDescent="0.15">
      <c r="A457" s="5">
        <v>7554</v>
      </c>
      <c r="B457" s="5">
        <v>110</v>
      </c>
      <c r="C457" s="5" t="str">
        <f t="shared" si="23"/>
        <v>Holy_Name_1060010</v>
      </c>
      <c r="D457" s="5" t="s">
        <v>45</v>
      </c>
      <c r="E457" s="5">
        <v>2</v>
      </c>
      <c r="F457" s="5">
        <v>4</v>
      </c>
      <c r="G457" s="5">
        <v>4</v>
      </c>
      <c r="H457" s="5">
        <v>80</v>
      </c>
      <c r="I457" s="5" t="str">
        <f t="shared" si="24"/>
        <v>Holy_Desc_1060010</v>
      </c>
      <c r="J457" s="4" t="s">
        <v>46</v>
      </c>
      <c r="K457" s="5">
        <f>[1]圣物数值!$C455*10000</f>
        <v>720</v>
      </c>
      <c r="L457" s="5">
        <v>1060010</v>
      </c>
    </row>
    <row r="458" spans="1:12" x14ac:dyDescent="0.15">
      <c r="A458" s="5">
        <v>7555</v>
      </c>
      <c r="B458" s="5">
        <v>110</v>
      </c>
      <c r="C458" s="5" t="str">
        <f t="shared" si="23"/>
        <v>Holy_Name_1060010</v>
      </c>
      <c r="D458" s="5" t="s">
        <v>45</v>
      </c>
      <c r="E458" s="5">
        <v>2</v>
      </c>
      <c r="F458" s="5">
        <v>5</v>
      </c>
      <c r="G458" s="5">
        <v>6</v>
      </c>
      <c r="H458" s="5">
        <v>110</v>
      </c>
      <c r="I458" s="5" t="str">
        <f t="shared" si="24"/>
        <v>Holy_Desc_1060010</v>
      </c>
      <c r="J458" s="4" t="s">
        <v>46</v>
      </c>
      <c r="K458" s="5">
        <f>[1]圣物数值!$C456*10000</f>
        <v>900</v>
      </c>
      <c r="L458" s="5">
        <v>1060010</v>
      </c>
    </row>
    <row r="459" spans="1:12" x14ac:dyDescent="0.15">
      <c r="A459" s="5">
        <v>7556</v>
      </c>
      <c r="B459" s="5">
        <v>110</v>
      </c>
      <c r="C459" s="5" t="str">
        <f t="shared" si="23"/>
        <v>Holy_Name_1060010</v>
      </c>
      <c r="D459" s="5" t="s">
        <v>45</v>
      </c>
      <c r="E459" s="5">
        <v>2</v>
      </c>
      <c r="F459" s="5">
        <v>6</v>
      </c>
      <c r="G459" s="5">
        <v>7</v>
      </c>
      <c r="H459" s="5">
        <v>140</v>
      </c>
      <c r="I459" s="5" t="str">
        <f t="shared" si="24"/>
        <v>Holy_Desc_1060010</v>
      </c>
      <c r="J459" s="4" t="s">
        <v>46</v>
      </c>
      <c r="K459" s="5">
        <f>[1]圣物数值!$C457*10000</f>
        <v>1080</v>
      </c>
      <c r="L459" s="5">
        <v>1060010</v>
      </c>
    </row>
    <row r="460" spans="1:12" x14ac:dyDescent="0.15">
      <c r="A460" s="5">
        <v>7557</v>
      </c>
      <c r="B460" s="5">
        <v>110</v>
      </c>
      <c r="C460" s="5" t="str">
        <f t="shared" si="23"/>
        <v>Holy_Name_1060010</v>
      </c>
      <c r="D460" s="5" t="s">
        <v>45</v>
      </c>
      <c r="E460" s="5">
        <v>2</v>
      </c>
      <c r="F460" s="5">
        <v>7</v>
      </c>
      <c r="G460" s="5">
        <v>9</v>
      </c>
      <c r="H460" s="5">
        <v>180</v>
      </c>
      <c r="I460" s="5" t="str">
        <f t="shared" si="24"/>
        <v>Holy_Desc_1060010</v>
      </c>
      <c r="J460" s="4" t="s">
        <v>46</v>
      </c>
      <c r="K460" s="5">
        <f>[1]圣物数值!$C458*10000</f>
        <v>1260</v>
      </c>
      <c r="L460" s="5">
        <v>1060010</v>
      </c>
    </row>
    <row r="461" spans="1:12" x14ac:dyDescent="0.15">
      <c r="A461" s="5">
        <v>7558</v>
      </c>
      <c r="B461" s="5">
        <v>110</v>
      </c>
      <c r="C461" s="5" t="str">
        <f t="shared" si="23"/>
        <v>Holy_Name_1060010</v>
      </c>
      <c r="D461" s="5" t="s">
        <v>45</v>
      </c>
      <c r="E461" s="5">
        <v>2</v>
      </c>
      <c r="F461" s="5">
        <v>8</v>
      </c>
      <c r="G461" s="5">
        <v>10</v>
      </c>
      <c r="H461" s="5">
        <v>210</v>
      </c>
      <c r="I461" s="5" t="str">
        <f t="shared" si="24"/>
        <v>Holy_Desc_1060010</v>
      </c>
      <c r="J461" s="4" t="s">
        <v>46</v>
      </c>
      <c r="K461" s="5">
        <f>[1]圣物数值!$C459*10000</f>
        <v>1440</v>
      </c>
      <c r="L461" s="5">
        <v>1060010</v>
      </c>
    </row>
    <row r="462" spans="1:12" x14ac:dyDescent="0.15">
      <c r="A462" s="5">
        <v>7559</v>
      </c>
      <c r="B462" s="5">
        <v>110</v>
      </c>
      <c r="C462" s="5" t="str">
        <f t="shared" si="23"/>
        <v>Holy_Name_1060010</v>
      </c>
      <c r="D462" s="5" t="s">
        <v>45</v>
      </c>
      <c r="E462" s="5">
        <v>2</v>
      </c>
      <c r="F462" s="5">
        <v>9</v>
      </c>
      <c r="G462" s="5">
        <v>12</v>
      </c>
      <c r="H462" s="5">
        <v>240</v>
      </c>
      <c r="I462" s="5" t="str">
        <f t="shared" si="24"/>
        <v>Holy_Desc_1060010</v>
      </c>
      <c r="J462" s="4" t="s">
        <v>46</v>
      </c>
      <c r="K462" s="5">
        <f>[1]圣物数值!$C460*10000</f>
        <v>1620</v>
      </c>
      <c r="L462" s="5">
        <v>1060010</v>
      </c>
    </row>
    <row r="463" spans="1:12" x14ac:dyDescent="0.15">
      <c r="A463" s="5">
        <v>7560</v>
      </c>
      <c r="B463" s="5">
        <v>110</v>
      </c>
      <c r="C463" s="5" t="str">
        <f t="shared" si="23"/>
        <v>Holy_Name_1060010</v>
      </c>
      <c r="D463" s="5" t="s">
        <v>45</v>
      </c>
      <c r="E463" s="5">
        <v>2</v>
      </c>
      <c r="F463" s="5">
        <v>10</v>
      </c>
      <c r="G463" s="5">
        <v>14</v>
      </c>
      <c r="H463" s="5">
        <v>270</v>
      </c>
      <c r="I463" s="5" t="str">
        <f t="shared" si="24"/>
        <v>Holy_Desc_1060010</v>
      </c>
      <c r="J463" s="4" t="s">
        <v>46</v>
      </c>
      <c r="K463" s="5">
        <f>[1]圣物数值!$C461*10000</f>
        <v>1800</v>
      </c>
      <c r="L463" s="5">
        <v>1060010</v>
      </c>
    </row>
    <row r="464" spans="1:12" x14ac:dyDescent="0.15">
      <c r="A464" s="5">
        <v>7561</v>
      </c>
      <c r="B464" s="5">
        <v>110</v>
      </c>
      <c r="C464" s="5" t="str">
        <f t="shared" ref="C464:C513" si="25">"Holy_Name_"&amp;L464</f>
        <v>Holy_Name_1060010</v>
      </c>
      <c r="D464" s="5" t="s">
        <v>45</v>
      </c>
      <c r="E464" s="5">
        <v>2</v>
      </c>
      <c r="F464" s="5">
        <v>11</v>
      </c>
      <c r="G464" s="5">
        <v>15</v>
      </c>
      <c r="H464" s="5">
        <v>300</v>
      </c>
      <c r="I464" s="5" t="str">
        <f t="shared" ref="I464:I513" si="26">"Holy_Desc_"&amp;L464</f>
        <v>Holy_Desc_1060010</v>
      </c>
      <c r="J464" s="4" t="s">
        <v>46</v>
      </c>
      <c r="K464" s="5">
        <f>[1]圣物数值!$C462*10000</f>
        <v>1980</v>
      </c>
      <c r="L464" s="5">
        <v>1060010</v>
      </c>
    </row>
    <row r="465" spans="1:12" x14ac:dyDescent="0.15">
      <c r="A465" s="5">
        <v>7562</v>
      </c>
      <c r="B465" s="5">
        <v>110</v>
      </c>
      <c r="C465" s="5" t="str">
        <f t="shared" si="25"/>
        <v>Holy_Name_1060010</v>
      </c>
      <c r="D465" s="5" t="s">
        <v>45</v>
      </c>
      <c r="E465" s="5">
        <v>2</v>
      </c>
      <c r="F465" s="5">
        <v>12</v>
      </c>
      <c r="G465" s="5">
        <v>17</v>
      </c>
      <c r="H465" s="5">
        <v>340</v>
      </c>
      <c r="I465" s="5" t="str">
        <f t="shared" si="26"/>
        <v>Holy_Desc_1060010</v>
      </c>
      <c r="J465" s="4" t="s">
        <v>46</v>
      </c>
      <c r="K465" s="5">
        <f>[1]圣物数值!$C463*10000</f>
        <v>2160</v>
      </c>
      <c r="L465" s="5">
        <v>1060010</v>
      </c>
    </row>
    <row r="466" spans="1:12" x14ac:dyDescent="0.15">
      <c r="A466" s="5">
        <v>7563</v>
      </c>
      <c r="B466" s="5">
        <v>110</v>
      </c>
      <c r="C466" s="5" t="str">
        <f t="shared" si="25"/>
        <v>Holy_Name_1060010</v>
      </c>
      <c r="D466" s="5" t="s">
        <v>45</v>
      </c>
      <c r="E466" s="5">
        <v>2</v>
      </c>
      <c r="F466" s="5">
        <v>13</v>
      </c>
      <c r="G466" s="5">
        <v>18</v>
      </c>
      <c r="H466" s="5">
        <v>370</v>
      </c>
      <c r="I466" s="5" t="str">
        <f t="shared" si="26"/>
        <v>Holy_Desc_1060010</v>
      </c>
      <c r="J466" s="4" t="s">
        <v>46</v>
      </c>
      <c r="K466" s="5">
        <f>[1]圣物数值!$C464*10000</f>
        <v>2340</v>
      </c>
      <c r="L466" s="5">
        <v>1060010</v>
      </c>
    </row>
    <row r="467" spans="1:12" x14ac:dyDescent="0.15">
      <c r="A467" s="5">
        <v>7564</v>
      </c>
      <c r="B467" s="5">
        <v>110</v>
      </c>
      <c r="C467" s="5" t="str">
        <f t="shared" si="25"/>
        <v>Holy_Name_1060010</v>
      </c>
      <c r="D467" s="5" t="s">
        <v>45</v>
      </c>
      <c r="E467" s="5">
        <v>2</v>
      </c>
      <c r="F467" s="5">
        <v>14</v>
      </c>
      <c r="G467" s="5">
        <v>20</v>
      </c>
      <c r="H467" s="5">
        <v>400</v>
      </c>
      <c r="I467" s="5" t="str">
        <f t="shared" si="26"/>
        <v>Holy_Desc_1060010</v>
      </c>
      <c r="J467" s="4" t="s">
        <v>46</v>
      </c>
      <c r="K467" s="5">
        <f>[1]圣物数值!$C465*10000</f>
        <v>2520</v>
      </c>
      <c r="L467" s="5">
        <v>1060010</v>
      </c>
    </row>
    <row r="468" spans="1:12" x14ac:dyDescent="0.15">
      <c r="A468" s="5">
        <v>7565</v>
      </c>
      <c r="B468" s="5">
        <v>110</v>
      </c>
      <c r="C468" s="5" t="str">
        <f t="shared" si="25"/>
        <v>Holy_Name_1060010</v>
      </c>
      <c r="D468" s="5" t="s">
        <v>45</v>
      </c>
      <c r="E468" s="5">
        <v>2</v>
      </c>
      <c r="F468" s="5">
        <v>15</v>
      </c>
      <c r="G468" s="5">
        <v>22</v>
      </c>
      <c r="H468" s="5">
        <v>430</v>
      </c>
      <c r="I468" s="5" t="str">
        <f t="shared" si="26"/>
        <v>Holy_Desc_1060010</v>
      </c>
      <c r="J468" s="4" t="s">
        <v>46</v>
      </c>
      <c r="K468" s="5">
        <f>[1]圣物数值!$C466*10000</f>
        <v>2700</v>
      </c>
      <c r="L468" s="5">
        <v>1060010</v>
      </c>
    </row>
    <row r="469" spans="1:12" x14ac:dyDescent="0.15">
      <c r="A469" s="5">
        <v>7566</v>
      </c>
      <c r="B469" s="5">
        <v>110</v>
      </c>
      <c r="C469" s="5" t="str">
        <f t="shared" si="25"/>
        <v>Holy_Name_1060010</v>
      </c>
      <c r="D469" s="5" t="s">
        <v>45</v>
      </c>
      <c r="E469" s="5">
        <v>2</v>
      </c>
      <c r="F469" s="5">
        <v>16</v>
      </c>
      <c r="G469" s="5">
        <v>23</v>
      </c>
      <c r="H469" s="5">
        <v>460</v>
      </c>
      <c r="I469" s="5" t="str">
        <f t="shared" si="26"/>
        <v>Holy_Desc_1060010</v>
      </c>
      <c r="J469" s="4" t="s">
        <v>46</v>
      </c>
      <c r="K469" s="5">
        <f>[1]圣物数值!$C467*10000</f>
        <v>2880</v>
      </c>
      <c r="L469" s="5">
        <v>1060010</v>
      </c>
    </row>
    <row r="470" spans="1:12" x14ac:dyDescent="0.15">
      <c r="A470" s="5">
        <v>7567</v>
      </c>
      <c r="B470" s="5">
        <v>110</v>
      </c>
      <c r="C470" s="5" t="str">
        <f t="shared" si="25"/>
        <v>Holy_Name_1060010</v>
      </c>
      <c r="D470" s="5" t="s">
        <v>45</v>
      </c>
      <c r="E470" s="5">
        <v>2</v>
      </c>
      <c r="F470" s="5">
        <v>17</v>
      </c>
      <c r="G470" s="5">
        <v>25</v>
      </c>
      <c r="H470" s="5">
        <v>500</v>
      </c>
      <c r="I470" s="5" t="str">
        <f t="shared" si="26"/>
        <v>Holy_Desc_1060010</v>
      </c>
      <c r="J470" s="4" t="s">
        <v>46</v>
      </c>
      <c r="K470" s="5">
        <f>[1]圣物数值!$C468*10000</f>
        <v>3060</v>
      </c>
      <c r="L470" s="5">
        <v>1060010</v>
      </c>
    </row>
    <row r="471" spans="1:12" x14ac:dyDescent="0.15">
      <c r="A471" s="5">
        <v>7568</v>
      </c>
      <c r="B471" s="5">
        <v>110</v>
      </c>
      <c r="C471" s="5" t="str">
        <f t="shared" si="25"/>
        <v>Holy_Name_1060010</v>
      </c>
      <c r="D471" s="5" t="s">
        <v>45</v>
      </c>
      <c r="E471" s="5">
        <v>2</v>
      </c>
      <c r="F471" s="5">
        <v>18</v>
      </c>
      <c r="G471" s="5">
        <v>26</v>
      </c>
      <c r="H471" s="5">
        <v>530</v>
      </c>
      <c r="I471" s="5" t="str">
        <f t="shared" si="26"/>
        <v>Holy_Desc_1060010</v>
      </c>
      <c r="J471" s="4" t="s">
        <v>46</v>
      </c>
      <c r="K471" s="5">
        <f>[1]圣物数值!$C469*10000</f>
        <v>3240</v>
      </c>
      <c r="L471" s="5">
        <v>1060010</v>
      </c>
    </row>
    <row r="472" spans="1:12" x14ac:dyDescent="0.15">
      <c r="A472" s="5">
        <v>7569</v>
      </c>
      <c r="B472" s="5">
        <v>110</v>
      </c>
      <c r="C472" s="5" t="str">
        <f t="shared" si="25"/>
        <v>Holy_Name_1060010</v>
      </c>
      <c r="D472" s="5" t="s">
        <v>45</v>
      </c>
      <c r="E472" s="5">
        <v>2</v>
      </c>
      <c r="F472" s="5">
        <v>19</v>
      </c>
      <c r="G472" s="5">
        <v>28</v>
      </c>
      <c r="H472" s="5">
        <v>560</v>
      </c>
      <c r="I472" s="5" t="str">
        <f t="shared" si="26"/>
        <v>Holy_Desc_1060010</v>
      </c>
      <c r="J472" s="4" t="s">
        <v>46</v>
      </c>
      <c r="K472" s="5">
        <f>[1]圣物数值!$C470*10000</f>
        <v>3420</v>
      </c>
      <c r="L472" s="5">
        <v>1060010</v>
      </c>
    </row>
    <row r="473" spans="1:12" x14ac:dyDescent="0.15">
      <c r="A473" s="5">
        <v>7570</v>
      </c>
      <c r="B473" s="5">
        <v>110</v>
      </c>
      <c r="C473" s="5" t="str">
        <f t="shared" si="25"/>
        <v>Holy_Name_1060010</v>
      </c>
      <c r="D473" s="5" t="s">
        <v>45</v>
      </c>
      <c r="E473" s="5">
        <v>2</v>
      </c>
      <c r="F473" s="5">
        <v>20</v>
      </c>
      <c r="G473" s="5">
        <v>30</v>
      </c>
      <c r="H473" s="5">
        <v>590</v>
      </c>
      <c r="I473" s="5" t="str">
        <f t="shared" si="26"/>
        <v>Holy_Desc_1060010</v>
      </c>
      <c r="J473" s="4" t="s">
        <v>46</v>
      </c>
      <c r="K473" s="5">
        <f>[1]圣物数值!$C471*10000</f>
        <v>3600</v>
      </c>
      <c r="L473" s="5">
        <v>1060010</v>
      </c>
    </row>
    <row r="474" spans="1:12" x14ac:dyDescent="0.15">
      <c r="A474" s="5">
        <v>7571</v>
      </c>
      <c r="B474" s="5">
        <v>110</v>
      </c>
      <c r="C474" s="5" t="str">
        <f t="shared" si="25"/>
        <v>Holy_Name_1060010</v>
      </c>
      <c r="D474" s="5" t="s">
        <v>45</v>
      </c>
      <c r="E474" s="5">
        <v>2</v>
      </c>
      <c r="F474" s="5">
        <v>21</v>
      </c>
      <c r="G474" s="5">
        <v>31</v>
      </c>
      <c r="H474" s="5">
        <v>620</v>
      </c>
      <c r="I474" s="5" t="str">
        <f t="shared" si="26"/>
        <v>Holy_Desc_1060010</v>
      </c>
      <c r="J474" s="4" t="s">
        <v>46</v>
      </c>
      <c r="K474" s="5">
        <f>[1]圣物数值!$C472*10000</f>
        <v>3780</v>
      </c>
      <c r="L474" s="5">
        <v>1060010</v>
      </c>
    </row>
    <row r="475" spans="1:12" x14ac:dyDescent="0.15">
      <c r="A475" s="5">
        <v>7572</v>
      </c>
      <c r="B475" s="5">
        <v>110</v>
      </c>
      <c r="C475" s="5" t="str">
        <f t="shared" si="25"/>
        <v>Holy_Name_1060010</v>
      </c>
      <c r="D475" s="5" t="s">
        <v>45</v>
      </c>
      <c r="E475" s="5">
        <v>2</v>
      </c>
      <c r="F475" s="5">
        <v>22</v>
      </c>
      <c r="G475" s="5">
        <v>33</v>
      </c>
      <c r="H475" s="5">
        <v>660</v>
      </c>
      <c r="I475" s="5" t="str">
        <f t="shared" si="26"/>
        <v>Holy_Desc_1060010</v>
      </c>
      <c r="J475" s="4" t="s">
        <v>46</v>
      </c>
      <c r="K475" s="5">
        <f>[1]圣物数值!$C473*10000</f>
        <v>3960</v>
      </c>
      <c r="L475" s="5">
        <v>1060010</v>
      </c>
    </row>
    <row r="476" spans="1:12" x14ac:dyDescent="0.15">
      <c r="A476" s="5">
        <v>7573</v>
      </c>
      <c r="B476" s="5">
        <v>110</v>
      </c>
      <c r="C476" s="5" t="str">
        <f t="shared" si="25"/>
        <v>Holy_Name_1060010</v>
      </c>
      <c r="D476" s="5" t="s">
        <v>45</v>
      </c>
      <c r="E476" s="5">
        <v>2</v>
      </c>
      <c r="F476" s="5">
        <v>23</v>
      </c>
      <c r="G476" s="5">
        <v>34</v>
      </c>
      <c r="H476" s="5">
        <v>690</v>
      </c>
      <c r="I476" s="5" t="str">
        <f t="shared" si="26"/>
        <v>Holy_Desc_1060010</v>
      </c>
      <c r="J476" s="4" t="s">
        <v>46</v>
      </c>
      <c r="K476" s="5">
        <f>[1]圣物数值!$C474*10000</f>
        <v>4140</v>
      </c>
      <c r="L476" s="5">
        <v>1060010</v>
      </c>
    </row>
    <row r="477" spans="1:12" x14ac:dyDescent="0.15">
      <c r="A477" s="5">
        <v>7574</v>
      </c>
      <c r="B477" s="5">
        <v>110</v>
      </c>
      <c r="C477" s="5" t="str">
        <f t="shared" si="25"/>
        <v>Holy_Name_1060010</v>
      </c>
      <c r="D477" s="5" t="s">
        <v>45</v>
      </c>
      <c r="E477" s="5">
        <v>2</v>
      </c>
      <c r="F477" s="5">
        <v>24</v>
      </c>
      <c r="G477" s="5">
        <v>36</v>
      </c>
      <c r="H477" s="5">
        <v>720</v>
      </c>
      <c r="I477" s="5" t="str">
        <f t="shared" si="26"/>
        <v>Holy_Desc_1060010</v>
      </c>
      <c r="J477" s="4" t="s">
        <v>46</v>
      </c>
      <c r="K477" s="5">
        <f>[1]圣物数值!$C475*10000</f>
        <v>4320</v>
      </c>
      <c r="L477" s="5">
        <v>1060010</v>
      </c>
    </row>
    <row r="478" spans="1:12" x14ac:dyDescent="0.15">
      <c r="A478" s="5">
        <v>7575</v>
      </c>
      <c r="B478" s="5">
        <v>110</v>
      </c>
      <c r="C478" s="5" t="str">
        <f t="shared" si="25"/>
        <v>Holy_Name_1060010</v>
      </c>
      <c r="D478" s="5" t="s">
        <v>45</v>
      </c>
      <c r="E478" s="5">
        <v>2</v>
      </c>
      <c r="F478" s="5">
        <v>25</v>
      </c>
      <c r="G478" s="5">
        <v>38</v>
      </c>
      <c r="H478" s="5">
        <v>750</v>
      </c>
      <c r="I478" s="5" t="str">
        <f t="shared" si="26"/>
        <v>Holy_Desc_1060010</v>
      </c>
      <c r="J478" s="4" t="s">
        <v>46</v>
      </c>
      <c r="K478" s="5">
        <f>[1]圣物数值!$C476*10000</f>
        <v>4500</v>
      </c>
      <c r="L478" s="5">
        <v>1060010</v>
      </c>
    </row>
    <row r="479" spans="1:12" x14ac:dyDescent="0.15">
      <c r="A479" s="5">
        <v>7576</v>
      </c>
      <c r="B479" s="5">
        <v>110</v>
      </c>
      <c r="C479" s="5" t="str">
        <f t="shared" si="25"/>
        <v>Holy_Name_1060010</v>
      </c>
      <c r="D479" s="5" t="s">
        <v>45</v>
      </c>
      <c r="E479" s="5">
        <v>2</v>
      </c>
      <c r="F479" s="5">
        <v>26</v>
      </c>
      <c r="G479" s="5">
        <v>39</v>
      </c>
      <c r="H479" s="5">
        <v>780</v>
      </c>
      <c r="I479" s="5" t="str">
        <f t="shared" si="26"/>
        <v>Holy_Desc_1060010</v>
      </c>
      <c r="J479" s="4" t="s">
        <v>46</v>
      </c>
      <c r="K479" s="5">
        <f>[1]圣物数值!$C477*10000</f>
        <v>4680</v>
      </c>
      <c r="L479" s="5">
        <v>1060010</v>
      </c>
    </row>
    <row r="480" spans="1:12" x14ac:dyDescent="0.15">
      <c r="A480" s="5">
        <v>7577</v>
      </c>
      <c r="B480" s="5">
        <v>110</v>
      </c>
      <c r="C480" s="5" t="str">
        <f t="shared" si="25"/>
        <v>Holy_Name_1060010</v>
      </c>
      <c r="D480" s="5" t="s">
        <v>45</v>
      </c>
      <c r="E480" s="5">
        <v>2</v>
      </c>
      <c r="F480" s="5">
        <v>27</v>
      </c>
      <c r="G480" s="5">
        <v>41</v>
      </c>
      <c r="H480" s="5">
        <v>820</v>
      </c>
      <c r="I480" s="5" t="str">
        <f t="shared" si="26"/>
        <v>Holy_Desc_1060010</v>
      </c>
      <c r="J480" s="4" t="s">
        <v>46</v>
      </c>
      <c r="K480" s="5">
        <f>[1]圣物数值!$C478*10000</f>
        <v>4860</v>
      </c>
      <c r="L480" s="5">
        <v>1060010</v>
      </c>
    </row>
    <row r="481" spans="1:12" x14ac:dyDescent="0.15">
      <c r="A481" s="5">
        <v>7578</v>
      </c>
      <c r="B481" s="5">
        <v>110</v>
      </c>
      <c r="C481" s="5" t="str">
        <f t="shared" si="25"/>
        <v>Holy_Name_1060010</v>
      </c>
      <c r="D481" s="5" t="s">
        <v>45</v>
      </c>
      <c r="E481" s="5">
        <v>2</v>
      </c>
      <c r="F481" s="5">
        <v>28</v>
      </c>
      <c r="G481" s="5">
        <v>42</v>
      </c>
      <c r="H481" s="5">
        <v>850</v>
      </c>
      <c r="I481" s="5" t="str">
        <f t="shared" si="26"/>
        <v>Holy_Desc_1060010</v>
      </c>
      <c r="J481" s="4" t="s">
        <v>46</v>
      </c>
      <c r="K481" s="5">
        <f>[1]圣物数值!$C479*10000</f>
        <v>5040</v>
      </c>
      <c r="L481" s="5">
        <v>1060010</v>
      </c>
    </row>
    <row r="482" spans="1:12" x14ac:dyDescent="0.15">
      <c r="A482" s="5">
        <v>7579</v>
      </c>
      <c r="B482" s="5">
        <v>110</v>
      </c>
      <c r="C482" s="5" t="str">
        <f t="shared" si="25"/>
        <v>Holy_Name_1060010</v>
      </c>
      <c r="D482" s="5" t="s">
        <v>45</v>
      </c>
      <c r="E482" s="5">
        <v>2</v>
      </c>
      <c r="F482" s="5">
        <v>29</v>
      </c>
      <c r="G482" s="5">
        <v>44</v>
      </c>
      <c r="H482" s="5">
        <v>880</v>
      </c>
      <c r="I482" s="5" t="str">
        <f t="shared" si="26"/>
        <v>Holy_Desc_1060010</v>
      </c>
      <c r="J482" s="4" t="s">
        <v>46</v>
      </c>
      <c r="K482" s="5">
        <f>[1]圣物数值!$C480*10000</f>
        <v>5220</v>
      </c>
      <c r="L482" s="5">
        <v>1060010</v>
      </c>
    </row>
    <row r="483" spans="1:12" x14ac:dyDescent="0.15">
      <c r="A483" s="5">
        <v>7580</v>
      </c>
      <c r="B483" s="5">
        <v>110</v>
      </c>
      <c r="C483" s="5" t="str">
        <f t="shared" si="25"/>
        <v>Holy_Name_1060010</v>
      </c>
      <c r="D483" s="5" t="s">
        <v>45</v>
      </c>
      <c r="E483" s="5">
        <v>2</v>
      </c>
      <c r="F483" s="5">
        <v>30</v>
      </c>
      <c r="G483" s="5">
        <v>46</v>
      </c>
      <c r="H483" s="5">
        <v>910</v>
      </c>
      <c r="I483" s="5" t="str">
        <f t="shared" si="26"/>
        <v>Holy_Desc_1060010</v>
      </c>
      <c r="J483" s="4" t="s">
        <v>46</v>
      </c>
      <c r="K483" s="5">
        <f>[1]圣物数值!$C481*10000</f>
        <v>5400</v>
      </c>
      <c r="L483" s="5">
        <v>1060010</v>
      </c>
    </row>
    <row r="484" spans="1:12" x14ac:dyDescent="0.15">
      <c r="A484" s="5">
        <v>7581</v>
      </c>
      <c r="B484" s="5">
        <v>110</v>
      </c>
      <c r="C484" s="5" t="str">
        <f t="shared" si="25"/>
        <v>Holy_Name_1060010</v>
      </c>
      <c r="D484" s="5" t="s">
        <v>45</v>
      </c>
      <c r="E484" s="5">
        <v>2</v>
      </c>
      <c r="F484" s="5">
        <v>31</v>
      </c>
      <c r="G484" s="5">
        <v>47</v>
      </c>
      <c r="H484" s="5">
        <v>940</v>
      </c>
      <c r="I484" s="5" t="str">
        <f t="shared" si="26"/>
        <v>Holy_Desc_1060010</v>
      </c>
      <c r="J484" s="4" t="s">
        <v>46</v>
      </c>
      <c r="K484" s="5">
        <f>[1]圣物数值!$C482*10000</f>
        <v>5580</v>
      </c>
      <c r="L484" s="5">
        <v>1060010</v>
      </c>
    </row>
    <row r="485" spans="1:12" x14ac:dyDescent="0.15">
      <c r="A485" s="5">
        <v>7582</v>
      </c>
      <c r="B485" s="5">
        <v>110</v>
      </c>
      <c r="C485" s="5" t="str">
        <f t="shared" si="25"/>
        <v>Holy_Name_1060010</v>
      </c>
      <c r="D485" s="5" t="s">
        <v>45</v>
      </c>
      <c r="E485" s="5">
        <v>2</v>
      </c>
      <c r="F485" s="5">
        <v>32</v>
      </c>
      <c r="G485" s="5">
        <v>49</v>
      </c>
      <c r="H485" s="5">
        <v>980</v>
      </c>
      <c r="I485" s="5" t="str">
        <f t="shared" si="26"/>
        <v>Holy_Desc_1060010</v>
      </c>
      <c r="J485" s="4" t="s">
        <v>46</v>
      </c>
      <c r="K485" s="5">
        <f>[1]圣物数值!$C483*10000</f>
        <v>5760</v>
      </c>
      <c r="L485" s="5">
        <v>1060010</v>
      </c>
    </row>
    <row r="486" spans="1:12" x14ac:dyDescent="0.15">
      <c r="A486" s="5">
        <v>7583</v>
      </c>
      <c r="B486" s="5">
        <v>110</v>
      </c>
      <c r="C486" s="5" t="str">
        <f t="shared" si="25"/>
        <v>Holy_Name_1060010</v>
      </c>
      <c r="D486" s="5" t="s">
        <v>45</v>
      </c>
      <c r="E486" s="5">
        <v>2</v>
      </c>
      <c r="F486" s="5">
        <v>33</v>
      </c>
      <c r="G486" s="5">
        <v>50</v>
      </c>
      <c r="H486" s="5">
        <v>1010</v>
      </c>
      <c r="I486" s="5" t="str">
        <f t="shared" si="26"/>
        <v>Holy_Desc_1060010</v>
      </c>
      <c r="J486" s="4" t="s">
        <v>46</v>
      </c>
      <c r="K486" s="5">
        <f>[1]圣物数值!$C484*10000</f>
        <v>5940</v>
      </c>
      <c r="L486" s="5">
        <v>1060010</v>
      </c>
    </row>
    <row r="487" spans="1:12" x14ac:dyDescent="0.15">
      <c r="A487" s="5">
        <v>7584</v>
      </c>
      <c r="B487" s="5">
        <v>110</v>
      </c>
      <c r="C487" s="5" t="str">
        <f t="shared" si="25"/>
        <v>Holy_Name_1060010</v>
      </c>
      <c r="D487" s="5" t="s">
        <v>45</v>
      </c>
      <c r="E487" s="5">
        <v>2</v>
      </c>
      <c r="F487" s="5">
        <v>34</v>
      </c>
      <c r="G487" s="5">
        <v>52</v>
      </c>
      <c r="H487" s="5">
        <v>1040</v>
      </c>
      <c r="I487" s="5" t="str">
        <f t="shared" si="26"/>
        <v>Holy_Desc_1060010</v>
      </c>
      <c r="J487" s="4" t="s">
        <v>46</v>
      </c>
      <c r="K487" s="5">
        <f>[1]圣物数值!$C485*10000</f>
        <v>6120</v>
      </c>
      <c r="L487" s="5">
        <v>1060010</v>
      </c>
    </row>
    <row r="488" spans="1:12" x14ac:dyDescent="0.15">
      <c r="A488" s="5">
        <v>7585</v>
      </c>
      <c r="B488" s="5">
        <v>110</v>
      </c>
      <c r="C488" s="5" t="str">
        <f t="shared" si="25"/>
        <v>Holy_Name_1060010</v>
      </c>
      <c r="D488" s="5" t="s">
        <v>45</v>
      </c>
      <c r="E488" s="5">
        <v>2</v>
      </c>
      <c r="F488" s="5">
        <v>35</v>
      </c>
      <c r="G488" s="5">
        <v>54</v>
      </c>
      <c r="H488" s="5">
        <v>1070</v>
      </c>
      <c r="I488" s="5" t="str">
        <f t="shared" si="26"/>
        <v>Holy_Desc_1060010</v>
      </c>
      <c r="J488" s="4" t="s">
        <v>46</v>
      </c>
      <c r="K488" s="5">
        <f>[1]圣物数值!$C486*10000</f>
        <v>6300</v>
      </c>
      <c r="L488" s="5">
        <v>1060010</v>
      </c>
    </row>
    <row r="489" spans="1:12" x14ac:dyDescent="0.15">
      <c r="A489" s="5">
        <v>7586</v>
      </c>
      <c r="B489" s="5">
        <v>110</v>
      </c>
      <c r="C489" s="5" t="str">
        <f t="shared" si="25"/>
        <v>Holy_Name_1060010</v>
      </c>
      <c r="D489" s="5" t="s">
        <v>45</v>
      </c>
      <c r="E489" s="5">
        <v>2</v>
      </c>
      <c r="F489" s="5">
        <v>36</v>
      </c>
      <c r="G489" s="5">
        <v>55</v>
      </c>
      <c r="H489" s="5">
        <v>1100</v>
      </c>
      <c r="I489" s="5" t="str">
        <f t="shared" si="26"/>
        <v>Holy_Desc_1060010</v>
      </c>
      <c r="J489" s="4" t="s">
        <v>46</v>
      </c>
      <c r="K489" s="5">
        <f>[1]圣物数值!$C487*10000</f>
        <v>6480</v>
      </c>
      <c r="L489" s="5">
        <v>1060010</v>
      </c>
    </row>
    <row r="490" spans="1:12" x14ac:dyDescent="0.15">
      <c r="A490" s="5">
        <v>7587</v>
      </c>
      <c r="B490" s="5">
        <v>110</v>
      </c>
      <c r="C490" s="5" t="str">
        <f t="shared" si="25"/>
        <v>Holy_Name_1060010</v>
      </c>
      <c r="D490" s="5" t="s">
        <v>45</v>
      </c>
      <c r="E490" s="5">
        <v>2</v>
      </c>
      <c r="F490" s="5">
        <v>37</v>
      </c>
      <c r="G490" s="5">
        <v>57</v>
      </c>
      <c r="H490" s="5">
        <v>1140</v>
      </c>
      <c r="I490" s="5" t="str">
        <f t="shared" si="26"/>
        <v>Holy_Desc_1060010</v>
      </c>
      <c r="J490" s="4" t="s">
        <v>46</v>
      </c>
      <c r="K490" s="5">
        <f>[1]圣物数值!$C488*10000</f>
        <v>6660</v>
      </c>
      <c r="L490" s="5">
        <v>1060010</v>
      </c>
    </row>
    <row r="491" spans="1:12" x14ac:dyDescent="0.15">
      <c r="A491" s="5">
        <v>7588</v>
      </c>
      <c r="B491" s="5">
        <v>110</v>
      </c>
      <c r="C491" s="5" t="str">
        <f t="shared" si="25"/>
        <v>Holy_Name_1060010</v>
      </c>
      <c r="D491" s="5" t="s">
        <v>45</v>
      </c>
      <c r="E491" s="5">
        <v>2</v>
      </c>
      <c r="F491" s="5">
        <v>38</v>
      </c>
      <c r="G491" s="5">
        <v>58</v>
      </c>
      <c r="H491" s="5">
        <v>1170</v>
      </c>
      <c r="I491" s="5" t="str">
        <f t="shared" si="26"/>
        <v>Holy_Desc_1060010</v>
      </c>
      <c r="J491" s="4" t="s">
        <v>46</v>
      </c>
      <c r="K491" s="5">
        <f>[1]圣物数值!$C489*10000</f>
        <v>6840</v>
      </c>
      <c r="L491" s="5">
        <v>1060010</v>
      </c>
    </row>
    <row r="492" spans="1:12" x14ac:dyDescent="0.15">
      <c r="A492" s="5">
        <v>7589</v>
      </c>
      <c r="B492" s="5">
        <v>110</v>
      </c>
      <c r="C492" s="5" t="str">
        <f t="shared" si="25"/>
        <v>Holy_Name_1060010</v>
      </c>
      <c r="D492" s="5" t="s">
        <v>45</v>
      </c>
      <c r="E492" s="5">
        <v>2</v>
      </c>
      <c r="F492" s="5">
        <v>39</v>
      </c>
      <c r="G492" s="5">
        <v>60</v>
      </c>
      <c r="H492" s="5">
        <v>1200</v>
      </c>
      <c r="I492" s="5" t="str">
        <f t="shared" si="26"/>
        <v>Holy_Desc_1060010</v>
      </c>
      <c r="J492" s="4" t="s">
        <v>46</v>
      </c>
      <c r="K492" s="5">
        <f>[1]圣物数值!$C490*10000</f>
        <v>7020</v>
      </c>
      <c r="L492" s="5">
        <v>1060010</v>
      </c>
    </row>
    <row r="493" spans="1:12" x14ac:dyDescent="0.15">
      <c r="A493" s="5">
        <v>7590</v>
      </c>
      <c r="B493" s="5">
        <v>110</v>
      </c>
      <c r="C493" s="5" t="str">
        <f t="shared" si="25"/>
        <v>Holy_Name_1060010</v>
      </c>
      <c r="D493" s="5" t="s">
        <v>45</v>
      </c>
      <c r="E493" s="5">
        <v>2</v>
      </c>
      <c r="F493" s="5">
        <v>40</v>
      </c>
      <c r="G493" s="5">
        <v>62</v>
      </c>
      <c r="H493" s="5">
        <v>1230</v>
      </c>
      <c r="I493" s="5" t="str">
        <f t="shared" si="26"/>
        <v>Holy_Desc_1060010</v>
      </c>
      <c r="J493" s="4" t="s">
        <v>46</v>
      </c>
      <c r="K493" s="5">
        <f>[1]圣物数值!$C491*10000</f>
        <v>7200</v>
      </c>
      <c r="L493" s="5">
        <v>1060010</v>
      </c>
    </row>
    <row r="494" spans="1:12" x14ac:dyDescent="0.15">
      <c r="A494" s="5">
        <v>7591</v>
      </c>
      <c r="B494" s="5">
        <v>110</v>
      </c>
      <c r="C494" s="5" t="str">
        <f t="shared" si="25"/>
        <v>Holy_Name_1060010</v>
      </c>
      <c r="D494" s="5" t="s">
        <v>45</v>
      </c>
      <c r="E494" s="5">
        <v>2</v>
      </c>
      <c r="F494" s="5">
        <v>41</v>
      </c>
      <c r="G494" s="5">
        <v>63</v>
      </c>
      <c r="H494" s="5">
        <v>1260</v>
      </c>
      <c r="I494" s="5" t="str">
        <f t="shared" si="26"/>
        <v>Holy_Desc_1060010</v>
      </c>
      <c r="J494" s="4" t="s">
        <v>46</v>
      </c>
      <c r="K494" s="5">
        <f>[1]圣物数值!$C492*10000</f>
        <v>7380</v>
      </c>
      <c r="L494" s="5">
        <v>1060010</v>
      </c>
    </row>
    <row r="495" spans="1:12" x14ac:dyDescent="0.15">
      <c r="A495" s="5">
        <v>7592</v>
      </c>
      <c r="B495" s="5">
        <v>110</v>
      </c>
      <c r="C495" s="5" t="str">
        <f t="shared" si="25"/>
        <v>Holy_Name_1060010</v>
      </c>
      <c r="D495" s="5" t="s">
        <v>45</v>
      </c>
      <c r="E495" s="5">
        <v>2</v>
      </c>
      <c r="F495" s="5">
        <v>42</v>
      </c>
      <c r="G495" s="5">
        <v>65</v>
      </c>
      <c r="H495" s="5">
        <v>1300</v>
      </c>
      <c r="I495" s="5" t="str">
        <f t="shared" si="26"/>
        <v>Holy_Desc_1060010</v>
      </c>
      <c r="J495" s="4" t="s">
        <v>46</v>
      </c>
      <c r="K495" s="5">
        <f>[1]圣物数值!$C493*10000</f>
        <v>7560</v>
      </c>
      <c r="L495" s="5">
        <v>1060010</v>
      </c>
    </row>
    <row r="496" spans="1:12" x14ac:dyDescent="0.15">
      <c r="A496" s="5">
        <v>7593</v>
      </c>
      <c r="B496" s="5">
        <v>110</v>
      </c>
      <c r="C496" s="5" t="str">
        <f t="shared" si="25"/>
        <v>Holy_Name_1060010</v>
      </c>
      <c r="D496" s="5" t="s">
        <v>45</v>
      </c>
      <c r="E496" s="5">
        <v>2</v>
      </c>
      <c r="F496" s="5">
        <v>43</v>
      </c>
      <c r="G496" s="5">
        <v>66</v>
      </c>
      <c r="H496" s="5">
        <v>1330</v>
      </c>
      <c r="I496" s="5" t="str">
        <f t="shared" si="26"/>
        <v>Holy_Desc_1060010</v>
      </c>
      <c r="J496" s="4" t="s">
        <v>46</v>
      </c>
      <c r="K496" s="5">
        <f>[1]圣物数值!$C494*10000</f>
        <v>7740</v>
      </c>
      <c r="L496" s="5">
        <v>1060010</v>
      </c>
    </row>
    <row r="497" spans="1:12" x14ac:dyDescent="0.15">
      <c r="A497" s="5">
        <v>7594</v>
      </c>
      <c r="B497" s="5">
        <v>110</v>
      </c>
      <c r="C497" s="5" t="str">
        <f t="shared" si="25"/>
        <v>Holy_Name_1060010</v>
      </c>
      <c r="D497" s="5" t="s">
        <v>45</v>
      </c>
      <c r="E497" s="5">
        <v>2</v>
      </c>
      <c r="F497" s="5">
        <v>44</v>
      </c>
      <c r="G497" s="5">
        <v>68</v>
      </c>
      <c r="H497" s="5">
        <v>1360</v>
      </c>
      <c r="I497" s="5" t="str">
        <f t="shared" si="26"/>
        <v>Holy_Desc_1060010</v>
      </c>
      <c r="J497" s="4" t="s">
        <v>46</v>
      </c>
      <c r="K497" s="5">
        <f>[1]圣物数值!$C495*10000</f>
        <v>7920</v>
      </c>
      <c r="L497" s="5">
        <v>1060010</v>
      </c>
    </row>
    <row r="498" spans="1:12" x14ac:dyDescent="0.15">
      <c r="A498" s="5">
        <v>7595</v>
      </c>
      <c r="B498" s="5">
        <v>110</v>
      </c>
      <c r="C498" s="5" t="str">
        <f t="shared" si="25"/>
        <v>Holy_Name_1060010</v>
      </c>
      <c r="D498" s="5" t="s">
        <v>45</v>
      </c>
      <c r="E498" s="5">
        <v>2</v>
      </c>
      <c r="F498" s="5">
        <v>45</v>
      </c>
      <c r="G498" s="5">
        <v>70</v>
      </c>
      <c r="H498" s="5">
        <v>1390</v>
      </c>
      <c r="I498" s="5" t="str">
        <f t="shared" si="26"/>
        <v>Holy_Desc_1060010</v>
      </c>
      <c r="J498" s="4" t="s">
        <v>46</v>
      </c>
      <c r="K498" s="5">
        <f>[1]圣物数值!$C496*10000</f>
        <v>8100</v>
      </c>
      <c r="L498" s="5">
        <v>1060010</v>
      </c>
    </row>
    <row r="499" spans="1:12" x14ac:dyDescent="0.15">
      <c r="A499" s="5">
        <v>7596</v>
      </c>
      <c r="B499" s="5">
        <v>110</v>
      </c>
      <c r="C499" s="5" t="str">
        <f t="shared" si="25"/>
        <v>Holy_Name_1060010</v>
      </c>
      <c r="D499" s="5" t="s">
        <v>45</v>
      </c>
      <c r="E499" s="5">
        <v>2</v>
      </c>
      <c r="F499" s="5">
        <v>46</v>
      </c>
      <c r="G499" s="5">
        <v>71</v>
      </c>
      <c r="H499" s="5">
        <v>1420</v>
      </c>
      <c r="I499" s="5" t="str">
        <f t="shared" si="26"/>
        <v>Holy_Desc_1060010</v>
      </c>
      <c r="J499" s="4" t="s">
        <v>46</v>
      </c>
      <c r="K499" s="5">
        <f>[1]圣物数值!$C497*10000</f>
        <v>8280</v>
      </c>
      <c r="L499" s="5">
        <v>1060010</v>
      </c>
    </row>
    <row r="500" spans="1:12" x14ac:dyDescent="0.15">
      <c r="A500" s="5">
        <v>7597</v>
      </c>
      <c r="B500" s="5">
        <v>110</v>
      </c>
      <c r="C500" s="5" t="str">
        <f t="shared" si="25"/>
        <v>Holy_Name_1060010</v>
      </c>
      <c r="D500" s="5" t="s">
        <v>45</v>
      </c>
      <c r="E500" s="5">
        <v>2</v>
      </c>
      <c r="F500" s="5">
        <v>47</v>
      </c>
      <c r="G500" s="5">
        <v>73</v>
      </c>
      <c r="H500" s="5">
        <v>1460</v>
      </c>
      <c r="I500" s="5" t="str">
        <f t="shared" si="26"/>
        <v>Holy_Desc_1060010</v>
      </c>
      <c r="J500" s="4" t="s">
        <v>46</v>
      </c>
      <c r="K500" s="5">
        <f>[1]圣物数值!$C498*10000</f>
        <v>8460</v>
      </c>
      <c r="L500" s="5">
        <v>1060010</v>
      </c>
    </row>
    <row r="501" spans="1:12" x14ac:dyDescent="0.15">
      <c r="A501" s="5">
        <v>7598</v>
      </c>
      <c r="B501" s="5">
        <v>110</v>
      </c>
      <c r="C501" s="5" t="str">
        <f t="shared" si="25"/>
        <v>Holy_Name_1060010</v>
      </c>
      <c r="D501" s="5" t="s">
        <v>45</v>
      </c>
      <c r="E501" s="5">
        <v>2</v>
      </c>
      <c r="F501" s="5">
        <v>48</v>
      </c>
      <c r="G501" s="5">
        <v>74</v>
      </c>
      <c r="H501" s="5">
        <v>1490</v>
      </c>
      <c r="I501" s="5" t="str">
        <f t="shared" si="26"/>
        <v>Holy_Desc_1060010</v>
      </c>
      <c r="J501" s="4" t="s">
        <v>46</v>
      </c>
      <c r="K501" s="5">
        <f>[1]圣物数值!$C499*10000</f>
        <v>8640</v>
      </c>
      <c r="L501" s="5">
        <v>1060010</v>
      </c>
    </row>
    <row r="502" spans="1:12" x14ac:dyDescent="0.15">
      <c r="A502" s="5">
        <v>7599</v>
      </c>
      <c r="B502" s="5">
        <v>110</v>
      </c>
      <c r="C502" s="5" t="str">
        <f t="shared" si="25"/>
        <v>Holy_Name_1060010</v>
      </c>
      <c r="D502" s="5" t="s">
        <v>45</v>
      </c>
      <c r="E502" s="5">
        <v>2</v>
      </c>
      <c r="F502" s="5">
        <v>49</v>
      </c>
      <c r="G502" s="5">
        <v>76</v>
      </c>
      <c r="H502" s="5">
        <v>1520</v>
      </c>
      <c r="I502" s="5" t="str">
        <f t="shared" si="26"/>
        <v>Holy_Desc_1060010</v>
      </c>
      <c r="J502" s="4" t="s">
        <v>46</v>
      </c>
      <c r="K502" s="5">
        <f>[1]圣物数值!$C500*10000</f>
        <v>8820</v>
      </c>
      <c r="L502" s="5">
        <v>1060010</v>
      </c>
    </row>
    <row r="503" spans="1:12" x14ac:dyDescent="0.15">
      <c r="A503" s="5">
        <v>7600</v>
      </c>
      <c r="B503" s="5">
        <v>110</v>
      </c>
      <c r="C503" s="5" t="str">
        <f t="shared" si="25"/>
        <v>Holy_Name_1060010</v>
      </c>
      <c r="D503" s="5" t="s">
        <v>45</v>
      </c>
      <c r="E503" s="5">
        <v>2</v>
      </c>
      <c r="F503" s="5">
        <v>50</v>
      </c>
      <c r="G503" s="5">
        <v>78</v>
      </c>
      <c r="H503" s="5">
        <v>1550</v>
      </c>
      <c r="I503" s="5" t="str">
        <f t="shared" si="26"/>
        <v>Holy_Desc_1060010</v>
      </c>
      <c r="J503" s="4" t="s">
        <v>46</v>
      </c>
      <c r="K503" s="5">
        <f>[1]圣物数值!$C501*10000</f>
        <v>9000</v>
      </c>
      <c r="L503" s="5">
        <v>1060010</v>
      </c>
    </row>
    <row r="504" spans="1:12" x14ac:dyDescent="0.15">
      <c r="A504" s="5">
        <v>7601</v>
      </c>
      <c r="B504" s="5">
        <v>111</v>
      </c>
      <c r="C504" s="5" t="str">
        <f t="shared" si="25"/>
        <v>Holy_Name_1060011</v>
      </c>
      <c r="D504" s="5" t="s">
        <v>47</v>
      </c>
      <c r="E504" s="5">
        <v>3</v>
      </c>
      <c r="F504" s="5">
        <v>1</v>
      </c>
      <c r="G504" s="5">
        <v>0</v>
      </c>
      <c r="H504" s="5">
        <v>0</v>
      </c>
      <c r="I504" s="5" t="str">
        <f t="shared" si="26"/>
        <v>Holy_Desc_1060011</v>
      </c>
      <c r="J504" s="4" t="s">
        <v>48</v>
      </c>
      <c r="K504" s="5">
        <f>[1]圣物数值!$C502*10000</f>
        <v>180</v>
      </c>
      <c r="L504" s="5">
        <v>1060011</v>
      </c>
    </row>
    <row r="505" spans="1:12" x14ac:dyDescent="0.15">
      <c r="A505" s="5">
        <v>7602</v>
      </c>
      <c r="B505" s="5">
        <v>111</v>
      </c>
      <c r="C505" s="5" t="str">
        <f t="shared" si="25"/>
        <v>Holy_Name_1060011</v>
      </c>
      <c r="D505" s="5" t="s">
        <v>47</v>
      </c>
      <c r="E505" s="5">
        <v>3</v>
      </c>
      <c r="F505" s="5">
        <v>2</v>
      </c>
      <c r="G505" s="5">
        <v>1</v>
      </c>
      <c r="H505" s="5">
        <v>30</v>
      </c>
      <c r="I505" s="5" t="str">
        <f t="shared" si="26"/>
        <v>Holy_Desc_1060011</v>
      </c>
      <c r="J505" s="4" t="s">
        <v>48</v>
      </c>
      <c r="K505" s="5">
        <f>[1]圣物数值!$C503*10000</f>
        <v>360</v>
      </c>
      <c r="L505" s="5">
        <v>1060011</v>
      </c>
    </row>
    <row r="506" spans="1:12" x14ac:dyDescent="0.15">
      <c r="A506" s="5">
        <v>7603</v>
      </c>
      <c r="B506" s="5">
        <v>111</v>
      </c>
      <c r="C506" s="5" t="str">
        <f t="shared" si="25"/>
        <v>Holy_Name_1060011</v>
      </c>
      <c r="D506" s="5" t="s">
        <v>47</v>
      </c>
      <c r="E506" s="5">
        <v>3</v>
      </c>
      <c r="F506" s="5">
        <v>3</v>
      </c>
      <c r="G506" s="5">
        <v>2</v>
      </c>
      <c r="H506" s="5">
        <v>50</v>
      </c>
      <c r="I506" s="5" t="str">
        <f t="shared" si="26"/>
        <v>Holy_Desc_1060011</v>
      </c>
      <c r="J506" s="4" t="s">
        <v>48</v>
      </c>
      <c r="K506" s="5">
        <f>[1]圣物数值!$C504*10000</f>
        <v>540</v>
      </c>
      <c r="L506" s="5">
        <v>1060011</v>
      </c>
    </row>
    <row r="507" spans="1:12" x14ac:dyDescent="0.15">
      <c r="A507" s="5">
        <v>7604</v>
      </c>
      <c r="B507" s="5">
        <v>111</v>
      </c>
      <c r="C507" s="5" t="str">
        <f t="shared" si="25"/>
        <v>Holy_Name_1060011</v>
      </c>
      <c r="D507" s="5" t="s">
        <v>47</v>
      </c>
      <c r="E507" s="5">
        <v>3</v>
      </c>
      <c r="F507" s="5">
        <v>4</v>
      </c>
      <c r="G507" s="5">
        <v>4</v>
      </c>
      <c r="H507" s="5">
        <v>80</v>
      </c>
      <c r="I507" s="5" t="str">
        <f t="shared" si="26"/>
        <v>Holy_Desc_1060011</v>
      </c>
      <c r="J507" s="4" t="s">
        <v>48</v>
      </c>
      <c r="K507" s="5">
        <f>[1]圣物数值!$C505*10000</f>
        <v>720</v>
      </c>
      <c r="L507" s="5">
        <v>1060011</v>
      </c>
    </row>
    <row r="508" spans="1:12" x14ac:dyDescent="0.15">
      <c r="A508" s="5">
        <v>7605</v>
      </c>
      <c r="B508" s="5">
        <v>111</v>
      </c>
      <c r="C508" s="5" t="str">
        <f t="shared" si="25"/>
        <v>Holy_Name_1060011</v>
      </c>
      <c r="D508" s="5" t="s">
        <v>47</v>
      </c>
      <c r="E508" s="5">
        <v>3</v>
      </c>
      <c r="F508" s="5">
        <v>5</v>
      </c>
      <c r="G508" s="5">
        <v>6</v>
      </c>
      <c r="H508" s="5">
        <v>110</v>
      </c>
      <c r="I508" s="5" t="str">
        <f t="shared" si="26"/>
        <v>Holy_Desc_1060011</v>
      </c>
      <c r="J508" s="4" t="s">
        <v>48</v>
      </c>
      <c r="K508" s="5">
        <f>[1]圣物数值!$C506*10000</f>
        <v>900</v>
      </c>
      <c r="L508" s="5">
        <v>1060011</v>
      </c>
    </row>
    <row r="509" spans="1:12" x14ac:dyDescent="0.15">
      <c r="A509" s="5">
        <v>7606</v>
      </c>
      <c r="B509" s="5">
        <v>111</v>
      </c>
      <c r="C509" s="5" t="str">
        <f t="shared" si="25"/>
        <v>Holy_Name_1060011</v>
      </c>
      <c r="D509" s="5" t="s">
        <v>47</v>
      </c>
      <c r="E509" s="5">
        <v>3</v>
      </c>
      <c r="F509" s="5">
        <v>6</v>
      </c>
      <c r="G509" s="5">
        <v>7</v>
      </c>
      <c r="H509" s="5">
        <v>140</v>
      </c>
      <c r="I509" s="5" t="str">
        <f t="shared" si="26"/>
        <v>Holy_Desc_1060011</v>
      </c>
      <c r="J509" s="4" t="s">
        <v>48</v>
      </c>
      <c r="K509" s="5">
        <f>[1]圣物数值!$C507*10000</f>
        <v>1080</v>
      </c>
      <c r="L509" s="5">
        <v>1060011</v>
      </c>
    </row>
    <row r="510" spans="1:12" x14ac:dyDescent="0.15">
      <c r="A510" s="5">
        <v>7607</v>
      </c>
      <c r="B510" s="5">
        <v>111</v>
      </c>
      <c r="C510" s="5" t="str">
        <f t="shared" si="25"/>
        <v>Holy_Name_1060011</v>
      </c>
      <c r="D510" s="5" t="s">
        <v>47</v>
      </c>
      <c r="E510" s="5">
        <v>3</v>
      </c>
      <c r="F510" s="5">
        <v>7</v>
      </c>
      <c r="G510" s="5">
        <v>9</v>
      </c>
      <c r="H510" s="5">
        <v>180</v>
      </c>
      <c r="I510" s="5" t="str">
        <f t="shared" si="26"/>
        <v>Holy_Desc_1060011</v>
      </c>
      <c r="J510" s="4" t="s">
        <v>48</v>
      </c>
      <c r="K510" s="5">
        <f>[1]圣物数值!$C508*10000</f>
        <v>1260</v>
      </c>
      <c r="L510" s="5">
        <v>1060011</v>
      </c>
    </row>
    <row r="511" spans="1:12" x14ac:dyDescent="0.15">
      <c r="A511" s="5">
        <v>7608</v>
      </c>
      <c r="B511" s="5">
        <v>111</v>
      </c>
      <c r="C511" s="5" t="str">
        <f t="shared" si="25"/>
        <v>Holy_Name_1060011</v>
      </c>
      <c r="D511" s="5" t="s">
        <v>47</v>
      </c>
      <c r="E511" s="5">
        <v>3</v>
      </c>
      <c r="F511" s="5">
        <v>8</v>
      </c>
      <c r="G511" s="5">
        <v>10</v>
      </c>
      <c r="H511" s="5">
        <v>210</v>
      </c>
      <c r="I511" s="5" t="str">
        <f t="shared" si="26"/>
        <v>Holy_Desc_1060011</v>
      </c>
      <c r="J511" s="4" t="s">
        <v>48</v>
      </c>
      <c r="K511" s="5">
        <f>[1]圣物数值!$C509*10000</f>
        <v>1440</v>
      </c>
      <c r="L511" s="5">
        <v>1060011</v>
      </c>
    </row>
    <row r="512" spans="1:12" x14ac:dyDescent="0.15">
      <c r="A512" s="5">
        <v>7609</v>
      </c>
      <c r="B512" s="5">
        <v>111</v>
      </c>
      <c r="C512" s="5" t="str">
        <f t="shared" si="25"/>
        <v>Holy_Name_1060011</v>
      </c>
      <c r="D512" s="5" t="s">
        <v>47</v>
      </c>
      <c r="E512" s="5">
        <v>3</v>
      </c>
      <c r="F512" s="5">
        <v>9</v>
      </c>
      <c r="G512" s="5">
        <v>12</v>
      </c>
      <c r="H512" s="5">
        <v>240</v>
      </c>
      <c r="I512" s="5" t="str">
        <f t="shared" si="26"/>
        <v>Holy_Desc_1060011</v>
      </c>
      <c r="J512" s="4" t="s">
        <v>48</v>
      </c>
      <c r="K512" s="5">
        <f>[1]圣物数值!$C510*10000</f>
        <v>1620</v>
      </c>
      <c r="L512" s="5">
        <v>1060011</v>
      </c>
    </row>
    <row r="513" spans="1:12" x14ac:dyDescent="0.15">
      <c r="A513" s="5">
        <v>7610</v>
      </c>
      <c r="B513" s="5">
        <v>111</v>
      </c>
      <c r="C513" s="5" t="str">
        <f t="shared" si="25"/>
        <v>Holy_Name_1060011</v>
      </c>
      <c r="D513" s="5" t="s">
        <v>47</v>
      </c>
      <c r="E513" s="5">
        <v>3</v>
      </c>
      <c r="F513" s="5">
        <v>10</v>
      </c>
      <c r="G513" s="5">
        <v>14</v>
      </c>
      <c r="H513" s="5">
        <v>270</v>
      </c>
      <c r="I513" s="5" t="str">
        <f t="shared" si="26"/>
        <v>Holy_Desc_1060011</v>
      </c>
      <c r="J513" s="4" t="s">
        <v>48</v>
      </c>
      <c r="K513" s="5">
        <f>[1]圣物数值!$C511*10000</f>
        <v>1800</v>
      </c>
      <c r="L513" s="5">
        <v>1060011</v>
      </c>
    </row>
    <row r="514" spans="1:12" x14ac:dyDescent="0.15">
      <c r="A514" s="5">
        <v>7611</v>
      </c>
      <c r="B514" s="5">
        <v>111</v>
      </c>
      <c r="C514" s="5" t="str">
        <f t="shared" ref="C514:C553" si="27">"Holy_Name_"&amp;L514</f>
        <v>Holy_Name_1060011</v>
      </c>
      <c r="D514" s="5" t="s">
        <v>47</v>
      </c>
      <c r="E514" s="5">
        <v>3</v>
      </c>
      <c r="F514" s="5">
        <v>11</v>
      </c>
      <c r="G514" s="5">
        <v>15</v>
      </c>
      <c r="H514" s="5">
        <v>300</v>
      </c>
      <c r="I514" s="5" t="str">
        <f t="shared" ref="I514:I553" si="28">"Holy_Desc_"&amp;L514</f>
        <v>Holy_Desc_1060011</v>
      </c>
      <c r="J514" s="4" t="s">
        <v>48</v>
      </c>
      <c r="K514" s="5">
        <f>[1]圣物数值!$C512*10000</f>
        <v>1980</v>
      </c>
      <c r="L514" s="5">
        <v>1060011</v>
      </c>
    </row>
    <row r="515" spans="1:12" x14ac:dyDescent="0.15">
      <c r="A515" s="5">
        <v>7612</v>
      </c>
      <c r="B515" s="5">
        <v>111</v>
      </c>
      <c r="C515" s="5" t="str">
        <f t="shared" si="27"/>
        <v>Holy_Name_1060011</v>
      </c>
      <c r="D515" s="5" t="s">
        <v>47</v>
      </c>
      <c r="E515" s="5">
        <v>3</v>
      </c>
      <c r="F515" s="5">
        <v>12</v>
      </c>
      <c r="G515" s="5">
        <v>17</v>
      </c>
      <c r="H515" s="5">
        <v>340</v>
      </c>
      <c r="I515" s="5" t="str">
        <f t="shared" si="28"/>
        <v>Holy_Desc_1060011</v>
      </c>
      <c r="J515" s="4" t="s">
        <v>48</v>
      </c>
      <c r="K515" s="5">
        <f>[1]圣物数值!$C513*10000</f>
        <v>2160</v>
      </c>
      <c r="L515" s="5">
        <v>1060011</v>
      </c>
    </row>
    <row r="516" spans="1:12" x14ac:dyDescent="0.15">
      <c r="A516" s="5">
        <v>7613</v>
      </c>
      <c r="B516" s="5">
        <v>111</v>
      </c>
      <c r="C516" s="5" t="str">
        <f t="shared" si="27"/>
        <v>Holy_Name_1060011</v>
      </c>
      <c r="D516" s="5" t="s">
        <v>47</v>
      </c>
      <c r="E516" s="5">
        <v>3</v>
      </c>
      <c r="F516" s="5">
        <v>13</v>
      </c>
      <c r="G516" s="5">
        <v>18</v>
      </c>
      <c r="H516" s="5">
        <v>370</v>
      </c>
      <c r="I516" s="5" t="str">
        <f t="shared" si="28"/>
        <v>Holy_Desc_1060011</v>
      </c>
      <c r="J516" s="4" t="s">
        <v>48</v>
      </c>
      <c r="K516" s="5">
        <f>[1]圣物数值!$C514*10000</f>
        <v>2340</v>
      </c>
      <c r="L516" s="5">
        <v>1060011</v>
      </c>
    </row>
    <row r="517" spans="1:12" x14ac:dyDescent="0.15">
      <c r="A517" s="5">
        <v>7614</v>
      </c>
      <c r="B517" s="5">
        <v>111</v>
      </c>
      <c r="C517" s="5" t="str">
        <f t="shared" si="27"/>
        <v>Holy_Name_1060011</v>
      </c>
      <c r="D517" s="5" t="s">
        <v>47</v>
      </c>
      <c r="E517" s="5">
        <v>3</v>
      </c>
      <c r="F517" s="5">
        <v>14</v>
      </c>
      <c r="G517" s="5">
        <v>20</v>
      </c>
      <c r="H517" s="5">
        <v>400</v>
      </c>
      <c r="I517" s="5" t="str">
        <f t="shared" si="28"/>
        <v>Holy_Desc_1060011</v>
      </c>
      <c r="J517" s="4" t="s">
        <v>48</v>
      </c>
      <c r="K517" s="5">
        <f>[1]圣物数值!$C515*10000</f>
        <v>2520</v>
      </c>
      <c r="L517" s="5">
        <v>1060011</v>
      </c>
    </row>
    <row r="518" spans="1:12" x14ac:dyDescent="0.15">
      <c r="A518" s="5">
        <v>7615</v>
      </c>
      <c r="B518" s="5">
        <v>111</v>
      </c>
      <c r="C518" s="5" t="str">
        <f t="shared" si="27"/>
        <v>Holy_Name_1060011</v>
      </c>
      <c r="D518" s="5" t="s">
        <v>47</v>
      </c>
      <c r="E518" s="5">
        <v>3</v>
      </c>
      <c r="F518" s="5">
        <v>15</v>
      </c>
      <c r="G518" s="5">
        <v>22</v>
      </c>
      <c r="H518" s="5">
        <v>430</v>
      </c>
      <c r="I518" s="5" t="str">
        <f t="shared" si="28"/>
        <v>Holy_Desc_1060011</v>
      </c>
      <c r="J518" s="4" t="s">
        <v>48</v>
      </c>
      <c r="K518" s="5">
        <f>[1]圣物数值!$C516*10000</f>
        <v>2700</v>
      </c>
      <c r="L518" s="5">
        <v>1060011</v>
      </c>
    </row>
    <row r="519" spans="1:12" x14ac:dyDescent="0.15">
      <c r="A519" s="5">
        <v>7616</v>
      </c>
      <c r="B519" s="5">
        <v>111</v>
      </c>
      <c r="C519" s="5" t="str">
        <f t="shared" si="27"/>
        <v>Holy_Name_1060011</v>
      </c>
      <c r="D519" s="5" t="s">
        <v>47</v>
      </c>
      <c r="E519" s="5">
        <v>3</v>
      </c>
      <c r="F519" s="5">
        <v>16</v>
      </c>
      <c r="G519" s="5">
        <v>23</v>
      </c>
      <c r="H519" s="5">
        <v>460</v>
      </c>
      <c r="I519" s="5" t="str">
        <f t="shared" si="28"/>
        <v>Holy_Desc_1060011</v>
      </c>
      <c r="J519" s="4" t="s">
        <v>48</v>
      </c>
      <c r="K519" s="5">
        <f>[1]圣物数值!$C517*10000</f>
        <v>2880</v>
      </c>
      <c r="L519" s="5">
        <v>1060011</v>
      </c>
    </row>
    <row r="520" spans="1:12" x14ac:dyDescent="0.15">
      <c r="A520" s="5">
        <v>7617</v>
      </c>
      <c r="B520" s="5">
        <v>111</v>
      </c>
      <c r="C520" s="5" t="str">
        <f t="shared" si="27"/>
        <v>Holy_Name_1060011</v>
      </c>
      <c r="D520" s="5" t="s">
        <v>47</v>
      </c>
      <c r="E520" s="5">
        <v>3</v>
      </c>
      <c r="F520" s="5">
        <v>17</v>
      </c>
      <c r="G520" s="5">
        <v>25</v>
      </c>
      <c r="H520" s="5">
        <v>500</v>
      </c>
      <c r="I520" s="5" t="str">
        <f t="shared" si="28"/>
        <v>Holy_Desc_1060011</v>
      </c>
      <c r="J520" s="4" t="s">
        <v>48</v>
      </c>
      <c r="K520" s="5">
        <f>[1]圣物数值!$C518*10000</f>
        <v>3060</v>
      </c>
      <c r="L520" s="5">
        <v>1060011</v>
      </c>
    </row>
    <row r="521" spans="1:12" x14ac:dyDescent="0.15">
      <c r="A521" s="5">
        <v>7618</v>
      </c>
      <c r="B521" s="5">
        <v>111</v>
      </c>
      <c r="C521" s="5" t="str">
        <f t="shared" si="27"/>
        <v>Holy_Name_1060011</v>
      </c>
      <c r="D521" s="5" t="s">
        <v>47</v>
      </c>
      <c r="E521" s="5">
        <v>3</v>
      </c>
      <c r="F521" s="5">
        <v>18</v>
      </c>
      <c r="G521" s="5">
        <v>26</v>
      </c>
      <c r="H521" s="5">
        <v>530</v>
      </c>
      <c r="I521" s="5" t="str">
        <f t="shared" si="28"/>
        <v>Holy_Desc_1060011</v>
      </c>
      <c r="J521" s="4" t="s">
        <v>48</v>
      </c>
      <c r="K521" s="5">
        <f>[1]圣物数值!$C519*10000</f>
        <v>3240</v>
      </c>
      <c r="L521" s="5">
        <v>1060011</v>
      </c>
    </row>
    <row r="522" spans="1:12" x14ac:dyDescent="0.15">
      <c r="A522" s="5">
        <v>7619</v>
      </c>
      <c r="B522" s="5">
        <v>111</v>
      </c>
      <c r="C522" s="5" t="str">
        <f t="shared" si="27"/>
        <v>Holy_Name_1060011</v>
      </c>
      <c r="D522" s="5" t="s">
        <v>47</v>
      </c>
      <c r="E522" s="5">
        <v>3</v>
      </c>
      <c r="F522" s="5">
        <v>19</v>
      </c>
      <c r="G522" s="5">
        <v>28</v>
      </c>
      <c r="H522" s="5">
        <v>560</v>
      </c>
      <c r="I522" s="5" t="str">
        <f t="shared" si="28"/>
        <v>Holy_Desc_1060011</v>
      </c>
      <c r="J522" s="4" t="s">
        <v>48</v>
      </c>
      <c r="K522" s="5">
        <f>[1]圣物数值!$C520*10000</f>
        <v>3420</v>
      </c>
      <c r="L522" s="5">
        <v>1060011</v>
      </c>
    </row>
    <row r="523" spans="1:12" x14ac:dyDescent="0.15">
      <c r="A523" s="5">
        <v>7620</v>
      </c>
      <c r="B523" s="5">
        <v>111</v>
      </c>
      <c r="C523" s="5" t="str">
        <f t="shared" si="27"/>
        <v>Holy_Name_1060011</v>
      </c>
      <c r="D523" s="5" t="s">
        <v>47</v>
      </c>
      <c r="E523" s="5">
        <v>3</v>
      </c>
      <c r="F523" s="5">
        <v>20</v>
      </c>
      <c r="G523" s="5">
        <v>30</v>
      </c>
      <c r="H523" s="5">
        <v>590</v>
      </c>
      <c r="I523" s="5" t="str">
        <f t="shared" si="28"/>
        <v>Holy_Desc_1060011</v>
      </c>
      <c r="J523" s="4" t="s">
        <v>48</v>
      </c>
      <c r="K523" s="5">
        <f>[1]圣物数值!$C521*10000</f>
        <v>3600</v>
      </c>
      <c r="L523" s="5">
        <v>1060011</v>
      </c>
    </row>
    <row r="524" spans="1:12" x14ac:dyDescent="0.15">
      <c r="A524" s="5">
        <v>7621</v>
      </c>
      <c r="B524" s="5">
        <v>111</v>
      </c>
      <c r="C524" s="5" t="str">
        <f t="shared" si="27"/>
        <v>Holy_Name_1060011</v>
      </c>
      <c r="D524" s="5" t="s">
        <v>47</v>
      </c>
      <c r="E524" s="5">
        <v>3</v>
      </c>
      <c r="F524" s="5">
        <v>21</v>
      </c>
      <c r="G524" s="5">
        <v>31</v>
      </c>
      <c r="H524" s="5">
        <v>620</v>
      </c>
      <c r="I524" s="5" t="str">
        <f t="shared" si="28"/>
        <v>Holy_Desc_1060011</v>
      </c>
      <c r="J524" s="4" t="s">
        <v>48</v>
      </c>
      <c r="K524" s="5">
        <f>[1]圣物数值!$C522*10000</f>
        <v>3780</v>
      </c>
      <c r="L524" s="5">
        <v>1060011</v>
      </c>
    </row>
    <row r="525" spans="1:12" x14ac:dyDescent="0.15">
      <c r="A525" s="5">
        <v>7622</v>
      </c>
      <c r="B525" s="5">
        <v>111</v>
      </c>
      <c r="C525" s="5" t="str">
        <f t="shared" si="27"/>
        <v>Holy_Name_1060011</v>
      </c>
      <c r="D525" s="5" t="s">
        <v>47</v>
      </c>
      <c r="E525" s="5">
        <v>3</v>
      </c>
      <c r="F525" s="5">
        <v>22</v>
      </c>
      <c r="G525" s="5">
        <v>33</v>
      </c>
      <c r="H525" s="5">
        <v>660</v>
      </c>
      <c r="I525" s="5" t="str">
        <f t="shared" si="28"/>
        <v>Holy_Desc_1060011</v>
      </c>
      <c r="J525" s="4" t="s">
        <v>48</v>
      </c>
      <c r="K525" s="5">
        <f>[1]圣物数值!$C523*10000</f>
        <v>3960</v>
      </c>
      <c r="L525" s="5">
        <v>1060011</v>
      </c>
    </row>
    <row r="526" spans="1:12" x14ac:dyDescent="0.15">
      <c r="A526" s="5">
        <v>7623</v>
      </c>
      <c r="B526" s="5">
        <v>111</v>
      </c>
      <c r="C526" s="5" t="str">
        <f t="shared" si="27"/>
        <v>Holy_Name_1060011</v>
      </c>
      <c r="D526" s="5" t="s">
        <v>47</v>
      </c>
      <c r="E526" s="5">
        <v>3</v>
      </c>
      <c r="F526" s="5">
        <v>23</v>
      </c>
      <c r="G526" s="5">
        <v>34</v>
      </c>
      <c r="H526" s="5">
        <v>690</v>
      </c>
      <c r="I526" s="5" t="str">
        <f t="shared" si="28"/>
        <v>Holy_Desc_1060011</v>
      </c>
      <c r="J526" s="4" t="s">
        <v>48</v>
      </c>
      <c r="K526" s="5">
        <f>[1]圣物数值!$C524*10000</f>
        <v>4140</v>
      </c>
      <c r="L526" s="5">
        <v>1060011</v>
      </c>
    </row>
    <row r="527" spans="1:12" x14ac:dyDescent="0.15">
      <c r="A527" s="5">
        <v>7624</v>
      </c>
      <c r="B527" s="5">
        <v>111</v>
      </c>
      <c r="C527" s="5" t="str">
        <f t="shared" si="27"/>
        <v>Holy_Name_1060011</v>
      </c>
      <c r="D527" s="5" t="s">
        <v>47</v>
      </c>
      <c r="E527" s="5">
        <v>3</v>
      </c>
      <c r="F527" s="5">
        <v>24</v>
      </c>
      <c r="G527" s="5">
        <v>36</v>
      </c>
      <c r="H527" s="5">
        <v>720</v>
      </c>
      <c r="I527" s="5" t="str">
        <f t="shared" si="28"/>
        <v>Holy_Desc_1060011</v>
      </c>
      <c r="J527" s="4" t="s">
        <v>48</v>
      </c>
      <c r="K527" s="5">
        <f>[1]圣物数值!$C525*10000</f>
        <v>4320</v>
      </c>
      <c r="L527" s="5">
        <v>1060011</v>
      </c>
    </row>
    <row r="528" spans="1:12" x14ac:dyDescent="0.15">
      <c r="A528" s="5">
        <v>7625</v>
      </c>
      <c r="B528" s="5">
        <v>111</v>
      </c>
      <c r="C528" s="5" t="str">
        <f t="shared" si="27"/>
        <v>Holy_Name_1060011</v>
      </c>
      <c r="D528" s="5" t="s">
        <v>47</v>
      </c>
      <c r="E528" s="5">
        <v>3</v>
      </c>
      <c r="F528" s="5">
        <v>25</v>
      </c>
      <c r="G528" s="5">
        <v>38</v>
      </c>
      <c r="H528" s="5">
        <v>750</v>
      </c>
      <c r="I528" s="5" t="str">
        <f t="shared" si="28"/>
        <v>Holy_Desc_1060011</v>
      </c>
      <c r="J528" s="4" t="s">
        <v>48</v>
      </c>
      <c r="K528" s="5">
        <f>[1]圣物数值!$C526*10000</f>
        <v>4500</v>
      </c>
      <c r="L528" s="5">
        <v>1060011</v>
      </c>
    </row>
    <row r="529" spans="1:12" x14ac:dyDescent="0.15">
      <c r="A529" s="5">
        <v>7626</v>
      </c>
      <c r="B529" s="5">
        <v>111</v>
      </c>
      <c r="C529" s="5" t="str">
        <f t="shared" si="27"/>
        <v>Holy_Name_1060011</v>
      </c>
      <c r="D529" s="5" t="s">
        <v>47</v>
      </c>
      <c r="E529" s="5">
        <v>3</v>
      </c>
      <c r="F529" s="5">
        <v>26</v>
      </c>
      <c r="G529" s="5">
        <v>39</v>
      </c>
      <c r="H529" s="5">
        <v>780</v>
      </c>
      <c r="I529" s="5" t="str">
        <f t="shared" si="28"/>
        <v>Holy_Desc_1060011</v>
      </c>
      <c r="J529" s="4" t="s">
        <v>48</v>
      </c>
      <c r="K529" s="5">
        <f>[1]圣物数值!$C527*10000</f>
        <v>4680</v>
      </c>
      <c r="L529" s="5">
        <v>1060011</v>
      </c>
    </row>
    <row r="530" spans="1:12" x14ac:dyDescent="0.15">
      <c r="A530" s="5">
        <v>7627</v>
      </c>
      <c r="B530" s="5">
        <v>111</v>
      </c>
      <c r="C530" s="5" t="str">
        <f t="shared" si="27"/>
        <v>Holy_Name_1060011</v>
      </c>
      <c r="D530" s="5" t="s">
        <v>47</v>
      </c>
      <c r="E530" s="5">
        <v>3</v>
      </c>
      <c r="F530" s="5">
        <v>27</v>
      </c>
      <c r="G530" s="5">
        <v>41</v>
      </c>
      <c r="H530" s="5">
        <v>820</v>
      </c>
      <c r="I530" s="5" t="str">
        <f t="shared" si="28"/>
        <v>Holy_Desc_1060011</v>
      </c>
      <c r="J530" s="4" t="s">
        <v>48</v>
      </c>
      <c r="K530" s="5">
        <f>[1]圣物数值!$C528*10000</f>
        <v>4860</v>
      </c>
      <c r="L530" s="5">
        <v>1060011</v>
      </c>
    </row>
    <row r="531" spans="1:12" x14ac:dyDescent="0.15">
      <c r="A531" s="5">
        <v>7628</v>
      </c>
      <c r="B531" s="5">
        <v>111</v>
      </c>
      <c r="C531" s="5" t="str">
        <f t="shared" si="27"/>
        <v>Holy_Name_1060011</v>
      </c>
      <c r="D531" s="5" t="s">
        <v>47</v>
      </c>
      <c r="E531" s="5">
        <v>3</v>
      </c>
      <c r="F531" s="5">
        <v>28</v>
      </c>
      <c r="G531" s="5">
        <v>42</v>
      </c>
      <c r="H531" s="5">
        <v>850</v>
      </c>
      <c r="I531" s="5" t="str">
        <f t="shared" si="28"/>
        <v>Holy_Desc_1060011</v>
      </c>
      <c r="J531" s="4" t="s">
        <v>48</v>
      </c>
      <c r="K531" s="5">
        <f>[1]圣物数值!$C529*10000</f>
        <v>5040</v>
      </c>
      <c r="L531" s="5">
        <v>1060011</v>
      </c>
    </row>
    <row r="532" spans="1:12" x14ac:dyDescent="0.15">
      <c r="A532" s="5">
        <v>7629</v>
      </c>
      <c r="B532" s="5">
        <v>111</v>
      </c>
      <c r="C532" s="5" t="str">
        <f t="shared" si="27"/>
        <v>Holy_Name_1060011</v>
      </c>
      <c r="D532" s="5" t="s">
        <v>47</v>
      </c>
      <c r="E532" s="5">
        <v>3</v>
      </c>
      <c r="F532" s="5">
        <v>29</v>
      </c>
      <c r="G532" s="5">
        <v>44</v>
      </c>
      <c r="H532" s="5">
        <v>880</v>
      </c>
      <c r="I532" s="5" t="str">
        <f t="shared" si="28"/>
        <v>Holy_Desc_1060011</v>
      </c>
      <c r="J532" s="4" t="s">
        <v>48</v>
      </c>
      <c r="K532" s="5">
        <f>[1]圣物数值!$C530*10000</f>
        <v>5220</v>
      </c>
      <c r="L532" s="5">
        <v>1060011</v>
      </c>
    </row>
    <row r="533" spans="1:12" x14ac:dyDescent="0.15">
      <c r="A533" s="5">
        <v>7630</v>
      </c>
      <c r="B533" s="5">
        <v>111</v>
      </c>
      <c r="C533" s="5" t="str">
        <f t="shared" si="27"/>
        <v>Holy_Name_1060011</v>
      </c>
      <c r="D533" s="5" t="s">
        <v>47</v>
      </c>
      <c r="E533" s="5">
        <v>3</v>
      </c>
      <c r="F533" s="5">
        <v>30</v>
      </c>
      <c r="G533" s="5">
        <v>46</v>
      </c>
      <c r="H533" s="5">
        <v>910</v>
      </c>
      <c r="I533" s="5" t="str">
        <f t="shared" si="28"/>
        <v>Holy_Desc_1060011</v>
      </c>
      <c r="J533" s="4" t="s">
        <v>48</v>
      </c>
      <c r="K533" s="5">
        <f>[1]圣物数值!$C531*10000</f>
        <v>5400</v>
      </c>
      <c r="L533" s="5">
        <v>1060011</v>
      </c>
    </row>
    <row r="534" spans="1:12" x14ac:dyDescent="0.15">
      <c r="A534" s="5">
        <v>7631</v>
      </c>
      <c r="B534" s="5">
        <v>111</v>
      </c>
      <c r="C534" s="5" t="str">
        <f t="shared" si="27"/>
        <v>Holy_Name_1060011</v>
      </c>
      <c r="D534" s="5" t="s">
        <v>47</v>
      </c>
      <c r="E534" s="5">
        <v>3</v>
      </c>
      <c r="F534" s="5">
        <v>31</v>
      </c>
      <c r="G534" s="5">
        <v>47</v>
      </c>
      <c r="H534" s="5">
        <v>940</v>
      </c>
      <c r="I534" s="5" t="str">
        <f t="shared" si="28"/>
        <v>Holy_Desc_1060011</v>
      </c>
      <c r="J534" s="4" t="s">
        <v>48</v>
      </c>
      <c r="K534" s="5">
        <f>[1]圣物数值!$C532*10000</f>
        <v>5580</v>
      </c>
      <c r="L534" s="5">
        <v>1060011</v>
      </c>
    </row>
    <row r="535" spans="1:12" x14ac:dyDescent="0.15">
      <c r="A535" s="5">
        <v>7632</v>
      </c>
      <c r="B535" s="5">
        <v>111</v>
      </c>
      <c r="C535" s="5" t="str">
        <f t="shared" si="27"/>
        <v>Holy_Name_1060011</v>
      </c>
      <c r="D535" s="5" t="s">
        <v>47</v>
      </c>
      <c r="E535" s="5">
        <v>3</v>
      </c>
      <c r="F535" s="5">
        <v>32</v>
      </c>
      <c r="G535" s="5">
        <v>49</v>
      </c>
      <c r="H535" s="5">
        <v>980</v>
      </c>
      <c r="I535" s="5" t="str">
        <f t="shared" si="28"/>
        <v>Holy_Desc_1060011</v>
      </c>
      <c r="J535" s="4" t="s">
        <v>48</v>
      </c>
      <c r="K535" s="5">
        <f>[1]圣物数值!$C533*10000</f>
        <v>5760</v>
      </c>
      <c r="L535" s="5">
        <v>1060011</v>
      </c>
    </row>
    <row r="536" spans="1:12" x14ac:dyDescent="0.15">
      <c r="A536" s="5">
        <v>7633</v>
      </c>
      <c r="B536" s="5">
        <v>111</v>
      </c>
      <c r="C536" s="5" t="str">
        <f t="shared" si="27"/>
        <v>Holy_Name_1060011</v>
      </c>
      <c r="D536" s="5" t="s">
        <v>47</v>
      </c>
      <c r="E536" s="5">
        <v>3</v>
      </c>
      <c r="F536" s="5">
        <v>33</v>
      </c>
      <c r="G536" s="5">
        <v>50</v>
      </c>
      <c r="H536" s="5">
        <v>1010</v>
      </c>
      <c r="I536" s="5" t="str">
        <f t="shared" si="28"/>
        <v>Holy_Desc_1060011</v>
      </c>
      <c r="J536" s="4" t="s">
        <v>48</v>
      </c>
      <c r="K536" s="5">
        <f>[1]圣物数值!$C534*10000</f>
        <v>5940</v>
      </c>
      <c r="L536" s="5">
        <v>1060011</v>
      </c>
    </row>
    <row r="537" spans="1:12" x14ac:dyDescent="0.15">
      <c r="A537" s="5">
        <v>7634</v>
      </c>
      <c r="B537" s="5">
        <v>111</v>
      </c>
      <c r="C537" s="5" t="str">
        <f t="shared" si="27"/>
        <v>Holy_Name_1060011</v>
      </c>
      <c r="D537" s="5" t="s">
        <v>47</v>
      </c>
      <c r="E537" s="5">
        <v>3</v>
      </c>
      <c r="F537" s="5">
        <v>34</v>
      </c>
      <c r="G537" s="5">
        <v>52</v>
      </c>
      <c r="H537" s="5">
        <v>1040</v>
      </c>
      <c r="I537" s="5" t="str">
        <f t="shared" si="28"/>
        <v>Holy_Desc_1060011</v>
      </c>
      <c r="J537" s="4" t="s">
        <v>48</v>
      </c>
      <c r="K537" s="5">
        <f>[1]圣物数值!$C535*10000</f>
        <v>6120</v>
      </c>
      <c r="L537" s="5">
        <v>1060011</v>
      </c>
    </row>
    <row r="538" spans="1:12" x14ac:dyDescent="0.15">
      <c r="A538" s="5">
        <v>7635</v>
      </c>
      <c r="B538" s="5">
        <v>111</v>
      </c>
      <c r="C538" s="5" t="str">
        <f t="shared" si="27"/>
        <v>Holy_Name_1060011</v>
      </c>
      <c r="D538" s="5" t="s">
        <v>47</v>
      </c>
      <c r="E538" s="5">
        <v>3</v>
      </c>
      <c r="F538" s="5">
        <v>35</v>
      </c>
      <c r="G538" s="5">
        <v>54</v>
      </c>
      <c r="H538" s="5">
        <v>1070</v>
      </c>
      <c r="I538" s="5" t="str">
        <f t="shared" si="28"/>
        <v>Holy_Desc_1060011</v>
      </c>
      <c r="J538" s="4" t="s">
        <v>48</v>
      </c>
      <c r="K538" s="5">
        <f>[1]圣物数值!$C536*10000</f>
        <v>6300</v>
      </c>
      <c r="L538" s="5">
        <v>1060011</v>
      </c>
    </row>
    <row r="539" spans="1:12" x14ac:dyDescent="0.15">
      <c r="A539" s="5">
        <v>7636</v>
      </c>
      <c r="B539" s="5">
        <v>111</v>
      </c>
      <c r="C539" s="5" t="str">
        <f t="shared" si="27"/>
        <v>Holy_Name_1060011</v>
      </c>
      <c r="D539" s="5" t="s">
        <v>47</v>
      </c>
      <c r="E539" s="5">
        <v>3</v>
      </c>
      <c r="F539" s="5">
        <v>36</v>
      </c>
      <c r="G539" s="5">
        <v>55</v>
      </c>
      <c r="H539" s="5">
        <v>1100</v>
      </c>
      <c r="I539" s="5" t="str">
        <f t="shared" si="28"/>
        <v>Holy_Desc_1060011</v>
      </c>
      <c r="J539" s="4" t="s">
        <v>48</v>
      </c>
      <c r="K539" s="5">
        <f>[1]圣物数值!$C537*10000</f>
        <v>6480</v>
      </c>
      <c r="L539" s="5">
        <v>1060011</v>
      </c>
    </row>
    <row r="540" spans="1:12" x14ac:dyDescent="0.15">
      <c r="A540" s="5">
        <v>7637</v>
      </c>
      <c r="B540" s="5">
        <v>111</v>
      </c>
      <c r="C540" s="5" t="str">
        <f t="shared" si="27"/>
        <v>Holy_Name_1060011</v>
      </c>
      <c r="D540" s="5" t="s">
        <v>47</v>
      </c>
      <c r="E540" s="5">
        <v>3</v>
      </c>
      <c r="F540" s="5">
        <v>37</v>
      </c>
      <c r="G540" s="5">
        <v>57</v>
      </c>
      <c r="H540" s="5">
        <v>1140</v>
      </c>
      <c r="I540" s="5" t="str">
        <f t="shared" si="28"/>
        <v>Holy_Desc_1060011</v>
      </c>
      <c r="J540" s="4" t="s">
        <v>48</v>
      </c>
      <c r="K540" s="5">
        <f>[1]圣物数值!$C538*10000</f>
        <v>6660</v>
      </c>
      <c r="L540" s="5">
        <v>1060011</v>
      </c>
    </row>
    <row r="541" spans="1:12" x14ac:dyDescent="0.15">
      <c r="A541" s="5">
        <v>7638</v>
      </c>
      <c r="B541" s="5">
        <v>111</v>
      </c>
      <c r="C541" s="5" t="str">
        <f t="shared" si="27"/>
        <v>Holy_Name_1060011</v>
      </c>
      <c r="D541" s="5" t="s">
        <v>47</v>
      </c>
      <c r="E541" s="5">
        <v>3</v>
      </c>
      <c r="F541" s="5">
        <v>38</v>
      </c>
      <c r="G541" s="5">
        <v>58</v>
      </c>
      <c r="H541" s="5">
        <v>1170</v>
      </c>
      <c r="I541" s="5" t="str">
        <f t="shared" si="28"/>
        <v>Holy_Desc_1060011</v>
      </c>
      <c r="J541" s="4" t="s">
        <v>48</v>
      </c>
      <c r="K541" s="5">
        <f>[1]圣物数值!$C539*10000</f>
        <v>6840</v>
      </c>
      <c r="L541" s="5">
        <v>1060011</v>
      </c>
    </row>
    <row r="542" spans="1:12" x14ac:dyDescent="0.15">
      <c r="A542" s="5">
        <v>7639</v>
      </c>
      <c r="B542" s="5">
        <v>111</v>
      </c>
      <c r="C542" s="5" t="str">
        <f t="shared" si="27"/>
        <v>Holy_Name_1060011</v>
      </c>
      <c r="D542" s="5" t="s">
        <v>47</v>
      </c>
      <c r="E542" s="5">
        <v>3</v>
      </c>
      <c r="F542" s="5">
        <v>39</v>
      </c>
      <c r="G542" s="5">
        <v>60</v>
      </c>
      <c r="H542" s="5">
        <v>1200</v>
      </c>
      <c r="I542" s="5" t="str">
        <f t="shared" si="28"/>
        <v>Holy_Desc_1060011</v>
      </c>
      <c r="J542" s="4" t="s">
        <v>48</v>
      </c>
      <c r="K542" s="5">
        <f>[1]圣物数值!$C540*10000</f>
        <v>7020</v>
      </c>
      <c r="L542" s="5">
        <v>1060011</v>
      </c>
    </row>
    <row r="543" spans="1:12" x14ac:dyDescent="0.15">
      <c r="A543" s="5">
        <v>7640</v>
      </c>
      <c r="B543" s="5">
        <v>111</v>
      </c>
      <c r="C543" s="5" t="str">
        <f t="shared" si="27"/>
        <v>Holy_Name_1060011</v>
      </c>
      <c r="D543" s="5" t="s">
        <v>47</v>
      </c>
      <c r="E543" s="5">
        <v>3</v>
      </c>
      <c r="F543" s="5">
        <v>40</v>
      </c>
      <c r="G543" s="5">
        <v>62</v>
      </c>
      <c r="H543" s="5">
        <v>1230</v>
      </c>
      <c r="I543" s="5" t="str">
        <f t="shared" si="28"/>
        <v>Holy_Desc_1060011</v>
      </c>
      <c r="J543" s="4" t="s">
        <v>48</v>
      </c>
      <c r="K543" s="5">
        <f>[1]圣物数值!$C541*10000</f>
        <v>7200</v>
      </c>
      <c r="L543" s="5">
        <v>1060011</v>
      </c>
    </row>
    <row r="544" spans="1:12" x14ac:dyDescent="0.15">
      <c r="A544" s="5">
        <v>7641</v>
      </c>
      <c r="B544" s="5">
        <v>111</v>
      </c>
      <c r="C544" s="5" t="str">
        <f t="shared" si="27"/>
        <v>Holy_Name_1060011</v>
      </c>
      <c r="D544" s="5" t="s">
        <v>47</v>
      </c>
      <c r="E544" s="5">
        <v>3</v>
      </c>
      <c r="F544" s="5">
        <v>41</v>
      </c>
      <c r="G544" s="5">
        <v>63</v>
      </c>
      <c r="H544" s="5">
        <v>1260</v>
      </c>
      <c r="I544" s="5" t="str">
        <f t="shared" si="28"/>
        <v>Holy_Desc_1060011</v>
      </c>
      <c r="J544" s="4" t="s">
        <v>48</v>
      </c>
      <c r="K544" s="5">
        <f>[1]圣物数值!$C542*10000</f>
        <v>7380</v>
      </c>
      <c r="L544" s="5">
        <v>1060011</v>
      </c>
    </row>
    <row r="545" spans="1:15" x14ac:dyDescent="0.15">
      <c r="A545" s="5">
        <v>7642</v>
      </c>
      <c r="B545" s="5">
        <v>111</v>
      </c>
      <c r="C545" s="5" t="str">
        <f t="shared" si="27"/>
        <v>Holy_Name_1060011</v>
      </c>
      <c r="D545" s="5" t="s">
        <v>47</v>
      </c>
      <c r="E545" s="5">
        <v>3</v>
      </c>
      <c r="F545" s="5">
        <v>42</v>
      </c>
      <c r="G545" s="5">
        <v>65</v>
      </c>
      <c r="H545" s="5">
        <v>1300</v>
      </c>
      <c r="I545" s="5" t="str">
        <f t="shared" si="28"/>
        <v>Holy_Desc_1060011</v>
      </c>
      <c r="J545" s="4" t="s">
        <v>48</v>
      </c>
      <c r="K545" s="5">
        <f>[1]圣物数值!$C543*10000</f>
        <v>7560</v>
      </c>
      <c r="L545" s="5">
        <v>1060011</v>
      </c>
    </row>
    <row r="546" spans="1:15" x14ac:dyDescent="0.15">
      <c r="A546" s="5">
        <v>7643</v>
      </c>
      <c r="B546" s="5">
        <v>111</v>
      </c>
      <c r="C546" s="5" t="str">
        <f t="shared" si="27"/>
        <v>Holy_Name_1060011</v>
      </c>
      <c r="D546" s="5" t="s">
        <v>47</v>
      </c>
      <c r="E546" s="5">
        <v>3</v>
      </c>
      <c r="F546" s="5">
        <v>43</v>
      </c>
      <c r="G546" s="5">
        <v>66</v>
      </c>
      <c r="H546" s="5">
        <v>1330</v>
      </c>
      <c r="I546" s="5" t="str">
        <f t="shared" si="28"/>
        <v>Holy_Desc_1060011</v>
      </c>
      <c r="J546" s="4" t="s">
        <v>48</v>
      </c>
      <c r="K546" s="5">
        <f>[1]圣物数值!$C544*10000</f>
        <v>7740</v>
      </c>
      <c r="L546" s="5">
        <v>1060011</v>
      </c>
    </row>
    <row r="547" spans="1:15" x14ac:dyDescent="0.15">
      <c r="A547" s="5">
        <v>7644</v>
      </c>
      <c r="B547" s="5">
        <v>111</v>
      </c>
      <c r="C547" s="5" t="str">
        <f t="shared" si="27"/>
        <v>Holy_Name_1060011</v>
      </c>
      <c r="D547" s="5" t="s">
        <v>47</v>
      </c>
      <c r="E547" s="5">
        <v>3</v>
      </c>
      <c r="F547" s="5">
        <v>44</v>
      </c>
      <c r="G547" s="5">
        <v>68</v>
      </c>
      <c r="H547" s="5">
        <v>1360</v>
      </c>
      <c r="I547" s="5" t="str">
        <f t="shared" si="28"/>
        <v>Holy_Desc_1060011</v>
      </c>
      <c r="J547" s="4" t="s">
        <v>48</v>
      </c>
      <c r="K547" s="5">
        <f>[1]圣物数值!$C545*10000</f>
        <v>7920</v>
      </c>
      <c r="L547" s="5">
        <v>1060011</v>
      </c>
    </row>
    <row r="548" spans="1:15" x14ac:dyDescent="0.15">
      <c r="A548" s="5">
        <v>7645</v>
      </c>
      <c r="B548" s="5">
        <v>111</v>
      </c>
      <c r="C548" s="5" t="str">
        <f t="shared" si="27"/>
        <v>Holy_Name_1060011</v>
      </c>
      <c r="D548" s="5" t="s">
        <v>47</v>
      </c>
      <c r="E548" s="5">
        <v>3</v>
      </c>
      <c r="F548" s="5">
        <v>45</v>
      </c>
      <c r="G548" s="5">
        <v>70</v>
      </c>
      <c r="H548" s="5">
        <v>1390</v>
      </c>
      <c r="I548" s="5" t="str">
        <f t="shared" si="28"/>
        <v>Holy_Desc_1060011</v>
      </c>
      <c r="J548" s="4" t="s">
        <v>48</v>
      </c>
      <c r="K548" s="5">
        <f>[1]圣物数值!$C546*10000</f>
        <v>8100</v>
      </c>
      <c r="L548" s="5">
        <v>1060011</v>
      </c>
    </row>
    <row r="549" spans="1:15" x14ac:dyDescent="0.15">
      <c r="A549" s="5">
        <v>7646</v>
      </c>
      <c r="B549" s="5">
        <v>111</v>
      </c>
      <c r="C549" s="5" t="str">
        <f t="shared" si="27"/>
        <v>Holy_Name_1060011</v>
      </c>
      <c r="D549" s="5" t="s">
        <v>47</v>
      </c>
      <c r="E549" s="5">
        <v>3</v>
      </c>
      <c r="F549" s="5">
        <v>46</v>
      </c>
      <c r="G549" s="5">
        <v>71</v>
      </c>
      <c r="H549" s="5">
        <v>1420</v>
      </c>
      <c r="I549" s="5" t="str">
        <f t="shared" si="28"/>
        <v>Holy_Desc_1060011</v>
      </c>
      <c r="J549" s="4" t="s">
        <v>48</v>
      </c>
      <c r="K549" s="5">
        <f>[1]圣物数值!$C547*10000</f>
        <v>8280</v>
      </c>
      <c r="L549" s="5">
        <v>1060011</v>
      </c>
    </row>
    <row r="550" spans="1:15" x14ac:dyDescent="0.15">
      <c r="A550" s="5">
        <v>7647</v>
      </c>
      <c r="B550" s="5">
        <v>111</v>
      </c>
      <c r="C550" s="5" t="str">
        <f t="shared" si="27"/>
        <v>Holy_Name_1060011</v>
      </c>
      <c r="D550" s="5" t="s">
        <v>47</v>
      </c>
      <c r="E550" s="5">
        <v>3</v>
      </c>
      <c r="F550" s="5">
        <v>47</v>
      </c>
      <c r="G550" s="5">
        <v>73</v>
      </c>
      <c r="H550" s="5">
        <v>1460</v>
      </c>
      <c r="I550" s="5" t="str">
        <f t="shared" si="28"/>
        <v>Holy_Desc_1060011</v>
      </c>
      <c r="J550" s="4" t="s">
        <v>48</v>
      </c>
      <c r="K550" s="5">
        <f>[1]圣物数值!$C548*10000</f>
        <v>8460</v>
      </c>
      <c r="L550" s="5">
        <v>1060011</v>
      </c>
    </row>
    <row r="551" spans="1:15" x14ac:dyDescent="0.15">
      <c r="A551" s="5">
        <v>7648</v>
      </c>
      <c r="B551" s="5">
        <v>111</v>
      </c>
      <c r="C551" s="5" t="str">
        <f t="shared" si="27"/>
        <v>Holy_Name_1060011</v>
      </c>
      <c r="D551" s="5" t="s">
        <v>47</v>
      </c>
      <c r="E551" s="5">
        <v>3</v>
      </c>
      <c r="F551" s="5">
        <v>48</v>
      </c>
      <c r="G551" s="5">
        <v>74</v>
      </c>
      <c r="H551" s="5">
        <v>1490</v>
      </c>
      <c r="I551" s="5" t="str">
        <f t="shared" si="28"/>
        <v>Holy_Desc_1060011</v>
      </c>
      <c r="J551" s="4" t="s">
        <v>48</v>
      </c>
      <c r="K551" s="5">
        <f>[1]圣物数值!$C549*10000</f>
        <v>8640</v>
      </c>
      <c r="L551" s="5">
        <v>1060011</v>
      </c>
    </row>
    <row r="552" spans="1:15" x14ac:dyDescent="0.15">
      <c r="A552" s="5">
        <v>7649</v>
      </c>
      <c r="B552" s="5">
        <v>111</v>
      </c>
      <c r="C552" s="5" t="str">
        <f t="shared" si="27"/>
        <v>Holy_Name_1060011</v>
      </c>
      <c r="D552" s="5" t="s">
        <v>47</v>
      </c>
      <c r="E552" s="5">
        <v>3</v>
      </c>
      <c r="F552" s="5">
        <v>49</v>
      </c>
      <c r="G552" s="5">
        <v>76</v>
      </c>
      <c r="H552" s="5">
        <v>1520</v>
      </c>
      <c r="I552" s="5" t="str">
        <f t="shared" si="28"/>
        <v>Holy_Desc_1060011</v>
      </c>
      <c r="J552" s="4" t="s">
        <v>48</v>
      </c>
      <c r="K552" s="5">
        <f>[1]圣物数值!$C550*10000</f>
        <v>8820</v>
      </c>
      <c r="L552" s="5">
        <v>1060011</v>
      </c>
    </row>
    <row r="553" spans="1:15" x14ac:dyDescent="0.15">
      <c r="A553" s="5">
        <v>7650</v>
      </c>
      <c r="B553" s="5">
        <v>111</v>
      </c>
      <c r="C553" s="5" t="str">
        <f t="shared" si="27"/>
        <v>Holy_Name_1060011</v>
      </c>
      <c r="D553" s="5" t="s">
        <v>47</v>
      </c>
      <c r="E553" s="5">
        <v>3</v>
      </c>
      <c r="F553" s="5">
        <v>50</v>
      </c>
      <c r="G553" s="5">
        <v>78</v>
      </c>
      <c r="H553" s="5">
        <v>1550</v>
      </c>
      <c r="I553" s="5" t="str">
        <f t="shared" si="28"/>
        <v>Holy_Desc_1060011</v>
      </c>
      <c r="J553" s="4" t="s">
        <v>48</v>
      </c>
      <c r="K553" s="5">
        <f>[1]圣物数值!$C551*10000</f>
        <v>9000</v>
      </c>
      <c r="L553" s="5">
        <v>1060011</v>
      </c>
    </row>
    <row r="554" spans="1:15" x14ac:dyDescent="0.15">
      <c r="A554" s="5">
        <v>7651</v>
      </c>
      <c r="B554" s="5">
        <v>112</v>
      </c>
      <c r="C554" s="5" t="str">
        <f t="shared" ref="C554:C563" si="29">"Holy_Name_"&amp;L554</f>
        <v>Holy_Name_1060012</v>
      </c>
      <c r="D554" s="5" t="s">
        <v>49</v>
      </c>
      <c r="E554" s="5">
        <v>3</v>
      </c>
      <c r="F554" s="5">
        <v>1</v>
      </c>
      <c r="G554" s="5">
        <v>0</v>
      </c>
      <c r="H554" s="5">
        <v>0</v>
      </c>
      <c r="I554" s="5" t="str">
        <f t="shared" ref="I554:I563" si="30">"Holy_Desc_"&amp;L554</f>
        <v>Holy_Desc_1060012</v>
      </c>
      <c r="J554" s="4" t="s">
        <v>50</v>
      </c>
      <c r="K554" s="5">
        <f>[1]圣物数值!$C552*10000</f>
        <v>200</v>
      </c>
      <c r="L554" s="5">
        <v>1060012</v>
      </c>
      <c r="O554" s="8"/>
    </row>
    <row r="555" spans="1:15" x14ac:dyDescent="0.15">
      <c r="A555" s="5">
        <v>7652</v>
      </c>
      <c r="B555" s="5">
        <v>112</v>
      </c>
      <c r="C555" s="5" t="str">
        <f t="shared" si="29"/>
        <v>Holy_Name_1060012</v>
      </c>
      <c r="D555" s="5" t="s">
        <v>49</v>
      </c>
      <c r="E555" s="5">
        <v>3</v>
      </c>
      <c r="F555" s="5">
        <v>2</v>
      </c>
      <c r="G555" s="5">
        <v>1</v>
      </c>
      <c r="H555" s="5">
        <v>30</v>
      </c>
      <c r="I555" s="5" t="str">
        <f t="shared" si="30"/>
        <v>Holy_Desc_1060012</v>
      </c>
      <c r="J555" s="4" t="s">
        <v>50</v>
      </c>
      <c r="K555" s="5">
        <f>[1]圣物数值!$C553*10000</f>
        <v>400</v>
      </c>
      <c r="L555" s="5">
        <v>1060012</v>
      </c>
      <c r="O555" s="8"/>
    </row>
    <row r="556" spans="1:15" x14ac:dyDescent="0.15">
      <c r="A556" s="5">
        <v>7653</v>
      </c>
      <c r="B556" s="5">
        <v>112</v>
      </c>
      <c r="C556" s="5" t="str">
        <f t="shared" si="29"/>
        <v>Holy_Name_1060012</v>
      </c>
      <c r="D556" s="5" t="s">
        <v>49</v>
      </c>
      <c r="E556" s="5">
        <v>3</v>
      </c>
      <c r="F556" s="5">
        <v>3</v>
      </c>
      <c r="G556" s="5">
        <v>2</v>
      </c>
      <c r="H556" s="5">
        <v>50</v>
      </c>
      <c r="I556" s="5" t="str">
        <f t="shared" si="30"/>
        <v>Holy_Desc_1060012</v>
      </c>
      <c r="J556" s="4" t="s">
        <v>50</v>
      </c>
      <c r="K556" s="5">
        <f>[1]圣物数值!$C554*10000</f>
        <v>600</v>
      </c>
      <c r="L556" s="5">
        <v>1060012</v>
      </c>
      <c r="O556" s="8"/>
    </row>
    <row r="557" spans="1:15" x14ac:dyDescent="0.15">
      <c r="A557" s="5">
        <v>7654</v>
      </c>
      <c r="B557" s="5">
        <v>112</v>
      </c>
      <c r="C557" s="5" t="str">
        <f t="shared" si="29"/>
        <v>Holy_Name_1060012</v>
      </c>
      <c r="D557" s="5" t="s">
        <v>49</v>
      </c>
      <c r="E557" s="5">
        <v>3</v>
      </c>
      <c r="F557" s="5">
        <v>4</v>
      </c>
      <c r="G557" s="5">
        <v>4</v>
      </c>
      <c r="H557" s="5">
        <v>80</v>
      </c>
      <c r="I557" s="5" t="str">
        <f t="shared" si="30"/>
        <v>Holy_Desc_1060012</v>
      </c>
      <c r="J557" s="4" t="s">
        <v>50</v>
      </c>
      <c r="K557" s="5">
        <f>[1]圣物数值!$C555*10000</f>
        <v>800</v>
      </c>
      <c r="L557" s="5">
        <v>1060012</v>
      </c>
      <c r="O557" s="8"/>
    </row>
    <row r="558" spans="1:15" x14ac:dyDescent="0.15">
      <c r="A558" s="5">
        <v>7655</v>
      </c>
      <c r="B558" s="5">
        <v>112</v>
      </c>
      <c r="C558" s="5" t="str">
        <f t="shared" si="29"/>
        <v>Holy_Name_1060012</v>
      </c>
      <c r="D558" s="5" t="s">
        <v>49</v>
      </c>
      <c r="E558" s="5">
        <v>3</v>
      </c>
      <c r="F558" s="5">
        <v>5</v>
      </c>
      <c r="G558" s="5">
        <v>6</v>
      </c>
      <c r="H558" s="5">
        <v>110</v>
      </c>
      <c r="I558" s="5" t="str">
        <f t="shared" si="30"/>
        <v>Holy_Desc_1060012</v>
      </c>
      <c r="J558" s="4" t="s">
        <v>50</v>
      </c>
      <c r="K558" s="5">
        <f>[1]圣物数值!$C556*10000</f>
        <v>1000</v>
      </c>
      <c r="L558" s="5">
        <v>1060012</v>
      </c>
      <c r="O558" s="8"/>
    </row>
    <row r="559" spans="1:15" x14ac:dyDescent="0.15">
      <c r="A559" s="5">
        <v>7656</v>
      </c>
      <c r="B559" s="5">
        <v>112</v>
      </c>
      <c r="C559" s="5" t="str">
        <f t="shared" si="29"/>
        <v>Holy_Name_1060012</v>
      </c>
      <c r="D559" s="5" t="s">
        <v>49</v>
      </c>
      <c r="E559" s="5">
        <v>3</v>
      </c>
      <c r="F559" s="5">
        <v>6</v>
      </c>
      <c r="G559" s="5">
        <v>7</v>
      </c>
      <c r="H559" s="5">
        <v>140</v>
      </c>
      <c r="I559" s="5" t="str">
        <f t="shared" si="30"/>
        <v>Holy_Desc_1060012</v>
      </c>
      <c r="J559" s="4" t="s">
        <v>50</v>
      </c>
      <c r="K559" s="5">
        <f>[1]圣物数值!$C557*10000</f>
        <v>1200</v>
      </c>
      <c r="L559" s="5">
        <v>1060012</v>
      </c>
      <c r="O559" s="8"/>
    </row>
    <row r="560" spans="1:15" x14ac:dyDescent="0.15">
      <c r="A560" s="5">
        <v>7657</v>
      </c>
      <c r="B560" s="5">
        <v>112</v>
      </c>
      <c r="C560" s="5" t="str">
        <f t="shared" si="29"/>
        <v>Holy_Name_1060012</v>
      </c>
      <c r="D560" s="5" t="s">
        <v>49</v>
      </c>
      <c r="E560" s="5">
        <v>3</v>
      </c>
      <c r="F560" s="5">
        <v>7</v>
      </c>
      <c r="G560" s="5">
        <v>9</v>
      </c>
      <c r="H560" s="5">
        <v>180</v>
      </c>
      <c r="I560" s="5" t="str">
        <f t="shared" si="30"/>
        <v>Holy_Desc_1060012</v>
      </c>
      <c r="J560" s="4" t="s">
        <v>50</v>
      </c>
      <c r="K560" s="5">
        <f>[1]圣物数值!$C558*10000</f>
        <v>1400</v>
      </c>
      <c r="L560" s="5">
        <v>1060012</v>
      </c>
      <c r="O560" s="8"/>
    </row>
    <row r="561" spans="1:15" x14ac:dyDescent="0.15">
      <c r="A561" s="5">
        <v>7658</v>
      </c>
      <c r="B561" s="5">
        <v>112</v>
      </c>
      <c r="C561" s="5" t="str">
        <f t="shared" si="29"/>
        <v>Holy_Name_1060012</v>
      </c>
      <c r="D561" s="5" t="s">
        <v>49</v>
      </c>
      <c r="E561" s="5">
        <v>3</v>
      </c>
      <c r="F561" s="5">
        <v>8</v>
      </c>
      <c r="G561" s="5">
        <v>10</v>
      </c>
      <c r="H561" s="5">
        <v>210</v>
      </c>
      <c r="I561" s="5" t="str">
        <f t="shared" si="30"/>
        <v>Holy_Desc_1060012</v>
      </c>
      <c r="J561" s="4" t="s">
        <v>50</v>
      </c>
      <c r="K561" s="5">
        <f>[1]圣物数值!$C559*10000</f>
        <v>1600</v>
      </c>
      <c r="L561" s="5">
        <v>1060012</v>
      </c>
      <c r="O561" s="8"/>
    </row>
    <row r="562" spans="1:15" x14ac:dyDescent="0.15">
      <c r="A562" s="5">
        <v>7659</v>
      </c>
      <c r="B562" s="5">
        <v>112</v>
      </c>
      <c r="C562" s="5" t="str">
        <f t="shared" si="29"/>
        <v>Holy_Name_1060012</v>
      </c>
      <c r="D562" s="5" t="s">
        <v>49</v>
      </c>
      <c r="E562" s="5">
        <v>3</v>
      </c>
      <c r="F562" s="5">
        <v>9</v>
      </c>
      <c r="G562" s="5">
        <v>12</v>
      </c>
      <c r="H562" s="5">
        <v>240</v>
      </c>
      <c r="I562" s="5" t="str">
        <f t="shared" si="30"/>
        <v>Holy_Desc_1060012</v>
      </c>
      <c r="J562" s="4" t="s">
        <v>50</v>
      </c>
      <c r="K562" s="5">
        <f>[1]圣物数值!$C560*10000</f>
        <v>1800</v>
      </c>
      <c r="L562" s="5">
        <v>1060012</v>
      </c>
      <c r="O562" s="8"/>
    </row>
    <row r="563" spans="1:15" x14ac:dyDescent="0.15">
      <c r="A563" s="5">
        <v>7660</v>
      </c>
      <c r="B563" s="5">
        <v>112</v>
      </c>
      <c r="C563" s="5" t="str">
        <f t="shared" si="29"/>
        <v>Holy_Name_1060012</v>
      </c>
      <c r="D563" s="5" t="s">
        <v>49</v>
      </c>
      <c r="E563" s="5">
        <v>3</v>
      </c>
      <c r="F563" s="5">
        <v>10</v>
      </c>
      <c r="G563" s="5">
        <v>14</v>
      </c>
      <c r="H563" s="5">
        <v>270</v>
      </c>
      <c r="I563" s="5" t="str">
        <f t="shared" si="30"/>
        <v>Holy_Desc_1060012</v>
      </c>
      <c r="J563" s="4" t="s">
        <v>50</v>
      </c>
      <c r="K563" s="5">
        <f>[1]圣物数值!$C561*10000</f>
        <v>2000</v>
      </c>
      <c r="L563" s="5">
        <v>1060012</v>
      </c>
      <c r="O563" s="8"/>
    </row>
    <row r="564" spans="1:15" x14ac:dyDescent="0.15">
      <c r="A564" s="5">
        <v>7661</v>
      </c>
      <c r="B564" s="5">
        <v>112</v>
      </c>
      <c r="C564" s="5" t="str">
        <f t="shared" ref="C564:C613" si="31">"Holy_Name_"&amp;L564</f>
        <v>Holy_Name_1060012</v>
      </c>
      <c r="D564" s="5" t="s">
        <v>49</v>
      </c>
      <c r="E564" s="5">
        <v>3</v>
      </c>
      <c r="F564" s="5">
        <v>11</v>
      </c>
      <c r="G564" s="5">
        <v>15</v>
      </c>
      <c r="H564" s="5">
        <v>300</v>
      </c>
      <c r="I564" s="5" t="str">
        <f t="shared" ref="I564:I613" si="32">"Holy_Desc_"&amp;L564</f>
        <v>Holy_Desc_1060012</v>
      </c>
      <c r="J564" s="4" t="s">
        <v>50</v>
      </c>
      <c r="K564" s="5">
        <f>[1]圣物数值!$C562*10000</f>
        <v>2200</v>
      </c>
      <c r="L564" s="5">
        <v>1060012</v>
      </c>
      <c r="O564" s="8"/>
    </row>
    <row r="565" spans="1:15" x14ac:dyDescent="0.15">
      <c r="A565" s="5">
        <v>7662</v>
      </c>
      <c r="B565" s="5">
        <v>112</v>
      </c>
      <c r="C565" s="5" t="str">
        <f t="shared" si="31"/>
        <v>Holy_Name_1060012</v>
      </c>
      <c r="D565" s="5" t="s">
        <v>49</v>
      </c>
      <c r="E565" s="5">
        <v>3</v>
      </c>
      <c r="F565" s="5">
        <v>12</v>
      </c>
      <c r="G565" s="5">
        <v>17</v>
      </c>
      <c r="H565" s="5">
        <v>340</v>
      </c>
      <c r="I565" s="5" t="str">
        <f t="shared" si="32"/>
        <v>Holy_Desc_1060012</v>
      </c>
      <c r="J565" s="4" t="s">
        <v>50</v>
      </c>
      <c r="K565" s="5">
        <f>[1]圣物数值!$C563*10000</f>
        <v>2400</v>
      </c>
      <c r="L565" s="5">
        <v>1060012</v>
      </c>
      <c r="O565" s="8"/>
    </row>
    <row r="566" spans="1:15" x14ac:dyDescent="0.15">
      <c r="A566" s="5">
        <v>7663</v>
      </c>
      <c r="B566" s="5">
        <v>112</v>
      </c>
      <c r="C566" s="5" t="str">
        <f t="shared" si="31"/>
        <v>Holy_Name_1060012</v>
      </c>
      <c r="D566" s="5" t="s">
        <v>49</v>
      </c>
      <c r="E566" s="5">
        <v>3</v>
      </c>
      <c r="F566" s="5">
        <v>13</v>
      </c>
      <c r="G566" s="5">
        <v>18</v>
      </c>
      <c r="H566" s="5">
        <v>370</v>
      </c>
      <c r="I566" s="5" t="str">
        <f t="shared" si="32"/>
        <v>Holy_Desc_1060012</v>
      </c>
      <c r="J566" s="4" t="s">
        <v>50</v>
      </c>
      <c r="K566" s="5">
        <f>[1]圣物数值!$C564*10000</f>
        <v>2600</v>
      </c>
      <c r="L566" s="5">
        <v>1060012</v>
      </c>
      <c r="O566" s="8"/>
    </row>
    <row r="567" spans="1:15" x14ac:dyDescent="0.15">
      <c r="A567" s="5">
        <v>7664</v>
      </c>
      <c r="B567" s="5">
        <v>112</v>
      </c>
      <c r="C567" s="5" t="str">
        <f t="shared" si="31"/>
        <v>Holy_Name_1060012</v>
      </c>
      <c r="D567" s="5" t="s">
        <v>49</v>
      </c>
      <c r="E567" s="5">
        <v>3</v>
      </c>
      <c r="F567" s="5">
        <v>14</v>
      </c>
      <c r="G567" s="5">
        <v>20</v>
      </c>
      <c r="H567" s="5">
        <v>400</v>
      </c>
      <c r="I567" s="5" t="str">
        <f t="shared" si="32"/>
        <v>Holy_Desc_1060012</v>
      </c>
      <c r="J567" s="4" t="s">
        <v>50</v>
      </c>
      <c r="K567" s="5">
        <f>[1]圣物数值!$C565*10000</f>
        <v>2800</v>
      </c>
      <c r="L567" s="5">
        <v>1060012</v>
      </c>
      <c r="O567" s="8"/>
    </row>
    <row r="568" spans="1:15" x14ac:dyDescent="0.15">
      <c r="A568" s="5">
        <v>7665</v>
      </c>
      <c r="B568" s="5">
        <v>112</v>
      </c>
      <c r="C568" s="5" t="str">
        <f t="shared" si="31"/>
        <v>Holy_Name_1060012</v>
      </c>
      <c r="D568" s="5" t="s">
        <v>49</v>
      </c>
      <c r="E568" s="5">
        <v>3</v>
      </c>
      <c r="F568" s="5">
        <v>15</v>
      </c>
      <c r="G568" s="5">
        <v>22</v>
      </c>
      <c r="H568" s="5">
        <v>430</v>
      </c>
      <c r="I568" s="5" t="str">
        <f t="shared" si="32"/>
        <v>Holy_Desc_1060012</v>
      </c>
      <c r="J568" s="4" t="s">
        <v>50</v>
      </c>
      <c r="K568" s="5">
        <f>[1]圣物数值!$C566*10000</f>
        <v>3000</v>
      </c>
      <c r="L568" s="5">
        <v>1060012</v>
      </c>
      <c r="O568" s="8"/>
    </row>
    <row r="569" spans="1:15" x14ac:dyDescent="0.15">
      <c r="A569" s="5">
        <v>7666</v>
      </c>
      <c r="B569" s="5">
        <v>112</v>
      </c>
      <c r="C569" s="5" t="str">
        <f t="shared" si="31"/>
        <v>Holy_Name_1060012</v>
      </c>
      <c r="D569" s="5" t="s">
        <v>49</v>
      </c>
      <c r="E569" s="5">
        <v>3</v>
      </c>
      <c r="F569" s="5">
        <v>16</v>
      </c>
      <c r="G569" s="5">
        <v>23</v>
      </c>
      <c r="H569" s="5">
        <v>460</v>
      </c>
      <c r="I569" s="5" t="str">
        <f t="shared" si="32"/>
        <v>Holy_Desc_1060012</v>
      </c>
      <c r="J569" s="4" t="s">
        <v>50</v>
      </c>
      <c r="K569" s="5">
        <f>[1]圣物数值!$C567*10000</f>
        <v>3200</v>
      </c>
      <c r="L569" s="5">
        <v>1060012</v>
      </c>
      <c r="O569" s="8"/>
    </row>
    <row r="570" spans="1:15" x14ac:dyDescent="0.15">
      <c r="A570" s="5">
        <v>7667</v>
      </c>
      <c r="B570" s="5">
        <v>112</v>
      </c>
      <c r="C570" s="5" t="str">
        <f t="shared" si="31"/>
        <v>Holy_Name_1060012</v>
      </c>
      <c r="D570" s="5" t="s">
        <v>49</v>
      </c>
      <c r="E570" s="5">
        <v>3</v>
      </c>
      <c r="F570" s="5">
        <v>17</v>
      </c>
      <c r="G570" s="5">
        <v>25</v>
      </c>
      <c r="H570" s="5">
        <v>500</v>
      </c>
      <c r="I570" s="5" t="str">
        <f t="shared" si="32"/>
        <v>Holy_Desc_1060012</v>
      </c>
      <c r="J570" s="4" t="s">
        <v>50</v>
      </c>
      <c r="K570" s="5">
        <f>[1]圣物数值!$C568*10000</f>
        <v>3400</v>
      </c>
      <c r="L570" s="5">
        <v>1060012</v>
      </c>
      <c r="O570" s="8"/>
    </row>
    <row r="571" spans="1:15" x14ac:dyDescent="0.15">
      <c r="A571" s="5">
        <v>7668</v>
      </c>
      <c r="B571" s="5">
        <v>112</v>
      </c>
      <c r="C571" s="5" t="str">
        <f t="shared" si="31"/>
        <v>Holy_Name_1060012</v>
      </c>
      <c r="D571" s="5" t="s">
        <v>49</v>
      </c>
      <c r="E571" s="5">
        <v>3</v>
      </c>
      <c r="F571" s="5">
        <v>18</v>
      </c>
      <c r="G571" s="5">
        <v>26</v>
      </c>
      <c r="H571" s="5">
        <v>530</v>
      </c>
      <c r="I571" s="5" t="str">
        <f t="shared" si="32"/>
        <v>Holy_Desc_1060012</v>
      </c>
      <c r="J571" s="4" t="s">
        <v>50</v>
      </c>
      <c r="K571" s="5">
        <f>[1]圣物数值!$C569*10000</f>
        <v>3600</v>
      </c>
      <c r="L571" s="5">
        <v>1060012</v>
      </c>
      <c r="O571" s="8"/>
    </row>
    <row r="572" spans="1:15" x14ac:dyDescent="0.15">
      <c r="A572" s="5">
        <v>7669</v>
      </c>
      <c r="B572" s="5">
        <v>112</v>
      </c>
      <c r="C572" s="5" t="str">
        <f t="shared" si="31"/>
        <v>Holy_Name_1060012</v>
      </c>
      <c r="D572" s="5" t="s">
        <v>49</v>
      </c>
      <c r="E572" s="5">
        <v>3</v>
      </c>
      <c r="F572" s="5">
        <v>19</v>
      </c>
      <c r="G572" s="5">
        <v>28</v>
      </c>
      <c r="H572" s="5">
        <v>560</v>
      </c>
      <c r="I572" s="5" t="str">
        <f t="shared" si="32"/>
        <v>Holy_Desc_1060012</v>
      </c>
      <c r="J572" s="4" t="s">
        <v>50</v>
      </c>
      <c r="K572" s="5">
        <f>[1]圣物数值!$C570*10000</f>
        <v>3800</v>
      </c>
      <c r="L572" s="5">
        <v>1060012</v>
      </c>
      <c r="O572" s="8"/>
    </row>
    <row r="573" spans="1:15" x14ac:dyDescent="0.15">
      <c r="A573" s="5">
        <v>7670</v>
      </c>
      <c r="B573" s="5">
        <v>112</v>
      </c>
      <c r="C573" s="5" t="str">
        <f t="shared" si="31"/>
        <v>Holy_Name_1060012</v>
      </c>
      <c r="D573" s="5" t="s">
        <v>49</v>
      </c>
      <c r="E573" s="5">
        <v>3</v>
      </c>
      <c r="F573" s="5">
        <v>20</v>
      </c>
      <c r="G573" s="5">
        <v>30</v>
      </c>
      <c r="H573" s="5">
        <v>590</v>
      </c>
      <c r="I573" s="5" t="str">
        <f t="shared" si="32"/>
        <v>Holy_Desc_1060012</v>
      </c>
      <c r="J573" s="4" t="s">
        <v>50</v>
      </c>
      <c r="K573" s="5">
        <f>[1]圣物数值!$C571*10000</f>
        <v>4000</v>
      </c>
      <c r="L573" s="5">
        <v>1060012</v>
      </c>
      <c r="O573" s="8"/>
    </row>
    <row r="574" spans="1:15" x14ac:dyDescent="0.15">
      <c r="A574" s="5">
        <v>7671</v>
      </c>
      <c r="B574" s="5">
        <v>112</v>
      </c>
      <c r="C574" s="5" t="str">
        <f t="shared" si="31"/>
        <v>Holy_Name_1060012</v>
      </c>
      <c r="D574" s="5" t="s">
        <v>49</v>
      </c>
      <c r="E574" s="5">
        <v>3</v>
      </c>
      <c r="F574" s="5">
        <v>21</v>
      </c>
      <c r="G574" s="5">
        <v>31</v>
      </c>
      <c r="H574" s="5">
        <v>620</v>
      </c>
      <c r="I574" s="5" t="str">
        <f t="shared" si="32"/>
        <v>Holy_Desc_1060012</v>
      </c>
      <c r="J574" s="4" t="s">
        <v>50</v>
      </c>
      <c r="K574" s="5">
        <f>[1]圣物数值!$C572*10000</f>
        <v>4200</v>
      </c>
      <c r="L574" s="5">
        <v>1060012</v>
      </c>
      <c r="O574" s="8"/>
    </row>
    <row r="575" spans="1:15" x14ac:dyDescent="0.15">
      <c r="A575" s="5">
        <v>7672</v>
      </c>
      <c r="B575" s="5">
        <v>112</v>
      </c>
      <c r="C575" s="5" t="str">
        <f t="shared" si="31"/>
        <v>Holy_Name_1060012</v>
      </c>
      <c r="D575" s="5" t="s">
        <v>49</v>
      </c>
      <c r="E575" s="5">
        <v>3</v>
      </c>
      <c r="F575" s="5">
        <v>22</v>
      </c>
      <c r="G575" s="5">
        <v>33</v>
      </c>
      <c r="H575" s="5">
        <v>660</v>
      </c>
      <c r="I575" s="5" t="str">
        <f t="shared" si="32"/>
        <v>Holy_Desc_1060012</v>
      </c>
      <c r="J575" s="4" t="s">
        <v>50</v>
      </c>
      <c r="K575" s="5">
        <f>[1]圣物数值!$C573*10000</f>
        <v>4400</v>
      </c>
      <c r="L575" s="5">
        <v>1060012</v>
      </c>
      <c r="O575" s="8"/>
    </row>
    <row r="576" spans="1:15" x14ac:dyDescent="0.15">
      <c r="A576" s="5">
        <v>7673</v>
      </c>
      <c r="B576" s="5">
        <v>112</v>
      </c>
      <c r="C576" s="5" t="str">
        <f t="shared" si="31"/>
        <v>Holy_Name_1060012</v>
      </c>
      <c r="D576" s="5" t="s">
        <v>49</v>
      </c>
      <c r="E576" s="5">
        <v>3</v>
      </c>
      <c r="F576" s="5">
        <v>23</v>
      </c>
      <c r="G576" s="5">
        <v>34</v>
      </c>
      <c r="H576" s="5">
        <v>690</v>
      </c>
      <c r="I576" s="5" t="str">
        <f t="shared" si="32"/>
        <v>Holy_Desc_1060012</v>
      </c>
      <c r="J576" s="4" t="s">
        <v>50</v>
      </c>
      <c r="K576" s="5">
        <f>[1]圣物数值!$C574*10000</f>
        <v>4600</v>
      </c>
      <c r="L576" s="5">
        <v>1060012</v>
      </c>
      <c r="O576" s="8"/>
    </row>
    <row r="577" spans="1:15" x14ac:dyDescent="0.15">
      <c r="A577" s="5">
        <v>7674</v>
      </c>
      <c r="B577" s="5">
        <v>112</v>
      </c>
      <c r="C577" s="5" t="str">
        <f t="shared" si="31"/>
        <v>Holy_Name_1060012</v>
      </c>
      <c r="D577" s="5" t="s">
        <v>49</v>
      </c>
      <c r="E577" s="5">
        <v>3</v>
      </c>
      <c r="F577" s="5">
        <v>24</v>
      </c>
      <c r="G577" s="5">
        <v>36</v>
      </c>
      <c r="H577" s="5">
        <v>720</v>
      </c>
      <c r="I577" s="5" t="str">
        <f t="shared" si="32"/>
        <v>Holy_Desc_1060012</v>
      </c>
      <c r="J577" s="4" t="s">
        <v>50</v>
      </c>
      <c r="K577" s="5">
        <f>[1]圣物数值!$C575*10000</f>
        <v>4800</v>
      </c>
      <c r="L577" s="5">
        <v>1060012</v>
      </c>
      <c r="O577" s="8"/>
    </row>
    <row r="578" spans="1:15" x14ac:dyDescent="0.15">
      <c r="A578" s="5">
        <v>7675</v>
      </c>
      <c r="B578" s="5">
        <v>112</v>
      </c>
      <c r="C578" s="5" t="str">
        <f t="shared" si="31"/>
        <v>Holy_Name_1060012</v>
      </c>
      <c r="D578" s="5" t="s">
        <v>49</v>
      </c>
      <c r="E578" s="5">
        <v>3</v>
      </c>
      <c r="F578" s="5">
        <v>25</v>
      </c>
      <c r="G578" s="5">
        <v>38</v>
      </c>
      <c r="H578" s="5">
        <v>750</v>
      </c>
      <c r="I578" s="5" t="str">
        <f t="shared" si="32"/>
        <v>Holy_Desc_1060012</v>
      </c>
      <c r="J578" s="4" t="s">
        <v>50</v>
      </c>
      <c r="K578" s="5">
        <f>[1]圣物数值!$C576*10000</f>
        <v>5000</v>
      </c>
      <c r="L578" s="5">
        <v>1060012</v>
      </c>
      <c r="O578" s="8"/>
    </row>
    <row r="579" spans="1:15" x14ac:dyDescent="0.15">
      <c r="A579" s="5">
        <v>7676</v>
      </c>
      <c r="B579" s="5">
        <v>112</v>
      </c>
      <c r="C579" s="5" t="str">
        <f t="shared" si="31"/>
        <v>Holy_Name_1060012</v>
      </c>
      <c r="D579" s="5" t="s">
        <v>49</v>
      </c>
      <c r="E579" s="5">
        <v>3</v>
      </c>
      <c r="F579" s="5">
        <v>26</v>
      </c>
      <c r="G579" s="5">
        <v>39</v>
      </c>
      <c r="H579" s="5">
        <v>780</v>
      </c>
      <c r="I579" s="5" t="str">
        <f t="shared" si="32"/>
        <v>Holy_Desc_1060012</v>
      </c>
      <c r="J579" s="4" t="s">
        <v>50</v>
      </c>
      <c r="K579" s="5">
        <f>[1]圣物数值!$C577*10000</f>
        <v>5200</v>
      </c>
      <c r="L579" s="5">
        <v>1060012</v>
      </c>
      <c r="O579" s="8"/>
    </row>
    <row r="580" spans="1:15" x14ac:dyDescent="0.15">
      <c r="A580" s="5">
        <v>7677</v>
      </c>
      <c r="B580" s="5">
        <v>112</v>
      </c>
      <c r="C580" s="5" t="str">
        <f t="shared" si="31"/>
        <v>Holy_Name_1060012</v>
      </c>
      <c r="D580" s="5" t="s">
        <v>49</v>
      </c>
      <c r="E580" s="5">
        <v>3</v>
      </c>
      <c r="F580" s="5">
        <v>27</v>
      </c>
      <c r="G580" s="5">
        <v>41</v>
      </c>
      <c r="H580" s="5">
        <v>820</v>
      </c>
      <c r="I580" s="5" t="str">
        <f t="shared" si="32"/>
        <v>Holy_Desc_1060012</v>
      </c>
      <c r="J580" s="4" t="s">
        <v>50</v>
      </c>
      <c r="K580" s="5">
        <f>[1]圣物数值!$C578*10000</f>
        <v>5400</v>
      </c>
      <c r="L580" s="5">
        <v>1060012</v>
      </c>
      <c r="O580" s="8"/>
    </row>
    <row r="581" spans="1:15" x14ac:dyDescent="0.15">
      <c r="A581" s="5">
        <v>7678</v>
      </c>
      <c r="B581" s="5">
        <v>112</v>
      </c>
      <c r="C581" s="5" t="str">
        <f t="shared" si="31"/>
        <v>Holy_Name_1060012</v>
      </c>
      <c r="D581" s="5" t="s">
        <v>49</v>
      </c>
      <c r="E581" s="5">
        <v>3</v>
      </c>
      <c r="F581" s="5">
        <v>28</v>
      </c>
      <c r="G581" s="5">
        <v>42</v>
      </c>
      <c r="H581" s="5">
        <v>850</v>
      </c>
      <c r="I581" s="5" t="str">
        <f t="shared" si="32"/>
        <v>Holy_Desc_1060012</v>
      </c>
      <c r="J581" s="4" t="s">
        <v>50</v>
      </c>
      <c r="K581" s="5">
        <f>[1]圣物数值!$C579*10000</f>
        <v>5600</v>
      </c>
      <c r="L581" s="5">
        <v>1060012</v>
      </c>
      <c r="O581" s="8"/>
    </row>
    <row r="582" spans="1:15" x14ac:dyDescent="0.15">
      <c r="A582" s="5">
        <v>7679</v>
      </c>
      <c r="B582" s="5">
        <v>112</v>
      </c>
      <c r="C582" s="5" t="str">
        <f t="shared" si="31"/>
        <v>Holy_Name_1060012</v>
      </c>
      <c r="D582" s="5" t="s">
        <v>49</v>
      </c>
      <c r="E582" s="5">
        <v>3</v>
      </c>
      <c r="F582" s="5">
        <v>29</v>
      </c>
      <c r="G582" s="5">
        <v>44</v>
      </c>
      <c r="H582" s="5">
        <v>880</v>
      </c>
      <c r="I582" s="5" t="str">
        <f t="shared" si="32"/>
        <v>Holy_Desc_1060012</v>
      </c>
      <c r="J582" s="4" t="s">
        <v>50</v>
      </c>
      <c r="K582" s="5">
        <f>[1]圣物数值!$C580*10000</f>
        <v>5800</v>
      </c>
      <c r="L582" s="5">
        <v>1060012</v>
      </c>
      <c r="O582" s="8"/>
    </row>
    <row r="583" spans="1:15" x14ac:dyDescent="0.15">
      <c r="A583" s="5">
        <v>7680</v>
      </c>
      <c r="B583" s="5">
        <v>112</v>
      </c>
      <c r="C583" s="5" t="str">
        <f t="shared" si="31"/>
        <v>Holy_Name_1060012</v>
      </c>
      <c r="D583" s="5" t="s">
        <v>49</v>
      </c>
      <c r="E583" s="5">
        <v>3</v>
      </c>
      <c r="F583" s="5">
        <v>30</v>
      </c>
      <c r="G583" s="5">
        <v>46</v>
      </c>
      <c r="H583" s="5">
        <v>910</v>
      </c>
      <c r="I583" s="5" t="str">
        <f t="shared" si="32"/>
        <v>Holy_Desc_1060012</v>
      </c>
      <c r="J583" s="4" t="s">
        <v>50</v>
      </c>
      <c r="K583" s="5">
        <f>[1]圣物数值!$C581*10000</f>
        <v>6000</v>
      </c>
      <c r="L583" s="5">
        <v>1060012</v>
      </c>
      <c r="O583" s="8"/>
    </row>
    <row r="584" spans="1:15" x14ac:dyDescent="0.15">
      <c r="A584" s="5">
        <v>7681</v>
      </c>
      <c r="B584" s="5">
        <v>112</v>
      </c>
      <c r="C584" s="5" t="str">
        <f t="shared" si="31"/>
        <v>Holy_Name_1060012</v>
      </c>
      <c r="D584" s="5" t="s">
        <v>49</v>
      </c>
      <c r="E584" s="5">
        <v>3</v>
      </c>
      <c r="F584" s="5">
        <v>31</v>
      </c>
      <c r="G584" s="5">
        <v>47</v>
      </c>
      <c r="H584" s="5">
        <v>940</v>
      </c>
      <c r="I584" s="5" t="str">
        <f t="shared" si="32"/>
        <v>Holy_Desc_1060012</v>
      </c>
      <c r="J584" s="4" t="s">
        <v>50</v>
      </c>
      <c r="K584" s="5">
        <f>[1]圣物数值!$C582*10000</f>
        <v>6200</v>
      </c>
      <c r="L584" s="5">
        <v>1060012</v>
      </c>
      <c r="O584" s="8"/>
    </row>
    <row r="585" spans="1:15" x14ac:dyDescent="0.15">
      <c r="A585" s="5">
        <v>7682</v>
      </c>
      <c r="B585" s="5">
        <v>112</v>
      </c>
      <c r="C585" s="5" t="str">
        <f t="shared" si="31"/>
        <v>Holy_Name_1060012</v>
      </c>
      <c r="D585" s="5" t="s">
        <v>49</v>
      </c>
      <c r="E585" s="5">
        <v>3</v>
      </c>
      <c r="F585" s="5">
        <v>32</v>
      </c>
      <c r="G585" s="5">
        <v>49</v>
      </c>
      <c r="H585" s="5">
        <v>980</v>
      </c>
      <c r="I585" s="5" t="str">
        <f t="shared" si="32"/>
        <v>Holy_Desc_1060012</v>
      </c>
      <c r="J585" s="4" t="s">
        <v>50</v>
      </c>
      <c r="K585" s="5">
        <f>[1]圣物数值!$C583*10000</f>
        <v>6400</v>
      </c>
      <c r="L585" s="5">
        <v>1060012</v>
      </c>
      <c r="O585" s="8"/>
    </row>
    <row r="586" spans="1:15" x14ac:dyDescent="0.15">
      <c r="A586" s="5">
        <v>7683</v>
      </c>
      <c r="B586" s="5">
        <v>112</v>
      </c>
      <c r="C586" s="5" t="str">
        <f t="shared" si="31"/>
        <v>Holy_Name_1060012</v>
      </c>
      <c r="D586" s="5" t="s">
        <v>49</v>
      </c>
      <c r="E586" s="5">
        <v>3</v>
      </c>
      <c r="F586" s="5">
        <v>33</v>
      </c>
      <c r="G586" s="5">
        <v>50</v>
      </c>
      <c r="H586" s="5">
        <v>1010</v>
      </c>
      <c r="I586" s="5" t="str">
        <f t="shared" si="32"/>
        <v>Holy_Desc_1060012</v>
      </c>
      <c r="J586" s="4" t="s">
        <v>50</v>
      </c>
      <c r="K586" s="5">
        <f>[1]圣物数值!$C584*10000</f>
        <v>6600</v>
      </c>
      <c r="L586" s="5">
        <v>1060012</v>
      </c>
      <c r="O586" s="8"/>
    </row>
    <row r="587" spans="1:15" x14ac:dyDescent="0.15">
      <c r="A587" s="5">
        <v>7684</v>
      </c>
      <c r="B587" s="5">
        <v>112</v>
      </c>
      <c r="C587" s="5" t="str">
        <f t="shared" si="31"/>
        <v>Holy_Name_1060012</v>
      </c>
      <c r="D587" s="5" t="s">
        <v>49</v>
      </c>
      <c r="E587" s="5">
        <v>3</v>
      </c>
      <c r="F587" s="5">
        <v>34</v>
      </c>
      <c r="G587" s="5">
        <v>52</v>
      </c>
      <c r="H587" s="5">
        <v>1040</v>
      </c>
      <c r="I587" s="5" t="str">
        <f t="shared" si="32"/>
        <v>Holy_Desc_1060012</v>
      </c>
      <c r="J587" s="4" t="s">
        <v>50</v>
      </c>
      <c r="K587" s="5">
        <f>[1]圣物数值!$C585*10000</f>
        <v>6800</v>
      </c>
      <c r="L587" s="5">
        <v>1060012</v>
      </c>
      <c r="O587" s="8"/>
    </row>
    <row r="588" spans="1:15" x14ac:dyDescent="0.15">
      <c r="A588" s="5">
        <v>7685</v>
      </c>
      <c r="B588" s="5">
        <v>112</v>
      </c>
      <c r="C588" s="5" t="str">
        <f t="shared" si="31"/>
        <v>Holy_Name_1060012</v>
      </c>
      <c r="D588" s="5" t="s">
        <v>49</v>
      </c>
      <c r="E588" s="5">
        <v>3</v>
      </c>
      <c r="F588" s="5">
        <v>35</v>
      </c>
      <c r="G588" s="5">
        <v>54</v>
      </c>
      <c r="H588" s="5">
        <v>1070</v>
      </c>
      <c r="I588" s="5" t="str">
        <f t="shared" si="32"/>
        <v>Holy_Desc_1060012</v>
      </c>
      <c r="J588" s="4" t="s">
        <v>50</v>
      </c>
      <c r="K588" s="5">
        <f>[1]圣物数值!$C586*10000</f>
        <v>7000</v>
      </c>
      <c r="L588" s="5">
        <v>1060012</v>
      </c>
      <c r="O588" s="8"/>
    </row>
    <row r="589" spans="1:15" x14ac:dyDescent="0.15">
      <c r="A589" s="5">
        <v>7686</v>
      </c>
      <c r="B589" s="5">
        <v>112</v>
      </c>
      <c r="C589" s="5" t="str">
        <f t="shared" si="31"/>
        <v>Holy_Name_1060012</v>
      </c>
      <c r="D589" s="5" t="s">
        <v>49</v>
      </c>
      <c r="E589" s="5">
        <v>3</v>
      </c>
      <c r="F589" s="5">
        <v>36</v>
      </c>
      <c r="G589" s="5">
        <v>55</v>
      </c>
      <c r="H589" s="5">
        <v>1100</v>
      </c>
      <c r="I589" s="5" t="str">
        <f t="shared" si="32"/>
        <v>Holy_Desc_1060012</v>
      </c>
      <c r="J589" s="4" t="s">
        <v>50</v>
      </c>
      <c r="K589" s="5">
        <f>[1]圣物数值!$C587*10000</f>
        <v>7200</v>
      </c>
      <c r="L589" s="5">
        <v>1060012</v>
      </c>
      <c r="O589" s="8"/>
    </row>
    <row r="590" spans="1:15" x14ac:dyDescent="0.15">
      <c r="A590" s="5">
        <v>7687</v>
      </c>
      <c r="B590" s="5">
        <v>112</v>
      </c>
      <c r="C590" s="5" t="str">
        <f t="shared" si="31"/>
        <v>Holy_Name_1060012</v>
      </c>
      <c r="D590" s="5" t="s">
        <v>49</v>
      </c>
      <c r="E590" s="5">
        <v>3</v>
      </c>
      <c r="F590" s="5">
        <v>37</v>
      </c>
      <c r="G590" s="5">
        <v>57</v>
      </c>
      <c r="H590" s="5">
        <v>1140</v>
      </c>
      <c r="I590" s="5" t="str">
        <f t="shared" si="32"/>
        <v>Holy_Desc_1060012</v>
      </c>
      <c r="J590" s="4" t="s">
        <v>50</v>
      </c>
      <c r="K590" s="5">
        <f>[1]圣物数值!$C588*10000</f>
        <v>7400</v>
      </c>
      <c r="L590" s="5">
        <v>1060012</v>
      </c>
      <c r="O590" s="8"/>
    </row>
    <row r="591" spans="1:15" x14ac:dyDescent="0.15">
      <c r="A591" s="5">
        <v>7688</v>
      </c>
      <c r="B591" s="5">
        <v>112</v>
      </c>
      <c r="C591" s="5" t="str">
        <f t="shared" si="31"/>
        <v>Holy_Name_1060012</v>
      </c>
      <c r="D591" s="5" t="s">
        <v>49</v>
      </c>
      <c r="E591" s="5">
        <v>3</v>
      </c>
      <c r="F591" s="5">
        <v>38</v>
      </c>
      <c r="G591" s="5">
        <v>58</v>
      </c>
      <c r="H591" s="5">
        <v>1170</v>
      </c>
      <c r="I591" s="5" t="str">
        <f t="shared" si="32"/>
        <v>Holy_Desc_1060012</v>
      </c>
      <c r="J591" s="4" t="s">
        <v>50</v>
      </c>
      <c r="K591" s="5">
        <f>[1]圣物数值!$C589*10000</f>
        <v>7600</v>
      </c>
      <c r="L591" s="5">
        <v>1060012</v>
      </c>
      <c r="O591" s="8"/>
    </row>
    <row r="592" spans="1:15" x14ac:dyDescent="0.15">
      <c r="A592" s="5">
        <v>7689</v>
      </c>
      <c r="B592" s="5">
        <v>112</v>
      </c>
      <c r="C592" s="5" t="str">
        <f t="shared" si="31"/>
        <v>Holy_Name_1060012</v>
      </c>
      <c r="D592" s="5" t="s">
        <v>49</v>
      </c>
      <c r="E592" s="5">
        <v>3</v>
      </c>
      <c r="F592" s="5">
        <v>39</v>
      </c>
      <c r="G592" s="5">
        <v>60</v>
      </c>
      <c r="H592" s="5">
        <v>1200</v>
      </c>
      <c r="I592" s="5" t="str">
        <f t="shared" si="32"/>
        <v>Holy_Desc_1060012</v>
      </c>
      <c r="J592" s="4" t="s">
        <v>50</v>
      </c>
      <c r="K592" s="5">
        <f>[1]圣物数值!$C590*10000</f>
        <v>7800</v>
      </c>
      <c r="L592" s="5">
        <v>1060012</v>
      </c>
      <c r="O592" s="8"/>
    </row>
    <row r="593" spans="1:15" x14ac:dyDescent="0.15">
      <c r="A593" s="5">
        <v>7690</v>
      </c>
      <c r="B593" s="5">
        <v>112</v>
      </c>
      <c r="C593" s="5" t="str">
        <f t="shared" si="31"/>
        <v>Holy_Name_1060012</v>
      </c>
      <c r="D593" s="5" t="s">
        <v>49</v>
      </c>
      <c r="E593" s="5">
        <v>3</v>
      </c>
      <c r="F593" s="5">
        <v>40</v>
      </c>
      <c r="G593" s="5">
        <v>62</v>
      </c>
      <c r="H593" s="5">
        <v>1230</v>
      </c>
      <c r="I593" s="5" t="str">
        <f t="shared" si="32"/>
        <v>Holy_Desc_1060012</v>
      </c>
      <c r="J593" s="4" t="s">
        <v>50</v>
      </c>
      <c r="K593" s="5">
        <f>[1]圣物数值!$C591*10000</f>
        <v>8000</v>
      </c>
      <c r="L593" s="5">
        <v>1060012</v>
      </c>
      <c r="O593" s="8"/>
    </row>
    <row r="594" spans="1:15" x14ac:dyDescent="0.15">
      <c r="A594" s="5">
        <v>7691</v>
      </c>
      <c r="B594" s="5">
        <v>112</v>
      </c>
      <c r="C594" s="5" t="str">
        <f t="shared" si="31"/>
        <v>Holy_Name_1060012</v>
      </c>
      <c r="D594" s="5" t="s">
        <v>49</v>
      </c>
      <c r="E594" s="5">
        <v>3</v>
      </c>
      <c r="F594" s="5">
        <v>41</v>
      </c>
      <c r="G594" s="5">
        <v>63</v>
      </c>
      <c r="H594" s="5">
        <v>1260</v>
      </c>
      <c r="I594" s="5" t="str">
        <f t="shared" si="32"/>
        <v>Holy_Desc_1060012</v>
      </c>
      <c r="J594" s="4" t="s">
        <v>50</v>
      </c>
      <c r="K594" s="5">
        <f>[1]圣物数值!$C592*10000</f>
        <v>8200</v>
      </c>
      <c r="L594" s="5">
        <v>1060012</v>
      </c>
      <c r="O594" s="8"/>
    </row>
    <row r="595" spans="1:15" x14ac:dyDescent="0.15">
      <c r="A595" s="5">
        <v>7692</v>
      </c>
      <c r="B595" s="5">
        <v>112</v>
      </c>
      <c r="C595" s="5" t="str">
        <f t="shared" si="31"/>
        <v>Holy_Name_1060012</v>
      </c>
      <c r="D595" s="5" t="s">
        <v>49</v>
      </c>
      <c r="E595" s="5">
        <v>3</v>
      </c>
      <c r="F595" s="5">
        <v>42</v>
      </c>
      <c r="G595" s="5">
        <v>65</v>
      </c>
      <c r="H595" s="5">
        <v>1300</v>
      </c>
      <c r="I595" s="5" t="str">
        <f t="shared" si="32"/>
        <v>Holy_Desc_1060012</v>
      </c>
      <c r="J595" s="4" t="s">
        <v>50</v>
      </c>
      <c r="K595" s="5">
        <f>[1]圣物数值!$C593*10000</f>
        <v>8400</v>
      </c>
      <c r="L595" s="5">
        <v>1060012</v>
      </c>
      <c r="O595" s="8"/>
    </row>
    <row r="596" spans="1:15" x14ac:dyDescent="0.15">
      <c r="A596" s="5">
        <v>7693</v>
      </c>
      <c r="B596" s="5">
        <v>112</v>
      </c>
      <c r="C596" s="5" t="str">
        <f t="shared" si="31"/>
        <v>Holy_Name_1060012</v>
      </c>
      <c r="D596" s="5" t="s">
        <v>49</v>
      </c>
      <c r="E596" s="5">
        <v>3</v>
      </c>
      <c r="F596" s="5">
        <v>43</v>
      </c>
      <c r="G596" s="5">
        <v>66</v>
      </c>
      <c r="H596" s="5">
        <v>1330</v>
      </c>
      <c r="I596" s="5" t="str">
        <f t="shared" si="32"/>
        <v>Holy_Desc_1060012</v>
      </c>
      <c r="J596" s="4" t="s">
        <v>50</v>
      </c>
      <c r="K596" s="5">
        <f>[1]圣物数值!$C594*10000</f>
        <v>8600</v>
      </c>
      <c r="L596" s="5">
        <v>1060012</v>
      </c>
      <c r="O596" s="8"/>
    </row>
    <row r="597" spans="1:15" x14ac:dyDescent="0.15">
      <c r="A597" s="5">
        <v>7694</v>
      </c>
      <c r="B597" s="5">
        <v>112</v>
      </c>
      <c r="C597" s="5" t="str">
        <f t="shared" si="31"/>
        <v>Holy_Name_1060012</v>
      </c>
      <c r="D597" s="5" t="s">
        <v>49</v>
      </c>
      <c r="E597" s="5">
        <v>3</v>
      </c>
      <c r="F597" s="5">
        <v>44</v>
      </c>
      <c r="G597" s="5">
        <v>68</v>
      </c>
      <c r="H597" s="5">
        <v>1360</v>
      </c>
      <c r="I597" s="5" t="str">
        <f t="shared" si="32"/>
        <v>Holy_Desc_1060012</v>
      </c>
      <c r="J597" s="4" t="s">
        <v>50</v>
      </c>
      <c r="K597" s="5">
        <f>[1]圣物数值!$C595*10000</f>
        <v>8800</v>
      </c>
      <c r="L597" s="5">
        <v>1060012</v>
      </c>
      <c r="O597" s="8"/>
    </row>
    <row r="598" spans="1:15" x14ac:dyDescent="0.15">
      <c r="A598" s="5">
        <v>7695</v>
      </c>
      <c r="B598" s="5">
        <v>112</v>
      </c>
      <c r="C598" s="5" t="str">
        <f t="shared" si="31"/>
        <v>Holy_Name_1060012</v>
      </c>
      <c r="D598" s="5" t="s">
        <v>49</v>
      </c>
      <c r="E598" s="5">
        <v>3</v>
      </c>
      <c r="F598" s="5">
        <v>45</v>
      </c>
      <c r="G598" s="5">
        <v>70</v>
      </c>
      <c r="H598" s="5">
        <v>1390</v>
      </c>
      <c r="I598" s="5" t="str">
        <f t="shared" si="32"/>
        <v>Holy_Desc_1060012</v>
      </c>
      <c r="J598" s="4" t="s">
        <v>50</v>
      </c>
      <c r="K598" s="5">
        <f>[1]圣物数值!$C596*10000</f>
        <v>9000</v>
      </c>
      <c r="L598" s="5">
        <v>1060012</v>
      </c>
      <c r="O598" s="8"/>
    </row>
    <row r="599" spans="1:15" x14ac:dyDescent="0.15">
      <c r="A599" s="5">
        <v>7696</v>
      </c>
      <c r="B599" s="5">
        <v>112</v>
      </c>
      <c r="C599" s="5" t="str">
        <f t="shared" si="31"/>
        <v>Holy_Name_1060012</v>
      </c>
      <c r="D599" s="5" t="s">
        <v>49</v>
      </c>
      <c r="E599" s="5">
        <v>3</v>
      </c>
      <c r="F599" s="5">
        <v>46</v>
      </c>
      <c r="G599" s="5">
        <v>71</v>
      </c>
      <c r="H599" s="5">
        <v>1420</v>
      </c>
      <c r="I599" s="5" t="str">
        <f t="shared" si="32"/>
        <v>Holy_Desc_1060012</v>
      </c>
      <c r="J599" s="4" t="s">
        <v>50</v>
      </c>
      <c r="K599" s="5">
        <f>[1]圣物数值!$C597*10000</f>
        <v>9200</v>
      </c>
      <c r="L599" s="5">
        <v>1060012</v>
      </c>
      <c r="O599" s="8"/>
    </row>
    <row r="600" spans="1:15" x14ac:dyDescent="0.15">
      <c r="A600" s="5">
        <v>7697</v>
      </c>
      <c r="B600" s="5">
        <v>112</v>
      </c>
      <c r="C600" s="5" t="str">
        <f t="shared" si="31"/>
        <v>Holy_Name_1060012</v>
      </c>
      <c r="D600" s="5" t="s">
        <v>49</v>
      </c>
      <c r="E600" s="5">
        <v>3</v>
      </c>
      <c r="F600" s="5">
        <v>47</v>
      </c>
      <c r="G600" s="5">
        <v>73</v>
      </c>
      <c r="H600" s="5">
        <v>1460</v>
      </c>
      <c r="I600" s="5" t="str">
        <f t="shared" si="32"/>
        <v>Holy_Desc_1060012</v>
      </c>
      <c r="J600" s="4" t="s">
        <v>50</v>
      </c>
      <c r="K600" s="5">
        <f>[1]圣物数值!$C598*10000</f>
        <v>9400</v>
      </c>
      <c r="L600" s="5">
        <v>1060012</v>
      </c>
      <c r="O600" s="8"/>
    </row>
    <row r="601" spans="1:15" x14ac:dyDescent="0.15">
      <c r="A601" s="5">
        <v>7698</v>
      </c>
      <c r="B601" s="5">
        <v>112</v>
      </c>
      <c r="C601" s="5" t="str">
        <f t="shared" si="31"/>
        <v>Holy_Name_1060012</v>
      </c>
      <c r="D601" s="5" t="s">
        <v>49</v>
      </c>
      <c r="E601" s="5">
        <v>3</v>
      </c>
      <c r="F601" s="5">
        <v>48</v>
      </c>
      <c r="G601" s="5">
        <v>74</v>
      </c>
      <c r="H601" s="5">
        <v>1490</v>
      </c>
      <c r="I601" s="5" t="str">
        <f t="shared" si="32"/>
        <v>Holy_Desc_1060012</v>
      </c>
      <c r="J601" s="4" t="s">
        <v>50</v>
      </c>
      <c r="K601" s="5">
        <f>[1]圣物数值!$C599*10000</f>
        <v>9600</v>
      </c>
      <c r="L601" s="5">
        <v>1060012</v>
      </c>
      <c r="O601" s="8"/>
    </row>
    <row r="602" spans="1:15" x14ac:dyDescent="0.15">
      <c r="A602" s="5">
        <v>7699</v>
      </c>
      <c r="B602" s="5">
        <v>112</v>
      </c>
      <c r="C602" s="5" t="str">
        <f t="shared" si="31"/>
        <v>Holy_Name_1060012</v>
      </c>
      <c r="D602" s="5" t="s">
        <v>49</v>
      </c>
      <c r="E602" s="5">
        <v>3</v>
      </c>
      <c r="F602" s="5">
        <v>49</v>
      </c>
      <c r="G602" s="5">
        <v>76</v>
      </c>
      <c r="H602" s="5">
        <v>1520</v>
      </c>
      <c r="I602" s="5" t="str">
        <f t="shared" si="32"/>
        <v>Holy_Desc_1060012</v>
      </c>
      <c r="J602" s="4" t="s">
        <v>50</v>
      </c>
      <c r="K602" s="5">
        <f>[1]圣物数值!$C600*10000</f>
        <v>9800</v>
      </c>
      <c r="L602" s="5">
        <v>1060012</v>
      </c>
      <c r="O602" s="8"/>
    </row>
    <row r="603" spans="1:15" x14ac:dyDescent="0.15">
      <c r="A603" s="5">
        <v>7700</v>
      </c>
      <c r="B603" s="5">
        <v>112</v>
      </c>
      <c r="C603" s="5" t="str">
        <f t="shared" si="31"/>
        <v>Holy_Name_1060012</v>
      </c>
      <c r="D603" s="5" t="s">
        <v>49</v>
      </c>
      <c r="E603" s="5">
        <v>3</v>
      </c>
      <c r="F603" s="5">
        <v>50</v>
      </c>
      <c r="G603" s="5">
        <v>78</v>
      </c>
      <c r="H603" s="5">
        <v>1550</v>
      </c>
      <c r="I603" s="5" t="str">
        <f t="shared" si="32"/>
        <v>Holy_Desc_1060012</v>
      </c>
      <c r="J603" s="4" t="s">
        <v>50</v>
      </c>
      <c r="K603" s="5">
        <f>[1]圣物数值!$C601*10000</f>
        <v>10000</v>
      </c>
      <c r="L603" s="5">
        <v>1060012</v>
      </c>
      <c r="O603" s="8"/>
    </row>
    <row r="604" spans="1:15" x14ac:dyDescent="0.15">
      <c r="A604" s="5">
        <v>7701</v>
      </c>
      <c r="B604" s="5">
        <v>113</v>
      </c>
      <c r="C604" s="5" t="str">
        <f t="shared" si="31"/>
        <v>Holy_Name_1060013</v>
      </c>
      <c r="D604" s="5" t="s">
        <v>51</v>
      </c>
      <c r="E604" s="5">
        <v>3</v>
      </c>
      <c r="F604" s="5">
        <v>1</v>
      </c>
      <c r="G604" s="5">
        <v>0</v>
      </c>
      <c r="H604" s="5">
        <v>0</v>
      </c>
      <c r="I604" s="5" t="str">
        <f t="shared" si="32"/>
        <v>Holy_Desc_1060013</v>
      </c>
      <c r="J604" s="4" t="s">
        <v>52</v>
      </c>
      <c r="K604" s="5">
        <f>[1]圣物数值!$C602*10000</f>
        <v>180</v>
      </c>
      <c r="L604" s="5">
        <v>1060013</v>
      </c>
    </row>
    <row r="605" spans="1:15" x14ac:dyDescent="0.15">
      <c r="A605" s="5">
        <v>7702</v>
      </c>
      <c r="B605" s="5">
        <v>113</v>
      </c>
      <c r="C605" s="5" t="str">
        <f t="shared" si="31"/>
        <v>Holy_Name_1060013</v>
      </c>
      <c r="D605" s="5" t="s">
        <v>51</v>
      </c>
      <c r="E605" s="5">
        <v>3</v>
      </c>
      <c r="F605" s="5">
        <v>2</v>
      </c>
      <c r="G605" s="5">
        <v>1</v>
      </c>
      <c r="H605" s="5">
        <v>30</v>
      </c>
      <c r="I605" s="5" t="str">
        <f t="shared" si="32"/>
        <v>Holy_Desc_1060013</v>
      </c>
      <c r="J605" s="4" t="s">
        <v>52</v>
      </c>
      <c r="K605" s="5">
        <f>[1]圣物数值!$C603*10000</f>
        <v>360</v>
      </c>
      <c r="L605" s="5">
        <v>1060013</v>
      </c>
    </row>
    <row r="606" spans="1:15" x14ac:dyDescent="0.15">
      <c r="A606" s="5">
        <v>7703</v>
      </c>
      <c r="B606" s="5">
        <v>113</v>
      </c>
      <c r="C606" s="5" t="str">
        <f t="shared" si="31"/>
        <v>Holy_Name_1060013</v>
      </c>
      <c r="D606" s="5" t="s">
        <v>51</v>
      </c>
      <c r="E606" s="5">
        <v>3</v>
      </c>
      <c r="F606" s="5">
        <v>3</v>
      </c>
      <c r="G606" s="5">
        <v>2</v>
      </c>
      <c r="H606" s="5">
        <v>50</v>
      </c>
      <c r="I606" s="5" t="str">
        <f t="shared" si="32"/>
        <v>Holy_Desc_1060013</v>
      </c>
      <c r="J606" s="4" t="s">
        <v>52</v>
      </c>
      <c r="K606" s="5">
        <f>[1]圣物数值!$C604*10000</f>
        <v>540</v>
      </c>
      <c r="L606" s="5">
        <v>1060013</v>
      </c>
    </row>
    <row r="607" spans="1:15" x14ac:dyDescent="0.15">
      <c r="A607" s="5">
        <v>7704</v>
      </c>
      <c r="B607" s="5">
        <v>113</v>
      </c>
      <c r="C607" s="5" t="str">
        <f t="shared" si="31"/>
        <v>Holy_Name_1060013</v>
      </c>
      <c r="D607" s="5" t="s">
        <v>51</v>
      </c>
      <c r="E607" s="5">
        <v>3</v>
      </c>
      <c r="F607" s="5">
        <v>4</v>
      </c>
      <c r="G607" s="5">
        <v>4</v>
      </c>
      <c r="H607" s="5">
        <v>80</v>
      </c>
      <c r="I607" s="5" t="str">
        <f t="shared" si="32"/>
        <v>Holy_Desc_1060013</v>
      </c>
      <c r="J607" s="4" t="s">
        <v>52</v>
      </c>
      <c r="K607" s="5">
        <f>[1]圣物数值!$C605*10000</f>
        <v>720</v>
      </c>
      <c r="L607" s="5">
        <v>1060013</v>
      </c>
    </row>
    <row r="608" spans="1:15" x14ac:dyDescent="0.15">
      <c r="A608" s="5">
        <v>7705</v>
      </c>
      <c r="B608" s="5">
        <v>113</v>
      </c>
      <c r="C608" s="5" t="str">
        <f t="shared" si="31"/>
        <v>Holy_Name_1060013</v>
      </c>
      <c r="D608" s="5" t="s">
        <v>51</v>
      </c>
      <c r="E608" s="5">
        <v>3</v>
      </c>
      <c r="F608" s="5">
        <v>5</v>
      </c>
      <c r="G608" s="5">
        <v>6</v>
      </c>
      <c r="H608" s="5">
        <v>110</v>
      </c>
      <c r="I608" s="5" t="str">
        <f t="shared" si="32"/>
        <v>Holy_Desc_1060013</v>
      </c>
      <c r="J608" s="4" t="s">
        <v>52</v>
      </c>
      <c r="K608" s="5">
        <f>[1]圣物数值!$C606*10000</f>
        <v>900</v>
      </c>
      <c r="L608" s="5">
        <v>1060013</v>
      </c>
    </row>
    <row r="609" spans="1:12" x14ac:dyDescent="0.15">
      <c r="A609" s="5">
        <v>7706</v>
      </c>
      <c r="B609" s="5">
        <v>113</v>
      </c>
      <c r="C609" s="5" t="str">
        <f t="shared" si="31"/>
        <v>Holy_Name_1060013</v>
      </c>
      <c r="D609" s="5" t="s">
        <v>51</v>
      </c>
      <c r="E609" s="5">
        <v>3</v>
      </c>
      <c r="F609" s="5">
        <v>6</v>
      </c>
      <c r="G609" s="5">
        <v>7</v>
      </c>
      <c r="H609" s="5">
        <v>140</v>
      </c>
      <c r="I609" s="5" t="str">
        <f t="shared" si="32"/>
        <v>Holy_Desc_1060013</v>
      </c>
      <c r="J609" s="4" t="s">
        <v>52</v>
      </c>
      <c r="K609" s="5">
        <f>[1]圣物数值!$C607*10000</f>
        <v>1080</v>
      </c>
      <c r="L609" s="5">
        <v>1060013</v>
      </c>
    </row>
    <row r="610" spans="1:12" x14ac:dyDescent="0.15">
      <c r="A610" s="5">
        <v>7707</v>
      </c>
      <c r="B610" s="5">
        <v>113</v>
      </c>
      <c r="C610" s="5" t="str">
        <f t="shared" si="31"/>
        <v>Holy_Name_1060013</v>
      </c>
      <c r="D610" s="5" t="s">
        <v>51</v>
      </c>
      <c r="E610" s="5">
        <v>3</v>
      </c>
      <c r="F610" s="5">
        <v>7</v>
      </c>
      <c r="G610" s="5">
        <v>9</v>
      </c>
      <c r="H610" s="5">
        <v>180</v>
      </c>
      <c r="I610" s="5" t="str">
        <f t="shared" si="32"/>
        <v>Holy_Desc_1060013</v>
      </c>
      <c r="J610" s="4" t="s">
        <v>52</v>
      </c>
      <c r="K610" s="5">
        <f>[1]圣物数值!$C608*10000</f>
        <v>1260</v>
      </c>
      <c r="L610" s="5">
        <v>1060013</v>
      </c>
    </row>
    <row r="611" spans="1:12" x14ac:dyDescent="0.15">
      <c r="A611" s="5">
        <v>7708</v>
      </c>
      <c r="B611" s="5">
        <v>113</v>
      </c>
      <c r="C611" s="5" t="str">
        <f t="shared" si="31"/>
        <v>Holy_Name_1060013</v>
      </c>
      <c r="D611" s="5" t="s">
        <v>51</v>
      </c>
      <c r="E611" s="5">
        <v>3</v>
      </c>
      <c r="F611" s="5">
        <v>8</v>
      </c>
      <c r="G611" s="5">
        <v>10</v>
      </c>
      <c r="H611" s="5">
        <v>210</v>
      </c>
      <c r="I611" s="5" t="str">
        <f t="shared" si="32"/>
        <v>Holy_Desc_1060013</v>
      </c>
      <c r="J611" s="4" t="s">
        <v>52</v>
      </c>
      <c r="K611" s="5">
        <f>[1]圣物数值!$C609*10000</f>
        <v>1440</v>
      </c>
      <c r="L611" s="5">
        <v>1060013</v>
      </c>
    </row>
    <row r="612" spans="1:12" x14ac:dyDescent="0.15">
      <c r="A612" s="5">
        <v>7709</v>
      </c>
      <c r="B612" s="5">
        <v>113</v>
      </c>
      <c r="C612" s="5" t="str">
        <f t="shared" si="31"/>
        <v>Holy_Name_1060013</v>
      </c>
      <c r="D612" s="5" t="s">
        <v>51</v>
      </c>
      <c r="E612" s="5">
        <v>3</v>
      </c>
      <c r="F612" s="5">
        <v>9</v>
      </c>
      <c r="G612" s="5">
        <v>12</v>
      </c>
      <c r="H612" s="5">
        <v>240</v>
      </c>
      <c r="I612" s="5" t="str">
        <f t="shared" si="32"/>
        <v>Holy_Desc_1060013</v>
      </c>
      <c r="J612" s="4" t="s">
        <v>52</v>
      </c>
      <c r="K612" s="5">
        <f>[1]圣物数值!$C610*10000</f>
        <v>1620</v>
      </c>
      <c r="L612" s="5">
        <v>1060013</v>
      </c>
    </row>
    <row r="613" spans="1:12" x14ac:dyDescent="0.15">
      <c r="A613" s="5">
        <v>7710</v>
      </c>
      <c r="B613" s="5">
        <v>113</v>
      </c>
      <c r="C613" s="5" t="str">
        <f t="shared" si="31"/>
        <v>Holy_Name_1060013</v>
      </c>
      <c r="D613" s="5" t="s">
        <v>51</v>
      </c>
      <c r="E613" s="5">
        <v>3</v>
      </c>
      <c r="F613" s="5">
        <v>10</v>
      </c>
      <c r="G613" s="5">
        <v>14</v>
      </c>
      <c r="H613" s="5">
        <v>270</v>
      </c>
      <c r="I613" s="5" t="str">
        <f t="shared" si="32"/>
        <v>Holy_Desc_1060013</v>
      </c>
      <c r="J613" s="4" t="s">
        <v>52</v>
      </c>
      <c r="K613" s="5">
        <f>[1]圣物数值!$C611*10000</f>
        <v>1800</v>
      </c>
      <c r="L613" s="5">
        <v>1060013</v>
      </c>
    </row>
    <row r="614" spans="1:12" x14ac:dyDescent="0.15">
      <c r="A614" s="5">
        <v>7711</v>
      </c>
      <c r="B614" s="5">
        <v>113</v>
      </c>
      <c r="C614" s="5" t="str">
        <f t="shared" ref="C614:C663" si="33">"Holy_Name_"&amp;L614</f>
        <v>Holy_Name_1060013</v>
      </c>
      <c r="D614" s="5" t="s">
        <v>51</v>
      </c>
      <c r="E614" s="5">
        <v>3</v>
      </c>
      <c r="F614" s="5">
        <v>11</v>
      </c>
      <c r="G614" s="5">
        <v>15</v>
      </c>
      <c r="H614" s="5">
        <v>300</v>
      </c>
      <c r="I614" s="5" t="str">
        <f t="shared" ref="I614:I663" si="34">"Holy_Desc_"&amp;L614</f>
        <v>Holy_Desc_1060013</v>
      </c>
      <c r="J614" s="4" t="s">
        <v>52</v>
      </c>
      <c r="K614" s="5">
        <f>[1]圣物数值!$C612*10000</f>
        <v>1980</v>
      </c>
      <c r="L614" s="5">
        <v>1060013</v>
      </c>
    </row>
    <row r="615" spans="1:12" x14ac:dyDescent="0.15">
      <c r="A615" s="5">
        <v>7712</v>
      </c>
      <c r="B615" s="5">
        <v>113</v>
      </c>
      <c r="C615" s="5" t="str">
        <f t="shared" si="33"/>
        <v>Holy_Name_1060013</v>
      </c>
      <c r="D615" s="5" t="s">
        <v>51</v>
      </c>
      <c r="E615" s="5">
        <v>3</v>
      </c>
      <c r="F615" s="5">
        <v>12</v>
      </c>
      <c r="G615" s="5">
        <v>17</v>
      </c>
      <c r="H615" s="5">
        <v>340</v>
      </c>
      <c r="I615" s="5" t="str">
        <f t="shared" si="34"/>
        <v>Holy_Desc_1060013</v>
      </c>
      <c r="J615" s="4" t="s">
        <v>52</v>
      </c>
      <c r="K615" s="5">
        <f>[1]圣物数值!$C613*10000</f>
        <v>2160</v>
      </c>
      <c r="L615" s="5">
        <v>1060013</v>
      </c>
    </row>
    <row r="616" spans="1:12" x14ac:dyDescent="0.15">
      <c r="A616" s="5">
        <v>7713</v>
      </c>
      <c r="B616" s="5">
        <v>113</v>
      </c>
      <c r="C616" s="5" t="str">
        <f t="shared" si="33"/>
        <v>Holy_Name_1060013</v>
      </c>
      <c r="D616" s="5" t="s">
        <v>51</v>
      </c>
      <c r="E616" s="5">
        <v>3</v>
      </c>
      <c r="F616" s="5">
        <v>13</v>
      </c>
      <c r="G616" s="5">
        <v>18</v>
      </c>
      <c r="H616" s="5">
        <v>370</v>
      </c>
      <c r="I616" s="5" t="str">
        <f>"Holy_Desc_"&amp;L616</f>
        <v>Holy_Desc_1060013</v>
      </c>
      <c r="J616" s="4" t="s">
        <v>52</v>
      </c>
      <c r="K616" s="5">
        <f>[1]圣物数值!$C614*10000</f>
        <v>2340</v>
      </c>
      <c r="L616" s="5">
        <v>1060013</v>
      </c>
    </row>
    <row r="617" spans="1:12" x14ac:dyDescent="0.15">
      <c r="A617" s="5">
        <v>7714</v>
      </c>
      <c r="B617" s="5">
        <v>113</v>
      </c>
      <c r="C617" s="5" t="str">
        <f t="shared" si="33"/>
        <v>Holy_Name_1060013</v>
      </c>
      <c r="D617" s="5" t="s">
        <v>51</v>
      </c>
      <c r="E617" s="5">
        <v>3</v>
      </c>
      <c r="F617" s="5">
        <v>14</v>
      </c>
      <c r="G617" s="5">
        <v>20</v>
      </c>
      <c r="H617" s="5">
        <v>400</v>
      </c>
      <c r="I617" s="5" t="str">
        <f t="shared" si="34"/>
        <v>Holy_Desc_1060013</v>
      </c>
      <c r="J617" s="4" t="s">
        <v>52</v>
      </c>
      <c r="K617" s="5">
        <f>[1]圣物数值!$C615*10000</f>
        <v>2520</v>
      </c>
      <c r="L617" s="5">
        <v>1060013</v>
      </c>
    </row>
    <row r="618" spans="1:12" x14ac:dyDescent="0.15">
      <c r="A618" s="5">
        <v>7715</v>
      </c>
      <c r="B618" s="5">
        <v>113</v>
      </c>
      <c r="C618" s="5" t="str">
        <f t="shared" si="33"/>
        <v>Holy_Name_1060013</v>
      </c>
      <c r="D618" s="5" t="s">
        <v>51</v>
      </c>
      <c r="E618" s="5">
        <v>3</v>
      </c>
      <c r="F618" s="5">
        <v>15</v>
      </c>
      <c r="G618" s="5">
        <v>22</v>
      </c>
      <c r="H618" s="5">
        <v>430</v>
      </c>
      <c r="I618" s="5" t="str">
        <f t="shared" si="34"/>
        <v>Holy_Desc_1060013</v>
      </c>
      <c r="J618" s="4" t="s">
        <v>52</v>
      </c>
      <c r="K618" s="5">
        <f>[1]圣物数值!$C616*10000</f>
        <v>2700</v>
      </c>
      <c r="L618" s="5">
        <v>1060013</v>
      </c>
    </row>
    <row r="619" spans="1:12" x14ac:dyDescent="0.15">
      <c r="A619" s="5">
        <v>7716</v>
      </c>
      <c r="B619" s="5">
        <v>113</v>
      </c>
      <c r="C619" s="5" t="str">
        <f t="shared" si="33"/>
        <v>Holy_Name_1060013</v>
      </c>
      <c r="D619" s="5" t="s">
        <v>51</v>
      </c>
      <c r="E619" s="5">
        <v>3</v>
      </c>
      <c r="F619" s="5">
        <v>16</v>
      </c>
      <c r="G619" s="5">
        <v>23</v>
      </c>
      <c r="H619" s="5">
        <v>460</v>
      </c>
      <c r="I619" s="5" t="str">
        <f t="shared" si="34"/>
        <v>Holy_Desc_1060013</v>
      </c>
      <c r="J619" s="4" t="s">
        <v>52</v>
      </c>
      <c r="K619" s="5">
        <f>[1]圣物数值!$C617*10000</f>
        <v>2880</v>
      </c>
      <c r="L619" s="5">
        <v>1060013</v>
      </c>
    </row>
    <row r="620" spans="1:12" x14ac:dyDescent="0.15">
      <c r="A620" s="5">
        <v>7717</v>
      </c>
      <c r="B620" s="5">
        <v>113</v>
      </c>
      <c r="C620" s="5" t="str">
        <f t="shared" si="33"/>
        <v>Holy_Name_1060013</v>
      </c>
      <c r="D620" s="5" t="s">
        <v>51</v>
      </c>
      <c r="E620" s="5">
        <v>3</v>
      </c>
      <c r="F620" s="5">
        <v>17</v>
      </c>
      <c r="G620" s="5">
        <v>25</v>
      </c>
      <c r="H620" s="5">
        <v>500</v>
      </c>
      <c r="I620" s="5" t="str">
        <f t="shared" si="34"/>
        <v>Holy_Desc_1060013</v>
      </c>
      <c r="J620" s="4" t="s">
        <v>52</v>
      </c>
      <c r="K620" s="5">
        <f>[1]圣物数值!$C618*10000</f>
        <v>3060</v>
      </c>
      <c r="L620" s="5">
        <v>1060013</v>
      </c>
    </row>
    <row r="621" spans="1:12" x14ac:dyDescent="0.15">
      <c r="A621" s="5">
        <v>7718</v>
      </c>
      <c r="B621" s="5">
        <v>113</v>
      </c>
      <c r="C621" s="5" t="str">
        <f t="shared" si="33"/>
        <v>Holy_Name_1060013</v>
      </c>
      <c r="D621" s="5" t="s">
        <v>51</v>
      </c>
      <c r="E621" s="5">
        <v>3</v>
      </c>
      <c r="F621" s="5">
        <v>18</v>
      </c>
      <c r="G621" s="5">
        <v>26</v>
      </c>
      <c r="H621" s="5">
        <v>530</v>
      </c>
      <c r="I621" s="5" t="str">
        <f t="shared" si="34"/>
        <v>Holy_Desc_1060013</v>
      </c>
      <c r="J621" s="4" t="s">
        <v>52</v>
      </c>
      <c r="K621" s="5">
        <f>[1]圣物数值!$C619*10000</f>
        <v>3240</v>
      </c>
      <c r="L621" s="5">
        <v>1060013</v>
      </c>
    </row>
    <row r="622" spans="1:12" x14ac:dyDescent="0.15">
      <c r="A622" s="5">
        <v>7719</v>
      </c>
      <c r="B622" s="5">
        <v>113</v>
      </c>
      <c r="C622" s="5" t="str">
        <f t="shared" si="33"/>
        <v>Holy_Name_1060013</v>
      </c>
      <c r="D622" s="5" t="s">
        <v>51</v>
      </c>
      <c r="E622" s="5">
        <v>3</v>
      </c>
      <c r="F622" s="5">
        <v>19</v>
      </c>
      <c r="G622" s="5">
        <v>28</v>
      </c>
      <c r="H622" s="5">
        <v>560</v>
      </c>
      <c r="I622" s="5" t="str">
        <f t="shared" si="34"/>
        <v>Holy_Desc_1060013</v>
      </c>
      <c r="J622" s="4" t="s">
        <v>52</v>
      </c>
      <c r="K622" s="5">
        <f>[1]圣物数值!$C620*10000</f>
        <v>3420</v>
      </c>
      <c r="L622" s="5">
        <v>1060013</v>
      </c>
    </row>
    <row r="623" spans="1:12" x14ac:dyDescent="0.15">
      <c r="A623" s="5">
        <v>7720</v>
      </c>
      <c r="B623" s="5">
        <v>113</v>
      </c>
      <c r="C623" s="5" t="str">
        <f t="shared" si="33"/>
        <v>Holy_Name_1060013</v>
      </c>
      <c r="D623" s="5" t="s">
        <v>51</v>
      </c>
      <c r="E623" s="5">
        <v>3</v>
      </c>
      <c r="F623" s="5">
        <v>20</v>
      </c>
      <c r="G623" s="5">
        <v>30</v>
      </c>
      <c r="H623" s="5">
        <v>590</v>
      </c>
      <c r="I623" s="5" t="str">
        <f t="shared" si="34"/>
        <v>Holy_Desc_1060013</v>
      </c>
      <c r="J623" s="4" t="s">
        <v>52</v>
      </c>
      <c r="K623" s="5">
        <f>[1]圣物数值!$C621*10000</f>
        <v>3600</v>
      </c>
      <c r="L623" s="5">
        <v>1060013</v>
      </c>
    </row>
    <row r="624" spans="1:12" x14ac:dyDescent="0.15">
      <c r="A624" s="5">
        <v>7721</v>
      </c>
      <c r="B624" s="5">
        <v>113</v>
      </c>
      <c r="C624" s="5" t="str">
        <f t="shared" si="33"/>
        <v>Holy_Name_1060013</v>
      </c>
      <c r="D624" s="5" t="s">
        <v>51</v>
      </c>
      <c r="E624" s="5">
        <v>3</v>
      </c>
      <c r="F624" s="5">
        <v>21</v>
      </c>
      <c r="G624" s="5">
        <v>31</v>
      </c>
      <c r="H624" s="5">
        <v>620</v>
      </c>
      <c r="I624" s="5" t="str">
        <f t="shared" si="34"/>
        <v>Holy_Desc_1060013</v>
      </c>
      <c r="J624" s="4" t="s">
        <v>52</v>
      </c>
      <c r="K624" s="5">
        <f>[1]圣物数值!$C622*10000</f>
        <v>3780</v>
      </c>
      <c r="L624" s="5">
        <v>1060013</v>
      </c>
    </row>
    <row r="625" spans="1:12" x14ac:dyDescent="0.15">
      <c r="A625" s="5">
        <v>7722</v>
      </c>
      <c r="B625" s="5">
        <v>113</v>
      </c>
      <c r="C625" s="5" t="str">
        <f t="shared" si="33"/>
        <v>Holy_Name_1060013</v>
      </c>
      <c r="D625" s="5" t="s">
        <v>51</v>
      </c>
      <c r="E625" s="5">
        <v>3</v>
      </c>
      <c r="F625" s="5">
        <v>22</v>
      </c>
      <c r="G625" s="5">
        <v>33</v>
      </c>
      <c r="H625" s="5">
        <v>660</v>
      </c>
      <c r="I625" s="5" t="str">
        <f t="shared" si="34"/>
        <v>Holy_Desc_1060013</v>
      </c>
      <c r="J625" s="4" t="s">
        <v>52</v>
      </c>
      <c r="K625" s="5">
        <f>[1]圣物数值!$C623*10000</f>
        <v>3960</v>
      </c>
      <c r="L625" s="5">
        <v>1060013</v>
      </c>
    </row>
    <row r="626" spans="1:12" x14ac:dyDescent="0.15">
      <c r="A626" s="5">
        <v>7723</v>
      </c>
      <c r="B626" s="5">
        <v>113</v>
      </c>
      <c r="C626" s="5" t="str">
        <f t="shared" si="33"/>
        <v>Holy_Name_1060013</v>
      </c>
      <c r="D626" s="5" t="s">
        <v>51</v>
      </c>
      <c r="E626" s="5">
        <v>3</v>
      </c>
      <c r="F626" s="5">
        <v>23</v>
      </c>
      <c r="G626" s="5">
        <v>34</v>
      </c>
      <c r="H626" s="5">
        <v>690</v>
      </c>
      <c r="I626" s="5" t="str">
        <f t="shared" si="34"/>
        <v>Holy_Desc_1060013</v>
      </c>
      <c r="J626" s="4" t="s">
        <v>52</v>
      </c>
      <c r="K626" s="5">
        <f>[1]圣物数值!$C624*10000</f>
        <v>4140</v>
      </c>
      <c r="L626" s="5">
        <v>1060013</v>
      </c>
    </row>
    <row r="627" spans="1:12" x14ac:dyDescent="0.15">
      <c r="A627" s="5">
        <v>7724</v>
      </c>
      <c r="B627" s="5">
        <v>113</v>
      </c>
      <c r="C627" s="5" t="str">
        <f t="shared" si="33"/>
        <v>Holy_Name_1060013</v>
      </c>
      <c r="D627" s="5" t="s">
        <v>51</v>
      </c>
      <c r="E627" s="5">
        <v>3</v>
      </c>
      <c r="F627" s="5">
        <v>24</v>
      </c>
      <c r="G627" s="5">
        <v>36</v>
      </c>
      <c r="H627" s="5">
        <v>720</v>
      </c>
      <c r="I627" s="5" t="str">
        <f t="shared" si="34"/>
        <v>Holy_Desc_1060013</v>
      </c>
      <c r="J627" s="4" t="s">
        <v>52</v>
      </c>
      <c r="K627" s="5">
        <f>[1]圣物数值!$C625*10000</f>
        <v>4320</v>
      </c>
      <c r="L627" s="5">
        <v>1060013</v>
      </c>
    </row>
    <row r="628" spans="1:12" x14ac:dyDescent="0.15">
      <c r="A628" s="5">
        <v>7725</v>
      </c>
      <c r="B628" s="5">
        <v>113</v>
      </c>
      <c r="C628" s="5" t="str">
        <f t="shared" si="33"/>
        <v>Holy_Name_1060013</v>
      </c>
      <c r="D628" s="5" t="s">
        <v>51</v>
      </c>
      <c r="E628" s="5">
        <v>3</v>
      </c>
      <c r="F628" s="5">
        <v>25</v>
      </c>
      <c r="G628" s="5">
        <v>38</v>
      </c>
      <c r="H628" s="5">
        <v>750</v>
      </c>
      <c r="I628" s="5" t="str">
        <f t="shared" si="34"/>
        <v>Holy_Desc_1060013</v>
      </c>
      <c r="J628" s="4" t="s">
        <v>52</v>
      </c>
      <c r="K628" s="5">
        <f>[1]圣物数值!$C626*10000</f>
        <v>4500</v>
      </c>
      <c r="L628" s="5">
        <v>1060013</v>
      </c>
    </row>
    <row r="629" spans="1:12" x14ac:dyDescent="0.15">
      <c r="A629" s="5">
        <v>7726</v>
      </c>
      <c r="B629" s="5">
        <v>113</v>
      </c>
      <c r="C629" s="5" t="str">
        <f t="shared" si="33"/>
        <v>Holy_Name_1060013</v>
      </c>
      <c r="D629" s="5" t="s">
        <v>51</v>
      </c>
      <c r="E629" s="5">
        <v>3</v>
      </c>
      <c r="F629" s="5">
        <v>26</v>
      </c>
      <c r="G629" s="5">
        <v>39</v>
      </c>
      <c r="H629" s="5">
        <v>780</v>
      </c>
      <c r="I629" s="5" t="str">
        <f t="shared" si="34"/>
        <v>Holy_Desc_1060013</v>
      </c>
      <c r="J629" s="4" t="s">
        <v>52</v>
      </c>
      <c r="K629" s="5">
        <f>[1]圣物数值!$C627*10000</f>
        <v>4680</v>
      </c>
      <c r="L629" s="5">
        <v>1060013</v>
      </c>
    </row>
    <row r="630" spans="1:12" x14ac:dyDescent="0.15">
      <c r="A630" s="5">
        <v>7727</v>
      </c>
      <c r="B630" s="5">
        <v>113</v>
      </c>
      <c r="C630" s="5" t="str">
        <f t="shared" si="33"/>
        <v>Holy_Name_1060013</v>
      </c>
      <c r="D630" s="5" t="s">
        <v>51</v>
      </c>
      <c r="E630" s="5">
        <v>3</v>
      </c>
      <c r="F630" s="5">
        <v>27</v>
      </c>
      <c r="G630" s="5">
        <v>41</v>
      </c>
      <c r="H630" s="5">
        <v>820</v>
      </c>
      <c r="I630" s="5" t="str">
        <f t="shared" si="34"/>
        <v>Holy_Desc_1060013</v>
      </c>
      <c r="J630" s="4" t="s">
        <v>52</v>
      </c>
      <c r="K630" s="5">
        <f>[1]圣物数值!$C628*10000</f>
        <v>4860</v>
      </c>
      <c r="L630" s="5">
        <v>1060013</v>
      </c>
    </row>
    <row r="631" spans="1:12" x14ac:dyDescent="0.15">
      <c r="A631" s="5">
        <v>7728</v>
      </c>
      <c r="B631" s="5">
        <v>113</v>
      </c>
      <c r="C631" s="5" t="str">
        <f t="shared" si="33"/>
        <v>Holy_Name_1060013</v>
      </c>
      <c r="D631" s="5" t="s">
        <v>51</v>
      </c>
      <c r="E631" s="5">
        <v>3</v>
      </c>
      <c r="F631" s="5">
        <v>28</v>
      </c>
      <c r="G631" s="5">
        <v>42</v>
      </c>
      <c r="H631" s="5">
        <v>850</v>
      </c>
      <c r="I631" s="5" t="str">
        <f t="shared" si="34"/>
        <v>Holy_Desc_1060013</v>
      </c>
      <c r="J631" s="4" t="s">
        <v>52</v>
      </c>
      <c r="K631" s="5">
        <f>[1]圣物数值!$C629*10000</f>
        <v>5040</v>
      </c>
      <c r="L631" s="5">
        <v>1060013</v>
      </c>
    </row>
    <row r="632" spans="1:12" x14ac:dyDescent="0.15">
      <c r="A632" s="5">
        <v>7729</v>
      </c>
      <c r="B632" s="5">
        <v>113</v>
      </c>
      <c r="C632" s="5" t="str">
        <f t="shared" si="33"/>
        <v>Holy_Name_1060013</v>
      </c>
      <c r="D632" s="5" t="s">
        <v>51</v>
      </c>
      <c r="E632" s="5">
        <v>3</v>
      </c>
      <c r="F632" s="5">
        <v>29</v>
      </c>
      <c r="G632" s="5">
        <v>44</v>
      </c>
      <c r="H632" s="5">
        <v>880</v>
      </c>
      <c r="I632" s="5" t="str">
        <f t="shared" si="34"/>
        <v>Holy_Desc_1060013</v>
      </c>
      <c r="J632" s="4" t="s">
        <v>52</v>
      </c>
      <c r="K632" s="5">
        <f>[1]圣物数值!$C630*10000</f>
        <v>5220</v>
      </c>
      <c r="L632" s="5">
        <v>1060013</v>
      </c>
    </row>
    <row r="633" spans="1:12" x14ac:dyDescent="0.15">
      <c r="A633" s="5">
        <v>7730</v>
      </c>
      <c r="B633" s="5">
        <v>113</v>
      </c>
      <c r="C633" s="5" t="str">
        <f t="shared" si="33"/>
        <v>Holy_Name_1060013</v>
      </c>
      <c r="D633" s="5" t="s">
        <v>51</v>
      </c>
      <c r="E633" s="5">
        <v>3</v>
      </c>
      <c r="F633" s="5">
        <v>30</v>
      </c>
      <c r="G633" s="5">
        <v>46</v>
      </c>
      <c r="H633" s="5">
        <v>910</v>
      </c>
      <c r="I633" s="5" t="str">
        <f t="shared" si="34"/>
        <v>Holy_Desc_1060013</v>
      </c>
      <c r="J633" s="4" t="s">
        <v>52</v>
      </c>
      <c r="K633" s="5">
        <f>[1]圣物数值!$C631*10000</f>
        <v>5400</v>
      </c>
      <c r="L633" s="5">
        <v>1060013</v>
      </c>
    </row>
    <row r="634" spans="1:12" x14ac:dyDescent="0.15">
      <c r="A634" s="5">
        <v>7731</v>
      </c>
      <c r="B634" s="5">
        <v>113</v>
      </c>
      <c r="C634" s="5" t="str">
        <f t="shared" si="33"/>
        <v>Holy_Name_1060013</v>
      </c>
      <c r="D634" s="5" t="s">
        <v>51</v>
      </c>
      <c r="E634" s="5">
        <v>3</v>
      </c>
      <c r="F634" s="5">
        <v>31</v>
      </c>
      <c r="G634" s="5">
        <v>47</v>
      </c>
      <c r="H634" s="5">
        <v>940</v>
      </c>
      <c r="I634" s="5" t="str">
        <f t="shared" si="34"/>
        <v>Holy_Desc_1060013</v>
      </c>
      <c r="J634" s="4" t="s">
        <v>52</v>
      </c>
      <c r="K634" s="5">
        <f>[1]圣物数值!$C632*10000</f>
        <v>5580</v>
      </c>
      <c r="L634" s="5">
        <v>1060013</v>
      </c>
    </row>
    <row r="635" spans="1:12" x14ac:dyDescent="0.15">
      <c r="A635" s="5">
        <v>7732</v>
      </c>
      <c r="B635" s="5">
        <v>113</v>
      </c>
      <c r="C635" s="5" t="str">
        <f t="shared" si="33"/>
        <v>Holy_Name_1060013</v>
      </c>
      <c r="D635" s="5" t="s">
        <v>51</v>
      </c>
      <c r="E635" s="5">
        <v>3</v>
      </c>
      <c r="F635" s="5">
        <v>32</v>
      </c>
      <c r="G635" s="5">
        <v>49</v>
      </c>
      <c r="H635" s="5">
        <v>980</v>
      </c>
      <c r="I635" s="5" t="str">
        <f t="shared" si="34"/>
        <v>Holy_Desc_1060013</v>
      </c>
      <c r="J635" s="4" t="s">
        <v>52</v>
      </c>
      <c r="K635" s="5">
        <f>[1]圣物数值!$C633*10000</f>
        <v>5760</v>
      </c>
      <c r="L635" s="5">
        <v>1060013</v>
      </c>
    </row>
    <row r="636" spans="1:12" x14ac:dyDescent="0.15">
      <c r="A636" s="5">
        <v>7733</v>
      </c>
      <c r="B636" s="5">
        <v>113</v>
      </c>
      <c r="C636" s="5" t="str">
        <f t="shared" si="33"/>
        <v>Holy_Name_1060013</v>
      </c>
      <c r="D636" s="5" t="s">
        <v>51</v>
      </c>
      <c r="E636" s="5">
        <v>3</v>
      </c>
      <c r="F636" s="5">
        <v>33</v>
      </c>
      <c r="G636" s="5">
        <v>50</v>
      </c>
      <c r="H636" s="5">
        <v>1010</v>
      </c>
      <c r="I636" s="5" t="str">
        <f t="shared" si="34"/>
        <v>Holy_Desc_1060013</v>
      </c>
      <c r="J636" s="4" t="s">
        <v>52</v>
      </c>
      <c r="K636" s="5">
        <f>[1]圣物数值!$C634*10000</f>
        <v>5940</v>
      </c>
      <c r="L636" s="5">
        <v>1060013</v>
      </c>
    </row>
    <row r="637" spans="1:12" x14ac:dyDescent="0.15">
      <c r="A637" s="5">
        <v>7734</v>
      </c>
      <c r="B637" s="5">
        <v>113</v>
      </c>
      <c r="C637" s="5" t="str">
        <f t="shared" si="33"/>
        <v>Holy_Name_1060013</v>
      </c>
      <c r="D637" s="5" t="s">
        <v>51</v>
      </c>
      <c r="E637" s="5">
        <v>3</v>
      </c>
      <c r="F637" s="5">
        <v>34</v>
      </c>
      <c r="G637" s="5">
        <v>52</v>
      </c>
      <c r="H637" s="5">
        <v>1040</v>
      </c>
      <c r="I637" s="5" t="str">
        <f t="shared" si="34"/>
        <v>Holy_Desc_1060013</v>
      </c>
      <c r="J637" s="4" t="s">
        <v>52</v>
      </c>
      <c r="K637" s="5">
        <f>[1]圣物数值!$C635*10000</f>
        <v>6120</v>
      </c>
      <c r="L637" s="5">
        <v>1060013</v>
      </c>
    </row>
    <row r="638" spans="1:12" x14ac:dyDescent="0.15">
      <c r="A638" s="5">
        <v>7735</v>
      </c>
      <c r="B638" s="5">
        <v>113</v>
      </c>
      <c r="C638" s="5" t="str">
        <f t="shared" si="33"/>
        <v>Holy_Name_1060013</v>
      </c>
      <c r="D638" s="5" t="s">
        <v>51</v>
      </c>
      <c r="E638" s="5">
        <v>3</v>
      </c>
      <c r="F638" s="5">
        <v>35</v>
      </c>
      <c r="G638" s="5">
        <v>54</v>
      </c>
      <c r="H638" s="5">
        <v>1070</v>
      </c>
      <c r="I638" s="5" t="str">
        <f t="shared" si="34"/>
        <v>Holy_Desc_1060013</v>
      </c>
      <c r="J638" s="4" t="s">
        <v>52</v>
      </c>
      <c r="K638" s="5">
        <f>[1]圣物数值!$C636*10000</f>
        <v>6300</v>
      </c>
      <c r="L638" s="5">
        <v>1060013</v>
      </c>
    </row>
    <row r="639" spans="1:12" x14ac:dyDescent="0.15">
      <c r="A639" s="5">
        <v>7736</v>
      </c>
      <c r="B639" s="5">
        <v>113</v>
      </c>
      <c r="C639" s="5" t="str">
        <f t="shared" si="33"/>
        <v>Holy_Name_1060013</v>
      </c>
      <c r="D639" s="5" t="s">
        <v>51</v>
      </c>
      <c r="E639" s="5">
        <v>3</v>
      </c>
      <c r="F639" s="5">
        <v>36</v>
      </c>
      <c r="G639" s="5">
        <v>55</v>
      </c>
      <c r="H639" s="5">
        <v>1100</v>
      </c>
      <c r="I639" s="5" t="str">
        <f t="shared" si="34"/>
        <v>Holy_Desc_1060013</v>
      </c>
      <c r="J639" s="4" t="s">
        <v>52</v>
      </c>
      <c r="K639" s="5">
        <f>[1]圣物数值!$C637*10000</f>
        <v>6480</v>
      </c>
      <c r="L639" s="5">
        <v>1060013</v>
      </c>
    </row>
    <row r="640" spans="1:12" x14ac:dyDescent="0.15">
      <c r="A640" s="5">
        <v>7737</v>
      </c>
      <c r="B640" s="5">
        <v>113</v>
      </c>
      <c r="C640" s="5" t="str">
        <f t="shared" si="33"/>
        <v>Holy_Name_1060013</v>
      </c>
      <c r="D640" s="5" t="s">
        <v>51</v>
      </c>
      <c r="E640" s="5">
        <v>3</v>
      </c>
      <c r="F640" s="5">
        <v>37</v>
      </c>
      <c r="G640" s="5">
        <v>57</v>
      </c>
      <c r="H640" s="5">
        <v>1140</v>
      </c>
      <c r="I640" s="5" t="str">
        <f t="shared" si="34"/>
        <v>Holy_Desc_1060013</v>
      </c>
      <c r="J640" s="4" t="s">
        <v>52</v>
      </c>
      <c r="K640" s="5">
        <f>[1]圣物数值!$C638*10000</f>
        <v>6660</v>
      </c>
      <c r="L640" s="5">
        <v>1060013</v>
      </c>
    </row>
    <row r="641" spans="1:12" x14ac:dyDescent="0.15">
      <c r="A641" s="5">
        <v>7738</v>
      </c>
      <c r="B641" s="5">
        <v>113</v>
      </c>
      <c r="C641" s="5" t="str">
        <f t="shared" si="33"/>
        <v>Holy_Name_1060013</v>
      </c>
      <c r="D641" s="5" t="s">
        <v>51</v>
      </c>
      <c r="E641" s="5">
        <v>3</v>
      </c>
      <c r="F641" s="5">
        <v>38</v>
      </c>
      <c r="G641" s="5">
        <v>58</v>
      </c>
      <c r="H641" s="5">
        <v>1170</v>
      </c>
      <c r="I641" s="5" t="str">
        <f t="shared" si="34"/>
        <v>Holy_Desc_1060013</v>
      </c>
      <c r="J641" s="4" t="s">
        <v>52</v>
      </c>
      <c r="K641" s="5">
        <f>[1]圣物数值!$C639*10000</f>
        <v>6840</v>
      </c>
      <c r="L641" s="5">
        <v>1060013</v>
      </c>
    </row>
    <row r="642" spans="1:12" x14ac:dyDescent="0.15">
      <c r="A642" s="5">
        <v>7739</v>
      </c>
      <c r="B642" s="5">
        <v>113</v>
      </c>
      <c r="C642" s="5" t="str">
        <f t="shared" si="33"/>
        <v>Holy_Name_1060013</v>
      </c>
      <c r="D642" s="5" t="s">
        <v>51</v>
      </c>
      <c r="E642" s="5">
        <v>3</v>
      </c>
      <c r="F642" s="5">
        <v>39</v>
      </c>
      <c r="G642" s="5">
        <v>60</v>
      </c>
      <c r="H642" s="5">
        <v>1200</v>
      </c>
      <c r="I642" s="5" t="str">
        <f t="shared" si="34"/>
        <v>Holy_Desc_1060013</v>
      </c>
      <c r="J642" s="4" t="s">
        <v>52</v>
      </c>
      <c r="K642" s="5">
        <f>[1]圣物数值!$C640*10000</f>
        <v>7020</v>
      </c>
      <c r="L642" s="5">
        <v>1060013</v>
      </c>
    </row>
    <row r="643" spans="1:12" x14ac:dyDescent="0.15">
      <c r="A643" s="5">
        <v>7740</v>
      </c>
      <c r="B643" s="5">
        <v>113</v>
      </c>
      <c r="C643" s="5" t="str">
        <f t="shared" si="33"/>
        <v>Holy_Name_1060013</v>
      </c>
      <c r="D643" s="5" t="s">
        <v>51</v>
      </c>
      <c r="E643" s="5">
        <v>3</v>
      </c>
      <c r="F643" s="5">
        <v>40</v>
      </c>
      <c r="G643" s="5">
        <v>62</v>
      </c>
      <c r="H643" s="5">
        <v>1230</v>
      </c>
      <c r="I643" s="5" t="str">
        <f t="shared" si="34"/>
        <v>Holy_Desc_1060013</v>
      </c>
      <c r="J643" s="4" t="s">
        <v>52</v>
      </c>
      <c r="K643" s="5">
        <f>[1]圣物数值!$C641*10000</f>
        <v>7200</v>
      </c>
      <c r="L643" s="5">
        <v>1060013</v>
      </c>
    </row>
    <row r="644" spans="1:12" x14ac:dyDescent="0.15">
      <c r="A644" s="5">
        <v>7741</v>
      </c>
      <c r="B644" s="5">
        <v>113</v>
      </c>
      <c r="C644" s="5" t="str">
        <f t="shared" si="33"/>
        <v>Holy_Name_1060013</v>
      </c>
      <c r="D644" s="5" t="s">
        <v>51</v>
      </c>
      <c r="E644" s="5">
        <v>3</v>
      </c>
      <c r="F644" s="5">
        <v>41</v>
      </c>
      <c r="G644" s="5">
        <v>63</v>
      </c>
      <c r="H644" s="5">
        <v>1260</v>
      </c>
      <c r="I644" s="5" t="str">
        <f t="shared" si="34"/>
        <v>Holy_Desc_1060013</v>
      </c>
      <c r="J644" s="4" t="s">
        <v>52</v>
      </c>
      <c r="K644" s="5">
        <f>[1]圣物数值!$C642*10000</f>
        <v>7380</v>
      </c>
      <c r="L644" s="5">
        <v>1060013</v>
      </c>
    </row>
    <row r="645" spans="1:12" x14ac:dyDescent="0.15">
      <c r="A645" s="5">
        <v>7742</v>
      </c>
      <c r="B645" s="5">
        <v>113</v>
      </c>
      <c r="C645" s="5" t="str">
        <f t="shared" si="33"/>
        <v>Holy_Name_1060013</v>
      </c>
      <c r="D645" s="5" t="s">
        <v>51</v>
      </c>
      <c r="E645" s="5">
        <v>3</v>
      </c>
      <c r="F645" s="5">
        <v>42</v>
      </c>
      <c r="G645" s="5">
        <v>65</v>
      </c>
      <c r="H645" s="5">
        <v>1300</v>
      </c>
      <c r="I645" s="5" t="str">
        <f t="shared" si="34"/>
        <v>Holy_Desc_1060013</v>
      </c>
      <c r="J645" s="4" t="s">
        <v>52</v>
      </c>
      <c r="K645" s="5">
        <f>[1]圣物数值!$C643*10000</f>
        <v>7560</v>
      </c>
      <c r="L645" s="5">
        <v>1060013</v>
      </c>
    </row>
    <row r="646" spans="1:12" x14ac:dyDescent="0.15">
      <c r="A646" s="5">
        <v>7743</v>
      </c>
      <c r="B646" s="5">
        <v>113</v>
      </c>
      <c r="C646" s="5" t="str">
        <f t="shared" si="33"/>
        <v>Holy_Name_1060013</v>
      </c>
      <c r="D646" s="5" t="s">
        <v>51</v>
      </c>
      <c r="E646" s="5">
        <v>3</v>
      </c>
      <c r="F646" s="5">
        <v>43</v>
      </c>
      <c r="G646" s="5">
        <v>66</v>
      </c>
      <c r="H646" s="5">
        <v>1330</v>
      </c>
      <c r="I646" s="5" t="str">
        <f t="shared" si="34"/>
        <v>Holy_Desc_1060013</v>
      </c>
      <c r="J646" s="4" t="s">
        <v>52</v>
      </c>
      <c r="K646" s="5">
        <f>[1]圣物数值!$C644*10000</f>
        <v>7740</v>
      </c>
      <c r="L646" s="5">
        <v>1060013</v>
      </c>
    </row>
    <row r="647" spans="1:12" x14ac:dyDescent="0.15">
      <c r="A647" s="5">
        <v>7744</v>
      </c>
      <c r="B647" s="5">
        <v>113</v>
      </c>
      <c r="C647" s="5" t="str">
        <f t="shared" si="33"/>
        <v>Holy_Name_1060013</v>
      </c>
      <c r="D647" s="5" t="s">
        <v>51</v>
      </c>
      <c r="E647" s="5">
        <v>3</v>
      </c>
      <c r="F647" s="5">
        <v>44</v>
      </c>
      <c r="G647" s="5">
        <v>68</v>
      </c>
      <c r="H647" s="5">
        <v>1360</v>
      </c>
      <c r="I647" s="5" t="str">
        <f t="shared" si="34"/>
        <v>Holy_Desc_1060013</v>
      </c>
      <c r="J647" s="4" t="s">
        <v>52</v>
      </c>
      <c r="K647" s="5">
        <f>[1]圣物数值!$C645*10000</f>
        <v>7920</v>
      </c>
      <c r="L647" s="5">
        <v>1060013</v>
      </c>
    </row>
    <row r="648" spans="1:12" x14ac:dyDescent="0.15">
      <c r="A648" s="5">
        <v>7745</v>
      </c>
      <c r="B648" s="5">
        <v>113</v>
      </c>
      <c r="C648" s="5" t="str">
        <f t="shared" si="33"/>
        <v>Holy_Name_1060013</v>
      </c>
      <c r="D648" s="5" t="s">
        <v>51</v>
      </c>
      <c r="E648" s="5">
        <v>3</v>
      </c>
      <c r="F648" s="5">
        <v>45</v>
      </c>
      <c r="G648" s="5">
        <v>70</v>
      </c>
      <c r="H648" s="5">
        <v>1390</v>
      </c>
      <c r="I648" s="5" t="str">
        <f t="shared" si="34"/>
        <v>Holy_Desc_1060013</v>
      </c>
      <c r="J648" s="4" t="s">
        <v>52</v>
      </c>
      <c r="K648" s="5">
        <f>[1]圣物数值!$C646*10000</f>
        <v>8100</v>
      </c>
      <c r="L648" s="5">
        <v>1060013</v>
      </c>
    </row>
    <row r="649" spans="1:12" x14ac:dyDescent="0.15">
      <c r="A649" s="5">
        <v>7746</v>
      </c>
      <c r="B649" s="5">
        <v>113</v>
      </c>
      <c r="C649" s="5" t="str">
        <f t="shared" si="33"/>
        <v>Holy_Name_1060013</v>
      </c>
      <c r="D649" s="5" t="s">
        <v>51</v>
      </c>
      <c r="E649" s="5">
        <v>3</v>
      </c>
      <c r="F649" s="5">
        <v>46</v>
      </c>
      <c r="G649" s="5">
        <v>71</v>
      </c>
      <c r="H649" s="5">
        <v>1420</v>
      </c>
      <c r="I649" s="5" t="str">
        <f t="shared" si="34"/>
        <v>Holy_Desc_1060013</v>
      </c>
      <c r="J649" s="4" t="s">
        <v>52</v>
      </c>
      <c r="K649" s="5">
        <f>[1]圣物数值!$C647*10000</f>
        <v>8280</v>
      </c>
      <c r="L649" s="5">
        <v>1060013</v>
      </c>
    </row>
    <row r="650" spans="1:12" x14ac:dyDescent="0.15">
      <c r="A650" s="5">
        <v>7747</v>
      </c>
      <c r="B650" s="5">
        <v>113</v>
      </c>
      <c r="C650" s="5" t="str">
        <f t="shared" si="33"/>
        <v>Holy_Name_1060013</v>
      </c>
      <c r="D650" s="5" t="s">
        <v>51</v>
      </c>
      <c r="E650" s="5">
        <v>3</v>
      </c>
      <c r="F650" s="5">
        <v>47</v>
      </c>
      <c r="G650" s="5">
        <v>73</v>
      </c>
      <c r="H650" s="5">
        <v>1460</v>
      </c>
      <c r="I650" s="5" t="str">
        <f t="shared" si="34"/>
        <v>Holy_Desc_1060013</v>
      </c>
      <c r="J650" s="4" t="s">
        <v>52</v>
      </c>
      <c r="K650" s="5">
        <f>[1]圣物数值!$C648*10000</f>
        <v>8460</v>
      </c>
      <c r="L650" s="5">
        <v>1060013</v>
      </c>
    </row>
    <row r="651" spans="1:12" x14ac:dyDescent="0.15">
      <c r="A651" s="5">
        <v>7748</v>
      </c>
      <c r="B651" s="5">
        <v>113</v>
      </c>
      <c r="C651" s="5" t="str">
        <f t="shared" si="33"/>
        <v>Holy_Name_1060013</v>
      </c>
      <c r="D651" s="5" t="s">
        <v>51</v>
      </c>
      <c r="E651" s="5">
        <v>3</v>
      </c>
      <c r="F651" s="5">
        <v>48</v>
      </c>
      <c r="G651" s="5">
        <v>74</v>
      </c>
      <c r="H651" s="5">
        <v>1490</v>
      </c>
      <c r="I651" s="5" t="str">
        <f t="shared" si="34"/>
        <v>Holy_Desc_1060013</v>
      </c>
      <c r="J651" s="4" t="s">
        <v>52</v>
      </c>
      <c r="K651" s="5">
        <f>[1]圣物数值!$C649*10000</f>
        <v>8640</v>
      </c>
      <c r="L651" s="5">
        <v>1060013</v>
      </c>
    </row>
    <row r="652" spans="1:12" x14ac:dyDescent="0.15">
      <c r="A652" s="5">
        <v>7749</v>
      </c>
      <c r="B652" s="5">
        <v>113</v>
      </c>
      <c r="C652" s="5" t="str">
        <f t="shared" si="33"/>
        <v>Holy_Name_1060013</v>
      </c>
      <c r="D652" s="5" t="s">
        <v>51</v>
      </c>
      <c r="E652" s="5">
        <v>3</v>
      </c>
      <c r="F652" s="5">
        <v>49</v>
      </c>
      <c r="G652" s="5">
        <v>76</v>
      </c>
      <c r="H652" s="5">
        <v>1520</v>
      </c>
      <c r="I652" s="5" t="str">
        <f t="shared" si="34"/>
        <v>Holy_Desc_1060013</v>
      </c>
      <c r="J652" s="4" t="s">
        <v>52</v>
      </c>
      <c r="K652" s="5">
        <f>[1]圣物数值!$C650*10000</f>
        <v>8820</v>
      </c>
      <c r="L652" s="5">
        <v>1060013</v>
      </c>
    </row>
    <row r="653" spans="1:12" x14ac:dyDescent="0.15">
      <c r="A653" s="5">
        <v>7750</v>
      </c>
      <c r="B653" s="5">
        <v>113</v>
      </c>
      <c r="C653" s="5" t="str">
        <f t="shared" si="33"/>
        <v>Holy_Name_1060013</v>
      </c>
      <c r="D653" s="5" t="s">
        <v>51</v>
      </c>
      <c r="E653" s="5">
        <v>3</v>
      </c>
      <c r="F653" s="5">
        <v>50</v>
      </c>
      <c r="G653" s="5">
        <v>78</v>
      </c>
      <c r="H653" s="5">
        <v>1550</v>
      </c>
      <c r="I653" s="5" t="str">
        <f t="shared" si="34"/>
        <v>Holy_Desc_1060013</v>
      </c>
      <c r="J653" s="4" t="s">
        <v>52</v>
      </c>
      <c r="K653" s="5">
        <f>[1]圣物数值!$C651*10000</f>
        <v>9000</v>
      </c>
      <c r="L653" s="5">
        <v>1060013</v>
      </c>
    </row>
    <row r="654" spans="1:12" x14ac:dyDescent="0.15">
      <c r="A654" s="5">
        <v>7751</v>
      </c>
      <c r="B654" s="5">
        <v>114</v>
      </c>
      <c r="C654" s="5" t="str">
        <f t="shared" si="33"/>
        <v>Holy_Name_1060014</v>
      </c>
      <c r="D654" s="5" t="s">
        <v>53</v>
      </c>
      <c r="E654" s="5">
        <v>3</v>
      </c>
      <c r="F654" s="5">
        <v>1</v>
      </c>
      <c r="G654" s="5">
        <v>0</v>
      </c>
      <c r="H654" s="5">
        <v>0</v>
      </c>
      <c r="I654" s="5" t="str">
        <f t="shared" si="34"/>
        <v>Holy_Desc_1060014</v>
      </c>
      <c r="J654" s="4" t="s">
        <v>54</v>
      </c>
      <c r="K654" s="5">
        <f>[1]圣物数值!$C652*10000</f>
        <v>180</v>
      </c>
      <c r="L654" s="5">
        <v>1060014</v>
      </c>
    </row>
    <row r="655" spans="1:12" x14ac:dyDescent="0.15">
      <c r="A655" s="5">
        <v>7752</v>
      </c>
      <c r="B655" s="5">
        <v>114</v>
      </c>
      <c r="C655" s="5" t="str">
        <f t="shared" si="33"/>
        <v>Holy_Name_1060014</v>
      </c>
      <c r="D655" s="5" t="s">
        <v>53</v>
      </c>
      <c r="E655" s="5">
        <v>3</v>
      </c>
      <c r="F655" s="5">
        <v>2</v>
      </c>
      <c r="G655" s="5">
        <v>1</v>
      </c>
      <c r="H655" s="5">
        <v>30</v>
      </c>
      <c r="I655" s="5" t="str">
        <f t="shared" si="34"/>
        <v>Holy_Desc_1060014</v>
      </c>
      <c r="J655" s="4" t="s">
        <v>54</v>
      </c>
      <c r="K655" s="5">
        <f>[1]圣物数值!$C653*10000</f>
        <v>360</v>
      </c>
      <c r="L655" s="5">
        <v>1060014</v>
      </c>
    </row>
    <row r="656" spans="1:12" x14ac:dyDescent="0.15">
      <c r="A656" s="5">
        <v>7753</v>
      </c>
      <c r="B656" s="5">
        <v>114</v>
      </c>
      <c r="C656" s="5" t="str">
        <f t="shared" si="33"/>
        <v>Holy_Name_1060014</v>
      </c>
      <c r="D656" s="5" t="s">
        <v>53</v>
      </c>
      <c r="E656" s="5">
        <v>3</v>
      </c>
      <c r="F656" s="5">
        <v>3</v>
      </c>
      <c r="G656" s="5">
        <v>2</v>
      </c>
      <c r="H656" s="5">
        <v>50</v>
      </c>
      <c r="I656" s="5" t="str">
        <f t="shared" si="34"/>
        <v>Holy_Desc_1060014</v>
      </c>
      <c r="J656" s="4" t="s">
        <v>54</v>
      </c>
      <c r="K656" s="5">
        <f>[1]圣物数值!$C654*10000</f>
        <v>540</v>
      </c>
      <c r="L656" s="5">
        <v>1060014</v>
      </c>
    </row>
    <row r="657" spans="1:12" x14ac:dyDescent="0.15">
      <c r="A657" s="5">
        <v>7754</v>
      </c>
      <c r="B657" s="5">
        <v>114</v>
      </c>
      <c r="C657" s="5" t="str">
        <f t="shared" si="33"/>
        <v>Holy_Name_1060014</v>
      </c>
      <c r="D657" s="5" t="s">
        <v>53</v>
      </c>
      <c r="E657" s="5">
        <v>3</v>
      </c>
      <c r="F657" s="5">
        <v>4</v>
      </c>
      <c r="G657" s="5">
        <v>4</v>
      </c>
      <c r="H657" s="5">
        <v>80</v>
      </c>
      <c r="I657" s="5" t="str">
        <f t="shared" si="34"/>
        <v>Holy_Desc_1060014</v>
      </c>
      <c r="J657" s="4" t="s">
        <v>54</v>
      </c>
      <c r="K657" s="5">
        <f>[1]圣物数值!$C655*10000</f>
        <v>720</v>
      </c>
      <c r="L657" s="5">
        <v>1060014</v>
      </c>
    </row>
    <row r="658" spans="1:12" x14ac:dyDescent="0.15">
      <c r="A658" s="5">
        <v>7755</v>
      </c>
      <c r="B658" s="5">
        <v>114</v>
      </c>
      <c r="C658" s="5" t="str">
        <f t="shared" si="33"/>
        <v>Holy_Name_1060014</v>
      </c>
      <c r="D658" s="5" t="s">
        <v>53</v>
      </c>
      <c r="E658" s="5">
        <v>3</v>
      </c>
      <c r="F658" s="5">
        <v>5</v>
      </c>
      <c r="G658" s="5">
        <v>6</v>
      </c>
      <c r="H658" s="5">
        <v>110</v>
      </c>
      <c r="I658" s="5" t="str">
        <f t="shared" si="34"/>
        <v>Holy_Desc_1060014</v>
      </c>
      <c r="J658" s="4" t="s">
        <v>54</v>
      </c>
      <c r="K658" s="5">
        <f>[1]圣物数值!$C656*10000</f>
        <v>900</v>
      </c>
      <c r="L658" s="5">
        <v>1060014</v>
      </c>
    </row>
    <row r="659" spans="1:12" x14ac:dyDescent="0.15">
      <c r="A659" s="5">
        <v>7756</v>
      </c>
      <c r="B659" s="5">
        <v>114</v>
      </c>
      <c r="C659" s="5" t="str">
        <f t="shared" si="33"/>
        <v>Holy_Name_1060014</v>
      </c>
      <c r="D659" s="5" t="s">
        <v>53</v>
      </c>
      <c r="E659" s="5">
        <v>3</v>
      </c>
      <c r="F659" s="5">
        <v>6</v>
      </c>
      <c r="G659" s="5">
        <v>7</v>
      </c>
      <c r="H659" s="5">
        <v>140</v>
      </c>
      <c r="I659" s="5" t="str">
        <f t="shared" si="34"/>
        <v>Holy_Desc_1060014</v>
      </c>
      <c r="J659" s="4" t="s">
        <v>54</v>
      </c>
      <c r="K659" s="5">
        <f>[1]圣物数值!$C657*10000</f>
        <v>1080</v>
      </c>
      <c r="L659" s="5">
        <v>1060014</v>
      </c>
    </row>
    <row r="660" spans="1:12" x14ac:dyDescent="0.15">
      <c r="A660" s="5">
        <v>7757</v>
      </c>
      <c r="B660" s="5">
        <v>114</v>
      </c>
      <c r="C660" s="5" t="str">
        <f t="shared" si="33"/>
        <v>Holy_Name_1060014</v>
      </c>
      <c r="D660" s="5" t="s">
        <v>53</v>
      </c>
      <c r="E660" s="5">
        <v>3</v>
      </c>
      <c r="F660" s="5">
        <v>7</v>
      </c>
      <c r="G660" s="5">
        <v>9</v>
      </c>
      <c r="H660" s="5">
        <v>180</v>
      </c>
      <c r="I660" s="5" t="str">
        <f t="shared" si="34"/>
        <v>Holy_Desc_1060014</v>
      </c>
      <c r="J660" s="4" t="s">
        <v>54</v>
      </c>
      <c r="K660" s="5">
        <f>[1]圣物数值!$C658*10000</f>
        <v>1260</v>
      </c>
      <c r="L660" s="5">
        <v>1060014</v>
      </c>
    </row>
    <row r="661" spans="1:12" x14ac:dyDescent="0.15">
      <c r="A661" s="5">
        <v>7758</v>
      </c>
      <c r="B661" s="5">
        <v>114</v>
      </c>
      <c r="C661" s="5" t="str">
        <f t="shared" si="33"/>
        <v>Holy_Name_1060014</v>
      </c>
      <c r="D661" s="5" t="s">
        <v>53</v>
      </c>
      <c r="E661" s="5">
        <v>3</v>
      </c>
      <c r="F661" s="5">
        <v>8</v>
      </c>
      <c r="G661" s="5">
        <v>10</v>
      </c>
      <c r="H661" s="5">
        <v>210</v>
      </c>
      <c r="I661" s="5" t="str">
        <f t="shared" si="34"/>
        <v>Holy_Desc_1060014</v>
      </c>
      <c r="J661" s="4" t="s">
        <v>54</v>
      </c>
      <c r="K661" s="5">
        <f>[1]圣物数值!$C659*10000</f>
        <v>1440</v>
      </c>
      <c r="L661" s="5">
        <v>1060014</v>
      </c>
    </row>
    <row r="662" spans="1:12" x14ac:dyDescent="0.15">
      <c r="A662" s="5">
        <v>7759</v>
      </c>
      <c r="B662" s="5">
        <v>114</v>
      </c>
      <c r="C662" s="5" t="str">
        <f t="shared" si="33"/>
        <v>Holy_Name_1060014</v>
      </c>
      <c r="D662" s="5" t="s">
        <v>53</v>
      </c>
      <c r="E662" s="5">
        <v>3</v>
      </c>
      <c r="F662" s="5">
        <v>9</v>
      </c>
      <c r="G662" s="5">
        <v>12</v>
      </c>
      <c r="H662" s="5">
        <v>240</v>
      </c>
      <c r="I662" s="5" t="str">
        <f t="shared" si="34"/>
        <v>Holy_Desc_1060014</v>
      </c>
      <c r="J662" s="4" t="s">
        <v>54</v>
      </c>
      <c r="K662" s="5">
        <f>[1]圣物数值!$C660*10000</f>
        <v>1620</v>
      </c>
      <c r="L662" s="5">
        <v>1060014</v>
      </c>
    </row>
    <row r="663" spans="1:12" x14ac:dyDescent="0.15">
      <c r="A663" s="5">
        <v>7760</v>
      </c>
      <c r="B663" s="5">
        <v>114</v>
      </c>
      <c r="C663" s="5" t="str">
        <f t="shared" si="33"/>
        <v>Holy_Name_1060014</v>
      </c>
      <c r="D663" s="5" t="s">
        <v>53</v>
      </c>
      <c r="E663" s="5">
        <v>3</v>
      </c>
      <c r="F663" s="5">
        <v>10</v>
      </c>
      <c r="G663" s="5">
        <v>14</v>
      </c>
      <c r="H663" s="5">
        <v>270</v>
      </c>
      <c r="I663" s="5" t="str">
        <f t="shared" si="34"/>
        <v>Holy_Desc_1060014</v>
      </c>
      <c r="J663" s="4" t="s">
        <v>54</v>
      </c>
      <c r="K663" s="5">
        <f>[1]圣物数值!$C661*10000</f>
        <v>1800</v>
      </c>
      <c r="L663" s="5">
        <v>1060014</v>
      </c>
    </row>
    <row r="664" spans="1:12" x14ac:dyDescent="0.15">
      <c r="A664" s="5">
        <v>7761</v>
      </c>
      <c r="B664" s="5">
        <v>114</v>
      </c>
      <c r="C664" s="5" t="str">
        <f t="shared" ref="C664:C703" si="35">"Holy_Name_"&amp;L664</f>
        <v>Holy_Name_1060014</v>
      </c>
      <c r="D664" s="5" t="s">
        <v>53</v>
      </c>
      <c r="E664" s="5">
        <v>3</v>
      </c>
      <c r="F664" s="5">
        <v>11</v>
      </c>
      <c r="G664" s="5">
        <v>15</v>
      </c>
      <c r="H664" s="5">
        <v>300</v>
      </c>
      <c r="I664" s="5" t="str">
        <f t="shared" ref="I664:I703" si="36">"Holy_Desc_"&amp;L664</f>
        <v>Holy_Desc_1060014</v>
      </c>
      <c r="J664" s="4" t="s">
        <v>54</v>
      </c>
      <c r="K664" s="5">
        <f>[1]圣物数值!$C662*10000</f>
        <v>1980</v>
      </c>
      <c r="L664" s="5">
        <v>1060014</v>
      </c>
    </row>
    <row r="665" spans="1:12" x14ac:dyDescent="0.15">
      <c r="A665" s="5">
        <v>7762</v>
      </c>
      <c r="B665" s="5">
        <v>114</v>
      </c>
      <c r="C665" s="5" t="str">
        <f t="shared" si="35"/>
        <v>Holy_Name_1060014</v>
      </c>
      <c r="D665" s="5" t="s">
        <v>53</v>
      </c>
      <c r="E665" s="5">
        <v>3</v>
      </c>
      <c r="F665" s="5">
        <v>12</v>
      </c>
      <c r="G665" s="5">
        <v>17</v>
      </c>
      <c r="H665" s="5">
        <v>340</v>
      </c>
      <c r="I665" s="5" t="str">
        <f t="shared" si="36"/>
        <v>Holy_Desc_1060014</v>
      </c>
      <c r="J665" s="4" t="s">
        <v>54</v>
      </c>
      <c r="K665" s="5">
        <f>[1]圣物数值!$C663*10000</f>
        <v>2160</v>
      </c>
      <c r="L665" s="5">
        <v>1060014</v>
      </c>
    </row>
    <row r="666" spans="1:12" x14ac:dyDescent="0.15">
      <c r="A666" s="5">
        <v>7763</v>
      </c>
      <c r="B666" s="5">
        <v>114</v>
      </c>
      <c r="C666" s="5" t="str">
        <f t="shared" si="35"/>
        <v>Holy_Name_1060014</v>
      </c>
      <c r="D666" s="5" t="s">
        <v>53</v>
      </c>
      <c r="E666" s="5">
        <v>3</v>
      </c>
      <c r="F666" s="5">
        <v>13</v>
      </c>
      <c r="G666" s="5">
        <v>18</v>
      </c>
      <c r="H666" s="5">
        <v>370</v>
      </c>
      <c r="I666" s="5" t="str">
        <f t="shared" si="36"/>
        <v>Holy_Desc_1060014</v>
      </c>
      <c r="J666" s="4" t="s">
        <v>54</v>
      </c>
      <c r="K666" s="5">
        <f>[1]圣物数值!$C664*10000</f>
        <v>2340</v>
      </c>
      <c r="L666" s="5">
        <v>1060014</v>
      </c>
    </row>
    <row r="667" spans="1:12" x14ac:dyDescent="0.15">
      <c r="A667" s="5">
        <v>7764</v>
      </c>
      <c r="B667" s="5">
        <v>114</v>
      </c>
      <c r="C667" s="5" t="str">
        <f t="shared" si="35"/>
        <v>Holy_Name_1060014</v>
      </c>
      <c r="D667" s="5" t="s">
        <v>53</v>
      </c>
      <c r="E667" s="5">
        <v>3</v>
      </c>
      <c r="F667" s="5">
        <v>14</v>
      </c>
      <c r="G667" s="5">
        <v>20</v>
      </c>
      <c r="H667" s="5">
        <v>400</v>
      </c>
      <c r="I667" s="5" t="str">
        <f t="shared" si="36"/>
        <v>Holy_Desc_1060014</v>
      </c>
      <c r="J667" s="4" t="s">
        <v>54</v>
      </c>
      <c r="K667" s="5">
        <f>[1]圣物数值!$C665*10000</f>
        <v>2520</v>
      </c>
      <c r="L667" s="5">
        <v>1060014</v>
      </c>
    </row>
    <row r="668" spans="1:12" x14ac:dyDescent="0.15">
      <c r="A668" s="5">
        <v>7765</v>
      </c>
      <c r="B668" s="5">
        <v>114</v>
      </c>
      <c r="C668" s="5" t="str">
        <f t="shared" si="35"/>
        <v>Holy_Name_1060014</v>
      </c>
      <c r="D668" s="5" t="s">
        <v>53</v>
      </c>
      <c r="E668" s="5">
        <v>3</v>
      </c>
      <c r="F668" s="5">
        <v>15</v>
      </c>
      <c r="G668" s="5">
        <v>22</v>
      </c>
      <c r="H668" s="5">
        <v>430</v>
      </c>
      <c r="I668" s="5" t="str">
        <f t="shared" si="36"/>
        <v>Holy_Desc_1060014</v>
      </c>
      <c r="J668" s="4" t="s">
        <v>54</v>
      </c>
      <c r="K668" s="5">
        <f>[1]圣物数值!$C666*10000</f>
        <v>2700</v>
      </c>
      <c r="L668" s="5">
        <v>1060014</v>
      </c>
    </row>
    <row r="669" spans="1:12" x14ac:dyDescent="0.15">
      <c r="A669" s="5">
        <v>7766</v>
      </c>
      <c r="B669" s="5">
        <v>114</v>
      </c>
      <c r="C669" s="5" t="str">
        <f t="shared" si="35"/>
        <v>Holy_Name_1060014</v>
      </c>
      <c r="D669" s="5" t="s">
        <v>53</v>
      </c>
      <c r="E669" s="5">
        <v>3</v>
      </c>
      <c r="F669" s="5">
        <v>16</v>
      </c>
      <c r="G669" s="5">
        <v>23</v>
      </c>
      <c r="H669" s="5">
        <v>460</v>
      </c>
      <c r="I669" s="5" t="str">
        <f t="shared" si="36"/>
        <v>Holy_Desc_1060014</v>
      </c>
      <c r="J669" s="4" t="s">
        <v>54</v>
      </c>
      <c r="K669" s="5">
        <f>[1]圣物数值!$C667*10000</f>
        <v>2880</v>
      </c>
      <c r="L669" s="5">
        <v>1060014</v>
      </c>
    </row>
    <row r="670" spans="1:12" x14ac:dyDescent="0.15">
      <c r="A670" s="5">
        <v>7767</v>
      </c>
      <c r="B670" s="5">
        <v>114</v>
      </c>
      <c r="C670" s="5" t="str">
        <f t="shared" si="35"/>
        <v>Holy_Name_1060014</v>
      </c>
      <c r="D670" s="5" t="s">
        <v>53</v>
      </c>
      <c r="E670" s="5">
        <v>3</v>
      </c>
      <c r="F670" s="5">
        <v>17</v>
      </c>
      <c r="G670" s="5">
        <v>25</v>
      </c>
      <c r="H670" s="5">
        <v>500</v>
      </c>
      <c r="I670" s="5" t="str">
        <f t="shared" si="36"/>
        <v>Holy_Desc_1060014</v>
      </c>
      <c r="J670" s="4" t="s">
        <v>54</v>
      </c>
      <c r="K670" s="5">
        <f>[1]圣物数值!$C668*10000</f>
        <v>3060</v>
      </c>
      <c r="L670" s="5">
        <v>1060014</v>
      </c>
    </row>
    <row r="671" spans="1:12" x14ac:dyDescent="0.15">
      <c r="A671" s="5">
        <v>7768</v>
      </c>
      <c r="B671" s="5">
        <v>114</v>
      </c>
      <c r="C671" s="5" t="str">
        <f t="shared" si="35"/>
        <v>Holy_Name_1060014</v>
      </c>
      <c r="D671" s="5" t="s">
        <v>53</v>
      </c>
      <c r="E671" s="5">
        <v>3</v>
      </c>
      <c r="F671" s="5">
        <v>18</v>
      </c>
      <c r="G671" s="5">
        <v>26</v>
      </c>
      <c r="H671" s="5">
        <v>530</v>
      </c>
      <c r="I671" s="5" t="str">
        <f t="shared" si="36"/>
        <v>Holy_Desc_1060014</v>
      </c>
      <c r="J671" s="4" t="s">
        <v>54</v>
      </c>
      <c r="K671" s="5">
        <f>[1]圣物数值!$C669*10000</f>
        <v>3240</v>
      </c>
      <c r="L671" s="5">
        <v>1060014</v>
      </c>
    </row>
    <row r="672" spans="1:12" x14ac:dyDescent="0.15">
      <c r="A672" s="5">
        <v>7769</v>
      </c>
      <c r="B672" s="5">
        <v>114</v>
      </c>
      <c r="C672" s="5" t="str">
        <f t="shared" si="35"/>
        <v>Holy_Name_1060014</v>
      </c>
      <c r="D672" s="5" t="s">
        <v>53</v>
      </c>
      <c r="E672" s="5">
        <v>3</v>
      </c>
      <c r="F672" s="5">
        <v>19</v>
      </c>
      <c r="G672" s="5">
        <v>28</v>
      </c>
      <c r="H672" s="5">
        <v>560</v>
      </c>
      <c r="I672" s="5" t="str">
        <f t="shared" si="36"/>
        <v>Holy_Desc_1060014</v>
      </c>
      <c r="J672" s="4" t="s">
        <v>54</v>
      </c>
      <c r="K672" s="5">
        <f>[1]圣物数值!$C670*10000</f>
        <v>3420</v>
      </c>
      <c r="L672" s="5">
        <v>1060014</v>
      </c>
    </row>
    <row r="673" spans="1:12" x14ac:dyDescent="0.15">
      <c r="A673" s="5">
        <v>7770</v>
      </c>
      <c r="B673" s="5">
        <v>114</v>
      </c>
      <c r="C673" s="5" t="str">
        <f t="shared" si="35"/>
        <v>Holy_Name_1060014</v>
      </c>
      <c r="D673" s="5" t="s">
        <v>53</v>
      </c>
      <c r="E673" s="5">
        <v>3</v>
      </c>
      <c r="F673" s="5">
        <v>20</v>
      </c>
      <c r="G673" s="5">
        <v>30</v>
      </c>
      <c r="H673" s="5">
        <v>590</v>
      </c>
      <c r="I673" s="5" t="str">
        <f t="shared" si="36"/>
        <v>Holy_Desc_1060014</v>
      </c>
      <c r="J673" s="4" t="s">
        <v>54</v>
      </c>
      <c r="K673" s="5">
        <f>[1]圣物数值!$C671*10000</f>
        <v>3600</v>
      </c>
      <c r="L673" s="5">
        <v>1060014</v>
      </c>
    </row>
    <row r="674" spans="1:12" x14ac:dyDescent="0.15">
      <c r="A674" s="5">
        <v>7771</v>
      </c>
      <c r="B674" s="5">
        <v>114</v>
      </c>
      <c r="C674" s="5" t="str">
        <f t="shared" si="35"/>
        <v>Holy_Name_1060014</v>
      </c>
      <c r="D674" s="5" t="s">
        <v>53</v>
      </c>
      <c r="E674" s="5">
        <v>3</v>
      </c>
      <c r="F674" s="5">
        <v>21</v>
      </c>
      <c r="G674" s="5">
        <v>31</v>
      </c>
      <c r="H674" s="5">
        <v>620</v>
      </c>
      <c r="I674" s="5" t="str">
        <f t="shared" si="36"/>
        <v>Holy_Desc_1060014</v>
      </c>
      <c r="J674" s="4" t="s">
        <v>54</v>
      </c>
      <c r="K674" s="5">
        <f>[1]圣物数值!$C672*10000</f>
        <v>3780</v>
      </c>
      <c r="L674" s="5">
        <v>1060014</v>
      </c>
    </row>
    <row r="675" spans="1:12" x14ac:dyDescent="0.15">
      <c r="A675" s="5">
        <v>7772</v>
      </c>
      <c r="B675" s="5">
        <v>114</v>
      </c>
      <c r="C675" s="5" t="str">
        <f t="shared" si="35"/>
        <v>Holy_Name_1060014</v>
      </c>
      <c r="D675" s="5" t="s">
        <v>53</v>
      </c>
      <c r="E675" s="5">
        <v>3</v>
      </c>
      <c r="F675" s="5">
        <v>22</v>
      </c>
      <c r="G675" s="5">
        <v>33</v>
      </c>
      <c r="H675" s="5">
        <v>660</v>
      </c>
      <c r="I675" s="5" t="str">
        <f t="shared" si="36"/>
        <v>Holy_Desc_1060014</v>
      </c>
      <c r="J675" s="4" t="s">
        <v>54</v>
      </c>
      <c r="K675" s="5">
        <f>[1]圣物数值!$C673*10000</f>
        <v>3960</v>
      </c>
      <c r="L675" s="5">
        <v>1060014</v>
      </c>
    </row>
    <row r="676" spans="1:12" x14ac:dyDescent="0.15">
      <c r="A676" s="5">
        <v>7773</v>
      </c>
      <c r="B676" s="5">
        <v>114</v>
      </c>
      <c r="C676" s="5" t="str">
        <f t="shared" si="35"/>
        <v>Holy_Name_1060014</v>
      </c>
      <c r="D676" s="5" t="s">
        <v>53</v>
      </c>
      <c r="E676" s="5">
        <v>3</v>
      </c>
      <c r="F676" s="5">
        <v>23</v>
      </c>
      <c r="G676" s="5">
        <v>34</v>
      </c>
      <c r="H676" s="5">
        <v>690</v>
      </c>
      <c r="I676" s="5" t="str">
        <f t="shared" si="36"/>
        <v>Holy_Desc_1060014</v>
      </c>
      <c r="J676" s="4" t="s">
        <v>54</v>
      </c>
      <c r="K676" s="5">
        <f>[1]圣物数值!$C674*10000</f>
        <v>4140</v>
      </c>
      <c r="L676" s="5">
        <v>1060014</v>
      </c>
    </row>
    <row r="677" spans="1:12" x14ac:dyDescent="0.15">
      <c r="A677" s="5">
        <v>7774</v>
      </c>
      <c r="B677" s="5">
        <v>114</v>
      </c>
      <c r="C677" s="5" t="str">
        <f t="shared" si="35"/>
        <v>Holy_Name_1060014</v>
      </c>
      <c r="D677" s="5" t="s">
        <v>53</v>
      </c>
      <c r="E677" s="5">
        <v>3</v>
      </c>
      <c r="F677" s="5">
        <v>24</v>
      </c>
      <c r="G677" s="5">
        <v>36</v>
      </c>
      <c r="H677" s="5">
        <v>720</v>
      </c>
      <c r="I677" s="5" t="str">
        <f t="shared" si="36"/>
        <v>Holy_Desc_1060014</v>
      </c>
      <c r="J677" s="4" t="s">
        <v>54</v>
      </c>
      <c r="K677" s="5">
        <f>[1]圣物数值!$C675*10000</f>
        <v>4320</v>
      </c>
      <c r="L677" s="5">
        <v>1060014</v>
      </c>
    </row>
    <row r="678" spans="1:12" x14ac:dyDescent="0.15">
      <c r="A678" s="5">
        <v>7775</v>
      </c>
      <c r="B678" s="5">
        <v>114</v>
      </c>
      <c r="C678" s="5" t="str">
        <f t="shared" si="35"/>
        <v>Holy_Name_1060014</v>
      </c>
      <c r="D678" s="5" t="s">
        <v>53</v>
      </c>
      <c r="E678" s="5">
        <v>3</v>
      </c>
      <c r="F678" s="5">
        <v>25</v>
      </c>
      <c r="G678" s="5">
        <v>38</v>
      </c>
      <c r="H678" s="5">
        <v>750</v>
      </c>
      <c r="I678" s="5" t="str">
        <f t="shared" si="36"/>
        <v>Holy_Desc_1060014</v>
      </c>
      <c r="J678" s="4" t="s">
        <v>54</v>
      </c>
      <c r="K678" s="5">
        <f>[1]圣物数值!$C676*10000</f>
        <v>4500</v>
      </c>
      <c r="L678" s="5">
        <v>1060014</v>
      </c>
    </row>
    <row r="679" spans="1:12" x14ac:dyDescent="0.15">
      <c r="A679" s="5">
        <v>7776</v>
      </c>
      <c r="B679" s="5">
        <v>114</v>
      </c>
      <c r="C679" s="5" t="str">
        <f t="shared" si="35"/>
        <v>Holy_Name_1060014</v>
      </c>
      <c r="D679" s="5" t="s">
        <v>53</v>
      </c>
      <c r="E679" s="5">
        <v>3</v>
      </c>
      <c r="F679" s="5">
        <v>26</v>
      </c>
      <c r="G679" s="5">
        <v>39</v>
      </c>
      <c r="H679" s="5">
        <v>780</v>
      </c>
      <c r="I679" s="5" t="str">
        <f t="shared" si="36"/>
        <v>Holy_Desc_1060014</v>
      </c>
      <c r="J679" s="4" t="s">
        <v>54</v>
      </c>
      <c r="K679" s="5">
        <f>[1]圣物数值!$C677*10000</f>
        <v>4680</v>
      </c>
      <c r="L679" s="5">
        <v>1060014</v>
      </c>
    </row>
    <row r="680" spans="1:12" x14ac:dyDescent="0.15">
      <c r="A680" s="5">
        <v>7777</v>
      </c>
      <c r="B680" s="5">
        <v>114</v>
      </c>
      <c r="C680" s="5" t="str">
        <f t="shared" si="35"/>
        <v>Holy_Name_1060014</v>
      </c>
      <c r="D680" s="5" t="s">
        <v>53</v>
      </c>
      <c r="E680" s="5">
        <v>3</v>
      </c>
      <c r="F680" s="5">
        <v>27</v>
      </c>
      <c r="G680" s="5">
        <v>41</v>
      </c>
      <c r="H680" s="5">
        <v>820</v>
      </c>
      <c r="I680" s="5" t="str">
        <f t="shared" si="36"/>
        <v>Holy_Desc_1060014</v>
      </c>
      <c r="J680" s="4" t="s">
        <v>54</v>
      </c>
      <c r="K680" s="5">
        <f>[1]圣物数值!$C678*10000</f>
        <v>4860</v>
      </c>
      <c r="L680" s="5">
        <v>1060014</v>
      </c>
    </row>
    <row r="681" spans="1:12" x14ac:dyDescent="0.15">
      <c r="A681" s="5">
        <v>7778</v>
      </c>
      <c r="B681" s="5">
        <v>114</v>
      </c>
      <c r="C681" s="5" t="str">
        <f t="shared" si="35"/>
        <v>Holy_Name_1060014</v>
      </c>
      <c r="D681" s="5" t="s">
        <v>53</v>
      </c>
      <c r="E681" s="5">
        <v>3</v>
      </c>
      <c r="F681" s="5">
        <v>28</v>
      </c>
      <c r="G681" s="5">
        <v>42</v>
      </c>
      <c r="H681" s="5">
        <v>850</v>
      </c>
      <c r="I681" s="5" t="str">
        <f t="shared" si="36"/>
        <v>Holy_Desc_1060014</v>
      </c>
      <c r="J681" s="4" t="s">
        <v>54</v>
      </c>
      <c r="K681" s="5">
        <f>[1]圣物数值!$C679*10000</f>
        <v>5040</v>
      </c>
      <c r="L681" s="5">
        <v>1060014</v>
      </c>
    </row>
    <row r="682" spans="1:12" x14ac:dyDescent="0.15">
      <c r="A682" s="5">
        <v>7779</v>
      </c>
      <c r="B682" s="5">
        <v>114</v>
      </c>
      <c r="C682" s="5" t="str">
        <f t="shared" si="35"/>
        <v>Holy_Name_1060014</v>
      </c>
      <c r="D682" s="5" t="s">
        <v>53</v>
      </c>
      <c r="E682" s="5">
        <v>3</v>
      </c>
      <c r="F682" s="5">
        <v>29</v>
      </c>
      <c r="G682" s="5">
        <v>44</v>
      </c>
      <c r="H682" s="5">
        <v>880</v>
      </c>
      <c r="I682" s="5" t="str">
        <f t="shared" si="36"/>
        <v>Holy_Desc_1060014</v>
      </c>
      <c r="J682" s="4" t="s">
        <v>54</v>
      </c>
      <c r="K682" s="5">
        <f>[1]圣物数值!$C680*10000</f>
        <v>5220</v>
      </c>
      <c r="L682" s="5">
        <v>1060014</v>
      </c>
    </row>
    <row r="683" spans="1:12" x14ac:dyDescent="0.15">
      <c r="A683" s="5">
        <v>7780</v>
      </c>
      <c r="B683" s="5">
        <v>114</v>
      </c>
      <c r="C683" s="5" t="str">
        <f t="shared" si="35"/>
        <v>Holy_Name_1060014</v>
      </c>
      <c r="D683" s="5" t="s">
        <v>53</v>
      </c>
      <c r="E683" s="5">
        <v>3</v>
      </c>
      <c r="F683" s="5">
        <v>30</v>
      </c>
      <c r="G683" s="5">
        <v>46</v>
      </c>
      <c r="H683" s="5">
        <v>910</v>
      </c>
      <c r="I683" s="5" t="str">
        <f t="shared" si="36"/>
        <v>Holy_Desc_1060014</v>
      </c>
      <c r="J683" s="4" t="s">
        <v>54</v>
      </c>
      <c r="K683" s="5">
        <f>[1]圣物数值!$C681*10000</f>
        <v>5400</v>
      </c>
      <c r="L683" s="5">
        <v>1060014</v>
      </c>
    </row>
    <row r="684" spans="1:12" x14ac:dyDescent="0.15">
      <c r="A684" s="5">
        <v>7781</v>
      </c>
      <c r="B684" s="5">
        <v>114</v>
      </c>
      <c r="C684" s="5" t="str">
        <f t="shared" si="35"/>
        <v>Holy_Name_1060014</v>
      </c>
      <c r="D684" s="5" t="s">
        <v>53</v>
      </c>
      <c r="E684" s="5">
        <v>3</v>
      </c>
      <c r="F684" s="5">
        <v>31</v>
      </c>
      <c r="G684" s="5">
        <v>47</v>
      </c>
      <c r="H684" s="5">
        <v>940</v>
      </c>
      <c r="I684" s="5" t="str">
        <f t="shared" si="36"/>
        <v>Holy_Desc_1060014</v>
      </c>
      <c r="J684" s="4" t="s">
        <v>54</v>
      </c>
      <c r="K684" s="5">
        <f>[1]圣物数值!$C682*10000</f>
        <v>5580</v>
      </c>
      <c r="L684" s="5">
        <v>1060014</v>
      </c>
    </row>
    <row r="685" spans="1:12" x14ac:dyDescent="0.15">
      <c r="A685" s="5">
        <v>7782</v>
      </c>
      <c r="B685" s="5">
        <v>114</v>
      </c>
      <c r="C685" s="5" t="str">
        <f t="shared" si="35"/>
        <v>Holy_Name_1060014</v>
      </c>
      <c r="D685" s="5" t="s">
        <v>53</v>
      </c>
      <c r="E685" s="5">
        <v>3</v>
      </c>
      <c r="F685" s="5">
        <v>32</v>
      </c>
      <c r="G685" s="5">
        <v>49</v>
      </c>
      <c r="H685" s="5">
        <v>980</v>
      </c>
      <c r="I685" s="5" t="str">
        <f t="shared" si="36"/>
        <v>Holy_Desc_1060014</v>
      </c>
      <c r="J685" s="4" t="s">
        <v>54</v>
      </c>
      <c r="K685" s="5">
        <f>[1]圣物数值!$C683*10000</f>
        <v>5760</v>
      </c>
      <c r="L685" s="5">
        <v>1060014</v>
      </c>
    </row>
    <row r="686" spans="1:12" x14ac:dyDescent="0.15">
      <c r="A686" s="5">
        <v>7783</v>
      </c>
      <c r="B686" s="5">
        <v>114</v>
      </c>
      <c r="C686" s="5" t="str">
        <f t="shared" si="35"/>
        <v>Holy_Name_1060014</v>
      </c>
      <c r="D686" s="5" t="s">
        <v>53</v>
      </c>
      <c r="E686" s="5">
        <v>3</v>
      </c>
      <c r="F686" s="5">
        <v>33</v>
      </c>
      <c r="G686" s="5">
        <v>50</v>
      </c>
      <c r="H686" s="5">
        <v>1010</v>
      </c>
      <c r="I686" s="5" t="str">
        <f t="shared" si="36"/>
        <v>Holy_Desc_1060014</v>
      </c>
      <c r="J686" s="4" t="s">
        <v>54</v>
      </c>
      <c r="K686" s="5">
        <f>[1]圣物数值!$C684*10000</f>
        <v>5940</v>
      </c>
      <c r="L686" s="5">
        <v>1060014</v>
      </c>
    </row>
    <row r="687" spans="1:12" x14ac:dyDescent="0.15">
      <c r="A687" s="5">
        <v>7784</v>
      </c>
      <c r="B687" s="5">
        <v>114</v>
      </c>
      <c r="C687" s="5" t="str">
        <f t="shared" si="35"/>
        <v>Holy_Name_1060014</v>
      </c>
      <c r="D687" s="5" t="s">
        <v>53</v>
      </c>
      <c r="E687" s="5">
        <v>3</v>
      </c>
      <c r="F687" s="5">
        <v>34</v>
      </c>
      <c r="G687" s="5">
        <v>52</v>
      </c>
      <c r="H687" s="5">
        <v>1040</v>
      </c>
      <c r="I687" s="5" t="str">
        <f t="shared" si="36"/>
        <v>Holy_Desc_1060014</v>
      </c>
      <c r="J687" s="4" t="s">
        <v>54</v>
      </c>
      <c r="K687" s="5">
        <f>[1]圣物数值!$C685*10000</f>
        <v>6120</v>
      </c>
      <c r="L687" s="5">
        <v>1060014</v>
      </c>
    </row>
    <row r="688" spans="1:12" x14ac:dyDescent="0.15">
      <c r="A688" s="5">
        <v>7785</v>
      </c>
      <c r="B688" s="5">
        <v>114</v>
      </c>
      <c r="C688" s="5" t="str">
        <f t="shared" si="35"/>
        <v>Holy_Name_1060014</v>
      </c>
      <c r="D688" s="5" t="s">
        <v>53</v>
      </c>
      <c r="E688" s="5">
        <v>3</v>
      </c>
      <c r="F688" s="5">
        <v>35</v>
      </c>
      <c r="G688" s="5">
        <v>54</v>
      </c>
      <c r="H688" s="5">
        <v>1070</v>
      </c>
      <c r="I688" s="5" t="str">
        <f t="shared" si="36"/>
        <v>Holy_Desc_1060014</v>
      </c>
      <c r="J688" s="4" t="s">
        <v>54</v>
      </c>
      <c r="K688" s="5">
        <f>[1]圣物数值!$C686*10000</f>
        <v>6300</v>
      </c>
      <c r="L688" s="5">
        <v>1060014</v>
      </c>
    </row>
    <row r="689" spans="1:12" x14ac:dyDescent="0.15">
      <c r="A689" s="5">
        <v>7786</v>
      </c>
      <c r="B689" s="5">
        <v>114</v>
      </c>
      <c r="C689" s="5" t="str">
        <f t="shared" si="35"/>
        <v>Holy_Name_1060014</v>
      </c>
      <c r="D689" s="5" t="s">
        <v>53</v>
      </c>
      <c r="E689" s="5">
        <v>3</v>
      </c>
      <c r="F689" s="5">
        <v>36</v>
      </c>
      <c r="G689" s="5">
        <v>55</v>
      </c>
      <c r="H689" s="5">
        <v>1100</v>
      </c>
      <c r="I689" s="5" t="str">
        <f t="shared" si="36"/>
        <v>Holy_Desc_1060014</v>
      </c>
      <c r="J689" s="4" t="s">
        <v>54</v>
      </c>
      <c r="K689" s="5">
        <f>[1]圣物数值!$C687*10000</f>
        <v>6480</v>
      </c>
      <c r="L689" s="5">
        <v>1060014</v>
      </c>
    </row>
    <row r="690" spans="1:12" x14ac:dyDescent="0.15">
      <c r="A690" s="5">
        <v>7787</v>
      </c>
      <c r="B690" s="5">
        <v>114</v>
      </c>
      <c r="C690" s="5" t="str">
        <f t="shared" si="35"/>
        <v>Holy_Name_1060014</v>
      </c>
      <c r="D690" s="5" t="s">
        <v>53</v>
      </c>
      <c r="E690" s="5">
        <v>3</v>
      </c>
      <c r="F690" s="5">
        <v>37</v>
      </c>
      <c r="G690" s="5">
        <v>57</v>
      </c>
      <c r="H690" s="5">
        <v>1140</v>
      </c>
      <c r="I690" s="5" t="str">
        <f t="shared" si="36"/>
        <v>Holy_Desc_1060014</v>
      </c>
      <c r="J690" s="4" t="s">
        <v>54</v>
      </c>
      <c r="K690" s="5">
        <f>[1]圣物数值!$C688*10000</f>
        <v>6660</v>
      </c>
      <c r="L690" s="5">
        <v>1060014</v>
      </c>
    </row>
    <row r="691" spans="1:12" x14ac:dyDescent="0.15">
      <c r="A691" s="5">
        <v>7788</v>
      </c>
      <c r="B691" s="5">
        <v>114</v>
      </c>
      <c r="C691" s="5" t="str">
        <f t="shared" si="35"/>
        <v>Holy_Name_1060014</v>
      </c>
      <c r="D691" s="5" t="s">
        <v>53</v>
      </c>
      <c r="E691" s="5">
        <v>3</v>
      </c>
      <c r="F691" s="5">
        <v>38</v>
      </c>
      <c r="G691" s="5">
        <v>58</v>
      </c>
      <c r="H691" s="5">
        <v>1170</v>
      </c>
      <c r="I691" s="5" t="str">
        <f t="shared" si="36"/>
        <v>Holy_Desc_1060014</v>
      </c>
      <c r="J691" s="4" t="s">
        <v>54</v>
      </c>
      <c r="K691" s="5">
        <f>[1]圣物数值!$C689*10000</f>
        <v>6840</v>
      </c>
      <c r="L691" s="5">
        <v>1060014</v>
      </c>
    </row>
    <row r="692" spans="1:12" x14ac:dyDescent="0.15">
      <c r="A692" s="5">
        <v>7789</v>
      </c>
      <c r="B692" s="5">
        <v>114</v>
      </c>
      <c r="C692" s="5" t="str">
        <f t="shared" si="35"/>
        <v>Holy_Name_1060014</v>
      </c>
      <c r="D692" s="5" t="s">
        <v>53</v>
      </c>
      <c r="E692" s="5">
        <v>3</v>
      </c>
      <c r="F692" s="5">
        <v>39</v>
      </c>
      <c r="G692" s="5">
        <v>60</v>
      </c>
      <c r="H692" s="5">
        <v>1200</v>
      </c>
      <c r="I692" s="5" t="str">
        <f t="shared" si="36"/>
        <v>Holy_Desc_1060014</v>
      </c>
      <c r="J692" s="4" t="s">
        <v>54</v>
      </c>
      <c r="K692" s="5">
        <f>[1]圣物数值!$C690*10000</f>
        <v>7020</v>
      </c>
      <c r="L692" s="5">
        <v>1060014</v>
      </c>
    </row>
    <row r="693" spans="1:12" x14ac:dyDescent="0.15">
      <c r="A693" s="5">
        <v>7790</v>
      </c>
      <c r="B693" s="5">
        <v>114</v>
      </c>
      <c r="C693" s="5" t="str">
        <f t="shared" si="35"/>
        <v>Holy_Name_1060014</v>
      </c>
      <c r="D693" s="5" t="s">
        <v>53</v>
      </c>
      <c r="E693" s="5">
        <v>3</v>
      </c>
      <c r="F693" s="5">
        <v>40</v>
      </c>
      <c r="G693" s="5">
        <v>62</v>
      </c>
      <c r="H693" s="5">
        <v>1230</v>
      </c>
      <c r="I693" s="5" t="str">
        <f t="shared" si="36"/>
        <v>Holy_Desc_1060014</v>
      </c>
      <c r="J693" s="4" t="s">
        <v>54</v>
      </c>
      <c r="K693" s="5">
        <f>[1]圣物数值!$C691*10000</f>
        <v>7200</v>
      </c>
      <c r="L693" s="5">
        <v>1060014</v>
      </c>
    </row>
    <row r="694" spans="1:12" x14ac:dyDescent="0.15">
      <c r="A694" s="5">
        <v>7791</v>
      </c>
      <c r="B694" s="5">
        <v>114</v>
      </c>
      <c r="C694" s="5" t="str">
        <f t="shared" si="35"/>
        <v>Holy_Name_1060014</v>
      </c>
      <c r="D694" s="5" t="s">
        <v>53</v>
      </c>
      <c r="E694" s="5">
        <v>3</v>
      </c>
      <c r="F694" s="5">
        <v>41</v>
      </c>
      <c r="G694" s="5">
        <v>63</v>
      </c>
      <c r="H694" s="5">
        <v>1260</v>
      </c>
      <c r="I694" s="5" t="str">
        <f t="shared" si="36"/>
        <v>Holy_Desc_1060014</v>
      </c>
      <c r="J694" s="4" t="s">
        <v>54</v>
      </c>
      <c r="K694" s="5">
        <f>[1]圣物数值!$C692*10000</f>
        <v>7380</v>
      </c>
      <c r="L694" s="5">
        <v>1060014</v>
      </c>
    </row>
    <row r="695" spans="1:12" x14ac:dyDescent="0.15">
      <c r="A695" s="5">
        <v>7792</v>
      </c>
      <c r="B695" s="5">
        <v>114</v>
      </c>
      <c r="C695" s="5" t="str">
        <f t="shared" si="35"/>
        <v>Holy_Name_1060014</v>
      </c>
      <c r="D695" s="5" t="s">
        <v>53</v>
      </c>
      <c r="E695" s="5">
        <v>3</v>
      </c>
      <c r="F695" s="5">
        <v>42</v>
      </c>
      <c r="G695" s="5">
        <v>65</v>
      </c>
      <c r="H695" s="5">
        <v>1300</v>
      </c>
      <c r="I695" s="5" t="str">
        <f t="shared" si="36"/>
        <v>Holy_Desc_1060014</v>
      </c>
      <c r="J695" s="4" t="s">
        <v>54</v>
      </c>
      <c r="K695" s="5">
        <f>[1]圣物数值!$C693*10000</f>
        <v>7560</v>
      </c>
      <c r="L695" s="5">
        <v>1060014</v>
      </c>
    </row>
    <row r="696" spans="1:12" x14ac:dyDescent="0.15">
      <c r="A696" s="5">
        <v>7793</v>
      </c>
      <c r="B696" s="5">
        <v>114</v>
      </c>
      <c r="C696" s="5" t="str">
        <f t="shared" si="35"/>
        <v>Holy_Name_1060014</v>
      </c>
      <c r="D696" s="5" t="s">
        <v>53</v>
      </c>
      <c r="E696" s="5">
        <v>3</v>
      </c>
      <c r="F696" s="5">
        <v>43</v>
      </c>
      <c r="G696" s="5">
        <v>66</v>
      </c>
      <c r="H696" s="5">
        <v>1330</v>
      </c>
      <c r="I696" s="5" t="str">
        <f t="shared" si="36"/>
        <v>Holy_Desc_1060014</v>
      </c>
      <c r="J696" s="4" t="s">
        <v>54</v>
      </c>
      <c r="K696" s="5">
        <f>[1]圣物数值!$C694*10000</f>
        <v>7740</v>
      </c>
      <c r="L696" s="5">
        <v>1060014</v>
      </c>
    </row>
    <row r="697" spans="1:12" x14ac:dyDescent="0.15">
      <c r="A697" s="5">
        <v>7794</v>
      </c>
      <c r="B697" s="5">
        <v>114</v>
      </c>
      <c r="C697" s="5" t="str">
        <f t="shared" si="35"/>
        <v>Holy_Name_1060014</v>
      </c>
      <c r="D697" s="5" t="s">
        <v>53</v>
      </c>
      <c r="E697" s="5">
        <v>3</v>
      </c>
      <c r="F697" s="5">
        <v>44</v>
      </c>
      <c r="G697" s="5">
        <v>68</v>
      </c>
      <c r="H697" s="5">
        <v>1360</v>
      </c>
      <c r="I697" s="5" t="str">
        <f t="shared" si="36"/>
        <v>Holy_Desc_1060014</v>
      </c>
      <c r="J697" s="4" t="s">
        <v>54</v>
      </c>
      <c r="K697" s="5">
        <f>[1]圣物数值!$C695*10000</f>
        <v>7920</v>
      </c>
      <c r="L697" s="5">
        <v>1060014</v>
      </c>
    </row>
    <row r="698" spans="1:12" x14ac:dyDescent="0.15">
      <c r="A698" s="5">
        <v>7795</v>
      </c>
      <c r="B698" s="5">
        <v>114</v>
      </c>
      <c r="C698" s="5" t="str">
        <f t="shared" si="35"/>
        <v>Holy_Name_1060014</v>
      </c>
      <c r="D698" s="5" t="s">
        <v>53</v>
      </c>
      <c r="E698" s="5">
        <v>3</v>
      </c>
      <c r="F698" s="5">
        <v>45</v>
      </c>
      <c r="G698" s="5">
        <v>70</v>
      </c>
      <c r="H698" s="5">
        <v>1390</v>
      </c>
      <c r="I698" s="5" t="str">
        <f t="shared" si="36"/>
        <v>Holy_Desc_1060014</v>
      </c>
      <c r="J698" s="4" t="s">
        <v>54</v>
      </c>
      <c r="K698" s="5">
        <f>[1]圣物数值!$C696*10000</f>
        <v>8100</v>
      </c>
      <c r="L698" s="5">
        <v>1060014</v>
      </c>
    </row>
    <row r="699" spans="1:12" x14ac:dyDescent="0.15">
      <c r="A699" s="5">
        <v>7796</v>
      </c>
      <c r="B699" s="5">
        <v>114</v>
      </c>
      <c r="C699" s="5" t="str">
        <f t="shared" si="35"/>
        <v>Holy_Name_1060014</v>
      </c>
      <c r="D699" s="5" t="s">
        <v>53</v>
      </c>
      <c r="E699" s="5">
        <v>3</v>
      </c>
      <c r="F699" s="5">
        <v>46</v>
      </c>
      <c r="G699" s="5">
        <v>71</v>
      </c>
      <c r="H699" s="5">
        <v>1420</v>
      </c>
      <c r="I699" s="5" t="str">
        <f t="shared" si="36"/>
        <v>Holy_Desc_1060014</v>
      </c>
      <c r="J699" s="4" t="s">
        <v>54</v>
      </c>
      <c r="K699" s="5">
        <f>[1]圣物数值!$C697*10000</f>
        <v>8280</v>
      </c>
      <c r="L699" s="5">
        <v>1060014</v>
      </c>
    </row>
    <row r="700" spans="1:12" x14ac:dyDescent="0.15">
      <c r="A700" s="5">
        <v>7797</v>
      </c>
      <c r="B700" s="5">
        <v>114</v>
      </c>
      <c r="C700" s="5" t="str">
        <f t="shared" si="35"/>
        <v>Holy_Name_1060014</v>
      </c>
      <c r="D700" s="5" t="s">
        <v>53</v>
      </c>
      <c r="E700" s="5">
        <v>3</v>
      </c>
      <c r="F700" s="5">
        <v>47</v>
      </c>
      <c r="G700" s="5">
        <v>73</v>
      </c>
      <c r="H700" s="5">
        <v>1460</v>
      </c>
      <c r="I700" s="5" t="str">
        <f t="shared" si="36"/>
        <v>Holy_Desc_1060014</v>
      </c>
      <c r="J700" s="4" t="s">
        <v>54</v>
      </c>
      <c r="K700" s="5">
        <f>[1]圣物数值!$C698*10000</f>
        <v>8460</v>
      </c>
      <c r="L700" s="5">
        <v>1060014</v>
      </c>
    </row>
    <row r="701" spans="1:12" x14ac:dyDescent="0.15">
      <c r="A701" s="5">
        <v>7798</v>
      </c>
      <c r="B701" s="5">
        <v>114</v>
      </c>
      <c r="C701" s="5" t="str">
        <f t="shared" si="35"/>
        <v>Holy_Name_1060014</v>
      </c>
      <c r="D701" s="5" t="s">
        <v>53</v>
      </c>
      <c r="E701" s="5">
        <v>3</v>
      </c>
      <c r="F701" s="5">
        <v>48</v>
      </c>
      <c r="G701" s="5">
        <v>74</v>
      </c>
      <c r="H701" s="5">
        <v>1490</v>
      </c>
      <c r="I701" s="5" t="str">
        <f t="shared" si="36"/>
        <v>Holy_Desc_1060014</v>
      </c>
      <c r="J701" s="4" t="s">
        <v>54</v>
      </c>
      <c r="K701" s="5">
        <f>[1]圣物数值!$C699*10000</f>
        <v>8640</v>
      </c>
      <c r="L701" s="5">
        <v>1060014</v>
      </c>
    </row>
    <row r="702" spans="1:12" x14ac:dyDescent="0.15">
      <c r="A702" s="5">
        <v>7799</v>
      </c>
      <c r="B702" s="5">
        <v>114</v>
      </c>
      <c r="C702" s="5" t="str">
        <f t="shared" si="35"/>
        <v>Holy_Name_1060014</v>
      </c>
      <c r="D702" s="5" t="s">
        <v>53</v>
      </c>
      <c r="E702" s="5">
        <v>3</v>
      </c>
      <c r="F702" s="5">
        <v>49</v>
      </c>
      <c r="G702" s="5">
        <v>76</v>
      </c>
      <c r="H702" s="5">
        <v>1520</v>
      </c>
      <c r="I702" s="5" t="str">
        <f t="shared" si="36"/>
        <v>Holy_Desc_1060014</v>
      </c>
      <c r="J702" s="4" t="s">
        <v>54</v>
      </c>
      <c r="K702" s="5">
        <f>[1]圣物数值!$C700*10000</f>
        <v>8820</v>
      </c>
      <c r="L702" s="5">
        <v>1060014</v>
      </c>
    </row>
    <row r="703" spans="1:12" x14ac:dyDescent="0.15">
      <c r="A703" s="5">
        <v>7800</v>
      </c>
      <c r="B703" s="5">
        <v>114</v>
      </c>
      <c r="C703" s="5" t="str">
        <f t="shared" si="35"/>
        <v>Holy_Name_1060014</v>
      </c>
      <c r="D703" s="5" t="s">
        <v>53</v>
      </c>
      <c r="E703" s="5">
        <v>3</v>
      </c>
      <c r="F703" s="5">
        <v>50</v>
      </c>
      <c r="G703" s="5">
        <v>78</v>
      </c>
      <c r="H703" s="5">
        <v>1550</v>
      </c>
      <c r="I703" s="5" t="str">
        <f t="shared" si="36"/>
        <v>Holy_Desc_1060014</v>
      </c>
      <c r="J703" s="4" t="s">
        <v>54</v>
      </c>
      <c r="K703" s="5">
        <f>[1]圣物数值!$C701*10000</f>
        <v>9000</v>
      </c>
      <c r="L703" s="5">
        <v>1060014</v>
      </c>
    </row>
    <row r="704" spans="1:12" x14ac:dyDescent="0.15">
      <c r="A704" s="5">
        <v>7801</v>
      </c>
      <c r="B704" s="5">
        <v>115</v>
      </c>
      <c r="C704" s="5" t="str">
        <f t="shared" ref="C704:C713" si="37">"Holy_Name_"&amp;L704</f>
        <v>Holy_Name_1060015</v>
      </c>
      <c r="D704" s="5" t="s">
        <v>55</v>
      </c>
      <c r="E704" s="5">
        <v>3</v>
      </c>
      <c r="F704" s="5">
        <v>1</v>
      </c>
      <c r="G704" s="5">
        <v>0</v>
      </c>
      <c r="H704" s="5">
        <v>0</v>
      </c>
      <c r="I704" s="5" t="str">
        <f t="shared" ref="I704:I713" si="38">"Holy_Desc_"&amp;L704</f>
        <v>Holy_Desc_1060015</v>
      </c>
      <c r="J704" s="4" t="s">
        <v>56</v>
      </c>
      <c r="K704" s="5">
        <f>[1]圣物数值!$C702*10000</f>
        <v>180</v>
      </c>
      <c r="L704" s="5">
        <v>1060015</v>
      </c>
    </row>
    <row r="705" spans="1:12" x14ac:dyDescent="0.15">
      <c r="A705" s="5">
        <v>7802</v>
      </c>
      <c r="B705" s="5">
        <v>115</v>
      </c>
      <c r="C705" s="5" t="str">
        <f t="shared" si="37"/>
        <v>Holy_Name_1060015</v>
      </c>
      <c r="D705" s="5" t="s">
        <v>55</v>
      </c>
      <c r="E705" s="5">
        <v>3</v>
      </c>
      <c r="F705" s="5">
        <v>2</v>
      </c>
      <c r="G705" s="5">
        <v>1</v>
      </c>
      <c r="H705" s="5">
        <v>30</v>
      </c>
      <c r="I705" s="5" t="str">
        <f t="shared" si="38"/>
        <v>Holy_Desc_1060015</v>
      </c>
      <c r="J705" s="4" t="s">
        <v>56</v>
      </c>
      <c r="K705" s="5">
        <f>[1]圣物数值!$C703*10000</f>
        <v>360</v>
      </c>
      <c r="L705" s="5">
        <v>1060015</v>
      </c>
    </row>
    <row r="706" spans="1:12" x14ac:dyDescent="0.15">
      <c r="A706" s="5">
        <v>7803</v>
      </c>
      <c r="B706" s="5">
        <v>115</v>
      </c>
      <c r="C706" s="5" t="str">
        <f t="shared" si="37"/>
        <v>Holy_Name_1060015</v>
      </c>
      <c r="D706" s="5" t="s">
        <v>55</v>
      </c>
      <c r="E706" s="5">
        <v>3</v>
      </c>
      <c r="F706" s="5">
        <v>3</v>
      </c>
      <c r="G706" s="5">
        <v>2</v>
      </c>
      <c r="H706" s="5">
        <v>50</v>
      </c>
      <c r="I706" s="5" t="str">
        <f t="shared" si="38"/>
        <v>Holy_Desc_1060015</v>
      </c>
      <c r="J706" s="4" t="s">
        <v>56</v>
      </c>
      <c r="K706" s="5">
        <f>[1]圣物数值!$C704*10000</f>
        <v>540</v>
      </c>
      <c r="L706" s="5">
        <v>1060015</v>
      </c>
    </row>
    <row r="707" spans="1:12" x14ac:dyDescent="0.15">
      <c r="A707" s="5">
        <v>7804</v>
      </c>
      <c r="B707" s="5">
        <v>115</v>
      </c>
      <c r="C707" s="5" t="str">
        <f t="shared" si="37"/>
        <v>Holy_Name_1060015</v>
      </c>
      <c r="D707" s="5" t="s">
        <v>55</v>
      </c>
      <c r="E707" s="5">
        <v>3</v>
      </c>
      <c r="F707" s="5">
        <v>4</v>
      </c>
      <c r="G707" s="5">
        <v>4</v>
      </c>
      <c r="H707" s="5">
        <v>80</v>
      </c>
      <c r="I707" s="5" t="str">
        <f t="shared" si="38"/>
        <v>Holy_Desc_1060015</v>
      </c>
      <c r="J707" s="4" t="s">
        <v>56</v>
      </c>
      <c r="K707" s="5">
        <f>[1]圣物数值!$C705*10000</f>
        <v>720</v>
      </c>
      <c r="L707" s="5">
        <v>1060015</v>
      </c>
    </row>
    <row r="708" spans="1:12" x14ac:dyDescent="0.15">
      <c r="A708" s="5">
        <v>7805</v>
      </c>
      <c r="B708" s="5">
        <v>115</v>
      </c>
      <c r="C708" s="5" t="str">
        <f t="shared" si="37"/>
        <v>Holy_Name_1060015</v>
      </c>
      <c r="D708" s="5" t="s">
        <v>55</v>
      </c>
      <c r="E708" s="5">
        <v>3</v>
      </c>
      <c r="F708" s="5">
        <v>5</v>
      </c>
      <c r="G708" s="5">
        <v>6</v>
      </c>
      <c r="H708" s="5">
        <v>110</v>
      </c>
      <c r="I708" s="5" t="str">
        <f t="shared" si="38"/>
        <v>Holy_Desc_1060015</v>
      </c>
      <c r="J708" s="4" t="s">
        <v>56</v>
      </c>
      <c r="K708" s="5">
        <f>[1]圣物数值!$C706*10000</f>
        <v>900</v>
      </c>
      <c r="L708" s="5">
        <v>1060015</v>
      </c>
    </row>
    <row r="709" spans="1:12" x14ac:dyDescent="0.15">
      <c r="A709" s="5">
        <v>7806</v>
      </c>
      <c r="B709" s="5">
        <v>115</v>
      </c>
      <c r="C709" s="5" t="str">
        <f t="shared" si="37"/>
        <v>Holy_Name_1060015</v>
      </c>
      <c r="D709" s="5" t="s">
        <v>55</v>
      </c>
      <c r="E709" s="5">
        <v>3</v>
      </c>
      <c r="F709" s="5">
        <v>6</v>
      </c>
      <c r="G709" s="5">
        <v>7</v>
      </c>
      <c r="H709" s="5">
        <v>140</v>
      </c>
      <c r="I709" s="5" t="str">
        <f t="shared" si="38"/>
        <v>Holy_Desc_1060015</v>
      </c>
      <c r="J709" s="4" t="s">
        <v>56</v>
      </c>
      <c r="K709" s="5">
        <f>[1]圣物数值!$C707*10000</f>
        <v>1080</v>
      </c>
      <c r="L709" s="5">
        <v>1060015</v>
      </c>
    </row>
    <row r="710" spans="1:12" x14ac:dyDescent="0.15">
      <c r="A710" s="5">
        <v>7807</v>
      </c>
      <c r="B710" s="5">
        <v>115</v>
      </c>
      <c r="C710" s="5" t="str">
        <f t="shared" si="37"/>
        <v>Holy_Name_1060015</v>
      </c>
      <c r="D710" s="5" t="s">
        <v>55</v>
      </c>
      <c r="E710" s="5">
        <v>3</v>
      </c>
      <c r="F710" s="5">
        <v>7</v>
      </c>
      <c r="G710" s="5">
        <v>9</v>
      </c>
      <c r="H710" s="5">
        <v>180</v>
      </c>
      <c r="I710" s="5" t="str">
        <f t="shared" si="38"/>
        <v>Holy_Desc_1060015</v>
      </c>
      <c r="J710" s="4" t="s">
        <v>56</v>
      </c>
      <c r="K710" s="5">
        <f>[1]圣物数值!$C708*10000</f>
        <v>1260</v>
      </c>
      <c r="L710" s="5">
        <v>1060015</v>
      </c>
    </row>
    <row r="711" spans="1:12" x14ac:dyDescent="0.15">
      <c r="A711" s="5">
        <v>7808</v>
      </c>
      <c r="B711" s="5">
        <v>115</v>
      </c>
      <c r="C711" s="5" t="str">
        <f t="shared" si="37"/>
        <v>Holy_Name_1060015</v>
      </c>
      <c r="D711" s="5" t="s">
        <v>55</v>
      </c>
      <c r="E711" s="5">
        <v>3</v>
      </c>
      <c r="F711" s="5">
        <v>8</v>
      </c>
      <c r="G711" s="5">
        <v>10</v>
      </c>
      <c r="H711" s="5">
        <v>210</v>
      </c>
      <c r="I711" s="5" t="str">
        <f t="shared" si="38"/>
        <v>Holy_Desc_1060015</v>
      </c>
      <c r="J711" s="4" t="s">
        <v>56</v>
      </c>
      <c r="K711" s="5">
        <f>[1]圣物数值!$C709*10000</f>
        <v>1440</v>
      </c>
      <c r="L711" s="5">
        <v>1060015</v>
      </c>
    </row>
    <row r="712" spans="1:12" x14ac:dyDescent="0.15">
      <c r="A712" s="5">
        <v>7809</v>
      </c>
      <c r="B712" s="5">
        <v>115</v>
      </c>
      <c r="C712" s="5" t="str">
        <f t="shared" si="37"/>
        <v>Holy_Name_1060015</v>
      </c>
      <c r="D712" s="5" t="s">
        <v>55</v>
      </c>
      <c r="E712" s="5">
        <v>3</v>
      </c>
      <c r="F712" s="5">
        <v>9</v>
      </c>
      <c r="G712" s="5">
        <v>12</v>
      </c>
      <c r="H712" s="5">
        <v>240</v>
      </c>
      <c r="I712" s="5" t="str">
        <f t="shared" si="38"/>
        <v>Holy_Desc_1060015</v>
      </c>
      <c r="J712" s="4" t="s">
        <v>56</v>
      </c>
      <c r="K712" s="5">
        <f>[1]圣物数值!$C710*10000</f>
        <v>1620</v>
      </c>
      <c r="L712" s="5">
        <v>1060015</v>
      </c>
    </row>
    <row r="713" spans="1:12" x14ac:dyDescent="0.15">
      <c r="A713" s="5">
        <v>7810</v>
      </c>
      <c r="B713" s="5">
        <v>115</v>
      </c>
      <c r="C713" s="5" t="str">
        <f t="shared" si="37"/>
        <v>Holy_Name_1060015</v>
      </c>
      <c r="D713" s="5" t="s">
        <v>55</v>
      </c>
      <c r="E713" s="5">
        <v>3</v>
      </c>
      <c r="F713" s="5">
        <v>10</v>
      </c>
      <c r="G713" s="5">
        <v>14</v>
      </c>
      <c r="H713" s="5">
        <v>270</v>
      </c>
      <c r="I713" s="5" t="str">
        <f t="shared" si="38"/>
        <v>Holy_Desc_1060015</v>
      </c>
      <c r="J713" s="4" t="s">
        <v>56</v>
      </c>
      <c r="K713" s="5">
        <f>[1]圣物数值!$C711*10000</f>
        <v>1800</v>
      </c>
      <c r="L713" s="5">
        <v>1060015</v>
      </c>
    </row>
    <row r="714" spans="1:12" x14ac:dyDescent="0.15">
      <c r="A714" s="5">
        <v>7811</v>
      </c>
      <c r="B714" s="5">
        <v>115</v>
      </c>
      <c r="C714" s="5" t="str">
        <f t="shared" ref="C714:C763" si="39">"Holy_Name_"&amp;L714</f>
        <v>Holy_Name_1060015</v>
      </c>
      <c r="D714" s="5" t="s">
        <v>55</v>
      </c>
      <c r="E714" s="5">
        <v>3</v>
      </c>
      <c r="F714" s="5">
        <v>11</v>
      </c>
      <c r="G714" s="5">
        <v>15</v>
      </c>
      <c r="H714" s="5">
        <v>300</v>
      </c>
      <c r="I714" s="5" t="str">
        <f t="shared" ref="I714:I763" si="40">"Holy_Desc_"&amp;L714</f>
        <v>Holy_Desc_1060015</v>
      </c>
      <c r="J714" s="4" t="s">
        <v>56</v>
      </c>
      <c r="K714" s="5">
        <f>[1]圣物数值!$C712*10000</f>
        <v>1980</v>
      </c>
      <c r="L714" s="5">
        <v>1060015</v>
      </c>
    </row>
    <row r="715" spans="1:12" x14ac:dyDescent="0.15">
      <c r="A715" s="5">
        <v>7812</v>
      </c>
      <c r="B715" s="5">
        <v>115</v>
      </c>
      <c r="C715" s="5" t="str">
        <f t="shared" si="39"/>
        <v>Holy_Name_1060015</v>
      </c>
      <c r="D715" s="5" t="s">
        <v>55</v>
      </c>
      <c r="E715" s="5">
        <v>3</v>
      </c>
      <c r="F715" s="5">
        <v>12</v>
      </c>
      <c r="G715" s="5">
        <v>17</v>
      </c>
      <c r="H715" s="5">
        <v>340</v>
      </c>
      <c r="I715" s="5" t="str">
        <f t="shared" si="40"/>
        <v>Holy_Desc_1060015</v>
      </c>
      <c r="J715" s="4" t="s">
        <v>56</v>
      </c>
      <c r="K715" s="5">
        <f>[1]圣物数值!$C713*10000</f>
        <v>2160</v>
      </c>
      <c r="L715" s="5">
        <v>1060015</v>
      </c>
    </row>
    <row r="716" spans="1:12" x14ac:dyDescent="0.15">
      <c r="A716" s="5">
        <v>7813</v>
      </c>
      <c r="B716" s="5">
        <v>115</v>
      </c>
      <c r="C716" s="5" t="str">
        <f t="shared" si="39"/>
        <v>Holy_Name_1060015</v>
      </c>
      <c r="D716" s="5" t="s">
        <v>55</v>
      </c>
      <c r="E716" s="5">
        <v>3</v>
      </c>
      <c r="F716" s="5">
        <v>13</v>
      </c>
      <c r="G716" s="5">
        <v>18</v>
      </c>
      <c r="H716" s="5">
        <v>370</v>
      </c>
      <c r="I716" s="5" t="str">
        <f t="shared" si="40"/>
        <v>Holy_Desc_1060015</v>
      </c>
      <c r="J716" s="4" t="s">
        <v>56</v>
      </c>
      <c r="K716" s="5">
        <f>[1]圣物数值!$C714*10000</f>
        <v>2340</v>
      </c>
      <c r="L716" s="5">
        <v>1060015</v>
      </c>
    </row>
    <row r="717" spans="1:12" x14ac:dyDescent="0.15">
      <c r="A717" s="5">
        <v>7814</v>
      </c>
      <c r="B717" s="5">
        <v>115</v>
      </c>
      <c r="C717" s="5" t="str">
        <f t="shared" si="39"/>
        <v>Holy_Name_1060015</v>
      </c>
      <c r="D717" s="5" t="s">
        <v>55</v>
      </c>
      <c r="E717" s="5">
        <v>3</v>
      </c>
      <c r="F717" s="5">
        <v>14</v>
      </c>
      <c r="G717" s="5">
        <v>20</v>
      </c>
      <c r="H717" s="5">
        <v>400</v>
      </c>
      <c r="I717" s="5" t="str">
        <f t="shared" si="40"/>
        <v>Holy_Desc_1060015</v>
      </c>
      <c r="J717" s="4" t="s">
        <v>56</v>
      </c>
      <c r="K717" s="5">
        <f>[1]圣物数值!$C715*10000</f>
        <v>2520</v>
      </c>
      <c r="L717" s="5">
        <v>1060015</v>
      </c>
    </row>
    <row r="718" spans="1:12" x14ac:dyDescent="0.15">
      <c r="A718" s="5">
        <v>7815</v>
      </c>
      <c r="B718" s="5">
        <v>115</v>
      </c>
      <c r="C718" s="5" t="str">
        <f t="shared" si="39"/>
        <v>Holy_Name_1060015</v>
      </c>
      <c r="D718" s="5" t="s">
        <v>55</v>
      </c>
      <c r="E718" s="5">
        <v>3</v>
      </c>
      <c r="F718" s="5">
        <v>15</v>
      </c>
      <c r="G718" s="5">
        <v>22</v>
      </c>
      <c r="H718" s="5">
        <v>430</v>
      </c>
      <c r="I718" s="5" t="str">
        <f t="shared" si="40"/>
        <v>Holy_Desc_1060015</v>
      </c>
      <c r="J718" s="4" t="s">
        <v>56</v>
      </c>
      <c r="K718" s="5">
        <f>[1]圣物数值!$C716*10000</f>
        <v>2700</v>
      </c>
      <c r="L718" s="5">
        <v>1060015</v>
      </c>
    </row>
    <row r="719" spans="1:12" x14ac:dyDescent="0.15">
      <c r="A719" s="5">
        <v>7816</v>
      </c>
      <c r="B719" s="5">
        <v>115</v>
      </c>
      <c r="C719" s="5" t="str">
        <f t="shared" si="39"/>
        <v>Holy_Name_1060015</v>
      </c>
      <c r="D719" s="5" t="s">
        <v>55</v>
      </c>
      <c r="E719" s="5">
        <v>3</v>
      </c>
      <c r="F719" s="5">
        <v>16</v>
      </c>
      <c r="G719" s="5">
        <v>23</v>
      </c>
      <c r="H719" s="5">
        <v>460</v>
      </c>
      <c r="I719" s="5" t="str">
        <f t="shared" si="40"/>
        <v>Holy_Desc_1060015</v>
      </c>
      <c r="J719" s="4" t="s">
        <v>56</v>
      </c>
      <c r="K719" s="5">
        <f>[1]圣物数值!$C717*10000</f>
        <v>2880</v>
      </c>
      <c r="L719" s="5">
        <v>1060015</v>
      </c>
    </row>
    <row r="720" spans="1:12" x14ac:dyDescent="0.15">
      <c r="A720" s="5">
        <v>7817</v>
      </c>
      <c r="B720" s="5">
        <v>115</v>
      </c>
      <c r="C720" s="5" t="str">
        <f t="shared" si="39"/>
        <v>Holy_Name_1060015</v>
      </c>
      <c r="D720" s="5" t="s">
        <v>55</v>
      </c>
      <c r="E720" s="5">
        <v>3</v>
      </c>
      <c r="F720" s="5">
        <v>17</v>
      </c>
      <c r="G720" s="5">
        <v>25</v>
      </c>
      <c r="H720" s="5">
        <v>500</v>
      </c>
      <c r="I720" s="5" t="str">
        <f t="shared" si="40"/>
        <v>Holy_Desc_1060015</v>
      </c>
      <c r="J720" s="4" t="s">
        <v>56</v>
      </c>
      <c r="K720" s="5">
        <f>[1]圣物数值!$C718*10000</f>
        <v>3060</v>
      </c>
      <c r="L720" s="5">
        <v>1060015</v>
      </c>
    </row>
    <row r="721" spans="1:12" x14ac:dyDescent="0.15">
      <c r="A721" s="5">
        <v>7818</v>
      </c>
      <c r="B721" s="5">
        <v>115</v>
      </c>
      <c r="C721" s="5" t="str">
        <f t="shared" si="39"/>
        <v>Holy_Name_1060015</v>
      </c>
      <c r="D721" s="5" t="s">
        <v>55</v>
      </c>
      <c r="E721" s="5">
        <v>3</v>
      </c>
      <c r="F721" s="5">
        <v>18</v>
      </c>
      <c r="G721" s="5">
        <v>26</v>
      </c>
      <c r="H721" s="5">
        <v>530</v>
      </c>
      <c r="I721" s="5" t="str">
        <f t="shared" si="40"/>
        <v>Holy_Desc_1060015</v>
      </c>
      <c r="J721" s="4" t="s">
        <v>56</v>
      </c>
      <c r="K721" s="5">
        <f>[1]圣物数值!$C719*10000</f>
        <v>3240</v>
      </c>
      <c r="L721" s="5">
        <v>1060015</v>
      </c>
    </row>
    <row r="722" spans="1:12" x14ac:dyDescent="0.15">
      <c r="A722" s="5">
        <v>7819</v>
      </c>
      <c r="B722" s="5">
        <v>115</v>
      </c>
      <c r="C722" s="5" t="str">
        <f t="shared" si="39"/>
        <v>Holy_Name_1060015</v>
      </c>
      <c r="D722" s="5" t="s">
        <v>55</v>
      </c>
      <c r="E722" s="5">
        <v>3</v>
      </c>
      <c r="F722" s="5">
        <v>19</v>
      </c>
      <c r="G722" s="5">
        <v>28</v>
      </c>
      <c r="H722" s="5">
        <v>560</v>
      </c>
      <c r="I722" s="5" t="str">
        <f t="shared" si="40"/>
        <v>Holy_Desc_1060015</v>
      </c>
      <c r="J722" s="4" t="s">
        <v>56</v>
      </c>
      <c r="K722" s="5">
        <f>[1]圣物数值!$C720*10000</f>
        <v>3420</v>
      </c>
      <c r="L722" s="5">
        <v>1060015</v>
      </c>
    </row>
    <row r="723" spans="1:12" x14ac:dyDescent="0.15">
      <c r="A723" s="5">
        <v>7820</v>
      </c>
      <c r="B723" s="5">
        <v>115</v>
      </c>
      <c r="C723" s="5" t="str">
        <f t="shared" si="39"/>
        <v>Holy_Name_1060015</v>
      </c>
      <c r="D723" s="5" t="s">
        <v>55</v>
      </c>
      <c r="E723" s="5">
        <v>3</v>
      </c>
      <c r="F723" s="5">
        <v>20</v>
      </c>
      <c r="G723" s="5">
        <v>30</v>
      </c>
      <c r="H723" s="5">
        <v>590</v>
      </c>
      <c r="I723" s="5" t="str">
        <f t="shared" si="40"/>
        <v>Holy_Desc_1060015</v>
      </c>
      <c r="J723" s="4" t="s">
        <v>56</v>
      </c>
      <c r="K723" s="5">
        <f>[1]圣物数值!$C721*10000</f>
        <v>3600</v>
      </c>
      <c r="L723" s="5">
        <v>1060015</v>
      </c>
    </row>
    <row r="724" spans="1:12" x14ac:dyDescent="0.15">
      <c r="A724" s="5">
        <v>7821</v>
      </c>
      <c r="B724" s="5">
        <v>115</v>
      </c>
      <c r="C724" s="5" t="str">
        <f t="shared" si="39"/>
        <v>Holy_Name_1060015</v>
      </c>
      <c r="D724" s="5" t="s">
        <v>55</v>
      </c>
      <c r="E724" s="5">
        <v>3</v>
      </c>
      <c r="F724" s="5">
        <v>21</v>
      </c>
      <c r="G724" s="5">
        <v>31</v>
      </c>
      <c r="H724" s="5">
        <v>620</v>
      </c>
      <c r="I724" s="5" t="str">
        <f t="shared" si="40"/>
        <v>Holy_Desc_1060015</v>
      </c>
      <c r="J724" s="4" t="s">
        <v>56</v>
      </c>
      <c r="K724" s="5">
        <f>[1]圣物数值!$C722*10000</f>
        <v>3780</v>
      </c>
      <c r="L724" s="5">
        <v>1060015</v>
      </c>
    </row>
    <row r="725" spans="1:12" x14ac:dyDescent="0.15">
      <c r="A725" s="5">
        <v>7822</v>
      </c>
      <c r="B725" s="5">
        <v>115</v>
      </c>
      <c r="C725" s="5" t="str">
        <f t="shared" si="39"/>
        <v>Holy_Name_1060015</v>
      </c>
      <c r="D725" s="5" t="s">
        <v>55</v>
      </c>
      <c r="E725" s="5">
        <v>3</v>
      </c>
      <c r="F725" s="5">
        <v>22</v>
      </c>
      <c r="G725" s="5">
        <v>33</v>
      </c>
      <c r="H725" s="5">
        <v>660</v>
      </c>
      <c r="I725" s="5" t="str">
        <f t="shared" si="40"/>
        <v>Holy_Desc_1060015</v>
      </c>
      <c r="J725" s="4" t="s">
        <v>56</v>
      </c>
      <c r="K725" s="5">
        <f>[1]圣物数值!$C723*10000</f>
        <v>3960</v>
      </c>
      <c r="L725" s="5">
        <v>1060015</v>
      </c>
    </row>
    <row r="726" spans="1:12" x14ac:dyDescent="0.15">
      <c r="A726" s="5">
        <v>7823</v>
      </c>
      <c r="B726" s="5">
        <v>115</v>
      </c>
      <c r="C726" s="5" t="str">
        <f t="shared" si="39"/>
        <v>Holy_Name_1060015</v>
      </c>
      <c r="D726" s="5" t="s">
        <v>55</v>
      </c>
      <c r="E726" s="5">
        <v>3</v>
      </c>
      <c r="F726" s="5">
        <v>23</v>
      </c>
      <c r="G726" s="5">
        <v>34</v>
      </c>
      <c r="H726" s="5">
        <v>690</v>
      </c>
      <c r="I726" s="5" t="str">
        <f t="shared" si="40"/>
        <v>Holy_Desc_1060015</v>
      </c>
      <c r="J726" s="4" t="s">
        <v>56</v>
      </c>
      <c r="K726" s="5">
        <f>[1]圣物数值!$C724*10000</f>
        <v>4140</v>
      </c>
      <c r="L726" s="5">
        <v>1060015</v>
      </c>
    </row>
    <row r="727" spans="1:12" x14ac:dyDescent="0.15">
      <c r="A727" s="5">
        <v>7824</v>
      </c>
      <c r="B727" s="5">
        <v>115</v>
      </c>
      <c r="C727" s="5" t="str">
        <f t="shared" si="39"/>
        <v>Holy_Name_1060015</v>
      </c>
      <c r="D727" s="5" t="s">
        <v>55</v>
      </c>
      <c r="E727" s="5">
        <v>3</v>
      </c>
      <c r="F727" s="5">
        <v>24</v>
      </c>
      <c r="G727" s="5">
        <v>36</v>
      </c>
      <c r="H727" s="5">
        <v>720</v>
      </c>
      <c r="I727" s="5" t="str">
        <f t="shared" si="40"/>
        <v>Holy_Desc_1060015</v>
      </c>
      <c r="J727" s="4" t="s">
        <v>56</v>
      </c>
      <c r="K727" s="5">
        <f>[1]圣物数值!$C725*10000</f>
        <v>4320</v>
      </c>
      <c r="L727" s="5">
        <v>1060015</v>
      </c>
    </row>
    <row r="728" spans="1:12" x14ac:dyDescent="0.15">
      <c r="A728" s="5">
        <v>7825</v>
      </c>
      <c r="B728" s="5">
        <v>115</v>
      </c>
      <c r="C728" s="5" t="str">
        <f t="shared" si="39"/>
        <v>Holy_Name_1060015</v>
      </c>
      <c r="D728" s="5" t="s">
        <v>55</v>
      </c>
      <c r="E728" s="5">
        <v>3</v>
      </c>
      <c r="F728" s="5">
        <v>25</v>
      </c>
      <c r="G728" s="5">
        <v>38</v>
      </c>
      <c r="H728" s="5">
        <v>750</v>
      </c>
      <c r="I728" s="5" t="str">
        <f t="shared" si="40"/>
        <v>Holy_Desc_1060015</v>
      </c>
      <c r="J728" s="4" t="s">
        <v>56</v>
      </c>
      <c r="K728" s="5">
        <f>[1]圣物数值!$C726*10000</f>
        <v>4500</v>
      </c>
      <c r="L728" s="5">
        <v>1060015</v>
      </c>
    </row>
    <row r="729" spans="1:12" x14ac:dyDescent="0.15">
      <c r="A729" s="5">
        <v>7826</v>
      </c>
      <c r="B729" s="5">
        <v>115</v>
      </c>
      <c r="C729" s="5" t="str">
        <f t="shared" si="39"/>
        <v>Holy_Name_1060015</v>
      </c>
      <c r="D729" s="5" t="s">
        <v>55</v>
      </c>
      <c r="E729" s="5">
        <v>3</v>
      </c>
      <c r="F729" s="5">
        <v>26</v>
      </c>
      <c r="G729" s="5">
        <v>39</v>
      </c>
      <c r="H729" s="5">
        <v>780</v>
      </c>
      <c r="I729" s="5" t="str">
        <f t="shared" si="40"/>
        <v>Holy_Desc_1060015</v>
      </c>
      <c r="J729" s="4" t="s">
        <v>56</v>
      </c>
      <c r="K729" s="5">
        <f>[1]圣物数值!$C727*10000</f>
        <v>4680</v>
      </c>
      <c r="L729" s="5">
        <v>1060015</v>
      </c>
    </row>
    <row r="730" spans="1:12" x14ac:dyDescent="0.15">
      <c r="A730" s="5">
        <v>7827</v>
      </c>
      <c r="B730" s="5">
        <v>115</v>
      </c>
      <c r="C730" s="5" t="str">
        <f t="shared" si="39"/>
        <v>Holy_Name_1060015</v>
      </c>
      <c r="D730" s="5" t="s">
        <v>55</v>
      </c>
      <c r="E730" s="5">
        <v>3</v>
      </c>
      <c r="F730" s="5">
        <v>27</v>
      </c>
      <c r="G730" s="5">
        <v>41</v>
      </c>
      <c r="H730" s="5">
        <v>820</v>
      </c>
      <c r="I730" s="5" t="str">
        <f t="shared" si="40"/>
        <v>Holy_Desc_1060015</v>
      </c>
      <c r="J730" s="4" t="s">
        <v>56</v>
      </c>
      <c r="K730" s="5">
        <f>[1]圣物数值!$C728*10000</f>
        <v>4860</v>
      </c>
      <c r="L730" s="5">
        <v>1060015</v>
      </c>
    </row>
    <row r="731" spans="1:12" x14ac:dyDescent="0.15">
      <c r="A731" s="5">
        <v>7828</v>
      </c>
      <c r="B731" s="5">
        <v>115</v>
      </c>
      <c r="C731" s="5" t="str">
        <f t="shared" si="39"/>
        <v>Holy_Name_1060015</v>
      </c>
      <c r="D731" s="5" t="s">
        <v>55</v>
      </c>
      <c r="E731" s="5">
        <v>3</v>
      </c>
      <c r="F731" s="5">
        <v>28</v>
      </c>
      <c r="G731" s="5">
        <v>42</v>
      </c>
      <c r="H731" s="5">
        <v>850</v>
      </c>
      <c r="I731" s="5" t="str">
        <f t="shared" si="40"/>
        <v>Holy_Desc_1060015</v>
      </c>
      <c r="J731" s="4" t="s">
        <v>56</v>
      </c>
      <c r="K731" s="5">
        <f>[1]圣物数值!$C729*10000</f>
        <v>5040</v>
      </c>
      <c r="L731" s="5">
        <v>1060015</v>
      </c>
    </row>
    <row r="732" spans="1:12" x14ac:dyDescent="0.15">
      <c r="A732" s="5">
        <v>7829</v>
      </c>
      <c r="B732" s="5">
        <v>115</v>
      </c>
      <c r="C732" s="5" t="str">
        <f t="shared" si="39"/>
        <v>Holy_Name_1060015</v>
      </c>
      <c r="D732" s="5" t="s">
        <v>55</v>
      </c>
      <c r="E732" s="5">
        <v>3</v>
      </c>
      <c r="F732" s="5">
        <v>29</v>
      </c>
      <c r="G732" s="5">
        <v>44</v>
      </c>
      <c r="H732" s="5">
        <v>880</v>
      </c>
      <c r="I732" s="5" t="str">
        <f t="shared" si="40"/>
        <v>Holy_Desc_1060015</v>
      </c>
      <c r="J732" s="4" t="s">
        <v>56</v>
      </c>
      <c r="K732" s="5">
        <f>[1]圣物数值!$C730*10000</f>
        <v>5220</v>
      </c>
      <c r="L732" s="5">
        <v>1060015</v>
      </c>
    </row>
    <row r="733" spans="1:12" x14ac:dyDescent="0.15">
      <c r="A733" s="5">
        <v>7830</v>
      </c>
      <c r="B733" s="5">
        <v>115</v>
      </c>
      <c r="C733" s="5" t="str">
        <f t="shared" si="39"/>
        <v>Holy_Name_1060015</v>
      </c>
      <c r="D733" s="5" t="s">
        <v>55</v>
      </c>
      <c r="E733" s="5">
        <v>3</v>
      </c>
      <c r="F733" s="5">
        <v>30</v>
      </c>
      <c r="G733" s="5">
        <v>46</v>
      </c>
      <c r="H733" s="5">
        <v>910</v>
      </c>
      <c r="I733" s="5" t="str">
        <f t="shared" si="40"/>
        <v>Holy_Desc_1060015</v>
      </c>
      <c r="J733" s="4" t="s">
        <v>56</v>
      </c>
      <c r="K733" s="5">
        <f>[1]圣物数值!$C731*10000</f>
        <v>5400</v>
      </c>
      <c r="L733" s="5">
        <v>1060015</v>
      </c>
    </row>
    <row r="734" spans="1:12" x14ac:dyDescent="0.15">
      <c r="A734" s="5">
        <v>7831</v>
      </c>
      <c r="B734" s="5">
        <v>115</v>
      </c>
      <c r="C734" s="5" t="str">
        <f t="shared" si="39"/>
        <v>Holy_Name_1060015</v>
      </c>
      <c r="D734" s="5" t="s">
        <v>55</v>
      </c>
      <c r="E734" s="5">
        <v>3</v>
      </c>
      <c r="F734" s="5">
        <v>31</v>
      </c>
      <c r="G734" s="5">
        <v>47</v>
      </c>
      <c r="H734" s="5">
        <v>940</v>
      </c>
      <c r="I734" s="5" t="str">
        <f t="shared" si="40"/>
        <v>Holy_Desc_1060015</v>
      </c>
      <c r="J734" s="4" t="s">
        <v>56</v>
      </c>
      <c r="K734" s="5">
        <f>[1]圣物数值!$C732*10000</f>
        <v>5580</v>
      </c>
      <c r="L734" s="5">
        <v>1060015</v>
      </c>
    </row>
    <row r="735" spans="1:12" x14ac:dyDescent="0.15">
      <c r="A735" s="5">
        <v>7832</v>
      </c>
      <c r="B735" s="5">
        <v>115</v>
      </c>
      <c r="C735" s="5" t="str">
        <f t="shared" si="39"/>
        <v>Holy_Name_1060015</v>
      </c>
      <c r="D735" s="5" t="s">
        <v>55</v>
      </c>
      <c r="E735" s="5">
        <v>3</v>
      </c>
      <c r="F735" s="5">
        <v>32</v>
      </c>
      <c r="G735" s="5">
        <v>49</v>
      </c>
      <c r="H735" s="5">
        <v>980</v>
      </c>
      <c r="I735" s="5" t="str">
        <f t="shared" si="40"/>
        <v>Holy_Desc_1060015</v>
      </c>
      <c r="J735" s="4" t="s">
        <v>56</v>
      </c>
      <c r="K735" s="5">
        <f>[1]圣物数值!$C733*10000</f>
        <v>5760</v>
      </c>
      <c r="L735" s="5">
        <v>1060015</v>
      </c>
    </row>
    <row r="736" spans="1:12" x14ac:dyDescent="0.15">
      <c r="A736" s="5">
        <v>7833</v>
      </c>
      <c r="B736" s="5">
        <v>115</v>
      </c>
      <c r="C736" s="5" t="str">
        <f t="shared" si="39"/>
        <v>Holy_Name_1060015</v>
      </c>
      <c r="D736" s="5" t="s">
        <v>55</v>
      </c>
      <c r="E736" s="5">
        <v>3</v>
      </c>
      <c r="F736" s="5">
        <v>33</v>
      </c>
      <c r="G736" s="5">
        <v>50</v>
      </c>
      <c r="H736" s="5">
        <v>1010</v>
      </c>
      <c r="I736" s="5" t="str">
        <f t="shared" si="40"/>
        <v>Holy_Desc_1060015</v>
      </c>
      <c r="J736" s="4" t="s">
        <v>56</v>
      </c>
      <c r="K736" s="5">
        <f>[1]圣物数值!$C734*10000</f>
        <v>5940</v>
      </c>
      <c r="L736" s="5">
        <v>1060015</v>
      </c>
    </row>
    <row r="737" spans="1:12" x14ac:dyDescent="0.15">
      <c r="A737" s="5">
        <v>7834</v>
      </c>
      <c r="B737" s="5">
        <v>115</v>
      </c>
      <c r="C737" s="5" t="str">
        <f t="shared" si="39"/>
        <v>Holy_Name_1060015</v>
      </c>
      <c r="D737" s="5" t="s">
        <v>55</v>
      </c>
      <c r="E737" s="5">
        <v>3</v>
      </c>
      <c r="F737" s="5">
        <v>34</v>
      </c>
      <c r="G737" s="5">
        <v>52</v>
      </c>
      <c r="H737" s="5">
        <v>1040</v>
      </c>
      <c r="I737" s="5" t="str">
        <f t="shared" si="40"/>
        <v>Holy_Desc_1060015</v>
      </c>
      <c r="J737" s="4" t="s">
        <v>56</v>
      </c>
      <c r="K737" s="5">
        <f>[1]圣物数值!$C735*10000</f>
        <v>6120</v>
      </c>
      <c r="L737" s="5">
        <v>1060015</v>
      </c>
    </row>
    <row r="738" spans="1:12" x14ac:dyDescent="0.15">
      <c r="A738" s="5">
        <v>7835</v>
      </c>
      <c r="B738" s="5">
        <v>115</v>
      </c>
      <c r="C738" s="5" t="str">
        <f t="shared" si="39"/>
        <v>Holy_Name_1060015</v>
      </c>
      <c r="D738" s="5" t="s">
        <v>55</v>
      </c>
      <c r="E738" s="5">
        <v>3</v>
      </c>
      <c r="F738" s="5">
        <v>35</v>
      </c>
      <c r="G738" s="5">
        <v>54</v>
      </c>
      <c r="H738" s="5">
        <v>1070</v>
      </c>
      <c r="I738" s="5" t="str">
        <f t="shared" si="40"/>
        <v>Holy_Desc_1060015</v>
      </c>
      <c r="J738" s="4" t="s">
        <v>56</v>
      </c>
      <c r="K738" s="5">
        <f>[1]圣物数值!$C736*10000</f>
        <v>6300</v>
      </c>
      <c r="L738" s="5">
        <v>1060015</v>
      </c>
    </row>
    <row r="739" spans="1:12" x14ac:dyDescent="0.15">
      <c r="A739" s="5">
        <v>7836</v>
      </c>
      <c r="B739" s="5">
        <v>115</v>
      </c>
      <c r="C739" s="5" t="str">
        <f t="shared" si="39"/>
        <v>Holy_Name_1060015</v>
      </c>
      <c r="D739" s="5" t="s">
        <v>55</v>
      </c>
      <c r="E739" s="5">
        <v>3</v>
      </c>
      <c r="F739" s="5">
        <v>36</v>
      </c>
      <c r="G739" s="5">
        <v>55</v>
      </c>
      <c r="H739" s="5">
        <v>1100</v>
      </c>
      <c r="I739" s="5" t="str">
        <f t="shared" si="40"/>
        <v>Holy_Desc_1060015</v>
      </c>
      <c r="J739" s="4" t="s">
        <v>56</v>
      </c>
      <c r="K739" s="5">
        <f>[1]圣物数值!$C737*10000</f>
        <v>6480</v>
      </c>
      <c r="L739" s="5">
        <v>1060015</v>
      </c>
    </row>
    <row r="740" spans="1:12" x14ac:dyDescent="0.15">
      <c r="A740" s="5">
        <v>7837</v>
      </c>
      <c r="B740" s="5">
        <v>115</v>
      </c>
      <c r="C740" s="5" t="str">
        <f t="shared" si="39"/>
        <v>Holy_Name_1060015</v>
      </c>
      <c r="D740" s="5" t="s">
        <v>55</v>
      </c>
      <c r="E740" s="5">
        <v>3</v>
      </c>
      <c r="F740" s="5">
        <v>37</v>
      </c>
      <c r="G740" s="5">
        <v>57</v>
      </c>
      <c r="H740" s="5">
        <v>1140</v>
      </c>
      <c r="I740" s="5" t="str">
        <f t="shared" si="40"/>
        <v>Holy_Desc_1060015</v>
      </c>
      <c r="J740" s="4" t="s">
        <v>56</v>
      </c>
      <c r="K740" s="5">
        <f>[1]圣物数值!$C738*10000</f>
        <v>6660</v>
      </c>
      <c r="L740" s="5">
        <v>1060015</v>
      </c>
    </row>
    <row r="741" spans="1:12" x14ac:dyDescent="0.15">
      <c r="A741" s="5">
        <v>7838</v>
      </c>
      <c r="B741" s="5">
        <v>115</v>
      </c>
      <c r="C741" s="5" t="str">
        <f t="shared" si="39"/>
        <v>Holy_Name_1060015</v>
      </c>
      <c r="D741" s="5" t="s">
        <v>55</v>
      </c>
      <c r="E741" s="5">
        <v>3</v>
      </c>
      <c r="F741" s="5">
        <v>38</v>
      </c>
      <c r="G741" s="5">
        <v>58</v>
      </c>
      <c r="H741" s="5">
        <v>1170</v>
      </c>
      <c r="I741" s="5" t="str">
        <f t="shared" si="40"/>
        <v>Holy_Desc_1060015</v>
      </c>
      <c r="J741" s="4" t="s">
        <v>56</v>
      </c>
      <c r="K741" s="5">
        <f>[1]圣物数值!$C739*10000</f>
        <v>6840</v>
      </c>
      <c r="L741" s="5">
        <v>1060015</v>
      </c>
    </row>
    <row r="742" spans="1:12" x14ac:dyDescent="0.15">
      <c r="A742" s="5">
        <v>7839</v>
      </c>
      <c r="B742" s="5">
        <v>115</v>
      </c>
      <c r="C742" s="5" t="str">
        <f t="shared" si="39"/>
        <v>Holy_Name_1060015</v>
      </c>
      <c r="D742" s="5" t="s">
        <v>55</v>
      </c>
      <c r="E742" s="5">
        <v>3</v>
      </c>
      <c r="F742" s="5">
        <v>39</v>
      </c>
      <c r="G742" s="5">
        <v>60</v>
      </c>
      <c r="H742" s="5">
        <v>1200</v>
      </c>
      <c r="I742" s="5" t="str">
        <f t="shared" si="40"/>
        <v>Holy_Desc_1060015</v>
      </c>
      <c r="J742" s="4" t="s">
        <v>56</v>
      </c>
      <c r="K742" s="5">
        <f>[1]圣物数值!$C740*10000</f>
        <v>7020</v>
      </c>
      <c r="L742" s="5">
        <v>1060015</v>
      </c>
    </row>
    <row r="743" spans="1:12" x14ac:dyDescent="0.15">
      <c r="A743" s="5">
        <v>7840</v>
      </c>
      <c r="B743" s="5">
        <v>115</v>
      </c>
      <c r="C743" s="5" t="str">
        <f t="shared" si="39"/>
        <v>Holy_Name_1060015</v>
      </c>
      <c r="D743" s="5" t="s">
        <v>55</v>
      </c>
      <c r="E743" s="5">
        <v>3</v>
      </c>
      <c r="F743" s="5">
        <v>40</v>
      </c>
      <c r="G743" s="5">
        <v>62</v>
      </c>
      <c r="H743" s="5">
        <v>1230</v>
      </c>
      <c r="I743" s="5" t="str">
        <f t="shared" si="40"/>
        <v>Holy_Desc_1060015</v>
      </c>
      <c r="J743" s="4" t="s">
        <v>56</v>
      </c>
      <c r="K743" s="5">
        <f>[1]圣物数值!$C741*10000</f>
        <v>7200</v>
      </c>
      <c r="L743" s="5">
        <v>1060015</v>
      </c>
    </row>
    <row r="744" spans="1:12" x14ac:dyDescent="0.15">
      <c r="A744" s="5">
        <v>7841</v>
      </c>
      <c r="B744" s="5">
        <v>115</v>
      </c>
      <c r="C744" s="5" t="str">
        <f t="shared" si="39"/>
        <v>Holy_Name_1060015</v>
      </c>
      <c r="D744" s="5" t="s">
        <v>55</v>
      </c>
      <c r="E744" s="5">
        <v>3</v>
      </c>
      <c r="F744" s="5">
        <v>41</v>
      </c>
      <c r="G744" s="5">
        <v>63</v>
      </c>
      <c r="H744" s="5">
        <v>1260</v>
      </c>
      <c r="I744" s="5" t="str">
        <f t="shared" si="40"/>
        <v>Holy_Desc_1060015</v>
      </c>
      <c r="J744" s="4" t="s">
        <v>56</v>
      </c>
      <c r="K744" s="5">
        <f>[1]圣物数值!$C742*10000</f>
        <v>7380</v>
      </c>
      <c r="L744" s="5">
        <v>1060015</v>
      </c>
    </row>
    <row r="745" spans="1:12" x14ac:dyDescent="0.15">
      <c r="A745" s="5">
        <v>7842</v>
      </c>
      <c r="B745" s="5">
        <v>115</v>
      </c>
      <c r="C745" s="5" t="str">
        <f t="shared" si="39"/>
        <v>Holy_Name_1060015</v>
      </c>
      <c r="D745" s="5" t="s">
        <v>55</v>
      </c>
      <c r="E745" s="5">
        <v>3</v>
      </c>
      <c r="F745" s="5">
        <v>42</v>
      </c>
      <c r="G745" s="5">
        <v>65</v>
      </c>
      <c r="H745" s="5">
        <v>1300</v>
      </c>
      <c r="I745" s="5" t="str">
        <f t="shared" si="40"/>
        <v>Holy_Desc_1060015</v>
      </c>
      <c r="J745" s="4" t="s">
        <v>56</v>
      </c>
      <c r="K745" s="5">
        <f>[1]圣物数值!$C743*10000</f>
        <v>7560</v>
      </c>
      <c r="L745" s="5">
        <v>1060015</v>
      </c>
    </row>
    <row r="746" spans="1:12" x14ac:dyDescent="0.15">
      <c r="A746" s="5">
        <v>7843</v>
      </c>
      <c r="B746" s="5">
        <v>115</v>
      </c>
      <c r="C746" s="5" t="str">
        <f t="shared" si="39"/>
        <v>Holy_Name_1060015</v>
      </c>
      <c r="D746" s="5" t="s">
        <v>55</v>
      </c>
      <c r="E746" s="5">
        <v>3</v>
      </c>
      <c r="F746" s="5">
        <v>43</v>
      </c>
      <c r="G746" s="5">
        <v>66</v>
      </c>
      <c r="H746" s="5">
        <v>1330</v>
      </c>
      <c r="I746" s="5" t="str">
        <f t="shared" si="40"/>
        <v>Holy_Desc_1060015</v>
      </c>
      <c r="J746" s="4" t="s">
        <v>56</v>
      </c>
      <c r="K746" s="5">
        <f>[1]圣物数值!$C744*10000</f>
        <v>7740</v>
      </c>
      <c r="L746" s="5">
        <v>1060015</v>
      </c>
    </row>
    <row r="747" spans="1:12" x14ac:dyDescent="0.15">
      <c r="A747" s="5">
        <v>7844</v>
      </c>
      <c r="B747" s="5">
        <v>115</v>
      </c>
      <c r="C747" s="5" t="str">
        <f t="shared" si="39"/>
        <v>Holy_Name_1060015</v>
      </c>
      <c r="D747" s="5" t="s">
        <v>55</v>
      </c>
      <c r="E747" s="5">
        <v>3</v>
      </c>
      <c r="F747" s="5">
        <v>44</v>
      </c>
      <c r="G747" s="5">
        <v>68</v>
      </c>
      <c r="H747" s="5">
        <v>1360</v>
      </c>
      <c r="I747" s="5" t="str">
        <f t="shared" si="40"/>
        <v>Holy_Desc_1060015</v>
      </c>
      <c r="J747" s="4" t="s">
        <v>56</v>
      </c>
      <c r="K747" s="5">
        <f>[1]圣物数值!$C745*10000</f>
        <v>7920</v>
      </c>
      <c r="L747" s="5">
        <v>1060015</v>
      </c>
    </row>
    <row r="748" spans="1:12" x14ac:dyDescent="0.15">
      <c r="A748" s="5">
        <v>7845</v>
      </c>
      <c r="B748" s="5">
        <v>115</v>
      </c>
      <c r="C748" s="5" t="str">
        <f t="shared" si="39"/>
        <v>Holy_Name_1060015</v>
      </c>
      <c r="D748" s="5" t="s">
        <v>55</v>
      </c>
      <c r="E748" s="5">
        <v>3</v>
      </c>
      <c r="F748" s="5">
        <v>45</v>
      </c>
      <c r="G748" s="5">
        <v>70</v>
      </c>
      <c r="H748" s="5">
        <v>1390</v>
      </c>
      <c r="I748" s="5" t="str">
        <f t="shared" si="40"/>
        <v>Holy_Desc_1060015</v>
      </c>
      <c r="J748" s="4" t="s">
        <v>56</v>
      </c>
      <c r="K748" s="5">
        <f>[1]圣物数值!$C746*10000</f>
        <v>8100</v>
      </c>
      <c r="L748" s="5">
        <v>1060015</v>
      </c>
    </row>
    <row r="749" spans="1:12" x14ac:dyDescent="0.15">
      <c r="A749" s="5">
        <v>7846</v>
      </c>
      <c r="B749" s="5">
        <v>115</v>
      </c>
      <c r="C749" s="5" t="str">
        <f t="shared" si="39"/>
        <v>Holy_Name_1060015</v>
      </c>
      <c r="D749" s="5" t="s">
        <v>55</v>
      </c>
      <c r="E749" s="5">
        <v>3</v>
      </c>
      <c r="F749" s="5">
        <v>46</v>
      </c>
      <c r="G749" s="5">
        <v>71</v>
      </c>
      <c r="H749" s="5">
        <v>1420</v>
      </c>
      <c r="I749" s="5" t="str">
        <f t="shared" si="40"/>
        <v>Holy_Desc_1060015</v>
      </c>
      <c r="J749" s="4" t="s">
        <v>56</v>
      </c>
      <c r="K749" s="5">
        <f>[1]圣物数值!$C747*10000</f>
        <v>8280</v>
      </c>
      <c r="L749" s="5">
        <v>1060015</v>
      </c>
    </row>
    <row r="750" spans="1:12" x14ac:dyDescent="0.15">
      <c r="A750" s="5">
        <v>7847</v>
      </c>
      <c r="B750" s="5">
        <v>115</v>
      </c>
      <c r="C750" s="5" t="str">
        <f t="shared" si="39"/>
        <v>Holy_Name_1060015</v>
      </c>
      <c r="D750" s="5" t="s">
        <v>55</v>
      </c>
      <c r="E750" s="5">
        <v>3</v>
      </c>
      <c r="F750" s="5">
        <v>47</v>
      </c>
      <c r="G750" s="5">
        <v>73</v>
      </c>
      <c r="H750" s="5">
        <v>1460</v>
      </c>
      <c r="I750" s="5" t="str">
        <f t="shared" si="40"/>
        <v>Holy_Desc_1060015</v>
      </c>
      <c r="J750" s="4" t="s">
        <v>56</v>
      </c>
      <c r="K750" s="5">
        <f>[1]圣物数值!$C748*10000</f>
        <v>8460</v>
      </c>
      <c r="L750" s="5">
        <v>1060015</v>
      </c>
    </row>
    <row r="751" spans="1:12" x14ac:dyDescent="0.15">
      <c r="A751" s="5">
        <v>7848</v>
      </c>
      <c r="B751" s="5">
        <v>115</v>
      </c>
      <c r="C751" s="5" t="str">
        <f t="shared" si="39"/>
        <v>Holy_Name_1060015</v>
      </c>
      <c r="D751" s="5" t="s">
        <v>55</v>
      </c>
      <c r="E751" s="5">
        <v>3</v>
      </c>
      <c r="F751" s="5">
        <v>48</v>
      </c>
      <c r="G751" s="5">
        <v>74</v>
      </c>
      <c r="H751" s="5">
        <v>1490</v>
      </c>
      <c r="I751" s="5" t="str">
        <f t="shared" si="40"/>
        <v>Holy_Desc_1060015</v>
      </c>
      <c r="J751" s="4" t="s">
        <v>56</v>
      </c>
      <c r="K751" s="5">
        <f>[1]圣物数值!$C749*10000</f>
        <v>8640</v>
      </c>
      <c r="L751" s="5">
        <v>1060015</v>
      </c>
    </row>
    <row r="752" spans="1:12" x14ac:dyDescent="0.15">
      <c r="A752" s="5">
        <v>7849</v>
      </c>
      <c r="B752" s="5">
        <v>115</v>
      </c>
      <c r="C752" s="5" t="str">
        <f t="shared" si="39"/>
        <v>Holy_Name_1060015</v>
      </c>
      <c r="D752" s="5" t="s">
        <v>55</v>
      </c>
      <c r="E752" s="5">
        <v>3</v>
      </c>
      <c r="F752" s="5">
        <v>49</v>
      </c>
      <c r="G752" s="5">
        <v>76</v>
      </c>
      <c r="H752" s="5">
        <v>1520</v>
      </c>
      <c r="I752" s="5" t="str">
        <f t="shared" si="40"/>
        <v>Holy_Desc_1060015</v>
      </c>
      <c r="J752" s="4" t="s">
        <v>56</v>
      </c>
      <c r="K752" s="5">
        <f>[1]圣物数值!$C750*10000</f>
        <v>8820</v>
      </c>
      <c r="L752" s="5">
        <v>1060015</v>
      </c>
    </row>
    <row r="753" spans="1:16" x14ac:dyDescent="0.15">
      <c r="A753" s="5">
        <v>7850</v>
      </c>
      <c r="B753" s="5">
        <v>115</v>
      </c>
      <c r="C753" s="5" t="str">
        <f t="shared" si="39"/>
        <v>Holy_Name_1060015</v>
      </c>
      <c r="D753" s="5" t="s">
        <v>55</v>
      </c>
      <c r="E753" s="5">
        <v>3</v>
      </c>
      <c r="F753" s="5">
        <v>50</v>
      </c>
      <c r="G753" s="5">
        <v>78</v>
      </c>
      <c r="H753" s="5">
        <v>1550</v>
      </c>
      <c r="I753" s="5" t="str">
        <f t="shared" si="40"/>
        <v>Holy_Desc_1060015</v>
      </c>
      <c r="J753" s="4" t="s">
        <v>56</v>
      </c>
      <c r="K753" s="5">
        <f>[1]圣物数值!$C751*10000</f>
        <v>9000</v>
      </c>
      <c r="L753" s="5">
        <v>1060015</v>
      </c>
    </row>
    <row r="754" spans="1:16" x14ac:dyDescent="0.15">
      <c r="A754" s="5">
        <v>7851</v>
      </c>
      <c r="B754" s="5">
        <v>116</v>
      </c>
      <c r="C754" s="5" t="str">
        <f t="shared" si="39"/>
        <v>Holy_Name_1060016</v>
      </c>
      <c r="D754" s="5" t="s">
        <v>57</v>
      </c>
      <c r="E754" s="5">
        <v>3</v>
      </c>
      <c r="F754" s="5">
        <v>1</v>
      </c>
      <c r="G754" s="5">
        <v>0</v>
      </c>
      <c r="H754" s="5">
        <v>0</v>
      </c>
      <c r="I754" s="5" t="str">
        <f t="shared" si="40"/>
        <v>Holy_Desc_1060016</v>
      </c>
      <c r="J754" s="4" t="s">
        <v>58</v>
      </c>
      <c r="K754" s="5">
        <f>[1]圣物数值!$C752*10000</f>
        <v>180</v>
      </c>
      <c r="L754" s="5">
        <v>1060016</v>
      </c>
      <c r="O754" s="8"/>
    </row>
    <row r="755" spans="1:16" x14ac:dyDescent="0.15">
      <c r="A755" s="5">
        <v>7852</v>
      </c>
      <c r="B755" s="5">
        <v>116</v>
      </c>
      <c r="C755" s="5" t="str">
        <f t="shared" si="39"/>
        <v>Holy_Name_1060016</v>
      </c>
      <c r="D755" s="5" t="s">
        <v>57</v>
      </c>
      <c r="E755" s="5">
        <v>3</v>
      </c>
      <c r="F755" s="5">
        <v>2</v>
      </c>
      <c r="G755" s="5">
        <v>1</v>
      </c>
      <c r="H755" s="5">
        <v>30</v>
      </c>
      <c r="I755" s="5" t="str">
        <f t="shared" si="40"/>
        <v>Holy_Desc_1060016</v>
      </c>
      <c r="J755" s="4" t="s">
        <v>58</v>
      </c>
      <c r="K755" s="5">
        <f>[1]圣物数值!$C753*10000</f>
        <v>360</v>
      </c>
      <c r="L755" s="5">
        <v>1060016</v>
      </c>
      <c r="P755" s="8"/>
    </row>
    <row r="756" spans="1:16" x14ac:dyDescent="0.15">
      <c r="A756" s="5">
        <v>7853</v>
      </c>
      <c r="B756" s="5">
        <v>116</v>
      </c>
      <c r="C756" s="5" t="str">
        <f t="shared" si="39"/>
        <v>Holy_Name_1060016</v>
      </c>
      <c r="D756" s="5" t="s">
        <v>57</v>
      </c>
      <c r="E756" s="5">
        <v>3</v>
      </c>
      <c r="F756" s="5">
        <v>3</v>
      </c>
      <c r="G756" s="5">
        <v>2</v>
      </c>
      <c r="H756" s="5">
        <v>50</v>
      </c>
      <c r="I756" s="5" t="str">
        <f t="shared" si="40"/>
        <v>Holy_Desc_1060016</v>
      </c>
      <c r="J756" s="4" t="s">
        <v>58</v>
      </c>
      <c r="K756" s="5">
        <f>[1]圣物数值!$C754*10000</f>
        <v>540</v>
      </c>
      <c r="L756" s="5">
        <v>1060016</v>
      </c>
    </row>
    <row r="757" spans="1:16" x14ac:dyDescent="0.15">
      <c r="A757" s="5">
        <v>7854</v>
      </c>
      <c r="B757" s="5">
        <v>116</v>
      </c>
      <c r="C757" s="5" t="str">
        <f t="shared" si="39"/>
        <v>Holy_Name_1060016</v>
      </c>
      <c r="D757" s="5" t="s">
        <v>57</v>
      </c>
      <c r="E757" s="5">
        <v>3</v>
      </c>
      <c r="F757" s="5">
        <v>4</v>
      </c>
      <c r="G757" s="5">
        <v>4</v>
      </c>
      <c r="H757" s="5">
        <v>80</v>
      </c>
      <c r="I757" s="5" t="str">
        <f t="shared" si="40"/>
        <v>Holy_Desc_1060016</v>
      </c>
      <c r="J757" s="4" t="s">
        <v>58</v>
      </c>
      <c r="K757" s="5">
        <f>[1]圣物数值!$C755*10000</f>
        <v>720</v>
      </c>
      <c r="L757" s="5">
        <v>1060016</v>
      </c>
    </row>
    <row r="758" spans="1:16" x14ac:dyDescent="0.15">
      <c r="A758" s="5">
        <v>7855</v>
      </c>
      <c r="B758" s="5">
        <v>116</v>
      </c>
      <c r="C758" s="5" t="str">
        <f t="shared" si="39"/>
        <v>Holy_Name_1060016</v>
      </c>
      <c r="D758" s="5" t="s">
        <v>57</v>
      </c>
      <c r="E758" s="5">
        <v>3</v>
      </c>
      <c r="F758" s="5">
        <v>5</v>
      </c>
      <c r="G758" s="5">
        <v>6</v>
      </c>
      <c r="H758" s="5">
        <v>110</v>
      </c>
      <c r="I758" s="5" t="str">
        <f t="shared" si="40"/>
        <v>Holy_Desc_1060016</v>
      </c>
      <c r="J758" s="4" t="s">
        <v>58</v>
      </c>
      <c r="K758" s="5">
        <f>[1]圣物数值!$C756*10000</f>
        <v>900</v>
      </c>
      <c r="L758" s="5">
        <v>1060016</v>
      </c>
      <c r="O758" s="8"/>
    </row>
    <row r="759" spans="1:16" x14ac:dyDescent="0.15">
      <c r="A759" s="5">
        <v>7856</v>
      </c>
      <c r="B759" s="5">
        <v>116</v>
      </c>
      <c r="C759" s="5" t="str">
        <f t="shared" si="39"/>
        <v>Holy_Name_1060016</v>
      </c>
      <c r="D759" s="5" t="s">
        <v>57</v>
      </c>
      <c r="E759" s="5">
        <v>3</v>
      </c>
      <c r="F759" s="5">
        <v>6</v>
      </c>
      <c r="G759" s="5">
        <v>7</v>
      </c>
      <c r="H759" s="5">
        <v>140</v>
      </c>
      <c r="I759" s="5" t="str">
        <f t="shared" si="40"/>
        <v>Holy_Desc_1060016</v>
      </c>
      <c r="J759" s="4" t="s">
        <v>58</v>
      </c>
      <c r="K759" s="5">
        <f>[1]圣物数值!$C757*10000</f>
        <v>1080</v>
      </c>
      <c r="L759" s="5">
        <v>1060016</v>
      </c>
      <c r="P759" s="8"/>
    </row>
    <row r="760" spans="1:16" x14ac:dyDescent="0.15">
      <c r="A760" s="5">
        <v>7857</v>
      </c>
      <c r="B760" s="5">
        <v>116</v>
      </c>
      <c r="C760" s="5" t="str">
        <f t="shared" si="39"/>
        <v>Holy_Name_1060016</v>
      </c>
      <c r="D760" s="5" t="s">
        <v>57</v>
      </c>
      <c r="E760" s="5">
        <v>3</v>
      </c>
      <c r="F760" s="5">
        <v>7</v>
      </c>
      <c r="G760" s="5">
        <v>9</v>
      </c>
      <c r="H760" s="5">
        <v>180</v>
      </c>
      <c r="I760" s="5" t="str">
        <f t="shared" si="40"/>
        <v>Holy_Desc_1060016</v>
      </c>
      <c r="J760" s="4" t="s">
        <v>58</v>
      </c>
      <c r="K760" s="5">
        <f>[1]圣物数值!$C758*10000</f>
        <v>1260</v>
      </c>
      <c r="L760" s="5">
        <v>1060016</v>
      </c>
    </row>
    <row r="761" spans="1:16" x14ac:dyDescent="0.15">
      <c r="A761" s="5">
        <v>7858</v>
      </c>
      <c r="B761" s="5">
        <v>116</v>
      </c>
      <c r="C761" s="5" t="str">
        <f t="shared" si="39"/>
        <v>Holy_Name_1060016</v>
      </c>
      <c r="D761" s="5" t="s">
        <v>57</v>
      </c>
      <c r="E761" s="5">
        <v>3</v>
      </c>
      <c r="F761" s="5">
        <v>8</v>
      </c>
      <c r="G761" s="5">
        <v>10</v>
      </c>
      <c r="H761" s="5">
        <v>210</v>
      </c>
      <c r="I761" s="5" t="str">
        <f t="shared" si="40"/>
        <v>Holy_Desc_1060016</v>
      </c>
      <c r="J761" s="4" t="s">
        <v>58</v>
      </c>
      <c r="K761" s="5">
        <f>[1]圣物数值!$C759*10000</f>
        <v>1440</v>
      </c>
      <c r="L761" s="5">
        <v>1060016</v>
      </c>
    </row>
    <row r="762" spans="1:16" x14ac:dyDescent="0.15">
      <c r="A762" s="5">
        <v>7859</v>
      </c>
      <c r="B762" s="5">
        <v>116</v>
      </c>
      <c r="C762" s="5" t="str">
        <f t="shared" si="39"/>
        <v>Holy_Name_1060016</v>
      </c>
      <c r="D762" s="5" t="s">
        <v>57</v>
      </c>
      <c r="E762" s="5">
        <v>3</v>
      </c>
      <c r="F762" s="5">
        <v>9</v>
      </c>
      <c r="G762" s="5">
        <v>12</v>
      </c>
      <c r="H762" s="5">
        <v>240</v>
      </c>
      <c r="I762" s="5" t="str">
        <f t="shared" si="40"/>
        <v>Holy_Desc_1060016</v>
      </c>
      <c r="J762" s="4" t="s">
        <v>58</v>
      </c>
      <c r="K762" s="5">
        <f>[1]圣物数值!$C760*10000</f>
        <v>1620</v>
      </c>
      <c r="L762" s="5">
        <v>1060016</v>
      </c>
      <c r="O762" s="8"/>
    </row>
    <row r="763" spans="1:16" x14ac:dyDescent="0.15">
      <c r="A763" s="5">
        <v>7860</v>
      </c>
      <c r="B763" s="5">
        <v>116</v>
      </c>
      <c r="C763" s="5" t="str">
        <f t="shared" si="39"/>
        <v>Holy_Name_1060016</v>
      </c>
      <c r="D763" s="5" t="s">
        <v>57</v>
      </c>
      <c r="E763" s="5">
        <v>3</v>
      </c>
      <c r="F763" s="5">
        <v>10</v>
      </c>
      <c r="G763" s="5">
        <v>14</v>
      </c>
      <c r="H763" s="5">
        <v>270</v>
      </c>
      <c r="I763" s="5" t="str">
        <f t="shared" si="40"/>
        <v>Holy_Desc_1060016</v>
      </c>
      <c r="J763" s="4" t="s">
        <v>58</v>
      </c>
      <c r="K763" s="5">
        <f>[1]圣物数值!$C761*10000</f>
        <v>1800</v>
      </c>
      <c r="L763" s="5">
        <v>1060016</v>
      </c>
      <c r="P763" s="8"/>
    </row>
    <row r="764" spans="1:16" x14ac:dyDescent="0.15">
      <c r="A764" s="5">
        <v>7861</v>
      </c>
      <c r="B764" s="5">
        <v>116</v>
      </c>
      <c r="C764" s="5" t="str">
        <f t="shared" ref="C764:C803" si="41">"Holy_Name_"&amp;L764</f>
        <v>Holy_Name_1060016</v>
      </c>
      <c r="D764" s="5" t="s">
        <v>57</v>
      </c>
      <c r="E764" s="5">
        <v>3</v>
      </c>
      <c r="F764" s="5">
        <v>11</v>
      </c>
      <c r="G764" s="5">
        <v>15</v>
      </c>
      <c r="H764" s="5">
        <v>300</v>
      </c>
      <c r="I764" s="5" t="str">
        <f t="shared" ref="I764:I803" si="42">"Holy_Desc_"&amp;L764</f>
        <v>Holy_Desc_1060016</v>
      </c>
      <c r="J764" s="4" t="s">
        <v>58</v>
      </c>
      <c r="K764" s="5">
        <f>[1]圣物数值!$C762*10000</f>
        <v>1980</v>
      </c>
      <c r="L764" s="5">
        <v>1060016</v>
      </c>
      <c r="O764" s="8"/>
    </row>
    <row r="765" spans="1:16" x14ac:dyDescent="0.15">
      <c r="A765" s="5">
        <v>7862</v>
      </c>
      <c r="B765" s="5">
        <v>116</v>
      </c>
      <c r="C765" s="5" t="str">
        <f t="shared" si="41"/>
        <v>Holy_Name_1060016</v>
      </c>
      <c r="D765" s="5" t="s">
        <v>57</v>
      </c>
      <c r="E765" s="5">
        <v>3</v>
      </c>
      <c r="F765" s="5">
        <v>12</v>
      </c>
      <c r="G765" s="5">
        <v>17</v>
      </c>
      <c r="H765" s="5">
        <v>340</v>
      </c>
      <c r="I765" s="5" t="str">
        <f t="shared" si="42"/>
        <v>Holy_Desc_1060016</v>
      </c>
      <c r="J765" s="4" t="s">
        <v>58</v>
      </c>
      <c r="K765" s="5">
        <f>[1]圣物数值!$C763*10000</f>
        <v>2160</v>
      </c>
      <c r="L765" s="5">
        <v>1060016</v>
      </c>
      <c r="P765" s="8"/>
    </row>
    <row r="766" spans="1:16" x14ac:dyDescent="0.15">
      <c r="A766" s="5">
        <v>7863</v>
      </c>
      <c r="B766" s="5">
        <v>116</v>
      </c>
      <c r="C766" s="5" t="str">
        <f t="shared" si="41"/>
        <v>Holy_Name_1060016</v>
      </c>
      <c r="D766" s="5" t="s">
        <v>57</v>
      </c>
      <c r="E766" s="5">
        <v>3</v>
      </c>
      <c r="F766" s="5">
        <v>13</v>
      </c>
      <c r="G766" s="5">
        <v>18</v>
      </c>
      <c r="H766" s="5">
        <v>370</v>
      </c>
      <c r="I766" s="5" t="str">
        <f t="shared" si="42"/>
        <v>Holy_Desc_1060016</v>
      </c>
      <c r="J766" s="4" t="s">
        <v>58</v>
      </c>
      <c r="K766" s="5">
        <f>[1]圣物数值!$C764*10000</f>
        <v>2340</v>
      </c>
      <c r="L766" s="5">
        <v>1060016</v>
      </c>
    </row>
    <row r="767" spans="1:16" x14ac:dyDescent="0.15">
      <c r="A767" s="5">
        <v>7864</v>
      </c>
      <c r="B767" s="5">
        <v>116</v>
      </c>
      <c r="C767" s="5" t="str">
        <f t="shared" si="41"/>
        <v>Holy_Name_1060016</v>
      </c>
      <c r="D767" s="5" t="s">
        <v>57</v>
      </c>
      <c r="E767" s="5">
        <v>3</v>
      </c>
      <c r="F767" s="5">
        <v>14</v>
      </c>
      <c r="G767" s="5">
        <v>20</v>
      </c>
      <c r="H767" s="5">
        <v>400</v>
      </c>
      <c r="I767" s="5" t="str">
        <f t="shared" si="42"/>
        <v>Holy_Desc_1060016</v>
      </c>
      <c r="J767" s="4" t="s">
        <v>58</v>
      </c>
      <c r="K767" s="5">
        <f>[1]圣物数值!$C765*10000</f>
        <v>2520</v>
      </c>
      <c r="L767" s="5">
        <v>1060016</v>
      </c>
    </row>
    <row r="768" spans="1:16" x14ac:dyDescent="0.15">
      <c r="A768" s="5">
        <v>7865</v>
      </c>
      <c r="B768" s="5">
        <v>116</v>
      </c>
      <c r="C768" s="5" t="str">
        <f t="shared" si="41"/>
        <v>Holy_Name_1060016</v>
      </c>
      <c r="D768" s="5" t="s">
        <v>57</v>
      </c>
      <c r="E768" s="5">
        <v>3</v>
      </c>
      <c r="F768" s="5">
        <v>15</v>
      </c>
      <c r="G768" s="5">
        <v>22</v>
      </c>
      <c r="H768" s="5">
        <v>430</v>
      </c>
      <c r="I768" s="5" t="str">
        <f t="shared" si="42"/>
        <v>Holy_Desc_1060016</v>
      </c>
      <c r="J768" s="4" t="s">
        <v>58</v>
      </c>
      <c r="K768" s="5">
        <f>[1]圣物数值!$C766*10000</f>
        <v>2700</v>
      </c>
      <c r="L768" s="5">
        <v>1060016</v>
      </c>
    </row>
    <row r="769" spans="1:16" x14ac:dyDescent="0.15">
      <c r="A769" s="5">
        <v>7866</v>
      </c>
      <c r="B769" s="5">
        <v>116</v>
      </c>
      <c r="C769" s="5" t="str">
        <f t="shared" si="41"/>
        <v>Holy_Name_1060016</v>
      </c>
      <c r="D769" s="5" t="s">
        <v>57</v>
      </c>
      <c r="E769" s="5">
        <v>3</v>
      </c>
      <c r="F769" s="5">
        <v>16</v>
      </c>
      <c r="G769" s="5">
        <v>23</v>
      </c>
      <c r="H769" s="5">
        <v>460</v>
      </c>
      <c r="I769" s="5" t="str">
        <f t="shared" si="42"/>
        <v>Holy_Desc_1060016</v>
      </c>
      <c r="J769" s="4" t="s">
        <v>58</v>
      </c>
      <c r="K769" s="5">
        <f>[1]圣物数值!$C767*10000</f>
        <v>2880</v>
      </c>
      <c r="L769" s="5">
        <v>1060016</v>
      </c>
      <c r="P769" s="8"/>
    </row>
    <row r="770" spans="1:16" x14ac:dyDescent="0.15">
      <c r="A770" s="5">
        <v>7867</v>
      </c>
      <c r="B770" s="5">
        <v>116</v>
      </c>
      <c r="C770" s="5" t="str">
        <f t="shared" si="41"/>
        <v>Holy_Name_1060016</v>
      </c>
      <c r="D770" s="5" t="s">
        <v>57</v>
      </c>
      <c r="E770" s="5">
        <v>3</v>
      </c>
      <c r="F770" s="5">
        <v>17</v>
      </c>
      <c r="G770" s="5">
        <v>25</v>
      </c>
      <c r="H770" s="5">
        <v>500</v>
      </c>
      <c r="I770" s="5" t="str">
        <f t="shared" si="42"/>
        <v>Holy_Desc_1060016</v>
      </c>
      <c r="J770" s="4" t="s">
        <v>58</v>
      </c>
      <c r="K770" s="5">
        <f>[1]圣物数值!$C768*10000</f>
        <v>3060</v>
      </c>
      <c r="L770" s="5">
        <v>1060016</v>
      </c>
    </row>
    <row r="771" spans="1:16" x14ac:dyDescent="0.15">
      <c r="A771" s="5">
        <v>7868</v>
      </c>
      <c r="B771" s="5">
        <v>116</v>
      </c>
      <c r="C771" s="5" t="str">
        <f t="shared" si="41"/>
        <v>Holy_Name_1060016</v>
      </c>
      <c r="D771" s="5" t="s">
        <v>57</v>
      </c>
      <c r="E771" s="5">
        <v>3</v>
      </c>
      <c r="F771" s="5">
        <v>18</v>
      </c>
      <c r="G771" s="5">
        <v>26</v>
      </c>
      <c r="H771" s="5">
        <v>530</v>
      </c>
      <c r="I771" s="5" t="str">
        <f t="shared" si="42"/>
        <v>Holy_Desc_1060016</v>
      </c>
      <c r="J771" s="4" t="s">
        <v>58</v>
      </c>
      <c r="K771" s="5">
        <f>[1]圣物数值!$C769*10000</f>
        <v>3240</v>
      </c>
      <c r="L771" s="5">
        <v>1060016</v>
      </c>
    </row>
    <row r="772" spans="1:16" x14ac:dyDescent="0.15">
      <c r="A772" s="5">
        <v>7869</v>
      </c>
      <c r="B772" s="5">
        <v>116</v>
      </c>
      <c r="C772" s="5" t="str">
        <f t="shared" si="41"/>
        <v>Holy_Name_1060016</v>
      </c>
      <c r="D772" s="5" t="s">
        <v>57</v>
      </c>
      <c r="E772" s="5">
        <v>3</v>
      </c>
      <c r="F772" s="5">
        <v>19</v>
      </c>
      <c r="G772" s="5">
        <v>28</v>
      </c>
      <c r="H772" s="5">
        <v>560</v>
      </c>
      <c r="I772" s="5" t="str">
        <f t="shared" si="42"/>
        <v>Holy_Desc_1060016</v>
      </c>
      <c r="J772" s="4" t="s">
        <v>58</v>
      </c>
      <c r="K772" s="5">
        <f>[1]圣物数值!$C770*10000</f>
        <v>3420</v>
      </c>
      <c r="L772" s="5">
        <v>1060016</v>
      </c>
    </row>
    <row r="773" spans="1:16" x14ac:dyDescent="0.15">
      <c r="A773" s="5">
        <v>7870</v>
      </c>
      <c r="B773" s="5">
        <v>116</v>
      </c>
      <c r="C773" s="5" t="str">
        <f t="shared" si="41"/>
        <v>Holy_Name_1060016</v>
      </c>
      <c r="D773" s="5" t="s">
        <v>57</v>
      </c>
      <c r="E773" s="5">
        <v>3</v>
      </c>
      <c r="F773" s="5">
        <v>20</v>
      </c>
      <c r="G773" s="5">
        <v>30</v>
      </c>
      <c r="H773" s="5">
        <v>590</v>
      </c>
      <c r="I773" s="5" t="str">
        <f t="shared" si="42"/>
        <v>Holy_Desc_1060016</v>
      </c>
      <c r="J773" s="4" t="s">
        <v>58</v>
      </c>
      <c r="K773" s="5">
        <f>[1]圣物数值!$C771*10000</f>
        <v>3600</v>
      </c>
      <c r="L773" s="5">
        <v>1060016</v>
      </c>
      <c r="P773" s="8"/>
    </row>
    <row r="774" spans="1:16" x14ac:dyDescent="0.15">
      <c r="A774" s="5">
        <v>7871</v>
      </c>
      <c r="B774" s="5">
        <v>116</v>
      </c>
      <c r="C774" s="5" t="str">
        <f t="shared" si="41"/>
        <v>Holy_Name_1060016</v>
      </c>
      <c r="D774" s="5" t="s">
        <v>57</v>
      </c>
      <c r="E774" s="5">
        <v>3</v>
      </c>
      <c r="F774" s="5">
        <v>21</v>
      </c>
      <c r="G774" s="5">
        <v>31</v>
      </c>
      <c r="H774" s="5">
        <v>620</v>
      </c>
      <c r="I774" s="5" t="str">
        <f t="shared" si="42"/>
        <v>Holy_Desc_1060016</v>
      </c>
      <c r="J774" s="4" t="s">
        <v>58</v>
      </c>
      <c r="K774" s="5">
        <f>[1]圣物数值!$C772*10000</f>
        <v>3780</v>
      </c>
      <c r="L774" s="5">
        <v>1060016</v>
      </c>
    </row>
    <row r="775" spans="1:16" x14ac:dyDescent="0.15">
      <c r="A775" s="5">
        <v>7872</v>
      </c>
      <c r="B775" s="5">
        <v>116</v>
      </c>
      <c r="C775" s="5" t="str">
        <f t="shared" si="41"/>
        <v>Holy_Name_1060016</v>
      </c>
      <c r="D775" s="5" t="s">
        <v>57</v>
      </c>
      <c r="E775" s="5">
        <v>3</v>
      </c>
      <c r="F775" s="5">
        <v>22</v>
      </c>
      <c r="G775" s="5">
        <v>33</v>
      </c>
      <c r="H775" s="5">
        <v>660</v>
      </c>
      <c r="I775" s="5" t="str">
        <f t="shared" si="42"/>
        <v>Holy_Desc_1060016</v>
      </c>
      <c r="J775" s="4" t="s">
        <v>58</v>
      </c>
      <c r="K775" s="5">
        <f>[1]圣物数值!$C773*10000</f>
        <v>3960</v>
      </c>
      <c r="L775" s="5">
        <v>1060016</v>
      </c>
    </row>
    <row r="776" spans="1:16" x14ac:dyDescent="0.15">
      <c r="A776" s="5">
        <v>7873</v>
      </c>
      <c r="B776" s="5">
        <v>116</v>
      </c>
      <c r="C776" s="5" t="str">
        <f t="shared" si="41"/>
        <v>Holy_Name_1060016</v>
      </c>
      <c r="D776" s="5" t="s">
        <v>57</v>
      </c>
      <c r="E776" s="5">
        <v>3</v>
      </c>
      <c r="F776" s="5">
        <v>23</v>
      </c>
      <c r="G776" s="5">
        <v>34</v>
      </c>
      <c r="H776" s="5">
        <v>690</v>
      </c>
      <c r="I776" s="5" t="str">
        <f t="shared" si="42"/>
        <v>Holy_Desc_1060016</v>
      </c>
      <c r="J776" s="4" t="s">
        <v>58</v>
      </c>
      <c r="K776" s="5">
        <f>[1]圣物数值!$C774*10000</f>
        <v>4140</v>
      </c>
      <c r="L776" s="5">
        <v>1060016</v>
      </c>
    </row>
    <row r="777" spans="1:16" x14ac:dyDescent="0.15">
      <c r="A777" s="5">
        <v>7874</v>
      </c>
      <c r="B777" s="5">
        <v>116</v>
      </c>
      <c r="C777" s="5" t="str">
        <f t="shared" si="41"/>
        <v>Holy_Name_1060016</v>
      </c>
      <c r="D777" s="5" t="s">
        <v>57</v>
      </c>
      <c r="E777" s="5">
        <v>3</v>
      </c>
      <c r="F777" s="5">
        <v>24</v>
      </c>
      <c r="G777" s="5">
        <v>36</v>
      </c>
      <c r="H777" s="5">
        <v>720</v>
      </c>
      <c r="I777" s="5" t="str">
        <f t="shared" si="42"/>
        <v>Holy_Desc_1060016</v>
      </c>
      <c r="J777" s="4" t="s">
        <v>58</v>
      </c>
      <c r="K777" s="5">
        <f>[1]圣物数值!$C775*10000</f>
        <v>4320</v>
      </c>
      <c r="L777" s="5">
        <v>1060016</v>
      </c>
    </row>
    <row r="778" spans="1:16" x14ac:dyDescent="0.15">
      <c r="A778" s="5">
        <v>7875</v>
      </c>
      <c r="B778" s="5">
        <v>116</v>
      </c>
      <c r="C778" s="5" t="str">
        <f t="shared" si="41"/>
        <v>Holy_Name_1060016</v>
      </c>
      <c r="D778" s="5" t="s">
        <v>57</v>
      </c>
      <c r="E778" s="5">
        <v>3</v>
      </c>
      <c r="F778" s="5">
        <v>25</v>
      </c>
      <c r="G778" s="5">
        <v>38</v>
      </c>
      <c r="H778" s="5">
        <v>750</v>
      </c>
      <c r="I778" s="5" t="str">
        <f t="shared" si="42"/>
        <v>Holy_Desc_1060016</v>
      </c>
      <c r="J778" s="4" t="s">
        <v>58</v>
      </c>
      <c r="K778" s="5">
        <f>[1]圣物数值!$C776*10000</f>
        <v>4500</v>
      </c>
      <c r="L778" s="5">
        <v>1060016</v>
      </c>
    </row>
    <row r="779" spans="1:16" x14ac:dyDescent="0.15">
      <c r="A779" s="5">
        <v>7876</v>
      </c>
      <c r="B779" s="5">
        <v>116</v>
      </c>
      <c r="C779" s="5" t="str">
        <f t="shared" si="41"/>
        <v>Holy_Name_1060016</v>
      </c>
      <c r="D779" s="5" t="s">
        <v>57</v>
      </c>
      <c r="E779" s="5">
        <v>3</v>
      </c>
      <c r="F779" s="5">
        <v>26</v>
      </c>
      <c r="G779" s="5">
        <v>39</v>
      </c>
      <c r="H779" s="5">
        <v>780</v>
      </c>
      <c r="I779" s="5" t="str">
        <f t="shared" si="42"/>
        <v>Holy_Desc_1060016</v>
      </c>
      <c r="J779" s="4" t="s">
        <v>58</v>
      </c>
      <c r="K779" s="5">
        <f>[1]圣物数值!$C777*10000</f>
        <v>4680</v>
      </c>
      <c r="L779" s="5">
        <v>1060016</v>
      </c>
    </row>
    <row r="780" spans="1:16" x14ac:dyDescent="0.15">
      <c r="A780" s="5">
        <v>7877</v>
      </c>
      <c r="B780" s="5">
        <v>116</v>
      </c>
      <c r="C780" s="5" t="str">
        <f t="shared" si="41"/>
        <v>Holy_Name_1060016</v>
      </c>
      <c r="D780" s="5" t="s">
        <v>57</v>
      </c>
      <c r="E780" s="5">
        <v>3</v>
      </c>
      <c r="F780" s="5">
        <v>27</v>
      </c>
      <c r="G780" s="5">
        <v>41</v>
      </c>
      <c r="H780" s="5">
        <v>820</v>
      </c>
      <c r="I780" s="5" t="str">
        <f t="shared" si="42"/>
        <v>Holy_Desc_1060016</v>
      </c>
      <c r="J780" s="4" t="s">
        <v>58</v>
      </c>
      <c r="K780" s="5">
        <f>[1]圣物数值!$C778*10000</f>
        <v>4860</v>
      </c>
      <c r="L780" s="5">
        <v>1060016</v>
      </c>
    </row>
    <row r="781" spans="1:16" x14ac:dyDescent="0.15">
      <c r="A781" s="5">
        <v>7878</v>
      </c>
      <c r="B781" s="5">
        <v>116</v>
      </c>
      <c r="C781" s="5" t="str">
        <f t="shared" si="41"/>
        <v>Holy_Name_1060016</v>
      </c>
      <c r="D781" s="5" t="s">
        <v>57</v>
      </c>
      <c r="E781" s="5">
        <v>3</v>
      </c>
      <c r="F781" s="5">
        <v>28</v>
      </c>
      <c r="G781" s="5">
        <v>42</v>
      </c>
      <c r="H781" s="5">
        <v>850</v>
      </c>
      <c r="I781" s="5" t="str">
        <f t="shared" si="42"/>
        <v>Holy_Desc_1060016</v>
      </c>
      <c r="J781" s="4" t="s">
        <v>58</v>
      </c>
      <c r="K781" s="5">
        <f>[1]圣物数值!$C779*10000</f>
        <v>5040</v>
      </c>
      <c r="L781" s="5">
        <v>1060016</v>
      </c>
    </row>
    <row r="782" spans="1:16" x14ac:dyDescent="0.15">
      <c r="A782" s="5">
        <v>7879</v>
      </c>
      <c r="B782" s="5">
        <v>116</v>
      </c>
      <c r="C782" s="5" t="str">
        <f t="shared" si="41"/>
        <v>Holy_Name_1060016</v>
      </c>
      <c r="D782" s="5" t="s">
        <v>57</v>
      </c>
      <c r="E782" s="5">
        <v>3</v>
      </c>
      <c r="F782" s="5">
        <v>29</v>
      </c>
      <c r="G782" s="5">
        <v>44</v>
      </c>
      <c r="H782" s="5">
        <v>880</v>
      </c>
      <c r="I782" s="5" t="str">
        <f t="shared" si="42"/>
        <v>Holy_Desc_1060016</v>
      </c>
      <c r="J782" s="4" t="s">
        <v>58</v>
      </c>
      <c r="K782" s="5">
        <f>[1]圣物数值!$C780*10000</f>
        <v>5220</v>
      </c>
      <c r="L782" s="5">
        <v>1060016</v>
      </c>
    </row>
    <row r="783" spans="1:16" x14ac:dyDescent="0.15">
      <c r="A783" s="5">
        <v>7880</v>
      </c>
      <c r="B783" s="5">
        <v>116</v>
      </c>
      <c r="C783" s="5" t="str">
        <f t="shared" si="41"/>
        <v>Holy_Name_1060016</v>
      </c>
      <c r="D783" s="5" t="s">
        <v>57</v>
      </c>
      <c r="E783" s="5">
        <v>3</v>
      </c>
      <c r="F783" s="5">
        <v>30</v>
      </c>
      <c r="G783" s="5">
        <v>46</v>
      </c>
      <c r="H783" s="5">
        <v>910</v>
      </c>
      <c r="I783" s="5" t="str">
        <f t="shared" si="42"/>
        <v>Holy_Desc_1060016</v>
      </c>
      <c r="J783" s="4" t="s">
        <v>58</v>
      </c>
      <c r="K783" s="5">
        <f>[1]圣物数值!$C781*10000</f>
        <v>5400</v>
      </c>
      <c r="L783" s="5">
        <v>1060016</v>
      </c>
    </row>
    <row r="784" spans="1:16" x14ac:dyDescent="0.15">
      <c r="A784" s="5">
        <v>7881</v>
      </c>
      <c r="B784" s="5">
        <v>116</v>
      </c>
      <c r="C784" s="5" t="str">
        <f t="shared" si="41"/>
        <v>Holy_Name_1060016</v>
      </c>
      <c r="D784" s="5" t="s">
        <v>57</v>
      </c>
      <c r="E784" s="5">
        <v>3</v>
      </c>
      <c r="F784" s="5">
        <v>31</v>
      </c>
      <c r="G784" s="5">
        <v>47</v>
      </c>
      <c r="H784" s="5">
        <v>940</v>
      </c>
      <c r="I784" s="5" t="str">
        <f t="shared" si="42"/>
        <v>Holy_Desc_1060016</v>
      </c>
      <c r="J784" s="4" t="s">
        <v>58</v>
      </c>
      <c r="K784" s="5">
        <f>[1]圣物数值!$C782*10000</f>
        <v>5580</v>
      </c>
      <c r="L784" s="5">
        <v>1060016</v>
      </c>
    </row>
    <row r="785" spans="1:12" x14ac:dyDescent="0.15">
      <c r="A785" s="5">
        <v>7882</v>
      </c>
      <c r="B785" s="5">
        <v>116</v>
      </c>
      <c r="C785" s="5" t="str">
        <f t="shared" si="41"/>
        <v>Holy_Name_1060016</v>
      </c>
      <c r="D785" s="5" t="s">
        <v>57</v>
      </c>
      <c r="E785" s="5">
        <v>3</v>
      </c>
      <c r="F785" s="5">
        <v>32</v>
      </c>
      <c r="G785" s="5">
        <v>49</v>
      </c>
      <c r="H785" s="5">
        <v>980</v>
      </c>
      <c r="I785" s="5" t="str">
        <f t="shared" si="42"/>
        <v>Holy_Desc_1060016</v>
      </c>
      <c r="J785" s="4" t="s">
        <v>58</v>
      </c>
      <c r="K785" s="5">
        <f>[1]圣物数值!$C783*10000</f>
        <v>5760</v>
      </c>
      <c r="L785" s="5">
        <v>1060016</v>
      </c>
    </row>
    <row r="786" spans="1:12" x14ac:dyDescent="0.15">
      <c r="A786" s="5">
        <v>7883</v>
      </c>
      <c r="B786" s="5">
        <v>116</v>
      </c>
      <c r="C786" s="5" t="str">
        <f t="shared" si="41"/>
        <v>Holy_Name_1060016</v>
      </c>
      <c r="D786" s="5" t="s">
        <v>57</v>
      </c>
      <c r="E786" s="5">
        <v>3</v>
      </c>
      <c r="F786" s="5">
        <v>33</v>
      </c>
      <c r="G786" s="5">
        <v>50</v>
      </c>
      <c r="H786" s="5">
        <v>1010</v>
      </c>
      <c r="I786" s="5" t="str">
        <f t="shared" si="42"/>
        <v>Holy_Desc_1060016</v>
      </c>
      <c r="J786" s="4" t="s">
        <v>58</v>
      </c>
      <c r="K786" s="5">
        <f>[1]圣物数值!$C784*10000</f>
        <v>5940</v>
      </c>
      <c r="L786" s="5">
        <v>1060016</v>
      </c>
    </row>
    <row r="787" spans="1:12" x14ac:dyDescent="0.15">
      <c r="A787" s="5">
        <v>7884</v>
      </c>
      <c r="B787" s="5">
        <v>116</v>
      </c>
      <c r="C787" s="5" t="str">
        <f t="shared" si="41"/>
        <v>Holy_Name_1060016</v>
      </c>
      <c r="D787" s="5" t="s">
        <v>57</v>
      </c>
      <c r="E787" s="5">
        <v>3</v>
      </c>
      <c r="F787" s="5">
        <v>34</v>
      </c>
      <c r="G787" s="5">
        <v>52</v>
      </c>
      <c r="H787" s="5">
        <v>1040</v>
      </c>
      <c r="I787" s="5" t="str">
        <f t="shared" si="42"/>
        <v>Holy_Desc_1060016</v>
      </c>
      <c r="J787" s="4" t="s">
        <v>58</v>
      </c>
      <c r="K787" s="5">
        <f>[1]圣物数值!$C785*10000</f>
        <v>6120</v>
      </c>
      <c r="L787" s="5">
        <v>1060016</v>
      </c>
    </row>
    <row r="788" spans="1:12" x14ac:dyDescent="0.15">
      <c r="A788" s="5">
        <v>7885</v>
      </c>
      <c r="B788" s="5">
        <v>116</v>
      </c>
      <c r="C788" s="5" t="str">
        <f t="shared" si="41"/>
        <v>Holy_Name_1060016</v>
      </c>
      <c r="D788" s="5" t="s">
        <v>57</v>
      </c>
      <c r="E788" s="5">
        <v>3</v>
      </c>
      <c r="F788" s="5">
        <v>35</v>
      </c>
      <c r="G788" s="5">
        <v>54</v>
      </c>
      <c r="H788" s="5">
        <v>1070</v>
      </c>
      <c r="I788" s="5" t="str">
        <f t="shared" si="42"/>
        <v>Holy_Desc_1060016</v>
      </c>
      <c r="J788" s="4" t="s">
        <v>58</v>
      </c>
      <c r="K788" s="5">
        <f>[1]圣物数值!$C786*10000</f>
        <v>6300</v>
      </c>
      <c r="L788" s="5">
        <v>1060016</v>
      </c>
    </row>
    <row r="789" spans="1:12" x14ac:dyDescent="0.15">
      <c r="A789" s="5">
        <v>7886</v>
      </c>
      <c r="B789" s="5">
        <v>116</v>
      </c>
      <c r="C789" s="5" t="str">
        <f t="shared" si="41"/>
        <v>Holy_Name_1060016</v>
      </c>
      <c r="D789" s="5" t="s">
        <v>57</v>
      </c>
      <c r="E789" s="5">
        <v>3</v>
      </c>
      <c r="F789" s="5">
        <v>36</v>
      </c>
      <c r="G789" s="5">
        <v>55</v>
      </c>
      <c r="H789" s="5">
        <v>1100</v>
      </c>
      <c r="I789" s="5" t="str">
        <f t="shared" si="42"/>
        <v>Holy_Desc_1060016</v>
      </c>
      <c r="J789" s="4" t="s">
        <v>58</v>
      </c>
      <c r="K789" s="5">
        <f>[1]圣物数值!$C787*10000</f>
        <v>6480</v>
      </c>
      <c r="L789" s="5">
        <v>1060016</v>
      </c>
    </row>
    <row r="790" spans="1:12" x14ac:dyDescent="0.15">
      <c r="A790" s="5">
        <v>7887</v>
      </c>
      <c r="B790" s="5">
        <v>116</v>
      </c>
      <c r="C790" s="5" t="str">
        <f t="shared" si="41"/>
        <v>Holy_Name_1060016</v>
      </c>
      <c r="D790" s="5" t="s">
        <v>57</v>
      </c>
      <c r="E790" s="5">
        <v>3</v>
      </c>
      <c r="F790" s="5">
        <v>37</v>
      </c>
      <c r="G790" s="5">
        <v>57</v>
      </c>
      <c r="H790" s="5">
        <v>1140</v>
      </c>
      <c r="I790" s="5" t="str">
        <f t="shared" si="42"/>
        <v>Holy_Desc_1060016</v>
      </c>
      <c r="J790" s="4" t="s">
        <v>58</v>
      </c>
      <c r="K790" s="5">
        <f>[1]圣物数值!$C788*10000</f>
        <v>6660</v>
      </c>
      <c r="L790" s="5">
        <v>1060016</v>
      </c>
    </row>
    <row r="791" spans="1:12" x14ac:dyDescent="0.15">
      <c r="A791" s="5">
        <v>7888</v>
      </c>
      <c r="B791" s="5">
        <v>116</v>
      </c>
      <c r="C791" s="5" t="str">
        <f t="shared" si="41"/>
        <v>Holy_Name_1060016</v>
      </c>
      <c r="D791" s="5" t="s">
        <v>57</v>
      </c>
      <c r="E791" s="5">
        <v>3</v>
      </c>
      <c r="F791" s="5">
        <v>38</v>
      </c>
      <c r="G791" s="5">
        <v>58</v>
      </c>
      <c r="H791" s="5">
        <v>1170</v>
      </c>
      <c r="I791" s="5" t="str">
        <f t="shared" si="42"/>
        <v>Holy_Desc_1060016</v>
      </c>
      <c r="J791" s="4" t="s">
        <v>58</v>
      </c>
      <c r="K791" s="5">
        <f>[1]圣物数值!$C789*10000</f>
        <v>6840</v>
      </c>
      <c r="L791" s="5">
        <v>1060016</v>
      </c>
    </row>
    <row r="792" spans="1:12" x14ac:dyDescent="0.15">
      <c r="A792" s="5">
        <v>7889</v>
      </c>
      <c r="B792" s="5">
        <v>116</v>
      </c>
      <c r="C792" s="5" t="str">
        <f t="shared" si="41"/>
        <v>Holy_Name_1060016</v>
      </c>
      <c r="D792" s="5" t="s">
        <v>57</v>
      </c>
      <c r="E792" s="5">
        <v>3</v>
      </c>
      <c r="F792" s="5">
        <v>39</v>
      </c>
      <c r="G792" s="5">
        <v>60</v>
      </c>
      <c r="H792" s="5">
        <v>1200</v>
      </c>
      <c r="I792" s="5" t="str">
        <f t="shared" si="42"/>
        <v>Holy_Desc_1060016</v>
      </c>
      <c r="J792" s="4" t="s">
        <v>58</v>
      </c>
      <c r="K792" s="5">
        <f>[1]圣物数值!$C790*10000</f>
        <v>7020</v>
      </c>
      <c r="L792" s="5">
        <v>1060016</v>
      </c>
    </row>
    <row r="793" spans="1:12" x14ac:dyDescent="0.15">
      <c r="A793" s="5">
        <v>7890</v>
      </c>
      <c r="B793" s="5">
        <v>116</v>
      </c>
      <c r="C793" s="5" t="str">
        <f t="shared" si="41"/>
        <v>Holy_Name_1060016</v>
      </c>
      <c r="D793" s="5" t="s">
        <v>57</v>
      </c>
      <c r="E793" s="5">
        <v>3</v>
      </c>
      <c r="F793" s="5">
        <v>40</v>
      </c>
      <c r="G793" s="5">
        <v>62</v>
      </c>
      <c r="H793" s="5">
        <v>1230</v>
      </c>
      <c r="I793" s="5" t="str">
        <f t="shared" si="42"/>
        <v>Holy_Desc_1060016</v>
      </c>
      <c r="J793" s="4" t="s">
        <v>58</v>
      </c>
      <c r="K793" s="5">
        <f>[1]圣物数值!$C791*10000</f>
        <v>7200</v>
      </c>
      <c r="L793" s="5">
        <v>1060016</v>
      </c>
    </row>
    <row r="794" spans="1:12" x14ac:dyDescent="0.15">
      <c r="A794" s="5">
        <v>7891</v>
      </c>
      <c r="B794" s="5">
        <v>116</v>
      </c>
      <c r="C794" s="5" t="str">
        <f t="shared" si="41"/>
        <v>Holy_Name_1060016</v>
      </c>
      <c r="D794" s="5" t="s">
        <v>57</v>
      </c>
      <c r="E794" s="5">
        <v>3</v>
      </c>
      <c r="F794" s="5">
        <v>41</v>
      </c>
      <c r="G794" s="5">
        <v>63</v>
      </c>
      <c r="H794" s="5">
        <v>1260</v>
      </c>
      <c r="I794" s="5" t="str">
        <f t="shared" si="42"/>
        <v>Holy_Desc_1060016</v>
      </c>
      <c r="J794" s="4" t="s">
        <v>58</v>
      </c>
      <c r="K794" s="5">
        <f>[1]圣物数值!$C792*10000</f>
        <v>7380</v>
      </c>
      <c r="L794" s="5">
        <v>1060016</v>
      </c>
    </row>
    <row r="795" spans="1:12" x14ac:dyDescent="0.15">
      <c r="A795" s="5">
        <v>7892</v>
      </c>
      <c r="B795" s="5">
        <v>116</v>
      </c>
      <c r="C795" s="5" t="str">
        <f t="shared" si="41"/>
        <v>Holy_Name_1060016</v>
      </c>
      <c r="D795" s="5" t="s">
        <v>57</v>
      </c>
      <c r="E795" s="5">
        <v>3</v>
      </c>
      <c r="F795" s="5">
        <v>42</v>
      </c>
      <c r="G795" s="5">
        <v>65</v>
      </c>
      <c r="H795" s="5">
        <v>1300</v>
      </c>
      <c r="I795" s="5" t="str">
        <f t="shared" si="42"/>
        <v>Holy_Desc_1060016</v>
      </c>
      <c r="J795" s="4" t="s">
        <v>58</v>
      </c>
      <c r="K795" s="5">
        <f>[1]圣物数值!$C793*10000</f>
        <v>7560</v>
      </c>
      <c r="L795" s="5">
        <v>1060016</v>
      </c>
    </row>
    <row r="796" spans="1:12" x14ac:dyDescent="0.15">
      <c r="A796" s="5">
        <v>7893</v>
      </c>
      <c r="B796" s="5">
        <v>116</v>
      </c>
      <c r="C796" s="5" t="str">
        <f t="shared" si="41"/>
        <v>Holy_Name_1060016</v>
      </c>
      <c r="D796" s="5" t="s">
        <v>57</v>
      </c>
      <c r="E796" s="5">
        <v>3</v>
      </c>
      <c r="F796" s="5">
        <v>43</v>
      </c>
      <c r="G796" s="5">
        <v>66</v>
      </c>
      <c r="H796" s="5">
        <v>1330</v>
      </c>
      <c r="I796" s="5" t="str">
        <f t="shared" si="42"/>
        <v>Holy_Desc_1060016</v>
      </c>
      <c r="J796" s="4" t="s">
        <v>58</v>
      </c>
      <c r="K796" s="5">
        <f>[1]圣物数值!$C794*10000</f>
        <v>7740</v>
      </c>
      <c r="L796" s="5">
        <v>1060016</v>
      </c>
    </row>
    <row r="797" spans="1:12" x14ac:dyDescent="0.15">
      <c r="A797" s="5">
        <v>7894</v>
      </c>
      <c r="B797" s="5">
        <v>116</v>
      </c>
      <c r="C797" s="5" t="str">
        <f t="shared" si="41"/>
        <v>Holy_Name_1060016</v>
      </c>
      <c r="D797" s="5" t="s">
        <v>57</v>
      </c>
      <c r="E797" s="5">
        <v>3</v>
      </c>
      <c r="F797" s="5">
        <v>44</v>
      </c>
      <c r="G797" s="5">
        <v>68</v>
      </c>
      <c r="H797" s="5">
        <v>1360</v>
      </c>
      <c r="I797" s="5" t="str">
        <f t="shared" si="42"/>
        <v>Holy_Desc_1060016</v>
      </c>
      <c r="J797" s="4" t="s">
        <v>58</v>
      </c>
      <c r="K797" s="5">
        <f>[1]圣物数值!$C795*10000</f>
        <v>7920</v>
      </c>
      <c r="L797" s="5">
        <v>1060016</v>
      </c>
    </row>
    <row r="798" spans="1:12" x14ac:dyDescent="0.15">
      <c r="A798" s="5">
        <v>7895</v>
      </c>
      <c r="B798" s="5">
        <v>116</v>
      </c>
      <c r="C798" s="5" t="str">
        <f t="shared" si="41"/>
        <v>Holy_Name_1060016</v>
      </c>
      <c r="D798" s="5" t="s">
        <v>57</v>
      </c>
      <c r="E798" s="5">
        <v>3</v>
      </c>
      <c r="F798" s="5">
        <v>45</v>
      </c>
      <c r="G798" s="5">
        <v>70</v>
      </c>
      <c r="H798" s="5">
        <v>1390</v>
      </c>
      <c r="I798" s="5" t="str">
        <f t="shared" si="42"/>
        <v>Holy_Desc_1060016</v>
      </c>
      <c r="J798" s="4" t="s">
        <v>58</v>
      </c>
      <c r="K798" s="5">
        <f>[1]圣物数值!$C796*10000</f>
        <v>8100</v>
      </c>
      <c r="L798" s="5">
        <v>1060016</v>
      </c>
    </row>
    <row r="799" spans="1:12" x14ac:dyDescent="0.15">
      <c r="A799" s="5">
        <v>7896</v>
      </c>
      <c r="B799" s="5">
        <v>116</v>
      </c>
      <c r="C799" s="5" t="str">
        <f t="shared" si="41"/>
        <v>Holy_Name_1060016</v>
      </c>
      <c r="D799" s="5" t="s">
        <v>57</v>
      </c>
      <c r="E799" s="5">
        <v>3</v>
      </c>
      <c r="F799" s="5">
        <v>46</v>
      </c>
      <c r="G799" s="5">
        <v>71</v>
      </c>
      <c r="H799" s="5">
        <v>1420</v>
      </c>
      <c r="I799" s="5" t="str">
        <f t="shared" si="42"/>
        <v>Holy_Desc_1060016</v>
      </c>
      <c r="J799" s="4" t="s">
        <v>58</v>
      </c>
      <c r="K799" s="5">
        <f>[1]圣物数值!$C797*10000</f>
        <v>8280</v>
      </c>
      <c r="L799" s="5">
        <v>1060016</v>
      </c>
    </row>
    <row r="800" spans="1:12" x14ac:dyDescent="0.15">
      <c r="A800" s="5">
        <v>7897</v>
      </c>
      <c r="B800" s="5">
        <v>116</v>
      </c>
      <c r="C800" s="5" t="str">
        <f t="shared" si="41"/>
        <v>Holy_Name_1060016</v>
      </c>
      <c r="D800" s="5" t="s">
        <v>57</v>
      </c>
      <c r="E800" s="5">
        <v>3</v>
      </c>
      <c r="F800" s="5">
        <v>47</v>
      </c>
      <c r="G800" s="5">
        <v>73</v>
      </c>
      <c r="H800" s="5">
        <v>1460</v>
      </c>
      <c r="I800" s="5" t="str">
        <f t="shared" si="42"/>
        <v>Holy_Desc_1060016</v>
      </c>
      <c r="J800" s="4" t="s">
        <v>58</v>
      </c>
      <c r="K800" s="5">
        <f>[1]圣物数值!$C798*10000</f>
        <v>8460</v>
      </c>
      <c r="L800" s="5">
        <v>1060016</v>
      </c>
    </row>
    <row r="801" spans="1:12" x14ac:dyDescent="0.15">
      <c r="A801" s="5">
        <v>7898</v>
      </c>
      <c r="B801" s="5">
        <v>116</v>
      </c>
      <c r="C801" s="5" t="str">
        <f t="shared" si="41"/>
        <v>Holy_Name_1060016</v>
      </c>
      <c r="D801" s="5" t="s">
        <v>57</v>
      </c>
      <c r="E801" s="5">
        <v>3</v>
      </c>
      <c r="F801" s="5">
        <v>48</v>
      </c>
      <c r="G801" s="5">
        <v>74</v>
      </c>
      <c r="H801" s="5">
        <v>1490</v>
      </c>
      <c r="I801" s="5" t="str">
        <f t="shared" si="42"/>
        <v>Holy_Desc_1060016</v>
      </c>
      <c r="J801" s="4" t="s">
        <v>58</v>
      </c>
      <c r="K801" s="5">
        <f>[1]圣物数值!$C799*10000</f>
        <v>8640</v>
      </c>
      <c r="L801" s="5">
        <v>1060016</v>
      </c>
    </row>
    <row r="802" spans="1:12" x14ac:dyDescent="0.15">
      <c r="A802" s="5">
        <v>7899</v>
      </c>
      <c r="B802" s="5">
        <v>116</v>
      </c>
      <c r="C802" s="5" t="str">
        <f t="shared" si="41"/>
        <v>Holy_Name_1060016</v>
      </c>
      <c r="D802" s="5" t="s">
        <v>57</v>
      </c>
      <c r="E802" s="5">
        <v>3</v>
      </c>
      <c r="F802" s="5">
        <v>49</v>
      </c>
      <c r="G802" s="5">
        <v>76</v>
      </c>
      <c r="H802" s="5">
        <v>1520</v>
      </c>
      <c r="I802" s="5" t="str">
        <f t="shared" si="42"/>
        <v>Holy_Desc_1060016</v>
      </c>
      <c r="J802" s="4" t="s">
        <v>58</v>
      </c>
      <c r="K802" s="5">
        <f>[1]圣物数值!$C800*10000</f>
        <v>8820</v>
      </c>
      <c r="L802" s="5">
        <v>1060016</v>
      </c>
    </row>
    <row r="803" spans="1:12" x14ac:dyDescent="0.15">
      <c r="A803" s="5">
        <v>7900</v>
      </c>
      <c r="B803" s="5">
        <v>116</v>
      </c>
      <c r="C803" s="5" t="str">
        <f t="shared" si="41"/>
        <v>Holy_Name_1060016</v>
      </c>
      <c r="D803" s="5" t="s">
        <v>57</v>
      </c>
      <c r="E803" s="5">
        <v>3</v>
      </c>
      <c r="F803" s="5">
        <v>50</v>
      </c>
      <c r="G803" s="5">
        <v>78</v>
      </c>
      <c r="H803" s="5">
        <v>1550</v>
      </c>
      <c r="I803" s="5" t="str">
        <f t="shared" si="42"/>
        <v>Holy_Desc_1060016</v>
      </c>
      <c r="J803" s="4" t="s">
        <v>58</v>
      </c>
      <c r="K803" s="5">
        <f>[1]圣物数值!$C801*10000</f>
        <v>9000</v>
      </c>
      <c r="L803" s="5">
        <v>1060016</v>
      </c>
    </row>
  </sheetData>
  <autoFilter ref="A1:L803"/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0"/>
  <sheetViews>
    <sheetView topLeftCell="A764" workbookViewId="0">
      <selection activeCell="B751" sqref="B751:B800"/>
    </sheetView>
  </sheetViews>
  <sheetFormatPr defaultColWidth="9" defaultRowHeight="13.5" x14ac:dyDescent="0.15"/>
  <cols>
    <col min="2" max="2" width="21.75" customWidth="1"/>
  </cols>
  <sheetData>
    <row r="1" spans="1:2" x14ac:dyDescent="0.15">
      <c r="A1">
        <v>7101</v>
      </c>
      <c r="B1" t="str">
        <f>"29,"&amp;Sheet1!K4&amp;"|"&amp;"30,"&amp;Sheet1!K4</f>
        <v>29,180|30,180</v>
      </c>
    </row>
    <row r="2" spans="1:2" x14ac:dyDescent="0.15">
      <c r="A2">
        <v>7102</v>
      </c>
      <c r="B2" t="str">
        <f>"29,"&amp;Sheet1!K5&amp;"|"&amp;"30,"&amp;Sheet1!K5</f>
        <v>29,360|30,360</v>
      </c>
    </row>
    <row r="3" spans="1:2" x14ac:dyDescent="0.15">
      <c r="A3">
        <v>7103</v>
      </c>
      <c r="B3" t="str">
        <f>"29,"&amp;Sheet1!K6&amp;"|"&amp;"30,"&amp;Sheet1!K6</f>
        <v>29,540|30,540</v>
      </c>
    </row>
    <row r="4" spans="1:2" x14ac:dyDescent="0.15">
      <c r="A4">
        <v>7104</v>
      </c>
      <c r="B4" t="str">
        <f>"29,"&amp;Sheet1!K7&amp;"|"&amp;"30,"&amp;Sheet1!K7</f>
        <v>29,720|30,720</v>
      </c>
    </row>
    <row r="5" spans="1:2" x14ac:dyDescent="0.15">
      <c r="A5">
        <v>7105</v>
      </c>
      <c r="B5" t="str">
        <f>"29,"&amp;Sheet1!K8&amp;"|"&amp;"30,"&amp;Sheet1!K8</f>
        <v>29,900|30,900</v>
      </c>
    </row>
    <row r="6" spans="1:2" x14ac:dyDescent="0.15">
      <c r="A6">
        <v>7106</v>
      </c>
      <c r="B6" t="str">
        <f>"29,"&amp;Sheet1!K9&amp;"|"&amp;"30,"&amp;Sheet1!K9</f>
        <v>29,1080|30,1080</v>
      </c>
    </row>
    <row r="7" spans="1:2" x14ac:dyDescent="0.15">
      <c r="A7">
        <v>7107</v>
      </c>
      <c r="B7" t="str">
        <f>"29,"&amp;Sheet1!K10&amp;"|"&amp;"30,"&amp;Sheet1!K10</f>
        <v>29,1260|30,1260</v>
      </c>
    </row>
    <row r="8" spans="1:2" x14ac:dyDescent="0.15">
      <c r="A8">
        <v>7108</v>
      </c>
      <c r="B8" t="str">
        <f>"29,"&amp;Sheet1!K11&amp;"|"&amp;"30,"&amp;Sheet1!K11</f>
        <v>29,1440|30,1440</v>
      </c>
    </row>
    <row r="9" spans="1:2" x14ac:dyDescent="0.15">
      <c r="A9">
        <v>7109</v>
      </c>
      <c r="B9" t="str">
        <f>"29,"&amp;Sheet1!K12&amp;"|"&amp;"30,"&amp;Sheet1!K12</f>
        <v>29,1620|30,1620</v>
      </c>
    </row>
    <row r="10" spans="1:2" x14ac:dyDescent="0.15">
      <c r="A10">
        <v>7110</v>
      </c>
      <c r="B10" t="str">
        <f>"29,"&amp;Sheet1!K13&amp;"|"&amp;"30,"&amp;Sheet1!K13</f>
        <v>29,1800|30,1800</v>
      </c>
    </row>
    <row r="11" spans="1:2" x14ac:dyDescent="0.15">
      <c r="A11">
        <v>7111</v>
      </c>
      <c r="B11" t="str">
        <f>"29,"&amp;Sheet1!K14&amp;"|"&amp;"30,"&amp;Sheet1!K14</f>
        <v>29,1980|30,1980</v>
      </c>
    </row>
    <row r="12" spans="1:2" x14ac:dyDescent="0.15">
      <c r="A12">
        <v>7112</v>
      </c>
      <c r="B12" t="str">
        <f>"29,"&amp;Sheet1!K15&amp;"|"&amp;"30,"&amp;Sheet1!K15</f>
        <v>29,2160|30,2160</v>
      </c>
    </row>
    <row r="13" spans="1:2" x14ac:dyDescent="0.15">
      <c r="A13">
        <v>7113</v>
      </c>
      <c r="B13" t="str">
        <f>"29,"&amp;Sheet1!K16&amp;"|"&amp;"30,"&amp;Sheet1!K16</f>
        <v>29,2340|30,2340</v>
      </c>
    </row>
    <row r="14" spans="1:2" x14ac:dyDescent="0.15">
      <c r="A14">
        <v>7114</v>
      </c>
      <c r="B14" t="str">
        <f>"29,"&amp;Sheet1!K17&amp;"|"&amp;"30,"&amp;Sheet1!K17</f>
        <v>29,2520|30,2520</v>
      </c>
    </row>
    <row r="15" spans="1:2" x14ac:dyDescent="0.15">
      <c r="A15">
        <v>7115</v>
      </c>
      <c r="B15" t="str">
        <f>"29,"&amp;Sheet1!K18&amp;"|"&amp;"30,"&amp;Sheet1!K18</f>
        <v>29,2700|30,2700</v>
      </c>
    </row>
    <row r="16" spans="1:2" x14ac:dyDescent="0.15">
      <c r="A16">
        <v>7116</v>
      </c>
      <c r="B16" t="str">
        <f>"29,"&amp;Sheet1!K19&amp;"|"&amp;"30,"&amp;Sheet1!K19</f>
        <v>29,2880|30,2880</v>
      </c>
    </row>
    <row r="17" spans="1:2" x14ac:dyDescent="0.15">
      <c r="A17">
        <v>7117</v>
      </c>
      <c r="B17" t="str">
        <f>"29,"&amp;Sheet1!K20&amp;"|"&amp;"30,"&amp;Sheet1!K20</f>
        <v>29,3060|30,3060</v>
      </c>
    </row>
    <row r="18" spans="1:2" x14ac:dyDescent="0.15">
      <c r="A18">
        <v>7118</v>
      </c>
      <c r="B18" t="str">
        <f>"29,"&amp;Sheet1!K21&amp;"|"&amp;"30,"&amp;Sheet1!K21</f>
        <v>29,3240|30,3240</v>
      </c>
    </row>
    <row r="19" spans="1:2" x14ac:dyDescent="0.15">
      <c r="A19">
        <v>7119</v>
      </c>
      <c r="B19" t="str">
        <f>"29,"&amp;Sheet1!K22&amp;"|"&amp;"30,"&amp;Sheet1!K22</f>
        <v>29,3420|30,3420</v>
      </c>
    </row>
    <row r="20" spans="1:2" x14ac:dyDescent="0.15">
      <c r="A20">
        <v>7120</v>
      </c>
      <c r="B20" t="str">
        <f>"29,"&amp;Sheet1!K23&amp;"|"&amp;"30,"&amp;Sheet1!K23</f>
        <v>29,3600|30,3600</v>
      </c>
    </row>
    <row r="21" spans="1:2" x14ac:dyDescent="0.15">
      <c r="A21">
        <v>7121</v>
      </c>
      <c r="B21" t="str">
        <f>"29,"&amp;Sheet1!K24&amp;"|"&amp;"30,"&amp;Sheet1!K24</f>
        <v>29,3780|30,3780</v>
      </c>
    </row>
    <row r="22" spans="1:2" x14ac:dyDescent="0.15">
      <c r="A22">
        <v>7122</v>
      </c>
      <c r="B22" t="str">
        <f>"29,"&amp;Sheet1!K25&amp;"|"&amp;"30,"&amp;Sheet1!K25</f>
        <v>29,3960|30,3960</v>
      </c>
    </row>
    <row r="23" spans="1:2" x14ac:dyDescent="0.15">
      <c r="A23">
        <v>7123</v>
      </c>
      <c r="B23" t="str">
        <f>"29,"&amp;Sheet1!K26&amp;"|"&amp;"30,"&amp;Sheet1!K26</f>
        <v>29,4140|30,4140</v>
      </c>
    </row>
    <row r="24" spans="1:2" x14ac:dyDescent="0.15">
      <c r="A24">
        <v>7124</v>
      </c>
      <c r="B24" t="str">
        <f>"29,"&amp;Sheet1!K27&amp;"|"&amp;"30,"&amp;Sheet1!K27</f>
        <v>29,4320|30,4320</v>
      </c>
    </row>
    <row r="25" spans="1:2" x14ac:dyDescent="0.15">
      <c r="A25">
        <v>7125</v>
      </c>
      <c r="B25" t="str">
        <f>"29,"&amp;Sheet1!K28&amp;"|"&amp;"30,"&amp;Sheet1!K28</f>
        <v>29,4500|30,4500</v>
      </c>
    </row>
    <row r="26" spans="1:2" x14ac:dyDescent="0.15">
      <c r="A26">
        <v>7126</v>
      </c>
      <c r="B26" t="str">
        <f>"29,"&amp;Sheet1!K29&amp;"|"&amp;"30,"&amp;Sheet1!K29</f>
        <v>29,4680|30,4680</v>
      </c>
    </row>
    <row r="27" spans="1:2" x14ac:dyDescent="0.15">
      <c r="A27">
        <v>7127</v>
      </c>
      <c r="B27" t="str">
        <f>"29,"&amp;Sheet1!K30&amp;"|"&amp;"30,"&amp;Sheet1!K30</f>
        <v>29,4860|30,4860</v>
      </c>
    </row>
    <row r="28" spans="1:2" x14ac:dyDescent="0.15">
      <c r="A28">
        <v>7128</v>
      </c>
      <c r="B28" t="str">
        <f>"29,"&amp;Sheet1!K31&amp;"|"&amp;"30,"&amp;Sheet1!K31</f>
        <v>29,5040|30,5040</v>
      </c>
    </row>
    <row r="29" spans="1:2" x14ac:dyDescent="0.15">
      <c r="A29">
        <v>7129</v>
      </c>
      <c r="B29" t="str">
        <f>"29,"&amp;Sheet1!K32&amp;"|"&amp;"30,"&amp;Sheet1!K32</f>
        <v>29,5220|30,5220</v>
      </c>
    </row>
    <row r="30" spans="1:2" x14ac:dyDescent="0.15">
      <c r="A30">
        <v>7130</v>
      </c>
      <c r="B30" t="str">
        <f>"29,"&amp;Sheet1!K33&amp;"|"&amp;"30,"&amp;Sheet1!K33</f>
        <v>29,5400|30,5400</v>
      </c>
    </row>
    <row r="31" spans="1:2" x14ac:dyDescent="0.15">
      <c r="A31">
        <v>7131</v>
      </c>
      <c r="B31" t="str">
        <f>"29,"&amp;Sheet1!K34&amp;"|"&amp;"30,"&amp;Sheet1!K34</f>
        <v>29,5580|30,5580</v>
      </c>
    </row>
    <row r="32" spans="1:2" x14ac:dyDescent="0.15">
      <c r="A32">
        <v>7132</v>
      </c>
      <c r="B32" t="str">
        <f>"29,"&amp;Sheet1!K35&amp;"|"&amp;"30,"&amp;Sheet1!K35</f>
        <v>29,5760|30,5760</v>
      </c>
    </row>
    <row r="33" spans="1:2" x14ac:dyDescent="0.15">
      <c r="A33">
        <v>7133</v>
      </c>
      <c r="B33" t="str">
        <f>"29,"&amp;Sheet1!K36&amp;"|"&amp;"30,"&amp;Sheet1!K36</f>
        <v>29,5940|30,5940</v>
      </c>
    </row>
    <row r="34" spans="1:2" x14ac:dyDescent="0.15">
      <c r="A34">
        <v>7134</v>
      </c>
      <c r="B34" t="str">
        <f>"29,"&amp;Sheet1!K37&amp;"|"&amp;"30,"&amp;Sheet1!K37</f>
        <v>29,6120|30,6120</v>
      </c>
    </row>
    <row r="35" spans="1:2" x14ac:dyDescent="0.15">
      <c r="A35">
        <v>7135</v>
      </c>
      <c r="B35" t="str">
        <f>"29,"&amp;Sheet1!K38&amp;"|"&amp;"30,"&amp;Sheet1!K38</f>
        <v>29,6300|30,6300</v>
      </c>
    </row>
    <row r="36" spans="1:2" x14ac:dyDescent="0.15">
      <c r="A36">
        <v>7136</v>
      </c>
      <c r="B36" t="str">
        <f>"29,"&amp;Sheet1!K39&amp;"|"&amp;"30,"&amp;Sheet1!K39</f>
        <v>29,6480|30,6480</v>
      </c>
    </row>
    <row r="37" spans="1:2" x14ac:dyDescent="0.15">
      <c r="A37">
        <v>7137</v>
      </c>
      <c r="B37" t="str">
        <f>"29,"&amp;Sheet1!K40&amp;"|"&amp;"30,"&amp;Sheet1!K40</f>
        <v>29,6660|30,6660</v>
      </c>
    </row>
    <row r="38" spans="1:2" x14ac:dyDescent="0.15">
      <c r="A38">
        <v>7138</v>
      </c>
      <c r="B38" t="str">
        <f>"29,"&amp;Sheet1!K41&amp;"|"&amp;"30,"&amp;Sheet1!K41</f>
        <v>29,6840|30,6840</v>
      </c>
    </row>
    <row r="39" spans="1:2" x14ac:dyDescent="0.15">
      <c r="A39">
        <v>7139</v>
      </c>
      <c r="B39" t="str">
        <f>"29,"&amp;Sheet1!K42&amp;"|"&amp;"30,"&amp;Sheet1!K42</f>
        <v>29,7020|30,7020</v>
      </c>
    </row>
    <row r="40" spans="1:2" x14ac:dyDescent="0.15">
      <c r="A40">
        <v>7140</v>
      </c>
      <c r="B40" t="str">
        <f>"29,"&amp;Sheet1!K43&amp;"|"&amp;"30,"&amp;Sheet1!K43</f>
        <v>29,7200|30,7200</v>
      </c>
    </row>
    <row r="41" spans="1:2" x14ac:dyDescent="0.15">
      <c r="A41">
        <v>7141</v>
      </c>
      <c r="B41" t="str">
        <f>"29,"&amp;Sheet1!K44&amp;"|"&amp;"30,"&amp;Sheet1!K44</f>
        <v>29,7380|30,7380</v>
      </c>
    </row>
    <row r="42" spans="1:2" x14ac:dyDescent="0.15">
      <c r="A42">
        <v>7142</v>
      </c>
      <c r="B42" t="str">
        <f>"29,"&amp;Sheet1!K45&amp;"|"&amp;"30,"&amp;Sheet1!K45</f>
        <v>29,7560|30,7560</v>
      </c>
    </row>
    <row r="43" spans="1:2" x14ac:dyDescent="0.15">
      <c r="A43">
        <v>7143</v>
      </c>
      <c r="B43" t="str">
        <f>"29,"&amp;Sheet1!K46&amp;"|"&amp;"30,"&amp;Sheet1!K46</f>
        <v>29,7740|30,7740</v>
      </c>
    </row>
    <row r="44" spans="1:2" x14ac:dyDescent="0.15">
      <c r="A44">
        <v>7144</v>
      </c>
      <c r="B44" t="str">
        <f>"29,"&amp;Sheet1!K47&amp;"|"&amp;"30,"&amp;Sheet1!K47</f>
        <v>29,7920|30,7920</v>
      </c>
    </row>
    <row r="45" spans="1:2" x14ac:dyDescent="0.15">
      <c r="A45">
        <v>7145</v>
      </c>
      <c r="B45" t="str">
        <f>"29,"&amp;Sheet1!K48&amp;"|"&amp;"30,"&amp;Sheet1!K48</f>
        <v>29,8100|30,8100</v>
      </c>
    </row>
    <row r="46" spans="1:2" x14ac:dyDescent="0.15">
      <c r="A46">
        <v>7146</v>
      </c>
      <c r="B46" t="str">
        <f>"29,"&amp;Sheet1!K49&amp;"|"&amp;"30,"&amp;Sheet1!K49</f>
        <v>29,8280|30,8280</v>
      </c>
    </row>
    <row r="47" spans="1:2" x14ac:dyDescent="0.15">
      <c r="A47">
        <v>7147</v>
      </c>
      <c r="B47" t="str">
        <f>"29,"&amp;Sheet1!K50&amp;"|"&amp;"30,"&amp;Sheet1!K50</f>
        <v>29,8460|30,8460</v>
      </c>
    </row>
    <row r="48" spans="1:2" x14ac:dyDescent="0.15">
      <c r="A48">
        <v>7148</v>
      </c>
      <c r="B48" t="str">
        <f>"29,"&amp;Sheet1!K51&amp;"|"&amp;"30,"&amp;Sheet1!K51</f>
        <v>29,8640|30,8640</v>
      </c>
    </row>
    <row r="49" spans="1:2" x14ac:dyDescent="0.15">
      <c r="A49">
        <v>7149</v>
      </c>
      <c r="B49" t="str">
        <f>"29,"&amp;Sheet1!K52&amp;"|"&amp;"30,"&amp;Sheet1!K52</f>
        <v>29,8820|30,8820</v>
      </c>
    </row>
    <row r="50" spans="1:2" x14ac:dyDescent="0.15">
      <c r="A50">
        <v>7150</v>
      </c>
      <c r="B50" t="str">
        <f>"29,"&amp;Sheet1!K53&amp;"|"&amp;"30,"&amp;Sheet1!K53</f>
        <v>29,9000|30,9000</v>
      </c>
    </row>
    <row r="51" spans="1:2" x14ac:dyDescent="0.15">
      <c r="A51">
        <v>7151</v>
      </c>
      <c r="B51" t="str">
        <f>"41,"&amp;Sheet1!K54</f>
        <v>41,150</v>
      </c>
    </row>
    <row r="52" spans="1:2" x14ac:dyDescent="0.15">
      <c r="A52">
        <v>7152</v>
      </c>
      <c r="B52" t="str">
        <f>"41,"&amp;Sheet1!K55</f>
        <v>41,300</v>
      </c>
    </row>
    <row r="53" spans="1:2" x14ac:dyDescent="0.15">
      <c r="A53">
        <v>7153</v>
      </c>
      <c r="B53" t="str">
        <f>"41,"&amp;Sheet1!K56</f>
        <v>41,450</v>
      </c>
    </row>
    <row r="54" spans="1:2" x14ac:dyDescent="0.15">
      <c r="A54">
        <v>7154</v>
      </c>
      <c r="B54" t="str">
        <f>"41,"&amp;Sheet1!K57</f>
        <v>41,600</v>
      </c>
    </row>
    <row r="55" spans="1:2" x14ac:dyDescent="0.15">
      <c r="A55">
        <v>7155</v>
      </c>
      <c r="B55" t="str">
        <f>"41,"&amp;Sheet1!K58</f>
        <v>41,750</v>
      </c>
    </row>
    <row r="56" spans="1:2" x14ac:dyDescent="0.15">
      <c r="A56">
        <v>7156</v>
      </c>
      <c r="B56" t="str">
        <f>"41,"&amp;Sheet1!K59</f>
        <v>41,900</v>
      </c>
    </row>
    <row r="57" spans="1:2" x14ac:dyDescent="0.15">
      <c r="A57">
        <v>7157</v>
      </c>
      <c r="B57" t="str">
        <f>"41,"&amp;Sheet1!K60</f>
        <v>41,1050</v>
      </c>
    </row>
    <row r="58" spans="1:2" x14ac:dyDescent="0.15">
      <c r="A58">
        <v>7158</v>
      </c>
      <c r="B58" t="str">
        <f>"41,"&amp;Sheet1!K61</f>
        <v>41,1200</v>
      </c>
    </row>
    <row r="59" spans="1:2" x14ac:dyDescent="0.15">
      <c r="A59">
        <v>7159</v>
      </c>
      <c r="B59" t="str">
        <f>"41,"&amp;Sheet1!K62</f>
        <v>41,1350</v>
      </c>
    </row>
    <row r="60" spans="1:2" x14ac:dyDescent="0.15">
      <c r="A60">
        <v>7160</v>
      </c>
      <c r="B60" t="str">
        <f>"41,"&amp;Sheet1!K63</f>
        <v>41,1500</v>
      </c>
    </row>
    <row r="61" spans="1:2" x14ac:dyDescent="0.15">
      <c r="A61">
        <v>7161</v>
      </c>
      <c r="B61" t="str">
        <f>"41,"&amp;Sheet1!K64</f>
        <v>41,1650</v>
      </c>
    </row>
    <row r="62" spans="1:2" x14ac:dyDescent="0.15">
      <c r="A62">
        <v>7162</v>
      </c>
      <c r="B62" t="str">
        <f>"41,"&amp;Sheet1!K65</f>
        <v>41,1800</v>
      </c>
    </row>
    <row r="63" spans="1:2" x14ac:dyDescent="0.15">
      <c r="A63">
        <v>7163</v>
      </c>
      <c r="B63" t="str">
        <f>"41,"&amp;Sheet1!K66</f>
        <v>41,1950</v>
      </c>
    </row>
    <row r="64" spans="1:2" x14ac:dyDescent="0.15">
      <c r="A64">
        <v>7164</v>
      </c>
      <c r="B64" t="str">
        <f>"41,"&amp;Sheet1!K67</f>
        <v>41,2100</v>
      </c>
    </row>
    <row r="65" spans="1:2" x14ac:dyDescent="0.15">
      <c r="A65">
        <v>7165</v>
      </c>
      <c r="B65" t="str">
        <f>"41,"&amp;Sheet1!K68</f>
        <v>41,2250</v>
      </c>
    </row>
    <row r="66" spans="1:2" x14ac:dyDescent="0.15">
      <c r="A66">
        <v>7166</v>
      </c>
      <c r="B66" t="str">
        <f>"41,"&amp;Sheet1!K69</f>
        <v>41,2400</v>
      </c>
    </row>
    <row r="67" spans="1:2" x14ac:dyDescent="0.15">
      <c r="A67">
        <v>7167</v>
      </c>
      <c r="B67" t="str">
        <f>"41,"&amp;Sheet1!K70</f>
        <v>41,2550</v>
      </c>
    </row>
    <row r="68" spans="1:2" x14ac:dyDescent="0.15">
      <c r="A68">
        <v>7168</v>
      </c>
      <c r="B68" t="str">
        <f>"41,"&amp;Sheet1!K71</f>
        <v>41,2700</v>
      </c>
    </row>
    <row r="69" spans="1:2" x14ac:dyDescent="0.15">
      <c r="A69">
        <v>7169</v>
      </c>
      <c r="B69" t="str">
        <f>"41,"&amp;Sheet1!K72</f>
        <v>41,2850</v>
      </c>
    </row>
    <row r="70" spans="1:2" x14ac:dyDescent="0.15">
      <c r="A70">
        <v>7170</v>
      </c>
      <c r="B70" t="str">
        <f>"41,"&amp;Sheet1!K73</f>
        <v>41,3000</v>
      </c>
    </row>
    <row r="71" spans="1:2" x14ac:dyDescent="0.15">
      <c r="A71">
        <v>7171</v>
      </c>
      <c r="B71" t="str">
        <f>"41,"&amp;Sheet1!K74</f>
        <v>41,3150</v>
      </c>
    </row>
    <row r="72" spans="1:2" x14ac:dyDescent="0.15">
      <c r="A72">
        <v>7172</v>
      </c>
      <c r="B72" t="str">
        <f>"41,"&amp;Sheet1!K75</f>
        <v>41,3300</v>
      </c>
    </row>
    <row r="73" spans="1:2" x14ac:dyDescent="0.15">
      <c r="A73">
        <v>7173</v>
      </c>
      <c r="B73" t="str">
        <f>"41,"&amp;Sheet1!K76</f>
        <v>41,3450</v>
      </c>
    </row>
    <row r="74" spans="1:2" x14ac:dyDescent="0.15">
      <c r="A74">
        <v>7174</v>
      </c>
      <c r="B74" t="str">
        <f>"41,"&amp;Sheet1!K77</f>
        <v>41,3600</v>
      </c>
    </row>
    <row r="75" spans="1:2" x14ac:dyDescent="0.15">
      <c r="A75">
        <v>7175</v>
      </c>
      <c r="B75" t="str">
        <f>"41,"&amp;Sheet1!K78</f>
        <v>41,3750</v>
      </c>
    </row>
    <row r="76" spans="1:2" x14ac:dyDescent="0.15">
      <c r="A76">
        <v>7176</v>
      </c>
      <c r="B76" t="str">
        <f>"41,"&amp;Sheet1!K79</f>
        <v>41,3900</v>
      </c>
    </row>
    <row r="77" spans="1:2" x14ac:dyDescent="0.15">
      <c r="A77">
        <v>7177</v>
      </c>
      <c r="B77" t="str">
        <f>"41,"&amp;Sheet1!K80</f>
        <v>41,4050</v>
      </c>
    </row>
    <row r="78" spans="1:2" x14ac:dyDescent="0.15">
      <c r="A78">
        <v>7178</v>
      </c>
      <c r="B78" t="str">
        <f>"41,"&amp;Sheet1!K81</f>
        <v>41,4200</v>
      </c>
    </row>
    <row r="79" spans="1:2" x14ac:dyDescent="0.15">
      <c r="A79">
        <v>7179</v>
      </c>
      <c r="B79" t="str">
        <f>"41,"&amp;Sheet1!K82</f>
        <v>41,4350</v>
      </c>
    </row>
    <row r="80" spans="1:2" x14ac:dyDescent="0.15">
      <c r="A80">
        <v>7180</v>
      </c>
      <c r="B80" t="str">
        <f>"41,"&amp;Sheet1!K83</f>
        <v>41,4500</v>
      </c>
    </row>
    <row r="81" spans="1:2" x14ac:dyDescent="0.15">
      <c r="A81">
        <v>7181</v>
      </c>
      <c r="B81" t="str">
        <f>"41,"&amp;Sheet1!K84</f>
        <v>41,4650</v>
      </c>
    </row>
    <row r="82" spans="1:2" x14ac:dyDescent="0.15">
      <c r="A82">
        <v>7182</v>
      </c>
      <c r="B82" t="str">
        <f>"41,"&amp;Sheet1!K85</f>
        <v>41,4800</v>
      </c>
    </row>
    <row r="83" spans="1:2" x14ac:dyDescent="0.15">
      <c r="A83">
        <v>7183</v>
      </c>
      <c r="B83" t="str">
        <f>"41,"&amp;Sheet1!K86</f>
        <v>41,4950</v>
      </c>
    </row>
    <row r="84" spans="1:2" x14ac:dyDescent="0.15">
      <c r="A84">
        <v>7184</v>
      </c>
      <c r="B84" t="str">
        <f>"41,"&amp;Sheet1!K87</f>
        <v>41,5100</v>
      </c>
    </row>
    <row r="85" spans="1:2" x14ac:dyDescent="0.15">
      <c r="A85">
        <v>7185</v>
      </c>
      <c r="B85" t="str">
        <f>"41,"&amp;Sheet1!K88</f>
        <v>41,5250</v>
      </c>
    </row>
    <row r="86" spans="1:2" x14ac:dyDescent="0.15">
      <c r="A86">
        <v>7186</v>
      </c>
      <c r="B86" t="str">
        <f>"41,"&amp;Sheet1!K89</f>
        <v>41,5400</v>
      </c>
    </row>
    <row r="87" spans="1:2" x14ac:dyDescent="0.15">
      <c r="A87">
        <v>7187</v>
      </c>
      <c r="B87" t="str">
        <f>"41,"&amp;Sheet1!K90</f>
        <v>41,5550</v>
      </c>
    </row>
    <row r="88" spans="1:2" x14ac:dyDescent="0.15">
      <c r="A88">
        <v>7188</v>
      </c>
      <c r="B88" t="str">
        <f>"41,"&amp;Sheet1!K91</f>
        <v>41,5700</v>
      </c>
    </row>
    <row r="89" spans="1:2" x14ac:dyDescent="0.15">
      <c r="A89">
        <v>7189</v>
      </c>
      <c r="B89" t="str">
        <f>"41,"&amp;Sheet1!K92</f>
        <v>41,5850</v>
      </c>
    </row>
    <row r="90" spans="1:2" x14ac:dyDescent="0.15">
      <c r="A90">
        <v>7190</v>
      </c>
      <c r="B90" t="str">
        <f>"41,"&amp;Sheet1!K93</f>
        <v>41,6000</v>
      </c>
    </row>
    <row r="91" spans="1:2" x14ac:dyDescent="0.15">
      <c r="A91">
        <v>7191</v>
      </c>
      <c r="B91" t="str">
        <f>"41,"&amp;Sheet1!K94</f>
        <v>41,6150</v>
      </c>
    </row>
    <row r="92" spans="1:2" x14ac:dyDescent="0.15">
      <c r="A92">
        <v>7192</v>
      </c>
      <c r="B92" t="str">
        <f>"41,"&amp;Sheet1!K95</f>
        <v>41,6300</v>
      </c>
    </row>
    <row r="93" spans="1:2" x14ac:dyDescent="0.15">
      <c r="A93">
        <v>7193</v>
      </c>
      <c r="B93" t="str">
        <f>"41,"&amp;Sheet1!K96</f>
        <v>41,6450</v>
      </c>
    </row>
    <row r="94" spans="1:2" x14ac:dyDescent="0.15">
      <c r="A94">
        <v>7194</v>
      </c>
      <c r="B94" t="str">
        <f>"41,"&amp;Sheet1!K97</f>
        <v>41,6600</v>
      </c>
    </row>
    <row r="95" spans="1:2" x14ac:dyDescent="0.15">
      <c r="A95">
        <v>7195</v>
      </c>
      <c r="B95" t="str">
        <f>"41,"&amp;Sheet1!K98</f>
        <v>41,6750</v>
      </c>
    </row>
    <row r="96" spans="1:2" x14ac:dyDescent="0.15">
      <c r="A96">
        <v>7196</v>
      </c>
      <c r="B96" t="str">
        <f>"41,"&amp;Sheet1!K99</f>
        <v>41,6900</v>
      </c>
    </row>
    <row r="97" spans="1:2" x14ac:dyDescent="0.15">
      <c r="A97">
        <v>7197</v>
      </c>
      <c r="B97" t="str">
        <f>"41,"&amp;Sheet1!K100</f>
        <v>41,7050</v>
      </c>
    </row>
    <row r="98" spans="1:2" x14ac:dyDescent="0.15">
      <c r="A98">
        <v>7198</v>
      </c>
      <c r="B98" t="str">
        <f>"41,"&amp;Sheet1!K101</f>
        <v>41,7200</v>
      </c>
    </row>
    <row r="99" spans="1:2" x14ac:dyDescent="0.15">
      <c r="A99">
        <v>7199</v>
      </c>
      <c r="B99" t="str">
        <f>"41,"&amp;Sheet1!K102</f>
        <v>41,7350</v>
      </c>
    </row>
    <row r="100" spans="1:2" x14ac:dyDescent="0.15">
      <c r="A100">
        <v>7200</v>
      </c>
      <c r="B100" t="str">
        <f>"41,"&amp;Sheet1!K103</f>
        <v>41,7500</v>
      </c>
    </row>
    <row r="101" spans="1:2" x14ac:dyDescent="0.15">
      <c r="A101">
        <v>7201</v>
      </c>
      <c r="B101" t="str">
        <f>"101,"&amp;Sheet1!K104</f>
        <v>101,200</v>
      </c>
    </row>
    <row r="102" spans="1:2" x14ac:dyDescent="0.15">
      <c r="A102">
        <v>7202</v>
      </c>
      <c r="B102" t="str">
        <f>"101,"&amp;Sheet1!K105</f>
        <v>101,400</v>
      </c>
    </row>
    <row r="103" spans="1:2" x14ac:dyDescent="0.15">
      <c r="A103">
        <v>7203</v>
      </c>
      <c r="B103" t="str">
        <f>"101,"&amp;Sheet1!K106</f>
        <v>101,600</v>
      </c>
    </row>
    <row r="104" spans="1:2" x14ac:dyDescent="0.15">
      <c r="A104">
        <v>7204</v>
      </c>
      <c r="B104" t="str">
        <f>"101,"&amp;Sheet1!K107</f>
        <v>101,800</v>
      </c>
    </row>
    <row r="105" spans="1:2" x14ac:dyDescent="0.15">
      <c r="A105">
        <v>7205</v>
      </c>
      <c r="B105" t="str">
        <f>"101,"&amp;Sheet1!K108</f>
        <v>101,1000</v>
      </c>
    </row>
    <row r="106" spans="1:2" x14ac:dyDescent="0.15">
      <c r="A106">
        <v>7206</v>
      </c>
      <c r="B106" t="str">
        <f>"101,"&amp;Sheet1!K109</f>
        <v>101,1200</v>
      </c>
    </row>
    <row r="107" spans="1:2" x14ac:dyDescent="0.15">
      <c r="A107">
        <v>7207</v>
      </c>
      <c r="B107" t="str">
        <f>"101,"&amp;Sheet1!K110</f>
        <v>101,1400</v>
      </c>
    </row>
    <row r="108" spans="1:2" x14ac:dyDescent="0.15">
      <c r="A108">
        <v>7208</v>
      </c>
      <c r="B108" t="str">
        <f>"101,"&amp;Sheet1!K111</f>
        <v>101,1600</v>
      </c>
    </row>
    <row r="109" spans="1:2" x14ac:dyDescent="0.15">
      <c r="A109">
        <v>7209</v>
      </c>
      <c r="B109" t="str">
        <f>"101,"&amp;Sheet1!K112</f>
        <v>101,1800</v>
      </c>
    </row>
    <row r="110" spans="1:2" x14ac:dyDescent="0.15">
      <c r="A110">
        <v>7210</v>
      </c>
      <c r="B110" t="str">
        <f>"101,"&amp;Sheet1!K113</f>
        <v>101,2000</v>
      </c>
    </row>
    <row r="111" spans="1:2" x14ac:dyDescent="0.15">
      <c r="A111">
        <v>7211</v>
      </c>
      <c r="B111" t="str">
        <f>"101,"&amp;Sheet1!K114</f>
        <v>101,2200</v>
      </c>
    </row>
    <row r="112" spans="1:2" x14ac:dyDescent="0.15">
      <c r="A112">
        <v>7212</v>
      </c>
      <c r="B112" t="str">
        <f>"101,"&amp;Sheet1!K115</f>
        <v>101,2400</v>
      </c>
    </row>
    <row r="113" spans="1:2" x14ac:dyDescent="0.15">
      <c r="A113">
        <v>7213</v>
      </c>
      <c r="B113" t="str">
        <f>"101,"&amp;Sheet1!K116</f>
        <v>101,2600</v>
      </c>
    </row>
    <row r="114" spans="1:2" x14ac:dyDescent="0.15">
      <c r="A114">
        <v>7214</v>
      </c>
      <c r="B114" t="str">
        <f>"101,"&amp;Sheet1!K117</f>
        <v>101,2800</v>
      </c>
    </row>
    <row r="115" spans="1:2" x14ac:dyDescent="0.15">
      <c r="A115">
        <v>7215</v>
      </c>
      <c r="B115" t="str">
        <f>"101,"&amp;Sheet1!K118</f>
        <v>101,3000</v>
      </c>
    </row>
    <row r="116" spans="1:2" x14ac:dyDescent="0.15">
      <c r="A116">
        <v>7216</v>
      </c>
      <c r="B116" t="str">
        <f>"101,"&amp;Sheet1!K119</f>
        <v>101,3200</v>
      </c>
    </row>
    <row r="117" spans="1:2" x14ac:dyDescent="0.15">
      <c r="A117">
        <v>7217</v>
      </c>
      <c r="B117" t="str">
        <f>"101,"&amp;Sheet1!K120</f>
        <v>101,3400</v>
      </c>
    </row>
    <row r="118" spans="1:2" x14ac:dyDescent="0.15">
      <c r="A118">
        <v>7218</v>
      </c>
      <c r="B118" t="str">
        <f>"101,"&amp;Sheet1!K121</f>
        <v>101,3600</v>
      </c>
    </row>
    <row r="119" spans="1:2" x14ac:dyDescent="0.15">
      <c r="A119">
        <v>7219</v>
      </c>
      <c r="B119" t="str">
        <f>"101,"&amp;Sheet1!K122</f>
        <v>101,3800</v>
      </c>
    </row>
    <row r="120" spans="1:2" x14ac:dyDescent="0.15">
      <c r="A120">
        <v>7220</v>
      </c>
      <c r="B120" t="str">
        <f>"101,"&amp;Sheet1!K123</f>
        <v>101,4000</v>
      </c>
    </row>
    <row r="121" spans="1:2" x14ac:dyDescent="0.15">
      <c r="A121">
        <v>7221</v>
      </c>
      <c r="B121" t="str">
        <f>"101,"&amp;Sheet1!K124</f>
        <v>101,4200</v>
      </c>
    </row>
    <row r="122" spans="1:2" x14ac:dyDescent="0.15">
      <c r="A122">
        <v>7222</v>
      </c>
      <c r="B122" t="str">
        <f>"101,"&amp;Sheet1!K125</f>
        <v>101,4400</v>
      </c>
    </row>
    <row r="123" spans="1:2" x14ac:dyDescent="0.15">
      <c r="A123">
        <v>7223</v>
      </c>
      <c r="B123" t="str">
        <f>"101,"&amp;Sheet1!K126</f>
        <v>101,4600</v>
      </c>
    </row>
    <row r="124" spans="1:2" x14ac:dyDescent="0.15">
      <c r="A124">
        <v>7224</v>
      </c>
      <c r="B124" t="str">
        <f>"101,"&amp;Sheet1!K127</f>
        <v>101,4800</v>
      </c>
    </row>
    <row r="125" spans="1:2" x14ac:dyDescent="0.15">
      <c r="A125">
        <v>7225</v>
      </c>
      <c r="B125" t="str">
        <f>"101,"&amp;Sheet1!K128</f>
        <v>101,5000</v>
      </c>
    </row>
    <row r="126" spans="1:2" x14ac:dyDescent="0.15">
      <c r="A126">
        <v>7226</v>
      </c>
      <c r="B126" t="str">
        <f>"101,"&amp;Sheet1!K129</f>
        <v>101,5200</v>
      </c>
    </row>
    <row r="127" spans="1:2" x14ac:dyDescent="0.15">
      <c r="A127">
        <v>7227</v>
      </c>
      <c r="B127" t="str">
        <f>"101,"&amp;Sheet1!K130</f>
        <v>101,5400</v>
      </c>
    </row>
    <row r="128" spans="1:2" x14ac:dyDescent="0.15">
      <c r="A128">
        <v>7228</v>
      </c>
      <c r="B128" t="str">
        <f>"101,"&amp;Sheet1!K131</f>
        <v>101,5600</v>
      </c>
    </row>
    <row r="129" spans="1:2" x14ac:dyDescent="0.15">
      <c r="A129">
        <v>7229</v>
      </c>
      <c r="B129" t="str">
        <f>"101,"&amp;Sheet1!K132</f>
        <v>101,5800</v>
      </c>
    </row>
    <row r="130" spans="1:2" x14ac:dyDescent="0.15">
      <c r="A130">
        <v>7230</v>
      </c>
      <c r="B130" t="str">
        <f>"101,"&amp;Sheet1!K133</f>
        <v>101,6000</v>
      </c>
    </row>
    <row r="131" spans="1:2" x14ac:dyDescent="0.15">
      <c r="A131">
        <v>7231</v>
      </c>
      <c r="B131" t="str">
        <f>"101,"&amp;Sheet1!K134</f>
        <v>101,6200</v>
      </c>
    </row>
    <row r="132" spans="1:2" x14ac:dyDescent="0.15">
      <c r="A132">
        <v>7232</v>
      </c>
      <c r="B132" t="str">
        <f>"101,"&amp;Sheet1!K135</f>
        <v>101,6400</v>
      </c>
    </row>
    <row r="133" spans="1:2" x14ac:dyDescent="0.15">
      <c r="A133">
        <v>7233</v>
      </c>
      <c r="B133" t="str">
        <f>"101,"&amp;Sheet1!K136</f>
        <v>101,6600</v>
      </c>
    </row>
    <row r="134" spans="1:2" x14ac:dyDescent="0.15">
      <c r="A134">
        <v>7234</v>
      </c>
      <c r="B134" t="str">
        <f>"101,"&amp;Sheet1!K137</f>
        <v>101,6800</v>
      </c>
    </row>
    <row r="135" spans="1:2" x14ac:dyDescent="0.15">
      <c r="A135">
        <v>7235</v>
      </c>
      <c r="B135" t="str">
        <f>"101,"&amp;Sheet1!K138</f>
        <v>101,7000</v>
      </c>
    </row>
    <row r="136" spans="1:2" x14ac:dyDescent="0.15">
      <c r="A136">
        <v>7236</v>
      </c>
      <c r="B136" t="str">
        <f>"101,"&amp;Sheet1!K139</f>
        <v>101,7200</v>
      </c>
    </row>
    <row r="137" spans="1:2" x14ac:dyDescent="0.15">
      <c r="A137">
        <v>7237</v>
      </c>
      <c r="B137" t="str">
        <f>"101,"&amp;Sheet1!K140</f>
        <v>101,7400</v>
      </c>
    </row>
    <row r="138" spans="1:2" x14ac:dyDescent="0.15">
      <c r="A138">
        <v>7238</v>
      </c>
      <c r="B138" t="str">
        <f>"101,"&amp;Sheet1!K141</f>
        <v>101,7600</v>
      </c>
    </row>
    <row r="139" spans="1:2" x14ac:dyDescent="0.15">
      <c r="A139">
        <v>7239</v>
      </c>
      <c r="B139" t="str">
        <f>"101,"&amp;Sheet1!K142</f>
        <v>101,7800</v>
      </c>
    </row>
    <row r="140" spans="1:2" x14ac:dyDescent="0.15">
      <c r="A140">
        <v>7240</v>
      </c>
      <c r="B140" t="str">
        <f>"101,"&amp;Sheet1!K143</f>
        <v>101,8000</v>
      </c>
    </row>
    <row r="141" spans="1:2" x14ac:dyDescent="0.15">
      <c r="A141">
        <v>7241</v>
      </c>
      <c r="B141" t="str">
        <f>"101,"&amp;Sheet1!K144</f>
        <v>101,8200</v>
      </c>
    </row>
    <row r="142" spans="1:2" x14ac:dyDescent="0.15">
      <c r="A142">
        <v>7242</v>
      </c>
      <c r="B142" t="str">
        <f>"101,"&amp;Sheet1!K145</f>
        <v>101,8400</v>
      </c>
    </row>
    <row r="143" spans="1:2" x14ac:dyDescent="0.15">
      <c r="A143">
        <v>7243</v>
      </c>
      <c r="B143" t="str">
        <f>"101,"&amp;Sheet1!K146</f>
        <v>101,8600</v>
      </c>
    </row>
    <row r="144" spans="1:2" x14ac:dyDescent="0.15">
      <c r="A144">
        <v>7244</v>
      </c>
      <c r="B144" t="str">
        <f>"101,"&amp;Sheet1!K147</f>
        <v>101,8800</v>
      </c>
    </row>
    <row r="145" spans="1:2" x14ac:dyDescent="0.15">
      <c r="A145">
        <v>7245</v>
      </c>
      <c r="B145" t="str">
        <f>"101,"&amp;Sheet1!K148</f>
        <v>101,9000</v>
      </c>
    </row>
    <row r="146" spans="1:2" x14ac:dyDescent="0.15">
      <c r="A146">
        <v>7246</v>
      </c>
      <c r="B146" t="str">
        <f>"101,"&amp;Sheet1!K149</f>
        <v>101,9200</v>
      </c>
    </row>
    <row r="147" spans="1:2" x14ac:dyDescent="0.15">
      <c r="A147">
        <v>7247</v>
      </c>
      <c r="B147" t="str">
        <f>"101,"&amp;Sheet1!K150</f>
        <v>101,9400</v>
      </c>
    </row>
    <row r="148" spans="1:2" x14ac:dyDescent="0.15">
      <c r="A148">
        <v>7248</v>
      </c>
      <c r="B148" t="str">
        <f>"101,"&amp;Sheet1!K151</f>
        <v>101,9600</v>
      </c>
    </row>
    <row r="149" spans="1:2" x14ac:dyDescent="0.15">
      <c r="A149">
        <v>7249</v>
      </c>
      <c r="B149" t="str">
        <f>"101,"&amp;Sheet1!K152</f>
        <v>101,9800</v>
      </c>
    </row>
    <row r="150" spans="1:2" x14ac:dyDescent="0.15">
      <c r="A150">
        <v>7250</v>
      </c>
      <c r="B150" t="str">
        <f>"101,"&amp;Sheet1!K153</f>
        <v>101,10000</v>
      </c>
    </row>
    <row r="151" spans="1:2" x14ac:dyDescent="0.15">
      <c r="A151">
        <v>7251</v>
      </c>
      <c r="B151" t="str">
        <f>"28,"&amp;Sheet1!K154</f>
        <v>28,200</v>
      </c>
    </row>
    <row r="152" spans="1:2" x14ac:dyDescent="0.15">
      <c r="A152">
        <v>7252</v>
      </c>
      <c r="B152" t="str">
        <f>"28,"&amp;Sheet1!K155</f>
        <v>28,400</v>
      </c>
    </row>
    <row r="153" spans="1:2" x14ac:dyDescent="0.15">
      <c r="A153">
        <v>7253</v>
      </c>
      <c r="B153" t="str">
        <f>"28,"&amp;Sheet1!K156</f>
        <v>28,600</v>
      </c>
    </row>
    <row r="154" spans="1:2" x14ac:dyDescent="0.15">
      <c r="A154">
        <v>7254</v>
      </c>
      <c r="B154" t="str">
        <f>"28,"&amp;Sheet1!K157</f>
        <v>28,800</v>
      </c>
    </row>
    <row r="155" spans="1:2" x14ac:dyDescent="0.15">
      <c r="A155">
        <v>7255</v>
      </c>
      <c r="B155" t="str">
        <f>"28,"&amp;Sheet1!K158</f>
        <v>28,1000</v>
      </c>
    </row>
    <row r="156" spans="1:2" x14ac:dyDescent="0.15">
      <c r="A156">
        <v>7256</v>
      </c>
      <c r="B156" t="str">
        <f>"28,"&amp;Sheet1!K159</f>
        <v>28,1200</v>
      </c>
    </row>
    <row r="157" spans="1:2" x14ac:dyDescent="0.15">
      <c r="A157">
        <v>7257</v>
      </c>
      <c r="B157" t="str">
        <f>"28,"&amp;Sheet1!K160</f>
        <v>28,1400</v>
      </c>
    </row>
    <row r="158" spans="1:2" x14ac:dyDescent="0.15">
      <c r="A158">
        <v>7258</v>
      </c>
      <c r="B158" t="str">
        <f>"28,"&amp;Sheet1!K161</f>
        <v>28,1600</v>
      </c>
    </row>
    <row r="159" spans="1:2" x14ac:dyDescent="0.15">
      <c r="A159">
        <v>7259</v>
      </c>
      <c r="B159" t="str">
        <f>"28,"&amp;Sheet1!K162</f>
        <v>28,1800</v>
      </c>
    </row>
    <row r="160" spans="1:2" x14ac:dyDescent="0.15">
      <c r="A160">
        <v>7260</v>
      </c>
      <c r="B160" t="str">
        <f>"28,"&amp;Sheet1!K163</f>
        <v>28,2000</v>
      </c>
    </row>
    <row r="161" spans="1:2" x14ac:dyDescent="0.15">
      <c r="A161">
        <v>7261</v>
      </c>
      <c r="B161" t="str">
        <f>"28,"&amp;Sheet1!K164</f>
        <v>28,2200</v>
      </c>
    </row>
    <row r="162" spans="1:2" x14ac:dyDescent="0.15">
      <c r="A162">
        <v>7262</v>
      </c>
      <c r="B162" t="str">
        <f>"28,"&amp;Sheet1!K165</f>
        <v>28,2400</v>
      </c>
    </row>
    <row r="163" spans="1:2" x14ac:dyDescent="0.15">
      <c r="A163">
        <v>7263</v>
      </c>
      <c r="B163" t="str">
        <f>"28,"&amp;Sheet1!K166</f>
        <v>28,2600</v>
      </c>
    </row>
    <row r="164" spans="1:2" x14ac:dyDescent="0.15">
      <c r="A164">
        <v>7264</v>
      </c>
      <c r="B164" t="str">
        <f>"28,"&amp;Sheet1!K167</f>
        <v>28,2800</v>
      </c>
    </row>
    <row r="165" spans="1:2" x14ac:dyDescent="0.15">
      <c r="A165">
        <v>7265</v>
      </c>
      <c r="B165" t="str">
        <f>"28,"&amp;Sheet1!K168</f>
        <v>28,3000</v>
      </c>
    </row>
    <row r="166" spans="1:2" x14ac:dyDescent="0.15">
      <c r="A166">
        <v>7266</v>
      </c>
      <c r="B166" t="str">
        <f>"28,"&amp;Sheet1!K169</f>
        <v>28,3200</v>
      </c>
    </row>
    <row r="167" spans="1:2" x14ac:dyDescent="0.15">
      <c r="A167">
        <v>7267</v>
      </c>
      <c r="B167" t="str">
        <f>"28,"&amp;Sheet1!K170</f>
        <v>28,3400</v>
      </c>
    </row>
    <row r="168" spans="1:2" x14ac:dyDescent="0.15">
      <c r="A168">
        <v>7268</v>
      </c>
      <c r="B168" t="str">
        <f>"28,"&amp;Sheet1!K171</f>
        <v>28,3600</v>
      </c>
    </row>
    <row r="169" spans="1:2" x14ac:dyDescent="0.15">
      <c r="A169">
        <v>7269</v>
      </c>
      <c r="B169" t="str">
        <f>"28,"&amp;Sheet1!K172</f>
        <v>28,3800</v>
      </c>
    </row>
    <row r="170" spans="1:2" x14ac:dyDescent="0.15">
      <c r="A170">
        <v>7270</v>
      </c>
      <c r="B170" t="str">
        <f>"28,"&amp;Sheet1!K173</f>
        <v>28,4000</v>
      </c>
    </row>
    <row r="171" spans="1:2" x14ac:dyDescent="0.15">
      <c r="A171">
        <v>7271</v>
      </c>
      <c r="B171" t="str">
        <f>"28,"&amp;Sheet1!K174</f>
        <v>28,4200</v>
      </c>
    </row>
    <row r="172" spans="1:2" x14ac:dyDescent="0.15">
      <c r="A172">
        <v>7272</v>
      </c>
      <c r="B172" t="str">
        <f>"28,"&amp;Sheet1!K175</f>
        <v>28,4400</v>
      </c>
    </row>
    <row r="173" spans="1:2" x14ac:dyDescent="0.15">
      <c r="A173">
        <v>7273</v>
      </c>
      <c r="B173" t="str">
        <f>"28,"&amp;Sheet1!K176</f>
        <v>28,4600</v>
      </c>
    </row>
    <row r="174" spans="1:2" x14ac:dyDescent="0.15">
      <c r="A174">
        <v>7274</v>
      </c>
      <c r="B174" t="str">
        <f>"28,"&amp;Sheet1!K177</f>
        <v>28,4800</v>
      </c>
    </row>
    <row r="175" spans="1:2" x14ac:dyDescent="0.15">
      <c r="A175">
        <v>7275</v>
      </c>
      <c r="B175" t="str">
        <f>"28,"&amp;Sheet1!K178</f>
        <v>28,5000</v>
      </c>
    </row>
    <row r="176" spans="1:2" x14ac:dyDescent="0.15">
      <c r="A176">
        <v>7276</v>
      </c>
      <c r="B176" t="str">
        <f>"28,"&amp;Sheet1!K179</f>
        <v>28,5200</v>
      </c>
    </row>
    <row r="177" spans="1:2" x14ac:dyDescent="0.15">
      <c r="A177">
        <v>7277</v>
      </c>
      <c r="B177" t="str">
        <f>"28,"&amp;Sheet1!K180</f>
        <v>28,5400</v>
      </c>
    </row>
    <row r="178" spans="1:2" x14ac:dyDescent="0.15">
      <c r="A178">
        <v>7278</v>
      </c>
      <c r="B178" t="str">
        <f>"28,"&amp;Sheet1!K181</f>
        <v>28,5600</v>
      </c>
    </row>
    <row r="179" spans="1:2" x14ac:dyDescent="0.15">
      <c r="A179">
        <v>7279</v>
      </c>
      <c r="B179" t="str">
        <f>"28,"&amp;Sheet1!K182</f>
        <v>28,5800</v>
      </c>
    </row>
    <row r="180" spans="1:2" x14ac:dyDescent="0.15">
      <c r="A180">
        <v>7280</v>
      </c>
      <c r="B180" t="str">
        <f>"28,"&amp;Sheet1!K183</f>
        <v>28,6000</v>
      </c>
    </row>
    <row r="181" spans="1:2" x14ac:dyDescent="0.15">
      <c r="A181">
        <v>7281</v>
      </c>
      <c r="B181" t="str">
        <f>"28,"&amp;Sheet1!K184</f>
        <v>28,6200</v>
      </c>
    </row>
    <row r="182" spans="1:2" x14ac:dyDescent="0.15">
      <c r="A182">
        <v>7282</v>
      </c>
      <c r="B182" t="str">
        <f>"28,"&amp;Sheet1!K185</f>
        <v>28,6400</v>
      </c>
    </row>
    <row r="183" spans="1:2" x14ac:dyDescent="0.15">
      <c r="A183">
        <v>7283</v>
      </c>
      <c r="B183" t="str">
        <f>"28,"&amp;Sheet1!K186</f>
        <v>28,6600</v>
      </c>
    </row>
    <row r="184" spans="1:2" x14ac:dyDescent="0.15">
      <c r="A184">
        <v>7284</v>
      </c>
      <c r="B184" t="str">
        <f>"28,"&amp;Sheet1!K187</f>
        <v>28,6800</v>
      </c>
    </row>
    <row r="185" spans="1:2" x14ac:dyDescent="0.15">
      <c r="A185">
        <v>7285</v>
      </c>
      <c r="B185" t="str">
        <f>"28,"&amp;Sheet1!K188</f>
        <v>28,7000</v>
      </c>
    </row>
    <row r="186" spans="1:2" x14ac:dyDescent="0.15">
      <c r="A186">
        <v>7286</v>
      </c>
      <c r="B186" t="str">
        <f>"28,"&amp;Sheet1!K189</f>
        <v>28,7200</v>
      </c>
    </row>
    <row r="187" spans="1:2" x14ac:dyDescent="0.15">
      <c r="A187">
        <v>7287</v>
      </c>
      <c r="B187" t="str">
        <f>"28,"&amp;Sheet1!K190</f>
        <v>28,7400</v>
      </c>
    </row>
    <row r="188" spans="1:2" x14ac:dyDescent="0.15">
      <c r="A188">
        <v>7288</v>
      </c>
      <c r="B188" t="str">
        <f>"28,"&amp;Sheet1!K191</f>
        <v>28,7600</v>
      </c>
    </row>
    <row r="189" spans="1:2" x14ac:dyDescent="0.15">
      <c r="A189">
        <v>7289</v>
      </c>
      <c r="B189" t="str">
        <f>"28,"&amp;Sheet1!K192</f>
        <v>28,7800</v>
      </c>
    </row>
    <row r="190" spans="1:2" x14ac:dyDescent="0.15">
      <c r="A190">
        <v>7290</v>
      </c>
      <c r="B190" t="str">
        <f>"28,"&amp;Sheet1!K193</f>
        <v>28,8000</v>
      </c>
    </row>
    <row r="191" spans="1:2" x14ac:dyDescent="0.15">
      <c r="A191">
        <v>7291</v>
      </c>
      <c r="B191" t="str">
        <f>"28,"&amp;Sheet1!K194</f>
        <v>28,8200</v>
      </c>
    </row>
    <row r="192" spans="1:2" x14ac:dyDescent="0.15">
      <c r="A192">
        <v>7292</v>
      </c>
      <c r="B192" t="str">
        <f>"28,"&amp;Sheet1!K195</f>
        <v>28,8400</v>
      </c>
    </row>
    <row r="193" spans="1:2" x14ac:dyDescent="0.15">
      <c r="A193">
        <v>7293</v>
      </c>
      <c r="B193" t="str">
        <f>"28,"&amp;Sheet1!K196</f>
        <v>28,8600</v>
      </c>
    </row>
    <row r="194" spans="1:2" x14ac:dyDescent="0.15">
      <c r="A194">
        <v>7294</v>
      </c>
      <c r="B194" t="str">
        <f>"28,"&amp;Sheet1!K197</f>
        <v>28,8800</v>
      </c>
    </row>
    <row r="195" spans="1:2" x14ac:dyDescent="0.15">
      <c r="A195">
        <v>7295</v>
      </c>
      <c r="B195" t="str">
        <f>"28,"&amp;Sheet1!K198</f>
        <v>28,9000</v>
      </c>
    </row>
    <row r="196" spans="1:2" x14ac:dyDescent="0.15">
      <c r="A196">
        <v>7296</v>
      </c>
      <c r="B196" t="str">
        <f>"28,"&amp;Sheet1!K199</f>
        <v>28,9200</v>
      </c>
    </row>
    <row r="197" spans="1:2" x14ac:dyDescent="0.15">
      <c r="A197">
        <v>7297</v>
      </c>
      <c r="B197" t="str">
        <f>"28,"&amp;Sheet1!K200</f>
        <v>28,9400</v>
      </c>
    </row>
    <row r="198" spans="1:2" x14ac:dyDescent="0.15">
      <c r="A198">
        <v>7298</v>
      </c>
      <c r="B198" t="str">
        <f>"28,"&amp;Sheet1!K201</f>
        <v>28,9600</v>
      </c>
    </row>
    <row r="199" spans="1:2" x14ac:dyDescent="0.15">
      <c r="A199">
        <v>7299</v>
      </c>
      <c r="B199" t="str">
        <f>"28,"&amp;Sheet1!K202</f>
        <v>28,9800</v>
      </c>
    </row>
    <row r="200" spans="1:2" x14ac:dyDescent="0.15">
      <c r="A200">
        <v>7300</v>
      </c>
      <c r="B200" t="str">
        <f>"28,"&amp;Sheet1!K203</f>
        <v>28,10000</v>
      </c>
    </row>
    <row r="201" spans="1:2" x14ac:dyDescent="0.15">
      <c r="A201">
        <v>7301</v>
      </c>
    </row>
    <row r="202" spans="1:2" x14ac:dyDescent="0.15">
      <c r="A202">
        <v>7302</v>
      </c>
    </row>
    <row r="203" spans="1:2" x14ac:dyDescent="0.15">
      <c r="A203">
        <v>7303</v>
      </c>
    </row>
    <row r="204" spans="1:2" x14ac:dyDescent="0.15">
      <c r="A204">
        <v>7304</v>
      </c>
    </row>
    <row r="205" spans="1:2" x14ac:dyDescent="0.15">
      <c r="A205">
        <v>7305</v>
      </c>
    </row>
    <row r="206" spans="1:2" x14ac:dyDescent="0.15">
      <c r="A206">
        <v>7306</v>
      </c>
    </row>
    <row r="207" spans="1:2" x14ac:dyDescent="0.15">
      <c r="A207">
        <v>7307</v>
      </c>
    </row>
    <row r="208" spans="1:2" x14ac:dyDescent="0.15">
      <c r="A208">
        <v>7308</v>
      </c>
    </row>
    <row r="209" spans="1:1" x14ac:dyDescent="0.15">
      <c r="A209">
        <v>7309</v>
      </c>
    </row>
    <row r="210" spans="1:1" x14ac:dyDescent="0.15">
      <c r="A210">
        <v>7310</v>
      </c>
    </row>
    <row r="211" spans="1:1" x14ac:dyDescent="0.15">
      <c r="A211">
        <v>7311</v>
      </c>
    </row>
    <row r="212" spans="1:1" x14ac:dyDescent="0.15">
      <c r="A212">
        <v>7312</v>
      </c>
    </row>
    <row r="213" spans="1:1" x14ac:dyDescent="0.15">
      <c r="A213">
        <v>7313</v>
      </c>
    </row>
    <row r="214" spans="1:1" x14ac:dyDescent="0.15">
      <c r="A214">
        <v>7314</v>
      </c>
    </row>
    <row r="215" spans="1:1" x14ac:dyDescent="0.15">
      <c r="A215">
        <v>7315</v>
      </c>
    </row>
    <row r="216" spans="1:1" x14ac:dyDescent="0.15">
      <c r="A216">
        <v>7316</v>
      </c>
    </row>
    <row r="217" spans="1:1" x14ac:dyDescent="0.15">
      <c r="A217">
        <v>7317</v>
      </c>
    </row>
    <row r="218" spans="1:1" x14ac:dyDescent="0.15">
      <c r="A218">
        <v>7318</v>
      </c>
    </row>
    <row r="219" spans="1:1" x14ac:dyDescent="0.15">
      <c r="A219">
        <v>7319</v>
      </c>
    </row>
    <row r="220" spans="1:1" x14ac:dyDescent="0.15">
      <c r="A220">
        <v>7320</v>
      </c>
    </row>
    <row r="221" spans="1:1" x14ac:dyDescent="0.15">
      <c r="A221">
        <v>7321</v>
      </c>
    </row>
    <row r="222" spans="1:1" x14ac:dyDescent="0.15">
      <c r="A222">
        <v>7322</v>
      </c>
    </row>
    <row r="223" spans="1:1" x14ac:dyDescent="0.15">
      <c r="A223">
        <v>7323</v>
      </c>
    </row>
    <row r="224" spans="1:1" x14ac:dyDescent="0.15">
      <c r="A224">
        <v>7324</v>
      </c>
    </row>
    <row r="225" spans="1:1" x14ac:dyDescent="0.15">
      <c r="A225">
        <v>7325</v>
      </c>
    </row>
    <row r="226" spans="1:1" x14ac:dyDescent="0.15">
      <c r="A226">
        <v>7326</v>
      </c>
    </row>
    <row r="227" spans="1:1" x14ac:dyDescent="0.15">
      <c r="A227">
        <v>7327</v>
      </c>
    </row>
    <row r="228" spans="1:1" x14ac:dyDescent="0.15">
      <c r="A228">
        <v>7328</v>
      </c>
    </row>
    <row r="229" spans="1:1" x14ac:dyDescent="0.15">
      <c r="A229">
        <v>7329</v>
      </c>
    </row>
    <row r="230" spans="1:1" x14ac:dyDescent="0.15">
      <c r="A230">
        <v>7330</v>
      </c>
    </row>
    <row r="231" spans="1:1" x14ac:dyDescent="0.15">
      <c r="A231">
        <v>7331</v>
      </c>
    </row>
    <row r="232" spans="1:1" x14ac:dyDescent="0.15">
      <c r="A232">
        <v>7332</v>
      </c>
    </row>
    <row r="233" spans="1:1" x14ac:dyDescent="0.15">
      <c r="A233">
        <v>7333</v>
      </c>
    </row>
    <row r="234" spans="1:1" x14ac:dyDescent="0.15">
      <c r="A234">
        <v>7334</v>
      </c>
    </row>
    <row r="235" spans="1:1" x14ac:dyDescent="0.15">
      <c r="A235">
        <v>7335</v>
      </c>
    </row>
    <row r="236" spans="1:1" x14ac:dyDescent="0.15">
      <c r="A236">
        <v>7336</v>
      </c>
    </row>
    <row r="237" spans="1:1" x14ac:dyDescent="0.15">
      <c r="A237">
        <v>7337</v>
      </c>
    </row>
    <row r="238" spans="1:1" x14ac:dyDescent="0.15">
      <c r="A238">
        <v>7338</v>
      </c>
    </row>
    <row r="239" spans="1:1" x14ac:dyDescent="0.15">
      <c r="A239">
        <v>7339</v>
      </c>
    </row>
    <row r="240" spans="1:1" x14ac:dyDescent="0.15">
      <c r="A240">
        <v>7340</v>
      </c>
    </row>
    <row r="241" spans="1:2" x14ac:dyDescent="0.15">
      <c r="A241">
        <v>7341</v>
      </c>
    </row>
    <row r="242" spans="1:2" x14ac:dyDescent="0.15">
      <c r="A242">
        <v>7342</v>
      </c>
    </row>
    <row r="243" spans="1:2" x14ac:dyDescent="0.15">
      <c r="A243">
        <v>7343</v>
      </c>
    </row>
    <row r="244" spans="1:2" x14ac:dyDescent="0.15">
      <c r="A244">
        <v>7344</v>
      </c>
    </row>
    <row r="245" spans="1:2" x14ac:dyDescent="0.15">
      <c r="A245">
        <v>7345</v>
      </c>
    </row>
    <row r="246" spans="1:2" x14ac:dyDescent="0.15">
      <c r="A246">
        <v>7346</v>
      </c>
    </row>
    <row r="247" spans="1:2" x14ac:dyDescent="0.15">
      <c r="A247">
        <v>7347</v>
      </c>
    </row>
    <row r="248" spans="1:2" x14ac:dyDescent="0.15">
      <c r="A248">
        <v>7348</v>
      </c>
    </row>
    <row r="249" spans="1:2" x14ac:dyDescent="0.15">
      <c r="A249">
        <v>7349</v>
      </c>
    </row>
    <row r="250" spans="1:2" x14ac:dyDescent="0.15">
      <c r="A250">
        <v>7350</v>
      </c>
    </row>
    <row r="251" spans="1:2" x14ac:dyDescent="0.15">
      <c r="A251">
        <v>7351</v>
      </c>
      <c r="B251" t="str">
        <f>"43,"&amp;Sheet1!K254</f>
        <v>43,180</v>
      </c>
    </row>
    <row r="252" spans="1:2" x14ac:dyDescent="0.15">
      <c r="A252">
        <v>7352</v>
      </c>
      <c r="B252" t="str">
        <f>"43,"&amp;Sheet1!K255</f>
        <v>43,300</v>
      </c>
    </row>
    <row r="253" spans="1:2" x14ac:dyDescent="0.15">
      <c r="A253">
        <v>7353</v>
      </c>
      <c r="B253" t="str">
        <f>"43,"&amp;Sheet1!K256</f>
        <v>43,450</v>
      </c>
    </row>
    <row r="254" spans="1:2" x14ac:dyDescent="0.15">
      <c r="A254">
        <v>7354</v>
      </c>
      <c r="B254" t="str">
        <f>"43,"&amp;Sheet1!K257</f>
        <v>43,600</v>
      </c>
    </row>
    <row r="255" spans="1:2" x14ac:dyDescent="0.15">
      <c r="A255">
        <v>7355</v>
      </c>
      <c r="B255" t="str">
        <f>"43,"&amp;Sheet1!K258</f>
        <v>43,750</v>
      </c>
    </row>
    <row r="256" spans="1:2" x14ac:dyDescent="0.15">
      <c r="A256">
        <v>7356</v>
      </c>
      <c r="B256" t="str">
        <f>"43,"&amp;Sheet1!K259</f>
        <v>43,900</v>
      </c>
    </row>
    <row r="257" spans="1:2" x14ac:dyDescent="0.15">
      <c r="A257">
        <v>7357</v>
      </c>
      <c r="B257" t="str">
        <f>"43,"&amp;Sheet1!K260</f>
        <v>43,1050</v>
      </c>
    </row>
    <row r="258" spans="1:2" x14ac:dyDescent="0.15">
      <c r="A258">
        <v>7358</v>
      </c>
      <c r="B258" t="str">
        <f>"43,"&amp;Sheet1!K261</f>
        <v>43,1200</v>
      </c>
    </row>
    <row r="259" spans="1:2" x14ac:dyDescent="0.15">
      <c r="A259">
        <v>7359</v>
      </c>
      <c r="B259" t="str">
        <f>"43,"&amp;Sheet1!K262</f>
        <v>43,1350</v>
      </c>
    </row>
    <row r="260" spans="1:2" x14ac:dyDescent="0.15">
      <c r="A260">
        <v>7360</v>
      </c>
      <c r="B260" t="str">
        <f>"43,"&amp;Sheet1!K263</f>
        <v>43,1500</v>
      </c>
    </row>
    <row r="261" spans="1:2" x14ac:dyDescent="0.15">
      <c r="A261">
        <v>7361</v>
      </c>
      <c r="B261" t="str">
        <f>"43,"&amp;Sheet1!K264</f>
        <v>43,1650</v>
      </c>
    </row>
    <row r="262" spans="1:2" x14ac:dyDescent="0.15">
      <c r="A262">
        <v>7362</v>
      </c>
      <c r="B262" t="str">
        <f>"43,"&amp;Sheet1!K265</f>
        <v>43,1800</v>
      </c>
    </row>
    <row r="263" spans="1:2" x14ac:dyDescent="0.15">
      <c r="A263">
        <v>7363</v>
      </c>
      <c r="B263" t="str">
        <f>"43,"&amp;Sheet1!K266</f>
        <v>43,1950</v>
      </c>
    </row>
    <row r="264" spans="1:2" x14ac:dyDescent="0.15">
      <c r="A264">
        <v>7364</v>
      </c>
      <c r="B264" t="str">
        <f>"43,"&amp;Sheet1!K267</f>
        <v>43,2100</v>
      </c>
    </row>
    <row r="265" spans="1:2" x14ac:dyDescent="0.15">
      <c r="A265">
        <v>7365</v>
      </c>
      <c r="B265" t="str">
        <f>"43,"&amp;Sheet1!K268</f>
        <v>43,2250</v>
      </c>
    </row>
    <row r="266" spans="1:2" x14ac:dyDescent="0.15">
      <c r="A266">
        <v>7366</v>
      </c>
      <c r="B266" t="str">
        <f>"43,"&amp;Sheet1!K269</f>
        <v>43,2400</v>
      </c>
    </row>
    <row r="267" spans="1:2" x14ac:dyDescent="0.15">
      <c r="A267">
        <v>7367</v>
      </c>
      <c r="B267" t="str">
        <f>"43,"&amp;Sheet1!K270</f>
        <v>43,2550</v>
      </c>
    </row>
    <row r="268" spans="1:2" x14ac:dyDescent="0.15">
      <c r="A268">
        <v>7368</v>
      </c>
      <c r="B268" t="str">
        <f>"43,"&amp;Sheet1!K271</f>
        <v>43,2700</v>
      </c>
    </row>
    <row r="269" spans="1:2" x14ac:dyDescent="0.15">
      <c r="A269">
        <v>7369</v>
      </c>
      <c r="B269" t="str">
        <f>"43,"&amp;Sheet1!K272</f>
        <v>43,2850</v>
      </c>
    </row>
    <row r="270" spans="1:2" x14ac:dyDescent="0.15">
      <c r="A270">
        <v>7370</v>
      </c>
      <c r="B270" t="str">
        <f>"43,"&amp;Sheet1!K273</f>
        <v>43,3000</v>
      </c>
    </row>
    <row r="271" spans="1:2" x14ac:dyDescent="0.15">
      <c r="A271">
        <v>7371</v>
      </c>
      <c r="B271" t="str">
        <f>"43,"&amp;Sheet1!K274</f>
        <v>43,3150</v>
      </c>
    </row>
    <row r="272" spans="1:2" x14ac:dyDescent="0.15">
      <c r="A272">
        <v>7372</v>
      </c>
      <c r="B272" t="str">
        <f>"43,"&amp;Sheet1!K275</f>
        <v>43,3300</v>
      </c>
    </row>
    <row r="273" spans="1:2" x14ac:dyDescent="0.15">
      <c r="A273">
        <v>7373</v>
      </c>
      <c r="B273" t="str">
        <f>"43,"&amp;Sheet1!K276</f>
        <v>43,3450</v>
      </c>
    </row>
    <row r="274" spans="1:2" x14ac:dyDescent="0.15">
      <c r="A274">
        <v>7374</v>
      </c>
      <c r="B274" t="str">
        <f>"43,"&amp;Sheet1!K277</f>
        <v>43,3600</v>
      </c>
    </row>
    <row r="275" spans="1:2" x14ac:dyDescent="0.15">
      <c r="A275">
        <v>7375</v>
      </c>
      <c r="B275" t="str">
        <f>"43,"&amp;Sheet1!K278</f>
        <v>43,3750</v>
      </c>
    </row>
    <row r="276" spans="1:2" x14ac:dyDescent="0.15">
      <c r="A276">
        <v>7376</v>
      </c>
      <c r="B276" t="str">
        <f>"43,"&amp;Sheet1!K279</f>
        <v>43,3900</v>
      </c>
    </row>
    <row r="277" spans="1:2" x14ac:dyDescent="0.15">
      <c r="A277">
        <v>7377</v>
      </c>
      <c r="B277" t="str">
        <f>"43,"&amp;Sheet1!K280</f>
        <v>43,4050</v>
      </c>
    </row>
    <row r="278" spans="1:2" x14ac:dyDescent="0.15">
      <c r="A278">
        <v>7378</v>
      </c>
      <c r="B278" t="str">
        <f>"43,"&amp;Sheet1!K281</f>
        <v>43,4200</v>
      </c>
    </row>
    <row r="279" spans="1:2" x14ac:dyDescent="0.15">
      <c r="A279">
        <v>7379</v>
      </c>
      <c r="B279" t="str">
        <f>"43,"&amp;Sheet1!K282</f>
        <v>43,4350</v>
      </c>
    </row>
    <row r="280" spans="1:2" x14ac:dyDescent="0.15">
      <c r="A280">
        <v>7380</v>
      </c>
      <c r="B280" t="str">
        <f>"43,"&amp;Sheet1!K283</f>
        <v>43,4500</v>
      </c>
    </row>
    <row r="281" spans="1:2" x14ac:dyDescent="0.15">
      <c r="A281">
        <v>7381</v>
      </c>
      <c r="B281" t="str">
        <f>"43,"&amp;Sheet1!K284</f>
        <v>43,4650</v>
      </c>
    </row>
    <row r="282" spans="1:2" x14ac:dyDescent="0.15">
      <c r="A282">
        <v>7382</v>
      </c>
      <c r="B282" t="str">
        <f>"43,"&amp;Sheet1!K285</f>
        <v>43,4800</v>
      </c>
    </row>
    <row r="283" spans="1:2" x14ac:dyDescent="0.15">
      <c r="A283">
        <v>7383</v>
      </c>
      <c r="B283" t="str">
        <f>"43,"&amp;Sheet1!K286</f>
        <v>43,4950</v>
      </c>
    </row>
    <row r="284" spans="1:2" x14ac:dyDescent="0.15">
      <c r="A284">
        <v>7384</v>
      </c>
      <c r="B284" t="str">
        <f>"43,"&amp;Sheet1!K287</f>
        <v>43,5100</v>
      </c>
    </row>
    <row r="285" spans="1:2" x14ac:dyDescent="0.15">
      <c r="A285">
        <v>7385</v>
      </c>
      <c r="B285" t="str">
        <f>"43,"&amp;Sheet1!K288</f>
        <v>43,5250</v>
      </c>
    </row>
    <row r="286" spans="1:2" x14ac:dyDescent="0.15">
      <c r="A286">
        <v>7386</v>
      </c>
      <c r="B286" t="str">
        <f>"43,"&amp;Sheet1!K289</f>
        <v>43,5400</v>
      </c>
    </row>
    <row r="287" spans="1:2" x14ac:dyDescent="0.15">
      <c r="A287">
        <v>7387</v>
      </c>
      <c r="B287" t="str">
        <f>"43,"&amp;Sheet1!K290</f>
        <v>43,5550</v>
      </c>
    </row>
    <row r="288" spans="1:2" x14ac:dyDescent="0.15">
      <c r="A288">
        <v>7388</v>
      </c>
      <c r="B288" t="str">
        <f>"43,"&amp;Sheet1!K291</f>
        <v>43,5700</v>
      </c>
    </row>
    <row r="289" spans="1:2" x14ac:dyDescent="0.15">
      <c r="A289">
        <v>7389</v>
      </c>
      <c r="B289" t="str">
        <f>"43,"&amp;Sheet1!K292</f>
        <v>43,5850</v>
      </c>
    </row>
    <row r="290" spans="1:2" x14ac:dyDescent="0.15">
      <c r="A290">
        <v>7390</v>
      </c>
      <c r="B290" t="str">
        <f>"43,"&amp;Sheet1!K293</f>
        <v>43,6000</v>
      </c>
    </row>
    <row r="291" spans="1:2" x14ac:dyDescent="0.15">
      <c r="A291">
        <v>7391</v>
      </c>
      <c r="B291" t="str">
        <f>"43,"&amp;Sheet1!K294</f>
        <v>43,6150</v>
      </c>
    </row>
    <row r="292" spans="1:2" x14ac:dyDescent="0.15">
      <c r="A292">
        <v>7392</v>
      </c>
      <c r="B292" t="str">
        <f>"43,"&amp;Sheet1!K295</f>
        <v>43,6300</v>
      </c>
    </row>
    <row r="293" spans="1:2" x14ac:dyDescent="0.15">
      <c r="A293">
        <v>7393</v>
      </c>
      <c r="B293" t="str">
        <f>"43,"&amp;Sheet1!K296</f>
        <v>43,6450</v>
      </c>
    </row>
    <row r="294" spans="1:2" x14ac:dyDescent="0.15">
      <c r="A294">
        <v>7394</v>
      </c>
      <c r="B294" t="str">
        <f>"43,"&amp;Sheet1!K297</f>
        <v>43,6600</v>
      </c>
    </row>
    <row r="295" spans="1:2" x14ac:dyDescent="0.15">
      <c r="A295">
        <v>7395</v>
      </c>
      <c r="B295" t="str">
        <f>"43,"&amp;Sheet1!K298</f>
        <v>43,6750</v>
      </c>
    </row>
    <row r="296" spans="1:2" x14ac:dyDescent="0.15">
      <c r="A296">
        <v>7396</v>
      </c>
      <c r="B296" t="str">
        <f>"43,"&amp;Sheet1!K299</f>
        <v>43,6900</v>
      </c>
    </row>
    <row r="297" spans="1:2" x14ac:dyDescent="0.15">
      <c r="A297">
        <v>7397</v>
      </c>
      <c r="B297" t="str">
        <f>"43,"&amp;Sheet1!K300</f>
        <v>43,7050</v>
      </c>
    </row>
    <row r="298" spans="1:2" x14ac:dyDescent="0.15">
      <c r="A298">
        <v>7398</v>
      </c>
      <c r="B298" t="str">
        <f>"43,"&amp;Sheet1!K301</f>
        <v>43,7200</v>
      </c>
    </row>
    <row r="299" spans="1:2" x14ac:dyDescent="0.15">
      <c r="A299">
        <v>7399</v>
      </c>
      <c r="B299" t="str">
        <f>"43,"&amp;Sheet1!K302</f>
        <v>43,7350</v>
      </c>
    </row>
    <row r="300" spans="1:2" x14ac:dyDescent="0.15">
      <c r="A300">
        <v>7400</v>
      </c>
      <c r="B300" t="str">
        <f>"43,"&amp;Sheet1!K303</f>
        <v>43,7500</v>
      </c>
    </row>
    <row r="301" spans="1:2" x14ac:dyDescent="0.15">
      <c r="A301">
        <v>7401</v>
      </c>
      <c r="B301" t="str">
        <f>"42,"&amp;Sheet1!K304</f>
        <v>42,180</v>
      </c>
    </row>
    <row r="302" spans="1:2" x14ac:dyDescent="0.15">
      <c r="A302">
        <v>7402</v>
      </c>
      <c r="B302" t="str">
        <f>"42,"&amp;Sheet1!K305</f>
        <v>42,300</v>
      </c>
    </row>
    <row r="303" spans="1:2" x14ac:dyDescent="0.15">
      <c r="A303">
        <v>7403</v>
      </c>
      <c r="B303" t="str">
        <f>"42,"&amp;Sheet1!K306</f>
        <v>42,450</v>
      </c>
    </row>
    <row r="304" spans="1:2" x14ac:dyDescent="0.15">
      <c r="A304">
        <v>7404</v>
      </c>
      <c r="B304" t="str">
        <f>"42,"&amp;Sheet1!K307</f>
        <v>42,600</v>
      </c>
    </row>
    <row r="305" spans="1:2" x14ac:dyDescent="0.15">
      <c r="A305">
        <v>7405</v>
      </c>
      <c r="B305" t="str">
        <f>"42,"&amp;Sheet1!K308</f>
        <v>42,750</v>
      </c>
    </row>
    <row r="306" spans="1:2" x14ac:dyDescent="0.15">
      <c r="A306">
        <v>7406</v>
      </c>
      <c r="B306" t="str">
        <f>"42,"&amp;Sheet1!K309</f>
        <v>42,900</v>
      </c>
    </row>
    <row r="307" spans="1:2" x14ac:dyDescent="0.15">
      <c r="A307">
        <v>7407</v>
      </c>
      <c r="B307" t="str">
        <f>"42,"&amp;Sheet1!K310</f>
        <v>42,1050</v>
      </c>
    </row>
    <row r="308" spans="1:2" x14ac:dyDescent="0.15">
      <c r="A308">
        <v>7408</v>
      </c>
      <c r="B308" t="str">
        <f>"42,"&amp;Sheet1!K311</f>
        <v>42,1200</v>
      </c>
    </row>
    <row r="309" spans="1:2" x14ac:dyDescent="0.15">
      <c r="A309">
        <v>7409</v>
      </c>
      <c r="B309" t="str">
        <f>"42,"&amp;Sheet1!K312</f>
        <v>42,1350</v>
      </c>
    </row>
    <row r="310" spans="1:2" x14ac:dyDescent="0.15">
      <c r="A310">
        <v>7410</v>
      </c>
      <c r="B310" t="str">
        <f>"42,"&amp;Sheet1!K313</f>
        <v>42,1500</v>
      </c>
    </row>
    <row r="311" spans="1:2" x14ac:dyDescent="0.15">
      <c r="A311">
        <v>7411</v>
      </c>
      <c r="B311" t="str">
        <f>"42,"&amp;Sheet1!K314</f>
        <v>42,1650</v>
      </c>
    </row>
    <row r="312" spans="1:2" x14ac:dyDescent="0.15">
      <c r="A312">
        <v>7412</v>
      </c>
      <c r="B312" t="str">
        <f>"42,"&amp;Sheet1!K315</f>
        <v>42,1800</v>
      </c>
    </row>
    <row r="313" spans="1:2" x14ac:dyDescent="0.15">
      <c r="A313">
        <v>7413</v>
      </c>
      <c r="B313" t="str">
        <f>"42,"&amp;Sheet1!K316</f>
        <v>42,1950</v>
      </c>
    </row>
    <row r="314" spans="1:2" x14ac:dyDescent="0.15">
      <c r="A314">
        <v>7414</v>
      </c>
      <c r="B314" t="str">
        <f>"42,"&amp;Sheet1!K317</f>
        <v>42,2100</v>
      </c>
    </row>
    <row r="315" spans="1:2" x14ac:dyDescent="0.15">
      <c r="A315">
        <v>7415</v>
      </c>
      <c r="B315" t="str">
        <f>"42,"&amp;Sheet1!K318</f>
        <v>42,2250</v>
      </c>
    </row>
    <row r="316" spans="1:2" x14ac:dyDescent="0.15">
      <c r="A316">
        <v>7416</v>
      </c>
      <c r="B316" t="str">
        <f>"42,"&amp;Sheet1!K319</f>
        <v>42,2400</v>
      </c>
    </row>
    <row r="317" spans="1:2" x14ac:dyDescent="0.15">
      <c r="A317">
        <v>7417</v>
      </c>
      <c r="B317" t="str">
        <f>"42,"&amp;Sheet1!K320</f>
        <v>42,2550</v>
      </c>
    </row>
    <row r="318" spans="1:2" x14ac:dyDescent="0.15">
      <c r="A318">
        <v>7418</v>
      </c>
      <c r="B318" t="str">
        <f>"42,"&amp;Sheet1!K321</f>
        <v>42,2700</v>
      </c>
    </row>
    <row r="319" spans="1:2" x14ac:dyDescent="0.15">
      <c r="A319">
        <v>7419</v>
      </c>
      <c r="B319" t="str">
        <f>"42,"&amp;Sheet1!K322</f>
        <v>42,2850</v>
      </c>
    </row>
    <row r="320" spans="1:2" x14ac:dyDescent="0.15">
      <c r="A320">
        <v>7420</v>
      </c>
      <c r="B320" t="str">
        <f>"42,"&amp;Sheet1!K323</f>
        <v>42,3000</v>
      </c>
    </row>
    <row r="321" spans="1:2" x14ac:dyDescent="0.15">
      <c r="A321">
        <v>7421</v>
      </c>
      <c r="B321" t="str">
        <f>"42,"&amp;Sheet1!K324</f>
        <v>42,3150</v>
      </c>
    </row>
    <row r="322" spans="1:2" x14ac:dyDescent="0.15">
      <c r="A322">
        <v>7422</v>
      </c>
      <c r="B322" t="str">
        <f>"42,"&amp;Sheet1!K325</f>
        <v>42,3300</v>
      </c>
    </row>
    <row r="323" spans="1:2" x14ac:dyDescent="0.15">
      <c r="A323">
        <v>7423</v>
      </c>
      <c r="B323" t="str">
        <f>"42,"&amp;Sheet1!K326</f>
        <v>42,3450</v>
      </c>
    </row>
    <row r="324" spans="1:2" x14ac:dyDescent="0.15">
      <c r="A324">
        <v>7424</v>
      </c>
      <c r="B324" t="str">
        <f>"42,"&amp;Sheet1!K327</f>
        <v>42,3600</v>
      </c>
    </row>
    <row r="325" spans="1:2" x14ac:dyDescent="0.15">
      <c r="A325">
        <v>7425</v>
      </c>
      <c r="B325" t="str">
        <f>"42,"&amp;Sheet1!K328</f>
        <v>42,3750</v>
      </c>
    </row>
    <row r="326" spans="1:2" x14ac:dyDescent="0.15">
      <c r="A326">
        <v>7426</v>
      </c>
      <c r="B326" t="str">
        <f>"42,"&amp;Sheet1!K329</f>
        <v>42,3900</v>
      </c>
    </row>
    <row r="327" spans="1:2" x14ac:dyDescent="0.15">
      <c r="A327">
        <v>7427</v>
      </c>
      <c r="B327" t="str">
        <f>"42,"&amp;Sheet1!K330</f>
        <v>42,4050</v>
      </c>
    </row>
    <row r="328" spans="1:2" x14ac:dyDescent="0.15">
      <c r="A328">
        <v>7428</v>
      </c>
      <c r="B328" t="str">
        <f>"42,"&amp;Sheet1!K331</f>
        <v>42,4200</v>
      </c>
    </row>
    <row r="329" spans="1:2" x14ac:dyDescent="0.15">
      <c r="A329">
        <v>7429</v>
      </c>
      <c r="B329" t="str">
        <f>"42,"&amp;Sheet1!K332</f>
        <v>42,4350</v>
      </c>
    </row>
    <row r="330" spans="1:2" x14ac:dyDescent="0.15">
      <c r="A330">
        <v>7430</v>
      </c>
      <c r="B330" t="str">
        <f>"42,"&amp;Sheet1!K333</f>
        <v>42,4500</v>
      </c>
    </row>
    <row r="331" spans="1:2" x14ac:dyDescent="0.15">
      <c r="A331">
        <v>7431</v>
      </c>
      <c r="B331" t="str">
        <f>"42,"&amp;Sheet1!K334</f>
        <v>42,4650</v>
      </c>
    </row>
    <row r="332" spans="1:2" x14ac:dyDescent="0.15">
      <c r="A332">
        <v>7432</v>
      </c>
      <c r="B332" t="str">
        <f>"42,"&amp;Sheet1!K335</f>
        <v>42,4800</v>
      </c>
    </row>
    <row r="333" spans="1:2" x14ac:dyDescent="0.15">
      <c r="A333">
        <v>7433</v>
      </c>
      <c r="B333" t="str">
        <f>"42,"&amp;Sheet1!K336</f>
        <v>42,4950</v>
      </c>
    </row>
    <row r="334" spans="1:2" x14ac:dyDescent="0.15">
      <c r="A334">
        <v>7434</v>
      </c>
      <c r="B334" t="str">
        <f>"42,"&amp;Sheet1!K337</f>
        <v>42,5100</v>
      </c>
    </row>
    <row r="335" spans="1:2" x14ac:dyDescent="0.15">
      <c r="A335">
        <v>7435</v>
      </c>
      <c r="B335" t="str">
        <f>"42,"&amp;Sheet1!K338</f>
        <v>42,5250</v>
      </c>
    </row>
    <row r="336" spans="1:2" x14ac:dyDescent="0.15">
      <c r="A336">
        <v>7436</v>
      </c>
      <c r="B336" t="str">
        <f>"42,"&amp;Sheet1!K339</f>
        <v>42,5400</v>
      </c>
    </row>
    <row r="337" spans="1:2" x14ac:dyDescent="0.15">
      <c r="A337">
        <v>7437</v>
      </c>
      <c r="B337" t="str">
        <f>"42,"&amp;Sheet1!K340</f>
        <v>42,5550</v>
      </c>
    </row>
    <row r="338" spans="1:2" x14ac:dyDescent="0.15">
      <c r="A338">
        <v>7438</v>
      </c>
      <c r="B338" t="str">
        <f>"42,"&amp;Sheet1!K341</f>
        <v>42,5700</v>
      </c>
    </row>
    <row r="339" spans="1:2" x14ac:dyDescent="0.15">
      <c r="A339">
        <v>7439</v>
      </c>
      <c r="B339" t="str">
        <f>"42,"&amp;Sheet1!K342</f>
        <v>42,5850</v>
      </c>
    </row>
    <row r="340" spans="1:2" x14ac:dyDescent="0.15">
      <c r="A340">
        <v>7440</v>
      </c>
      <c r="B340" t="str">
        <f>"42,"&amp;Sheet1!K343</f>
        <v>42,6000</v>
      </c>
    </row>
    <row r="341" spans="1:2" x14ac:dyDescent="0.15">
      <c r="A341">
        <v>7441</v>
      </c>
      <c r="B341" t="str">
        <f>"42,"&amp;Sheet1!K344</f>
        <v>42,6150</v>
      </c>
    </row>
    <row r="342" spans="1:2" x14ac:dyDescent="0.15">
      <c r="A342">
        <v>7442</v>
      </c>
      <c r="B342" t="str">
        <f>"42,"&amp;Sheet1!K345</f>
        <v>42,6300</v>
      </c>
    </row>
    <row r="343" spans="1:2" x14ac:dyDescent="0.15">
      <c r="A343">
        <v>7443</v>
      </c>
      <c r="B343" t="str">
        <f>"42,"&amp;Sheet1!K346</f>
        <v>42,6450</v>
      </c>
    </row>
    <row r="344" spans="1:2" x14ac:dyDescent="0.15">
      <c r="A344">
        <v>7444</v>
      </c>
      <c r="B344" t="str">
        <f>"42,"&amp;Sheet1!K347</f>
        <v>42,6600</v>
      </c>
    </row>
    <row r="345" spans="1:2" x14ac:dyDescent="0.15">
      <c r="A345">
        <v>7445</v>
      </c>
      <c r="B345" t="str">
        <f>"42,"&amp;Sheet1!K348</f>
        <v>42,6750</v>
      </c>
    </row>
    <row r="346" spans="1:2" x14ac:dyDescent="0.15">
      <c r="A346">
        <v>7446</v>
      </c>
      <c r="B346" t="str">
        <f>"42,"&amp;Sheet1!K349</f>
        <v>42,6900</v>
      </c>
    </row>
    <row r="347" spans="1:2" x14ac:dyDescent="0.15">
      <c r="A347">
        <v>7447</v>
      </c>
      <c r="B347" t="str">
        <f>"42,"&amp;Sheet1!K350</f>
        <v>42,7050</v>
      </c>
    </row>
    <row r="348" spans="1:2" x14ac:dyDescent="0.15">
      <c r="A348">
        <v>7448</v>
      </c>
      <c r="B348" t="str">
        <f>"42,"&amp;Sheet1!K351</f>
        <v>42,7200</v>
      </c>
    </row>
    <row r="349" spans="1:2" x14ac:dyDescent="0.15">
      <c r="A349">
        <v>7449</v>
      </c>
      <c r="B349" t="str">
        <f>"42,"&amp;Sheet1!K352</f>
        <v>42,7350</v>
      </c>
    </row>
    <row r="350" spans="1:2" x14ac:dyDescent="0.15">
      <c r="A350">
        <v>7450</v>
      </c>
      <c r="B350" t="str">
        <f>"42,"&amp;Sheet1!K353</f>
        <v>42,7500</v>
      </c>
    </row>
    <row r="351" spans="1:2" x14ac:dyDescent="0.15">
      <c r="A351">
        <v>7451</v>
      </c>
      <c r="B351" t="str">
        <f>"8,"&amp;Sheet1!K354</f>
        <v>8,180</v>
      </c>
    </row>
    <row r="352" spans="1:2" x14ac:dyDescent="0.15">
      <c r="A352">
        <v>7452</v>
      </c>
      <c r="B352" t="str">
        <f>"8,"&amp;Sheet1!K355</f>
        <v>8,360</v>
      </c>
    </row>
    <row r="353" spans="1:2" x14ac:dyDescent="0.15">
      <c r="A353">
        <v>7453</v>
      </c>
      <c r="B353" t="str">
        <f>"8,"&amp;Sheet1!K356</f>
        <v>8,540</v>
      </c>
    </row>
    <row r="354" spans="1:2" x14ac:dyDescent="0.15">
      <c r="A354">
        <v>7454</v>
      </c>
      <c r="B354" t="str">
        <f>"8,"&amp;Sheet1!K357</f>
        <v>8,720</v>
      </c>
    </row>
    <row r="355" spans="1:2" x14ac:dyDescent="0.15">
      <c r="A355">
        <v>7455</v>
      </c>
      <c r="B355" t="str">
        <f>"8,"&amp;Sheet1!K358</f>
        <v>8,900</v>
      </c>
    </row>
    <row r="356" spans="1:2" x14ac:dyDescent="0.15">
      <c r="A356">
        <v>7456</v>
      </c>
      <c r="B356" t="str">
        <f>"8,"&amp;Sheet1!K359</f>
        <v>8,1080</v>
      </c>
    </row>
    <row r="357" spans="1:2" x14ac:dyDescent="0.15">
      <c r="A357">
        <v>7457</v>
      </c>
      <c r="B357" t="str">
        <f>"8,"&amp;Sheet1!K360</f>
        <v>8,1260</v>
      </c>
    </row>
    <row r="358" spans="1:2" x14ac:dyDescent="0.15">
      <c r="A358">
        <v>7458</v>
      </c>
      <c r="B358" t="str">
        <f>"8,"&amp;Sheet1!K361</f>
        <v>8,1440</v>
      </c>
    </row>
    <row r="359" spans="1:2" x14ac:dyDescent="0.15">
      <c r="A359">
        <v>7459</v>
      </c>
      <c r="B359" t="str">
        <f>"8,"&amp;Sheet1!K362</f>
        <v>8,1620</v>
      </c>
    </row>
    <row r="360" spans="1:2" x14ac:dyDescent="0.15">
      <c r="A360">
        <v>7460</v>
      </c>
      <c r="B360" t="str">
        <f>"8,"&amp;Sheet1!K363</f>
        <v>8,1800</v>
      </c>
    </row>
    <row r="361" spans="1:2" x14ac:dyDescent="0.15">
      <c r="A361">
        <v>7461</v>
      </c>
      <c r="B361" t="str">
        <f>"8,"&amp;Sheet1!K364</f>
        <v>8,1980</v>
      </c>
    </row>
    <row r="362" spans="1:2" x14ac:dyDescent="0.15">
      <c r="A362">
        <v>7462</v>
      </c>
      <c r="B362" t="str">
        <f>"8,"&amp;Sheet1!K365</f>
        <v>8,2160</v>
      </c>
    </row>
    <row r="363" spans="1:2" x14ac:dyDescent="0.15">
      <c r="A363">
        <v>7463</v>
      </c>
      <c r="B363" t="str">
        <f>"8,"&amp;Sheet1!K366</f>
        <v>8,2340</v>
      </c>
    </row>
    <row r="364" spans="1:2" x14ac:dyDescent="0.15">
      <c r="A364">
        <v>7464</v>
      </c>
      <c r="B364" t="str">
        <f>"8,"&amp;Sheet1!K367</f>
        <v>8,2520</v>
      </c>
    </row>
    <row r="365" spans="1:2" x14ac:dyDescent="0.15">
      <c r="A365">
        <v>7465</v>
      </c>
      <c r="B365" t="str">
        <f>"8,"&amp;Sheet1!K368</f>
        <v>8,2700</v>
      </c>
    </row>
    <row r="366" spans="1:2" x14ac:dyDescent="0.15">
      <c r="A366">
        <v>7466</v>
      </c>
      <c r="B366" t="str">
        <f>"8,"&amp;Sheet1!K369</f>
        <v>8,2880</v>
      </c>
    </row>
    <row r="367" spans="1:2" x14ac:dyDescent="0.15">
      <c r="A367">
        <v>7467</v>
      </c>
      <c r="B367" t="str">
        <f>"8,"&amp;Sheet1!K370</f>
        <v>8,3060</v>
      </c>
    </row>
    <row r="368" spans="1:2" x14ac:dyDescent="0.15">
      <c r="A368">
        <v>7468</v>
      </c>
      <c r="B368" t="str">
        <f>"8,"&amp;Sheet1!K371</f>
        <v>8,3240</v>
      </c>
    </row>
    <row r="369" spans="1:2" x14ac:dyDescent="0.15">
      <c r="A369">
        <v>7469</v>
      </c>
      <c r="B369" t="str">
        <f>"8,"&amp;Sheet1!K372</f>
        <v>8,3420</v>
      </c>
    </row>
    <row r="370" spans="1:2" x14ac:dyDescent="0.15">
      <c r="A370">
        <v>7470</v>
      </c>
      <c r="B370" t="str">
        <f>"8,"&amp;Sheet1!K373</f>
        <v>8,3600</v>
      </c>
    </row>
    <row r="371" spans="1:2" x14ac:dyDescent="0.15">
      <c r="A371">
        <v>7471</v>
      </c>
      <c r="B371" t="str">
        <f>"8,"&amp;Sheet1!K374</f>
        <v>8,3780</v>
      </c>
    </row>
    <row r="372" spans="1:2" x14ac:dyDescent="0.15">
      <c r="A372">
        <v>7472</v>
      </c>
      <c r="B372" t="str">
        <f>"8,"&amp;Sheet1!K375</f>
        <v>8,3960</v>
      </c>
    </row>
    <row r="373" spans="1:2" x14ac:dyDescent="0.15">
      <c r="A373">
        <v>7473</v>
      </c>
      <c r="B373" t="str">
        <f>"8,"&amp;Sheet1!K376</f>
        <v>8,4140</v>
      </c>
    </row>
    <row r="374" spans="1:2" x14ac:dyDescent="0.15">
      <c r="A374">
        <v>7474</v>
      </c>
      <c r="B374" t="str">
        <f>"8,"&amp;Sheet1!K377</f>
        <v>8,4320</v>
      </c>
    </row>
    <row r="375" spans="1:2" x14ac:dyDescent="0.15">
      <c r="A375">
        <v>7475</v>
      </c>
      <c r="B375" t="str">
        <f>"8,"&amp;Sheet1!K378</f>
        <v>8,4500</v>
      </c>
    </row>
    <row r="376" spans="1:2" x14ac:dyDescent="0.15">
      <c r="A376">
        <v>7476</v>
      </c>
      <c r="B376" t="str">
        <f>"8,"&amp;Sheet1!K379</f>
        <v>8,4680</v>
      </c>
    </row>
    <row r="377" spans="1:2" x14ac:dyDescent="0.15">
      <c r="A377">
        <v>7477</v>
      </c>
      <c r="B377" t="str">
        <f>"8,"&amp;Sheet1!K380</f>
        <v>8,4860</v>
      </c>
    </row>
    <row r="378" spans="1:2" x14ac:dyDescent="0.15">
      <c r="A378">
        <v>7478</v>
      </c>
      <c r="B378" t="str">
        <f>"8,"&amp;Sheet1!K381</f>
        <v>8,5040</v>
      </c>
    </row>
    <row r="379" spans="1:2" x14ac:dyDescent="0.15">
      <c r="A379">
        <v>7479</v>
      </c>
      <c r="B379" t="str">
        <f>"8,"&amp;Sheet1!K382</f>
        <v>8,5220</v>
      </c>
    </row>
    <row r="380" spans="1:2" x14ac:dyDescent="0.15">
      <c r="A380">
        <v>7480</v>
      </c>
      <c r="B380" t="str">
        <f>"8,"&amp;Sheet1!K383</f>
        <v>8,5400</v>
      </c>
    </row>
    <row r="381" spans="1:2" x14ac:dyDescent="0.15">
      <c r="A381">
        <v>7481</v>
      </c>
      <c r="B381" t="str">
        <f>"8,"&amp;Sheet1!K384</f>
        <v>8,5580</v>
      </c>
    </row>
    <row r="382" spans="1:2" x14ac:dyDescent="0.15">
      <c r="A382">
        <v>7482</v>
      </c>
      <c r="B382" t="str">
        <f>"8,"&amp;Sheet1!K385</f>
        <v>8,5760</v>
      </c>
    </row>
    <row r="383" spans="1:2" x14ac:dyDescent="0.15">
      <c r="A383">
        <v>7483</v>
      </c>
      <c r="B383" t="str">
        <f>"8,"&amp;Sheet1!K386</f>
        <v>8,5940</v>
      </c>
    </row>
    <row r="384" spans="1:2" x14ac:dyDescent="0.15">
      <c r="A384">
        <v>7484</v>
      </c>
      <c r="B384" t="str">
        <f>"8,"&amp;Sheet1!K387</f>
        <v>8,6120</v>
      </c>
    </row>
    <row r="385" spans="1:2" x14ac:dyDescent="0.15">
      <c r="A385">
        <v>7485</v>
      </c>
      <c r="B385" t="str">
        <f>"8,"&amp;Sheet1!K388</f>
        <v>8,6300</v>
      </c>
    </row>
    <row r="386" spans="1:2" x14ac:dyDescent="0.15">
      <c r="A386">
        <v>7486</v>
      </c>
      <c r="B386" t="str">
        <f>"8,"&amp;Sheet1!K389</f>
        <v>8,6480</v>
      </c>
    </row>
    <row r="387" spans="1:2" x14ac:dyDescent="0.15">
      <c r="A387">
        <v>7487</v>
      </c>
      <c r="B387" t="str">
        <f>"8,"&amp;Sheet1!K390</f>
        <v>8,6660</v>
      </c>
    </row>
    <row r="388" spans="1:2" x14ac:dyDescent="0.15">
      <c r="A388">
        <v>7488</v>
      </c>
      <c r="B388" t="str">
        <f>"8,"&amp;Sheet1!K391</f>
        <v>8,6840</v>
      </c>
    </row>
    <row r="389" spans="1:2" x14ac:dyDescent="0.15">
      <c r="A389">
        <v>7489</v>
      </c>
      <c r="B389" t="str">
        <f>"8,"&amp;Sheet1!K392</f>
        <v>8,7020</v>
      </c>
    </row>
    <row r="390" spans="1:2" x14ac:dyDescent="0.15">
      <c r="A390">
        <v>7490</v>
      </c>
      <c r="B390" t="str">
        <f>"8,"&amp;Sheet1!K393</f>
        <v>8,7200</v>
      </c>
    </row>
    <row r="391" spans="1:2" x14ac:dyDescent="0.15">
      <c r="A391">
        <v>7491</v>
      </c>
      <c r="B391" t="str">
        <f>"8,"&amp;Sheet1!K394</f>
        <v>8,7380</v>
      </c>
    </row>
    <row r="392" spans="1:2" x14ac:dyDescent="0.15">
      <c r="A392">
        <v>7492</v>
      </c>
      <c r="B392" t="str">
        <f>"8,"&amp;Sheet1!K395</f>
        <v>8,7560</v>
      </c>
    </row>
    <row r="393" spans="1:2" x14ac:dyDescent="0.15">
      <c r="A393">
        <v>7493</v>
      </c>
      <c r="B393" t="str">
        <f>"8,"&amp;Sheet1!K396</f>
        <v>8,7740</v>
      </c>
    </row>
    <row r="394" spans="1:2" x14ac:dyDescent="0.15">
      <c r="A394">
        <v>7494</v>
      </c>
      <c r="B394" t="str">
        <f>"8,"&amp;Sheet1!K397</f>
        <v>8,7920</v>
      </c>
    </row>
    <row r="395" spans="1:2" x14ac:dyDescent="0.15">
      <c r="A395">
        <v>7495</v>
      </c>
      <c r="B395" t="str">
        <f>"8,"&amp;Sheet1!K398</f>
        <v>8,8100</v>
      </c>
    </row>
    <row r="396" spans="1:2" x14ac:dyDescent="0.15">
      <c r="A396">
        <v>7496</v>
      </c>
      <c r="B396" t="str">
        <f>"8,"&amp;Sheet1!K399</f>
        <v>8,8280</v>
      </c>
    </row>
    <row r="397" spans="1:2" x14ac:dyDescent="0.15">
      <c r="A397">
        <v>7497</v>
      </c>
      <c r="B397" t="str">
        <f>"8,"&amp;Sheet1!K400</f>
        <v>8,8460</v>
      </c>
    </row>
    <row r="398" spans="1:2" x14ac:dyDescent="0.15">
      <c r="A398">
        <v>7498</v>
      </c>
      <c r="B398" t="str">
        <f>"8,"&amp;Sheet1!K401</f>
        <v>8,8640</v>
      </c>
    </row>
    <row r="399" spans="1:2" x14ac:dyDescent="0.15">
      <c r="A399">
        <v>7499</v>
      </c>
      <c r="B399" t="str">
        <f>"8,"&amp;Sheet1!K402</f>
        <v>8,8820</v>
      </c>
    </row>
    <row r="400" spans="1:2" x14ac:dyDescent="0.15">
      <c r="A400">
        <v>7500</v>
      </c>
      <c r="B400" t="str">
        <f>"8,"&amp;Sheet1!K403</f>
        <v>8,9000</v>
      </c>
    </row>
    <row r="401" spans="1:2" x14ac:dyDescent="0.15">
      <c r="A401">
        <v>7501</v>
      </c>
      <c r="B401" t="str">
        <f>"34,"&amp;Sheet1!K404</f>
        <v>34,200</v>
      </c>
    </row>
    <row r="402" spans="1:2" x14ac:dyDescent="0.15">
      <c r="A402">
        <v>7502</v>
      </c>
      <c r="B402" t="str">
        <f>"34,"&amp;Sheet1!K405</f>
        <v>34,400</v>
      </c>
    </row>
    <row r="403" spans="1:2" x14ac:dyDescent="0.15">
      <c r="A403">
        <v>7503</v>
      </c>
      <c r="B403" t="str">
        <f>"34,"&amp;Sheet1!K406</f>
        <v>34,600</v>
      </c>
    </row>
    <row r="404" spans="1:2" x14ac:dyDescent="0.15">
      <c r="A404">
        <v>7504</v>
      </c>
      <c r="B404" t="str">
        <f>"34,"&amp;Sheet1!K407</f>
        <v>34,800</v>
      </c>
    </row>
    <row r="405" spans="1:2" x14ac:dyDescent="0.15">
      <c r="A405">
        <v>7505</v>
      </c>
      <c r="B405" t="str">
        <f>"34,"&amp;Sheet1!K408</f>
        <v>34,1000</v>
      </c>
    </row>
    <row r="406" spans="1:2" x14ac:dyDescent="0.15">
      <c r="A406">
        <v>7506</v>
      </c>
      <c r="B406" t="str">
        <f>"34,"&amp;Sheet1!K409</f>
        <v>34,1200</v>
      </c>
    </row>
    <row r="407" spans="1:2" x14ac:dyDescent="0.15">
      <c r="A407">
        <v>7507</v>
      </c>
      <c r="B407" t="str">
        <f>"34,"&amp;Sheet1!K410</f>
        <v>34,1400</v>
      </c>
    </row>
    <row r="408" spans="1:2" x14ac:dyDescent="0.15">
      <c r="A408">
        <v>7508</v>
      </c>
      <c r="B408" t="str">
        <f>"34,"&amp;Sheet1!K411</f>
        <v>34,1600</v>
      </c>
    </row>
    <row r="409" spans="1:2" x14ac:dyDescent="0.15">
      <c r="A409">
        <v>7509</v>
      </c>
      <c r="B409" t="str">
        <f>"34,"&amp;Sheet1!K412</f>
        <v>34,1800</v>
      </c>
    </row>
    <row r="410" spans="1:2" x14ac:dyDescent="0.15">
      <c r="A410">
        <v>7510</v>
      </c>
      <c r="B410" t="str">
        <f>"34,"&amp;Sheet1!K413</f>
        <v>34,2000</v>
      </c>
    </row>
    <row r="411" spans="1:2" x14ac:dyDescent="0.15">
      <c r="A411">
        <v>7511</v>
      </c>
      <c r="B411" t="str">
        <f>"34,"&amp;Sheet1!K414</f>
        <v>34,2200</v>
      </c>
    </row>
    <row r="412" spans="1:2" x14ac:dyDescent="0.15">
      <c r="A412">
        <v>7512</v>
      </c>
      <c r="B412" t="str">
        <f>"34,"&amp;Sheet1!K415</f>
        <v>34,2400</v>
      </c>
    </row>
    <row r="413" spans="1:2" x14ac:dyDescent="0.15">
      <c r="A413">
        <v>7513</v>
      </c>
      <c r="B413" t="str">
        <f>"34,"&amp;Sheet1!K416</f>
        <v>34,2600</v>
      </c>
    </row>
    <row r="414" spans="1:2" x14ac:dyDescent="0.15">
      <c r="A414">
        <v>7514</v>
      </c>
      <c r="B414" t="str">
        <f>"34,"&amp;Sheet1!K417</f>
        <v>34,2800</v>
      </c>
    </row>
    <row r="415" spans="1:2" x14ac:dyDescent="0.15">
      <c r="A415">
        <v>7515</v>
      </c>
      <c r="B415" t="str">
        <f>"34,"&amp;Sheet1!K418</f>
        <v>34,3000</v>
      </c>
    </row>
    <row r="416" spans="1:2" x14ac:dyDescent="0.15">
      <c r="A416">
        <v>7516</v>
      </c>
      <c r="B416" t="str">
        <f>"34,"&amp;Sheet1!K419</f>
        <v>34,3200</v>
      </c>
    </row>
    <row r="417" spans="1:2" x14ac:dyDescent="0.15">
      <c r="A417">
        <v>7517</v>
      </c>
      <c r="B417" t="str">
        <f>"34,"&amp;Sheet1!K420</f>
        <v>34,3400</v>
      </c>
    </row>
    <row r="418" spans="1:2" x14ac:dyDescent="0.15">
      <c r="A418">
        <v>7518</v>
      </c>
      <c r="B418" t="str">
        <f>"34,"&amp;Sheet1!K421</f>
        <v>34,3600</v>
      </c>
    </row>
    <row r="419" spans="1:2" x14ac:dyDescent="0.15">
      <c r="A419">
        <v>7519</v>
      </c>
      <c r="B419" t="str">
        <f>"34,"&amp;Sheet1!K422</f>
        <v>34,3800</v>
      </c>
    </row>
    <row r="420" spans="1:2" x14ac:dyDescent="0.15">
      <c r="A420">
        <v>7520</v>
      </c>
      <c r="B420" t="str">
        <f>"34,"&amp;Sheet1!K423</f>
        <v>34,4000</v>
      </c>
    </row>
    <row r="421" spans="1:2" x14ac:dyDescent="0.15">
      <c r="A421">
        <v>7521</v>
      </c>
      <c r="B421" t="str">
        <f>"34,"&amp;Sheet1!K424</f>
        <v>34,4200</v>
      </c>
    </row>
    <row r="422" spans="1:2" x14ac:dyDescent="0.15">
      <c r="A422">
        <v>7522</v>
      </c>
      <c r="B422" t="str">
        <f>"34,"&amp;Sheet1!K425</f>
        <v>34,4400</v>
      </c>
    </row>
    <row r="423" spans="1:2" x14ac:dyDescent="0.15">
      <c r="A423">
        <v>7523</v>
      </c>
      <c r="B423" t="str">
        <f>"34,"&amp;Sheet1!K426</f>
        <v>34,4600</v>
      </c>
    </row>
    <row r="424" spans="1:2" x14ac:dyDescent="0.15">
      <c r="A424">
        <v>7524</v>
      </c>
      <c r="B424" t="str">
        <f>"34,"&amp;Sheet1!K427</f>
        <v>34,4800</v>
      </c>
    </row>
    <row r="425" spans="1:2" x14ac:dyDescent="0.15">
      <c r="A425">
        <v>7525</v>
      </c>
      <c r="B425" t="str">
        <f>"34,"&amp;Sheet1!K428</f>
        <v>34,5000</v>
      </c>
    </row>
    <row r="426" spans="1:2" x14ac:dyDescent="0.15">
      <c r="A426">
        <v>7526</v>
      </c>
      <c r="B426" t="str">
        <f>"34,"&amp;Sheet1!K429</f>
        <v>34,5200</v>
      </c>
    </row>
    <row r="427" spans="1:2" x14ac:dyDescent="0.15">
      <c r="A427">
        <v>7527</v>
      </c>
      <c r="B427" t="str">
        <f>"34,"&amp;Sheet1!K430</f>
        <v>34,5400</v>
      </c>
    </row>
    <row r="428" spans="1:2" x14ac:dyDescent="0.15">
      <c r="A428">
        <v>7528</v>
      </c>
      <c r="B428" t="str">
        <f>"34,"&amp;Sheet1!K431</f>
        <v>34,5600</v>
      </c>
    </row>
    <row r="429" spans="1:2" x14ac:dyDescent="0.15">
      <c r="A429">
        <v>7529</v>
      </c>
      <c r="B429" t="str">
        <f>"34,"&amp;Sheet1!K432</f>
        <v>34,5800</v>
      </c>
    </row>
    <row r="430" spans="1:2" x14ac:dyDescent="0.15">
      <c r="A430">
        <v>7530</v>
      </c>
      <c r="B430" t="str">
        <f>"34,"&amp;Sheet1!K433</f>
        <v>34,6000</v>
      </c>
    </row>
    <row r="431" spans="1:2" x14ac:dyDescent="0.15">
      <c r="A431">
        <v>7531</v>
      </c>
      <c r="B431" t="str">
        <f>"34,"&amp;Sheet1!K434</f>
        <v>34,6200</v>
      </c>
    </row>
    <row r="432" spans="1:2" x14ac:dyDescent="0.15">
      <c r="A432">
        <v>7532</v>
      </c>
      <c r="B432" t="str">
        <f>"34,"&amp;Sheet1!K435</f>
        <v>34,6400</v>
      </c>
    </row>
    <row r="433" spans="1:2" x14ac:dyDescent="0.15">
      <c r="A433">
        <v>7533</v>
      </c>
      <c r="B433" t="str">
        <f>"34,"&amp;Sheet1!K436</f>
        <v>34,6600</v>
      </c>
    </row>
    <row r="434" spans="1:2" x14ac:dyDescent="0.15">
      <c r="A434">
        <v>7534</v>
      </c>
      <c r="B434" t="str">
        <f>"34,"&amp;Sheet1!K437</f>
        <v>34,6800</v>
      </c>
    </row>
    <row r="435" spans="1:2" x14ac:dyDescent="0.15">
      <c r="A435">
        <v>7535</v>
      </c>
      <c r="B435" t="str">
        <f>"34,"&amp;Sheet1!K438</f>
        <v>34,7000</v>
      </c>
    </row>
    <row r="436" spans="1:2" x14ac:dyDescent="0.15">
      <c r="A436">
        <v>7536</v>
      </c>
      <c r="B436" t="str">
        <f>"34,"&amp;Sheet1!K439</f>
        <v>34,7200</v>
      </c>
    </row>
    <row r="437" spans="1:2" x14ac:dyDescent="0.15">
      <c r="A437">
        <v>7537</v>
      </c>
      <c r="B437" t="str">
        <f>"34,"&amp;Sheet1!K440</f>
        <v>34,7400</v>
      </c>
    </row>
    <row r="438" spans="1:2" x14ac:dyDescent="0.15">
      <c r="A438">
        <v>7538</v>
      </c>
      <c r="B438" t="str">
        <f>"34,"&amp;Sheet1!K441</f>
        <v>34,7600</v>
      </c>
    </row>
    <row r="439" spans="1:2" x14ac:dyDescent="0.15">
      <c r="A439">
        <v>7539</v>
      </c>
      <c r="B439" t="str">
        <f>"34,"&amp;Sheet1!K442</f>
        <v>34,7800</v>
      </c>
    </row>
    <row r="440" spans="1:2" x14ac:dyDescent="0.15">
      <c r="A440">
        <v>7540</v>
      </c>
      <c r="B440" t="str">
        <f>"34,"&amp;Sheet1!K443</f>
        <v>34,8000</v>
      </c>
    </row>
    <row r="441" spans="1:2" x14ac:dyDescent="0.15">
      <c r="A441">
        <v>7541</v>
      </c>
      <c r="B441" t="str">
        <f>"34,"&amp;Sheet1!K444</f>
        <v>34,8200</v>
      </c>
    </row>
    <row r="442" spans="1:2" x14ac:dyDescent="0.15">
      <c r="A442">
        <v>7542</v>
      </c>
      <c r="B442" t="str">
        <f>"34,"&amp;Sheet1!K445</f>
        <v>34,8400</v>
      </c>
    </row>
    <row r="443" spans="1:2" x14ac:dyDescent="0.15">
      <c r="A443">
        <v>7543</v>
      </c>
      <c r="B443" t="str">
        <f>"34,"&amp;Sheet1!K446</f>
        <v>34,8600</v>
      </c>
    </row>
    <row r="444" spans="1:2" x14ac:dyDescent="0.15">
      <c r="A444">
        <v>7544</v>
      </c>
      <c r="B444" t="str">
        <f>"34,"&amp;Sheet1!K447</f>
        <v>34,8800</v>
      </c>
    </row>
    <row r="445" spans="1:2" x14ac:dyDescent="0.15">
      <c r="A445">
        <v>7545</v>
      </c>
      <c r="B445" t="str">
        <f>"34,"&amp;Sheet1!K448</f>
        <v>34,9000</v>
      </c>
    </row>
    <row r="446" spans="1:2" x14ac:dyDescent="0.15">
      <c r="A446">
        <v>7546</v>
      </c>
      <c r="B446" t="str">
        <f>"34,"&amp;Sheet1!K449</f>
        <v>34,9200</v>
      </c>
    </row>
    <row r="447" spans="1:2" x14ac:dyDescent="0.15">
      <c r="A447">
        <v>7547</v>
      </c>
      <c r="B447" t="str">
        <f>"34,"&amp;Sheet1!K450</f>
        <v>34,9400</v>
      </c>
    </row>
    <row r="448" spans="1:2" x14ac:dyDescent="0.15">
      <c r="A448">
        <v>7548</v>
      </c>
      <c r="B448" t="str">
        <f>"34,"&amp;Sheet1!K451</f>
        <v>34,9600</v>
      </c>
    </row>
    <row r="449" spans="1:2" x14ac:dyDescent="0.15">
      <c r="A449">
        <v>7549</v>
      </c>
      <c r="B449" t="str">
        <f>"34,"&amp;Sheet1!K452</f>
        <v>34,9800</v>
      </c>
    </row>
    <row r="450" spans="1:2" x14ac:dyDescent="0.15">
      <c r="A450">
        <v>7550</v>
      </c>
      <c r="B450" t="str">
        <f>"34,"&amp;Sheet1!K453</f>
        <v>34,10000</v>
      </c>
    </row>
    <row r="451" spans="1:2" x14ac:dyDescent="0.15">
      <c r="A451">
        <v>7551</v>
      </c>
      <c r="B451" t="str">
        <f>"4,"&amp;Sheet1!K454</f>
        <v>4,180</v>
      </c>
    </row>
    <row r="452" spans="1:2" x14ac:dyDescent="0.15">
      <c r="A452">
        <v>7552</v>
      </c>
      <c r="B452" t="str">
        <f>"4,"&amp;Sheet1!K455</f>
        <v>4,360</v>
      </c>
    </row>
    <row r="453" spans="1:2" x14ac:dyDescent="0.15">
      <c r="A453">
        <v>7553</v>
      </c>
      <c r="B453" t="str">
        <f>"4,"&amp;Sheet1!K456</f>
        <v>4,540</v>
      </c>
    </row>
    <row r="454" spans="1:2" x14ac:dyDescent="0.15">
      <c r="A454">
        <v>7554</v>
      </c>
      <c r="B454" t="str">
        <f>"4,"&amp;Sheet1!K457</f>
        <v>4,720</v>
      </c>
    </row>
    <row r="455" spans="1:2" x14ac:dyDescent="0.15">
      <c r="A455">
        <v>7555</v>
      </c>
      <c r="B455" t="str">
        <f>"4,"&amp;Sheet1!K458</f>
        <v>4,900</v>
      </c>
    </row>
    <row r="456" spans="1:2" x14ac:dyDescent="0.15">
      <c r="A456">
        <v>7556</v>
      </c>
      <c r="B456" t="str">
        <f>"4,"&amp;Sheet1!K459</f>
        <v>4,1080</v>
      </c>
    </row>
    <row r="457" spans="1:2" x14ac:dyDescent="0.15">
      <c r="A457">
        <v>7557</v>
      </c>
      <c r="B457" t="str">
        <f>"4,"&amp;Sheet1!K460</f>
        <v>4,1260</v>
      </c>
    </row>
    <row r="458" spans="1:2" x14ac:dyDescent="0.15">
      <c r="A458">
        <v>7558</v>
      </c>
      <c r="B458" t="str">
        <f>"4,"&amp;Sheet1!K461</f>
        <v>4,1440</v>
      </c>
    </row>
    <row r="459" spans="1:2" x14ac:dyDescent="0.15">
      <c r="A459">
        <v>7559</v>
      </c>
      <c r="B459" t="str">
        <f>"4,"&amp;Sheet1!K462</f>
        <v>4,1620</v>
      </c>
    </row>
    <row r="460" spans="1:2" x14ac:dyDescent="0.15">
      <c r="A460">
        <v>7560</v>
      </c>
      <c r="B460" t="str">
        <f>"4,"&amp;Sheet1!K463</f>
        <v>4,1800</v>
      </c>
    </row>
    <row r="461" spans="1:2" x14ac:dyDescent="0.15">
      <c r="A461">
        <v>7561</v>
      </c>
      <c r="B461" t="str">
        <f>"4,"&amp;Sheet1!K464</f>
        <v>4,1980</v>
      </c>
    </row>
    <row r="462" spans="1:2" x14ac:dyDescent="0.15">
      <c r="A462">
        <v>7562</v>
      </c>
      <c r="B462" t="str">
        <f>"4,"&amp;Sheet1!K465</f>
        <v>4,2160</v>
      </c>
    </row>
    <row r="463" spans="1:2" x14ac:dyDescent="0.15">
      <c r="A463">
        <v>7563</v>
      </c>
      <c r="B463" t="str">
        <f>"4,"&amp;Sheet1!K466</f>
        <v>4,2340</v>
      </c>
    </row>
    <row r="464" spans="1:2" x14ac:dyDescent="0.15">
      <c r="A464">
        <v>7564</v>
      </c>
      <c r="B464" t="str">
        <f>"4,"&amp;Sheet1!K467</f>
        <v>4,2520</v>
      </c>
    </row>
    <row r="465" spans="1:2" x14ac:dyDescent="0.15">
      <c r="A465">
        <v>7565</v>
      </c>
      <c r="B465" t="str">
        <f>"4,"&amp;Sheet1!K468</f>
        <v>4,2700</v>
      </c>
    </row>
    <row r="466" spans="1:2" x14ac:dyDescent="0.15">
      <c r="A466">
        <v>7566</v>
      </c>
      <c r="B466" t="str">
        <f>"4,"&amp;Sheet1!K469</f>
        <v>4,2880</v>
      </c>
    </row>
    <row r="467" spans="1:2" x14ac:dyDescent="0.15">
      <c r="A467">
        <v>7567</v>
      </c>
      <c r="B467" t="str">
        <f>"4,"&amp;Sheet1!K470</f>
        <v>4,3060</v>
      </c>
    </row>
    <row r="468" spans="1:2" x14ac:dyDescent="0.15">
      <c r="A468">
        <v>7568</v>
      </c>
      <c r="B468" t="str">
        <f>"4,"&amp;Sheet1!K471</f>
        <v>4,3240</v>
      </c>
    </row>
    <row r="469" spans="1:2" x14ac:dyDescent="0.15">
      <c r="A469">
        <v>7569</v>
      </c>
      <c r="B469" t="str">
        <f>"4,"&amp;Sheet1!K472</f>
        <v>4,3420</v>
      </c>
    </row>
    <row r="470" spans="1:2" x14ac:dyDescent="0.15">
      <c r="A470">
        <v>7570</v>
      </c>
      <c r="B470" t="str">
        <f>"4,"&amp;Sheet1!K473</f>
        <v>4,3600</v>
      </c>
    </row>
    <row r="471" spans="1:2" x14ac:dyDescent="0.15">
      <c r="A471">
        <v>7571</v>
      </c>
      <c r="B471" t="str">
        <f>"4,"&amp;Sheet1!K474</f>
        <v>4,3780</v>
      </c>
    </row>
    <row r="472" spans="1:2" x14ac:dyDescent="0.15">
      <c r="A472">
        <v>7572</v>
      </c>
      <c r="B472" t="str">
        <f>"4,"&amp;Sheet1!K475</f>
        <v>4,3960</v>
      </c>
    </row>
    <row r="473" spans="1:2" x14ac:dyDescent="0.15">
      <c r="A473">
        <v>7573</v>
      </c>
      <c r="B473" t="str">
        <f>"4,"&amp;Sheet1!K476</f>
        <v>4,4140</v>
      </c>
    </row>
    <row r="474" spans="1:2" x14ac:dyDescent="0.15">
      <c r="A474">
        <v>7574</v>
      </c>
      <c r="B474" t="str">
        <f>"4,"&amp;Sheet1!K477</f>
        <v>4,4320</v>
      </c>
    </row>
    <row r="475" spans="1:2" x14ac:dyDescent="0.15">
      <c r="A475">
        <v>7575</v>
      </c>
      <c r="B475" t="str">
        <f>"4,"&amp;Sheet1!K478</f>
        <v>4,4500</v>
      </c>
    </row>
    <row r="476" spans="1:2" x14ac:dyDescent="0.15">
      <c r="A476">
        <v>7576</v>
      </c>
      <c r="B476" t="str">
        <f>"4,"&amp;Sheet1!K479</f>
        <v>4,4680</v>
      </c>
    </row>
    <row r="477" spans="1:2" x14ac:dyDescent="0.15">
      <c r="A477">
        <v>7577</v>
      </c>
      <c r="B477" t="str">
        <f>"4,"&amp;Sheet1!K480</f>
        <v>4,4860</v>
      </c>
    </row>
    <row r="478" spans="1:2" x14ac:dyDescent="0.15">
      <c r="A478">
        <v>7578</v>
      </c>
      <c r="B478" t="str">
        <f>"4,"&amp;Sheet1!K481</f>
        <v>4,5040</v>
      </c>
    </row>
    <row r="479" spans="1:2" x14ac:dyDescent="0.15">
      <c r="A479">
        <v>7579</v>
      </c>
      <c r="B479" t="str">
        <f>"4,"&amp;Sheet1!K482</f>
        <v>4,5220</v>
      </c>
    </row>
    <row r="480" spans="1:2" x14ac:dyDescent="0.15">
      <c r="A480">
        <v>7580</v>
      </c>
      <c r="B480" t="str">
        <f>"4,"&amp;Sheet1!K483</f>
        <v>4,5400</v>
      </c>
    </row>
    <row r="481" spans="1:2" x14ac:dyDescent="0.15">
      <c r="A481">
        <v>7581</v>
      </c>
      <c r="B481" t="str">
        <f>"4,"&amp;Sheet1!K484</f>
        <v>4,5580</v>
      </c>
    </row>
    <row r="482" spans="1:2" x14ac:dyDescent="0.15">
      <c r="A482">
        <v>7582</v>
      </c>
      <c r="B482" t="str">
        <f>"4,"&amp;Sheet1!K485</f>
        <v>4,5760</v>
      </c>
    </row>
    <row r="483" spans="1:2" x14ac:dyDescent="0.15">
      <c r="A483">
        <v>7583</v>
      </c>
      <c r="B483" t="str">
        <f>"4,"&amp;Sheet1!K486</f>
        <v>4,5940</v>
      </c>
    </row>
    <row r="484" spans="1:2" x14ac:dyDescent="0.15">
      <c r="A484">
        <v>7584</v>
      </c>
      <c r="B484" t="str">
        <f>"4,"&amp;Sheet1!K487</f>
        <v>4,6120</v>
      </c>
    </row>
    <row r="485" spans="1:2" x14ac:dyDescent="0.15">
      <c r="A485">
        <v>7585</v>
      </c>
      <c r="B485" t="str">
        <f>"4,"&amp;Sheet1!K488</f>
        <v>4,6300</v>
      </c>
    </row>
    <row r="486" spans="1:2" x14ac:dyDescent="0.15">
      <c r="A486">
        <v>7586</v>
      </c>
      <c r="B486" t="str">
        <f>"4,"&amp;Sheet1!K489</f>
        <v>4,6480</v>
      </c>
    </row>
    <row r="487" spans="1:2" x14ac:dyDescent="0.15">
      <c r="A487">
        <v>7587</v>
      </c>
      <c r="B487" t="str">
        <f>"4,"&amp;Sheet1!K490</f>
        <v>4,6660</v>
      </c>
    </row>
    <row r="488" spans="1:2" x14ac:dyDescent="0.15">
      <c r="A488">
        <v>7588</v>
      </c>
      <c r="B488" t="str">
        <f>"4,"&amp;Sheet1!K491</f>
        <v>4,6840</v>
      </c>
    </row>
    <row r="489" spans="1:2" x14ac:dyDescent="0.15">
      <c r="A489">
        <v>7589</v>
      </c>
      <c r="B489" t="str">
        <f>"4,"&amp;Sheet1!K492</f>
        <v>4,7020</v>
      </c>
    </row>
    <row r="490" spans="1:2" x14ac:dyDescent="0.15">
      <c r="A490">
        <v>7590</v>
      </c>
      <c r="B490" t="str">
        <f>"4,"&amp;Sheet1!K493</f>
        <v>4,7200</v>
      </c>
    </row>
    <row r="491" spans="1:2" x14ac:dyDescent="0.15">
      <c r="A491">
        <v>7591</v>
      </c>
      <c r="B491" t="str">
        <f>"4,"&amp;Sheet1!K494</f>
        <v>4,7380</v>
      </c>
    </row>
    <row r="492" spans="1:2" x14ac:dyDescent="0.15">
      <c r="A492">
        <v>7592</v>
      </c>
      <c r="B492" t="str">
        <f>"4,"&amp;Sheet1!K495</f>
        <v>4,7560</v>
      </c>
    </row>
    <row r="493" spans="1:2" x14ac:dyDescent="0.15">
      <c r="A493">
        <v>7593</v>
      </c>
      <c r="B493" t="str">
        <f>"4,"&amp;Sheet1!K496</f>
        <v>4,7740</v>
      </c>
    </row>
    <row r="494" spans="1:2" x14ac:dyDescent="0.15">
      <c r="A494">
        <v>7594</v>
      </c>
      <c r="B494" t="str">
        <f>"4,"&amp;Sheet1!K497</f>
        <v>4,7920</v>
      </c>
    </row>
    <row r="495" spans="1:2" x14ac:dyDescent="0.15">
      <c r="A495">
        <v>7595</v>
      </c>
      <c r="B495" t="str">
        <f>"4,"&amp;Sheet1!K498</f>
        <v>4,8100</v>
      </c>
    </row>
    <row r="496" spans="1:2" x14ac:dyDescent="0.15">
      <c r="A496">
        <v>7596</v>
      </c>
      <c r="B496" t="str">
        <f>"4,"&amp;Sheet1!K499</f>
        <v>4,8280</v>
      </c>
    </row>
    <row r="497" spans="1:2" x14ac:dyDescent="0.15">
      <c r="A497">
        <v>7597</v>
      </c>
      <c r="B497" t="str">
        <f>"4,"&amp;Sheet1!K500</f>
        <v>4,8460</v>
      </c>
    </row>
    <row r="498" spans="1:2" x14ac:dyDescent="0.15">
      <c r="A498">
        <v>7598</v>
      </c>
      <c r="B498" t="str">
        <f>"4,"&amp;Sheet1!K501</f>
        <v>4,8640</v>
      </c>
    </row>
    <row r="499" spans="1:2" x14ac:dyDescent="0.15">
      <c r="A499">
        <v>7599</v>
      </c>
      <c r="B499" t="str">
        <f>"4,"&amp;Sheet1!K502</f>
        <v>4,8820</v>
      </c>
    </row>
    <row r="500" spans="1:2" x14ac:dyDescent="0.15">
      <c r="A500">
        <v>7600</v>
      </c>
      <c r="B500" t="str">
        <f>"4,"&amp;Sheet1!K503</f>
        <v>4,9000</v>
      </c>
    </row>
    <row r="501" spans="1:2" x14ac:dyDescent="0.15">
      <c r="A501">
        <v>7601</v>
      </c>
      <c r="B501" t="str">
        <f>"33,"&amp;Sheet1!K504</f>
        <v>33,180</v>
      </c>
    </row>
    <row r="502" spans="1:2" x14ac:dyDescent="0.15">
      <c r="A502">
        <v>7602</v>
      </c>
      <c r="B502" t="str">
        <f>"33,"&amp;Sheet1!K505</f>
        <v>33,360</v>
      </c>
    </row>
    <row r="503" spans="1:2" x14ac:dyDescent="0.15">
      <c r="A503">
        <v>7603</v>
      </c>
      <c r="B503" t="str">
        <f>"33,"&amp;Sheet1!K506</f>
        <v>33,540</v>
      </c>
    </row>
    <row r="504" spans="1:2" x14ac:dyDescent="0.15">
      <c r="A504">
        <v>7604</v>
      </c>
      <c r="B504" t="str">
        <f>"33,"&amp;Sheet1!K507</f>
        <v>33,720</v>
      </c>
    </row>
    <row r="505" spans="1:2" x14ac:dyDescent="0.15">
      <c r="A505">
        <v>7605</v>
      </c>
      <c r="B505" t="str">
        <f>"33,"&amp;Sheet1!K508</f>
        <v>33,900</v>
      </c>
    </row>
    <row r="506" spans="1:2" x14ac:dyDescent="0.15">
      <c r="A506">
        <v>7606</v>
      </c>
      <c r="B506" t="str">
        <f>"33,"&amp;Sheet1!K509</f>
        <v>33,1080</v>
      </c>
    </row>
    <row r="507" spans="1:2" x14ac:dyDescent="0.15">
      <c r="A507">
        <v>7607</v>
      </c>
      <c r="B507" t="str">
        <f>"33,"&amp;Sheet1!K510</f>
        <v>33,1260</v>
      </c>
    </row>
    <row r="508" spans="1:2" x14ac:dyDescent="0.15">
      <c r="A508">
        <v>7608</v>
      </c>
      <c r="B508" t="str">
        <f>"33,"&amp;Sheet1!K511</f>
        <v>33,1440</v>
      </c>
    </row>
    <row r="509" spans="1:2" x14ac:dyDescent="0.15">
      <c r="A509">
        <v>7609</v>
      </c>
      <c r="B509" t="str">
        <f>"33,"&amp;Sheet1!K512</f>
        <v>33,1620</v>
      </c>
    </row>
    <row r="510" spans="1:2" x14ac:dyDescent="0.15">
      <c r="A510">
        <v>7610</v>
      </c>
      <c r="B510" t="str">
        <f>"33,"&amp;Sheet1!K513</f>
        <v>33,1800</v>
      </c>
    </row>
    <row r="511" spans="1:2" x14ac:dyDescent="0.15">
      <c r="A511">
        <v>7611</v>
      </c>
      <c r="B511" t="str">
        <f>"33,"&amp;Sheet1!K514</f>
        <v>33,1980</v>
      </c>
    </row>
    <row r="512" spans="1:2" x14ac:dyDescent="0.15">
      <c r="A512">
        <v>7612</v>
      </c>
      <c r="B512" t="str">
        <f>"33,"&amp;Sheet1!K515</f>
        <v>33,2160</v>
      </c>
    </row>
    <row r="513" spans="1:2" x14ac:dyDescent="0.15">
      <c r="A513">
        <v>7613</v>
      </c>
      <c r="B513" t="str">
        <f>"33,"&amp;Sheet1!K516</f>
        <v>33,2340</v>
      </c>
    </row>
    <row r="514" spans="1:2" x14ac:dyDescent="0.15">
      <c r="A514">
        <v>7614</v>
      </c>
      <c r="B514" t="str">
        <f>"33,"&amp;Sheet1!K517</f>
        <v>33,2520</v>
      </c>
    </row>
    <row r="515" spans="1:2" x14ac:dyDescent="0.15">
      <c r="A515">
        <v>7615</v>
      </c>
      <c r="B515" t="str">
        <f>"33,"&amp;Sheet1!K518</f>
        <v>33,2700</v>
      </c>
    </row>
    <row r="516" spans="1:2" x14ac:dyDescent="0.15">
      <c r="A516">
        <v>7616</v>
      </c>
      <c r="B516" t="str">
        <f>"33,"&amp;Sheet1!K519</f>
        <v>33,2880</v>
      </c>
    </row>
    <row r="517" spans="1:2" x14ac:dyDescent="0.15">
      <c r="A517">
        <v>7617</v>
      </c>
      <c r="B517" t="str">
        <f>"33,"&amp;Sheet1!K520</f>
        <v>33,3060</v>
      </c>
    </row>
    <row r="518" spans="1:2" x14ac:dyDescent="0.15">
      <c r="A518">
        <v>7618</v>
      </c>
      <c r="B518" t="str">
        <f>"33,"&amp;Sheet1!K521</f>
        <v>33,3240</v>
      </c>
    </row>
    <row r="519" spans="1:2" x14ac:dyDescent="0.15">
      <c r="A519">
        <v>7619</v>
      </c>
      <c r="B519" t="str">
        <f>"33,"&amp;Sheet1!K522</f>
        <v>33,3420</v>
      </c>
    </row>
    <row r="520" spans="1:2" x14ac:dyDescent="0.15">
      <c r="A520">
        <v>7620</v>
      </c>
      <c r="B520" t="str">
        <f>"33,"&amp;Sheet1!K523</f>
        <v>33,3600</v>
      </c>
    </row>
    <row r="521" spans="1:2" x14ac:dyDescent="0.15">
      <c r="A521">
        <v>7621</v>
      </c>
      <c r="B521" t="str">
        <f>"33,"&amp;Sheet1!K524</f>
        <v>33,3780</v>
      </c>
    </row>
    <row r="522" spans="1:2" x14ac:dyDescent="0.15">
      <c r="A522">
        <v>7622</v>
      </c>
      <c r="B522" t="str">
        <f>"33,"&amp;Sheet1!K525</f>
        <v>33,3960</v>
      </c>
    </row>
    <row r="523" spans="1:2" x14ac:dyDescent="0.15">
      <c r="A523">
        <v>7623</v>
      </c>
      <c r="B523" t="str">
        <f>"33,"&amp;Sheet1!K526</f>
        <v>33,4140</v>
      </c>
    </row>
    <row r="524" spans="1:2" x14ac:dyDescent="0.15">
      <c r="A524">
        <v>7624</v>
      </c>
      <c r="B524" t="str">
        <f>"33,"&amp;Sheet1!K527</f>
        <v>33,4320</v>
      </c>
    </row>
    <row r="525" spans="1:2" x14ac:dyDescent="0.15">
      <c r="A525">
        <v>7625</v>
      </c>
      <c r="B525" t="str">
        <f>"33,"&amp;Sheet1!K528</f>
        <v>33,4500</v>
      </c>
    </row>
    <row r="526" spans="1:2" x14ac:dyDescent="0.15">
      <c r="A526">
        <v>7626</v>
      </c>
      <c r="B526" t="str">
        <f>"33,"&amp;Sheet1!K529</f>
        <v>33,4680</v>
      </c>
    </row>
    <row r="527" spans="1:2" x14ac:dyDescent="0.15">
      <c r="A527">
        <v>7627</v>
      </c>
      <c r="B527" t="str">
        <f>"33,"&amp;Sheet1!K530</f>
        <v>33,4860</v>
      </c>
    </row>
    <row r="528" spans="1:2" x14ac:dyDescent="0.15">
      <c r="A528">
        <v>7628</v>
      </c>
      <c r="B528" t="str">
        <f>"33,"&amp;Sheet1!K531</f>
        <v>33,5040</v>
      </c>
    </row>
    <row r="529" spans="1:2" x14ac:dyDescent="0.15">
      <c r="A529">
        <v>7629</v>
      </c>
      <c r="B529" t="str">
        <f>"33,"&amp;Sheet1!K532</f>
        <v>33,5220</v>
      </c>
    </row>
    <row r="530" spans="1:2" x14ac:dyDescent="0.15">
      <c r="A530">
        <v>7630</v>
      </c>
      <c r="B530" t="str">
        <f>"33,"&amp;Sheet1!K533</f>
        <v>33,5400</v>
      </c>
    </row>
    <row r="531" spans="1:2" x14ac:dyDescent="0.15">
      <c r="A531">
        <v>7631</v>
      </c>
      <c r="B531" t="str">
        <f>"33,"&amp;Sheet1!K534</f>
        <v>33,5580</v>
      </c>
    </row>
    <row r="532" spans="1:2" x14ac:dyDescent="0.15">
      <c r="A532">
        <v>7632</v>
      </c>
      <c r="B532" t="str">
        <f>"33,"&amp;Sheet1!K535</f>
        <v>33,5760</v>
      </c>
    </row>
    <row r="533" spans="1:2" x14ac:dyDescent="0.15">
      <c r="A533">
        <v>7633</v>
      </c>
      <c r="B533" t="str">
        <f>"33,"&amp;Sheet1!K536</f>
        <v>33,5940</v>
      </c>
    </row>
    <row r="534" spans="1:2" x14ac:dyDescent="0.15">
      <c r="A534">
        <v>7634</v>
      </c>
      <c r="B534" t="str">
        <f>"33,"&amp;Sheet1!K537</f>
        <v>33,6120</v>
      </c>
    </row>
    <row r="535" spans="1:2" x14ac:dyDescent="0.15">
      <c r="A535">
        <v>7635</v>
      </c>
      <c r="B535" t="str">
        <f>"33,"&amp;Sheet1!K538</f>
        <v>33,6300</v>
      </c>
    </row>
    <row r="536" spans="1:2" x14ac:dyDescent="0.15">
      <c r="A536">
        <v>7636</v>
      </c>
      <c r="B536" t="str">
        <f>"33,"&amp;Sheet1!K539</f>
        <v>33,6480</v>
      </c>
    </row>
    <row r="537" spans="1:2" x14ac:dyDescent="0.15">
      <c r="A537">
        <v>7637</v>
      </c>
      <c r="B537" t="str">
        <f>"33,"&amp;Sheet1!K540</f>
        <v>33,6660</v>
      </c>
    </row>
    <row r="538" spans="1:2" x14ac:dyDescent="0.15">
      <c r="A538">
        <v>7638</v>
      </c>
      <c r="B538" t="str">
        <f>"33,"&amp;Sheet1!K541</f>
        <v>33,6840</v>
      </c>
    </row>
    <row r="539" spans="1:2" x14ac:dyDescent="0.15">
      <c r="A539">
        <v>7639</v>
      </c>
      <c r="B539" t="str">
        <f>"33,"&amp;Sheet1!K542</f>
        <v>33,7020</v>
      </c>
    </row>
    <row r="540" spans="1:2" x14ac:dyDescent="0.15">
      <c r="A540">
        <v>7640</v>
      </c>
      <c r="B540" t="str">
        <f>"33,"&amp;Sheet1!K543</f>
        <v>33,7200</v>
      </c>
    </row>
    <row r="541" spans="1:2" x14ac:dyDescent="0.15">
      <c r="A541">
        <v>7641</v>
      </c>
      <c r="B541" t="str">
        <f>"33,"&amp;Sheet1!K544</f>
        <v>33,7380</v>
      </c>
    </row>
    <row r="542" spans="1:2" x14ac:dyDescent="0.15">
      <c r="A542">
        <v>7642</v>
      </c>
      <c r="B542" t="str">
        <f>"33,"&amp;Sheet1!K545</f>
        <v>33,7560</v>
      </c>
    </row>
    <row r="543" spans="1:2" x14ac:dyDescent="0.15">
      <c r="A543">
        <v>7643</v>
      </c>
      <c r="B543" t="str">
        <f>"33,"&amp;Sheet1!K546</f>
        <v>33,7740</v>
      </c>
    </row>
    <row r="544" spans="1:2" x14ac:dyDescent="0.15">
      <c r="A544">
        <v>7644</v>
      </c>
      <c r="B544" t="str">
        <f>"33,"&amp;Sheet1!K547</f>
        <v>33,7920</v>
      </c>
    </row>
    <row r="545" spans="1:2" x14ac:dyDescent="0.15">
      <c r="A545">
        <v>7645</v>
      </c>
      <c r="B545" t="str">
        <f>"33,"&amp;Sheet1!K548</f>
        <v>33,8100</v>
      </c>
    </row>
    <row r="546" spans="1:2" x14ac:dyDescent="0.15">
      <c r="A546">
        <v>7646</v>
      </c>
      <c r="B546" t="str">
        <f>"33,"&amp;Sheet1!K549</f>
        <v>33,8280</v>
      </c>
    </row>
    <row r="547" spans="1:2" x14ac:dyDescent="0.15">
      <c r="A547">
        <v>7647</v>
      </c>
      <c r="B547" t="str">
        <f>"33,"&amp;Sheet1!K550</f>
        <v>33,8460</v>
      </c>
    </row>
    <row r="548" spans="1:2" x14ac:dyDescent="0.15">
      <c r="A548">
        <v>7648</v>
      </c>
      <c r="B548" t="str">
        <f>"33,"&amp;Sheet1!K551</f>
        <v>33,8640</v>
      </c>
    </row>
    <row r="549" spans="1:2" x14ac:dyDescent="0.15">
      <c r="A549">
        <v>7649</v>
      </c>
      <c r="B549" t="str">
        <f>"33,"&amp;Sheet1!K552</f>
        <v>33,8820</v>
      </c>
    </row>
    <row r="550" spans="1:2" x14ac:dyDescent="0.15">
      <c r="A550">
        <v>7650</v>
      </c>
      <c r="B550" t="str">
        <f>"33,"&amp;Sheet1!K553</f>
        <v>33,9000</v>
      </c>
    </row>
    <row r="551" spans="1:2" x14ac:dyDescent="0.15">
      <c r="A551">
        <v>7651</v>
      </c>
      <c r="B551" t="str">
        <f>"102,"&amp;Sheet1!K554</f>
        <v>102,200</v>
      </c>
    </row>
    <row r="552" spans="1:2" x14ac:dyDescent="0.15">
      <c r="A552">
        <v>7652</v>
      </c>
      <c r="B552" t="str">
        <f>"102,"&amp;Sheet1!K555</f>
        <v>102,400</v>
      </c>
    </row>
    <row r="553" spans="1:2" x14ac:dyDescent="0.15">
      <c r="A553">
        <v>7653</v>
      </c>
      <c r="B553" t="str">
        <f>"102,"&amp;Sheet1!K556</f>
        <v>102,600</v>
      </c>
    </row>
    <row r="554" spans="1:2" x14ac:dyDescent="0.15">
      <c r="A554">
        <v>7654</v>
      </c>
      <c r="B554" t="str">
        <f>"102,"&amp;Sheet1!K557</f>
        <v>102,800</v>
      </c>
    </row>
    <row r="555" spans="1:2" x14ac:dyDescent="0.15">
      <c r="A555">
        <v>7655</v>
      </c>
      <c r="B555" t="str">
        <f>"102,"&amp;Sheet1!K558</f>
        <v>102,1000</v>
      </c>
    </row>
    <row r="556" spans="1:2" x14ac:dyDescent="0.15">
      <c r="A556">
        <v>7656</v>
      </c>
      <c r="B556" t="str">
        <f>"102,"&amp;Sheet1!K559</f>
        <v>102,1200</v>
      </c>
    </row>
    <row r="557" spans="1:2" x14ac:dyDescent="0.15">
      <c r="A557">
        <v>7657</v>
      </c>
      <c r="B557" t="str">
        <f>"102,"&amp;Sheet1!K560</f>
        <v>102,1400</v>
      </c>
    </row>
    <row r="558" spans="1:2" x14ac:dyDescent="0.15">
      <c r="A558">
        <v>7658</v>
      </c>
      <c r="B558" t="str">
        <f>"102,"&amp;Sheet1!K561</f>
        <v>102,1600</v>
      </c>
    </row>
    <row r="559" spans="1:2" x14ac:dyDescent="0.15">
      <c r="A559">
        <v>7659</v>
      </c>
      <c r="B559" t="str">
        <f>"102,"&amp;Sheet1!K562</f>
        <v>102,1800</v>
      </c>
    </row>
    <row r="560" spans="1:2" x14ac:dyDescent="0.15">
      <c r="A560">
        <v>7660</v>
      </c>
      <c r="B560" t="str">
        <f>"102,"&amp;Sheet1!K563</f>
        <v>102,2000</v>
      </c>
    </row>
    <row r="561" spans="1:2" x14ac:dyDescent="0.15">
      <c r="A561">
        <v>7661</v>
      </c>
      <c r="B561" t="str">
        <f>"102,"&amp;Sheet1!K564</f>
        <v>102,2200</v>
      </c>
    </row>
    <row r="562" spans="1:2" x14ac:dyDescent="0.15">
      <c r="A562">
        <v>7662</v>
      </c>
      <c r="B562" t="str">
        <f>"102,"&amp;Sheet1!K565</f>
        <v>102,2400</v>
      </c>
    </row>
    <row r="563" spans="1:2" x14ac:dyDescent="0.15">
      <c r="A563">
        <v>7663</v>
      </c>
      <c r="B563" t="str">
        <f>"102,"&amp;Sheet1!K566</f>
        <v>102,2600</v>
      </c>
    </row>
    <row r="564" spans="1:2" x14ac:dyDescent="0.15">
      <c r="A564">
        <v>7664</v>
      </c>
      <c r="B564" t="str">
        <f>"102,"&amp;Sheet1!K567</f>
        <v>102,2800</v>
      </c>
    </row>
    <row r="565" spans="1:2" x14ac:dyDescent="0.15">
      <c r="A565">
        <v>7665</v>
      </c>
      <c r="B565" t="str">
        <f>"102,"&amp;Sheet1!K568</f>
        <v>102,3000</v>
      </c>
    </row>
    <row r="566" spans="1:2" x14ac:dyDescent="0.15">
      <c r="A566">
        <v>7666</v>
      </c>
      <c r="B566" t="str">
        <f>"102,"&amp;Sheet1!K569</f>
        <v>102,3200</v>
      </c>
    </row>
    <row r="567" spans="1:2" x14ac:dyDescent="0.15">
      <c r="A567">
        <v>7667</v>
      </c>
      <c r="B567" t="str">
        <f>"102,"&amp;Sheet1!K570</f>
        <v>102,3400</v>
      </c>
    </row>
    <row r="568" spans="1:2" x14ac:dyDescent="0.15">
      <c r="A568">
        <v>7668</v>
      </c>
      <c r="B568" t="str">
        <f>"102,"&amp;Sheet1!K571</f>
        <v>102,3600</v>
      </c>
    </row>
    <row r="569" spans="1:2" x14ac:dyDescent="0.15">
      <c r="A569">
        <v>7669</v>
      </c>
      <c r="B569" t="str">
        <f>"102,"&amp;Sheet1!K572</f>
        <v>102,3800</v>
      </c>
    </row>
    <row r="570" spans="1:2" x14ac:dyDescent="0.15">
      <c r="A570">
        <v>7670</v>
      </c>
      <c r="B570" t="str">
        <f>"102,"&amp;Sheet1!K573</f>
        <v>102,4000</v>
      </c>
    </row>
    <row r="571" spans="1:2" x14ac:dyDescent="0.15">
      <c r="A571">
        <v>7671</v>
      </c>
      <c r="B571" t="str">
        <f>"102,"&amp;Sheet1!K574</f>
        <v>102,4200</v>
      </c>
    </row>
    <row r="572" spans="1:2" x14ac:dyDescent="0.15">
      <c r="A572">
        <v>7672</v>
      </c>
      <c r="B572" t="str">
        <f>"102,"&amp;Sheet1!K575</f>
        <v>102,4400</v>
      </c>
    </row>
    <row r="573" spans="1:2" x14ac:dyDescent="0.15">
      <c r="A573">
        <v>7673</v>
      </c>
      <c r="B573" t="str">
        <f>"102,"&amp;Sheet1!K576</f>
        <v>102,4600</v>
      </c>
    </row>
    <row r="574" spans="1:2" x14ac:dyDescent="0.15">
      <c r="A574">
        <v>7674</v>
      </c>
      <c r="B574" t="str">
        <f>"102,"&amp;Sheet1!K577</f>
        <v>102,4800</v>
      </c>
    </row>
    <row r="575" spans="1:2" x14ac:dyDescent="0.15">
      <c r="A575">
        <v>7675</v>
      </c>
      <c r="B575" t="str">
        <f>"102,"&amp;Sheet1!K578</f>
        <v>102,5000</v>
      </c>
    </row>
    <row r="576" spans="1:2" x14ac:dyDescent="0.15">
      <c r="A576">
        <v>7676</v>
      </c>
      <c r="B576" t="str">
        <f>"102,"&amp;Sheet1!K579</f>
        <v>102,5200</v>
      </c>
    </row>
    <row r="577" spans="1:2" x14ac:dyDescent="0.15">
      <c r="A577">
        <v>7677</v>
      </c>
      <c r="B577" t="str">
        <f>"102,"&amp;Sheet1!K580</f>
        <v>102,5400</v>
      </c>
    </row>
    <row r="578" spans="1:2" x14ac:dyDescent="0.15">
      <c r="A578">
        <v>7678</v>
      </c>
      <c r="B578" t="str">
        <f>"102,"&amp;Sheet1!K581</f>
        <v>102,5600</v>
      </c>
    </row>
    <row r="579" spans="1:2" x14ac:dyDescent="0.15">
      <c r="A579">
        <v>7679</v>
      </c>
      <c r="B579" t="str">
        <f>"102,"&amp;Sheet1!K582</f>
        <v>102,5800</v>
      </c>
    </row>
    <row r="580" spans="1:2" x14ac:dyDescent="0.15">
      <c r="A580">
        <v>7680</v>
      </c>
      <c r="B580" t="str">
        <f>"102,"&amp;Sheet1!K583</f>
        <v>102,6000</v>
      </c>
    </row>
    <row r="581" spans="1:2" x14ac:dyDescent="0.15">
      <c r="A581">
        <v>7681</v>
      </c>
      <c r="B581" t="str">
        <f>"102,"&amp;Sheet1!K584</f>
        <v>102,6200</v>
      </c>
    </row>
    <row r="582" spans="1:2" x14ac:dyDescent="0.15">
      <c r="A582">
        <v>7682</v>
      </c>
      <c r="B582" t="str">
        <f>"102,"&amp;Sheet1!K585</f>
        <v>102,6400</v>
      </c>
    </row>
    <row r="583" spans="1:2" x14ac:dyDescent="0.15">
      <c r="A583">
        <v>7683</v>
      </c>
      <c r="B583" t="str">
        <f>"102,"&amp;Sheet1!K586</f>
        <v>102,6600</v>
      </c>
    </row>
    <row r="584" spans="1:2" x14ac:dyDescent="0.15">
      <c r="A584">
        <v>7684</v>
      </c>
      <c r="B584" t="str">
        <f>"102,"&amp;Sheet1!K587</f>
        <v>102,6800</v>
      </c>
    </row>
    <row r="585" spans="1:2" x14ac:dyDescent="0.15">
      <c r="A585">
        <v>7685</v>
      </c>
      <c r="B585" t="str">
        <f>"102,"&amp;Sheet1!K588</f>
        <v>102,7000</v>
      </c>
    </row>
    <row r="586" spans="1:2" x14ac:dyDescent="0.15">
      <c r="A586">
        <v>7686</v>
      </c>
      <c r="B586" t="str">
        <f>"102,"&amp;Sheet1!K589</f>
        <v>102,7200</v>
      </c>
    </row>
    <row r="587" spans="1:2" x14ac:dyDescent="0.15">
      <c r="A587">
        <v>7687</v>
      </c>
      <c r="B587" t="str">
        <f>"102,"&amp;Sheet1!K590</f>
        <v>102,7400</v>
      </c>
    </row>
    <row r="588" spans="1:2" x14ac:dyDescent="0.15">
      <c r="A588">
        <v>7688</v>
      </c>
      <c r="B588" t="str">
        <f>"102,"&amp;Sheet1!K591</f>
        <v>102,7600</v>
      </c>
    </row>
    <row r="589" spans="1:2" x14ac:dyDescent="0.15">
      <c r="A589">
        <v>7689</v>
      </c>
      <c r="B589" t="str">
        <f>"102,"&amp;Sheet1!K592</f>
        <v>102,7800</v>
      </c>
    </row>
    <row r="590" spans="1:2" x14ac:dyDescent="0.15">
      <c r="A590">
        <v>7690</v>
      </c>
      <c r="B590" t="str">
        <f>"102,"&amp;Sheet1!K593</f>
        <v>102,8000</v>
      </c>
    </row>
    <row r="591" spans="1:2" x14ac:dyDescent="0.15">
      <c r="A591">
        <v>7691</v>
      </c>
      <c r="B591" t="str">
        <f>"102,"&amp;Sheet1!K594</f>
        <v>102,8200</v>
      </c>
    </row>
    <row r="592" spans="1:2" x14ac:dyDescent="0.15">
      <c r="A592">
        <v>7692</v>
      </c>
      <c r="B592" t="str">
        <f>"102,"&amp;Sheet1!K595</f>
        <v>102,8400</v>
      </c>
    </row>
    <row r="593" spans="1:2" x14ac:dyDescent="0.15">
      <c r="A593">
        <v>7693</v>
      </c>
      <c r="B593" t="str">
        <f>"102,"&amp;Sheet1!K596</f>
        <v>102,8600</v>
      </c>
    </row>
    <row r="594" spans="1:2" x14ac:dyDescent="0.15">
      <c r="A594">
        <v>7694</v>
      </c>
      <c r="B594" t="str">
        <f>"102,"&amp;Sheet1!K597</f>
        <v>102,8800</v>
      </c>
    </row>
    <row r="595" spans="1:2" x14ac:dyDescent="0.15">
      <c r="A595">
        <v>7695</v>
      </c>
      <c r="B595" t="str">
        <f>"102,"&amp;Sheet1!K598</f>
        <v>102,9000</v>
      </c>
    </row>
    <row r="596" spans="1:2" x14ac:dyDescent="0.15">
      <c r="A596">
        <v>7696</v>
      </c>
      <c r="B596" t="str">
        <f>"102,"&amp;Sheet1!K599</f>
        <v>102,9200</v>
      </c>
    </row>
    <row r="597" spans="1:2" x14ac:dyDescent="0.15">
      <c r="A597">
        <v>7697</v>
      </c>
      <c r="B597" t="str">
        <f>"102,"&amp;Sheet1!K600</f>
        <v>102,9400</v>
      </c>
    </row>
    <row r="598" spans="1:2" x14ac:dyDescent="0.15">
      <c r="A598">
        <v>7698</v>
      </c>
      <c r="B598" t="str">
        <f>"102,"&amp;Sheet1!K601</f>
        <v>102,9600</v>
      </c>
    </row>
    <row r="599" spans="1:2" x14ac:dyDescent="0.15">
      <c r="A599">
        <v>7699</v>
      </c>
      <c r="B599" t="str">
        <f>"102,"&amp;Sheet1!K602</f>
        <v>102,9800</v>
      </c>
    </row>
    <row r="600" spans="1:2" x14ac:dyDescent="0.15">
      <c r="A600">
        <v>7700</v>
      </c>
      <c r="B600" t="str">
        <f>"102,"&amp;Sheet1!K603</f>
        <v>102,10000</v>
      </c>
    </row>
    <row r="601" spans="1:2" x14ac:dyDescent="0.15">
      <c r="A601">
        <v>7701</v>
      </c>
      <c r="B601" t="str">
        <f>"26,"&amp;Sheet1!K604&amp;"|"&amp;"27,"&amp;Sheet1!K604</f>
        <v>26,180|27,180</v>
      </c>
    </row>
    <row r="602" spans="1:2" x14ac:dyDescent="0.15">
      <c r="A602">
        <v>7702</v>
      </c>
      <c r="B602" t="str">
        <f>"26,"&amp;Sheet1!K605&amp;"|"&amp;"27,"&amp;Sheet1!K605</f>
        <v>26,360|27,360</v>
      </c>
    </row>
    <row r="603" spans="1:2" x14ac:dyDescent="0.15">
      <c r="A603">
        <v>7703</v>
      </c>
      <c r="B603" t="str">
        <f>"26,"&amp;Sheet1!K606&amp;"|"&amp;"27,"&amp;Sheet1!K606</f>
        <v>26,540|27,540</v>
      </c>
    </row>
    <row r="604" spans="1:2" x14ac:dyDescent="0.15">
      <c r="A604">
        <v>7704</v>
      </c>
      <c r="B604" t="str">
        <f>"26,"&amp;Sheet1!K607&amp;"|"&amp;"27,"&amp;Sheet1!K607</f>
        <v>26,720|27,720</v>
      </c>
    </row>
    <row r="605" spans="1:2" x14ac:dyDescent="0.15">
      <c r="A605">
        <v>7705</v>
      </c>
      <c r="B605" t="str">
        <f>"26,"&amp;Sheet1!K608&amp;"|"&amp;"27,"&amp;Sheet1!K608</f>
        <v>26,900|27,900</v>
      </c>
    </row>
    <row r="606" spans="1:2" x14ac:dyDescent="0.15">
      <c r="A606">
        <v>7706</v>
      </c>
      <c r="B606" t="str">
        <f>"26,"&amp;Sheet1!K609&amp;"|"&amp;"27,"&amp;Sheet1!K609</f>
        <v>26,1080|27,1080</v>
      </c>
    </row>
    <row r="607" spans="1:2" x14ac:dyDescent="0.15">
      <c r="A607">
        <v>7707</v>
      </c>
      <c r="B607" t="str">
        <f>"26,"&amp;Sheet1!K610&amp;"|"&amp;"27,"&amp;Sheet1!K610</f>
        <v>26,1260|27,1260</v>
      </c>
    </row>
    <row r="608" spans="1:2" x14ac:dyDescent="0.15">
      <c r="A608">
        <v>7708</v>
      </c>
      <c r="B608" t="str">
        <f>"26,"&amp;Sheet1!K611&amp;"|"&amp;"27,"&amp;Sheet1!K611</f>
        <v>26,1440|27,1440</v>
      </c>
    </row>
    <row r="609" spans="1:2" x14ac:dyDescent="0.15">
      <c r="A609">
        <v>7709</v>
      </c>
      <c r="B609" t="str">
        <f>"26,"&amp;Sheet1!K612&amp;"|"&amp;"27,"&amp;Sheet1!K612</f>
        <v>26,1620|27,1620</v>
      </c>
    </row>
    <row r="610" spans="1:2" x14ac:dyDescent="0.15">
      <c r="A610">
        <v>7710</v>
      </c>
      <c r="B610" t="str">
        <f>"26,"&amp;Sheet1!K613&amp;"|"&amp;"27,"&amp;Sheet1!K613</f>
        <v>26,1800|27,1800</v>
      </c>
    </row>
    <row r="611" spans="1:2" x14ac:dyDescent="0.15">
      <c r="A611">
        <v>7711</v>
      </c>
      <c r="B611" t="str">
        <f>"26,"&amp;Sheet1!K614&amp;"|"&amp;"27,"&amp;Sheet1!K614</f>
        <v>26,1980|27,1980</v>
      </c>
    </row>
    <row r="612" spans="1:2" x14ac:dyDescent="0.15">
      <c r="A612">
        <v>7712</v>
      </c>
      <c r="B612" t="str">
        <f>"26,"&amp;Sheet1!K615&amp;"|"&amp;"27,"&amp;Sheet1!K615</f>
        <v>26,2160|27,2160</v>
      </c>
    </row>
    <row r="613" spans="1:2" x14ac:dyDescent="0.15">
      <c r="A613">
        <v>7713</v>
      </c>
      <c r="B613" t="str">
        <f>"26,"&amp;Sheet1!K616&amp;"|"&amp;"27,"&amp;Sheet1!K616</f>
        <v>26,2340|27,2340</v>
      </c>
    </row>
    <row r="614" spans="1:2" x14ac:dyDescent="0.15">
      <c r="A614">
        <v>7714</v>
      </c>
      <c r="B614" t="str">
        <f>"26,"&amp;Sheet1!K617&amp;"|"&amp;"27,"&amp;Sheet1!K617</f>
        <v>26,2520|27,2520</v>
      </c>
    </row>
    <row r="615" spans="1:2" x14ac:dyDescent="0.15">
      <c r="A615">
        <v>7715</v>
      </c>
      <c r="B615" t="str">
        <f>"26,"&amp;Sheet1!K618&amp;"|"&amp;"27,"&amp;Sheet1!K618</f>
        <v>26,2700|27,2700</v>
      </c>
    </row>
    <row r="616" spans="1:2" x14ac:dyDescent="0.15">
      <c r="A616">
        <v>7716</v>
      </c>
      <c r="B616" t="str">
        <f>"26,"&amp;Sheet1!K619&amp;"|"&amp;"27,"&amp;Sheet1!K619</f>
        <v>26,2880|27,2880</v>
      </c>
    </row>
    <row r="617" spans="1:2" x14ac:dyDescent="0.15">
      <c r="A617">
        <v>7717</v>
      </c>
      <c r="B617" t="str">
        <f>"26,"&amp;Sheet1!K620&amp;"|"&amp;"27,"&amp;Sheet1!K620</f>
        <v>26,3060|27,3060</v>
      </c>
    </row>
    <row r="618" spans="1:2" x14ac:dyDescent="0.15">
      <c r="A618">
        <v>7718</v>
      </c>
      <c r="B618" t="str">
        <f>"26,"&amp;Sheet1!K621&amp;"|"&amp;"27,"&amp;Sheet1!K621</f>
        <v>26,3240|27,3240</v>
      </c>
    </row>
    <row r="619" spans="1:2" x14ac:dyDescent="0.15">
      <c r="A619">
        <v>7719</v>
      </c>
      <c r="B619" t="str">
        <f>"26,"&amp;Sheet1!K622&amp;"|"&amp;"27,"&amp;Sheet1!K622</f>
        <v>26,3420|27,3420</v>
      </c>
    </row>
    <row r="620" spans="1:2" x14ac:dyDescent="0.15">
      <c r="A620">
        <v>7720</v>
      </c>
      <c r="B620" t="str">
        <f>"26,"&amp;Sheet1!K623&amp;"|"&amp;"27,"&amp;Sheet1!K623</f>
        <v>26,3600|27,3600</v>
      </c>
    </row>
    <row r="621" spans="1:2" x14ac:dyDescent="0.15">
      <c r="A621">
        <v>7721</v>
      </c>
      <c r="B621" t="str">
        <f>"26,"&amp;Sheet1!K624&amp;"|"&amp;"27,"&amp;Sheet1!K624</f>
        <v>26,3780|27,3780</v>
      </c>
    </row>
    <row r="622" spans="1:2" x14ac:dyDescent="0.15">
      <c r="A622">
        <v>7722</v>
      </c>
      <c r="B622" t="str">
        <f>"26,"&amp;Sheet1!K625&amp;"|"&amp;"27,"&amp;Sheet1!K625</f>
        <v>26,3960|27,3960</v>
      </c>
    </row>
    <row r="623" spans="1:2" x14ac:dyDescent="0.15">
      <c r="A623">
        <v>7723</v>
      </c>
      <c r="B623" t="str">
        <f>"26,"&amp;Sheet1!K626&amp;"|"&amp;"27,"&amp;Sheet1!K626</f>
        <v>26,4140|27,4140</v>
      </c>
    </row>
    <row r="624" spans="1:2" x14ac:dyDescent="0.15">
      <c r="A624">
        <v>7724</v>
      </c>
      <c r="B624" t="str">
        <f>"26,"&amp;Sheet1!K627&amp;"|"&amp;"27,"&amp;Sheet1!K627</f>
        <v>26,4320|27,4320</v>
      </c>
    </row>
    <row r="625" spans="1:2" x14ac:dyDescent="0.15">
      <c r="A625">
        <v>7725</v>
      </c>
      <c r="B625" t="str">
        <f>"26,"&amp;Sheet1!K628&amp;"|"&amp;"27,"&amp;Sheet1!K628</f>
        <v>26,4500|27,4500</v>
      </c>
    </row>
    <row r="626" spans="1:2" x14ac:dyDescent="0.15">
      <c r="A626">
        <v>7726</v>
      </c>
      <c r="B626" t="str">
        <f>"26,"&amp;Sheet1!K629&amp;"|"&amp;"27,"&amp;Sheet1!K629</f>
        <v>26,4680|27,4680</v>
      </c>
    </row>
    <row r="627" spans="1:2" x14ac:dyDescent="0.15">
      <c r="A627">
        <v>7727</v>
      </c>
      <c r="B627" t="str">
        <f>"26,"&amp;Sheet1!K630&amp;"|"&amp;"27,"&amp;Sheet1!K630</f>
        <v>26,4860|27,4860</v>
      </c>
    </row>
    <row r="628" spans="1:2" x14ac:dyDescent="0.15">
      <c r="A628">
        <v>7728</v>
      </c>
      <c r="B628" t="str">
        <f>"26,"&amp;Sheet1!K631&amp;"|"&amp;"27,"&amp;Sheet1!K631</f>
        <v>26,5040|27,5040</v>
      </c>
    </row>
    <row r="629" spans="1:2" x14ac:dyDescent="0.15">
      <c r="A629">
        <v>7729</v>
      </c>
      <c r="B629" t="str">
        <f>"26,"&amp;Sheet1!K632&amp;"|"&amp;"27,"&amp;Sheet1!K632</f>
        <v>26,5220|27,5220</v>
      </c>
    </row>
    <row r="630" spans="1:2" x14ac:dyDescent="0.15">
      <c r="A630">
        <v>7730</v>
      </c>
      <c r="B630" t="str">
        <f>"26,"&amp;Sheet1!K633&amp;"|"&amp;"27,"&amp;Sheet1!K633</f>
        <v>26,5400|27,5400</v>
      </c>
    </row>
    <row r="631" spans="1:2" x14ac:dyDescent="0.15">
      <c r="A631">
        <v>7731</v>
      </c>
      <c r="B631" t="str">
        <f>"26,"&amp;Sheet1!K634&amp;"|"&amp;"27,"&amp;Sheet1!K634</f>
        <v>26,5580|27,5580</v>
      </c>
    </row>
    <row r="632" spans="1:2" x14ac:dyDescent="0.15">
      <c r="A632">
        <v>7732</v>
      </c>
      <c r="B632" t="str">
        <f>"26,"&amp;Sheet1!K635&amp;"|"&amp;"27,"&amp;Sheet1!K635</f>
        <v>26,5760|27,5760</v>
      </c>
    </row>
    <row r="633" spans="1:2" x14ac:dyDescent="0.15">
      <c r="A633">
        <v>7733</v>
      </c>
      <c r="B633" t="str">
        <f>"26,"&amp;Sheet1!K636&amp;"|"&amp;"27,"&amp;Sheet1!K636</f>
        <v>26,5940|27,5940</v>
      </c>
    </row>
    <row r="634" spans="1:2" x14ac:dyDescent="0.15">
      <c r="A634">
        <v>7734</v>
      </c>
      <c r="B634" t="str">
        <f>"26,"&amp;Sheet1!K637&amp;"|"&amp;"27,"&amp;Sheet1!K637</f>
        <v>26,6120|27,6120</v>
      </c>
    </row>
    <row r="635" spans="1:2" x14ac:dyDescent="0.15">
      <c r="A635">
        <v>7735</v>
      </c>
      <c r="B635" t="str">
        <f>"26,"&amp;Sheet1!K638&amp;"|"&amp;"27,"&amp;Sheet1!K638</f>
        <v>26,6300|27,6300</v>
      </c>
    </row>
    <row r="636" spans="1:2" x14ac:dyDescent="0.15">
      <c r="A636">
        <v>7736</v>
      </c>
      <c r="B636" t="str">
        <f>"26,"&amp;Sheet1!K639&amp;"|"&amp;"27,"&amp;Sheet1!K639</f>
        <v>26,6480|27,6480</v>
      </c>
    </row>
    <row r="637" spans="1:2" x14ac:dyDescent="0.15">
      <c r="A637">
        <v>7737</v>
      </c>
      <c r="B637" t="str">
        <f>"26,"&amp;Sheet1!K640&amp;"|"&amp;"27,"&amp;Sheet1!K640</f>
        <v>26,6660|27,6660</v>
      </c>
    </row>
    <row r="638" spans="1:2" x14ac:dyDescent="0.15">
      <c r="A638">
        <v>7738</v>
      </c>
      <c r="B638" t="str">
        <f>"26,"&amp;Sheet1!K641&amp;"|"&amp;"27,"&amp;Sheet1!K641</f>
        <v>26,6840|27,6840</v>
      </c>
    </row>
    <row r="639" spans="1:2" x14ac:dyDescent="0.15">
      <c r="A639">
        <v>7739</v>
      </c>
      <c r="B639" t="str">
        <f>"26,"&amp;Sheet1!K642&amp;"|"&amp;"27,"&amp;Sheet1!K642</f>
        <v>26,7020|27,7020</v>
      </c>
    </row>
    <row r="640" spans="1:2" x14ac:dyDescent="0.15">
      <c r="A640">
        <v>7740</v>
      </c>
      <c r="B640" t="str">
        <f>"26,"&amp;Sheet1!K643&amp;"|"&amp;"27,"&amp;Sheet1!K643</f>
        <v>26,7200|27,7200</v>
      </c>
    </row>
    <row r="641" spans="1:2" x14ac:dyDescent="0.15">
      <c r="A641">
        <v>7741</v>
      </c>
      <c r="B641" t="str">
        <f>"26,"&amp;Sheet1!K644&amp;"|"&amp;"27,"&amp;Sheet1!K644</f>
        <v>26,7380|27,7380</v>
      </c>
    </row>
    <row r="642" spans="1:2" x14ac:dyDescent="0.15">
      <c r="A642">
        <v>7742</v>
      </c>
      <c r="B642" t="str">
        <f>"26,"&amp;Sheet1!K645&amp;"|"&amp;"27,"&amp;Sheet1!K645</f>
        <v>26,7560|27,7560</v>
      </c>
    </row>
    <row r="643" spans="1:2" x14ac:dyDescent="0.15">
      <c r="A643">
        <v>7743</v>
      </c>
      <c r="B643" t="str">
        <f>"26,"&amp;Sheet1!K646&amp;"|"&amp;"27,"&amp;Sheet1!K646</f>
        <v>26,7740|27,7740</v>
      </c>
    </row>
    <row r="644" spans="1:2" x14ac:dyDescent="0.15">
      <c r="A644">
        <v>7744</v>
      </c>
      <c r="B644" t="str">
        <f>"26,"&amp;Sheet1!K647&amp;"|"&amp;"27,"&amp;Sheet1!K647</f>
        <v>26,7920|27,7920</v>
      </c>
    </row>
    <row r="645" spans="1:2" x14ac:dyDescent="0.15">
      <c r="A645">
        <v>7745</v>
      </c>
      <c r="B645" t="str">
        <f>"26,"&amp;Sheet1!K648&amp;"|"&amp;"27,"&amp;Sheet1!K648</f>
        <v>26,8100|27,8100</v>
      </c>
    </row>
    <row r="646" spans="1:2" x14ac:dyDescent="0.15">
      <c r="A646">
        <v>7746</v>
      </c>
      <c r="B646" t="str">
        <f>"26,"&amp;Sheet1!K649&amp;"|"&amp;"27,"&amp;Sheet1!K649</f>
        <v>26,8280|27,8280</v>
      </c>
    </row>
    <row r="647" spans="1:2" x14ac:dyDescent="0.15">
      <c r="A647">
        <v>7747</v>
      </c>
      <c r="B647" t="str">
        <f>"26,"&amp;Sheet1!K650&amp;"|"&amp;"27,"&amp;Sheet1!K650</f>
        <v>26,8460|27,8460</v>
      </c>
    </row>
    <row r="648" spans="1:2" x14ac:dyDescent="0.15">
      <c r="A648">
        <v>7748</v>
      </c>
      <c r="B648" t="str">
        <f>"26,"&amp;Sheet1!K651&amp;"|"&amp;"27,"&amp;Sheet1!K651</f>
        <v>26,8640|27,8640</v>
      </c>
    </row>
    <row r="649" spans="1:2" x14ac:dyDescent="0.15">
      <c r="A649">
        <v>7749</v>
      </c>
      <c r="B649" t="str">
        <f>"26,"&amp;Sheet1!K652&amp;"|"&amp;"27,"&amp;Sheet1!K652</f>
        <v>26,8820|27,8820</v>
      </c>
    </row>
    <row r="650" spans="1:2" x14ac:dyDescent="0.15">
      <c r="A650">
        <v>7750</v>
      </c>
      <c r="B650" t="str">
        <f>"26,"&amp;Sheet1!K653&amp;"|"&amp;"27,"&amp;Sheet1!K653</f>
        <v>26,9000|27,9000</v>
      </c>
    </row>
    <row r="651" spans="1:2" x14ac:dyDescent="0.15">
      <c r="A651">
        <v>7751</v>
      </c>
      <c r="B651" t="str">
        <f>"24,"&amp;Sheet1!K654</f>
        <v>24,180</v>
      </c>
    </row>
    <row r="652" spans="1:2" x14ac:dyDescent="0.15">
      <c r="A652">
        <v>7752</v>
      </c>
      <c r="B652" t="str">
        <f>"24,"&amp;Sheet1!K655</f>
        <v>24,360</v>
      </c>
    </row>
    <row r="653" spans="1:2" x14ac:dyDescent="0.15">
      <c r="A653">
        <v>7753</v>
      </c>
      <c r="B653" t="str">
        <f>"24,"&amp;Sheet1!K656</f>
        <v>24,540</v>
      </c>
    </row>
    <row r="654" spans="1:2" x14ac:dyDescent="0.15">
      <c r="A654">
        <v>7754</v>
      </c>
      <c r="B654" t="str">
        <f>"24,"&amp;Sheet1!K657</f>
        <v>24,720</v>
      </c>
    </row>
    <row r="655" spans="1:2" x14ac:dyDescent="0.15">
      <c r="A655">
        <v>7755</v>
      </c>
      <c r="B655" t="str">
        <f>"24,"&amp;Sheet1!K658</f>
        <v>24,900</v>
      </c>
    </row>
    <row r="656" spans="1:2" x14ac:dyDescent="0.15">
      <c r="A656">
        <v>7756</v>
      </c>
      <c r="B656" t="str">
        <f>"24,"&amp;Sheet1!K659</f>
        <v>24,1080</v>
      </c>
    </row>
    <row r="657" spans="1:2" x14ac:dyDescent="0.15">
      <c r="A657">
        <v>7757</v>
      </c>
      <c r="B657" t="str">
        <f>"24,"&amp;Sheet1!K660</f>
        <v>24,1260</v>
      </c>
    </row>
    <row r="658" spans="1:2" x14ac:dyDescent="0.15">
      <c r="A658">
        <v>7758</v>
      </c>
      <c r="B658" t="str">
        <f>"24,"&amp;Sheet1!K661</f>
        <v>24,1440</v>
      </c>
    </row>
    <row r="659" spans="1:2" x14ac:dyDescent="0.15">
      <c r="A659">
        <v>7759</v>
      </c>
      <c r="B659" t="str">
        <f>"24,"&amp;Sheet1!K662</f>
        <v>24,1620</v>
      </c>
    </row>
    <row r="660" spans="1:2" x14ac:dyDescent="0.15">
      <c r="A660">
        <v>7760</v>
      </c>
      <c r="B660" t="str">
        <f>"24,"&amp;Sheet1!K663</f>
        <v>24,1800</v>
      </c>
    </row>
    <row r="661" spans="1:2" x14ac:dyDescent="0.15">
      <c r="A661">
        <v>7761</v>
      </c>
      <c r="B661" t="str">
        <f>"24,"&amp;Sheet1!K664</f>
        <v>24,1980</v>
      </c>
    </row>
    <row r="662" spans="1:2" x14ac:dyDescent="0.15">
      <c r="A662">
        <v>7762</v>
      </c>
      <c r="B662" t="str">
        <f>"24,"&amp;Sheet1!K665</f>
        <v>24,2160</v>
      </c>
    </row>
    <row r="663" spans="1:2" x14ac:dyDescent="0.15">
      <c r="A663">
        <v>7763</v>
      </c>
      <c r="B663" t="str">
        <f>"24,"&amp;Sheet1!K666</f>
        <v>24,2340</v>
      </c>
    </row>
    <row r="664" spans="1:2" x14ac:dyDescent="0.15">
      <c r="A664">
        <v>7764</v>
      </c>
      <c r="B664" t="str">
        <f>"24,"&amp;Sheet1!K667</f>
        <v>24,2520</v>
      </c>
    </row>
    <row r="665" spans="1:2" x14ac:dyDescent="0.15">
      <c r="A665">
        <v>7765</v>
      </c>
      <c r="B665" t="str">
        <f>"24,"&amp;Sheet1!K668</f>
        <v>24,2700</v>
      </c>
    </row>
    <row r="666" spans="1:2" x14ac:dyDescent="0.15">
      <c r="A666">
        <v>7766</v>
      </c>
      <c r="B666" t="str">
        <f>"24,"&amp;Sheet1!K669</f>
        <v>24,2880</v>
      </c>
    </row>
    <row r="667" spans="1:2" x14ac:dyDescent="0.15">
      <c r="A667">
        <v>7767</v>
      </c>
      <c r="B667" t="str">
        <f>"24,"&amp;Sheet1!K670</f>
        <v>24,3060</v>
      </c>
    </row>
    <row r="668" spans="1:2" x14ac:dyDescent="0.15">
      <c r="A668">
        <v>7768</v>
      </c>
      <c r="B668" t="str">
        <f>"24,"&amp;Sheet1!K671</f>
        <v>24,3240</v>
      </c>
    </row>
    <row r="669" spans="1:2" x14ac:dyDescent="0.15">
      <c r="A669">
        <v>7769</v>
      </c>
      <c r="B669" t="str">
        <f>"24,"&amp;Sheet1!K672</f>
        <v>24,3420</v>
      </c>
    </row>
    <row r="670" spans="1:2" x14ac:dyDescent="0.15">
      <c r="A670">
        <v>7770</v>
      </c>
      <c r="B670" t="str">
        <f>"24,"&amp;Sheet1!K673</f>
        <v>24,3600</v>
      </c>
    </row>
    <row r="671" spans="1:2" x14ac:dyDescent="0.15">
      <c r="A671">
        <v>7771</v>
      </c>
      <c r="B671" t="str">
        <f>"24,"&amp;Sheet1!K674</f>
        <v>24,3780</v>
      </c>
    </row>
    <row r="672" spans="1:2" x14ac:dyDescent="0.15">
      <c r="A672">
        <v>7772</v>
      </c>
      <c r="B672" t="str">
        <f>"24,"&amp;Sheet1!K675</f>
        <v>24,3960</v>
      </c>
    </row>
    <row r="673" spans="1:2" x14ac:dyDescent="0.15">
      <c r="A673">
        <v>7773</v>
      </c>
      <c r="B673" t="str">
        <f>"24,"&amp;Sheet1!K676</f>
        <v>24,4140</v>
      </c>
    </row>
    <row r="674" spans="1:2" x14ac:dyDescent="0.15">
      <c r="A674">
        <v>7774</v>
      </c>
      <c r="B674" t="str">
        <f>"24,"&amp;Sheet1!K677</f>
        <v>24,4320</v>
      </c>
    </row>
    <row r="675" spans="1:2" x14ac:dyDescent="0.15">
      <c r="A675">
        <v>7775</v>
      </c>
      <c r="B675" t="str">
        <f>"24,"&amp;Sheet1!K678</f>
        <v>24,4500</v>
      </c>
    </row>
    <row r="676" spans="1:2" x14ac:dyDescent="0.15">
      <c r="A676">
        <v>7776</v>
      </c>
      <c r="B676" t="str">
        <f>"24,"&amp;Sheet1!K679</f>
        <v>24,4680</v>
      </c>
    </row>
    <row r="677" spans="1:2" x14ac:dyDescent="0.15">
      <c r="A677">
        <v>7777</v>
      </c>
      <c r="B677" t="str">
        <f>"24,"&amp;Sheet1!K680</f>
        <v>24,4860</v>
      </c>
    </row>
    <row r="678" spans="1:2" x14ac:dyDescent="0.15">
      <c r="A678">
        <v>7778</v>
      </c>
      <c r="B678" t="str">
        <f>"24,"&amp;Sheet1!K681</f>
        <v>24,5040</v>
      </c>
    </row>
    <row r="679" spans="1:2" x14ac:dyDescent="0.15">
      <c r="A679">
        <v>7779</v>
      </c>
      <c r="B679" t="str">
        <f>"24,"&amp;Sheet1!K682</f>
        <v>24,5220</v>
      </c>
    </row>
    <row r="680" spans="1:2" x14ac:dyDescent="0.15">
      <c r="A680">
        <v>7780</v>
      </c>
      <c r="B680" t="str">
        <f>"24,"&amp;Sheet1!K683</f>
        <v>24,5400</v>
      </c>
    </row>
    <row r="681" spans="1:2" x14ac:dyDescent="0.15">
      <c r="A681">
        <v>7781</v>
      </c>
      <c r="B681" t="str">
        <f>"24,"&amp;Sheet1!K684</f>
        <v>24,5580</v>
      </c>
    </row>
    <row r="682" spans="1:2" x14ac:dyDescent="0.15">
      <c r="A682">
        <v>7782</v>
      </c>
      <c r="B682" t="str">
        <f>"24,"&amp;Sheet1!K685</f>
        <v>24,5760</v>
      </c>
    </row>
    <row r="683" spans="1:2" x14ac:dyDescent="0.15">
      <c r="A683">
        <v>7783</v>
      </c>
      <c r="B683" t="str">
        <f>"24,"&amp;Sheet1!K686</f>
        <v>24,5940</v>
      </c>
    </row>
    <row r="684" spans="1:2" x14ac:dyDescent="0.15">
      <c r="A684">
        <v>7784</v>
      </c>
      <c r="B684" t="str">
        <f>"24,"&amp;Sheet1!K687</f>
        <v>24,6120</v>
      </c>
    </row>
    <row r="685" spans="1:2" x14ac:dyDescent="0.15">
      <c r="A685">
        <v>7785</v>
      </c>
      <c r="B685" t="str">
        <f>"24,"&amp;Sheet1!K688</f>
        <v>24,6300</v>
      </c>
    </row>
    <row r="686" spans="1:2" x14ac:dyDescent="0.15">
      <c r="A686">
        <v>7786</v>
      </c>
      <c r="B686" t="str">
        <f>"24,"&amp;Sheet1!K689</f>
        <v>24,6480</v>
      </c>
    </row>
    <row r="687" spans="1:2" x14ac:dyDescent="0.15">
      <c r="A687">
        <v>7787</v>
      </c>
      <c r="B687" t="str">
        <f>"24,"&amp;Sheet1!K690</f>
        <v>24,6660</v>
      </c>
    </row>
    <row r="688" spans="1:2" x14ac:dyDescent="0.15">
      <c r="A688">
        <v>7788</v>
      </c>
      <c r="B688" t="str">
        <f>"24,"&amp;Sheet1!K691</f>
        <v>24,6840</v>
      </c>
    </row>
    <row r="689" spans="1:2" x14ac:dyDescent="0.15">
      <c r="A689">
        <v>7789</v>
      </c>
      <c r="B689" t="str">
        <f>"24,"&amp;Sheet1!K692</f>
        <v>24,7020</v>
      </c>
    </row>
    <row r="690" spans="1:2" x14ac:dyDescent="0.15">
      <c r="A690">
        <v>7790</v>
      </c>
      <c r="B690" t="str">
        <f>"24,"&amp;Sheet1!K693</f>
        <v>24,7200</v>
      </c>
    </row>
    <row r="691" spans="1:2" x14ac:dyDescent="0.15">
      <c r="A691">
        <v>7791</v>
      </c>
      <c r="B691" t="str">
        <f>"24,"&amp;Sheet1!K694</f>
        <v>24,7380</v>
      </c>
    </row>
    <row r="692" spans="1:2" x14ac:dyDescent="0.15">
      <c r="A692">
        <v>7792</v>
      </c>
      <c r="B692" t="str">
        <f>"24,"&amp;Sheet1!K695</f>
        <v>24,7560</v>
      </c>
    </row>
    <row r="693" spans="1:2" x14ac:dyDescent="0.15">
      <c r="A693">
        <v>7793</v>
      </c>
      <c r="B693" t="str">
        <f>"24,"&amp;Sheet1!K696</f>
        <v>24,7740</v>
      </c>
    </row>
    <row r="694" spans="1:2" x14ac:dyDescent="0.15">
      <c r="A694">
        <v>7794</v>
      </c>
      <c r="B694" t="str">
        <f>"24,"&amp;Sheet1!K697</f>
        <v>24,7920</v>
      </c>
    </row>
    <row r="695" spans="1:2" x14ac:dyDescent="0.15">
      <c r="A695">
        <v>7795</v>
      </c>
      <c r="B695" t="str">
        <f>"24,"&amp;Sheet1!K698</f>
        <v>24,8100</v>
      </c>
    </row>
    <row r="696" spans="1:2" x14ac:dyDescent="0.15">
      <c r="A696">
        <v>7796</v>
      </c>
      <c r="B696" t="str">
        <f>"24,"&amp;Sheet1!K699</f>
        <v>24,8280</v>
      </c>
    </row>
    <row r="697" spans="1:2" x14ac:dyDescent="0.15">
      <c r="A697">
        <v>7797</v>
      </c>
      <c r="B697" t="str">
        <f>"24,"&amp;Sheet1!K700</f>
        <v>24,8460</v>
      </c>
    </row>
    <row r="698" spans="1:2" x14ac:dyDescent="0.15">
      <c r="A698">
        <v>7798</v>
      </c>
      <c r="B698" t="str">
        <f>"24,"&amp;Sheet1!K701</f>
        <v>24,8640</v>
      </c>
    </row>
    <row r="699" spans="1:2" x14ac:dyDescent="0.15">
      <c r="A699">
        <v>7799</v>
      </c>
      <c r="B699" t="str">
        <f>"24,"&amp;Sheet1!K702</f>
        <v>24,8820</v>
      </c>
    </row>
    <row r="700" spans="1:2" x14ac:dyDescent="0.15">
      <c r="A700">
        <v>7800</v>
      </c>
      <c r="B700" t="str">
        <f>"24,"&amp;Sheet1!K703</f>
        <v>24,9000</v>
      </c>
    </row>
    <row r="701" spans="1:2" x14ac:dyDescent="0.15">
      <c r="A701">
        <v>7801</v>
      </c>
      <c r="B701" t="str">
        <f>"101,"&amp;Sheet1!K704</f>
        <v>101,180</v>
      </c>
    </row>
    <row r="702" spans="1:2" x14ac:dyDescent="0.15">
      <c r="A702">
        <v>7802</v>
      </c>
      <c r="B702" t="str">
        <f>"101,"&amp;Sheet1!K705</f>
        <v>101,360</v>
      </c>
    </row>
    <row r="703" spans="1:2" x14ac:dyDescent="0.15">
      <c r="A703">
        <v>7803</v>
      </c>
      <c r="B703" t="str">
        <f>"101,"&amp;Sheet1!K706</f>
        <v>101,540</v>
      </c>
    </row>
    <row r="704" spans="1:2" x14ac:dyDescent="0.15">
      <c r="A704">
        <v>7804</v>
      </c>
      <c r="B704" t="str">
        <f>"101,"&amp;Sheet1!K707</f>
        <v>101,720</v>
      </c>
    </row>
    <row r="705" spans="1:2" x14ac:dyDescent="0.15">
      <c r="A705">
        <v>7805</v>
      </c>
      <c r="B705" t="str">
        <f>"101,"&amp;Sheet1!K708</f>
        <v>101,900</v>
      </c>
    </row>
    <row r="706" spans="1:2" x14ac:dyDescent="0.15">
      <c r="A706">
        <v>7806</v>
      </c>
      <c r="B706" t="str">
        <f>"101,"&amp;Sheet1!K709</f>
        <v>101,1080</v>
      </c>
    </row>
    <row r="707" spans="1:2" x14ac:dyDescent="0.15">
      <c r="A707">
        <v>7807</v>
      </c>
      <c r="B707" t="str">
        <f>"101,"&amp;Sheet1!K710</f>
        <v>101,1260</v>
      </c>
    </row>
    <row r="708" spans="1:2" x14ac:dyDescent="0.15">
      <c r="A708">
        <v>7808</v>
      </c>
      <c r="B708" t="str">
        <f>"101,"&amp;Sheet1!K711</f>
        <v>101,1440</v>
      </c>
    </row>
    <row r="709" spans="1:2" x14ac:dyDescent="0.15">
      <c r="A709">
        <v>7809</v>
      </c>
      <c r="B709" t="str">
        <f>"101,"&amp;Sheet1!K712</f>
        <v>101,1620</v>
      </c>
    </row>
    <row r="710" spans="1:2" x14ac:dyDescent="0.15">
      <c r="A710">
        <v>7810</v>
      </c>
      <c r="B710" t="str">
        <f>"101,"&amp;Sheet1!K713</f>
        <v>101,1800</v>
      </c>
    </row>
    <row r="711" spans="1:2" x14ac:dyDescent="0.15">
      <c r="A711">
        <v>7811</v>
      </c>
      <c r="B711" t="str">
        <f>"101,"&amp;Sheet1!K714</f>
        <v>101,1980</v>
      </c>
    </row>
    <row r="712" spans="1:2" x14ac:dyDescent="0.15">
      <c r="A712">
        <v>7812</v>
      </c>
      <c r="B712" t="str">
        <f>"101,"&amp;Sheet1!K715</f>
        <v>101,2160</v>
      </c>
    </row>
    <row r="713" spans="1:2" x14ac:dyDescent="0.15">
      <c r="A713">
        <v>7813</v>
      </c>
      <c r="B713" t="str">
        <f>"101,"&amp;Sheet1!K716</f>
        <v>101,2340</v>
      </c>
    </row>
    <row r="714" spans="1:2" x14ac:dyDescent="0.15">
      <c r="A714">
        <v>7814</v>
      </c>
      <c r="B714" t="str">
        <f>"101,"&amp;Sheet1!K717</f>
        <v>101,2520</v>
      </c>
    </row>
    <row r="715" spans="1:2" x14ac:dyDescent="0.15">
      <c r="A715">
        <v>7815</v>
      </c>
      <c r="B715" t="str">
        <f>"101,"&amp;Sheet1!K718</f>
        <v>101,2700</v>
      </c>
    </row>
    <row r="716" spans="1:2" x14ac:dyDescent="0.15">
      <c r="A716">
        <v>7816</v>
      </c>
      <c r="B716" t="str">
        <f>"101,"&amp;Sheet1!K719</f>
        <v>101,2880</v>
      </c>
    </row>
    <row r="717" spans="1:2" x14ac:dyDescent="0.15">
      <c r="A717">
        <v>7817</v>
      </c>
      <c r="B717" t="str">
        <f>"101,"&amp;Sheet1!K720</f>
        <v>101,3060</v>
      </c>
    </row>
    <row r="718" spans="1:2" x14ac:dyDescent="0.15">
      <c r="A718">
        <v>7818</v>
      </c>
      <c r="B718" t="str">
        <f>"101,"&amp;Sheet1!K721</f>
        <v>101,3240</v>
      </c>
    </row>
    <row r="719" spans="1:2" x14ac:dyDescent="0.15">
      <c r="A719">
        <v>7819</v>
      </c>
      <c r="B719" t="str">
        <f>"101,"&amp;Sheet1!K722</f>
        <v>101,3420</v>
      </c>
    </row>
    <row r="720" spans="1:2" x14ac:dyDescent="0.15">
      <c r="A720">
        <v>7820</v>
      </c>
      <c r="B720" t="str">
        <f>"101,"&amp;Sheet1!K723</f>
        <v>101,3600</v>
      </c>
    </row>
    <row r="721" spans="1:2" x14ac:dyDescent="0.15">
      <c r="A721">
        <v>7821</v>
      </c>
      <c r="B721" t="str">
        <f>"101,"&amp;Sheet1!K724</f>
        <v>101,3780</v>
      </c>
    </row>
    <row r="722" spans="1:2" x14ac:dyDescent="0.15">
      <c r="A722">
        <v>7822</v>
      </c>
      <c r="B722" t="str">
        <f>"101,"&amp;Sheet1!K725</f>
        <v>101,3960</v>
      </c>
    </row>
    <row r="723" spans="1:2" x14ac:dyDescent="0.15">
      <c r="A723">
        <v>7823</v>
      </c>
      <c r="B723" t="str">
        <f>"101,"&amp;Sheet1!K726</f>
        <v>101,4140</v>
      </c>
    </row>
    <row r="724" spans="1:2" x14ac:dyDescent="0.15">
      <c r="A724">
        <v>7824</v>
      </c>
      <c r="B724" t="str">
        <f>"101,"&amp;Sheet1!K727</f>
        <v>101,4320</v>
      </c>
    </row>
    <row r="725" spans="1:2" x14ac:dyDescent="0.15">
      <c r="A725">
        <v>7825</v>
      </c>
      <c r="B725" t="str">
        <f>"101,"&amp;Sheet1!K728</f>
        <v>101,4500</v>
      </c>
    </row>
    <row r="726" spans="1:2" x14ac:dyDescent="0.15">
      <c r="A726">
        <v>7826</v>
      </c>
      <c r="B726" t="str">
        <f>"101,"&amp;Sheet1!K729</f>
        <v>101,4680</v>
      </c>
    </row>
    <row r="727" spans="1:2" x14ac:dyDescent="0.15">
      <c r="A727">
        <v>7827</v>
      </c>
      <c r="B727" t="str">
        <f>"101,"&amp;Sheet1!K730</f>
        <v>101,4860</v>
      </c>
    </row>
    <row r="728" spans="1:2" x14ac:dyDescent="0.15">
      <c r="A728">
        <v>7828</v>
      </c>
      <c r="B728" t="str">
        <f>"101,"&amp;Sheet1!K731</f>
        <v>101,5040</v>
      </c>
    </row>
    <row r="729" spans="1:2" x14ac:dyDescent="0.15">
      <c r="A729">
        <v>7829</v>
      </c>
      <c r="B729" t="str">
        <f>"101,"&amp;Sheet1!K732</f>
        <v>101,5220</v>
      </c>
    </row>
    <row r="730" spans="1:2" x14ac:dyDescent="0.15">
      <c r="A730">
        <v>7830</v>
      </c>
      <c r="B730" t="str">
        <f>"101,"&amp;Sheet1!K733</f>
        <v>101,5400</v>
      </c>
    </row>
    <row r="731" spans="1:2" x14ac:dyDescent="0.15">
      <c r="A731">
        <v>7831</v>
      </c>
      <c r="B731" t="str">
        <f>"101,"&amp;Sheet1!K734</f>
        <v>101,5580</v>
      </c>
    </row>
    <row r="732" spans="1:2" x14ac:dyDescent="0.15">
      <c r="A732">
        <v>7832</v>
      </c>
      <c r="B732" t="str">
        <f>"101,"&amp;Sheet1!K735</f>
        <v>101,5760</v>
      </c>
    </row>
    <row r="733" spans="1:2" x14ac:dyDescent="0.15">
      <c r="A733">
        <v>7833</v>
      </c>
      <c r="B733" t="str">
        <f>"101,"&amp;Sheet1!K736</f>
        <v>101,5940</v>
      </c>
    </row>
    <row r="734" spans="1:2" x14ac:dyDescent="0.15">
      <c r="A734">
        <v>7834</v>
      </c>
      <c r="B734" t="str">
        <f>"101,"&amp;Sheet1!K737</f>
        <v>101,6120</v>
      </c>
    </row>
    <row r="735" spans="1:2" x14ac:dyDescent="0.15">
      <c r="A735">
        <v>7835</v>
      </c>
      <c r="B735" t="str">
        <f>"101,"&amp;Sheet1!K738</f>
        <v>101,6300</v>
      </c>
    </row>
    <row r="736" spans="1:2" x14ac:dyDescent="0.15">
      <c r="A736">
        <v>7836</v>
      </c>
      <c r="B736" t="str">
        <f>"101,"&amp;Sheet1!K739</f>
        <v>101,6480</v>
      </c>
    </row>
    <row r="737" spans="1:2" x14ac:dyDescent="0.15">
      <c r="A737">
        <v>7837</v>
      </c>
      <c r="B737" t="str">
        <f>"101,"&amp;Sheet1!K740</f>
        <v>101,6660</v>
      </c>
    </row>
    <row r="738" spans="1:2" x14ac:dyDescent="0.15">
      <c r="A738">
        <v>7838</v>
      </c>
      <c r="B738" t="str">
        <f>"101,"&amp;Sheet1!K741</f>
        <v>101,6840</v>
      </c>
    </row>
    <row r="739" spans="1:2" x14ac:dyDescent="0.15">
      <c r="A739">
        <v>7839</v>
      </c>
      <c r="B739" t="str">
        <f>"101,"&amp;Sheet1!K742</f>
        <v>101,7020</v>
      </c>
    </row>
    <row r="740" spans="1:2" x14ac:dyDescent="0.15">
      <c r="A740">
        <v>7840</v>
      </c>
      <c r="B740" t="str">
        <f>"101,"&amp;Sheet1!K743</f>
        <v>101,7200</v>
      </c>
    </row>
    <row r="741" spans="1:2" x14ac:dyDescent="0.15">
      <c r="A741">
        <v>7841</v>
      </c>
      <c r="B741" t="str">
        <f>"101,"&amp;Sheet1!K744</f>
        <v>101,7380</v>
      </c>
    </row>
    <row r="742" spans="1:2" x14ac:dyDescent="0.15">
      <c r="A742">
        <v>7842</v>
      </c>
      <c r="B742" t="str">
        <f>"101,"&amp;Sheet1!K745</f>
        <v>101,7560</v>
      </c>
    </row>
    <row r="743" spans="1:2" x14ac:dyDescent="0.15">
      <c r="A743">
        <v>7843</v>
      </c>
      <c r="B743" t="str">
        <f>"101,"&amp;Sheet1!K746</f>
        <v>101,7740</v>
      </c>
    </row>
    <row r="744" spans="1:2" x14ac:dyDescent="0.15">
      <c r="A744">
        <v>7844</v>
      </c>
      <c r="B744" t="str">
        <f>"101,"&amp;Sheet1!K747</f>
        <v>101,7920</v>
      </c>
    </row>
    <row r="745" spans="1:2" x14ac:dyDescent="0.15">
      <c r="A745">
        <v>7845</v>
      </c>
      <c r="B745" t="str">
        <f>"101,"&amp;Sheet1!K748</f>
        <v>101,8100</v>
      </c>
    </row>
    <row r="746" spans="1:2" x14ac:dyDescent="0.15">
      <c r="A746">
        <v>7846</v>
      </c>
      <c r="B746" t="str">
        <f>"101,"&amp;Sheet1!K749</f>
        <v>101,8280</v>
      </c>
    </row>
    <row r="747" spans="1:2" x14ac:dyDescent="0.15">
      <c r="A747">
        <v>7847</v>
      </c>
      <c r="B747" t="str">
        <f>"101,"&amp;Sheet1!K750</f>
        <v>101,8460</v>
      </c>
    </row>
    <row r="748" spans="1:2" x14ac:dyDescent="0.15">
      <c r="A748">
        <v>7848</v>
      </c>
      <c r="B748" t="str">
        <f>"101,"&amp;Sheet1!K751</f>
        <v>101,8640</v>
      </c>
    </row>
    <row r="749" spans="1:2" x14ac:dyDescent="0.15">
      <c r="A749">
        <v>7849</v>
      </c>
      <c r="B749" t="str">
        <f>"101,"&amp;Sheet1!K752</f>
        <v>101,8820</v>
      </c>
    </row>
    <row r="750" spans="1:2" x14ac:dyDescent="0.15">
      <c r="A750">
        <v>7850</v>
      </c>
      <c r="B750" t="str">
        <f>"101,"&amp;Sheet1!K753</f>
        <v>101,9000</v>
      </c>
    </row>
    <row r="751" spans="1:2" x14ac:dyDescent="0.15">
      <c r="A751">
        <v>7851</v>
      </c>
      <c r="B751" t="str">
        <f>"41,"&amp;Sheet1!K754</f>
        <v>41,180</v>
      </c>
    </row>
    <row r="752" spans="1:2" x14ac:dyDescent="0.15">
      <c r="A752">
        <v>7852</v>
      </c>
      <c r="B752" t="str">
        <f>"41,"&amp;Sheet1!K755</f>
        <v>41,360</v>
      </c>
    </row>
    <row r="753" spans="1:2" x14ac:dyDescent="0.15">
      <c r="A753">
        <v>7853</v>
      </c>
      <c r="B753" t="str">
        <f>"41,"&amp;Sheet1!K756</f>
        <v>41,540</v>
      </c>
    </row>
    <row r="754" spans="1:2" x14ac:dyDescent="0.15">
      <c r="A754">
        <v>7854</v>
      </c>
      <c r="B754" t="str">
        <f>"41,"&amp;Sheet1!K757</f>
        <v>41,720</v>
      </c>
    </row>
    <row r="755" spans="1:2" x14ac:dyDescent="0.15">
      <c r="A755">
        <v>7855</v>
      </c>
      <c r="B755" t="str">
        <f>"41,"&amp;Sheet1!K758</f>
        <v>41,900</v>
      </c>
    </row>
    <row r="756" spans="1:2" x14ac:dyDescent="0.15">
      <c r="A756">
        <v>7856</v>
      </c>
      <c r="B756" t="str">
        <f>"41,"&amp;Sheet1!K759</f>
        <v>41,1080</v>
      </c>
    </row>
    <row r="757" spans="1:2" x14ac:dyDescent="0.15">
      <c r="A757">
        <v>7857</v>
      </c>
      <c r="B757" t="str">
        <f>"41,"&amp;Sheet1!K760</f>
        <v>41,1260</v>
      </c>
    </row>
    <row r="758" spans="1:2" x14ac:dyDescent="0.15">
      <c r="A758">
        <v>7858</v>
      </c>
      <c r="B758" t="str">
        <f>"41,"&amp;Sheet1!K761</f>
        <v>41,1440</v>
      </c>
    </row>
    <row r="759" spans="1:2" x14ac:dyDescent="0.15">
      <c r="A759">
        <v>7859</v>
      </c>
      <c r="B759" t="str">
        <f>"41,"&amp;Sheet1!K762</f>
        <v>41,1620</v>
      </c>
    </row>
    <row r="760" spans="1:2" x14ac:dyDescent="0.15">
      <c r="A760">
        <v>7860</v>
      </c>
      <c r="B760" t="str">
        <f>"41,"&amp;Sheet1!K763</f>
        <v>41,1800</v>
      </c>
    </row>
    <row r="761" spans="1:2" x14ac:dyDescent="0.15">
      <c r="A761">
        <v>7861</v>
      </c>
      <c r="B761" t="str">
        <f>"41,"&amp;Sheet1!K764</f>
        <v>41,1980</v>
      </c>
    </row>
    <row r="762" spans="1:2" x14ac:dyDescent="0.15">
      <c r="A762">
        <v>7862</v>
      </c>
      <c r="B762" t="str">
        <f>"41,"&amp;Sheet1!K765</f>
        <v>41,2160</v>
      </c>
    </row>
    <row r="763" spans="1:2" x14ac:dyDescent="0.15">
      <c r="A763">
        <v>7863</v>
      </c>
      <c r="B763" t="str">
        <f>"41,"&amp;Sheet1!K766</f>
        <v>41,2340</v>
      </c>
    </row>
    <row r="764" spans="1:2" x14ac:dyDescent="0.15">
      <c r="A764">
        <v>7864</v>
      </c>
      <c r="B764" t="str">
        <f>"41,"&amp;Sheet1!K767</f>
        <v>41,2520</v>
      </c>
    </row>
    <row r="765" spans="1:2" x14ac:dyDescent="0.15">
      <c r="A765">
        <v>7865</v>
      </c>
      <c r="B765" t="str">
        <f>"41,"&amp;Sheet1!K768</f>
        <v>41,2700</v>
      </c>
    </row>
    <row r="766" spans="1:2" x14ac:dyDescent="0.15">
      <c r="A766">
        <v>7866</v>
      </c>
      <c r="B766" t="str">
        <f>"41,"&amp;Sheet1!K769</f>
        <v>41,2880</v>
      </c>
    </row>
    <row r="767" spans="1:2" x14ac:dyDescent="0.15">
      <c r="A767">
        <v>7867</v>
      </c>
      <c r="B767" t="str">
        <f>"41,"&amp;Sheet1!K770</f>
        <v>41,3060</v>
      </c>
    </row>
    <row r="768" spans="1:2" x14ac:dyDescent="0.15">
      <c r="A768">
        <v>7868</v>
      </c>
      <c r="B768" t="str">
        <f>"41,"&amp;Sheet1!K771</f>
        <v>41,3240</v>
      </c>
    </row>
    <row r="769" spans="1:2" x14ac:dyDescent="0.15">
      <c r="A769">
        <v>7869</v>
      </c>
      <c r="B769" t="str">
        <f>"41,"&amp;Sheet1!K772</f>
        <v>41,3420</v>
      </c>
    </row>
    <row r="770" spans="1:2" x14ac:dyDescent="0.15">
      <c r="A770">
        <v>7870</v>
      </c>
      <c r="B770" t="str">
        <f>"41,"&amp;Sheet1!K773</f>
        <v>41,3600</v>
      </c>
    </row>
    <row r="771" spans="1:2" x14ac:dyDescent="0.15">
      <c r="A771">
        <v>7871</v>
      </c>
      <c r="B771" t="str">
        <f>"41,"&amp;Sheet1!K774</f>
        <v>41,3780</v>
      </c>
    </row>
    <row r="772" spans="1:2" x14ac:dyDescent="0.15">
      <c r="A772">
        <v>7872</v>
      </c>
      <c r="B772" t="str">
        <f>"41,"&amp;Sheet1!K775</f>
        <v>41,3960</v>
      </c>
    </row>
    <row r="773" spans="1:2" x14ac:dyDescent="0.15">
      <c r="A773">
        <v>7873</v>
      </c>
      <c r="B773" t="str">
        <f>"41,"&amp;Sheet1!K776</f>
        <v>41,4140</v>
      </c>
    </row>
    <row r="774" spans="1:2" x14ac:dyDescent="0.15">
      <c r="A774">
        <v>7874</v>
      </c>
      <c r="B774" t="str">
        <f>"41,"&amp;Sheet1!K777</f>
        <v>41,4320</v>
      </c>
    </row>
    <row r="775" spans="1:2" x14ac:dyDescent="0.15">
      <c r="A775">
        <v>7875</v>
      </c>
      <c r="B775" t="str">
        <f>"41,"&amp;Sheet1!K778</f>
        <v>41,4500</v>
      </c>
    </row>
    <row r="776" spans="1:2" x14ac:dyDescent="0.15">
      <c r="A776">
        <v>7876</v>
      </c>
      <c r="B776" t="str">
        <f>"41,"&amp;Sheet1!K779</f>
        <v>41,4680</v>
      </c>
    </row>
    <row r="777" spans="1:2" x14ac:dyDescent="0.15">
      <c r="A777">
        <v>7877</v>
      </c>
      <c r="B777" t="str">
        <f>"41,"&amp;Sheet1!K780</f>
        <v>41,4860</v>
      </c>
    </row>
    <row r="778" spans="1:2" x14ac:dyDescent="0.15">
      <c r="A778">
        <v>7878</v>
      </c>
      <c r="B778" t="str">
        <f>"41,"&amp;Sheet1!K781</f>
        <v>41,5040</v>
      </c>
    </row>
    <row r="779" spans="1:2" x14ac:dyDescent="0.15">
      <c r="A779">
        <v>7879</v>
      </c>
      <c r="B779" t="str">
        <f>"41,"&amp;Sheet1!K782</f>
        <v>41,5220</v>
      </c>
    </row>
    <row r="780" spans="1:2" x14ac:dyDescent="0.15">
      <c r="A780">
        <v>7880</v>
      </c>
      <c r="B780" t="str">
        <f>"41,"&amp;Sheet1!K783</f>
        <v>41,5400</v>
      </c>
    </row>
    <row r="781" spans="1:2" x14ac:dyDescent="0.15">
      <c r="A781">
        <v>7881</v>
      </c>
      <c r="B781" t="str">
        <f>"41,"&amp;Sheet1!K784</f>
        <v>41,5580</v>
      </c>
    </row>
    <row r="782" spans="1:2" x14ac:dyDescent="0.15">
      <c r="A782">
        <v>7882</v>
      </c>
      <c r="B782" t="str">
        <f>"41,"&amp;Sheet1!K785</f>
        <v>41,5760</v>
      </c>
    </row>
    <row r="783" spans="1:2" x14ac:dyDescent="0.15">
      <c r="A783">
        <v>7883</v>
      </c>
      <c r="B783" t="str">
        <f>"41,"&amp;Sheet1!K786</f>
        <v>41,5940</v>
      </c>
    </row>
    <row r="784" spans="1:2" x14ac:dyDescent="0.15">
      <c r="A784">
        <v>7884</v>
      </c>
      <c r="B784" t="str">
        <f>"41,"&amp;Sheet1!K787</f>
        <v>41,6120</v>
      </c>
    </row>
    <row r="785" spans="1:2" x14ac:dyDescent="0.15">
      <c r="A785">
        <v>7885</v>
      </c>
      <c r="B785" t="str">
        <f>"41,"&amp;Sheet1!K788</f>
        <v>41,6300</v>
      </c>
    </row>
    <row r="786" spans="1:2" x14ac:dyDescent="0.15">
      <c r="A786">
        <v>7886</v>
      </c>
      <c r="B786" t="str">
        <f>"41,"&amp;Sheet1!K789</f>
        <v>41,6480</v>
      </c>
    </row>
    <row r="787" spans="1:2" x14ac:dyDescent="0.15">
      <c r="A787">
        <v>7887</v>
      </c>
      <c r="B787" t="str">
        <f>"41,"&amp;Sheet1!K790</f>
        <v>41,6660</v>
      </c>
    </row>
    <row r="788" spans="1:2" x14ac:dyDescent="0.15">
      <c r="A788">
        <v>7888</v>
      </c>
      <c r="B788" t="str">
        <f>"41,"&amp;Sheet1!K791</f>
        <v>41,6840</v>
      </c>
    </row>
    <row r="789" spans="1:2" x14ac:dyDescent="0.15">
      <c r="A789">
        <v>7889</v>
      </c>
      <c r="B789" t="str">
        <f>"41,"&amp;Sheet1!K792</f>
        <v>41,7020</v>
      </c>
    </row>
    <row r="790" spans="1:2" x14ac:dyDescent="0.15">
      <c r="A790">
        <v>7890</v>
      </c>
      <c r="B790" t="str">
        <f>"41,"&amp;Sheet1!K793</f>
        <v>41,7200</v>
      </c>
    </row>
    <row r="791" spans="1:2" x14ac:dyDescent="0.15">
      <c r="A791">
        <v>7891</v>
      </c>
      <c r="B791" t="str">
        <f>"41,"&amp;Sheet1!K794</f>
        <v>41,7380</v>
      </c>
    </row>
    <row r="792" spans="1:2" x14ac:dyDescent="0.15">
      <c r="A792">
        <v>7892</v>
      </c>
      <c r="B792" t="str">
        <f>"41,"&amp;Sheet1!K795</f>
        <v>41,7560</v>
      </c>
    </row>
    <row r="793" spans="1:2" x14ac:dyDescent="0.15">
      <c r="A793">
        <v>7893</v>
      </c>
      <c r="B793" t="str">
        <f>"41,"&amp;Sheet1!K796</f>
        <v>41,7740</v>
      </c>
    </row>
    <row r="794" spans="1:2" x14ac:dyDescent="0.15">
      <c r="A794">
        <v>7894</v>
      </c>
      <c r="B794" t="str">
        <f>"41,"&amp;Sheet1!K797</f>
        <v>41,7920</v>
      </c>
    </row>
    <row r="795" spans="1:2" x14ac:dyDescent="0.15">
      <c r="A795">
        <v>7895</v>
      </c>
      <c r="B795" t="str">
        <f>"41,"&amp;Sheet1!K798</f>
        <v>41,8100</v>
      </c>
    </row>
    <row r="796" spans="1:2" x14ac:dyDescent="0.15">
      <c r="A796">
        <v>7896</v>
      </c>
      <c r="B796" t="str">
        <f>"41,"&amp;Sheet1!K799</f>
        <v>41,8280</v>
      </c>
    </row>
    <row r="797" spans="1:2" x14ac:dyDescent="0.15">
      <c r="A797">
        <v>7897</v>
      </c>
      <c r="B797" t="str">
        <f>"41,"&amp;Sheet1!K800</f>
        <v>41,8460</v>
      </c>
    </row>
    <row r="798" spans="1:2" x14ac:dyDescent="0.15">
      <c r="A798">
        <v>7898</v>
      </c>
      <c r="B798" t="str">
        <f>"41,"&amp;Sheet1!K801</f>
        <v>41,8640</v>
      </c>
    </row>
    <row r="799" spans="1:2" x14ac:dyDescent="0.15">
      <c r="A799">
        <v>7899</v>
      </c>
      <c r="B799" t="str">
        <f>"41,"&amp;Sheet1!K802</f>
        <v>41,8820</v>
      </c>
    </row>
    <row r="800" spans="1:2" x14ac:dyDescent="0.15">
      <c r="A800">
        <v>7900</v>
      </c>
      <c r="B800" t="str">
        <f>"41,"&amp;Sheet1!K803</f>
        <v>41,9000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2025-08-21T07:40:07Z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B321E3C4E1314F0C854099C8F0BD84E3_12</vt:lpwstr>
  </property>
  <property fmtid="{D5CDD505-2E9C-101B-9397-08002B2CF9AE}" pid="4" name="KSOReadingLayout">
    <vt:bool>true</vt:bool>
  </property>
</Properties>
</file>