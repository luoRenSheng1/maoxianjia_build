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5" i="1" l="1"/>
  <c r="D6" i="1"/>
  <c r="D7" i="1"/>
  <c r="D8" i="1"/>
  <c r="D9" i="1"/>
  <c r="D13" i="1"/>
  <c r="D14" i="1"/>
  <c r="D15" i="1"/>
  <c r="D16" i="1"/>
  <c r="D4" i="1"/>
  <c r="D10" i="1" l="1"/>
  <c r="D12" i="1"/>
</calcChain>
</file>

<file path=xl/sharedStrings.xml><?xml version="1.0" encoding="utf-8"?>
<sst xmlns="http://schemas.openxmlformats.org/spreadsheetml/2006/main" count="34" uniqueCount="29">
  <si>
    <t>Id</t>
  </si>
  <si>
    <t>ItemId</t>
  </si>
  <si>
    <t>Number</t>
  </si>
  <si>
    <t>Score</t>
  </si>
  <si>
    <t>Limit</t>
  </si>
  <si>
    <t>Sort</t>
  </si>
  <si>
    <t>Int</t>
  </si>
  <si>
    <t>序列号</t>
  </si>
  <si>
    <t>商店道具</t>
  </si>
  <si>
    <t>道具数量</t>
  </si>
  <si>
    <t>兑换积分</t>
  </si>
  <si>
    <t>兑换次数</t>
  </si>
  <si>
    <t>货架排序</t>
  </si>
  <si>
    <t>寻宝铲</t>
  </si>
  <si>
    <t>技能强化石</t>
  </si>
  <si>
    <t>宠物天赋令</t>
  </si>
  <si>
    <t>宠物天赋水晶</t>
  </si>
  <si>
    <t>宠物打孔石</t>
  </si>
  <si>
    <t>随机技能书</t>
  </si>
  <si>
    <t>奶酪</t>
  </si>
  <si>
    <t>帝王蟹</t>
  </si>
  <si>
    <t>盾牌碎片</t>
  </si>
  <si>
    <t>勋章碎片</t>
  </si>
  <si>
    <t>护符碎片</t>
    <phoneticPr fontId="4" type="noConversion"/>
  </si>
  <si>
    <t>印记碎片</t>
    <phoneticPr fontId="4" type="noConversion"/>
  </si>
  <si>
    <t>Name_Note</t>
  </si>
  <si>
    <t>String</t>
  </si>
  <si>
    <t>&lt;c&gt;备注</t>
    <phoneticPr fontId="4" type="noConversion"/>
  </si>
  <si>
    <t>圣物碎片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</si>
</sst>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0.5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5968;&#20540;&#25991;&#26723;\&#20135;&#38144;&#25968;&#25454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产销规划"/>
      <sheetName val="钻石产出"/>
      <sheetName val="寻宝铲产出"/>
      <sheetName val="金币产出"/>
      <sheetName val="奶酪产出"/>
      <sheetName val="技能强化石"/>
      <sheetName val="天赋点产出"/>
      <sheetName val="神器碎片"/>
      <sheetName val="圣物碎片"/>
      <sheetName val="狩猎任务"/>
      <sheetName val="奇遇商人"/>
      <sheetName val="宠物天赋"/>
      <sheetName val="普通关卡"/>
      <sheetName val="道具价值计算"/>
      <sheetName val="召唤商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K7" t="str">
            <v>道具ID</v>
          </cell>
          <cell r="L7" t="str">
            <v>道具名称</v>
          </cell>
          <cell r="M7" t="str">
            <v>价值钻石</v>
          </cell>
          <cell r="N7" t="str">
            <v>价值积分</v>
          </cell>
        </row>
        <row r="8">
          <cell r="K8">
            <v>1010006</v>
          </cell>
          <cell r="L8" t="str">
            <v>盾牌碎片</v>
          </cell>
          <cell r="M8">
            <v>20</v>
          </cell>
          <cell r="N8">
            <v>10</v>
          </cell>
        </row>
        <row r="9">
          <cell r="K9">
            <v>1010007</v>
          </cell>
          <cell r="L9" t="str">
            <v>勋章碎片</v>
          </cell>
          <cell r="M9">
            <v>20</v>
          </cell>
          <cell r="N9">
            <v>10</v>
          </cell>
        </row>
        <row r="10">
          <cell r="K10">
            <v>1010008</v>
          </cell>
          <cell r="L10" t="str">
            <v>护符碎片</v>
          </cell>
          <cell r="M10">
            <v>20</v>
          </cell>
          <cell r="N10">
            <v>10</v>
          </cell>
        </row>
        <row r="11">
          <cell r="K11">
            <v>1010009</v>
          </cell>
          <cell r="L11" t="str">
            <v>印记碎片</v>
          </cell>
          <cell r="M11">
            <v>20</v>
          </cell>
          <cell r="N11">
            <v>10</v>
          </cell>
        </row>
        <row r="12">
          <cell r="K12">
            <v>1010002</v>
          </cell>
          <cell r="L12" t="str">
            <v>帝王蟹</v>
          </cell>
          <cell r="M12">
            <v>1300</v>
          </cell>
          <cell r="N12">
            <v>650</v>
          </cell>
        </row>
        <row r="13">
          <cell r="K13">
            <v>1010010</v>
          </cell>
          <cell r="L13" t="str">
            <v>宠物天赋令</v>
          </cell>
          <cell r="M13">
            <v>50</v>
          </cell>
          <cell r="N13">
            <v>25</v>
          </cell>
        </row>
        <row r="14">
          <cell r="K14">
            <v>1010011</v>
          </cell>
          <cell r="L14" t="str">
            <v>宠物天赋水晶</v>
          </cell>
          <cell r="M14">
            <v>25</v>
          </cell>
          <cell r="N14">
            <v>12.5</v>
          </cell>
        </row>
        <row r="15">
          <cell r="K15">
            <v>1010012</v>
          </cell>
          <cell r="L15" t="str">
            <v>宠物打孔石</v>
          </cell>
          <cell r="M15">
            <v>100</v>
          </cell>
          <cell r="N15">
            <v>50</v>
          </cell>
        </row>
        <row r="16">
          <cell r="K16">
            <v>1050006</v>
          </cell>
          <cell r="L16" t="str">
            <v>随机技能书</v>
          </cell>
          <cell r="M16">
            <v>200</v>
          </cell>
          <cell r="N16">
            <v>100</v>
          </cell>
        </row>
        <row r="17">
          <cell r="K17">
            <v>10000001</v>
          </cell>
          <cell r="L17" t="str">
            <v>寻宝铲</v>
          </cell>
          <cell r="M17">
            <v>20</v>
          </cell>
          <cell r="N17">
            <v>10</v>
          </cell>
        </row>
        <row r="18">
          <cell r="K18">
            <v>1010004</v>
          </cell>
          <cell r="L18" t="str">
            <v>技能强化石</v>
          </cell>
          <cell r="M18">
            <v>20</v>
          </cell>
          <cell r="N18">
            <v>10</v>
          </cell>
        </row>
        <row r="19">
          <cell r="K19">
            <v>1010001</v>
          </cell>
          <cell r="L19" t="str">
            <v>奶酪</v>
          </cell>
          <cell r="M19">
            <v>20</v>
          </cell>
          <cell r="N19">
            <v>10</v>
          </cell>
        </row>
        <row r="20">
          <cell r="K20">
            <v>1010015</v>
          </cell>
          <cell r="L20" t="str">
            <v>圣物碎片</v>
          </cell>
          <cell r="M20">
            <v>20</v>
          </cell>
          <cell r="N20">
            <v>10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G22" sqref="G22"/>
    </sheetView>
  </sheetViews>
  <sheetFormatPr defaultColWidth="9" defaultRowHeight="13.5" x14ac:dyDescent="0.15"/>
  <cols>
    <col min="1" max="1" width="9" style="4"/>
    <col min="2" max="2" width="9.25" style="4"/>
    <col min="3" max="6" width="9" style="4"/>
    <col min="7" max="7" width="13" style="4" bestFit="1" customWidth="1"/>
    <col min="8" max="8" width="9" style="4"/>
    <col min="9" max="9" width="13" style="4" bestFit="1" customWidth="1"/>
    <col min="10" max="10" width="9.5" style="4" bestFit="1" customWidth="1"/>
    <col min="11" max="16384" width="9" style="4"/>
  </cols>
  <sheetData>
    <row r="1" spans="1:9" ht="17.25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25</v>
      </c>
    </row>
    <row r="2" spans="1:9" ht="17.25" x14ac:dyDescent="0.15">
      <c r="A2" s="3" t="s">
        <v>6</v>
      </c>
      <c r="B2" s="3" t="s">
        <v>6</v>
      </c>
      <c r="C2" s="3" t="s">
        <v>6</v>
      </c>
      <c r="D2" s="3" t="s">
        <v>6</v>
      </c>
      <c r="E2" s="3" t="s">
        <v>6</v>
      </c>
      <c r="F2" s="3" t="s">
        <v>6</v>
      </c>
      <c r="G2" s="2" t="s">
        <v>26</v>
      </c>
    </row>
    <row r="3" spans="1:9" ht="17.25" x14ac:dyDescent="0.15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2" t="s">
        <v>27</v>
      </c>
    </row>
    <row r="4" spans="1:9" ht="16.5" x14ac:dyDescent="0.3">
      <c r="A4" s="4">
        <v>1001</v>
      </c>
      <c r="B4" s="1">
        <v>1010006</v>
      </c>
      <c r="C4" s="4">
        <v>1</v>
      </c>
      <c r="D4" s="4">
        <f>VLOOKUP(B:B,[1]狩猎任务!$K$7:$N$20,4,FALSE)*C4</f>
        <v>10</v>
      </c>
      <c r="E4" s="4">
        <v>999</v>
      </c>
      <c r="F4" s="4">
        <v>1</v>
      </c>
      <c r="G4" s="4" t="s">
        <v>21</v>
      </c>
    </row>
    <row r="5" spans="1:9" ht="16.5" x14ac:dyDescent="0.3">
      <c r="A5" s="4">
        <v>1002</v>
      </c>
      <c r="B5" s="1">
        <v>1010007</v>
      </c>
      <c r="C5" s="4">
        <v>1</v>
      </c>
      <c r="D5" s="4">
        <f>VLOOKUP(B:B,[1]狩猎任务!$K$7:$N$20,4,FALSE)*C5</f>
        <v>10</v>
      </c>
      <c r="E5" s="4">
        <v>999</v>
      </c>
      <c r="F5" s="4">
        <v>2</v>
      </c>
      <c r="G5" s="4" t="s">
        <v>22</v>
      </c>
    </row>
    <row r="6" spans="1:9" ht="16.5" x14ac:dyDescent="0.3">
      <c r="A6" s="4">
        <v>1003</v>
      </c>
      <c r="B6" s="1">
        <v>1010008</v>
      </c>
      <c r="C6" s="4">
        <v>1</v>
      </c>
      <c r="D6" s="4">
        <f>VLOOKUP(B:B,[1]狩猎任务!$K$7:$N$20,4,FALSE)*C6</f>
        <v>10</v>
      </c>
      <c r="E6" s="4">
        <v>999</v>
      </c>
      <c r="F6" s="4">
        <v>3</v>
      </c>
      <c r="G6" s="5" t="s">
        <v>23</v>
      </c>
    </row>
    <row r="7" spans="1:9" ht="16.5" x14ac:dyDescent="0.3">
      <c r="A7" s="4">
        <v>1004</v>
      </c>
      <c r="B7" s="1">
        <v>1010009</v>
      </c>
      <c r="C7" s="4">
        <v>1</v>
      </c>
      <c r="D7" s="4">
        <f>VLOOKUP(B:B,[1]狩猎任务!$K$7:$N$20,4,FALSE)*C7</f>
        <v>10</v>
      </c>
      <c r="E7" s="4">
        <v>999</v>
      </c>
      <c r="F7" s="4">
        <v>4</v>
      </c>
      <c r="G7" s="5" t="s">
        <v>24</v>
      </c>
    </row>
    <row r="8" spans="1:9" x14ac:dyDescent="0.15">
      <c r="A8" s="4">
        <v>1005</v>
      </c>
      <c r="B8" s="4">
        <v>1010015</v>
      </c>
      <c r="C8" s="4">
        <v>1</v>
      </c>
      <c r="D8" s="4">
        <f>VLOOKUP(B:B,[1]狩猎任务!$K$7:$N$20,4,FALSE)*C8</f>
        <v>10</v>
      </c>
      <c r="E8" s="4">
        <v>999</v>
      </c>
      <c r="F8" s="4">
        <v>5</v>
      </c>
      <c r="G8" s="5" t="s">
        <v>28</v>
      </c>
    </row>
    <row r="9" spans="1:9" x14ac:dyDescent="0.15">
      <c r="A9" s="4">
        <v>1006</v>
      </c>
      <c r="B9" s="4">
        <v>1010002</v>
      </c>
      <c r="C9" s="4">
        <v>1</v>
      </c>
      <c r="D9" s="4">
        <f>VLOOKUP(B:B,[1]狩猎任务!$K$7:$N$20,4,FALSE)*C9</f>
        <v>650</v>
      </c>
      <c r="E9" s="4">
        <v>999</v>
      </c>
      <c r="F9" s="4">
        <v>6</v>
      </c>
      <c r="G9" s="4" t="s">
        <v>20</v>
      </c>
    </row>
    <row r="10" spans="1:9" x14ac:dyDescent="0.15">
      <c r="A10" s="4">
        <v>1007</v>
      </c>
      <c r="B10" s="4">
        <v>1010010</v>
      </c>
      <c r="C10" s="4">
        <v>1</v>
      </c>
      <c r="D10" s="4">
        <f>VLOOKUP(B:B,[1]狩猎任务!$K$7:$N$20,4,FALSE)*C10</f>
        <v>25</v>
      </c>
      <c r="E10" s="4">
        <v>999</v>
      </c>
      <c r="F10" s="4">
        <v>7</v>
      </c>
      <c r="G10" s="4" t="s">
        <v>15</v>
      </c>
    </row>
    <row r="11" spans="1:9" x14ac:dyDescent="0.15">
      <c r="A11" s="4">
        <v>1008</v>
      </c>
      <c r="B11" s="4">
        <v>1010011</v>
      </c>
      <c r="C11" s="4">
        <v>1</v>
      </c>
      <c r="D11" s="4">
        <f>ROUND(VLOOKUP(B:B,[1]狩猎任务!$K$7:$N$20,4,FALSE)*C11,0)+2</f>
        <v>15</v>
      </c>
      <c r="E11" s="4">
        <v>999</v>
      </c>
      <c r="F11" s="4">
        <v>8</v>
      </c>
      <c r="G11" s="4" t="s">
        <v>16</v>
      </c>
    </row>
    <row r="12" spans="1:9" x14ac:dyDescent="0.15">
      <c r="A12" s="4">
        <v>1009</v>
      </c>
      <c r="B12" s="4">
        <v>1010012</v>
      </c>
      <c r="C12" s="4">
        <v>1</v>
      </c>
      <c r="D12" s="4">
        <f>VLOOKUP(B:B,[1]狩猎任务!$K$7:$N$20,4,FALSE)*C12</f>
        <v>50</v>
      </c>
      <c r="E12" s="4">
        <v>999</v>
      </c>
      <c r="F12" s="4">
        <v>9</v>
      </c>
      <c r="G12" s="4" t="s">
        <v>17</v>
      </c>
    </row>
    <row r="13" spans="1:9" x14ac:dyDescent="0.15">
      <c r="A13" s="4">
        <v>1010</v>
      </c>
      <c r="B13" s="4">
        <v>1050006</v>
      </c>
      <c r="C13" s="4">
        <v>1</v>
      </c>
      <c r="D13" s="4">
        <f>VLOOKUP(B:B,[1]狩猎任务!$K$7:$N$20,4,FALSE)*C13</f>
        <v>100</v>
      </c>
      <c r="E13" s="4">
        <v>999</v>
      </c>
      <c r="F13" s="4">
        <v>10</v>
      </c>
      <c r="G13" s="4" t="s">
        <v>18</v>
      </c>
    </row>
    <row r="14" spans="1:9" x14ac:dyDescent="0.15">
      <c r="A14" s="4">
        <v>1011</v>
      </c>
      <c r="B14" s="4">
        <v>10000001</v>
      </c>
      <c r="C14" s="4">
        <v>1</v>
      </c>
      <c r="D14" s="4">
        <f>VLOOKUP(B:B,[1]狩猎任务!$K$7:$N$20,4,FALSE)*C14</f>
        <v>10</v>
      </c>
      <c r="E14" s="4">
        <v>999</v>
      </c>
      <c r="F14" s="4">
        <v>11</v>
      </c>
      <c r="G14" s="4" t="s">
        <v>13</v>
      </c>
    </row>
    <row r="15" spans="1:9" x14ac:dyDescent="0.15">
      <c r="A15" s="4">
        <v>1012</v>
      </c>
      <c r="B15" s="4">
        <v>1010004</v>
      </c>
      <c r="C15" s="4">
        <v>1</v>
      </c>
      <c r="D15" s="4">
        <f>VLOOKUP(B:B,[1]狩猎任务!$K$7:$N$20,4,FALSE)*C15</f>
        <v>10</v>
      </c>
      <c r="E15" s="4">
        <v>999</v>
      </c>
      <c r="F15" s="4">
        <v>12</v>
      </c>
      <c r="G15" s="4" t="s">
        <v>14</v>
      </c>
      <c r="I15" s="5"/>
    </row>
    <row r="16" spans="1:9" x14ac:dyDescent="0.15">
      <c r="A16" s="4">
        <v>1013</v>
      </c>
      <c r="B16" s="4">
        <v>1010001</v>
      </c>
      <c r="C16" s="4">
        <v>1</v>
      </c>
      <c r="D16" s="4">
        <f>VLOOKUP(B:B,[1]狩猎任务!$K$7:$N$20,4,FALSE)*C16</f>
        <v>10</v>
      </c>
      <c r="E16" s="4">
        <v>999</v>
      </c>
      <c r="F16" s="4">
        <v>13</v>
      </c>
      <c r="G16" s="4" t="s">
        <v>19</v>
      </c>
      <c r="I16" s="5"/>
    </row>
  </sheetData>
  <phoneticPr fontId="4" type="noConversion"/>
  <conditionalFormatting sqref="B4:B7">
    <cfRule type="duplicateValues" dxfId="2" priority="4"/>
    <cfRule type="timePeriod" dxfId="1" priority="5" timePeriod="yesterday">
      <formula>FLOOR(B4,1)=TODAY()-1</formula>
    </cfRule>
    <cfRule type="duplicateValues" dxfId="0" priority="6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HC</cp:lastModifiedBy>
  <dcterms:created xsi:type="dcterms:W3CDTF">2023-05-12T11:15:00Z</dcterms:created>
  <dcterms:modified xsi:type="dcterms:W3CDTF">2025-08-04T08:54:00Z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57C124D7974B4EEA86FE5F4EAB3D984B_12</vt:lpwstr>
  </property>
</Properties>
</file>